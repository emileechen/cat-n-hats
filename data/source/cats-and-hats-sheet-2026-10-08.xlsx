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s &amp; Hats Intro" sheetId="1" r:id="rId5"/>
    <sheet state="visible" name="Hat Brochure" sheetId="2" r:id="rId6"/>
    <sheet state="visible" name="CATalog" sheetId="3" r:id="rId7"/>
    <sheet state="visible" name="Fashion Show" sheetId="4" r:id="rId8"/>
    <sheet state="visible" name="!WIP! - Shard Shop" sheetId="5" r:id="rId9"/>
    <sheet state="visible" name="Aralie" sheetId="6" r:id="rId10"/>
    <sheet state="visible" name="Ember" sheetId="7" r:id="rId11"/>
    <sheet state="visible" name="Luv007" sheetId="8" r:id="rId12"/>
    <sheet state="visible" name="Pinkshadow" sheetId="9" r:id="rId13"/>
    <sheet state="visible" name="Ryuukokoro" sheetId="10" r:id="rId14"/>
    <sheet state="visible" name="Saturnalia" sheetId="11" r:id="rId15"/>
    <sheet state="visible" name="SeaCrest" sheetId="12" r:id="rId16"/>
    <sheet state="visible" name="Silvanon" sheetId="13" r:id="rId17"/>
    <sheet state="visible" name="Springacres" sheetId="14" r:id="rId18"/>
    <sheet state="hidden" name="Laviee" sheetId="15" r:id="rId19"/>
    <sheet state="visible" name="Sunshine Warrior" sheetId="16" r:id="rId20"/>
    <sheet state="visible" name="Wildfilly94" sheetId="17" r:id="rId21"/>
    <sheet state="visible" name="XLostxDestinyX" sheetId="18" r:id="rId22"/>
    <sheet state="visible" name="YLO" sheetId="19" r:id="rId23"/>
    <sheet state="visible" name="Records" sheetId="20" r:id="rId24"/>
    <sheet state="visible" name="Hats" sheetId="21" r:id="rId25"/>
    <sheet state="visible" name="Cats" sheetId="22" r:id="rId26"/>
    <sheet state="visible" name="Shop" sheetId="23" r:id="rId27"/>
    <sheet state="hidden" name="User Template" sheetId="24" r:id="rId28"/>
    <sheet state="hidden" name="All The Hats" sheetId="25" r:id="rId29"/>
    <sheet state="visible" name="Planning" sheetId="26" r:id="rId30"/>
    <sheet state="hidden" name="test" sheetId="27" r:id="rId31"/>
  </sheets>
  <definedNames>
    <definedName hidden="1" localSheetId="19" name="_xlnm._FilterDatabase">Records!$A$1:$E$1012</definedName>
  </definedNames>
  <calcPr/>
</workbook>
</file>

<file path=xl/sharedStrings.xml><?xml version="1.0" encoding="utf-8"?>
<sst xmlns="http://schemas.openxmlformats.org/spreadsheetml/2006/main" count="42854" uniqueCount="483">
  <si>
    <r>
      <rPr>
        <rFont val="Merriweather, Arial"/>
        <color theme="1"/>
        <sz val="18.0"/>
      </rPr>
      <t xml:space="preserve">Welcome to </t>
    </r>
    <r>
      <rPr>
        <rFont val="Merriweather, Arial"/>
        <b/>
        <color theme="1"/>
        <sz val="18.0"/>
      </rPr>
      <t>Cats &amp; Hats</t>
    </r>
    <r>
      <rPr>
        <rFont val="Merriweather, Arial"/>
        <color theme="1"/>
        <sz val="18.0"/>
      </rPr>
      <t>.</t>
    </r>
    <r>
      <rPr>
        <rFont val="Inconsolata"/>
        <color theme="1"/>
        <sz val="14.0"/>
      </rPr>
      <t xml:space="preserve"> </t>
    </r>
    <r>
      <rPr>
        <rFont val="Ubuntu"/>
        <color theme="1"/>
        <sz val="11.0"/>
      </rPr>
      <t>An adoptable collection game where you collect more hats than cats.</t>
    </r>
  </si>
  <si>
    <t>Getting Started</t>
  </si>
  <si>
    <t>This adoptable game is played through the Secundi Discord in the #cats-n-hats channel. You begin by filling out a form to select a starter Cat and starter Hat. You'll get your very own Closet (a Sheet in this document) that gets updated with everything you collect.</t>
  </si>
  <si>
    <t>Hats</t>
  </si>
  <si>
    <t>Every day you get open the Mysterious Hat Box that will contain a random hat from the available pool. This is done through the Discord Channel. You might get a duplicate, but don't worry, try to trade it to someone else for a hat you don't have. Check out the 'Catalog' Sheet to see all the hats! (Or don't and let yourself be surprised. 😉) Hats come in Sets that usually have a theme. Collecting multiple hats in a Set will reward you greatly!</t>
  </si>
  <si>
    <t>The current available sets are:
- Starter
- Basic
- Animals</t>
  </si>
  <si>
    <t>Reaching certain milestone within a Set will earn you rewards such as Shards and exclusive hats! Rewards for set completion are automatically added to your Closet. You may trade away hats that contributed to that reward, but you won't receive the reward a second time when you hit the milestone again. Check the Hat Brochure to see what the milestones and their rewards are.</t>
  </si>
  <si>
    <t>Cat Colours</t>
  </si>
  <si>
    <t>Cat colours work like Neopet paintbrushes (with infinite uses). When you 'dress up', you can select a hat and a cat colour. Cat colours are gained through events.</t>
  </si>
  <si>
    <t>Weekly Dress Up Event</t>
  </si>
  <si>
    <t>Every week there's a fancy event where you get to show off your latest finds. Submit the cat colour and hat you'd like to wear to the event. Participation will reward you with Shards or even Hats and Colours.</t>
  </si>
  <si>
    <t>Shards &amp; Disenchanting</t>
  </si>
  <si>
    <t>Shards (💎) are the basic currency for Cat &amp; Hats. Have too many Hats? Closet feeling a little cluttered? Disenchant your unwanted Hats for some shards! Disenchanted hats will disappear from your collection but grant you # shards. There is also a chance of getting a handful of shards when you open the Mystery Box.</t>
  </si>
  <si>
    <t>Theme: Whatever strikes your fancy!
Reward: Your choice of a Cat Colour from the Basic set. 10 Shards.</t>
  </si>
  <si>
    <t>SeaCrest</t>
  </si>
  <si>
    <t>Springacres</t>
  </si>
  <si>
    <t>Pinkshadow</t>
  </si>
  <si>
    <t>Luv007</t>
  </si>
  <si>
    <t>Ryuukokoro</t>
  </si>
  <si>
    <t>Saturnalia</t>
  </si>
  <si>
    <t>Completion Rewards:
🎁 Collecting 6 Hats (50%) -- Choice of Basic paintbrush &amp; 50 shards
🎁 Collecting 12 Hats (100%) -- ? &amp; 200 shards</t>
  </si>
  <si>
    <t>XLostxDestinyX</t>
  </si>
  <si>
    <t>Aralie</t>
  </si>
  <si>
    <t>YLO</t>
  </si>
  <si>
    <t>Theme: Whatever strikes your fancy!
Reward: Your choice of a Cat Colour from the Basic set. 10 Shards.</t>
  </si>
  <si>
    <t>Sunshine Warrior</t>
  </si>
  <si>
    <t>Completion Rewards:
🎁 Collecting 9 Hats (50%) -- Exclusive hat &amp; 50 shards
🎁 Collecting 19 Hats (100%) -- Exclusive hat &amp; 200 shards</t>
  </si>
  <si>
    <t>Currency</t>
  </si>
  <si>
    <t>Ember</t>
  </si>
  <si>
    <t>Wildfilly94</t>
  </si>
  <si>
    <t>Sylvie</t>
  </si>
  <si>
    <t>Outfits</t>
  </si>
  <si>
    <t>Cat Collection</t>
  </si>
  <si>
    <t>Hat Collection</t>
  </si>
  <si>
    <t>Niko</t>
  </si>
  <si>
    <t>Jumanji</t>
  </si>
  <si>
    <t>AC14</t>
  </si>
  <si>
    <t>Magic</t>
  </si>
  <si>
    <t>Sophy</t>
  </si>
  <si>
    <t>Puff</t>
  </si>
  <si>
    <t>Nia</t>
  </si>
  <si>
    <t>Silvanon</t>
  </si>
  <si>
    <t>Grant</t>
  </si>
  <si>
    <t>Laviee</t>
  </si>
  <si>
    <t>Copurrnicus</t>
  </si>
  <si>
    <t>Noodle</t>
  </si>
  <si>
    <t>Pam</t>
  </si>
  <si>
    <t>Edward</t>
  </si>
  <si>
    <t>Belle</t>
  </si>
  <si>
    <t>Adriaan</t>
  </si>
  <si>
    <t>Date</t>
  </si>
  <si>
    <t>User</t>
  </si>
  <si>
    <t>Source</t>
  </si>
  <si>
    <t>Item +</t>
  </si>
  <si>
    <t>Items -</t>
  </si>
  <si>
    <t>Shards +</t>
  </si>
  <si>
    <t>Shards -</t>
  </si>
  <si>
    <t>Starter</t>
  </si>
  <si>
    <t>AA02</t>
  </si>
  <si>
    <t>Set</t>
  </si>
  <si>
    <t>Name</t>
  </si>
  <si>
    <t>ID</t>
  </si>
  <si>
    <t>Description</t>
  </si>
  <si>
    <t>Owned By</t>
  </si>
  <si>
    <t>Hat URL</t>
  </si>
  <si>
    <t>Icon URL</t>
  </si>
  <si>
    <t>*A01</t>
  </si>
  <si>
    <t>AA04</t>
  </si>
  <si>
    <t>*A03</t>
  </si>
  <si>
    <t>Cap, Navy</t>
  </si>
  <si>
    <t>AA01</t>
  </si>
  <si>
    <t>For sun protection or fashion?</t>
  </si>
  <si>
    <t>*A02</t>
  </si>
  <si>
    <t>https://i.postimg.cc/gc7Zb9rR/cap-navy-m.png</t>
  </si>
  <si>
    <t>AA03</t>
  </si>
  <si>
    <t>Mystery</t>
  </si>
  <si>
    <t>AB01</t>
  </si>
  <si>
    <t>AC02</t>
  </si>
  <si>
    <t>AC16</t>
  </si>
  <si>
    <t>AC13</t>
  </si>
  <si>
    <t>AC15</t>
  </si>
  <si>
    <t>https://i.postimg.cc/qqWhsKWQ/cap-navy-i.png</t>
  </si>
  <si>
    <t>AB04</t>
  </si>
  <si>
    <t>Beret, Maroon</t>
  </si>
  <si>
    <t>Oui, Oui.</t>
  </si>
  <si>
    <t>https://i.postimg.cc/pXRsY6XD/beret-maroon-m.png</t>
  </si>
  <si>
    <t>*A04</t>
  </si>
  <si>
    <t>AC07</t>
  </si>
  <si>
    <t>AC03</t>
  </si>
  <si>
    <t>https://i.postimg.cc/vHh3PtcC/beret-maroon-i.png</t>
  </si>
  <si>
    <t>Bucket Hat, Orange</t>
  </si>
  <si>
    <t>AC12</t>
  </si>
  <si>
    <t>I hear they're hip these days.</t>
  </si>
  <si>
    <t>https://i.postimg.cc/Cx6J0MCN/buckethat-orange-m.png</t>
  </si>
  <si>
    <t>AC09</t>
  </si>
  <si>
    <t>AB08</t>
  </si>
  <si>
    <t>AB18</t>
  </si>
  <si>
    <t>https://i.postimg.cc/zGfp4Hhv/buckethat-orange-i.png</t>
  </si>
  <si>
    <t>Top Hat, Black</t>
  </si>
  <si>
    <t>No pidgeons included.</t>
  </si>
  <si>
    <t>https://i.postimg.cc/j2Dnnc3L/tophat-m.png</t>
  </si>
  <si>
    <t>AC01</t>
  </si>
  <si>
    <t>https://i.postimg.cc/Dybb2CbN/tophat-i.png</t>
  </si>
  <si>
    <t>Basic</t>
  </si>
  <si>
    <t>Ribbon, Red</t>
  </si>
  <si>
    <t>A pretty bow for your pretty head.</t>
  </si>
  <si>
    <t>https://i.postimg.cc/1RKd4TxV/ribbon-red-m.png</t>
  </si>
  <si>
    <t>AC10</t>
  </si>
  <si>
    <t>AC17</t>
  </si>
  <si>
    <t>https://i.postimg.cc/bNCF9twz/ribbon-red-i.png</t>
  </si>
  <si>
    <t>reaches into the box and pulls out......... a Red Ribbon!
https://i.postimg.cc/1RKd4TxV/ribbon-red-m.png</t>
  </si>
  <si>
    <t>Ribbon, Yellow</t>
  </si>
  <si>
    <t>AB02</t>
  </si>
  <si>
    <t>An accessory for a summer day picnic.</t>
  </si>
  <si>
    <t>https://i.postimg.cc/x1Xpx1XL/ribbon-yellow-m.png</t>
  </si>
  <si>
    <t>AC08</t>
  </si>
  <si>
    <t>https://i.postimg.cc/5NNRz317/ribbon-yellow-i.png</t>
  </si>
  <si>
    <t>AC11</t>
  </si>
  <si>
    <t>reaches into the box and pulls out......... a Yellow Ribbon!
https://i.postimg.cc/x1Xpx1XL/ribbon-yellow-m.png</t>
  </si>
  <si>
    <t>Cap, Black</t>
  </si>
  <si>
    <t>AB03</t>
  </si>
  <si>
    <t>https://i.postimg.cc/nzkGG312/cap-black-m.png</t>
  </si>
  <si>
    <t>AC04</t>
  </si>
  <si>
    <t>https://i.postimg.cc/bwd8HdV4/cap-black-i.png</t>
  </si>
  <si>
    <t>AB10</t>
  </si>
  <si>
    <t>AB05</t>
  </si>
  <si>
    <t>reaches into the box and pulls out......... a Black Baseball Cap!
https://i.postimg.cc/nzkGG312/cap-black-m.png</t>
  </si>
  <si>
    <t>AC06</t>
  </si>
  <si>
    <t>Cap, Red</t>
  </si>
  <si>
    <t>https://i.postimg.cc/kGgF1W1m/cap-redwhite-m.png</t>
  </si>
  <si>
    <t>https://i.postimg.cc/jdxR2MHx/cap-redwhite-i.png</t>
  </si>
  <si>
    <t>reaches into the box and pulls out......... a Red Baseball Cap!
https://i.postimg.cc/kGgF1W1m/cap-redwhite-m.png</t>
  </si>
  <si>
    <t>Party Hat, White</t>
  </si>
  <si>
    <t>https://i.postimg.cc/651zP1x1/partyhat-white-m.png</t>
  </si>
  <si>
    <t>https://i.postimg.cc/mD1yQ37h/partyhat-white-i.png</t>
  </si>
  <si>
    <t>AB12</t>
  </si>
  <si>
    <t>reaches into the box and pulls out......... a White Party Hat!
https://i.postimg.cc/651zP1x1/partyhat-white-m.png</t>
  </si>
  <si>
    <t>Party Hat, Blue</t>
  </si>
  <si>
    <t>AB06</t>
  </si>
  <si>
    <t>https://i.postimg.cc/hvZ8Hh67/partyhat-blue-m.png</t>
  </si>
  <si>
    <t>https://i.postimg.cc/3NMC9yZ1/partyhat-blue-i.png</t>
  </si>
  <si>
    <t>AC05</t>
  </si>
  <si>
    <t>reaches into the box and pulls out......... a Blue Party Hat!
https://i.postimg.cc/hvZ8Hh67/partyhat-blue-m.png</t>
  </si>
  <si>
    <t>Party Hat, Green</t>
  </si>
  <si>
    <t>Cat URL</t>
  </si>
  <si>
    <t>AB07</t>
  </si>
  <si>
    <t>https://i.postimg.cc/B6sCFr2t/partyhat-green-m.png</t>
  </si>
  <si>
    <t>Black</t>
  </si>
  <si>
    <t>Your typical house panther.</t>
  </si>
  <si>
    <t>https://i.postimg.cc/8581pQVw/black.png</t>
  </si>
  <si>
    <t>https://i.postimg.cc/1ztHz1tG/partyhat-green-i.png</t>
  </si>
  <si>
    <t>reaches into the box and pulls out......... a Green Party Hat!
https://i.postimg.cc/B6sCFr2t/partyhat-green-m.png</t>
  </si>
  <si>
    <t>Party Hat, Red</t>
  </si>
  <si>
    <t>https://i.postimg.cc/zGbpYSJD/partyhat-red-m.png</t>
  </si>
  <si>
    <t>https://i.postimg.cc/13tRMrH0/black-i.png</t>
  </si>
  <si>
    <t>AB11</t>
  </si>
  <si>
    <t>White</t>
  </si>
  <si>
    <t>https://i.postimg.cc/VNVFrZr3/partyhat-red-i.png</t>
  </si>
  <si>
    <t>Likes to nap on blankets.</t>
  </si>
  <si>
    <t>https://i.postimg.cc/3w08Qrzd/white.png</t>
  </si>
  <si>
    <t>https://i.postimg.cc/tRZp3j4B/white-i.png</t>
  </si>
  <si>
    <t>reaches into the box and pulls out......... a Red Party Hat!
https://i.postimg.cc/zGbpYSJD/partyhat-red-m.png</t>
  </si>
  <si>
    <t>Sprout</t>
  </si>
  <si>
    <t>AB09</t>
  </si>
  <si>
    <t>https://i.postimg.cc/wvWt8Jkw/sprout-m.png</t>
  </si>
  <si>
    <t>Fashion Show</t>
  </si>
  <si>
    <t>*B04</t>
  </si>
  <si>
    <t>Grey</t>
  </si>
  <si>
    <t>Very playful.</t>
  </si>
  <si>
    <t>https://i.postimg.cc/zGczQHts/grey.png</t>
  </si>
  <si>
    <t>*B03</t>
  </si>
  <si>
    <t>https://i.postimg.cc/HLpN4NLn/sprout-i.png</t>
  </si>
  <si>
    <t>*B02</t>
  </si>
  <si>
    <t>https://i.postimg.cc/mr6dbKMn/grey-i.png</t>
  </si>
  <si>
    <t>reaches into the box and pulls out......... a Sprout!
https://i.postimg.cc/wvWt8Jkw/sprout-m.png</t>
  </si>
  <si>
    <t>Face Mask</t>
  </si>
  <si>
    <t>6 feet, please!</t>
  </si>
  <si>
    <t>https://i.postimg.cc/9fDXRSPY/facemask-m.png</t>
  </si>
  <si>
    <t>Orange</t>
  </si>
  <si>
    <t>Extremely food motivated.</t>
  </si>
  <si>
    <t>https://i.postimg.cc/JnbRt6r8/orange.png</t>
  </si>
  <si>
    <t>*B01</t>
  </si>
  <si>
    <t>https://i.postimg.cc/fbBrHv3K/facemask-i.png</t>
  </si>
  <si>
    <t>https://i.postimg.cc/vTFSGcfH/orange-i.png</t>
  </si>
  <si>
    <t>reaches into the box and pulls out......... a Disposable Face Mask!
https://i.postimg.cc/9fDXRSPY/facemask-m.png</t>
  </si>
  <si>
    <t>Barrette, Pink</t>
  </si>
  <si>
    <t>https://i.postimg.cc/3w2Bd84P/barette-pink-m.png</t>
  </si>
  <si>
    <t>Tabby, Grey</t>
  </si>
  <si>
    <t>Likes to push things off tables.</t>
  </si>
  <si>
    <t>https://i.postimg.cc/q7KbKLmF/tabby-grey.png</t>
  </si>
  <si>
    <t>reaches into the box and pulls out......... a Pink Barrette!
https://i.postimg.cc/3w2Bd84P/barette-pink-m.png</t>
  </si>
  <si>
    <t>Barrette, Purple</t>
  </si>
  <si>
    <t>AC18</t>
  </si>
  <si>
    <t>https://i.postimg.cc/Qd2m89tQ/barette-purple-m.png</t>
  </si>
  <si>
    <t>https://i.postimg.cc/gJPMHZQ2/tabby-grey-i.png</t>
  </si>
  <si>
    <t>Trade</t>
  </si>
  <si>
    <t>reaches into the box and pulls out......... a Purple Barrette!
https://i.postimg.cc/Qd2m89tQ/barette-purple-m.png</t>
  </si>
  <si>
    <t>Animals</t>
  </si>
  <si>
    <t>Bunny, Pink</t>
  </si>
  <si>
    <t>Pink and fluffy bunny ears.</t>
  </si>
  <si>
    <t>https://i.postimg.cc/g01k4Nf8/bunny-m.png</t>
  </si>
  <si>
    <t>Tabby, Brown</t>
  </si>
  <si>
    <t>Will climb anything, people included.</t>
  </si>
  <si>
    <t>https://i.postimg.cc/x1MDHVjZ/tabby-brown.png</t>
  </si>
  <si>
    <t>https://i.postimg.cc/xjpwHZdg/bunny-i.png</t>
  </si>
  <si>
    <t>https://i.postimg.cc/fT6QJRsX/tabby-brown-i.png</t>
  </si>
  <si>
    <t>reaches into the box and pulls out......... a Pink Bunny Hood!
https://i.postimg.cc/g01k4Nf8/bunny-m.png</t>
  </si>
  <si>
    <t>Bunny, Pink Bows</t>
  </si>
  <si>
    <t>Pink and fluffy bunny ears. Adorned with little bows.</t>
  </si>
  <si>
    <t>https://i.postimg.cc/J0L7Ct7h/bunny-bows-m.png</t>
  </si>
  <si>
    <t>Tabby, Orange</t>
  </si>
  <si>
    <t>Never stops meowing.</t>
  </si>
  <si>
    <t>https://i.postimg.cc/257scdZF/tabby-orange.png</t>
  </si>
  <si>
    <t>https://i.postimg.cc/3JPzfDmv/bunny-bows-i.png</t>
  </si>
  <si>
    <t>Type</t>
  </si>
  <si>
    <t>https://i.postimg.cc/9MxvVW1D/tabby-orange-i.png</t>
  </si>
  <si>
    <t>Image URL</t>
  </si>
  <si>
    <t>reaches into the box and pulls out......... a Pink Bunny Hood with Bows!
https://i.postimg.cc/J0L7Ct7h/bunny-bows-m.png</t>
  </si>
  <si>
    <t>Available</t>
  </si>
  <si>
    <t>Cost</t>
  </si>
  <si>
    <t>Bunny, Blue</t>
  </si>
  <si>
    <t>Blue and fluffy bunny ears.</t>
  </si>
  <si>
    <t>https://i.postimg.cc/C5shhYds/bunny-blue-m.png</t>
  </si>
  <si>
    <t>Tabby, Torbie</t>
  </si>
  <si>
    <t>Loves you... when they feel like it!</t>
  </si>
  <si>
    <t>https://i.postimg.cc/BZ70fCwm/tabby-torbie.png</t>
  </si>
  <si>
    <t>Cat</t>
  </si>
  <si>
    <t>https://i.postimg.cc/MKchYYMw/bunny-blue-i.png</t>
  </si>
  <si>
    <r>
      <rPr/>
      <t xml:space="preserve">reaches into the box and pulls out......... a Blue Bunny Hood!
</t>
    </r>
    <r>
      <rPr>
        <color rgb="FF1155CC"/>
        <u/>
      </rPr>
      <t>https://i.postimg.cc/C5shhYds/bunny-blue-m.png</t>
    </r>
  </si>
  <si>
    <t>Bunny, Blue Bows</t>
  </si>
  <si>
    <t>Blue and fluffy bunny ears. Adorned with little bows.</t>
  </si>
  <si>
    <t>https://i.postimg.cc/FzXV0nX5/bunny-blue-bows-m.png</t>
  </si>
  <si>
    <t>https://i.postimg.cc/SK5rxxZK/bunny-blue-bows-i.png</t>
  </si>
  <si>
    <t>https://i.postimg.cc/9F4jmq6C/tabby-torbie-i.png</t>
  </si>
  <si>
    <t>reaches into the box and pulls out......... a Blue Bunny Hood with Bows!
https://i.postimg.cc/FzXV0nX5/bunny-blue-bows-m.png</t>
  </si>
  <si>
    <t>Froggy, Green</t>
  </si>
  <si>
    <t>Ribbit.</t>
  </si>
  <si>
    <t>https://i.postimg.cc/jqHdQ6vn/froggy-m.png</t>
  </si>
  <si>
    <t>Calico, A</t>
  </si>
  <si>
    <t>*B05</t>
  </si>
  <si>
    <t>ZOOMIES.</t>
  </si>
  <si>
    <t>https://i.postimg.cc/157rKpKC/calico-a.png</t>
  </si>
  <si>
    <t>https://i.postimg.cc/Pqd30bxP/froggy-i.png</t>
  </si>
  <si>
    <t>https://i.postimg.cc/jSG6ptmy/calico-a-i.png</t>
  </si>
  <si>
    <t>reaches into the box and pulls out......... a Froggy Hood!
https://i.postimg.cc/jqHdQ6vn/froggy-m.png</t>
  </si>
  <si>
    <t>Froggy, Toad</t>
  </si>
  <si>
    <t>Croak.</t>
  </si>
  <si>
    <t>Calico, B</t>
  </si>
  <si>
    <t>https://i.postimg.cc/2S0Ggwhh/froggy-toad-m.png</t>
  </si>
  <si>
    <t>*B06</t>
  </si>
  <si>
    <t>Likes to nap upside down.</t>
  </si>
  <si>
    <t>https://i.postimg.cc/KYB7FChw/calico-b.png</t>
  </si>
  <si>
    <t>https://i.postimg.cc/sfp0qyZx/froggy-toad-i.png</t>
  </si>
  <si>
    <t>Event</t>
  </si>
  <si>
    <t>AD01</t>
  </si>
  <si>
    <t>https://i.postimg.cc/Bn8c7XYq/calico-b-i.png</t>
  </si>
  <si>
    <t>reaches into the box and pulls out......... a Toad Hood!
https://i.postimg.cc/2S0Ggwhh/froggy-toad-m.png</t>
  </si>
  <si>
    <t>Froggy, Aqua</t>
  </si>
  <si>
    <t>Is he poisonous?</t>
  </si>
  <si>
    <t>Calico, C</t>
  </si>
  <si>
    <t>*B07</t>
  </si>
  <si>
    <t>https://i.postimg.cc/xT9jskFx/froggy-aqua-m.png</t>
  </si>
  <si>
    <t>Likes sunny windowsills.</t>
  </si>
  <si>
    <t>https://i.postimg.cc/SsGWY8sG/calico-c.png</t>
  </si>
  <si>
    <t>https://i.postimg.cc/wjFCPzZL/froggy-aqua-i.png</t>
  </si>
  <si>
    <t>https://i.postimg.cc/nrcq4z9f/calico-c-i.png</t>
  </si>
  <si>
    <t>Set Reward</t>
  </si>
  <si>
    <t>AC19</t>
  </si>
  <si>
    <t>Animal</t>
  </si>
  <si>
    <t>Calico, D</t>
  </si>
  <si>
    <t>reaches into the box and pulls out......... a Aqua Froggy Hood!
https://i.postimg.cc/xT9jskFx/froggy-aqua-m.png</t>
  </si>
  <si>
    <t>*B08</t>
  </si>
  <si>
    <t>Prefers chicken over salmon.</t>
  </si>
  <si>
    <t>https://i.postimg.cc/pTvfdk2T/calico-d.png</t>
  </si>
  <si>
    <t>Ducky</t>
  </si>
  <si>
    <t>Cleaning Instructions: Hand wash in a bubble bath.</t>
  </si>
  <si>
    <t>https://i.postimg.cc/B6DZz20y/ducky-m.png</t>
  </si>
  <si>
    <t>https://i.postimg.cc/kG1KfmW6/calico-d-i.png</t>
  </si>
  <si>
    <t>https://i.postimg.cc/26K0qPxZ/ducky-i.png</t>
  </si>
  <si>
    <t>Calico, E</t>
  </si>
  <si>
    <t>*B09</t>
  </si>
  <si>
    <t>https://i.postimg.cc/85BKWgmW/calico-e.png</t>
  </si>
  <si>
    <t>reaches into the box and pulls out......... a Ducky Hood!
https://i.postimg.cc/B6DZz20y/ducky-m.png</t>
  </si>
  <si>
    <t>Teddy, Brown</t>
  </si>
  <si>
    <t>Calico, F</t>
  </si>
  <si>
    <t>Soft and cuddly.</t>
  </si>
  <si>
    <t>*B10</t>
  </si>
  <si>
    <t>https://i.postimg.cc/MGfzc1vT/teddy-m.png</t>
  </si>
  <si>
    <t>https://i.postimg.cc/QC86JYfz/calico-f.png</t>
  </si>
  <si>
    <t>Calico, G</t>
  </si>
  <si>
    <t>*B11</t>
  </si>
  <si>
    <t>https://i.postimg.cc/Ssp1JxCk/calico-g.png</t>
  </si>
  <si>
    <t>https://i.postimg.cc/9fs7jrn7/teddy-i.png</t>
  </si>
  <si>
    <t>Galaxy</t>
  </si>
  <si>
    <t>*C01</t>
  </si>
  <si>
    <t>Twinkles.</t>
  </si>
  <si>
    <t>https://i.postimg.cc/JzvYtgQJ/galaxy.png</t>
  </si>
  <si>
    <t>Calico, H</t>
  </si>
  <si>
    <t>*B12</t>
  </si>
  <si>
    <t>https://i.postimg.cc/FKSnrLfT/calico-h.png</t>
  </si>
  <si>
    <t>reaches into the box and pulls out......... a Teddy Hood!
https://i.postimg.cc/MGfzc1vT/teddy-m.png</t>
  </si>
  <si>
    <t>https://i.postimg.cc/htfgVPDp/teddy-ribbon-i.png</t>
  </si>
  <si>
    <t>https://i.postimg.cc/P5PFXh1T/galaxy-i.png</t>
  </si>
  <si>
    <t>Shop Exclusive</t>
  </si>
  <si>
    <t>Teddy, Brown Ribbon</t>
  </si>
  <si>
    <t>🐻🎀</t>
  </si>
  <si>
    <t>https://i.postimg.cc/vHPb16s4/teddy-ribbon-m.png</t>
  </si>
  <si>
    <t>*C02</t>
  </si>
  <si>
    <t>Tinkles.</t>
  </si>
  <si>
    <t>https://i.postimg.cc/8kXzS7gb/glass.png</t>
  </si>
  <si>
    <t>Glass</t>
  </si>
  <si>
    <t>reaches into the box and pulls out......... a Teddy Hood with Ribbon!
https://i.postimg.cc/vHPb16s4/teddy-ribbon-m.png</t>
  </si>
  <si>
    <t>Teddy, White</t>
  </si>
  <si>
    <t>Meadow</t>
  </si>
  <si>
    <t>*C03</t>
  </si>
  <si>
    <t>Soft and cuddly, but winter themed.</t>
  </si>
  <si>
    <t>Smells like fresh grass.</t>
  </si>
  <si>
    <t>AD02</t>
  </si>
  <si>
    <t>https://i.postimg.cc/hjFcVhd0/teddy-white-m.png</t>
  </si>
  <si>
    <t>https://i.postimg.cc/4NKNNXJR/meadow.png</t>
  </si>
  <si>
    <t>AD03</t>
  </si>
  <si>
    <t>AD04</t>
  </si>
  <si>
    <t>AD05</t>
  </si>
  <si>
    <t>Magma</t>
  </si>
  <si>
    <t>*C04</t>
  </si>
  <si>
    <t>Hot, hot, HOT!</t>
  </si>
  <si>
    <t>https://i.postimg.cc/gj7zqTH7/magma.png</t>
  </si>
  <si>
    <t>AD06</t>
  </si>
  <si>
    <t>https://i.postimg.cc/x82NcBYj/teddy-white-i.png</t>
  </si>
  <si>
    <t>AD07</t>
  </si>
  <si>
    <t>AD08</t>
  </si>
  <si>
    <t>reaches into the box and pulls out......... a White Teddy Hood!
https://i.postimg.cc/hjFcVhd0/teddy-white-m.png</t>
  </si>
  <si>
    <t>Teddy, White Ribbon</t>
  </si>
  <si>
    <t>🐻‍❄️🎀</t>
  </si>
  <si>
    <t>https://i.postimg.cc/DwMCb70Q/teddy-white-ribbon-m.png</t>
  </si>
  <si>
    <t>https://i.postimg.cc/Tw8CCQrp/teddy-white-ribbon-i.png</t>
  </si>
  <si>
    <t>Assistant</t>
  </si>
  <si>
    <t>reaches into the box and pulls out......... a White Teddy Hood with Ribbon!
https://i.postimg.cc/DwMCb70Q/teddy-white-ribbon-m.png</t>
  </si>
  <si>
    <t>Piggy</t>
  </si>
  <si>
    <t>Smells slightly like maple ham.</t>
  </si>
  <si>
    <t>https://i.postimg.cc/BQNSRqrq/piggy-m.png</t>
  </si>
  <si>
    <t>springacres</t>
  </si>
  <si>
    <t>https://i.postimg.cc/vTtg9XHr/piggy-i.png</t>
  </si>
  <si>
    <t>reaches into the box and pulls out......... a Piggy Hood!
https://i.postimg.cc/BQNSRqrq/piggy-m.png</t>
  </si>
  <si>
    <t>Cow</t>
  </si>
  <si>
    <t>Moo.</t>
  </si>
  <si>
    <t>https://i.postimg.cc/3Rqz5qKJ/cow-m.png</t>
  </si>
  <si>
    <t>https://i.postimg.cc/k5RnFLwg/cow-i.png</t>
  </si>
  <si>
    <t>reaches into the box and pulls out......... a Cow Hood!
https://i.postimg.cc/3Rqz5qKJ/cow-m.png</t>
  </si>
  <si>
    <t>Horse</t>
  </si>
  <si>
    <t>Has a very fashionable mane.</t>
  </si>
  <si>
    <t>https://i.postimg.cc/kgpjz5Ns/horse-m.png</t>
  </si>
  <si>
    <t>https://i.postimg.cc/y8dQLRRW/horse-i.png</t>
  </si>
  <si>
    <t>reaches into the box and pulls out......... a Horse Hood!
https://i.postimg.cc/kgpjz5Ns/horse-m.png</t>
  </si>
  <si>
    <t>Deer</t>
  </si>
  <si>
    <t>Loves you deer-ly.</t>
  </si>
  <si>
    <t>https://i.postimg.cc/zDR2fksZ/deer-m.png</t>
  </si>
  <si>
    <t>https://i.postimg.cc/Prs3vwHL/deer-i.png</t>
  </si>
  <si>
    <t>reaches into the box and pulls out......... a Deer Hood!
https://i.postimg.cc/zDR2fksZ/deer-m.png</t>
  </si>
  <si>
    <t>Red Panda</t>
  </si>
  <si>
    <t>Fills you with raging teenager hormones.</t>
  </si>
  <si>
    <t>https://i.postimg.cc/SxYV2K7d/redpanda-m.png</t>
  </si>
  <si>
    <t>https://i.postimg.cc/1ztk1T1T/redpanda-i.png</t>
  </si>
  <si>
    <t>reaches into the box and pulls out......... a Red Panda Hood!
https://i.postimg.cc/SxYV2K7d/redpanda-m.png</t>
  </si>
  <si>
    <t>Raccoon</t>
  </si>
  <si>
    <t>Makes you look vicious.</t>
  </si>
  <si>
    <t>https://i.postimg.cc/dVxqt5Qp/raccoon-m.png</t>
  </si>
  <si>
    <t>https://i.postimg.cc/BnC98nPP/raccoon-i.png</t>
  </si>
  <si>
    <t>reaches into the box and pulls out......... a Raccoon Hood!
https://i.postimg.cc/dVxqt5Qp/raccoon-m.png</t>
  </si>
  <si>
    <t>Froggy, Crown</t>
  </si>
  <si>
    <t xml:space="preserve">🎁 Reward.
(solemnly) Ribbit. </t>
  </si>
  <si>
    <t>https://i.postimg.cc/Gm2LCWRv/froggy-crown-m.png</t>
  </si>
  <si>
    <t>https://i.postimg.cc/R0Vrwxws/froggy-crown-i.png</t>
  </si>
  <si>
    <r>
      <rPr/>
      <t>has collected 9 hats from the Animal Hoods set and receives a Crowned Froggy hood and 50 Shards as a reward!</t>
    </r>
    <r>
      <rPr>
        <color rgb="FF000000"/>
      </rPr>
      <t xml:space="preserve">
</t>
    </r>
    <r>
      <rPr>
        <color rgb="FF1155CC"/>
        <u/>
      </rPr>
      <t>https://i.postimg.cc/Gm2LCWRv/froggy-crown-m.png</t>
    </r>
  </si>
  <si>
    <t>Unicorn</t>
  </si>
  <si>
    <t>AC20</t>
  </si>
  <si>
    <t>🎁 Reward.
Very magical!</t>
  </si>
  <si>
    <t>https://i.postimg.cc/26NVwVJc/unicorn-m.png</t>
  </si>
  <si>
    <t>https://i.postimg.cc/1t04Yy19/unicorn-i.png</t>
  </si>
  <si>
    <t>has collected 6 hats from the Basic set and receives a Basic cat colour of their choice and 50 Shards!</t>
  </si>
  <si>
    <t>April Fools 2022</t>
  </si>
  <si>
    <t>Googly Eyes</t>
  </si>
  <si>
    <t>You can make anything silly with googly eyes.</t>
  </si>
  <si>
    <t>https://i.postimg.cc/nLkLTWS0/googlyeyes-m.png</t>
  </si>
  <si>
    <t>https://i.postimg.cc/7ZppjkXz/googlyeyes-i.png</t>
  </si>
  <si>
    <t>reaches into the box and pulls out......... some Googly Eyes!
https://i.postimg.cc/nLkLTWS0/googlyeyes-m.png</t>
  </si>
  <si>
    <t>Jester Hat</t>
  </si>
  <si>
    <t>Jingles when you laugh.</t>
  </si>
  <si>
    <t>https://i.postimg.cc/jjK5HTcD/jester-a-m.png</t>
  </si>
  <si>
    <t>Food</t>
  </si>
  <si>
    <t>Fried Egg</t>
  </si>
  <si>
    <t>Pancakes</t>
  </si>
  <si>
    <t>Pancakes, Fruit</t>
  </si>
  <si>
    <t>Pancakes, Eaten</t>
  </si>
  <si>
    <t>Pancakes, Ombre</t>
  </si>
  <si>
    <t>Fruit</t>
  </si>
  <si>
    <t>Strawberry</t>
  </si>
  <si>
    <t>Birds</t>
  </si>
  <si>
    <t>Flamingo</t>
  </si>
  <si>
    <t>Swan</t>
  </si>
  <si>
    <t>Black Swan</t>
  </si>
  <si>
    <t>?</t>
  </si>
  <si>
    <t>Secretary</t>
  </si>
  <si>
    <t>Great Horned Owl</t>
  </si>
  <si>
    <t>Black-capped Chickadee</t>
  </si>
  <si>
    <t>Chestnut-backed Chickadee</t>
  </si>
  <si>
    <t>Cerulean Warbler (m)</t>
  </si>
  <si>
    <t>Cerulean Warbler (f)</t>
  </si>
  <si>
    <t>Yellow-rumped Warbler</t>
  </si>
  <si>
    <t>Blackburnian Warbler</t>
  </si>
  <si>
    <t>Hummingbird</t>
  </si>
  <si>
    <t>Barn Swallow</t>
  </si>
  <si>
    <t>Peacock</t>
  </si>
  <si>
    <t>Item</t>
  </si>
  <si>
    <t>To Do</t>
  </si>
  <si>
    <t>Test</t>
  </si>
  <si>
    <t>basic cat colours: colour point
fashion show
finish birds hat collection
finish food hat collection
which hat collection is up next?</t>
  </si>
  <si>
    <t>Silv: Cat loaf extraordinaire; Your early morning alarm clock; Wants in, no, out!  Wait, maybe in; The monster under your bed; Zoom, zoom, zoomies!; If I fits, I sits; Wants exactly two and a half pets; The perfect pillow is your face; The perfect pillow is whatever you're working on right now; Purr machine; All your foods are belong to us; Boss of the whole wide world; Curiosity incarnate; Only knows how to climb up; Ghost in the attic; Every day is lazy day; Currently training for the Olympics.</t>
  </si>
  <si>
    <t>Spring: The perfect pillow is your arm; The perfect pillow is your chest;  The perfect pillow is wherever you were going to sit next; All your furniture are belong to us; I KILL FEET!; The perfect pillow is right next to you; BATHS ARE EVIL; Nail clippers?  No, torture device!</t>
  </si>
  <si>
    <t>uncatagorized</t>
  </si>
  <si>
    <t>shard shop</t>
  </si>
  <si>
    <t>fruit</t>
  </si>
  <si>
    <t>drinks</t>
  </si>
  <si>
    <t>food</t>
  </si>
  <si>
    <t>water animals</t>
  </si>
  <si>
    <t>Costume</t>
  </si>
  <si>
    <t>wigs</t>
  </si>
  <si>
    <t>streetwear</t>
  </si>
  <si>
    <t>winter</t>
  </si>
  <si>
    <t>cottagecore</t>
  </si>
  <si>
    <t>animals pt 2</t>
  </si>
  <si>
    <t>birds</t>
  </si>
  <si>
    <t>Lime Slice</t>
  </si>
  <si>
    <t>Tea Bag Tag</t>
  </si>
  <si>
    <t>Sunny Side Up</t>
  </si>
  <si>
    <t>axolotl</t>
  </si>
  <si>
    <t>Witch</t>
  </si>
  <si>
    <t>Headphones</t>
  </si>
  <si>
    <t>Earmuffs</t>
  </si>
  <si>
    <t>Flower petal hat</t>
  </si>
  <si>
    <t>pastel pink racoon</t>
  </si>
  <si>
    <t>dove with olive crown</t>
  </si>
  <si>
    <t>Lemon Slice</t>
  </si>
  <si>
    <t>Spaghetti</t>
  </si>
  <si>
    <t>crab</t>
  </si>
  <si>
    <t>Halo</t>
  </si>
  <si>
    <t>Headband</t>
  </si>
  <si>
    <t>Flower Crown</t>
  </si>
  <si>
    <t>cherry on top</t>
  </si>
  <si>
    <t>Corn</t>
  </si>
  <si>
    <t>shark</t>
  </si>
  <si>
    <t>Horns</t>
  </si>
  <si>
    <t>Straw Hat</t>
  </si>
  <si>
    <t>watermelon</t>
  </si>
  <si>
    <t>Yam</t>
  </si>
  <si>
    <t>fish</t>
  </si>
  <si>
    <t>Masquerade</t>
  </si>
  <si>
    <t>Glasses</t>
  </si>
  <si>
    <t>mini broccoli clips</t>
  </si>
  <si>
    <t>fish eating head</t>
  </si>
  <si>
    <t>Flame</t>
  </si>
  <si>
    <t>sunglasses</t>
  </si>
  <si>
    <t>ice cream</t>
  </si>
  <si>
    <t>knight's helm</t>
  </si>
  <si>
    <t>headband</t>
  </si>
  <si>
    <t>taiyaki?</t>
  </si>
  <si>
    <t>All Owned Hats</t>
  </si>
  <si>
    <t>Hat</t>
  </si>
  <si>
    <t>Count</t>
  </si>
  <si>
    <t>Image</t>
  </si>
  <si>
    <t/>
  </si>
  <si>
    <t>IF(C17, image(Hats!$F$18, 3), )</t>
  </si>
  <si>
    <t>IF(G17, image(Hats!$F$19, 3), )</t>
  </si>
  <si>
    <t>IF(K17, image(Hats!$F$20, 3), )</t>
  </si>
  <si>
    <t>IF(K17, image(Hats!$F$21, 3), )</t>
  </si>
  <si>
    <t>Hats!$C$23</t>
  </si>
  <si>
    <t>Hats!$C$24</t>
  </si>
  <si>
    <t>Hats!$C$25</t>
  </si>
  <si>
    <t>Hats!$C$26</t>
  </si>
  <si>
    <t>Hats!$C$27</t>
  </si>
  <si>
    <t>Hats!$C$28</t>
  </si>
  <si>
    <t>Hats!$C$29</t>
  </si>
  <si>
    <t>Hats!$C$30</t>
  </si>
</sst>
</file>

<file path=xl/styles.xml><?xml version="1.0" encoding="utf-8"?>
<styleSheet xmlns="http://schemas.openxmlformats.org/spreadsheetml/2006/main" xmlns:x14ac="http://schemas.microsoft.com/office/spreadsheetml/2009/9/ac" xmlns:mc="http://schemas.openxmlformats.org/markup-compatibility/2006">
  <fonts count="39">
    <font>
      <sz val="10.0"/>
      <color rgb="FF000000"/>
      <name val="Arial"/>
      <scheme val="minor"/>
    </font>
    <font>
      <color theme="1"/>
      <name val="Ubuntu"/>
    </font>
    <font>
      <color theme="1"/>
      <name val="Arial"/>
    </font>
    <font>
      <sz val="14.0"/>
      <color theme="1"/>
      <name val="Merriweather"/>
    </font>
    <font>
      <sz val="14.0"/>
      <color rgb="FF000000"/>
      <name val="Merriweather"/>
    </font>
    <font>
      <sz val="11.0"/>
      <color rgb="FF000000"/>
      <name val="Ubuntu"/>
    </font>
    <font>
      <sz val="24.0"/>
      <color theme="1"/>
      <name val="Ubuntu"/>
    </font>
    <font/>
    <font>
      <sz val="12.0"/>
      <color rgb="FF000000"/>
      <name val="Ubuntu"/>
    </font>
    <font>
      <sz val="12.0"/>
      <color theme="1"/>
      <name val="Ubuntu"/>
    </font>
    <font>
      <color rgb="FF666666"/>
      <name val="Ubuntu"/>
    </font>
    <font>
      <sz val="10.0"/>
      <color rgb="FF000000"/>
      <name val="Ubuntu"/>
    </font>
    <font>
      <color theme="1"/>
      <name val="Arial"/>
      <scheme val="minor"/>
    </font>
    <font>
      <sz val="24.0"/>
      <color theme="1"/>
      <name val="Pacifico"/>
    </font>
    <font>
      <color theme="1"/>
      <name val="Inconsolata"/>
    </font>
    <font>
      <sz val="11.0"/>
      <color theme="1"/>
      <name val="Merriweather"/>
    </font>
    <font>
      <sz val="14.0"/>
      <color theme="1"/>
      <name val="Ubuntu"/>
    </font>
    <font>
      <sz val="14.0"/>
      <color theme="1"/>
      <name val="Arial"/>
      <scheme val="minor"/>
    </font>
    <font>
      <sz val="10.0"/>
      <color theme="1"/>
      <name val="Ubuntu"/>
    </font>
    <font>
      <u/>
      <color rgb="FF0000FF"/>
    </font>
    <font>
      <u/>
      <color rgb="FF0000FF"/>
    </font>
    <font>
      <u/>
      <color rgb="FF1155CC"/>
    </font>
    <font>
      <u/>
      <color rgb="FF0000FF"/>
    </font>
    <font>
      <u/>
      <color rgb="FF1155CC"/>
    </font>
    <font>
      <u/>
      <color rgb="FF0000FF"/>
      <name val="Ubuntu"/>
    </font>
    <font>
      <u/>
      <color rgb="FF0000FF"/>
    </font>
    <font>
      <u/>
      <color rgb="FF0000FF"/>
    </font>
    <font>
      <u/>
      <color rgb="FF0000FF"/>
    </font>
    <font>
      <u/>
      <color rgb="FF1155CC"/>
    </font>
    <font>
      <u/>
      <color rgb="FF0000FF"/>
    </font>
    <font>
      <u/>
      <color rgb="FF0000FF"/>
    </font>
    <font>
      <u/>
      <color rgb="FF0000FF"/>
    </font>
    <font>
      <u/>
      <color rgb="FF1155CC"/>
      <name val="Arial"/>
      <scheme val="minor"/>
    </font>
    <font>
      <sz val="10.0"/>
      <color theme="1"/>
      <name val="Arial"/>
      <scheme val="minor"/>
    </font>
    <font>
      <color rgb="FF000000"/>
      <name val="Ubuntu"/>
    </font>
    <font>
      <b/>
      <sz val="12.0"/>
      <color theme="1"/>
      <name val="Arial"/>
      <scheme val="minor"/>
    </font>
    <font>
      <sz val="11.0"/>
      <color rgb="FF000000"/>
      <name val="Inconsolata"/>
    </font>
    <font>
      <sz val="11.0"/>
      <color rgb="FF198639"/>
      <name val="Monospace"/>
    </font>
    <font>
      <sz val="11.0"/>
      <color rgb="FFF7981D"/>
      <name val="Inconsolata"/>
    </font>
  </fonts>
  <fills count="16">
    <fill>
      <patternFill patternType="none"/>
    </fill>
    <fill>
      <patternFill patternType="lightGray"/>
    </fill>
    <fill>
      <patternFill patternType="solid">
        <fgColor rgb="FFE1ECF0"/>
        <bgColor rgb="FFE1ECF0"/>
      </patternFill>
    </fill>
    <fill>
      <patternFill patternType="solid">
        <fgColor rgb="FFDDDBEB"/>
        <bgColor rgb="FFDDDBEB"/>
      </patternFill>
    </fill>
    <fill>
      <patternFill patternType="solid">
        <fgColor rgb="FFF8FBFC"/>
        <bgColor rgb="FFF8FBFC"/>
      </patternFill>
    </fill>
    <fill>
      <patternFill patternType="solid">
        <fgColor rgb="FFF7E8E9"/>
        <bgColor rgb="FFF7E8E9"/>
      </patternFill>
    </fill>
    <fill>
      <patternFill patternType="solid">
        <fgColor rgb="FFFAF8FC"/>
        <bgColor rgb="FFFAF8FC"/>
      </patternFill>
    </fill>
    <fill>
      <patternFill patternType="solid">
        <fgColor rgb="FFFFFFFF"/>
        <bgColor rgb="FFFFFFFF"/>
      </patternFill>
    </fill>
    <fill>
      <patternFill patternType="solid">
        <fgColor rgb="FFFCF8F8"/>
        <bgColor rgb="FFFCF8F8"/>
      </patternFill>
    </fill>
    <fill>
      <patternFill patternType="solid">
        <fgColor rgb="FFF7F3E8"/>
        <bgColor rgb="FFF7F3E8"/>
      </patternFill>
    </fill>
    <fill>
      <patternFill patternType="solid">
        <fgColor rgb="FFFCFCF8"/>
        <bgColor rgb="FFFCFCF8"/>
      </patternFill>
    </fill>
    <fill>
      <patternFill patternType="solid">
        <fgColor rgb="FFD6DDCA"/>
        <bgColor rgb="FFD6DDCA"/>
      </patternFill>
    </fill>
    <fill>
      <patternFill patternType="solid">
        <fgColor rgb="FFF8FAF2"/>
        <bgColor rgb="FFF8FAF2"/>
      </patternFill>
    </fill>
    <fill>
      <patternFill patternType="solid">
        <fgColor rgb="FFD9D9D9"/>
        <bgColor rgb="FFD9D9D9"/>
      </patternFill>
    </fill>
    <fill>
      <patternFill patternType="solid">
        <fgColor rgb="FFD9EAD3"/>
        <bgColor rgb="FFD9EAD3"/>
      </patternFill>
    </fill>
    <fill>
      <patternFill patternType="solid">
        <fgColor rgb="FFF4CCCC"/>
        <bgColor rgb="FFF4CCCC"/>
      </patternFill>
    </fill>
  </fills>
  <borders count="44">
    <border/>
    <border>
      <left style="thick">
        <color rgb="FFA4BFCA"/>
      </left>
      <top style="thick">
        <color rgb="FFA4BFCA"/>
      </top>
    </border>
    <border>
      <left style="thick">
        <color rgb="FFB6B3CA"/>
      </left>
      <top style="thick">
        <color rgb="FFB6B3CA"/>
      </top>
    </border>
    <border>
      <left style="thick">
        <color rgb="FFCAABB1"/>
      </left>
      <top style="thick">
        <color rgb="FFCAABB1"/>
      </top>
    </border>
    <border>
      <top style="thick">
        <color rgb="FFCAABB1"/>
      </top>
    </border>
    <border>
      <top style="thick">
        <color rgb="FFA4BFCA"/>
      </top>
    </border>
    <border>
      <top style="thick">
        <color rgb="FFB6B3CA"/>
      </top>
    </border>
    <border>
      <right style="thick">
        <color rgb="FFCAABB1"/>
      </right>
      <top style="thick">
        <color rgb="FFCAABB1"/>
      </top>
    </border>
    <border>
      <right style="thick">
        <color rgb="FFB6B3CA"/>
      </right>
      <top style="thick">
        <color rgb="FFB6B3CA"/>
      </top>
    </border>
    <border>
      <left style="thick">
        <color rgb="FFCAABB1"/>
      </left>
    </border>
    <border>
      <right style="thick">
        <color rgb="FFB6B3CA"/>
      </right>
    </border>
    <border>
      <left style="thick">
        <color rgb="FFB6B3CA"/>
      </left>
    </border>
    <border>
      <right style="thick">
        <color rgb="FFA4BFCA"/>
      </right>
      <top style="thick">
        <color rgb="FFA4BFCA"/>
      </top>
    </border>
    <border>
      <left style="thick">
        <color rgb="FFCABDAB"/>
      </left>
      <top style="thick">
        <color rgb="FFCABDAB"/>
      </top>
    </border>
    <border>
      <top style="thick">
        <color rgb="FFCABDAB"/>
      </top>
    </border>
    <border>
      <right style="thick">
        <color rgb="FFCAABB1"/>
      </right>
    </border>
    <border>
      <left style="thick">
        <color rgb="FFA4BFCA"/>
      </left>
    </border>
    <border>
      <right style="thick">
        <color rgb="FFCABDAB"/>
      </right>
      <top style="thick">
        <color rgb="FFCABDAB"/>
      </top>
    </border>
    <border>
      <left style="thick">
        <color rgb="FFCABDAB"/>
      </left>
    </border>
    <border>
      <right style="thick">
        <color rgb="FFA4BFCA"/>
      </right>
    </border>
    <border>
      <right style="thick">
        <color rgb="FFCABDAB"/>
      </right>
    </border>
    <border>
      <left style="thick">
        <color rgb="FFB6B3CA"/>
      </left>
      <bottom style="thick">
        <color rgb="FFB6B3CA"/>
      </bottom>
    </border>
    <border>
      <bottom style="thick">
        <color rgb="FFB6B3CA"/>
      </bottom>
    </border>
    <border>
      <right style="thick">
        <color rgb="FFB6B3CA"/>
      </right>
      <bottom style="thick">
        <color rgb="FFB6B3CA"/>
      </bottom>
    </border>
    <border>
      <left style="thick">
        <color rgb="FFA4BFCA"/>
      </left>
      <bottom style="thick">
        <color rgb="FFA4BFCA"/>
      </bottom>
    </border>
    <border>
      <bottom style="thick">
        <color rgb="FFA4BFCA"/>
      </bottom>
    </border>
    <border>
      <right style="thick">
        <color rgb="FFA4BFCA"/>
      </right>
      <bottom style="thick">
        <color rgb="FFA4BFCA"/>
      </bottom>
    </border>
    <border>
      <left style="thick">
        <color rgb="FFCAABB1"/>
      </left>
      <bottom style="thick">
        <color rgb="FFCAABB1"/>
      </bottom>
    </border>
    <border>
      <bottom style="thick">
        <color rgb="FFCAABB1"/>
      </bottom>
    </border>
    <border>
      <right style="thick">
        <color rgb="FFCAABB1"/>
      </right>
      <bottom style="thick">
        <color rgb="FFCAABB1"/>
      </bottom>
    </border>
    <border>
      <left style="thick">
        <color rgb="FFCABDAB"/>
      </left>
      <bottom style="thick">
        <color rgb="FFCABDAB"/>
      </bottom>
    </border>
    <border>
      <bottom style="thick">
        <color rgb="FFCABDAB"/>
      </bottom>
    </border>
    <border>
      <right style="thick">
        <color rgb="FFCABDAB"/>
      </right>
      <bottom style="thick">
        <color rgb="FFCABDAB"/>
      </bottom>
    </border>
    <border>
      <left style="double">
        <color rgb="FF627257"/>
      </left>
      <top style="double">
        <color rgb="FF627257"/>
      </top>
    </border>
    <border>
      <top style="double">
        <color rgb="FF627257"/>
      </top>
    </border>
    <border>
      <right style="double">
        <color rgb="FF627257"/>
      </right>
      <top style="double">
        <color rgb="FF627257"/>
      </top>
    </border>
    <border>
      <left style="double">
        <color rgb="FF627257"/>
      </left>
    </border>
    <border>
      <right style="double">
        <color rgb="FF627257"/>
      </right>
    </border>
    <border>
      <left style="double">
        <color rgb="FF627257"/>
      </left>
      <bottom style="double">
        <color rgb="FF627257"/>
      </bottom>
    </border>
    <border>
      <bottom style="double">
        <color rgb="FF627257"/>
      </bottom>
    </border>
    <border>
      <top style="thick">
        <color rgb="FFA4BFCA"/>
      </top>
      <bottom style="thick">
        <color rgb="FFA4BFCA"/>
      </bottom>
    </border>
    <border>
      <right style="double">
        <color rgb="FF627257"/>
      </right>
      <bottom style="double">
        <color rgb="FF627257"/>
      </bottom>
    </border>
    <border>
      <bottom style="thin">
        <color rgb="FF000000"/>
      </bottom>
    </border>
    <border>
      <top style="thin">
        <color rgb="FF000000"/>
      </top>
    </border>
  </borders>
  <cellStyleXfs count="1">
    <xf borderId="0" fillId="0" fontId="0" numFmtId="0" applyAlignment="1" applyFont="1"/>
  </cellStyleXfs>
  <cellXfs count="206">
    <xf borderId="0" fillId="0" fontId="0" numFmtId="0" xfId="0" applyAlignment="1" applyFont="1">
      <alignment readingOrder="0" shrinkToFit="0" vertical="bottom" wrapText="0"/>
    </xf>
    <xf borderId="0" fillId="2" fontId="1" numFmtId="0" xfId="0" applyFill="1" applyFont="1"/>
    <xf borderId="0" fillId="0" fontId="2" numFmtId="0" xfId="0" applyAlignment="1" applyFont="1">
      <alignment vertical="bottom"/>
    </xf>
    <xf borderId="0" fillId="3" fontId="1" numFmtId="0" xfId="0" applyFill="1" applyFont="1"/>
    <xf borderId="1" fillId="4" fontId="1" numFmtId="0" xfId="0" applyAlignment="1" applyBorder="1" applyFill="1" applyFont="1">
      <alignment readingOrder="0"/>
    </xf>
    <xf borderId="0" fillId="5" fontId="1" numFmtId="0" xfId="0" applyFill="1" applyFont="1"/>
    <xf borderId="2" fillId="6" fontId="1" numFmtId="0" xfId="0" applyAlignment="1" applyBorder="1" applyFill="1" applyFont="1">
      <alignment readingOrder="0"/>
    </xf>
    <xf borderId="0" fillId="0" fontId="3" numFmtId="0" xfId="0" applyAlignment="1" applyFont="1">
      <alignment readingOrder="0" shrinkToFit="0" vertical="bottom" wrapText="1"/>
    </xf>
    <xf borderId="0" fillId="7" fontId="4" numFmtId="0" xfId="0" applyAlignment="1" applyFill="1" applyFont="1">
      <alignment horizontal="left" readingOrder="0"/>
    </xf>
    <xf borderId="0" fillId="7" fontId="5" numFmtId="0" xfId="0" applyAlignment="1" applyFill="1" applyFont="1">
      <alignment horizontal="left" readingOrder="0" shrinkToFit="0" wrapText="1"/>
    </xf>
    <xf borderId="3" fillId="8" fontId="1" numFmtId="0" xfId="0" applyAlignment="1" applyBorder="1" applyFill="1" applyFont="1">
      <alignment readingOrder="0"/>
    </xf>
    <xf borderId="4" fillId="8" fontId="6" numFmtId="0" xfId="0" applyAlignment="1" applyBorder="1" applyFill="1" applyFont="1">
      <alignment horizontal="center" readingOrder="0"/>
    </xf>
    <xf borderId="5" fillId="4" fontId="6" numFmtId="0" xfId="0" applyAlignment="1" applyBorder="1" applyFill="1" applyFont="1">
      <alignment horizontal="center" readingOrder="0"/>
    </xf>
    <xf borderId="6" fillId="6" fontId="6" numFmtId="0" xfId="0" applyAlignment="1" applyBorder="1" applyFill="1" applyFont="1">
      <alignment horizontal="center" readingOrder="0"/>
    </xf>
    <xf borderId="4" fillId="0" fontId="7" numFmtId="0" xfId="0" applyBorder="1" applyFont="1"/>
    <xf borderId="6" fillId="0" fontId="7" numFmtId="0" xfId="0" applyBorder="1" applyFont="1"/>
    <xf borderId="5" fillId="0" fontId="7" numFmtId="0" xfId="0" applyBorder="1" applyFont="1"/>
    <xf borderId="7" fillId="8" fontId="1" numFmtId="0" xfId="0" applyAlignment="1" applyBorder="1" applyFill="1" applyFont="1">
      <alignment readingOrder="0"/>
    </xf>
    <xf borderId="0" fillId="5" fontId="2" numFmtId="0" xfId="0" applyAlignment="1" applyFill="1" applyFont="1">
      <alignment vertical="bottom"/>
    </xf>
    <xf borderId="8" fillId="6" fontId="1" numFmtId="0" xfId="0" applyAlignment="1" applyBorder="1" applyFill="1" applyFont="1">
      <alignment readingOrder="0"/>
    </xf>
    <xf borderId="9" fillId="8" fontId="2" numFmtId="0" xfId="0" applyAlignment="1" applyBorder="1" applyFill="1" applyFont="1">
      <alignment vertical="bottom"/>
    </xf>
    <xf borderId="10" fillId="3" fontId="2" numFmtId="0" xfId="0" applyAlignment="1" applyBorder="1" applyFill="1" applyFont="1">
      <alignment vertical="bottom"/>
    </xf>
    <xf borderId="0" fillId="8" fontId="2" numFmtId="0" xfId="0" applyAlignment="1" applyFill="1" applyFont="1">
      <alignment vertical="bottom"/>
    </xf>
    <xf borderId="0" fillId="6" fontId="2" numFmtId="0" xfId="0" applyAlignment="1" applyFill="1" applyFont="1">
      <alignment vertical="bottom"/>
    </xf>
    <xf borderId="0" fillId="8" fontId="2" numFmtId="0" xfId="0" applyAlignment="1" applyFill="1" applyFont="1">
      <alignment horizontal="center" vertical="bottom"/>
    </xf>
    <xf borderId="0" fillId="9" fontId="1" numFmtId="0" xfId="0" applyFill="1" applyFont="1"/>
    <xf borderId="10" fillId="6" fontId="2" numFmtId="0" xfId="0" applyAlignment="1" applyBorder="1" applyFill="1" applyFont="1">
      <alignment vertical="bottom"/>
    </xf>
    <xf borderId="0" fillId="3" fontId="2" numFmtId="0" xfId="0" applyAlignment="1" applyFill="1" applyFont="1">
      <alignment vertical="bottom"/>
    </xf>
    <xf borderId="11" fillId="6" fontId="1" numFmtId="0" xfId="0" applyBorder="1" applyFill="1" applyFont="1"/>
    <xf borderId="12" fillId="4" fontId="1" numFmtId="0" xfId="0" applyAlignment="1" applyBorder="1" applyFill="1" applyFont="1">
      <alignment readingOrder="0"/>
    </xf>
    <xf borderId="13" fillId="10" fontId="1" numFmtId="0" xfId="0" applyAlignment="1" applyBorder="1" applyFill="1" applyFont="1">
      <alignment readingOrder="0"/>
    </xf>
    <xf borderId="0" fillId="8" fontId="8" numFmtId="14" xfId="0" applyAlignment="1" applyFill="1" applyFont="1" applyNumberFormat="1">
      <alignment horizontal="center" readingOrder="0" vertical="center"/>
    </xf>
    <xf borderId="0" fillId="6" fontId="5" numFmtId="0" xfId="0" applyAlignment="1" applyFill="1" applyFont="1">
      <alignment horizontal="center" vertical="center"/>
    </xf>
    <xf borderId="14" fillId="10" fontId="6" numFmtId="0" xfId="0" applyAlignment="1" applyBorder="1" applyFill="1" applyFont="1">
      <alignment horizontal="center" readingOrder="0"/>
    </xf>
    <xf borderId="0" fillId="2" fontId="2" numFmtId="0" xfId="0" applyAlignment="1" applyFill="1" applyFont="1">
      <alignment vertical="bottom"/>
    </xf>
    <xf borderId="15" fillId="8" fontId="2" numFmtId="0" xfId="0" applyAlignment="1" applyBorder="1" applyFill="1" applyFont="1">
      <alignment vertical="bottom"/>
    </xf>
    <xf borderId="14" fillId="0" fontId="7" numFmtId="0" xfId="0" applyBorder="1" applyFont="1"/>
    <xf borderId="16" fillId="4" fontId="2" numFmtId="0" xfId="0" applyAlignment="1" applyBorder="1" applyFill="1" applyFont="1">
      <alignment vertical="bottom"/>
    </xf>
    <xf borderId="0" fillId="6" fontId="9" numFmtId="0" xfId="0" applyAlignment="1" applyFill="1" applyFont="1">
      <alignment readingOrder="0"/>
    </xf>
    <xf borderId="0" fillId="8" fontId="2" numFmtId="0" xfId="0" applyAlignment="1" applyFill="1" applyFont="1">
      <alignment readingOrder="0" vertical="bottom"/>
    </xf>
    <xf borderId="17" fillId="10" fontId="1" numFmtId="0" xfId="0" applyAlignment="1" applyBorder="1" applyFill="1" applyFont="1">
      <alignment readingOrder="0"/>
    </xf>
    <xf borderId="0" fillId="4" fontId="2" numFmtId="0" xfId="0" applyAlignment="1" applyFill="1" applyFont="1">
      <alignment vertical="bottom"/>
    </xf>
    <xf borderId="0" fillId="6" fontId="1" numFmtId="0" xfId="0" applyFill="1" applyFont="1"/>
    <xf borderId="0" fillId="8" fontId="1" numFmtId="0" xfId="0" applyAlignment="1" applyFill="1" applyFont="1">
      <alignment readingOrder="0" vertical="bottom"/>
    </xf>
    <xf borderId="0" fillId="9" fontId="2" numFmtId="0" xfId="0" applyAlignment="1" applyFill="1" applyFont="1">
      <alignment vertical="bottom"/>
    </xf>
    <xf borderId="18" fillId="10" fontId="2" numFmtId="0" xfId="0" applyAlignment="1" applyBorder="1" applyFill="1" applyFont="1">
      <alignment vertical="bottom"/>
    </xf>
    <xf borderId="0" fillId="10" fontId="2" numFmtId="0" xfId="0" applyAlignment="1" applyFill="1" applyFont="1">
      <alignment vertical="bottom"/>
    </xf>
    <xf borderId="19" fillId="4" fontId="2" numFmtId="0" xfId="0" applyAlignment="1" applyBorder="1" applyFill="1" applyFont="1">
      <alignment vertical="bottom"/>
    </xf>
    <xf borderId="9" fillId="8" fontId="1" numFmtId="0" xfId="0" applyBorder="1" applyFill="1" applyFont="1"/>
    <xf borderId="20" fillId="10" fontId="2" numFmtId="0" xfId="0" applyAlignment="1" applyBorder="1" applyFill="1" applyFont="1">
      <alignment vertical="bottom"/>
    </xf>
    <xf borderId="16" fillId="4" fontId="1" numFmtId="0" xfId="0" applyBorder="1" applyFill="1" applyFont="1"/>
    <xf borderId="18" fillId="10" fontId="1" numFmtId="0" xfId="0" applyBorder="1" applyFill="1" applyFont="1"/>
    <xf borderId="0" fillId="8" fontId="5" numFmtId="0" xfId="0" applyAlignment="1" applyFill="1" applyFont="1">
      <alignment horizontal="center" vertical="center"/>
    </xf>
    <xf borderId="0" fillId="8" fontId="1" numFmtId="0" xfId="0" applyFill="1" applyFont="1"/>
    <xf borderId="0" fillId="10" fontId="5" numFmtId="0" xfId="0" applyAlignment="1" applyFill="1" applyFont="1">
      <alignment horizontal="center" vertical="center"/>
    </xf>
    <xf borderId="10" fillId="6" fontId="1" numFmtId="0" xfId="0" applyBorder="1" applyFill="1" applyFont="1"/>
    <xf borderId="0" fillId="4" fontId="5" numFmtId="0" xfId="0" applyAlignment="1" applyFill="1" applyFont="1">
      <alignment horizontal="center" vertical="center"/>
    </xf>
    <xf borderId="0" fillId="10" fontId="9" numFmtId="0" xfId="0" applyAlignment="1" applyFill="1" applyFont="1">
      <alignment readingOrder="0"/>
    </xf>
    <xf borderId="0" fillId="6" fontId="10" numFmtId="0" xfId="0" applyAlignment="1" applyFill="1" applyFont="1">
      <alignment readingOrder="0"/>
    </xf>
    <xf borderId="0" fillId="10" fontId="1" numFmtId="0" xfId="0" applyFill="1" applyFont="1"/>
    <xf borderId="0" fillId="4" fontId="9" numFmtId="0" xfId="0" applyAlignment="1" applyFill="1" applyFont="1">
      <alignment readingOrder="0"/>
    </xf>
    <xf borderId="0" fillId="4" fontId="1" numFmtId="0" xfId="0" applyFill="1" applyFont="1"/>
    <xf borderId="0" fillId="6" fontId="1" numFmtId="0" xfId="0" applyAlignment="1" applyFill="1" applyFont="1">
      <alignment readingOrder="0" shrinkToFit="0" vertical="top" wrapText="1"/>
    </xf>
    <xf borderId="15" fillId="8" fontId="1" numFmtId="0" xfId="0" applyBorder="1" applyFill="1" applyFont="1"/>
    <xf borderId="0" fillId="8" fontId="5" numFmtId="0" xfId="0" applyAlignment="1" applyFill="1" applyFont="1">
      <alignment horizontal="center" readingOrder="0" vertical="center"/>
    </xf>
    <xf borderId="21" fillId="6" fontId="1" numFmtId="0" xfId="0" applyBorder="1" applyFill="1" applyFont="1"/>
    <xf borderId="0" fillId="5" fontId="1" numFmtId="0" xfId="0" applyAlignment="1" applyFill="1" applyFont="1">
      <alignment vertical="center"/>
    </xf>
    <xf borderId="22" fillId="6" fontId="1" numFmtId="0" xfId="0" applyBorder="1" applyFill="1" applyFont="1"/>
    <xf borderId="9" fillId="8" fontId="1" numFmtId="0" xfId="0" applyAlignment="1" applyBorder="1" applyFill="1" applyFont="1">
      <alignment vertical="center"/>
    </xf>
    <xf borderId="22" fillId="6" fontId="9" numFmtId="0" xfId="0" applyAlignment="1" applyBorder="1" applyFill="1" applyFont="1">
      <alignment readingOrder="0"/>
    </xf>
    <xf borderId="20" fillId="10" fontId="1" numFmtId="0" xfId="0" applyBorder="1" applyFill="1" applyFont="1"/>
    <xf borderId="23" fillId="6" fontId="1" numFmtId="0" xfId="0" applyBorder="1" applyFill="1" applyFont="1"/>
    <xf borderId="0" fillId="8" fontId="2" numFmtId="0" xfId="0" applyAlignment="1" applyFill="1" applyFont="1">
      <alignment horizontal="right" vertical="center"/>
    </xf>
    <xf borderId="0" fillId="10" fontId="10" numFmtId="0" xfId="0" applyAlignment="1" applyFill="1" applyFont="1">
      <alignment readingOrder="0"/>
    </xf>
    <xf borderId="0" fillId="8" fontId="2" numFmtId="0" xfId="0" applyAlignment="1" applyFill="1" applyFont="1">
      <alignment vertical="center"/>
    </xf>
    <xf borderId="0" fillId="8" fontId="1" numFmtId="0" xfId="0" applyAlignment="1" applyFill="1" applyFont="1">
      <alignment vertical="center"/>
    </xf>
    <xf borderId="0" fillId="6" fontId="1" numFmtId="0" xfId="0" applyAlignment="1" applyFill="1" applyFont="1">
      <alignment readingOrder="0" vertical="bottom"/>
    </xf>
    <xf borderId="0" fillId="8" fontId="1" numFmtId="0" xfId="0" applyAlignment="1" applyFill="1" applyFont="1">
      <alignment shrinkToFit="0" vertical="center" wrapText="1"/>
    </xf>
    <xf borderId="19" fillId="4" fontId="1" numFmtId="0" xfId="0" applyBorder="1" applyFill="1" applyFont="1"/>
    <xf borderId="0" fillId="10" fontId="1" numFmtId="0" xfId="0" applyAlignment="1" applyFill="1" applyFont="1">
      <alignment readingOrder="0" shrinkToFit="0" vertical="top" wrapText="1"/>
    </xf>
    <xf borderId="0" fillId="4" fontId="10" numFmtId="0" xfId="0" applyAlignment="1" applyFill="1" applyFont="1">
      <alignment readingOrder="0"/>
    </xf>
    <xf borderId="0" fillId="8" fontId="5" numFmtId="0" xfId="0" applyAlignment="1" applyFill="1" applyFont="1">
      <alignment horizontal="right" vertical="center"/>
    </xf>
    <xf borderId="0" fillId="4" fontId="1" numFmtId="0" xfId="0" applyAlignment="1" applyFill="1" applyFont="1">
      <alignment readingOrder="0" shrinkToFit="0" vertical="top" wrapText="1"/>
    </xf>
    <xf borderId="15" fillId="8" fontId="1" numFmtId="0" xfId="0" applyAlignment="1" applyBorder="1" applyFill="1" applyFont="1">
      <alignment vertical="center"/>
    </xf>
    <xf borderId="24" fillId="4" fontId="1" numFmtId="0" xfId="0" applyBorder="1" applyFill="1" applyFont="1"/>
    <xf borderId="25" fillId="4" fontId="1" numFmtId="0" xfId="0" applyBorder="1" applyFill="1" applyFont="1"/>
    <xf borderId="25" fillId="4" fontId="9" numFmtId="0" xfId="0" applyAlignment="1" applyBorder="1" applyFill="1" applyFont="1">
      <alignment readingOrder="0"/>
    </xf>
    <xf borderId="26" fillId="4" fontId="1" numFmtId="0" xfId="0" applyBorder="1" applyFill="1" applyFont="1"/>
    <xf borderId="27" fillId="8" fontId="1" numFmtId="0" xfId="0" applyBorder="1" applyFill="1" applyFont="1"/>
    <xf borderId="28" fillId="8" fontId="1" numFmtId="0" xfId="0" applyBorder="1" applyFill="1" applyFont="1"/>
    <xf borderId="28" fillId="8" fontId="9" numFmtId="0" xfId="0" applyAlignment="1" applyBorder="1" applyFill="1" applyFont="1">
      <alignment readingOrder="0"/>
    </xf>
    <xf borderId="29" fillId="8" fontId="1" numFmtId="0" xfId="0" applyBorder="1" applyFill="1" applyFont="1"/>
    <xf borderId="30" fillId="10" fontId="1" numFmtId="0" xfId="0" applyBorder="1" applyFill="1" applyFont="1"/>
    <xf borderId="31" fillId="10" fontId="1" numFmtId="0" xfId="0" applyBorder="1" applyFill="1" applyFont="1"/>
    <xf borderId="31" fillId="10" fontId="9" numFmtId="0" xfId="0" applyAlignment="1" applyBorder="1" applyFill="1" applyFont="1">
      <alignment readingOrder="0"/>
    </xf>
    <xf borderId="32" fillId="10" fontId="1" numFmtId="0" xfId="0" applyBorder="1" applyFill="1" applyFont="1"/>
    <xf borderId="0" fillId="8" fontId="11" numFmtId="0" xfId="0" applyAlignment="1" applyFill="1" applyFont="1">
      <alignment horizontal="center" readingOrder="0" vertical="center"/>
    </xf>
    <xf borderId="0" fillId="3" fontId="10" numFmtId="0" xfId="0" applyAlignment="1" applyFill="1" applyFont="1">
      <alignment readingOrder="0"/>
    </xf>
    <xf borderId="0" fillId="11" fontId="12" numFmtId="0" xfId="0" applyFill="1" applyFont="1"/>
    <xf borderId="0" fillId="6" fontId="1" numFmtId="0" xfId="0" applyAlignment="1" applyFill="1" applyFont="1">
      <alignment readingOrder="0"/>
    </xf>
    <xf borderId="0" fillId="11" fontId="13" numFmtId="0" xfId="0" applyAlignment="1" applyFill="1" applyFont="1">
      <alignment horizontal="center" readingOrder="0" vertical="center"/>
    </xf>
    <xf borderId="0" fillId="11" fontId="12" numFmtId="0" xfId="0" applyAlignment="1" applyFill="1" applyFont="1">
      <alignment horizontal="center" vertical="center"/>
    </xf>
    <xf borderId="0" fillId="11" fontId="1" numFmtId="0" xfId="0" applyAlignment="1" applyFill="1" applyFont="1">
      <alignment horizontal="right" readingOrder="0"/>
    </xf>
    <xf borderId="0" fillId="11" fontId="1" numFmtId="0" xfId="0" applyAlignment="1" applyFill="1" applyFont="1">
      <alignment horizontal="center" readingOrder="0" vertical="center"/>
    </xf>
    <xf borderId="0" fillId="11" fontId="14" numFmtId="0" xfId="0" applyAlignment="1" applyFill="1" applyFont="1">
      <alignment horizontal="center" readingOrder="0" vertical="center"/>
    </xf>
    <xf borderId="33" fillId="12" fontId="12" numFmtId="0" xfId="0" applyAlignment="1" applyBorder="1" applyFill="1" applyFont="1">
      <alignment horizontal="center" vertical="center"/>
    </xf>
    <xf borderId="34" fillId="0" fontId="7" numFmtId="0" xfId="0" applyBorder="1" applyFont="1"/>
    <xf borderId="35" fillId="0" fontId="7" numFmtId="0" xfId="0" applyBorder="1" applyFont="1"/>
    <xf borderId="36" fillId="12" fontId="15" numFmtId="0" xfId="0" applyAlignment="1" applyBorder="1" applyFill="1" applyFont="1">
      <alignment horizontal="center" readingOrder="0" vertical="center"/>
    </xf>
    <xf borderId="37" fillId="0" fontId="7" numFmtId="0" xfId="0" applyBorder="1" applyFont="1"/>
    <xf borderId="38" fillId="12" fontId="12" numFmtId="0" xfId="0" applyAlignment="1" applyBorder="1" applyFill="1" applyFont="1">
      <alignment horizontal="right" vertical="top"/>
    </xf>
    <xf borderId="39" fillId="0" fontId="7" numFmtId="0" xfId="0" applyBorder="1" applyFont="1"/>
    <xf borderId="40" fillId="2" fontId="2" numFmtId="0" xfId="0" applyAlignment="1" applyBorder="1" applyFill="1" applyFont="1">
      <alignment vertical="bottom"/>
    </xf>
    <xf borderId="39" fillId="12" fontId="12" numFmtId="0" xfId="0" applyAlignment="1" applyBorder="1" applyFill="1" applyFont="1">
      <alignment horizontal="left" vertical="top"/>
    </xf>
    <xf borderId="41" fillId="0" fontId="7" numFmtId="0" xfId="0" applyBorder="1" applyFont="1"/>
    <xf borderId="0" fillId="11" fontId="2" numFmtId="0" xfId="0" applyAlignment="1" applyFill="1" applyFont="1">
      <alignment vertical="bottom"/>
    </xf>
    <xf borderId="19" fillId="2" fontId="2" numFmtId="0" xfId="0" applyAlignment="1" applyBorder="1" applyFill="1" applyFont="1">
      <alignment vertical="bottom"/>
    </xf>
    <xf borderId="0" fillId="11" fontId="16" numFmtId="0" xfId="0" applyAlignment="1" applyFill="1" applyFont="1">
      <alignment horizontal="center" readingOrder="0"/>
    </xf>
    <xf borderId="15" fillId="5" fontId="2" numFmtId="0" xfId="0" applyAlignment="1" applyBorder="1" applyFill="1" applyFont="1">
      <alignment vertical="bottom"/>
    </xf>
    <xf borderId="28" fillId="8" fontId="2" numFmtId="0" xfId="0" applyAlignment="1" applyBorder="1" applyFill="1" applyFont="1">
      <alignment vertical="bottom"/>
    </xf>
    <xf borderId="0" fillId="11" fontId="1" numFmtId="0" xfId="0" applyAlignment="1" applyFill="1" applyFont="1">
      <alignment vertical="center"/>
    </xf>
    <xf borderId="29" fillId="8" fontId="2" numFmtId="0" xfId="0" applyAlignment="1" applyBorder="1" applyFill="1" applyFont="1">
      <alignment vertical="bottom"/>
    </xf>
    <xf borderId="0" fillId="11" fontId="1" numFmtId="14" xfId="0" applyAlignment="1" applyFill="1" applyFont="1" applyNumberFormat="1">
      <alignment horizontal="center" vertical="center"/>
    </xf>
    <xf borderId="0" fillId="11" fontId="1" numFmtId="0" xfId="0" applyAlignment="1" applyFill="1" applyFont="1">
      <alignment vertical="center"/>
    </xf>
    <xf borderId="0" fillId="11" fontId="2" numFmtId="0" xfId="0" applyAlignment="1" applyFill="1" applyFont="1">
      <alignment horizontal="right" vertical="bottom"/>
    </xf>
    <xf borderId="0" fillId="11" fontId="2" numFmtId="0" xfId="0" applyAlignment="1" applyFill="1" applyFont="1">
      <alignment vertical="bottom"/>
    </xf>
    <xf borderId="25" fillId="4" fontId="2" numFmtId="0" xfId="0" applyAlignment="1" applyBorder="1" applyFill="1" applyFont="1">
      <alignment vertical="bottom"/>
    </xf>
    <xf borderId="26" fillId="4" fontId="2" numFmtId="0" xfId="0" applyAlignment="1" applyBorder="1" applyFill="1" applyFont="1">
      <alignment vertical="bottom"/>
    </xf>
    <xf borderId="0" fillId="11" fontId="1" numFmtId="0" xfId="0" applyFill="1" applyFont="1"/>
    <xf borderId="0" fillId="11" fontId="1" numFmtId="0" xfId="0" applyAlignment="1" applyFill="1" applyFont="1">
      <alignment horizontal="center" readingOrder="0"/>
    </xf>
    <xf borderId="0" fillId="11" fontId="1" numFmtId="0" xfId="0" applyAlignment="1" applyFill="1" applyFont="1">
      <alignment horizontal="center" vertical="center"/>
    </xf>
    <xf borderId="0" fillId="11" fontId="16" numFmtId="0" xfId="0" applyAlignment="1" applyFill="1" applyFont="1">
      <alignment horizontal="center" readingOrder="0" vertical="center"/>
    </xf>
    <xf borderId="0" fillId="11" fontId="1" numFmtId="0" xfId="0" applyAlignment="1" applyFill="1" applyFont="1">
      <alignment vertical="bottom"/>
    </xf>
    <xf borderId="0" fillId="11" fontId="1" numFmtId="14" xfId="0" applyAlignment="1" applyFill="1" applyFont="1" applyNumberFormat="1">
      <alignment horizontal="center" vertical="bottom"/>
    </xf>
    <xf borderId="0" fillId="11" fontId="1" numFmtId="0" xfId="0" applyAlignment="1" applyFill="1" applyFont="1">
      <alignment vertical="bottom"/>
    </xf>
    <xf borderId="0" fillId="11" fontId="2" numFmtId="0" xfId="0" applyAlignment="1" applyFill="1" applyFont="1">
      <alignment horizontal="center" vertical="center"/>
    </xf>
    <xf borderId="0" fillId="11" fontId="2" numFmtId="0" xfId="0" applyAlignment="1" applyFill="1" applyFont="1">
      <alignment vertical="center"/>
    </xf>
    <xf borderId="0" fillId="11" fontId="2" numFmtId="0" xfId="0" applyAlignment="1" applyFill="1" applyFont="1">
      <alignment horizontal="right" vertical="center"/>
    </xf>
    <xf borderId="0" fillId="11" fontId="2" numFmtId="0" xfId="0" applyAlignment="1" applyFill="1" applyFont="1">
      <alignment vertical="center"/>
    </xf>
    <xf borderId="0" fillId="11" fontId="1" numFmtId="0" xfId="0" applyAlignment="1" applyFill="1" applyFont="1">
      <alignment shrinkToFit="0" vertical="center" wrapText="1"/>
    </xf>
    <xf borderId="0" fillId="11" fontId="12" numFmtId="0" xfId="0" applyAlignment="1" applyFill="1" applyFont="1">
      <alignment horizontal="center" readingOrder="0" vertical="center"/>
    </xf>
    <xf borderId="0" fillId="11" fontId="2" numFmtId="14" xfId="0" applyAlignment="1" applyFill="1" applyFont="1" applyNumberFormat="1">
      <alignment horizontal="center" vertical="bottom"/>
    </xf>
    <xf borderId="0" fillId="11" fontId="1" numFmtId="0" xfId="0" applyAlignment="1" applyFill="1" applyFont="1">
      <alignment horizontal="center" readingOrder="0" vertical="top"/>
    </xf>
    <xf borderId="42" fillId="13" fontId="16" numFmtId="0" xfId="0" applyAlignment="1" applyBorder="1" applyFill="1" applyFont="1">
      <alignment horizontal="center" readingOrder="0" vertical="center"/>
    </xf>
    <xf borderId="0" fillId="0" fontId="12" numFmtId="14" xfId="0" applyFont="1" applyNumberFormat="1"/>
    <xf borderId="0" fillId="0" fontId="12" numFmtId="0" xfId="0" applyAlignment="1" applyFont="1">
      <alignment readingOrder="0"/>
    </xf>
    <xf borderId="0" fillId="14" fontId="12" numFmtId="0" xfId="0" applyAlignment="1" applyFill="1" applyFont="1">
      <alignment readingOrder="0"/>
    </xf>
    <xf borderId="0" fillId="15" fontId="12" numFmtId="0" xfId="0" applyAlignment="1" applyFill="1" applyFont="1">
      <alignment readingOrder="0"/>
    </xf>
    <xf borderId="0" fillId="14" fontId="12" numFmtId="0" xfId="0" applyFill="1" applyFont="1"/>
    <xf borderId="0" fillId="15" fontId="12" numFmtId="0" xfId="0" applyFill="1" applyFont="1"/>
    <xf borderId="0" fillId="0" fontId="17" numFmtId="0" xfId="0" applyAlignment="1" applyFont="1">
      <alignment horizontal="center" vertical="center"/>
    </xf>
    <xf borderId="0" fillId="14" fontId="12" numFmtId="0" xfId="0" applyAlignment="1" applyFill="1" applyFont="1">
      <alignment readingOrder="0"/>
    </xf>
    <xf borderId="0" fillId="15" fontId="12" numFmtId="0" xfId="0" applyAlignment="1" applyFill="1" applyFont="1">
      <alignment readingOrder="0"/>
    </xf>
    <xf borderId="0" fillId="0" fontId="1" numFmtId="0" xfId="0" applyAlignment="1" applyFont="1">
      <alignment horizontal="center" readingOrder="0" vertical="center"/>
    </xf>
    <xf borderId="0" fillId="0" fontId="18" numFmtId="0" xfId="0" applyAlignment="1" applyFont="1">
      <alignment horizontal="left" readingOrder="0" vertical="center"/>
    </xf>
    <xf borderId="0" fillId="0" fontId="12" numFmtId="0" xfId="0" applyAlignment="1" applyFont="1">
      <alignment vertical="center"/>
    </xf>
    <xf borderId="0" fillId="11" fontId="1" numFmtId="0" xfId="0" applyAlignment="1" applyFill="1" applyFont="1">
      <alignment horizontal="center" vertical="center"/>
    </xf>
    <xf borderId="0" fillId="0" fontId="19" numFmtId="0" xfId="0" applyAlignment="1" applyFont="1">
      <alignment horizontal="left" readingOrder="0" vertical="center"/>
    </xf>
    <xf borderId="0" fillId="0" fontId="20" numFmtId="0" xfId="0" applyAlignment="1" applyFont="1">
      <alignment horizontal="left" readingOrder="0"/>
    </xf>
    <xf borderId="43" fillId="0" fontId="1" numFmtId="0" xfId="0" applyAlignment="1" applyBorder="1" applyFont="1">
      <alignment horizontal="center" readingOrder="0" vertical="center"/>
    </xf>
    <xf borderId="43" fillId="0" fontId="18" numFmtId="0" xfId="0" applyAlignment="1" applyBorder="1" applyFont="1">
      <alignment horizontal="left" readingOrder="0" vertical="center"/>
    </xf>
    <xf borderId="43" fillId="0" fontId="12" numFmtId="0" xfId="0" applyAlignment="1" applyBorder="1" applyFont="1">
      <alignment vertical="center"/>
    </xf>
    <xf borderId="43" fillId="0" fontId="21" numFmtId="0" xfId="0" applyAlignment="1" applyBorder="1" applyFont="1">
      <alignment horizontal="left" readingOrder="0"/>
    </xf>
    <xf borderId="0" fillId="0" fontId="2" numFmtId="14" xfId="0" applyAlignment="1" applyFont="1" applyNumberFormat="1">
      <alignment horizontal="right" vertical="bottom"/>
    </xf>
    <xf borderId="0" fillId="14" fontId="2" numFmtId="0" xfId="0" applyAlignment="1" applyFill="1" applyFont="1">
      <alignment readingOrder="0" vertical="bottom"/>
    </xf>
    <xf borderId="43" fillId="0" fontId="22" numFmtId="0" xfId="0" applyAlignment="1" applyBorder="1" applyFont="1">
      <alignment horizontal="left" readingOrder="0"/>
    </xf>
    <xf borderId="0" fillId="15" fontId="2" numFmtId="0" xfId="0" applyAlignment="1" applyFill="1" applyFont="1">
      <alignment readingOrder="0" vertical="bottom"/>
    </xf>
    <xf borderId="43" fillId="0" fontId="12" numFmtId="0" xfId="0" applyBorder="1" applyFont="1"/>
    <xf borderId="0" fillId="14" fontId="2" numFmtId="0" xfId="0" applyAlignment="1" applyFill="1" applyFont="1">
      <alignment horizontal="right" vertical="bottom"/>
    </xf>
    <xf borderId="43" fillId="0" fontId="12" numFmtId="0" xfId="0" applyAlignment="1" applyBorder="1" applyFont="1">
      <alignment readingOrder="0"/>
    </xf>
    <xf borderId="0" fillId="15" fontId="2" numFmtId="0" xfId="0" applyAlignment="1" applyFill="1" applyFont="1">
      <alignment vertical="bottom"/>
    </xf>
    <xf borderId="0" fillId="0" fontId="23" numFmtId="0" xfId="0" applyAlignment="1" applyFont="1">
      <alignment horizontal="left" readingOrder="0" vertical="center"/>
    </xf>
    <xf borderId="0" fillId="0" fontId="24" numFmtId="0" xfId="0" applyAlignment="1" applyFont="1">
      <alignment horizontal="left" readingOrder="0" vertical="center"/>
    </xf>
    <xf borderId="0" fillId="0" fontId="12" numFmtId="0" xfId="0" applyFont="1"/>
    <xf borderId="0" fillId="0" fontId="25" numFmtId="0" xfId="0" applyAlignment="1" applyFont="1">
      <alignment readingOrder="0"/>
    </xf>
    <xf borderId="0" fillId="0" fontId="12" numFmtId="0" xfId="0" applyAlignment="1" applyFont="1">
      <alignment horizontal="left"/>
    </xf>
    <xf borderId="43" fillId="0" fontId="26" numFmtId="0" xfId="0" applyAlignment="1" applyBorder="1" applyFont="1">
      <alignment horizontal="left" readingOrder="0" vertical="center"/>
    </xf>
    <xf borderId="43" fillId="0" fontId="27" numFmtId="0" xfId="0" applyAlignment="1" applyBorder="1" applyFont="1">
      <alignment readingOrder="0"/>
    </xf>
    <xf borderId="0" fillId="0" fontId="28" numFmtId="0" xfId="0" applyAlignment="1" applyFont="1">
      <alignment horizontal="left" readingOrder="0"/>
    </xf>
    <xf borderId="0" fillId="7" fontId="11" numFmtId="0" xfId="0" applyAlignment="1" applyFill="1" applyFont="1">
      <alignment horizontal="left" readingOrder="0"/>
    </xf>
    <xf borderId="0" fillId="0" fontId="12" numFmtId="0" xfId="0" applyAlignment="1" applyFont="1">
      <alignment horizontal="left" vertical="center"/>
    </xf>
    <xf borderId="0" fillId="0" fontId="29" numFmtId="0" xfId="0" applyAlignment="1" applyFont="1">
      <alignment readingOrder="0"/>
    </xf>
    <xf borderId="0" fillId="0" fontId="30" numFmtId="0" xfId="0" applyFont="1"/>
    <xf borderId="0" fillId="0" fontId="12" numFmtId="0" xfId="0" applyAlignment="1" applyFont="1">
      <alignment readingOrder="0" vertical="center"/>
    </xf>
    <xf borderId="0" fillId="0" fontId="31" numFmtId="0" xfId="0" applyAlignment="1" applyFont="1">
      <alignment horizontal="left" vertical="center"/>
    </xf>
    <xf borderId="0" fillId="0" fontId="12" numFmtId="0" xfId="0" applyFont="1"/>
    <xf borderId="0" fillId="0" fontId="32" numFmtId="0" xfId="0" applyAlignment="1" applyFont="1">
      <alignment horizontal="left" readingOrder="0"/>
    </xf>
    <xf borderId="0" fillId="0" fontId="1" numFmtId="0" xfId="0" applyAlignment="1" applyFont="1">
      <alignment horizontal="center" vertical="center"/>
    </xf>
    <xf borderId="0" fillId="0" fontId="18" numFmtId="0" xfId="0" applyAlignment="1" applyFont="1">
      <alignment horizontal="center" readingOrder="0" vertical="center"/>
    </xf>
    <xf borderId="0" fillId="0" fontId="33" numFmtId="0" xfId="0" applyAlignment="1" applyFont="1">
      <alignment vertical="center"/>
    </xf>
    <xf borderId="0" fillId="0" fontId="18" numFmtId="0" xfId="0" applyAlignment="1" applyFont="1">
      <alignment horizontal="center" vertical="center"/>
    </xf>
    <xf borderId="0" fillId="7" fontId="34" numFmtId="0" xfId="0" applyAlignment="1" applyFill="1" applyFont="1">
      <alignment horizontal="left" readingOrder="0"/>
    </xf>
    <xf borderId="43" fillId="0" fontId="12" numFmtId="0" xfId="0" applyAlignment="1" applyBorder="1" applyFont="1">
      <alignment horizontal="left" vertical="center"/>
    </xf>
    <xf borderId="43" fillId="0" fontId="12" numFmtId="0" xfId="0" applyAlignment="1" applyBorder="1" applyFont="1">
      <alignment horizontal="left" readingOrder="0"/>
    </xf>
    <xf borderId="0" fillId="0" fontId="12" numFmtId="0" xfId="0" applyAlignment="1" applyFont="1">
      <alignment horizontal="left" readingOrder="0"/>
    </xf>
    <xf borderId="0" fillId="0" fontId="35" numFmtId="0" xfId="0" applyAlignment="1" applyFont="1">
      <alignment horizontal="center" readingOrder="0"/>
    </xf>
    <xf borderId="0" fillId="0" fontId="35" numFmtId="0" xfId="0" applyAlignment="1" applyFont="1">
      <alignment horizontal="center"/>
    </xf>
    <xf borderId="0" fillId="0" fontId="12" numFmtId="0" xfId="0" applyAlignment="1" applyFont="1">
      <alignment horizontal="left" readingOrder="0" shrinkToFit="0" wrapText="1"/>
    </xf>
    <xf borderId="0" fillId="0" fontId="12" numFmtId="0" xfId="0" applyAlignment="1" applyFont="1">
      <alignment horizontal="center"/>
    </xf>
    <xf borderId="0" fillId="0" fontId="1" numFmtId="0" xfId="0" applyAlignment="1" applyFont="1">
      <alignment horizontal="center" readingOrder="0"/>
    </xf>
    <xf borderId="0" fillId="0" fontId="12" numFmtId="0" xfId="0" applyAlignment="1" applyFont="1">
      <alignment horizontal="center" readingOrder="0"/>
    </xf>
    <xf borderId="0" fillId="0" fontId="1" numFmtId="0" xfId="0" applyAlignment="1" applyFont="1">
      <alignment horizontal="center"/>
    </xf>
    <xf borderId="0" fillId="7" fontId="36" numFmtId="0" xfId="0" applyFill="1" applyFont="1"/>
    <xf borderId="0" fillId="7" fontId="36" numFmtId="0" xfId="0" applyAlignment="1" applyFill="1" applyFont="1">
      <alignment readingOrder="0"/>
    </xf>
    <xf borderId="0" fillId="7" fontId="37" numFmtId="0" xfId="0" applyAlignment="1" applyFill="1" applyFont="1">
      <alignment horizontal="left" readingOrder="0"/>
    </xf>
    <xf borderId="0" fillId="7" fontId="38"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8</xdr:row>
      <xdr:rowOff>0</xdr:rowOff>
    </xdr:from>
    <xdr:ext cx="390525" cy="438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8</xdr:row>
      <xdr:rowOff>0</xdr:rowOff>
    </xdr:from>
    <xdr:ext cx="390525" cy="4381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40" Type="http://schemas.openxmlformats.org/officeDocument/2006/relationships/hyperlink" Target="https://i.postimg.cc/jqHdQ6vn/froggy-m.png" TargetMode="External"/><Relationship Id="rId42" Type="http://schemas.openxmlformats.org/officeDocument/2006/relationships/hyperlink" Target="https://i.postimg.cc/Gm2LCWRv/froggy-crown-m.png" TargetMode="External"/><Relationship Id="rId41" Type="http://schemas.openxmlformats.org/officeDocument/2006/relationships/hyperlink" Target="https://i.postimg.cc/Pqd30bxP/froggy-i.png" TargetMode="External"/><Relationship Id="rId44" Type="http://schemas.openxmlformats.org/officeDocument/2006/relationships/hyperlink" Target="https://i.postimg.cc/2S0Ggwhh/froggy-toad-m.png" TargetMode="External"/><Relationship Id="rId43" Type="http://schemas.openxmlformats.org/officeDocument/2006/relationships/hyperlink" Target="https://i.postimg.cc/sfp0qyZx/froggy-toad-i.png" TargetMode="External"/><Relationship Id="rId46" Type="http://schemas.openxmlformats.org/officeDocument/2006/relationships/hyperlink" Target="https://i.postimg.cc/xT9jskFx/froggy-aqua-m.png" TargetMode="External"/><Relationship Id="rId45" Type="http://schemas.openxmlformats.org/officeDocument/2006/relationships/hyperlink" Target="https://i.postimg.cc/wjFCPzZL/froggy-aqua-i.png" TargetMode="External"/><Relationship Id="rId1" Type="http://schemas.openxmlformats.org/officeDocument/2006/relationships/hyperlink" Target="https://i.postimg.cc/gc7Zb9rR/cap-navy-m.png" TargetMode="External"/><Relationship Id="rId2" Type="http://schemas.openxmlformats.org/officeDocument/2006/relationships/hyperlink" Target="https://i.postimg.cc/qqWhsKWQ/cap-navy-i.png" TargetMode="External"/><Relationship Id="rId3" Type="http://schemas.openxmlformats.org/officeDocument/2006/relationships/hyperlink" Target="https://i.postimg.cc/pXRsY6XD/beret-maroon-m.png" TargetMode="External"/><Relationship Id="rId4" Type="http://schemas.openxmlformats.org/officeDocument/2006/relationships/hyperlink" Target="https://i.postimg.cc/vHh3PtcC/beret-maroon-i.png" TargetMode="External"/><Relationship Id="rId9" Type="http://schemas.openxmlformats.org/officeDocument/2006/relationships/hyperlink" Target="https://i.postimg.cc/1RKd4TxV/ribbon-red-m.png" TargetMode="External"/><Relationship Id="rId48" Type="http://schemas.openxmlformats.org/officeDocument/2006/relationships/hyperlink" Target="https://i.postimg.cc/MGfzc1vT/teddy-m.png" TargetMode="External"/><Relationship Id="rId47" Type="http://schemas.openxmlformats.org/officeDocument/2006/relationships/hyperlink" Target="https://i.postimg.cc/26K0qPxZ/ducky-i.png" TargetMode="External"/><Relationship Id="rId49" Type="http://schemas.openxmlformats.org/officeDocument/2006/relationships/hyperlink" Target="https://i.postimg.cc/9fs7jrn7/teddy-i.png" TargetMode="External"/><Relationship Id="rId5" Type="http://schemas.openxmlformats.org/officeDocument/2006/relationships/hyperlink" Target="https://i.postimg.cc/Cx6J0MCN/buckethat-orange-m.png" TargetMode="External"/><Relationship Id="rId6" Type="http://schemas.openxmlformats.org/officeDocument/2006/relationships/hyperlink" Target="https://i.postimg.cc/zGfp4Hhv/buckethat-orange-i.png" TargetMode="External"/><Relationship Id="rId7" Type="http://schemas.openxmlformats.org/officeDocument/2006/relationships/hyperlink" Target="https://i.postimg.cc/j2Dnnc3L/tophat-m.png" TargetMode="External"/><Relationship Id="rId8" Type="http://schemas.openxmlformats.org/officeDocument/2006/relationships/hyperlink" Target="https://i.postimg.cc/Dybb2CbN/tophat-i.png" TargetMode="External"/><Relationship Id="rId73" Type="http://schemas.openxmlformats.org/officeDocument/2006/relationships/hyperlink" Target="https://i.postimg.cc/1t04Yy19/unicorn-i.png" TargetMode="External"/><Relationship Id="rId72" Type="http://schemas.openxmlformats.org/officeDocument/2006/relationships/hyperlink" Target="https://i.postimg.cc/26NVwVJc/unicorn-m.png" TargetMode="External"/><Relationship Id="rId31" Type="http://schemas.openxmlformats.org/officeDocument/2006/relationships/hyperlink" Target="https://i.postimg.cc/g01k4Nf8/bunny-m.png" TargetMode="External"/><Relationship Id="rId75" Type="http://schemas.openxmlformats.org/officeDocument/2006/relationships/hyperlink" Target="https://i.postimg.cc/7ZppjkXz/googlyeyes-i.png" TargetMode="External"/><Relationship Id="rId30" Type="http://schemas.openxmlformats.org/officeDocument/2006/relationships/hyperlink" Target="https://i.postimg.cc/Qd2m89tQ/barette-purple-m.png" TargetMode="External"/><Relationship Id="rId74" Type="http://schemas.openxmlformats.org/officeDocument/2006/relationships/hyperlink" Target="https://i.postimg.cc/nLkLTWS0/googlyeyes-m.png" TargetMode="External"/><Relationship Id="rId33" Type="http://schemas.openxmlformats.org/officeDocument/2006/relationships/hyperlink" Target="https://i.postimg.cc/J0L7Ct7h/bunny-bows-m.png" TargetMode="External"/><Relationship Id="rId77" Type="http://schemas.openxmlformats.org/officeDocument/2006/relationships/drawing" Target="../drawings/drawing21.xml"/><Relationship Id="rId32" Type="http://schemas.openxmlformats.org/officeDocument/2006/relationships/hyperlink" Target="https://i.postimg.cc/xjpwHZdg/bunny-i.png" TargetMode="External"/><Relationship Id="rId76" Type="http://schemas.openxmlformats.org/officeDocument/2006/relationships/hyperlink" Target="https://i.postimg.cc/jjK5HTcD/jester-a-m.png" TargetMode="External"/><Relationship Id="rId35" Type="http://schemas.openxmlformats.org/officeDocument/2006/relationships/hyperlink" Target="https://i.postimg.cc/C5shhYds/bunny-blue-m.png" TargetMode="External"/><Relationship Id="rId34" Type="http://schemas.openxmlformats.org/officeDocument/2006/relationships/hyperlink" Target="https://i.postimg.cc/3JPzfDmv/bunny-bows-i.png" TargetMode="External"/><Relationship Id="rId71" Type="http://schemas.openxmlformats.org/officeDocument/2006/relationships/hyperlink" Target="https://i.postimg.cc/Gm2LCWRv/froggy-crown-m.png" TargetMode="External"/><Relationship Id="rId70" Type="http://schemas.openxmlformats.org/officeDocument/2006/relationships/hyperlink" Target="https://i.postimg.cc/R0Vrwxws/froggy-crown-i.png" TargetMode="External"/><Relationship Id="rId37" Type="http://schemas.openxmlformats.org/officeDocument/2006/relationships/hyperlink" Target="https://i.postimg.cc/C5shhYds/bunny-blue-m.png" TargetMode="External"/><Relationship Id="rId36" Type="http://schemas.openxmlformats.org/officeDocument/2006/relationships/hyperlink" Target="https://i.postimg.cc/MKchYYMw/bunny-blue-i.png" TargetMode="External"/><Relationship Id="rId39" Type="http://schemas.openxmlformats.org/officeDocument/2006/relationships/hyperlink" Target="https://i.postimg.cc/SK5rxxZK/bunny-blue-bows-i.png" TargetMode="External"/><Relationship Id="rId38" Type="http://schemas.openxmlformats.org/officeDocument/2006/relationships/hyperlink" Target="https://i.postimg.cc/FzXV0nX5/bunny-blue-bows-m.png" TargetMode="External"/><Relationship Id="rId62" Type="http://schemas.openxmlformats.org/officeDocument/2006/relationships/hyperlink" Target="https://i.postimg.cc/y8dQLRRW/horse-i.png" TargetMode="External"/><Relationship Id="rId61" Type="http://schemas.openxmlformats.org/officeDocument/2006/relationships/hyperlink" Target="https://i.postimg.cc/kgpjz5Ns/horse-m.png" TargetMode="External"/><Relationship Id="rId20" Type="http://schemas.openxmlformats.org/officeDocument/2006/relationships/hyperlink" Target="https://i.postimg.cc/3NMC9yZ1/partyhat-blue-i.png" TargetMode="External"/><Relationship Id="rId64" Type="http://schemas.openxmlformats.org/officeDocument/2006/relationships/hyperlink" Target="https://i.postimg.cc/Prs3vwHL/deer-i.png" TargetMode="External"/><Relationship Id="rId63" Type="http://schemas.openxmlformats.org/officeDocument/2006/relationships/hyperlink" Target="https://i.postimg.cc/zDR2fksZ/deer-m.png" TargetMode="External"/><Relationship Id="rId22" Type="http://schemas.openxmlformats.org/officeDocument/2006/relationships/hyperlink" Target="https://i.postimg.cc/1ztHz1tG/partyhat-green-i.png" TargetMode="External"/><Relationship Id="rId66" Type="http://schemas.openxmlformats.org/officeDocument/2006/relationships/hyperlink" Target="https://i.postimg.cc/1ztk1T1T/redpanda-i.png" TargetMode="External"/><Relationship Id="rId21" Type="http://schemas.openxmlformats.org/officeDocument/2006/relationships/hyperlink" Target="https://i.postimg.cc/B6sCFr2t/partyhat-green-m.png" TargetMode="External"/><Relationship Id="rId65" Type="http://schemas.openxmlformats.org/officeDocument/2006/relationships/hyperlink" Target="https://i.postimg.cc/SxYV2K7d/redpanda-m.png" TargetMode="External"/><Relationship Id="rId24" Type="http://schemas.openxmlformats.org/officeDocument/2006/relationships/hyperlink" Target="https://i.postimg.cc/VNVFrZr3/partyhat-red-i.png" TargetMode="External"/><Relationship Id="rId68" Type="http://schemas.openxmlformats.org/officeDocument/2006/relationships/hyperlink" Target="https://i.postimg.cc/BnC98nPP/raccoon-i.png" TargetMode="External"/><Relationship Id="rId23" Type="http://schemas.openxmlformats.org/officeDocument/2006/relationships/hyperlink" Target="https://i.postimg.cc/zGbpYSJD/partyhat-red-m.png" TargetMode="External"/><Relationship Id="rId67" Type="http://schemas.openxmlformats.org/officeDocument/2006/relationships/hyperlink" Target="https://i.postimg.cc/dVxqt5Qp/raccoon-m.png" TargetMode="External"/><Relationship Id="rId60" Type="http://schemas.openxmlformats.org/officeDocument/2006/relationships/hyperlink" Target="https://i.postimg.cc/k5RnFLwg/cow-i.png" TargetMode="External"/><Relationship Id="rId26" Type="http://schemas.openxmlformats.org/officeDocument/2006/relationships/hyperlink" Target="https://i.postimg.cc/HLpN4NLn/sprout-i.png" TargetMode="External"/><Relationship Id="rId25" Type="http://schemas.openxmlformats.org/officeDocument/2006/relationships/hyperlink" Target="https://i.postimg.cc/wvWt8Jkw/sprout-m.png" TargetMode="External"/><Relationship Id="rId69" Type="http://schemas.openxmlformats.org/officeDocument/2006/relationships/hyperlink" Target="https://i.postimg.cc/Gm2LCWRv/froggy-crown-m.png" TargetMode="External"/><Relationship Id="rId28" Type="http://schemas.openxmlformats.org/officeDocument/2006/relationships/hyperlink" Target="https://i.postimg.cc/fbBrHv3K/facemask-i.png" TargetMode="External"/><Relationship Id="rId27" Type="http://schemas.openxmlformats.org/officeDocument/2006/relationships/hyperlink" Target="https://i.postimg.cc/9fDXRSPY/facemask-m.png" TargetMode="External"/><Relationship Id="rId29" Type="http://schemas.openxmlformats.org/officeDocument/2006/relationships/hyperlink" Target="https://i.postimg.cc/3w2Bd84P/barette-pink-m.png" TargetMode="External"/><Relationship Id="rId51" Type="http://schemas.openxmlformats.org/officeDocument/2006/relationships/hyperlink" Target="https://i.postimg.cc/vHPb16s4/teddy-ribbon-m.png" TargetMode="External"/><Relationship Id="rId50" Type="http://schemas.openxmlformats.org/officeDocument/2006/relationships/hyperlink" Target="https://i.postimg.cc/htfgVPDp/teddy-ribbon-i.png" TargetMode="External"/><Relationship Id="rId53" Type="http://schemas.openxmlformats.org/officeDocument/2006/relationships/hyperlink" Target="https://i.postimg.cc/hjFcVhd0/teddy-white-m.png" TargetMode="External"/><Relationship Id="rId52" Type="http://schemas.openxmlformats.org/officeDocument/2006/relationships/hyperlink" Target="https://i.postimg.cc/htfgVPDp/teddy-ribbon-i.png" TargetMode="External"/><Relationship Id="rId11" Type="http://schemas.openxmlformats.org/officeDocument/2006/relationships/hyperlink" Target="https://i.postimg.cc/x1Xpx1XL/ribbon-yellow-m.png" TargetMode="External"/><Relationship Id="rId55" Type="http://schemas.openxmlformats.org/officeDocument/2006/relationships/hyperlink" Target="https://i.postimg.cc/DwMCb70Q/teddy-white-ribbon-m.png" TargetMode="External"/><Relationship Id="rId10" Type="http://schemas.openxmlformats.org/officeDocument/2006/relationships/hyperlink" Target="https://i.postimg.cc/bNCF9twz/ribbon-red-i.png" TargetMode="External"/><Relationship Id="rId54" Type="http://schemas.openxmlformats.org/officeDocument/2006/relationships/hyperlink" Target="https://i.postimg.cc/x82NcBYj/teddy-white-i.png" TargetMode="External"/><Relationship Id="rId13" Type="http://schemas.openxmlformats.org/officeDocument/2006/relationships/hyperlink" Target="https://i.postimg.cc/nzkGG312/cap-black-m.png" TargetMode="External"/><Relationship Id="rId57" Type="http://schemas.openxmlformats.org/officeDocument/2006/relationships/hyperlink" Target="https://i.postimg.cc/B6DZz20y/ducky-m.png" TargetMode="External"/><Relationship Id="rId12" Type="http://schemas.openxmlformats.org/officeDocument/2006/relationships/hyperlink" Target="https://i.postimg.cc/5NNRz317/ribbon-yellow-i.png" TargetMode="External"/><Relationship Id="rId56" Type="http://schemas.openxmlformats.org/officeDocument/2006/relationships/hyperlink" Target="https://i.postimg.cc/Tw8CCQrp/teddy-white-ribbon-i.png" TargetMode="External"/><Relationship Id="rId15" Type="http://schemas.openxmlformats.org/officeDocument/2006/relationships/hyperlink" Target="https://i.postimg.cc/kGgF1W1m/cap-redwhite-m.png" TargetMode="External"/><Relationship Id="rId59" Type="http://schemas.openxmlformats.org/officeDocument/2006/relationships/hyperlink" Target="https://i.postimg.cc/BQNSRqrq/piggy-m.png" TargetMode="External"/><Relationship Id="rId14" Type="http://schemas.openxmlformats.org/officeDocument/2006/relationships/hyperlink" Target="https://i.postimg.cc/bwd8HdV4/cap-black-i.png" TargetMode="External"/><Relationship Id="rId58" Type="http://schemas.openxmlformats.org/officeDocument/2006/relationships/hyperlink" Target="https://i.postimg.cc/vTtg9XHr/piggy-i.png" TargetMode="External"/><Relationship Id="rId17" Type="http://schemas.openxmlformats.org/officeDocument/2006/relationships/hyperlink" Target="https://i.postimg.cc/651zP1x1/partyhat-white-m.png" TargetMode="External"/><Relationship Id="rId16" Type="http://schemas.openxmlformats.org/officeDocument/2006/relationships/hyperlink" Target="https://i.postimg.cc/jdxR2MHx/cap-redwhite-i.png" TargetMode="External"/><Relationship Id="rId19" Type="http://schemas.openxmlformats.org/officeDocument/2006/relationships/hyperlink" Target="https://i.postimg.cc/hvZ8Hh67/partyhat-blue-m.png" TargetMode="External"/><Relationship Id="rId18" Type="http://schemas.openxmlformats.org/officeDocument/2006/relationships/hyperlink" Target="https://i.postimg.cc/mD1yQ37h/partyhat-white-i.png"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i.postimg.cc/8581pQVw/black.png" TargetMode="External"/><Relationship Id="rId2" Type="http://schemas.openxmlformats.org/officeDocument/2006/relationships/hyperlink" Target="https://i.postimg.cc/13tRMrH0/black-i.png" TargetMode="External"/><Relationship Id="rId3" Type="http://schemas.openxmlformats.org/officeDocument/2006/relationships/hyperlink" Target="https://i.postimg.cc/3w08Qrzd/white.png" TargetMode="External"/><Relationship Id="rId4" Type="http://schemas.openxmlformats.org/officeDocument/2006/relationships/hyperlink" Target="https://i.postimg.cc/tRZp3j4B/white-i.png" TargetMode="External"/><Relationship Id="rId9" Type="http://schemas.openxmlformats.org/officeDocument/2006/relationships/hyperlink" Target="https://i.postimg.cc/q7KbKLmF/tabby-grey.png" TargetMode="External"/><Relationship Id="rId5" Type="http://schemas.openxmlformats.org/officeDocument/2006/relationships/hyperlink" Target="https://i.postimg.cc/zGczQHts/grey.png" TargetMode="External"/><Relationship Id="rId6" Type="http://schemas.openxmlformats.org/officeDocument/2006/relationships/hyperlink" Target="https://i.postimg.cc/mr6dbKMn/grey-i.png" TargetMode="External"/><Relationship Id="rId7" Type="http://schemas.openxmlformats.org/officeDocument/2006/relationships/hyperlink" Target="https://i.postimg.cc/JnbRt6r8/orange.png" TargetMode="External"/><Relationship Id="rId8" Type="http://schemas.openxmlformats.org/officeDocument/2006/relationships/hyperlink" Target="https://i.postimg.cc/vTFSGcfH/orange-i.png" TargetMode="External"/><Relationship Id="rId31" Type="http://schemas.openxmlformats.org/officeDocument/2006/relationships/hyperlink" Target="https://i.postimg.cc/py8HQXT9/glass.png" TargetMode="External"/><Relationship Id="rId30" Type="http://schemas.openxmlformats.org/officeDocument/2006/relationships/hyperlink" Target="https://i.postimg.cc/P5PFXh1T/galaxy-i.png" TargetMode="External"/><Relationship Id="rId33" Type="http://schemas.openxmlformats.org/officeDocument/2006/relationships/hyperlink" Target="https://i.postimg.cc/py8HQXT9/glass.png" TargetMode="External"/><Relationship Id="rId32" Type="http://schemas.openxmlformats.org/officeDocument/2006/relationships/hyperlink" Target="https://i.postimg.cc/YL1Bt8VN/magma.png" TargetMode="External"/><Relationship Id="rId34" Type="http://schemas.openxmlformats.org/officeDocument/2006/relationships/drawing" Target="../drawings/drawing22.xml"/><Relationship Id="rId20" Type="http://schemas.openxmlformats.org/officeDocument/2006/relationships/hyperlink" Target="https://i.postimg.cc/Bn8c7XYq/calico-b-i.png" TargetMode="External"/><Relationship Id="rId22" Type="http://schemas.openxmlformats.org/officeDocument/2006/relationships/hyperlink" Target="https://i.postimg.cc/nrcq4z9f/calico-c-i.png" TargetMode="External"/><Relationship Id="rId21" Type="http://schemas.openxmlformats.org/officeDocument/2006/relationships/hyperlink" Target="https://i.postimg.cc/SsGWY8sG/calico-c.png" TargetMode="External"/><Relationship Id="rId24" Type="http://schemas.openxmlformats.org/officeDocument/2006/relationships/hyperlink" Target="https://i.postimg.cc/kG1KfmW6/calico-d-i.png" TargetMode="External"/><Relationship Id="rId23" Type="http://schemas.openxmlformats.org/officeDocument/2006/relationships/hyperlink" Target="https://i.postimg.cc/pTvfdk2T/calico-d.png" TargetMode="External"/><Relationship Id="rId26" Type="http://schemas.openxmlformats.org/officeDocument/2006/relationships/hyperlink" Target="https://i.postimg.cc/QC86JYfz/calico-f.png" TargetMode="External"/><Relationship Id="rId25" Type="http://schemas.openxmlformats.org/officeDocument/2006/relationships/hyperlink" Target="https://i.postimg.cc/85BKWgmW/calico-e.png" TargetMode="External"/><Relationship Id="rId28" Type="http://schemas.openxmlformats.org/officeDocument/2006/relationships/hyperlink" Target="https://i.postimg.cc/FKSnrLfT/calico-h.png" TargetMode="External"/><Relationship Id="rId27" Type="http://schemas.openxmlformats.org/officeDocument/2006/relationships/hyperlink" Target="https://i.postimg.cc/Ssp1JxCk/calico-g.png" TargetMode="External"/><Relationship Id="rId29" Type="http://schemas.openxmlformats.org/officeDocument/2006/relationships/hyperlink" Target="https://i.postimg.cc/JzvYtgQJ/galaxy.png" TargetMode="External"/><Relationship Id="rId11" Type="http://schemas.openxmlformats.org/officeDocument/2006/relationships/hyperlink" Target="https://i.postimg.cc/x1MDHVjZ/tabby-brown.png" TargetMode="External"/><Relationship Id="rId10" Type="http://schemas.openxmlformats.org/officeDocument/2006/relationships/hyperlink" Target="https://i.postimg.cc/gJPMHZQ2/tabby-grey-i.png" TargetMode="External"/><Relationship Id="rId13" Type="http://schemas.openxmlformats.org/officeDocument/2006/relationships/hyperlink" Target="https://i.postimg.cc/257scdZF/tabby-orange.png" TargetMode="External"/><Relationship Id="rId12" Type="http://schemas.openxmlformats.org/officeDocument/2006/relationships/hyperlink" Target="https://i.postimg.cc/fT6QJRsX/tabby-brown-i.png" TargetMode="External"/><Relationship Id="rId15" Type="http://schemas.openxmlformats.org/officeDocument/2006/relationships/hyperlink" Target="https://i.postimg.cc/BZ70fCwm/tabby-torbie.png" TargetMode="External"/><Relationship Id="rId14" Type="http://schemas.openxmlformats.org/officeDocument/2006/relationships/hyperlink" Target="https://i.postimg.cc/9MxvVW1D/tabby-orange-i.png" TargetMode="External"/><Relationship Id="rId17" Type="http://schemas.openxmlformats.org/officeDocument/2006/relationships/hyperlink" Target="https://i.postimg.cc/157rKpKC/calico-a.png" TargetMode="External"/><Relationship Id="rId16" Type="http://schemas.openxmlformats.org/officeDocument/2006/relationships/hyperlink" Target="https://i.postimg.cc/9F4jmq6C/tabby-torbie-i.png" TargetMode="External"/><Relationship Id="rId19" Type="http://schemas.openxmlformats.org/officeDocument/2006/relationships/hyperlink" Target="https://i.postimg.cc/KYB7FChw/calico-b.png" TargetMode="External"/><Relationship Id="rId18" Type="http://schemas.openxmlformats.org/officeDocument/2006/relationships/hyperlink" Target="https://i.postimg.cc/jSG6ptmy/calico-a-i.png"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i.postimg.cc/q7KbKLmF/tabby-grey.png" TargetMode="External"/><Relationship Id="rId2" Type="http://schemas.openxmlformats.org/officeDocument/2006/relationships/hyperlink" Target="https://i.postimg.cc/gJPMHZQ2/tabby-grey-i.png" TargetMode="External"/><Relationship Id="rId3" Type="http://schemas.openxmlformats.org/officeDocument/2006/relationships/hyperlink" Target="https://i.postimg.cc/x1MDHVjZ/tabby-brown.png" TargetMode="External"/><Relationship Id="rId4" Type="http://schemas.openxmlformats.org/officeDocument/2006/relationships/hyperlink" Target="https://i.postimg.cc/fT6QJRsX/tabby-brown-i.png" TargetMode="External"/><Relationship Id="rId9" Type="http://schemas.openxmlformats.org/officeDocument/2006/relationships/hyperlink" Target="https://i.postimg.cc/JzvYtgQJ/galaxy.png" TargetMode="External"/><Relationship Id="rId5" Type="http://schemas.openxmlformats.org/officeDocument/2006/relationships/hyperlink" Target="https://i.postimg.cc/257scdZF/tabby-orange.png" TargetMode="External"/><Relationship Id="rId6" Type="http://schemas.openxmlformats.org/officeDocument/2006/relationships/hyperlink" Target="https://i.postimg.cc/9MxvVW1D/tabby-orange-i.png" TargetMode="External"/><Relationship Id="rId7" Type="http://schemas.openxmlformats.org/officeDocument/2006/relationships/hyperlink" Target="https://i.postimg.cc/BZ70fCwm/tabby-torbie.png" TargetMode="External"/><Relationship Id="rId8" Type="http://schemas.openxmlformats.org/officeDocument/2006/relationships/hyperlink" Target="https://i.postimg.cc/9F4jmq6C/tabby-torbie-i.png" TargetMode="External"/><Relationship Id="rId11" Type="http://schemas.openxmlformats.org/officeDocument/2006/relationships/hyperlink" Target="https://i.postimg.cc/py8HQXT9/glass.png" TargetMode="External"/><Relationship Id="rId10" Type="http://schemas.openxmlformats.org/officeDocument/2006/relationships/hyperlink" Target="https://i.postimg.cc/P5PFXh1T/galaxy-i.png" TargetMode="External"/><Relationship Id="rId13" Type="http://schemas.openxmlformats.org/officeDocument/2006/relationships/hyperlink" Target="https://i.postimg.cc/py8HQXT9/glass.png" TargetMode="External"/><Relationship Id="rId12" Type="http://schemas.openxmlformats.org/officeDocument/2006/relationships/hyperlink" Target="https://i.postimg.cc/YL1Bt8VN/magma.png" TargetMode="External"/><Relationship Id="rId14"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i.postimg.cc/BQNSRqrq/piggy-m.png" TargetMode="External"/><Relationship Id="rId2" Type="http://schemas.openxmlformats.org/officeDocument/2006/relationships/hyperlink" Target="https://i.postimg.cc/kgpjz5Ns/horse-m.png" TargetMode="External"/><Relationship Id="rId3" Type="http://schemas.openxmlformats.org/officeDocument/2006/relationships/hyperlink" Target="https://i.postimg.cc/C5shhYds/bunny-blue-m.png" TargetMode="External"/><Relationship Id="rId4"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2" max="2" width="103.75"/>
  </cols>
  <sheetData>
    <row r="1">
      <c r="A1" s="2"/>
      <c r="B1" s="2"/>
      <c r="C1" s="2"/>
    </row>
    <row r="2">
      <c r="A2" s="2"/>
      <c r="B2" s="7" t="s">
        <v>0</v>
      </c>
      <c r="C2" s="2"/>
    </row>
    <row r="4">
      <c r="B4" s="8" t="s">
        <v>1</v>
      </c>
    </row>
    <row r="5">
      <c r="B5" s="9" t="s">
        <v>2</v>
      </c>
    </row>
    <row r="6">
      <c r="B6" s="8"/>
    </row>
    <row r="7">
      <c r="B7" s="8" t="s">
        <v>3</v>
      </c>
    </row>
    <row r="8">
      <c r="B8" s="9" t="s">
        <v>4</v>
      </c>
    </row>
    <row r="9">
      <c r="B9" s="9" t="s">
        <v>5</v>
      </c>
    </row>
    <row r="10">
      <c r="B10" s="9" t="s">
        <v>6</v>
      </c>
    </row>
    <row r="12">
      <c r="B12" s="8" t="s">
        <v>7</v>
      </c>
    </row>
    <row r="13">
      <c r="B13" s="9" t="s">
        <v>8</v>
      </c>
    </row>
    <row r="14">
      <c r="B14" s="8"/>
    </row>
    <row r="15">
      <c r="B15" s="8" t="s">
        <v>9</v>
      </c>
    </row>
    <row r="16">
      <c r="B16" s="9" t="s">
        <v>10</v>
      </c>
    </row>
    <row r="18">
      <c r="B18" s="8" t="s">
        <v>11</v>
      </c>
    </row>
    <row r="19">
      <c r="B19" s="9" t="s">
        <v>12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FABCA"/>
    <outlinePr summaryBelow="0" summaryRight="0"/>
  </sheetPr>
  <sheetViews>
    <sheetView showGridLines="0" workbookViewId="0"/>
  </sheetViews>
  <sheetFormatPr customHeight="1" defaultColWidth="12.63" defaultRowHeight="15.75" outlineLevelRow="1"/>
  <cols>
    <col customWidth="1" min="2" max="2" width="3.88"/>
    <col customWidth="1" min="4" max="4" width="20.13"/>
    <col customWidth="1" min="5" max="5" width="2.38"/>
    <col customWidth="1" min="7" max="7" width="20.13"/>
    <col customWidth="1" min="8" max="8" width="2.38"/>
    <col customWidth="1" min="10" max="10" width="20.13"/>
    <col customWidth="1" min="11" max="11" width="2.38"/>
    <col customWidth="1" min="13" max="13" width="20.13"/>
    <col customWidth="1" min="14" max="14" width="3.88"/>
  </cols>
  <sheetData>
    <row r="1">
      <c r="A1" s="3"/>
      <c r="B1" s="3"/>
      <c r="C1" s="3"/>
      <c r="D1" s="3"/>
      <c r="E1" s="3"/>
      <c r="F1" s="3"/>
      <c r="G1" s="3"/>
      <c r="H1" s="3"/>
      <c r="I1" s="3"/>
      <c r="J1" s="3"/>
      <c r="K1" s="3"/>
      <c r="L1" s="3"/>
      <c r="M1" s="3"/>
      <c r="N1" s="3"/>
      <c r="O1" s="3"/>
    </row>
    <row r="2" ht="41.25" customHeight="1">
      <c r="A2" s="3"/>
      <c r="B2" s="6"/>
      <c r="C2" s="13" t="str">
        <f>Hats!$A$2</f>
        <v>Starter</v>
      </c>
      <c r="D2" s="15"/>
      <c r="E2" s="15"/>
      <c r="F2" s="15"/>
      <c r="G2" s="15"/>
      <c r="H2" s="15"/>
      <c r="I2" s="15"/>
      <c r="J2" s="15"/>
      <c r="K2" s="15"/>
      <c r="L2" s="15"/>
      <c r="M2" s="15"/>
      <c r="N2" s="19"/>
      <c r="O2" s="3"/>
    </row>
    <row r="3">
      <c r="A3" s="21"/>
      <c r="B3" s="23"/>
      <c r="C3" s="23"/>
      <c r="D3" s="23"/>
      <c r="E3" s="23"/>
      <c r="F3" s="23"/>
      <c r="G3" s="23"/>
      <c r="H3" s="23"/>
      <c r="I3" s="23"/>
      <c r="J3" s="23"/>
      <c r="K3" s="23"/>
      <c r="L3" s="23"/>
      <c r="M3" s="23"/>
      <c r="N3" s="26"/>
      <c r="O3" s="27"/>
    </row>
    <row r="4" ht="18.0" customHeight="1">
      <c r="A4" s="3"/>
      <c r="B4" s="28"/>
      <c r="C4" s="32" t="str">
        <f>image(Hats!$F$2, 3)</f>
        <v/>
      </c>
      <c r="D4" s="38" t="str">
        <f>Hats!$B$2</f>
        <v>Cap, Navy</v>
      </c>
      <c r="E4" s="42"/>
      <c r="F4" s="32" t="str">
        <f>image(Hats!$F$3, 3)</f>
        <v/>
      </c>
      <c r="G4" s="38" t="str">
        <f>Hats!$B$3</f>
        <v>Beret, Maroon</v>
      </c>
      <c r="H4" s="42"/>
      <c r="I4" s="32" t="str">
        <f>image(Hats!$F$4, 3)</f>
        <v/>
      </c>
      <c r="J4" s="38" t="str">
        <f>Hats!$B$4</f>
        <v>Bucket Hat, Orange</v>
      </c>
      <c r="K4" s="42"/>
      <c r="L4" s="32" t="str">
        <f>image(Hats!$F$5, 3)</f>
        <v/>
      </c>
      <c r="M4" s="38" t="str">
        <f>Hats!$B$5</f>
        <v>Top Hat, Black</v>
      </c>
      <c r="N4" s="55"/>
      <c r="O4" s="3"/>
    </row>
    <row r="5" ht="14.25" customHeight="1">
      <c r="A5" s="3"/>
      <c r="B5" s="28"/>
      <c r="D5" s="58" t="str">
        <f>Hats!$C$2</f>
        <v>AA01</v>
      </c>
      <c r="E5" s="42"/>
      <c r="G5" s="58" t="str">
        <f>Hats!$C$3</f>
        <v>AA02</v>
      </c>
      <c r="H5" s="42"/>
      <c r="J5" s="58" t="str">
        <f>Hats!$C$4</f>
        <v>AA03</v>
      </c>
      <c r="K5" s="42"/>
      <c r="M5" s="58" t="str">
        <f>Hats!$C$5</f>
        <v>AA04</v>
      </c>
      <c r="N5" s="55"/>
      <c r="O5" s="3"/>
    </row>
    <row r="6" ht="41.25" customHeight="1">
      <c r="A6" s="3"/>
      <c r="B6" s="28"/>
      <c r="D6" s="62" t="str">
        <f>Hats!$D$2</f>
        <v>For sun protection or fashion?</v>
      </c>
      <c r="E6" s="42"/>
      <c r="G6" s="62" t="str">
        <f>Hats!$D$3</f>
        <v>Oui, Oui.</v>
      </c>
      <c r="H6" s="42"/>
      <c r="J6" s="62" t="str">
        <f>Hats!$D$4</f>
        <v>I hear they're hip these days.</v>
      </c>
      <c r="K6" s="42"/>
      <c r="M6" s="62" t="str">
        <f>Hats!$D$5</f>
        <v>No pidgeons included.</v>
      </c>
      <c r="N6" s="55"/>
      <c r="O6" s="3"/>
    </row>
    <row r="7">
      <c r="A7" s="3"/>
      <c r="B7" s="65"/>
      <c r="C7" s="67"/>
      <c r="D7" s="69"/>
      <c r="E7" s="67"/>
      <c r="F7" s="67"/>
      <c r="G7" s="67"/>
      <c r="H7" s="67"/>
      <c r="I7" s="67"/>
      <c r="J7" s="67"/>
      <c r="K7" s="67"/>
      <c r="L7" s="67"/>
      <c r="M7" s="67"/>
      <c r="N7" s="71"/>
      <c r="O7" s="3"/>
    </row>
    <row r="8">
      <c r="A8" s="3"/>
      <c r="B8" s="3"/>
      <c r="C8" s="3"/>
      <c r="D8" s="3"/>
      <c r="E8" s="3"/>
      <c r="F8" s="3"/>
      <c r="G8" s="3"/>
      <c r="H8" s="3"/>
      <c r="I8" s="3"/>
      <c r="J8" s="3"/>
      <c r="K8" s="3"/>
      <c r="L8" s="3"/>
      <c r="M8" s="3"/>
      <c r="N8" s="3"/>
      <c r="O8" s="3"/>
    </row>
    <row r="9" ht="41.25" customHeight="1">
      <c r="A9" s="3"/>
      <c r="B9" s="6"/>
      <c r="C9" s="13" t="str">
        <f>Hats!$A$6</f>
        <v>Basic</v>
      </c>
      <c r="D9" s="15"/>
      <c r="E9" s="15"/>
      <c r="F9" s="15"/>
      <c r="G9" s="15"/>
      <c r="H9" s="15"/>
      <c r="I9" s="15"/>
      <c r="J9" s="15"/>
      <c r="K9" s="15"/>
      <c r="L9" s="15"/>
      <c r="M9" s="15"/>
      <c r="N9" s="19"/>
      <c r="O9" s="3"/>
    </row>
    <row r="10">
      <c r="A10" s="21"/>
      <c r="B10" s="23"/>
      <c r="C10" s="23"/>
      <c r="D10" s="23"/>
      <c r="E10" s="23"/>
      <c r="F10" s="23"/>
      <c r="G10" s="23"/>
      <c r="H10" s="23"/>
      <c r="I10" s="23"/>
      <c r="J10" s="23"/>
      <c r="K10" s="23"/>
      <c r="L10" s="23"/>
      <c r="M10" s="23"/>
      <c r="N10" s="26"/>
      <c r="O10" s="27"/>
    </row>
    <row r="11">
      <c r="A11" s="21"/>
      <c r="B11" s="23"/>
      <c r="C11" s="23"/>
      <c r="D11" s="23"/>
      <c r="E11" s="76" t="s">
        <v>20</v>
      </c>
      <c r="L11" s="23"/>
      <c r="M11" s="23"/>
      <c r="N11" s="26"/>
      <c r="O11" s="27"/>
    </row>
    <row r="12">
      <c r="A12" s="3"/>
      <c r="B12" s="28"/>
      <c r="C12" s="42"/>
      <c r="D12" s="42"/>
      <c r="E12" s="42"/>
      <c r="F12" s="42"/>
      <c r="G12" s="42"/>
      <c r="H12" s="42"/>
      <c r="I12" s="42"/>
      <c r="J12" s="42"/>
      <c r="K12" s="42"/>
      <c r="L12" s="42"/>
      <c r="M12" s="42"/>
      <c r="N12" s="55"/>
      <c r="O12" s="3"/>
    </row>
    <row r="13" ht="18.0" customHeight="1">
      <c r="A13" s="3"/>
      <c r="B13" s="28"/>
      <c r="C13" s="32" t="str">
        <f>image(Hats!$F$6, 3)</f>
        <v/>
      </c>
      <c r="D13" s="38" t="str">
        <f>Hats!$B$6</f>
        <v>Ribbon, Red</v>
      </c>
      <c r="E13" s="42"/>
      <c r="F13" s="32" t="str">
        <f>image(Hats!$F$7, 3)</f>
        <v/>
      </c>
      <c r="G13" s="38" t="str">
        <f>Hats!$B$7</f>
        <v>Ribbon, Yellow</v>
      </c>
      <c r="H13" s="42"/>
      <c r="I13" s="32" t="str">
        <f>image(Hats!$F$8, 3)</f>
        <v/>
      </c>
      <c r="J13" s="38" t="str">
        <f>Hats!$B$8</f>
        <v>Cap, Black</v>
      </c>
      <c r="K13" s="42"/>
      <c r="L13" s="32" t="str">
        <f>image(Hats!$F$9, 3)</f>
        <v/>
      </c>
      <c r="M13" s="38" t="str">
        <f>Hats!$B$9</f>
        <v>Cap, Red</v>
      </c>
      <c r="N13" s="55"/>
      <c r="O13" s="3"/>
    </row>
    <row r="14" ht="14.25" customHeight="1">
      <c r="A14" s="3"/>
      <c r="B14" s="28"/>
      <c r="D14" s="58" t="str">
        <f>Hats!$C$6</f>
        <v>AB01</v>
      </c>
      <c r="E14" s="42"/>
      <c r="G14" s="58" t="str">
        <f>Hats!$C$7</f>
        <v>AB02</v>
      </c>
      <c r="H14" s="42"/>
      <c r="J14" s="58" t="str">
        <f>Hats!$C$8</f>
        <v>AB03</v>
      </c>
      <c r="K14" s="42"/>
      <c r="M14" s="58" t="str">
        <f>Hats!$C$9</f>
        <v>AB04</v>
      </c>
      <c r="N14" s="55"/>
      <c r="O14" s="3"/>
    </row>
    <row r="15" ht="41.25" customHeight="1">
      <c r="A15" s="3"/>
      <c r="B15" s="28"/>
      <c r="D15" s="62" t="str">
        <f>Hats!$D$6</f>
        <v>A pretty bow for your pretty head.</v>
      </c>
      <c r="E15" s="42"/>
      <c r="G15" s="62" t="str">
        <f>Hats!$D$7</f>
        <v>An accessory for a summer day picnic.</v>
      </c>
      <c r="H15" s="42"/>
      <c r="J15" s="62" t="str">
        <f>Hats!$D$8</f>
        <v/>
      </c>
      <c r="K15" s="42"/>
      <c r="M15" s="62" t="str">
        <f>Hats!$D$9</f>
        <v/>
      </c>
      <c r="N15" s="55"/>
      <c r="O15" s="3"/>
    </row>
    <row r="16">
      <c r="A16" s="3"/>
      <c r="B16" s="28"/>
      <c r="C16" s="42"/>
      <c r="D16" s="42"/>
      <c r="E16" s="42"/>
      <c r="F16" s="42"/>
      <c r="G16" s="42"/>
      <c r="H16" s="42"/>
      <c r="I16" s="42"/>
      <c r="J16" s="42"/>
      <c r="K16" s="42"/>
      <c r="L16" s="42"/>
      <c r="M16" s="42"/>
      <c r="N16" s="55"/>
      <c r="O16" s="3"/>
    </row>
    <row r="17" ht="18.0" customHeight="1">
      <c r="A17" s="3"/>
      <c r="B17" s="28"/>
      <c r="C17" s="32" t="str">
        <f>image(Hats!$F$10, 3)</f>
        <v/>
      </c>
      <c r="D17" s="38" t="str">
        <f>Hats!$B$10</f>
        <v>Party Hat, White</v>
      </c>
      <c r="E17" s="42"/>
      <c r="F17" s="32" t="str">
        <f>image(Hats!$F$11, 3)</f>
        <v/>
      </c>
      <c r="G17" s="38" t="str">
        <f>Hats!$B$11</f>
        <v>Party Hat, Blue</v>
      </c>
      <c r="H17" s="42"/>
      <c r="I17" s="32" t="str">
        <f>image(Hats!$F$12, 3)</f>
        <v/>
      </c>
      <c r="J17" s="38" t="str">
        <f>Hats!$B$12</f>
        <v>Party Hat, Green</v>
      </c>
      <c r="K17" s="42"/>
      <c r="L17" s="32" t="str">
        <f>image(Hats!$F$13, 3)</f>
        <v/>
      </c>
      <c r="M17" s="38" t="str">
        <f>Hats!$B$13</f>
        <v>Party Hat, Red</v>
      </c>
      <c r="N17" s="55"/>
      <c r="O17" s="3"/>
    </row>
    <row r="18" ht="14.25" customHeight="1">
      <c r="A18" s="3"/>
      <c r="B18" s="28"/>
      <c r="D18" s="58" t="str">
        <f>Hats!$C$10</f>
        <v>AB05</v>
      </c>
      <c r="E18" s="42"/>
      <c r="G18" s="58" t="str">
        <f>Hats!$C$11</f>
        <v>AB06</v>
      </c>
      <c r="H18" s="42"/>
      <c r="J18" s="58" t="str">
        <f>Hats!$C$12</f>
        <v>AB07</v>
      </c>
      <c r="K18" s="42"/>
      <c r="M18" s="58" t="str">
        <f>Hats!$C$13</f>
        <v>AB08</v>
      </c>
      <c r="N18" s="55"/>
      <c r="O18" s="3"/>
    </row>
    <row r="19" ht="41.25" customHeight="1">
      <c r="A19" s="3"/>
      <c r="B19" s="28"/>
      <c r="D19" s="62" t="str">
        <f>Hats!$D$10</f>
        <v/>
      </c>
      <c r="E19" s="42"/>
      <c r="G19" s="62" t="str">
        <f>Hats!$D$11</f>
        <v/>
      </c>
      <c r="H19" s="42"/>
      <c r="J19" s="62" t="str">
        <f>Hats!$D$11</f>
        <v/>
      </c>
      <c r="K19" s="42"/>
      <c r="M19" s="62" t="str">
        <f>Hats!$D$11</f>
        <v/>
      </c>
      <c r="N19" s="55"/>
      <c r="O19" s="3"/>
    </row>
    <row r="20">
      <c r="A20" s="3"/>
      <c r="B20" s="28"/>
      <c r="C20" s="42"/>
      <c r="D20" s="38"/>
      <c r="E20" s="42"/>
      <c r="F20" s="42"/>
      <c r="G20" s="42"/>
      <c r="H20" s="42"/>
      <c r="I20" s="42"/>
      <c r="J20" s="42"/>
      <c r="K20" s="42"/>
      <c r="L20" s="42"/>
      <c r="M20" s="42"/>
      <c r="N20" s="55"/>
      <c r="O20" s="3"/>
    </row>
    <row r="21" ht="18.0" customHeight="1">
      <c r="A21" s="3"/>
      <c r="B21" s="28"/>
      <c r="C21" s="32" t="str">
        <f>image(Hats!$F$14, 3)</f>
        <v/>
      </c>
      <c r="D21" s="38" t="str">
        <f>Hats!$B$14</f>
        <v>Sprout</v>
      </c>
      <c r="E21" s="42"/>
      <c r="F21" s="32" t="str">
        <f>image(Hats!$F$15, 3)</f>
        <v/>
      </c>
      <c r="G21" s="38" t="str">
        <f>Hats!$B$15</f>
        <v>Face Mask</v>
      </c>
      <c r="H21" s="42"/>
      <c r="I21" s="32" t="str">
        <f>image(Hats!$F$16, 3)</f>
        <v/>
      </c>
      <c r="J21" s="38" t="str">
        <f>Hats!$B$16</f>
        <v>Barrette, Pink</v>
      </c>
      <c r="K21" s="42"/>
      <c r="L21" s="32" t="str">
        <f>image(Hats!$F$17, 3)</f>
        <v/>
      </c>
      <c r="M21" s="38" t="str">
        <f>Hats!$B$17</f>
        <v>Barrette, Purple</v>
      </c>
      <c r="N21" s="55"/>
      <c r="O21" s="3"/>
    </row>
    <row r="22" ht="14.25" customHeight="1">
      <c r="A22" s="3"/>
      <c r="B22" s="28"/>
      <c r="D22" s="58" t="str">
        <f>Hats!$C$14</f>
        <v>AB09</v>
      </c>
      <c r="E22" s="42"/>
      <c r="G22" s="58" t="str">
        <f>Hats!$C$15</f>
        <v>AB10</v>
      </c>
      <c r="H22" s="42"/>
      <c r="J22" s="58" t="str">
        <f>Hats!$C$16</f>
        <v>AB11</v>
      </c>
      <c r="K22" s="42"/>
      <c r="M22" s="58" t="str">
        <f>Hats!$C$17</f>
        <v>AB12</v>
      </c>
      <c r="N22" s="55"/>
      <c r="O22" s="3"/>
    </row>
    <row r="23" ht="41.25" customHeight="1">
      <c r="A23" s="3"/>
      <c r="B23" s="28"/>
      <c r="D23" s="62" t="str">
        <f>Hats!$D$14</f>
        <v/>
      </c>
      <c r="E23" s="42"/>
      <c r="G23" s="62" t="str">
        <f>Hats!$D$15</f>
        <v>6 feet, please!</v>
      </c>
      <c r="H23" s="42"/>
      <c r="J23" s="62" t="str">
        <f>Hats!$D$16</f>
        <v/>
      </c>
      <c r="K23" s="42"/>
      <c r="M23" s="62" t="str">
        <f>Hats!$D$17</f>
        <v/>
      </c>
      <c r="N23" s="55"/>
      <c r="O23" s="3"/>
    </row>
    <row r="24">
      <c r="A24" s="3"/>
      <c r="B24" s="65"/>
      <c r="C24" s="67"/>
      <c r="D24" s="69"/>
      <c r="E24" s="67"/>
      <c r="F24" s="67"/>
      <c r="G24" s="67"/>
      <c r="H24" s="67"/>
      <c r="I24" s="67"/>
      <c r="J24" s="67"/>
      <c r="K24" s="67"/>
      <c r="L24" s="67"/>
      <c r="M24" s="67"/>
      <c r="N24" s="71"/>
      <c r="O24" s="3"/>
    </row>
    <row r="25">
      <c r="A25" s="3"/>
      <c r="B25" s="3"/>
      <c r="C25" s="3"/>
      <c r="D25" s="97"/>
      <c r="E25" s="3"/>
      <c r="F25" s="3"/>
      <c r="G25" s="3"/>
      <c r="H25" s="3"/>
      <c r="I25" s="3"/>
      <c r="J25" s="3"/>
      <c r="K25" s="3"/>
      <c r="L25" s="3"/>
      <c r="M25" s="3"/>
      <c r="N25" s="3"/>
      <c r="O25" s="3"/>
    </row>
    <row r="26" ht="41.25" customHeight="1">
      <c r="A26" s="3"/>
      <c r="B26" s="6"/>
      <c r="C26" s="13" t="str">
        <f>Hats!$A$18</f>
        <v>Animals</v>
      </c>
      <c r="D26" s="15"/>
      <c r="E26" s="15"/>
      <c r="F26" s="15"/>
      <c r="G26" s="15"/>
      <c r="H26" s="15"/>
      <c r="I26" s="15"/>
      <c r="J26" s="15"/>
      <c r="K26" s="15"/>
      <c r="L26" s="15"/>
      <c r="M26" s="15"/>
      <c r="N26" s="19"/>
      <c r="O26" s="3"/>
    </row>
    <row r="27">
      <c r="A27" s="3"/>
      <c r="B27" s="28"/>
      <c r="C27" s="42"/>
      <c r="D27" s="42"/>
      <c r="E27" s="99"/>
      <c r="F27" s="99"/>
      <c r="G27" s="99"/>
      <c r="H27" s="99"/>
      <c r="I27" s="99"/>
      <c r="J27" s="99"/>
      <c r="K27" s="99"/>
      <c r="L27" s="42"/>
      <c r="M27" s="42"/>
      <c r="N27" s="55"/>
      <c r="O27" s="3"/>
    </row>
    <row r="28">
      <c r="A28" s="3"/>
      <c r="B28" s="28"/>
      <c r="C28" s="42"/>
      <c r="D28" s="42"/>
      <c r="E28" s="99" t="s">
        <v>26</v>
      </c>
      <c r="L28" s="42"/>
      <c r="M28" s="42"/>
      <c r="N28" s="55"/>
      <c r="O28" s="3"/>
    </row>
    <row r="29">
      <c r="A29" s="3"/>
      <c r="B29" s="28"/>
      <c r="C29" s="42"/>
      <c r="D29" s="42"/>
      <c r="E29" s="42"/>
      <c r="F29" s="42"/>
      <c r="G29" s="42"/>
      <c r="H29" s="42"/>
      <c r="I29" s="42"/>
      <c r="J29" s="42"/>
      <c r="K29" s="42"/>
      <c r="L29" s="42"/>
      <c r="M29" s="42"/>
      <c r="N29" s="55"/>
      <c r="O29" s="3"/>
    </row>
    <row r="30" ht="24.0" customHeight="1">
      <c r="A30" s="3"/>
      <c r="B30" s="28"/>
      <c r="C30" s="32" t="str">
        <f>image(Hats!$F$18, 3)</f>
        <v/>
      </c>
      <c r="D30" s="38" t="str">
        <f>Hats!$B$18</f>
        <v>Bunny, Pink</v>
      </c>
      <c r="E30" s="42"/>
      <c r="F30" s="32" t="str">
        <f>image(Hats!$F$19, 3)</f>
        <v/>
      </c>
      <c r="G30" s="38" t="str">
        <f>Hats!$B$19</f>
        <v>Bunny, Pink Bows</v>
      </c>
      <c r="H30" s="42"/>
      <c r="I30" s="32" t="str">
        <f>image(Hats!$F$20, 3)</f>
        <v/>
      </c>
      <c r="J30" s="38" t="str">
        <f>Hats!$B$20</f>
        <v>Bunny, Blue</v>
      </c>
      <c r="K30" s="42"/>
      <c r="L30" s="32" t="str">
        <f>image(Hats!$F$21, 3)</f>
        <v/>
      </c>
      <c r="M30" s="38" t="str">
        <f>Hats!$B$21</f>
        <v>Bunny, Blue Bows</v>
      </c>
      <c r="N30" s="55"/>
      <c r="O30" s="3"/>
    </row>
    <row r="31" ht="14.25" customHeight="1">
      <c r="A31" s="3"/>
      <c r="B31" s="28"/>
      <c r="D31" s="58" t="str">
        <f>Hats!$C$18</f>
        <v>AC01</v>
      </c>
      <c r="E31" s="42"/>
      <c r="G31" s="58" t="str">
        <f>Hats!$C$19</f>
        <v>AC02</v>
      </c>
      <c r="H31" s="42"/>
      <c r="J31" s="58" t="str">
        <f>Hats!$C$20</f>
        <v>AC03</v>
      </c>
      <c r="K31" s="42"/>
      <c r="M31" s="58" t="str">
        <f>Hats!$C$21</f>
        <v>AC04</v>
      </c>
      <c r="N31" s="55"/>
      <c r="O31" s="3"/>
    </row>
    <row r="32" ht="41.25" customHeight="1">
      <c r="A32" s="3"/>
      <c r="B32" s="28"/>
      <c r="D32" s="62" t="str">
        <f>Hats!$D$18</f>
        <v>Pink and fluffy bunny ears.</v>
      </c>
      <c r="E32" s="42"/>
      <c r="G32" s="62" t="str">
        <f>Hats!$D$19</f>
        <v>Pink and fluffy bunny ears. Adorned with little bows.</v>
      </c>
      <c r="H32" s="42"/>
      <c r="J32" s="62" t="str">
        <f>Hats!$D$20</f>
        <v>Blue and fluffy bunny ears.</v>
      </c>
      <c r="K32" s="42"/>
      <c r="M32" s="62" t="str">
        <f>Hats!$D$21</f>
        <v>Blue and fluffy bunny ears. Adorned with little bows.</v>
      </c>
      <c r="N32" s="55"/>
      <c r="O32" s="3"/>
    </row>
    <row r="33">
      <c r="A33" s="3"/>
      <c r="B33" s="28"/>
      <c r="C33" s="42"/>
      <c r="D33" s="42"/>
      <c r="E33" s="42"/>
      <c r="F33" s="42"/>
      <c r="G33" s="42"/>
      <c r="H33" s="42"/>
      <c r="I33" s="42"/>
      <c r="J33" s="42"/>
      <c r="K33" s="42"/>
      <c r="L33" s="42"/>
      <c r="M33" s="42"/>
      <c r="N33" s="55"/>
      <c r="O33" s="3"/>
    </row>
    <row r="34" ht="24.0" customHeight="1">
      <c r="A34" s="3"/>
      <c r="B34" s="28"/>
      <c r="C34" s="32" t="str">
        <f>image(Hats!$F$22, 3)</f>
        <v/>
      </c>
      <c r="D34" s="38" t="str">
        <f>Hats!$B$22</f>
        <v>Froggy, Green</v>
      </c>
      <c r="E34" s="42"/>
      <c r="F34" s="32" t="str">
        <f>image(Hats!$F$23, 3)</f>
        <v/>
      </c>
      <c r="G34" s="38" t="str">
        <f>Hats!$B$23</f>
        <v>Froggy, Toad</v>
      </c>
      <c r="H34" s="42"/>
      <c r="I34" s="32" t="str">
        <f>image(Hats!$F$24, 3)</f>
        <v/>
      </c>
      <c r="J34" s="38" t="str">
        <f>Hats!$B$24</f>
        <v>Froggy, Aqua</v>
      </c>
      <c r="K34" s="42"/>
      <c r="L34" s="32" t="str">
        <f>image(Hats!$F$25, 3)</f>
        <v/>
      </c>
      <c r="M34" s="38" t="str">
        <f>Hats!$B$25</f>
        <v>Ducky</v>
      </c>
      <c r="N34" s="55"/>
      <c r="O34" s="3"/>
    </row>
    <row r="35" ht="14.25" customHeight="1">
      <c r="A35" s="3"/>
      <c r="B35" s="28"/>
      <c r="D35" s="58" t="str">
        <f>Hats!$C$22</f>
        <v>AC05</v>
      </c>
      <c r="E35" s="42"/>
      <c r="G35" s="58" t="str">
        <f>Hats!$C$23</f>
        <v>AC06</v>
      </c>
      <c r="H35" s="42"/>
      <c r="J35" s="58" t="str">
        <f>Hats!$C$24</f>
        <v>AC07</v>
      </c>
      <c r="K35" s="42"/>
      <c r="M35" s="58" t="str">
        <f>Hats!$C$25</f>
        <v>AC08</v>
      </c>
      <c r="N35" s="55"/>
      <c r="O35" s="3"/>
    </row>
    <row r="36" ht="41.25" customHeight="1">
      <c r="A36" s="3"/>
      <c r="B36" s="28"/>
      <c r="D36" s="62" t="str">
        <f>Hats!$D$22</f>
        <v>Ribbit.</v>
      </c>
      <c r="E36" s="42"/>
      <c r="G36" s="62" t="str">
        <f>Hats!$D$23</f>
        <v>Croak.</v>
      </c>
      <c r="H36" s="42"/>
      <c r="J36" s="62" t="str">
        <f>Hats!$D$24</f>
        <v>Is he poisonous?</v>
      </c>
      <c r="K36" s="42"/>
      <c r="M36" s="62" t="str">
        <f>Hats!$D$25</f>
        <v>Cleaning Instructions: Hand wash in a bubble bath.</v>
      </c>
      <c r="N36" s="55"/>
      <c r="O36" s="3"/>
    </row>
    <row r="37">
      <c r="A37" s="3"/>
      <c r="B37" s="28"/>
      <c r="C37" s="42"/>
      <c r="D37" s="42"/>
      <c r="E37" s="42"/>
      <c r="F37" s="42"/>
      <c r="G37" s="42"/>
      <c r="H37" s="42"/>
      <c r="I37" s="42"/>
      <c r="J37" s="42"/>
      <c r="K37" s="42"/>
      <c r="L37" s="42"/>
      <c r="M37" s="42"/>
      <c r="N37" s="55"/>
      <c r="O37" s="3"/>
    </row>
    <row r="38" ht="18.0" customHeight="1">
      <c r="A38" s="3"/>
      <c r="B38" s="28"/>
      <c r="C38" s="32" t="str">
        <f>image(Hats!$F$26, 3)</f>
        <v/>
      </c>
      <c r="D38" s="38" t="str">
        <f>Hats!$B$26</f>
        <v>Teddy, Brown</v>
      </c>
      <c r="E38" s="42"/>
      <c r="F38" s="32" t="str">
        <f>image(Hats!$F$27, 3)</f>
        <v/>
      </c>
      <c r="G38" s="38" t="str">
        <f>Hats!$B$27</f>
        <v>Teddy, Brown Ribbon</v>
      </c>
      <c r="H38" s="42"/>
      <c r="I38" s="32" t="str">
        <f>image(Hats!F28, 3)</f>
        <v/>
      </c>
      <c r="J38" s="38" t="str">
        <f>Hats!$B$28</f>
        <v>Teddy, White</v>
      </c>
      <c r="K38" s="42"/>
      <c r="L38" s="32" t="str">
        <f>image(Hats!$F$29, 3)</f>
        <v/>
      </c>
      <c r="M38" s="38" t="str">
        <f>Hats!$B$29</f>
        <v>Teddy, White Ribbon</v>
      </c>
      <c r="N38" s="55"/>
      <c r="O38" s="3"/>
    </row>
    <row r="39" ht="14.25" customHeight="1">
      <c r="A39" s="3"/>
      <c r="B39" s="28"/>
      <c r="D39" s="58" t="str">
        <f>Hats!$C$26</f>
        <v>AC09</v>
      </c>
      <c r="E39" s="42"/>
      <c r="G39" s="58" t="str">
        <f>Hats!$C$27</f>
        <v>AC10</v>
      </c>
      <c r="H39" s="42"/>
      <c r="J39" s="58" t="str">
        <f>Hats!$C$28</f>
        <v>AC11</v>
      </c>
      <c r="K39" s="42"/>
      <c r="M39" s="58" t="str">
        <f>Hats!$C$29</f>
        <v>AC12</v>
      </c>
      <c r="N39" s="55"/>
      <c r="O39" s="3"/>
    </row>
    <row r="40" ht="41.25" customHeight="1">
      <c r="A40" s="3"/>
      <c r="B40" s="28"/>
      <c r="D40" s="62" t="str">
        <f>Hats!$D$26</f>
        <v>Soft and cuddly.</v>
      </c>
      <c r="E40" s="42"/>
      <c r="G40" s="62" t="str">
        <f>Hats!$D$27</f>
        <v>🐻🎀</v>
      </c>
      <c r="H40" s="42"/>
      <c r="J40" s="62" t="str">
        <f>Hats!$D$28</f>
        <v>Soft and cuddly, but winter themed.</v>
      </c>
      <c r="K40" s="42"/>
      <c r="M40" s="62" t="str">
        <f>Hats!$D$29</f>
        <v>🐻‍❄️🎀</v>
      </c>
      <c r="N40" s="55"/>
      <c r="O40" s="3"/>
    </row>
    <row r="41">
      <c r="A41" s="3"/>
      <c r="B41" s="28"/>
      <c r="C41" s="42"/>
      <c r="D41" s="42"/>
      <c r="E41" s="42"/>
      <c r="F41" s="42"/>
      <c r="G41" s="42"/>
      <c r="H41" s="42"/>
      <c r="I41" s="42"/>
      <c r="J41" s="42"/>
      <c r="K41" s="42"/>
      <c r="L41" s="42"/>
      <c r="M41" s="42"/>
      <c r="N41" s="55"/>
      <c r="O41" s="3"/>
    </row>
    <row r="42" ht="18.0" customHeight="1">
      <c r="A42" s="3"/>
      <c r="B42" s="28"/>
      <c r="C42" s="32" t="str">
        <f>image(Hats!$F$30, 3)</f>
        <v/>
      </c>
      <c r="D42" s="38" t="str">
        <f>Hats!$B$30</f>
        <v>Piggy</v>
      </c>
      <c r="E42" s="42"/>
      <c r="F42" s="32" t="str">
        <f>image(Hats!$F$31, 3)</f>
        <v/>
      </c>
      <c r="G42" s="38" t="str">
        <f>Hats!$B$31</f>
        <v>Cow</v>
      </c>
      <c r="H42" s="42"/>
      <c r="I42" s="32" t="str">
        <f>image(Hats!$F$32, 3)</f>
        <v/>
      </c>
      <c r="J42" s="38" t="str">
        <f>Hats!$B$32</f>
        <v>Horse</v>
      </c>
      <c r="K42" s="42"/>
      <c r="L42" s="32" t="str">
        <f>image(Hats!$F$33, 3)</f>
        <v/>
      </c>
      <c r="M42" s="38" t="str">
        <f>Hats!$B$33</f>
        <v>Deer</v>
      </c>
      <c r="N42" s="55"/>
      <c r="O42" s="3"/>
    </row>
    <row r="43" ht="14.25" customHeight="1">
      <c r="A43" s="3"/>
      <c r="B43" s="28"/>
      <c r="D43" s="58" t="str">
        <f>Hats!$C$30</f>
        <v>AC13</v>
      </c>
      <c r="E43" s="42"/>
      <c r="G43" s="58" t="str">
        <f>Hats!$C$31</f>
        <v>AC14</v>
      </c>
      <c r="H43" s="42"/>
      <c r="J43" s="58" t="str">
        <f>Hats!$C$32</f>
        <v>AC15</v>
      </c>
      <c r="K43" s="42"/>
      <c r="M43" s="58" t="str">
        <f>Hats!$C$33</f>
        <v>AC16</v>
      </c>
      <c r="N43" s="55"/>
      <c r="O43" s="3"/>
    </row>
    <row r="44" ht="41.25" customHeight="1">
      <c r="A44" s="3"/>
      <c r="B44" s="28"/>
      <c r="D44" s="62" t="str">
        <f>Hats!$D$30</f>
        <v>Smells slightly like maple ham.</v>
      </c>
      <c r="E44" s="42"/>
      <c r="G44" s="62" t="str">
        <f>Hats!$D$31</f>
        <v>Moo.</v>
      </c>
      <c r="H44" s="42"/>
      <c r="J44" s="62" t="str">
        <f>Hats!$D$32</f>
        <v>Has a very fashionable mane.</v>
      </c>
      <c r="K44" s="42"/>
      <c r="M44" s="62" t="str">
        <f>Hats!$D$33</f>
        <v>Loves you deer-ly.</v>
      </c>
      <c r="N44" s="55"/>
      <c r="O44" s="3"/>
    </row>
    <row r="45">
      <c r="A45" s="3"/>
      <c r="B45" s="28"/>
      <c r="C45" s="42"/>
      <c r="D45" s="62"/>
      <c r="E45" s="42"/>
      <c r="F45" s="42"/>
      <c r="G45" s="42"/>
      <c r="H45" s="42"/>
      <c r="I45" s="42"/>
      <c r="J45" s="42"/>
      <c r="K45" s="42"/>
      <c r="L45" s="42"/>
      <c r="M45" s="42"/>
      <c r="N45" s="55"/>
      <c r="O45" s="3"/>
    </row>
    <row r="46" ht="18.0" customHeight="1">
      <c r="A46" s="3"/>
      <c r="B46" s="28"/>
      <c r="C46" s="32" t="str">
        <f>image(Hats!$F$34, 3)</f>
        <v/>
      </c>
      <c r="D46" s="38" t="str">
        <f>Hats!$B$34</f>
        <v>Red Panda</v>
      </c>
      <c r="E46" s="42"/>
      <c r="F46" s="32" t="str">
        <f>image(Hats!$F$35, 3)</f>
        <v/>
      </c>
      <c r="G46" s="38" t="str">
        <f>Hats!$B$35</f>
        <v>Raccoon</v>
      </c>
      <c r="H46" s="42"/>
      <c r="I46" s="32" t="str">
        <f>image(Hats!$F$36, 3)</f>
        <v/>
      </c>
      <c r="J46" s="38" t="str">
        <f>Hats!$B$36</f>
        <v>Froggy, Crown</v>
      </c>
      <c r="K46" s="42"/>
      <c r="L46" s="32" t="str">
        <f>image(Hats!$F$37, 3)</f>
        <v/>
      </c>
      <c r="M46" s="38" t="str">
        <f>Hats!$B$37</f>
        <v>Unicorn</v>
      </c>
      <c r="N46" s="55"/>
      <c r="O46" s="3"/>
    </row>
    <row r="47" ht="14.25" customHeight="1">
      <c r="A47" s="3"/>
      <c r="B47" s="28"/>
      <c r="D47" s="58" t="str">
        <f>Hats!$C$34</f>
        <v>AC17</v>
      </c>
      <c r="E47" s="42"/>
      <c r="G47" s="58" t="str">
        <f>Hats!$C$35</f>
        <v>AC18</v>
      </c>
      <c r="H47" s="42"/>
      <c r="J47" s="58" t="str">
        <f>Hats!$C$36</f>
        <v>AC19</v>
      </c>
      <c r="K47" s="42"/>
      <c r="M47" s="58" t="str">
        <f>Hats!$C$37</f>
        <v>AC20</v>
      </c>
      <c r="N47" s="55"/>
      <c r="O47" s="3"/>
    </row>
    <row r="48" ht="41.25" customHeight="1">
      <c r="A48" s="3"/>
      <c r="B48" s="28"/>
      <c r="D48" s="62" t="str">
        <f>Hats!$D$34</f>
        <v>Fills you with raging teenager hormones.</v>
      </c>
      <c r="E48" s="42"/>
      <c r="G48" s="62" t="str">
        <f>Hats!$D$35</f>
        <v>Makes you look vicious.</v>
      </c>
      <c r="H48" s="42"/>
      <c r="J48" s="62" t="str">
        <f>Hats!$D$36</f>
        <v>🎁 Reward.
(solemnly) Ribbit. </v>
      </c>
      <c r="K48" s="42"/>
      <c r="M48" s="62" t="str">
        <f>Hats!$D$37</f>
        <v>🎁 Reward.
Very magical!</v>
      </c>
      <c r="N48" s="55"/>
      <c r="O48" s="3"/>
    </row>
    <row r="49">
      <c r="A49" s="3"/>
      <c r="B49" s="65"/>
      <c r="C49" s="67"/>
      <c r="D49" s="67"/>
      <c r="E49" s="67"/>
      <c r="F49" s="67"/>
      <c r="G49" s="67"/>
      <c r="H49" s="67"/>
      <c r="I49" s="67"/>
      <c r="J49" s="67"/>
      <c r="K49" s="67"/>
      <c r="L49" s="67"/>
      <c r="M49" s="67"/>
      <c r="N49" s="71"/>
      <c r="O49" s="3"/>
    </row>
    <row r="50">
      <c r="A50" s="3"/>
      <c r="B50" s="3"/>
      <c r="C50" s="3"/>
      <c r="D50" s="3"/>
      <c r="E50" s="3"/>
      <c r="F50" s="3"/>
      <c r="G50" s="3"/>
      <c r="H50" s="3"/>
      <c r="I50" s="3"/>
      <c r="J50" s="3"/>
      <c r="K50" s="3"/>
      <c r="L50" s="3"/>
      <c r="M50" s="3"/>
      <c r="N50" s="3"/>
      <c r="O50" s="3"/>
    </row>
    <row r="51" ht="41.25" customHeight="1">
      <c r="A51" s="3"/>
      <c r="B51" s="6"/>
      <c r="C51" s="13" t="str">
        <f>Hats!$A$38</f>
        <v>April Fools 2022</v>
      </c>
      <c r="D51" s="15"/>
      <c r="E51" s="15"/>
      <c r="F51" s="15"/>
      <c r="G51" s="15"/>
      <c r="H51" s="15"/>
      <c r="I51" s="15"/>
      <c r="J51" s="15"/>
      <c r="K51" s="15"/>
      <c r="L51" s="15"/>
      <c r="M51" s="15"/>
      <c r="N51" s="19"/>
      <c r="O51" s="3"/>
    </row>
    <row r="52">
      <c r="A52" s="21"/>
      <c r="B52" s="23"/>
      <c r="C52" s="23"/>
      <c r="D52" s="23"/>
      <c r="E52" s="23"/>
      <c r="F52" s="23"/>
      <c r="G52" s="23"/>
      <c r="H52" s="23"/>
      <c r="I52" s="23"/>
      <c r="J52" s="23"/>
      <c r="K52" s="23"/>
      <c r="L52" s="23"/>
      <c r="M52" s="23"/>
      <c r="N52" s="26"/>
      <c r="O52" s="27"/>
    </row>
    <row r="53" ht="18.0" customHeight="1">
      <c r="A53" s="3"/>
      <c r="B53" s="28"/>
      <c r="C53" s="32" t="str">
        <f>image(Hats!$F$38, 3)</f>
        <v/>
      </c>
      <c r="D53" s="38" t="str">
        <f>Hats!$B$38</f>
        <v>Googly Eyes</v>
      </c>
      <c r="E53" s="42"/>
      <c r="F53" s="32" t="str">
        <f>image(Hats!$F$39, 3)</f>
        <v/>
      </c>
      <c r="G53" s="38" t="str">
        <f>Hats!$B$39</f>
        <v>Jester Hat</v>
      </c>
      <c r="H53" s="42"/>
      <c r="I53" s="32"/>
      <c r="J53" s="38"/>
      <c r="K53" s="42"/>
      <c r="L53" s="32"/>
      <c r="M53" s="38"/>
      <c r="N53" s="55"/>
      <c r="O53" s="3"/>
    </row>
    <row r="54" ht="14.25" customHeight="1">
      <c r="A54" s="3"/>
      <c r="B54" s="28"/>
      <c r="D54" s="58" t="str">
        <f>Hats!$C$38</f>
        <v>AD01</v>
      </c>
      <c r="E54" s="42"/>
      <c r="G54" s="58" t="str">
        <f>Hats!$C$39</f>
        <v>AD02</v>
      </c>
      <c r="H54" s="42"/>
      <c r="J54" s="58"/>
      <c r="K54" s="42"/>
      <c r="M54" s="58"/>
      <c r="N54" s="55"/>
      <c r="O54" s="3"/>
    </row>
    <row r="55" ht="41.25" customHeight="1">
      <c r="A55" s="3"/>
      <c r="B55" s="28"/>
      <c r="D55" s="62" t="str">
        <f>Hats!$D$38</f>
        <v>You can make anything silly with googly eyes.</v>
      </c>
      <c r="E55" s="42"/>
      <c r="G55" s="62" t="str">
        <f>Hats!$D$39</f>
        <v>Jingles when you laugh.</v>
      </c>
      <c r="H55" s="42"/>
      <c r="J55" s="62"/>
      <c r="K55" s="42"/>
      <c r="M55" s="62"/>
      <c r="N55" s="55"/>
      <c r="O55" s="3"/>
    </row>
    <row r="56">
      <c r="A56" s="3"/>
      <c r="B56" s="65"/>
      <c r="C56" s="67"/>
      <c r="D56" s="69"/>
      <c r="E56" s="67"/>
      <c r="F56" s="67"/>
      <c r="G56" s="67"/>
      <c r="H56" s="67"/>
      <c r="I56" s="67"/>
      <c r="J56" s="67"/>
      <c r="K56" s="67"/>
      <c r="L56" s="67"/>
      <c r="M56" s="67"/>
      <c r="N56" s="71"/>
      <c r="O56" s="3"/>
    </row>
    <row r="57">
      <c r="A57" s="3"/>
      <c r="B57" s="3"/>
      <c r="C57" s="3"/>
      <c r="D57" s="3"/>
      <c r="E57" s="3"/>
      <c r="F57" s="3"/>
      <c r="G57" s="3"/>
      <c r="H57" s="3"/>
      <c r="I57" s="3"/>
      <c r="J57" s="3"/>
      <c r="K57" s="3"/>
      <c r="L57" s="3"/>
      <c r="M57" s="3"/>
      <c r="N57" s="3"/>
      <c r="O57" s="3"/>
    </row>
  </sheetData>
  <mergeCells count="46">
    <mergeCell ref="C2:M2"/>
    <mergeCell ref="C4:C6"/>
    <mergeCell ref="F4:F6"/>
    <mergeCell ref="I4:I6"/>
    <mergeCell ref="L4:L6"/>
    <mergeCell ref="C9:M9"/>
    <mergeCell ref="E11:K11"/>
    <mergeCell ref="C13:C15"/>
    <mergeCell ref="F13:F15"/>
    <mergeCell ref="I13:I15"/>
    <mergeCell ref="L13:L15"/>
    <mergeCell ref="F17:F19"/>
    <mergeCell ref="I17:I19"/>
    <mergeCell ref="L17:L19"/>
    <mergeCell ref="C17:C19"/>
    <mergeCell ref="C21:C23"/>
    <mergeCell ref="F21:F23"/>
    <mergeCell ref="I21:I23"/>
    <mergeCell ref="L21:L23"/>
    <mergeCell ref="C26:M26"/>
    <mergeCell ref="E28:K28"/>
    <mergeCell ref="C30:C32"/>
    <mergeCell ref="F30:F32"/>
    <mergeCell ref="I30:I32"/>
    <mergeCell ref="L30:L32"/>
    <mergeCell ref="F34:F36"/>
    <mergeCell ref="I34:I36"/>
    <mergeCell ref="L34:L36"/>
    <mergeCell ref="L38:L40"/>
    <mergeCell ref="L42:L44"/>
    <mergeCell ref="L46:L48"/>
    <mergeCell ref="F42:F44"/>
    <mergeCell ref="F46:F48"/>
    <mergeCell ref="I46:I48"/>
    <mergeCell ref="C51:M51"/>
    <mergeCell ref="C53:C55"/>
    <mergeCell ref="F53:F55"/>
    <mergeCell ref="I53:I55"/>
    <mergeCell ref="L53:L55"/>
    <mergeCell ref="C34:C36"/>
    <mergeCell ref="C38:C40"/>
    <mergeCell ref="F38:F40"/>
    <mergeCell ref="I38:I40"/>
    <mergeCell ref="C42:C44"/>
    <mergeCell ref="I42:I44"/>
    <mergeCell ref="C46:C4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BFCA"/>
    <outlinePr summaryBelow="0" summaryRight="0"/>
  </sheetPr>
  <sheetViews>
    <sheetView showGridLines="0" workbookViewId="0"/>
  </sheetViews>
  <sheetFormatPr customHeight="1" defaultColWidth="12.63" defaultRowHeight="15.75" outlineLevelRow="1"/>
  <cols>
    <col customWidth="1" min="2" max="2" width="3.88"/>
    <col customWidth="1" min="4" max="4" width="20.13"/>
    <col customWidth="1" min="5" max="5" width="2.38"/>
    <col customWidth="1" min="7" max="7" width="20.13"/>
    <col customWidth="1" min="8" max="8" width="2.38"/>
    <col customWidth="1" min="10" max="10" width="20.13"/>
    <col customWidth="1" min="11" max="11" width="2.38"/>
    <col customWidth="1" min="13" max="13" width="20.13"/>
    <col customWidth="1" min="14" max="14" width="3.88"/>
  </cols>
  <sheetData>
    <row r="1">
      <c r="A1" s="1"/>
      <c r="B1" s="1"/>
      <c r="C1" s="1"/>
      <c r="D1" s="1"/>
      <c r="E1" s="1"/>
      <c r="F1" s="1"/>
      <c r="G1" s="1"/>
      <c r="H1" s="1"/>
      <c r="I1" s="1"/>
      <c r="J1" s="1"/>
      <c r="K1" s="1"/>
      <c r="L1" s="1"/>
      <c r="M1" s="1"/>
      <c r="N1" s="1"/>
      <c r="O1" s="1"/>
    </row>
    <row r="2" ht="41.25" customHeight="1">
      <c r="A2" s="1"/>
      <c r="B2" s="4"/>
      <c r="C2" s="12" t="str">
        <f>Cats!$A$2</f>
        <v>Starter</v>
      </c>
      <c r="D2" s="16"/>
      <c r="E2" s="16"/>
      <c r="F2" s="16"/>
      <c r="G2" s="16"/>
      <c r="H2" s="16"/>
      <c r="I2" s="16"/>
      <c r="J2" s="16"/>
      <c r="K2" s="16"/>
      <c r="L2" s="16"/>
      <c r="M2" s="16"/>
      <c r="N2" s="29"/>
      <c r="O2" s="1"/>
    </row>
    <row r="3">
      <c r="A3" s="34"/>
      <c r="B3" s="37"/>
      <c r="C3" s="41"/>
      <c r="D3" s="41"/>
      <c r="E3" s="41"/>
      <c r="F3" s="41"/>
      <c r="G3" s="41"/>
      <c r="H3" s="41"/>
      <c r="I3" s="41"/>
      <c r="J3" s="41"/>
      <c r="K3" s="41"/>
      <c r="L3" s="41"/>
      <c r="M3" s="41"/>
      <c r="N3" s="47"/>
      <c r="O3" s="34"/>
    </row>
    <row r="4" ht="18.0" customHeight="1">
      <c r="A4" s="1"/>
      <c r="B4" s="50"/>
      <c r="C4" s="56" t="str">
        <f>image(Cats!$E$2, 3)</f>
        <v/>
      </c>
      <c r="D4" s="60" t="str">
        <f>Cats!$B$2</f>
        <v>Black</v>
      </c>
      <c r="E4" s="61"/>
      <c r="F4" s="56" t="str">
        <f>image(Cats!$E$3, 3)</f>
        <v/>
      </c>
      <c r="G4" s="60" t="str">
        <f>Cats!$B$3</f>
        <v>White</v>
      </c>
      <c r="H4" s="61"/>
      <c r="I4" s="56" t="str">
        <f>image(Cats!$E$4, 3)</f>
        <v/>
      </c>
      <c r="J4" s="60" t="str">
        <f>Cats!$B$4</f>
        <v>Grey</v>
      </c>
      <c r="K4" s="61"/>
      <c r="L4" s="56" t="str">
        <f>image(Cats!$E$5, 3)</f>
        <v/>
      </c>
      <c r="M4" s="60" t="str">
        <f>Cats!$B$5</f>
        <v>Orange</v>
      </c>
      <c r="N4" s="78"/>
      <c r="O4" s="1"/>
    </row>
    <row r="5" ht="14.25" customHeight="1">
      <c r="A5" s="1"/>
      <c r="B5" s="50"/>
      <c r="D5" s="80" t="str">
        <f>Cats!$C$2</f>
        <v>*A01</v>
      </c>
      <c r="E5" s="61"/>
      <c r="G5" s="80" t="str">
        <f>Cats!$C$3</f>
        <v>*A02</v>
      </c>
      <c r="H5" s="61"/>
      <c r="J5" s="80" t="str">
        <f>Cats!$C$4</f>
        <v>*A03</v>
      </c>
      <c r="K5" s="61"/>
      <c r="M5" s="80" t="str">
        <f>Cats!$C$5</f>
        <v>*A04</v>
      </c>
      <c r="N5" s="78"/>
      <c r="O5" s="1"/>
    </row>
    <row r="6" ht="41.25" customHeight="1">
      <c r="A6" s="1"/>
      <c r="B6" s="50"/>
      <c r="D6" s="82" t="str">
        <f>Cats!$D$2</f>
        <v>Your typical house panther.</v>
      </c>
      <c r="E6" s="61"/>
      <c r="G6" s="82" t="str">
        <f>Cats!$D$3</f>
        <v>Likes to nap on blankets.</v>
      </c>
      <c r="H6" s="61"/>
      <c r="J6" s="82" t="str">
        <f>Cats!$D$4</f>
        <v>Very playful.</v>
      </c>
      <c r="K6" s="61"/>
      <c r="M6" s="82" t="str">
        <f>Cats!$D$5</f>
        <v>Extremely food motivated.</v>
      </c>
      <c r="N6" s="78"/>
      <c r="O6" s="1"/>
    </row>
    <row r="7">
      <c r="A7" s="1"/>
      <c r="B7" s="84"/>
      <c r="C7" s="85"/>
      <c r="D7" s="86"/>
      <c r="E7" s="85"/>
      <c r="F7" s="85"/>
      <c r="G7" s="85"/>
      <c r="H7" s="85"/>
      <c r="I7" s="85"/>
      <c r="J7" s="85"/>
      <c r="K7" s="85"/>
      <c r="L7" s="85"/>
      <c r="M7" s="85"/>
      <c r="N7" s="87"/>
      <c r="O7" s="1"/>
    </row>
    <row r="8">
      <c r="A8" s="1"/>
      <c r="B8" s="1"/>
      <c r="C8" s="1"/>
      <c r="D8" s="1"/>
      <c r="E8" s="1"/>
      <c r="F8" s="1"/>
      <c r="G8" s="1"/>
      <c r="H8" s="1"/>
      <c r="I8" s="1"/>
      <c r="J8" s="1"/>
      <c r="K8" s="1"/>
      <c r="L8" s="1"/>
      <c r="M8" s="1"/>
      <c r="N8" s="1"/>
      <c r="O8" s="1"/>
    </row>
    <row r="9" ht="41.25" customHeight="1">
      <c r="A9" s="1"/>
      <c r="B9" s="4"/>
      <c r="C9" s="12" t="str">
        <f>Cats!$A$6</f>
        <v>Basic</v>
      </c>
      <c r="D9" s="16"/>
      <c r="E9" s="16"/>
      <c r="F9" s="16"/>
      <c r="G9" s="16"/>
      <c r="H9" s="16"/>
      <c r="I9" s="16"/>
      <c r="J9" s="16"/>
      <c r="K9" s="16"/>
      <c r="L9" s="16"/>
      <c r="M9" s="16"/>
      <c r="N9" s="29"/>
      <c r="O9" s="1"/>
    </row>
    <row r="10">
      <c r="A10" s="34"/>
      <c r="B10" s="37"/>
      <c r="C10" s="41"/>
      <c r="D10" s="41"/>
      <c r="E10" s="41"/>
      <c r="F10" s="41"/>
      <c r="G10" s="41"/>
      <c r="H10" s="41"/>
      <c r="I10" s="41"/>
      <c r="J10" s="41"/>
      <c r="K10" s="41"/>
      <c r="L10" s="41"/>
      <c r="M10" s="41"/>
      <c r="N10" s="47"/>
      <c r="O10" s="34"/>
    </row>
    <row r="11" ht="18.0" customHeight="1">
      <c r="A11" s="1"/>
      <c r="B11" s="50"/>
      <c r="C11" s="56" t="str">
        <f>image(Cats!$E$6, 3)</f>
        <v/>
      </c>
      <c r="D11" s="60" t="str">
        <f>Cats!$B$6</f>
        <v>Tabby, Grey</v>
      </c>
      <c r="E11" s="61"/>
      <c r="F11" s="56" t="str">
        <f>image(Cats!$E$7, 3)</f>
        <v/>
      </c>
      <c r="G11" s="60" t="str">
        <f>Cats!$B$7</f>
        <v>Tabby, Brown</v>
      </c>
      <c r="H11" s="61"/>
      <c r="I11" s="56" t="str">
        <f>image(Cats!$E$8, 3)</f>
        <v/>
      </c>
      <c r="J11" s="60" t="str">
        <f>Cats!$B$8</f>
        <v>Tabby, Orange</v>
      </c>
      <c r="K11" s="61"/>
      <c r="L11" s="56" t="str">
        <f>image(Cats!$E$9, 3)</f>
        <v/>
      </c>
      <c r="M11" s="60" t="str">
        <f>Cats!$B$9</f>
        <v>Tabby, Torbie</v>
      </c>
      <c r="N11" s="78"/>
      <c r="O11" s="1"/>
    </row>
    <row r="12" ht="14.25" customHeight="1">
      <c r="A12" s="1"/>
      <c r="B12" s="50"/>
      <c r="D12" s="80" t="str">
        <f>Cats!$C$6</f>
        <v>*B01</v>
      </c>
      <c r="E12" s="61"/>
      <c r="G12" s="80" t="str">
        <f>Cats!$C$7</f>
        <v>*B02</v>
      </c>
      <c r="H12" s="61"/>
      <c r="J12" s="80" t="str">
        <f>Cats!$C$8</f>
        <v>*B03</v>
      </c>
      <c r="K12" s="61"/>
      <c r="M12" s="80" t="str">
        <f>Cats!$C$9</f>
        <v>*B04</v>
      </c>
      <c r="N12" s="78"/>
      <c r="O12" s="1"/>
    </row>
    <row r="13" ht="41.25" customHeight="1">
      <c r="A13" s="1"/>
      <c r="B13" s="50"/>
      <c r="D13" s="82" t="str">
        <f>Cats!$D$6</f>
        <v>Likes to push things off tables.</v>
      </c>
      <c r="E13" s="61"/>
      <c r="G13" s="82" t="str">
        <f>Cats!$D$7</f>
        <v>Will climb anything, people included.</v>
      </c>
      <c r="H13" s="61"/>
      <c r="J13" s="82" t="str">
        <f>Cats!$D$8</f>
        <v>Never stops meowing.</v>
      </c>
      <c r="K13" s="61"/>
      <c r="M13" s="82" t="str">
        <f>Cats!$D$9</f>
        <v>Loves you... when they feel like it!</v>
      </c>
      <c r="N13" s="78"/>
      <c r="O13" s="1"/>
    </row>
    <row r="14">
      <c r="A14" s="34"/>
      <c r="B14" s="37"/>
      <c r="C14" s="41"/>
      <c r="D14" s="41"/>
      <c r="E14" s="41"/>
      <c r="F14" s="41"/>
      <c r="G14" s="41"/>
      <c r="H14" s="41"/>
      <c r="I14" s="41"/>
      <c r="J14" s="41"/>
      <c r="K14" s="41"/>
      <c r="L14" s="41"/>
      <c r="M14" s="41"/>
      <c r="N14" s="47"/>
      <c r="O14" s="34"/>
    </row>
    <row r="15" ht="18.0" customHeight="1">
      <c r="A15" s="1"/>
      <c r="B15" s="50"/>
      <c r="C15" s="56" t="str">
        <f>image(Cats!$E$10, 3)</f>
        <v/>
      </c>
      <c r="D15" s="60" t="str">
        <f>Cats!$B$10</f>
        <v>Calico, A</v>
      </c>
      <c r="E15" s="61"/>
      <c r="F15" s="56" t="str">
        <f>image(Cats!$E$11, 3)</f>
        <v/>
      </c>
      <c r="G15" s="60" t="str">
        <f>Cats!$B$11</f>
        <v>Calico, B</v>
      </c>
      <c r="H15" s="61"/>
      <c r="I15" s="56" t="str">
        <f>image(Cats!$E$12, 3)</f>
        <v/>
      </c>
      <c r="J15" s="60" t="str">
        <f>Cats!$B$12</f>
        <v>Calico, C</v>
      </c>
      <c r="K15" s="61"/>
      <c r="L15" s="56" t="str">
        <f>image(Cats!$E$13, 3)</f>
        <v/>
      </c>
      <c r="M15" s="60" t="str">
        <f>Cats!$B$13</f>
        <v>Calico, D</v>
      </c>
      <c r="N15" s="78"/>
      <c r="O15" s="1"/>
    </row>
    <row r="16" ht="14.25" customHeight="1">
      <c r="A16" s="1"/>
      <c r="B16" s="50"/>
      <c r="D16" s="80" t="str">
        <f>Cats!$C$10</f>
        <v>*B05</v>
      </c>
      <c r="E16" s="61"/>
      <c r="G16" s="80" t="str">
        <f>Cats!$C$11</f>
        <v>*B06</v>
      </c>
      <c r="H16" s="61"/>
      <c r="J16" s="80" t="str">
        <f>Cats!$C$12</f>
        <v>*B07</v>
      </c>
      <c r="K16" s="61"/>
      <c r="M16" s="80" t="str">
        <f>Cats!$C$13</f>
        <v>*B08</v>
      </c>
      <c r="N16" s="78"/>
      <c r="O16" s="1"/>
    </row>
    <row r="17" ht="41.25" customHeight="1">
      <c r="A17" s="1"/>
      <c r="B17" s="50"/>
      <c r="D17" s="82" t="str">
        <f>Cats!$D$10</f>
        <v>ZOOMIES.</v>
      </c>
      <c r="E17" s="61"/>
      <c r="G17" s="82" t="str">
        <f>Cats!$D$11</f>
        <v>Likes to nap upside down.</v>
      </c>
      <c r="H17" s="61"/>
      <c r="J17" s="82" t="str">
        <f>Cats!$D$12</f>
        <v>Likes sunny windowsills.</v>
      </c>
      <c r="K17" s="61"/>
      <c r="M17" s="82" t="str">
        <f>Cats!$D$13</f>
        <v>Prefers chicken over salmon.</v>
      </c>
      <c r="N17" s="78"/>
      <c r="O17" s="1"/>
    </row>
    <row r="18">
      <c r="A18" s="34"/>
      <c r="B18" s="37"/>
      <c r="C18" s="41"/>
      <c r="D18" s="41"/>
      <c r="E18" s="41"/>
      <c r="F18" s="41"/>
      <c r="G18" s="41"/>
      <c r="H18" s="41"/>
      <c r="I18" s="41"/>
      <c r="J18" s="41"/>
      <c r="K18" s="41"/>
      <c r="L18" s="41"/>
      <c r="M18" s="41"/>
      <c r="N18" s="47"/>
      <c r="O18" s="34"/>
    </row>
    <row r="19" ht="18.0" customHeight="1">
      <c r="A19" s="1"/>
      <c r="B19" s="50"/>
      <c r="C19" s="56" t="str">
        <f>image(Cats!$E$14, 3)</f>
        <v/>
      </c>
      <c r="D19" s="60" t="str">
        <f>Cats!$B$14</f>
        <v>Calico, E</v>
      </c>
      <c r="E19" s="61"/>
      <c r="F19" s="56" t="str">
        <f>image(Cats!$E$15, 3)</f>
        <v/>
      </c>
      <c r="G19" s="60" t="str">
        <f>Cats!$B$15</f>
        <v>Calico, F</v>
      </c>
      <c r="H19" s="61"/>
      <c r="I19" s="56" t="str">
        <f>image(Cats!$E$16, 3)</f>
        <v/>
      </c>
      <c r="J19" s="60" t="str">
        <f>Cats!$B$16</f>
        <v>Calico, G</v>
      </c>
      <c r="K19" s="61"/>
      <c r="L19" s="56" t="str">
        <f>image(Cats!$E$17, 3)</f>
        <v/>
      </c>
      <c r="M19" s="60" t="str">
        <f>Cats!$B$17</f>
        <v>Calico, H</v>
      </c>
      <c r="N19" s="78"/>
      <c r="O19" s="1"/>
    </row>
    <row r="20" ht="14.25" customHeight="1">
      <c r="A20" s="1"/>
      <c r="B20" s="50"/>
      <c r="D20" s="80" t="str">
        <f>Cats!$C$14</f>
        <v>*B09</v>
      </c>
      <c r="E20" s="61"/>
      <c r="G20" s="80" t="str">
        <f>Cats!$C$15</f>
        <v>*B10</v>
      </c>
      <c r="H20" s="61"/>
      <c r="J20" s="80" t="str">
        <f>Cats!$C$16</f>
        <v>*B11</v>
      </c>
      <c r="K20" s="61"/>
      <c r="M20" s="80" t="str">
        <f>Cats!$C$17</f>
        <v>*B12</v>
      </c>
      <c r="N20" s="78"/>
      <c r="O20" s="1"/>
    </row>
    <row r="21" ht="41.25" customHeight="1">
      <c r="A21" s="1"/>
      <c r="B21" s="50"/>
      <c r="D21" s="82" t="str">
        <f>Cats!$D$14</f>
        <v/>
      </c>
      <c r="E21" s="61"/>
      <c r="G21" s="82" t="str">
        <f>Cats!$D$15</f>
        <v/>
      </c>
      <c r="H21" s="61"/>
      <c r="J21" s="82" t="str">
        <f>Cats!$D$16</f>
        <v/>
      </c>
      <c r="K21" s="61"/>
      <c r="M21" s="82" t="str">
        <f>Cats!$D$17</f>
        <v/>
      </c>
      <c r="N21" s="78"/>
      <c r="O21" s="1"/>
    </row>
    <row r="22">
      <c r="A22" s="1"/>
      <c r="B22" s="84"/>
      <c r="C22" s="85"/>
      <c r="D22" s="86"/>
      <c r="E22" s="85"/>
      <c r="F22" s="85"/>
      <c r="G22" s="85"/>
      <c r="H22" s="85"/>
      <c r="I22" s="85"/>
      <c r="J22" s="85"/>
      <c r="K22" s="85"/>
      <c r="L22" s="85"/>
      <c r="M22" s="85"/>
      <c r="N22" s="87"/>
      <c r="O22" s="1"/>
    </row>
    <row r="23">
      <c r="A23" s="34"/>
      <c r="B23" s="112"/>
      <c r="C23" s="112"/>
      <c r="D23" s="112"/>
      <c r="E23" s="112"/>
      <c r="F23" s="112"/>
      <c r="G23" s="112"/>
      <c r="H23" s="112"/>
      <c r="I23" s="112"/>
      <c r="J23" s="112"/>
      <c r="K23" s="112"/>
      <c r="L23" s="112"/>
      <c r="M23" s="112"/>
      <c r="N23" s="112"/>
      <c r="O23" s="34"/>
    </row>
    <row r="24" ht="41.25" customHeight="1">
      <c r="A24" s="1"/>
      <c r="B24" s="4"/>
      <c r="C24" s="12" t="str">
        <f>Cats!$A$18</f>
        <v>Shop Exclusive</v>
      </c>
      <c r="D24" s="16"/>
      <c r="E24" s="16"/>
      <c r="F24" s="16"/>
      <c r="G24" s="16"/>
      <c r="H24" s="16"/>
      <c r="I24" s="16"/>
      <c r="J24" s="16"/>
      <c r="K24" s="16"/>
      <c r="L24" s="16"/>
      <c r="M24" s="16"/>
      <c r="N24" s="29"/>
      <c r="O24" s="1"/>
    </row>
    <row r="25">
      <c r="A25" s="116"/>
      <c r="B25" s="41"/>
      <c r="C25" s="41"/>
      <c r="D25" s="41"/>
      <c r="E25" s="41"/>
      <c r="F25" s="41"/>
      <c r="G25" s="41"/>
      <c r="H25" s="41"/>
      <c r="I25" s="41"/>
      <c r="J25" s="41"/>
      <c r="K25" s="41"/>
      <c r="L25" s="41"/>
      <c r="M25" s="41"/>
      <c r="N25" s="47"/>
      <c r="O25" s="34"/>
    </row>
    <row r="26" ht="18.0" customHeight="1">
      <c r="A26" s="1"/>
      <c r="B26" s="50"/>
      <c r="C26" s="56" t="str">
        <f>image(Cats!$E$18, 3)</f>
        <v/>
      </c>
      <c r="D26" s="60" t="str">
        <f>Cats!$B$18</f>
        <v>Galaxy</v>
      </c>
      <c r="E26" s="61"/>
      <c r="F26" s="56" t="str">
        <f>image(Cats!$E$19, 3)</f>
        <v/>
      </c>
      <c r="G26" s="60" t="str">
        <f>Cats!$B$19</f>
        <v>Glass</v>
      </c>
      <c r="H26" s="61"/>
      <c r="I26" s="56" t="str">
        <f>image(Cats!$E$20, 3)</f>
        <v/>
      </c>
      <c r="J26" s="60" t="str">
        <f>Cats!$B$20</f>
        <v>Meadow</v>
      </c>
      <c r="K26" s="61"/>
      <c r="L26" s="56" t="str">
        <f>image(Cats!$E$21, 3)</f>
        <v/>
      </c>
      <c r="M26" s="60" t="str">
        <f>Cats!$B$21</f>
        <v>Magma</v>
      </c>
      <c r="N26" s="78"/>
      <c r="O26" s="1"/>
    </row>
    <row r="27" ht="14.25" customHeight="1">
      <c r="A27" s="1"/>
      <c r="B27" s="50"/>
      <c r="D27" s="80" t="str">
        <f>Cats!$C$18</f>
        <v>*C01</v>
      </c>
      <c r="E27" s="61"/>
      <c r="G27" s="80" t="str">
        <f>Cats!$C$19</f>
        <v>*C02</v>
      </c>
      <c r="H27" s="61"/>
      <c r="J27" s="80" t="str">
        <f>Cats!$C$20</f>
        <v>*C03</v>
      </c>
      <c r="K27" s="61"/>
      <c r="M27" s="80" t="str">
        <f>Cats!$C$21</f>
        <v>*C04</v>
      </c>
      <c r="N27" s="78"/>
      <c r="O27" s="1"/>
    </row>
    <row r="28" ht="41.25" customHeight="1">
      <c r="A28" s="1"/>
      <c r="B28" s="50"/>
      <c r="D28" s="82" t="str">
        <f>Cats!$D$18</f>
        <v>Twinkles.</v>
      </c>
      <c r="E28" s="61"/>
      <c r="G28" s="82" t="str">
        <f>Cats!$D$19</f>
        <v>Tinkles.</v>
      </c>
      <c r="H28" s="61"/>
      <c r="J28" s="82" t="str">
        <f>Cats!$D$20</f>
        <v>Smells like fresh grass.</v>
      </c>
      <c r="K28" s="61"/>
      <c r="M28" s="82" t="str">
        <f>Cats!$D$21</f>
        <v>Hot, hot, HOT!</v>
      </c>
      <c r="N28" s="78"/>
      <c r="O28" s="1"/>
    </row>
    <row r="29">
      <c r="A29" s="116"/>
      <c r="B29" s="126"/>
      <c r="C29" s="126"/>
      <c r="D29" s="126"/>
      <c r="E29" s="126"/>
      <c r="F29" s="126"/>
      <c r="G29" s="126"/>
      <c r="H29" s="126"/>
      <c r="I29" s="126"/>
      <c r="J29" s="126"/>
      <c r="K29" s="126"/>
      <c r="L29" s="126"/>
      <c r="M29" s="126"/>
      <c r="N29" s="127"/>
      <c r="O29" s="34"/>
    </row>
    <row r="30">
      <c r="A30" s="34"/>
      <c r="B30" s="34"/>
      <c r="C30" s="34"/>
      <c r="D30" s="34"/>
      <c r="E30" s="34"/>
      <c r="F30" s="34"/>
      <c r="G30" s="34"/>
      <c r="H30" s="34"/>
      <c r="I30" s="34"/>
      <c r="J30" s="34"/>
      <c r="K30" s="34"/>
      <c r="L30" s="34"/>
      <c r="M30" s="34"/>
      <c r="N30" s="34"/>
      <c r="O30" s="34"/>
    </row>
  </sheetData>
  <mergeCells count="23">
    <mergeCell ref="I4:I6"/>
    <mergeCell ref="I11:I13"/>
    <mergeCell ref="I15:I17"/>
    <mergeCell ref="C2:M2"/>
    <mergeCell ref="C4:C6"/>
    <mergeCell ref="F4:F6"/>
    <mergeCell ref="L4:L6"/>
    <mergeCell ref="C9:M9"/>
    <mergeCell ref="F11:F13"/>
    <mergeCell ref="L11:L13"/>
    <mergeCell ref="L19:L21"/>
    <mergeCell ref="C24:M24"/>
    <mergeCell ref="C26:C28"/>
    <mergeCell ref="F26:F28"/>
    <mergeCell ref="I26:I28"/>
    <mergeCell ref="L26:L28"/>
    <mergeCell ref="C11:C13"/>
    <mergeCell ref="C15:C17"/>
    <mergeCell ref="F15:F17"/>
    <mergeCell ref="L15:L17"/>
    <mergeCell ref="C19:C21"/>
    <mergeCell ref="F19:F21"/>
    <mergeCell ref="I19:I2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ABB1"/>
    <outlinePr summaryBelow="0" summaryRight="0"/>
  </sheetPr>
  <sheetViews>
    <sheetView showGridLines="0" workbookViewId="0"/>
  </sheetViews>
  <sheetFormatPr customHeight="1" defaultColWidth="12.63" defaultRowHeight="15.75" outlineLevelRow="1"/>
  <cols>
    <col customWidth="1" min="2" max="2" width="3.88"/>
    <col customWidth="1" min="3" max="4" width="6.38"/>
    <col customWidth="1" min="5" max="5" width="2.63"/>
    <col customWidth="1" min="6" max="7" width="6.38"/>
    <col customWidth="1" min="8" max="8" width="2.38"/>
    <col customWidth="1" min="9" max="10" width="6.38"/>
    <col customWidth="1" min="11" max="11" width="2.38"/>
    <col customWidth="1" min="12" max="13" width="6.38"/>
    <col customWidth="1" min="14" max="14" width="2.38"/>
    <col customWidth="1" min="15" max="16" width="6.38"/>
    <col customWidth="1" min="17" max="17" width="2.38"/>
    <col customWidth="1" min="18" max="19" width="6.38"/>
    <col customWidth="1" min="20" max="20" width="3.88"/>
  </cols>
  <sheetData>
    <row r="1">
      <c r="A1" s="5"/>
      <c r="B1" s="5"/>
      <c r="C1" s="5"/>
      <c r="D1" s="5"/>
      <c r="E1" s="5"/>
      <c r="F1" s="5"/>
      <c r="G1" s="5"/>
      <c r="H1" s="5"/>
      <c r="I1" s="5"/>
      <c r="J1" s="5"/>
      <c r="K1" s="5"/>
      <c r="L1" s="5"/>
      <c r="M1" s="5"/>
      <c r="N1" s="5"/>
      <c r="O1" s="5"/>
      <c r="P1" s="5"/>
      <c r="Q1" s="5"/>
      <c r="R1" s="5"/>
      <c r="S1" s="5"/>
      <c r="T1" s="5"/>
      <c r="U1" s="5"/>
    </row>
    <row r="2">
      <c r="A2" s="5"/>
      <c r="B2" s="10"/>
      <c r="C2" s="11"/>
      <c r="D2" s="11"/>
      <c r="E2" s="11"/>
      <c r="F2" s="11"/>
      <c r="G2" s="14"/>
      <c r="H2" s="14"/>
      <c r="I2" s="14"/>
      <c r="J2" s="14"/>
      <c r="K2" s="14"/>
      <c r="L2" s="14"/>
      <c r="M2" s="14"/>
      <c r="N2" s="14"/>
      <c r="O2" s="14"/>
      <c r="P2" s="14"/>
      <c r="Q2" s="11"/>
      <c r="R2" s="11"/>
      <c r="S2" s="11"/>
      <c r="T2" s="17"/>
      <c r="U2" s="5"/>
    </row>
    <row r="3">
      <c r="A3" s="18"/>
      <c r="B3" s="20"/>
      <c r="C3" s="22"/>
      <c r="D3" s="22"/>
      <c r="E3" s="24"/>
      <c r="F3" s="31">
        <f>date(2022, 4, 4)</f>
        <v>44655</v>
      </c>
      <c r="Q3" s="24"/>
      <c r="R3" s="22"/>
      <c r="S3" s="22"/>
      <c r="T3" s="35"/>
      <c r="U3" s="18"/>
    </row>
    <row r="4">
      <c r="A4" s="18"/>
      <c r="B4" s="20"/>
      <c r="C4" s="22"/>
      <c r="D4" s="22"/>
      <c r="E4" s="39"/>
      <c r="F4" s="43" t="s">
        <v>13</v>
      </c>
      <c r="Q4" s="39"/>
      <c r="R4" s="22"/>
      <c r="S4" s="22"/>
      <c r="T4" s="35"/>
      <c r="U4" s="18"/>
    </row>
    <row r="5">
      <c r="A5" s="18"/>
      <c r="B5" s="20"/>
      <c r="C5" s="22"/>
      <c r="D5" s="22"/>
      <c r="E5" s="39"/>
      <c r="F5" s="22"/>
      <c r="G5" s="22"/>
      <c r="H5" s="39"/>
      <c r="I5" s="22"/>
      <c r="J5" s="22"/>
      <c r="K5" s="39"/>
      <c r="L5" s="22"/>
      <c r="M5" s="22"/>
      <c r="N5" s="39"/>
      <c r="O5" s="22"/>
      <c r="P5" s="22"/>
      <c r="Q5" s="39"/>
      <c r="R5" s="22"/>
      <c r="S5" s="22"/>
      <c r="T5" s="35"/>
      <c r="U5" s="18"/>
    </row>
    <row r="6" ht="56.25" customHeight="1">
      <c r="A6" s="5"/>
      <c r="B6" s="48"/>
      <c r="C6" s="52" t="str">
        <f>SeaCrest!$J$10</f>
        <v/>
      </c>
      <c r="E6" s="53"/>
      <c r="F6" s="52" t="str">
        <f>Springacres!$J$10</f>
        <v/>
      </c>
      <c r="H6" s="53"/>
      <c r="I6" s="52" t="str">
        <f>Pinkshadow!$J$10</f>
        <v/>
      </c>
      <c r="K6" s="53"/>
      <c r="L6" s="52" t="str">
        <f>'Luv007'!$J$10</f>
        <v/>
      </c>
      <c r="N6" s="53"/>
      <c r="O6" s="52" t="str">
        <f>Ryuukokoro!$J$10</f>
        <v/>
      </c>
      <c r="Q6" s="53"/>
      <c r="R6" s="52" t="str">
        <f>Saturnalia!$J$10</f>
        <v/>
      </c>
      <c r="T6" s="63"/>
      <c r="U6" s="5"/>
    </row>
    <row r="7" ht="18.0" customHeight="1">
      <c r="A7" s="5"/>
      <c r="B7" s="48"/>
      <c r="C7" s="64" t="s">
        <v>14</v>
      </c>
      <c r="E7" s="53"/>
      <c r="F7" s="64" t="s">
        <v>15</v>
      </c>
      <c r="H7" s="53"/>
      <c r="I7" s="64" t="s">
        <v>16</v>
      </c>
      <c r="K7" s="53"/>
      <c r="L7" s="64" t="s">
        <v>17</v>
      </c>
      <c r="N7" s="53"/>
      <c r="O7" s="64" t="s">
        <v>18</v>
      </c>
      <c r="Q7" s="53"/>
      <c r="R7" s="64" t="s">
        <v>19</v>
      </c>
      <c r="T7" s="63"/>
      <c r="U7" s="5"/>
    </row>
    <row r="8">
      <c r="A8" s="66"/>
      <c r="B8" s="68"/>
      <c r="C8" s="72" t="str">
        <f>IMAGE(Cats!$F$6, 3)</f>
        <v/>
      </c>
      <c r="D8" s="74" t="str">
        <f>IMAGE(Hats!$G$11, 3)</f>
        <v/>
      </c>
      <c r="E8" s="75"/>
      <c r="F8" s="72" t="str">
        <f>IMAGE(Cats!$F$9, 3)</f>
        <v/>
      </c>
      <c r="G8" s="77" t="str">
        <f>IMAGE(Hats!$G$30, 3)</f>
        <v/>
      </c>
      <c r="H8" s="75"/>
      <c r="I8" s="72" t="str">
        <f>IMAGE(Cats!$F$9, 3)</f>
        <v/>
      </c>
      <c r="J8" s="77" t="str">
        <f>IMAGE(Hats!$G$7, 3)</f>
        <v/>
      </c>
      <c r="K8" s="75"/>
      <c r="L8" s="72" t="str">
        <f>IMAGE(Cats!$F$9, 3)</f>
        <v/>
      </c>
      <c r="M8" s="77" t="str">
        <f>IMAGE(Hats!$G$35, 3)</f>
        <v/>
      </c>
      <c r="N8" s="75"/>
      <c r="O8" s="81" t="str">
        <f>IMAGE(Cats!$F$2, 3)</f>
        <v/>
      </c>
      <c r="P8" s="77" t="str">
        <f>IMAGE(Hats!$G$35, 3)</f>
        <v/>
      </c>
      <c r="Q8" s="75"/>
      <c r="R8" s="81" t="str">
        <f>IMAGE(Cats!$F$4, 3)</f>
        <v/>
      </c>
      <c r="S8" s="77" t="str">
        <f>IMAGE(Hats!$G$38, 3)</f>
        <v/>
      </c>
      <c r="T8" s="83"/>
      <c r="U8" s="66"/>
    </row>
    <row r="9">
      <c r="A9" s="66"/>
      <c r="B9" s="68"/>
      <c r="C9" s="81"/>
      <c r="D9" s="77"/>
      <c r="E9" s="75"/>
      <c r="F9" s="81"/>
      <c r="G9" s="77"/>
      <c r="H9" s="75"/>
      <c r="I9" s="81"/>
      <c r="J9" s="77"/>
      <c r="K9" s="75"/>
      <c r="L9" s="81"/>
      <c r="M9" s="77"/>
      <c r="N9" s="75"/>
      <c r="O9" s="81"/>
      <c r="P9" s="77"/>
      <c r="Q9" s="75"/>
      <c r="R9" s="81"/>
      <c r="S9" s="77"/>
      <c r="T9" s="83"/>
      <c r="U9" s="66"/>
    </row>
    <row r="10" ht="56.25" customHeight="1">
      <c r="A10" s="5"/>
      <c r="B10" s="48"/>
      <c r="C10" s="52" t="str">
        <f>XLostxDestinyX!$J$10</f>
        <v/>
      </c>
      <c r="E10" s="53"/>
      <c r="F10" s="52" t="str">
        <f>Aralie!$J$10</f>
        <v/>
      </c>
      <c r="H10" s="53"/>
      <c r="I10" s="52" t="str">
        <f>YLO!$J$10</f>
        <v/>
      </c>
      <c r="K10" s="53"/>
      <c r="L10" s="52"/>
      <c r="N10" s="53"/>
      <c r="O10" s="52"/>
      <c r="Q10" s="53"/>
      <c r="R10" s="52"/>
      <c r="T10" s="63"/>
      <c r="U10" s="5"/>
    </row>
    <row r="11" ht="18.0" customHeight="1">
      <c r="A11" s="5"/>
      <c r="B11" s="48"/>
      <c r="C11" s="64" t="s">
        <v>21</v>
      </c>
      <c r="E11" s="53"/>
      <c r="F11" s="64" t="s">
        <v>22</v>
      </c>
      <c r="H11" s="53"/>
      <c r="I11" s="64" t="s">
        <v>23</v>
      </c>
      <c r="K11" s="53"/>
      <c r="L11" s="64"/>
      <c r="N11" s="53"/>
      <c r="O11" s="64"/>
      <c r="Q11" s="53"/>
      <c r="R11" s="64"/>
      <c r="T11" s="63"/>
      <c r="U11" s="5"/>
    </row>
    <row r="12">
      <c r="A12" s="66"/>
      <c r="B12" s="68"/>
      <c r="C12" s="72" t="str">
        <f>IMAGE(Cats!$F$9, 3)</f>
        <v/>
      </c>
      <c r="D12" s="77" t="str">
        <f>IMAGE(Hats!$G$33, 3)</f>
        <v/>
      </c>
      <c r="E12" s="75"/>
      <c r="F12" s="72" t="str">
        <f>IMAGE(Cats!$F$9, 3)</f>
        <v/>
      </c>
      <c r="G12" s="77" t="str">
        <f>IMAGE(Hats!$G$35, 3)</f>
        <v/>
      </c>
      <c r="H12" s="75"/>
      <c r="I12" s="81" t="str">
        <f>IMAGE(Cats!$F$7, 3)</f>
        <v/>
      </c>
      <c r="J12" s="77" t="str">
        <f>IMAGE(Hats!$G$10, 3)</f>
        <v/>
      </c>
      <c r="K12" s="75"/>
      <c r="L12" s="81"/>
      <c r="M12" s="77"/>
      <c r="N12" s="75"/>
      <c r="O12" s="81"/>
      <c r="P12" s="77"/>
      <c r="Q12" s="75"/>
      <c r="R12" s="81"/>
      <c r="S12" s="77"/>
      <c r="T12" s="83"/>
      <c r="U12" s="66"/>
    </row>
    <row r="13">
      <c r="A13" s="5"/>
      <c r="B13" s="88"/>
      <c r="C13" s="89"/>
      <c r="D13" s="90"/>
      <c r="E13" s="89"/>
      <c r="F13" s="89"/>
      <c r="G13" s="90"/>
      <c r="H13" s="89"/>
      <c r="I13" s="89"/>
      <c r="J13" s="90"/>
      <c r="K13" s="89"/>
      <c r="L13" s="89"/>
      <c r="M13" s="90"/>
      <c r="N13" s="89"/>
      <c r="O13" s="89"/>
      <c r="P13" s="90"/>
      <c r="Q13" s="89"/>
      <c r="R13" s="89"/>
      <c r="S13" s="90"/>
      <c r="T13" s="91"/>
      <c r="U13" s="5"/>
    </row>
    <row r="14">
      <c r="A14" s="5"/>
      <c r="B14" s="5"/>
      <c r="C14" s="5"/>
      <c r="D14" s="5"/>
      <c r="E14" s="5"/>
      <c r="F14" s="5"/>
      <c r="G14" s="5"/>
      <c r="H14" s="5"/>
      <c r="I14" s="5"/>
      <c r="J14" s="5"/>
      <c r="K14" s="5"/>
      <c r="L14" s="5"/>
      <c r="M14" s="5"/>
      <c r="N14" s="5"/>
      <c r="O14" s="5"/>
      <c r="P14" s="5"/>
      <c r="Q14" s="5"/>
      <c r="R14" s="5"/>
      <c r="S14" s="5"/>
      <c r="T14" s="5"/>
      <c r="U14" s="5"/>
    </row>
    <row r="15">
      <c r="A15" s="5"/>
      <c r="B15" s="10"/>
      <c r="C15" s="11"/>
      <c r="D15" s="11"/>
      <c r="E15" s="11"/>
      <c r="F15" s="11"/>
      <c r="G15" s="14"/>
      <c r="H15" s="14"/>
      <c r="I15" s="14"/>
      <c r="J15" s="14"/>
      <c r="K15" s="14"/>
      <c r="L15" s="14"/>
      <c r="M15" s="14"/>
      <c r="N15" s="14"/>
      <c r="O15" s="14"/>
      <c r="P15" s="14"/>
      <c r="Q15" s="11"/>
      <c r="R15" s="11"/>
      <c r="S15" s="11"/>
      <c r="T15" s="17"/>
      <c r="U15" s="5"/>
    </row>
    <row r="16">
      <c r="A16" s="18"/>
      <c r="B16" s="20"/>
      <c r="C16" s="22"/>
      <c r="D16" s="22"/>
      <c r="E16" s="24"/>
      <c r="F16" s="31">
        <f>date(2022, 3, 27)</f>
        <v>44647</v>
      </c>
      <c r="Q16" s="24"/>
      <c r="R16" s="22"/>
      <c r="S16" s="22"/>
      <c r="T16" s="35"/>
      <c r="U16" s="18"/>
    </row>
    <row r="17">
      <c r="A17" s="18"/>
      <c r="B17" s="20"/>
      <c r="C17" s="22"/>
      <c r="D17" s="22"/>
      <c r="E17" s="39"/>
      <c r="F17" s="43" t="s">
        <v>24</v>
      </c>
      <c r="Q17" s="39"/>
      <c r="R17" s="22"/>
      <c r="S17" s="22"/>
      <c r="T17" s="35"/>
      <c r="U17" s="18"/>
    </row>
    <row r="18">
      <c r="A18" s="18"/>
      <c r="B18" s="20"/>
      <c r="C18" s="22"/>
      <c r="D18" s="22"/>
      <c r="E18" s="39"/>
      <c r="F18" s="22"/>
      <c r="G18" s="22"/>
      <c r="H18" s="39"/>
      <c r="I18" s="22"/>
      <c r="J18" s="22"/>
      <c r="K18" s="39"/>
      <c r="L18" s="22"/>
      <c r="M18" s="22"/>
      <c r="N18" s="39"/>
      <c r="O18" s="22"/>
      <c r="P18" s="22"/>
      <c r="Q18" s="39"/>
      <c r="R18" s="22"/>
      <c r="S18" s="22"/>
      <c r="T18" s="35"/>
      <c r="U18" s="18"/>
    </row>
    <row r="19" ht="56.25" customHeight="1">
      <c r="A19" s="5"/>
      <c r="B19" s="48"/>
      <c r="C19" s="52" t="str">
        <f>Springacres!$F$10</f>
        <v/>
      </c>
      <c r="E19" s="53"/>
      <c r="F19" s="52" t="str">
        <f>Pinkshadow!$B$10</f>
        <v/>
      </c>
      <c r="H19" s="53"/>
      <c r="I19" s="52" t="str">
        <f>XLostxDestinyX!$F$10</f>
        <v/>
      </c>
      <c r="K19" s="53"/>
      <c r="L19" s="52" t="str">
        <f>'Sunshine Warrior'!$F$10</f>
        <v/>
      </c>
      <c r="N19" s="53"/>
      <c r="O19" s="52" t="str">
        <f>YLO!$F$10</f>
        <v/>
      </c>
      <c r="Q19" s="53"/>
      <c r="R19" s="52" t="str">
        <f>Saturnalia!$F$10</f>
        <v/>
      </c>
      <c r="T19" s="63"/>
      <c r="U19" s="5"/>
    </row>
    <row r="20" ht="18.0" customHeight="1">
      <c r="A20" s="5"/>
      <c r="B20" s="48"/>
      <c r="C20" s="64" t="s">
        <v>15</v>
      </c>
      <c r="E20" s="53"/>
      <c r="F20" s="64" t="s">
        <v>16</v>
      </c>
      <c r="H20" s="53"/>
      <c r="I20" s="64" t="s">
        <v>21</v>
      </c>
      <c r="K20" s="53"/>
      <c r="L20" s="96" t="s">
        <v>25</v>
      </c>
      <c r="N20" s="53"/>
      <c r="O20" s="64" t="s">
        <v>23</v>
      </c>
      <c r="Q20" s="53"/>
      <c r="R20" s="64" t="s">
        <v>19</v>
      </c>
      <c r="T20" s="63"/>
      <c r="U20" s="5"/>
    </row>
    <row r="21">
      <c r="A21" s="66"/>
      <c r="B21" s="68"/>
      <c r="C21" s="81" t="str">
        <f>IMAGE(Cats!$F$5, 3)</f>
        <v/>
      </c>
      <c r="D21" s="77" t="str">
        <f>IMAGE(Hats!$G$27, 3)</f>
        <v/>
      </c>
      <c r="E21" s="75"/>
      <c r="F21" s="81" t="str">
        <f>IMAGE(Cats!$F$2, 3)</f>
        <v/>
      </c>
      <c r="G21" s="77" t="str">
        <f>IMAGE(Hats!$G$3, 3)</f>
        <v/>
      </c>
      <c r="H21" s="75"/>
      <c r="I21" s="81" t="str">
        <f>IMAGE(Cats!$F$3, 3)</f>
        <v/>
      </c>
      <c r="J21" s="77" t="str">
        <f>IMAGE(Hats!$G$31, 3)</f>
        <v/>
      </c>
      <c r="K21" s="75"/>
      <c r="L21" s="81" t="str">
        <f>IMAGE(Cats!$F$5, 3)</f>
        <v/>
      </c>
      <c r="M21" s="77" t="str">
        <f>IMAGE(Hats!$G$26, 3)</f>
        <v/>
      </c>
      <c r="N21" s="75"/>
      <c r="O21" s="81" t="str">
        <f>IMAGE(Cats!$F$2, 3)</f>
        <v/>
      </c>
      <c r="P21" s="77"/>
      <c r="Q21" s="75"/>
      <c r="R21" s="81" t="str">
        <f>IMAGE(Cats!$F$4, 3)</f>
        <v/>
      </c>
      <c r="S21" s="77"/>
      <c r="T21" s="83"/>
      <c r="U21" s="66"/>
    </row>
    <row r="22">
      <c r="A22" s="66"/>
      <c r="B22" s="68"/>
      <c r="C22" s="81"/>
      <c r="D22" s="77"/>
      <c r="E22" s="75"/>
      <c r="F22" s="81"/>
      <c r="G22" s="77"/>
      <c r="H22" s="75"/>
      <c r="I22" s="81"/>
      <c r="J22" s="77"/>
      <c r="K22" s="75"/>
      <c r="L22" s="81"/>
      <c r="M22" s="77"/>
      <c r="N22" s="75"/>
      <c r="O22" s="81"/>
      <c r="P22" s="77"/>
      <c r="Q22" s="75"/>
      <c r="R22" s="81"/>
      <c r="S22" s="77"/>
      <c r="T22" s="83"/>
      <c r="U22" s="66"/>
    </row>
    <row r="23" ht="56.25" customHeight="1">
      <c r="A23" s="5"/>
      <c r="B23" s="48"/>
      <c r="C23" s="52" t="str">
        <f>Ember!$F$10</f>
        <v/>
      </c>
      <c r="E23" s="53"/>
      <c r="F23" s="52" t="str">
        <f>'Luv007'!$F$10</f>
        <v/>
      </c>
      <c r="H23" s="53"/>
      <c r="I23" s="52" t="str">
        <f>Wildfilly94!$F$10</f>
        <v/>
      </c>
      <c r="K23" s="53"/>
      <c r="L23" s="52" t="str">
        <f>Aralie!$F$10</f>
        <v/>
      </c>
      <c r="N23" s="53"/>
      <c r="O23" s="52" t="str">
        <f>Ryuukokoro!$F$10</f>
        <v/>
      </c>
      <c r="Q23" s="53"/>
      <c r="R23" s="52" t="str">
        <f>SeaCrest!$F$10</f>
        <v/>
      </c>
      <c r="T23" s="63"/>
      <c r="U23" s="5"/>
    </row>
    <row r="24" ht="18.0" customHeight="1">
      <c r="A24" s="5"/>
      <c r="B24" s="48"/>
      <c r="C24" s="64" t="s">
        <v>28</v>
      </c>
      <c r="E24" s="53"/>
      <c r="F24" s="64" t="s">
        <v>17</v>
      </c>
      <c r="H24" s="53"/>
      <c r="I24" s="64" t="s">
        <v>29</v>
      </c>
      <c r="K24" s="53"/>
      <c r="L24" s="64" t="s">
        <v>22</v>
      </c>
      <c r="N24" s="53"/>
      <c r="O24" s="64" t="s">
        <v>18</v>
      </c>
      <c r="Q24" s="53"/>
      <c r="R24" s="64" t="s">
        <v>14</v>
      </c>
      <c r="T24" s="63"/>
      <c r="U24" s="5"/>
    </row>
    <row r="25">
      <c r="A25" s="66"/>
      <c r="B25" s="68"/>
      <c r="C25" s="81" t="str">
        <f>IMAGE(Cats!$F$4, 3)</f>
        <v/>
      </c>
      <c r="D25" s="77"/>
      <c r="E25" s="75"/>
      <c r="F25" s="81" t="str">
        <f>IMAGE(Cats!$F$3, 3)</f>
        <v/>
      </c>
      <c r="G25" s="77" t="str">
        <f>IMAGE(Hats!$G$34, 3)</f>
        <v/>
      </c>
      <c r="H25" s="75"/>
      <c r="I25" s="81" t="str">
        <f>IMAGE(Cats!$F$3, 3)</f>
        <v/>
      </c>
      <c r="J25" s="77" t="str">
        <f>IMAGE(Hats!$G$24, 3)</f>
        <v/>
      </c>
      <c r="K25" s="75"/>
      <c r="L25" s="81" t="str">
        <f>IMAGE(Cats!$F$4, 3)</f>
        <v/>
      </c>
      <c r="M25" s="77" t="str">
        <f>IMAGE(Hats!$G$33, 3)</f>
        <v/>
      </c>
      <c r="N25" s="75"/>
      <c r="O25" s="81" t="str">
        <f>IMAGE(Cats!$F$2, 3)</f>
        <v/>
      </c>
      <c r="P25" s="77" t="str">
        <f>IMAGE(Hats!$G$34, 3)</f>
        <v/>
      </c>
      <c r="Q25" s="75"/>
      <c r="R25" s="81" t="str">
        <f>IMAGE(Cats!$F$3, 3)</f>
        <v/>
      </c>
      <c r="S25" s="77"/>
      <c r="T25" s="83"/>
      <c r="U25" s="66"/>
    </row>
    <row r="26">
      <c r="A26" s="118"/>
      <c r="B26" s="119"/>
      <c r="C26" s="119"/>
      <c r="D26" s="119"/>
      <c r="E26" s="119"/>
      <c r="F26" s="119"/>
      <c r="G26" s="119"/>
      <c r="H26" s="119"/>
      <c r="I26" s="119"/>
      <c r="J26" s="119"/>
      <c r="K26" s="119"/>
      <c r="L26" s="119"/>
      <c r="M26" s="119"/>
      <c r="N26" s="119"/>
      <c r="O26" s="119"/>
      <c r="P26" s="119"/>
      <c r="Q26" s="119"/>
      <c r="R26" s="119"/>
      <c r="S26" s="119"/>
      <c r="T26" s="121"/>
      <c r="U26" s="18"/>
    </row>
    <row r="27">
      <c r="A27" s="5"/>
      <c r="B27" s="5"/>
      <c r="C27" s="5"/>
      <c r="D27" s="5"/>
      <c r="E27" s="5"/>
      <c r="F27" s="5"/>
      <c r="G27" s="5"/>
      <c r="H27" s="5"/>
      <c r="I27" s="5"/>
      <c r="J27" s="5"/>
      <c r="K27" s="5"/>
      <c r="L27" s="5"/>
      <c r="M27" s="5"/>
      <c r="N27" s="5"/>
      <c r="O27" s="5"/>
      <c r="P27" s="5"/>
      <c r="Q27" s="5"/>
      <c r="R27" s="5"/>
      <c r="S27" s="5"/>
      <c r="T27" s="5"/>
      <c r="U27" s="5"/>
    </row>
  </sheetData>
  <mergeCells count="54">
    <mergeCell ref="I20:J20"/>
    <mergeCell ref="L20:M20"/>
    <mergeCell ref="R20:S20"/>
    <mergeCell ref="F19:G19"/>
    <mergeCell ref="F20:G20"/>
    <mergeCell ref="F23:G23"/>
    <mergeCell ref="I23:J23"/>
    <mergeCell ref="L23:M23"/>
    <mergeCell ref="O23:P23"/>
    <mergeCell ref="R23:S23"/>
    <mergeCell ref="O6:P6"/>
    <mergeCell ref="R6:S6"/>
    <mergeCell ref="R7:S7"/>
    <mergeCell ref="F6:G6"/>
    <mergeCell ref="F7:G7"/>
    <mergeCell ref="C10:D10"/>
    <mergeCell ref="F10:G10"/>
    <mergeCell ref="I10:J10"/>
    <mergeCell ref="C11:D11"/>
    <mergeCell ref="F11:G11"/>
    <mergeCell ref="I11:J11"/>
    <mergeCell ref="F2:P2"/>
    <mergeCell ref="F3:P3"/>
    <mergeCell ref="F4:P4"/>
    <mergeCell ref="C6:D6"/>
    <mergeCell ref="I6:J6"/>
    <mergeCell ref="C7:D7"/>
    <mergeCell ref="I7:J7"/>
    <mergeCell ref="O7:P7"/>
    <mergeCell ref="L6:M6"/>
    <mergeCell ref="L7:M7"/>
    <mergeCell ref="L10:M10"/>
    <mergeCell ref="O10:P10"/>
    <mergeCell ref="R10:S10"/>
    <mergeCell ref="L11:M11"/>
    <mergeCell ref="R11:S11"/>
    <mergeCell ref="L19:M19"/>
    <mergeCell ref="O19:P19"/>
    <mergeCell ref="R19:S19"/>
    <mergeCell ref="O11:P11"/>
    <mergeCell ref="F15:P15"/>
    <mergeCell ref="F16:P16"/>
    <mergeCell ref="F17:P17"/>
    <mergeCell ref="C19:D19"/>
    <mergeCell ref="I19:J19"/>
    <mergeCell ref="C20:D20"/>
    <mergeCell ref="O20:P20"/>
    <mergeCell ref="C23:D23"/>
    <mergeCell ref="C24:D24"/>
    <mergeCell ref="F24:G24"/>
    <mergeCell ref="I24:J24"/>
    <mergeCell ref="L24:M24"/>
    <mergeCell ref="O24:P24"/>
    <mergeCell ref="R24:S2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BDAB"/>
    <outlinePr summaryBelow="0" summaryRight="0"/>
  </sheetPr>
  <sheetViews>
    <sheetView showGridLines="0" workbookViewId="0"/>
  </sheetViews>
  <sheetFormatPr customHeight="1" defaultColWidth="12.63" defaultRowHeight="15.75" outlineLevelRow="1"/>
  <cols>
    <col customWidth="1" min="2" max="2" width="3.88"/>
    <col customWidth="1" min="4" max="4" width="20.13"/>
    <col customWidth="1" min="5" max="5" width="2.38"/>
    <col customWidth="1" min="7" max="7" width="20.13"/>
    <col customWidth="1" min="8" max="8" width="2.38"/>
    <col customWidth="1" min="10" max="10" width="20.13"/>
    <col customWidth="1" min="11" max="11" width="2.38"/>
    <col customWidth="1" min="13" max="13" width="20.13"/>
    <col customWidth="1" min="14" max="14" width="3.88"/>
  </cols>
  <sheetData>
    <row r="1">
      <c r="A1" s="25"/>
      <c r="B1" s="25"/>
      <c r="C1" s="25"/>
      <c r="D1" s="25"/>
      <c r="E1" s="25"/>
      <c r="F1" s="25"/>
      <c r="G1" s="25"/>
      <c r="H1" s="25"/>
      <c r="I1" s="25"/>
      <c r="J1" s="25"/>
      <c r="K1" s="25"/>
      <c r="L1" s="25"/>
      <c r="M1" s="25"/>
      <c r="N1" s="25"/>
      <c r="O1" s="25"/>
    </row>
    <row r="2" ht="41.25" customHeight="1">
      <c r="A2" s="25"/>
      <c r="B2" s="30"/>
      <c r="C2" s="33" t="s">
        <v>7</v>
      </c>
      <c r="D2" s="36"/>
      <c r="E2" s="36"/>
      <c r="F2" s="36"/>
      <c r="G2" s="36"/>
      <c r="H2" s="36"/>
      <c r="I2" s="36"/>
      <c r="J2" s="36"/>
      <c r="K2" s="36"/>
      <c r="L2" s="36"/>
      <c r="M2" s="36"/>
      <c r="N2" s="40"/>
      <c r="O2" s="25"/>
    </row>
    <row r="3">
      <c r="A3" s="44"/>
      <c r="B3" s="45"/>
      <c r="C3" s="46"/>
      <c r="D3" s="46"/>
      <c r="E3" s="46"/>
      <c r="F3" s="46"/>
      <c r="G3" s="46"/>
      <c r="H3" s="46"/>
      <c r="I3" s="46"/>
      <c r="J3" s="46"/>
      <c r="K3" s="46"/>
      <c r="L3" s="46"/>
      <c r="M3" s="46"/>
      <c r="N3" s="49"/>
      <c r="O3" s="44"/>
    </row>
    <row r="4" ht="18.0" customHeight="1">
      <c r="A4" s="25"/>
      <c r="B4" s="51"/>
      <c r="C4" s="54" t="str">
        <f>image(Shop!$F$2, 3)</f>
        <v/>
      </c>
      <c r="D4" s="57" t="str">
        <f>Shop!$C$2</f>
        <v>Tabby, Grey</v>
      </c>
      <c r="E4" s="59"/>
      <c r="F4" s="54" t="str">
        <f>image(Shop!$F$3, 3)</f>
        <v/>
      </c>
      <c r="G4" s="57" t="str">
        <f>Shop!$C$3</f>
        <v>Tabby, Brown</v>
      </c>
      <c r="H4" s="59"/>
      <c r="I4" s="54" t="str">
        <f>image(Shop!$F$4, 3)</f>
        <v/>
      </c>
      <c r="J4" s="57" t="str">
        <f>Shop!$C$4</f>
        <v>Tabby, Orange</v>
      </c>
      <c r="K4" s="59"/>
      <c r="L4" s="54" t="str">
        <f>image(Shop!$F$5, 3)</f>
        <v/>
      </c>
      <c r="M4" s="57" t="str">
        <f>Shop!$C$5</f>
        <v>Tabby, Torbie</v>
      </c>
      <c r="N4" s="70"/>
      <c r="O4" s="25"/>
    </row>
    <row r="5" ht="14.25" customHeight="1">
      <c r="A5" s="25"/>
      <c r="B5" s="51"/>
      <c r="D5" s="73" t="str">
        <f>CONCATENATE(Shop!$D$2, " (", Shop!$B$2,")")</f>
        <v>*B01 (Basic)</v>
      </c>
      <c r="E5" s="59"/>
      <c r="G5" s="73" t="str">
        <f>CONCATENATE(Shop!$D$3, " (", Shop!$B$3,")")</f>
        <v>*B02 (Basic)</v>
      </c>
      <c r="H5" s="59"/>
      <c r="J5" s="73" t="str">
        <f>Shop!$D$4</f>
        <v>*B03</v>
      </c>
      <c r="K5" s="59"/>
      <c r="M5" s="73" t="str">
        <f>Shop!$D$5</f>
        <v>*B04</v>
      </c>
      <c r="N5" s="70"/>
      <c r="O5" s="25"/>
    </row>
    <row r="6" ht="14.25" customHeight="1">
      <c r="A6" s="25"/>
      <c r="B6" s="51"/>
      <c r="D6" s="79" t="str">
        <f>CONCAT(Shop!$I$2, " 💎")</f>
        <v>25 💎</v>
      </c>
      <c r="E6" s="59"/>
      <c r="G6" s="79" t="str">
        <f>CONCAT(Shop!$I$3, " 💎")</f>
        <v>25 💎</v>
      </c>
      <c r="H6" s="59"/>
      <c r="J6" s="79" t="str">
        <f>CONCAT(Shop!$I$4, " 💎")</f>
        <v>25 💎</v>
      </c>
      <c r="K6" s="59"/>
      <c r="M6" s="79" t="str">
        <f>CONCAT(Shop!$I$5, " 💎")</f>
        <v>25 💎</v>
      </c>
      <c r="N6" s="70"/>
      <c r="O6" s="25"/>
    </row>
    <row r="7" ht="41.25" customHeight="1">
      <c r="A7" s="25"/>
      <c r="B7" s="51"/>
      <c r="D7" s="79" t="str">
        <f>Shop!$E$2</f>
        <v>Likes to push things off tables.</v>
      </c>
      <c r="E7" s="59"/>
      <c r="G7" s="79" t="str">
        <f>Shop!$E$3</f>
        <v>Will climb anything, people included.</v>
      </c>
      <c r="H7" s="59"/>
      <c r="J7" s="79" t="str">
        <f>Shop!$E$4</f>
        <v>Never stops meowing.</v>
      </c>
      <c r="K7" s="59"/>
      <c r="M7" s="79" t="str">
        <f>Shop!$E$5</f>
        <v>Loves you... when they feel like it!</v>
      </c>
      <c r="N7" s="70"/>
      <c r="O7" s="25"/>
    </row>
    <row r="8">
      <c r="A8" s="44"/>
      <c r="B8" s="45"/>
      <c r="C8" s="46"/>
      <c r="D8" s="46"/>
      <c r="E8" s="46"/>
      <c r="F8" s="46"/>
      <c r="G8" s="46"/>
      <c r="H8" s="46"/>
      <c r="I8" s="46"/>
      <c r="J8" s="46"/>
      <c r="K8" s="46"/>
      <c r="L8" s="46"/>
      <c r="M8" s="46"/>
      <c r="N8" s="49"/>
      <c r="O8" s="44"/>
    </row>
    <row r="9" ht="18.0" customHeight="1">
      <c r="A9" s="25"/>
      <c r="B9" s="51"/>
      <c r="C9" s="54" t="str">
        <f>image(Shop!$F$6, 3)</f>
        <v/>
      </c>
      <c r="D9" s="57" t="str">
        <f>Shop!$C$6</f>
        <v>Galaxy</v>
      </c>
      <c r="E9" s="59"/>
      <c r="F9" s="54" t="str">
        <f>image(Shop!$F$7, 3)</f>
        <v/>
      </c>
      <c r="G9" s="57" t="str">
        <f>Shop!$C$7</f>
        <v>Glass</v>
      </c>
      <c r="H9" s="59"/>
      <c r="I9" s="54" t="str">
        <f>image(Shop!$F$8, 3)</f>
        <v/>
      </c>
      <c r="J9" s="57" t="str">
        <f>Shop!$C$8</f>
        <v>Meadow</v>
      </c>
      <c r="K9" s="59"/>
      <c r="L9" s="54" t="str">
        <f>image(Shop!$F$9, 3)</f>
        <v/>
      </c>
      <c r="M9" s="57" t="str">
        <f>Shop!$C$9</f>
        <v>Magma</v>
      </c>
      <c r="N9" s="70"/>
      <c r="O9" s="25"/>
    </row>
    <row r="10" ht="14.25" customHeight="1">
      <c r="A10" s="25"/>
      <c r="B10" s="51"/>
      <c r="D10" s="73" t="str">
        <f>CONCATENATE(Shop!$D$6, " (", Shop!$B$6,")")</f>
        <v>*C01 (Shop Exclusive)</v>
      </c>
      <c r="E10" s="59"/>
      <c r="G10" s="73" t="str">
        <f>Shop!$D$7</f>
        <v>*C02</v>
      </c>
      <c r="H10" s="59"/>
      <c r="J10" s="73" t="str">
        <f>Shop!$D$8</f>
        <v>*C03</v>
      </c>
      <c r="K10" s="59"/>
      <c r="M10" s="73" t="str">
        <f>Shop!$D$9</f>
        <v>*C04</v>
      </c>
      <c r="N10" s="70"/>
      <c r="O10" s="25"/>
    </row>
    <row r="11" ht="14.25" customHeight="1">
      <c r="A11" s="25"/>
      <c r="B11" s="51"/>
      <c r="D11" s="79" t="str">
        <f>CONCAT(Shop!$I$6, " 💎")</f>
        <v>200 💎</v>
      </c>
      <c r="E11" s="59"/>
      <c r="G11" s="79" t="str">
        <f>CONCAT(Shop!$I$7, " 💎")</f>
        <v>200 💎</v>
      </c>
      <c r="H11" s="59"/>
      <c r="J11" s="79" t="str">
        <f>CONCAT(Shop!$I$9, " 💎")</f>
        <v>200 💎</v>
      </c>
      <c r="K11" s="59"/>
      <c r="M11" s="79" t="str">
        <f>CONCAT(Shop!$I$9, " 💎")</f>
        <v>200 💎</v>
      </c>
      <c r="N11" s="70"/>
      <c r="O11" s="25"/>
    </row>
    <row r="12" ht="41.25" customHeight="1">
      <c r="A12" s="25"/>
      <c r="B12" s="51"/>
      <c r="D12" s="79" t="str">
        <f>Shop!$E$6</f>
        <v>Twinkles.</v>
      </c>
      <c r="E12" s="59"/>
      <c r="G12" s="79" t="str">
        <f>Shop!$E$7</f>
        <v>Tinkles.</v>
      </c>
      <c r="H12" s="59"/>
      <c r="J12" s="79" t="str">
        <f>Shop!$E$8</f>
        <v>Smells like fresh grass.</v>
      </c>
      <c r="K12" s="59"/>
      <c r="M12" s="79" t="str">
        <f>Shop!$E$9</f>
        <v>Hot, hot, HOT!</v>
      </c>
      <c r="N12" s="70"/>
      <c r="O12" s="25"/>
    </row>
    <row r="13">
      <c r="A13" s="25"/>
      <c r="B13" s="92"/>
      <c r="C13" s="93"/>
      <c r="D13" s="94"/>
      <c r="E13" s="93"/>
      <c r="F13" s="93"/>
      <c r="G13" s="93"/>
      <c r="H13" s="93"/>
      <c r="I13" s="93"/>
      <c r="J13" s="93"/>
      <c r="K13" s="93"/>
      <c r="L13" s="93"/>
      <c r="M13" s="93"/>
      <c r="N13" s="95"/>
      <c r="O13" s="25"/>
    </row>
    <row r="14">
      <c r="A14" s="25"/>
      <c r="B14" s="25"/>
      <c r="C14" s="25"/>
      <c r="D14" s="25"/>
      <c r="E14" s="25"/>
      <c r="F14" s="25"/>
      <c r="G14" s="25"/>
      <c r="H14" s="25"/>
      <c r="I14" s="25"/>
      <c r="J14" s="25"/>
      <c r="K14" s="25"/>
      <c r="L14" s="25"/>
      <c r="M14" s="25"/>
      <c r="N14" s="25"/>
      <c r="O14" s="25"/>
    </row>
  </sheetData>
  <mergeCells count="9">
    <mergeCell ref="L4:L7"/>
    <mergeCell ref="L9:L12"/>
    <mergeCell ref="C2:M2"/>
    <mergeCell ref="C4:C7"/>
    <mergeCell ref="F4:F7"/>
    <mergeCell ref="I4:I7"/>
    <mergeCell ref="C9:C12"/>
    <mergeCell ref="F9:F12"/>
    <mergeCell ref="I9:I1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7257"/>
    <outlinePr summaryBelow="0" summaryRight="0"/>
  </sheetPr>
  <sheetViews>
    <sheetView showGridLines="0" workbookViewId="0"/>
  </sheetViews>
  <sheetFormatPr customHeight="1" defaultColWidth="12.63" defaultRowHeight="15.75" outlineLevelRow="1"/>
  <cols>
    <col customWidth="1" min="2" max="3" width="5.13"/>
    <col customWidth="1" min="4" max="5" width="1.38"/>
    <col customWidth="1" min="6" max="7" width="5.13"/>
    <col customWidth="1" min="8" max="9" width="1.38"/>
    <col customWidth="1" min="10" max="11" width="5.13"/>
    <col customWidth="1" min="12" max="13" width="1.38"/>
    <col customWidth="1" min="14" max="15" width="5.13"/>
    <col customWidth="1" min="16" max="17" width="1.38"/>
    <col customWidth="1" min="18" max="19" width="5.13"/>
    <col customWidth="1" min="20" max="21" width="1.38"/>
    <col customWidth="1" min="22" max="23" width="5.13"/>
  </cols>
  <sheetData>
    <row r="1">
      <c r="A1" s="98"/>
      <c r="B1" s="98"/>
      <c r="C1" s="98"/>
      <c r="D1" s="98"/>
      <c r="E1" s="98"/>
      <c r="F1" s="98"/>
      <c r="G1" s="98"/>
      <c r="H1" s="98"/>
      <c r="I1" s="98"/>
      <c r="J1" s="98"/>
      <c r="K1" s="98"/>
      <c r="L1" s="98"/>
      <c r="M1" s="98"/>
      <c r="N1" s="98"/>
      <c r="O1" s="98"/>
      <c r="P1" s="98"/>
      <c r="Q1" s="98"/>
      <c r="R1" s="98"/>
      <c r="S1" s="98"/>
      <c r="T1" s="98"/>
      <c r="U1" s="98"/>
      <c r="V1" s="98"/>
      <c r="W1" s="98"/>
      <c r="X1" s="98"/>
    </row>
    <row r="2">
      <c r="A2" s="98"/>
      <c r="B2" s="100" t="s">
        <v>22</v>
      </c>
      <c r="X2" s="98"/>
    </row>
    <row r="3">
      <c r="A3" s="98"/>
      <c r="B3" s="98"/>
      <c r="C3" s="101"/>
      <c r="D3" s="102"/>
      <c r="E3" s="102"/>
      <c r="F3" s="101"/>
      <c r="G3" s="101"/>
      <c r="H3" s="102"/>
      <c r="I3" s="102"/>
      <c r="J3" s="103" t="s">
        <v>27</v>
      </c>
      <c r="L3" s="103"/>
      <c r="M3" s="103"/>
      <c r="N3" s="104">
        <f>IFERROR(__xludf.DUMMYFUNCTION("SUM(IFERROR(QUERY(Records!$A:$F, CONCATENATE(""select F where B contains '"", $B2, ""'""), 0))) - SUM(IFERROR(QUERY(Records!$A:$F, CONCATENATE(""select G where B contains '"", $B2, ""'""), 0)))"),101.0)</f>
        <v>101</v>
      </c>
      <c r="P3" s="102"/>
      <c r="Q3" s="102"/>
      <c r="R3" s="101"/>
      <c r="S3" s="101"/>
      <c r="T3" s="102"/>
      <c r="U3" s="102"/>
      <c r="V3" s="101"/>
      <c r="W3" s="101"/>
      <c r="X3" s="98"/>
    </row>
    <row r="4" ht="23.25" customHeight="1">
      <c r="A4" s="98"/>
      <c r="B4" s="101"/>
      <c r="C4" s="101"/>
      <c r="D4" s="101"/>
      <c r="E4" s="101"/>
      <c r="F4" s="101"/>
      <c r="G4" s="101"/>
      <c r="H4" s="101"/>
      <c r="I4" s="101"/>
      <c r="J4" s="101"/>
      <c r="K4" s="101"/>
      <c r="L4" s="101"/>
      <c r="M4" s="101"/>
      <c r="N4" s="101"/>
      <c r="O4" s="101"/>
      <c r="P4" s="101"/>
      <c r="Q4" s="101"/>
      <c r="R4" s="101"/>
      <c r="S4" s="101"/>
      <c r="T4" s="101"/>
      <c r="U4" s="101"/>
      <c r="V4" s="101"/>
      <c r="W4" s="101"/>
      <c r="X4" s="98"/>
    </row>
    <row r="5" ht="112.5" customHeight="1">
      <c r="A5" s="98"/>
      <c r="B5" s="101"/>
      <c r="C5" s="101"/>
      <c r="D5" s="101"/>
      <c r="E5" s="101"/>
      <c r="F5" s="101"/>
      <c r="G5" s="101"/>
      <c r="H5" s="101"/>
      <c r="I5" s="101"/>
      <c r="J5" s="105" t="str">
        <f>IMAGE("https://i.postimg.cc/nhjVf0b3/aralie-big.pngg", 3)</f>
        <v/>
      </c>
      <c r="K5" s="106"/>
      <c r="L5" s="106"/>
      <c r="M5" s="106"/>
      <c r="N5" s="106"/>
      <c r="O5" s="107"/>
      <c r="P5" s="101"/>
      <c r="Q5" s="101"/>
      <c r="R5" s="101"/>
      <c r="S5" s="101"/>
      <c r="T5" s="101"/>
      <c r="U5" s="101"/>
      <c r="V5" s="101"/>
      <c r="W5" s="101"/>
      <c r="X5" s="98"/>
    </row>
    <row r="6" ht="18.0" customHeight="1">
      <c r="A6" s="98"/>
      <c r="B6" s="101"/>
      <c r="C6" s="101"/>
      <c r="D6" s="101"/>
      <c r="E6" s="101"/>
      <c r="F6" s="101"/>
      <c r="G6" s="101"/>
      <c r="H6" s="101"/>
      <c r="I6" s="101"/>
      <c r="J6" s="108" t="s">
        <v>30</v>
      </c>
      <c r="O6" s="109"/>
      <c r="P6" s="101"/>
      <c r="Q6" s="101"/>
      <c r="R6" s="101"/>
      <c r="S6" s="101"/>
      <c r="T6" s="101"/>
      <c r="U6" s="101"/>
      <c r="V6" s="101"/>
      <c r="W6" s="101"/>
      <c r="X6" s="98"/>
    </row>
    <row r="7" ht="27.0" customHeight="1">
      <c r="A7" s="98"/>
      <c r="B7" s="101"/>
      <c r="C7" s="101"/>
      <c r="D7" s="101"/>
      <c r="E7" s="101"/>
      <c r="F7" s="101"/>
      <c r="G7" s="101"/>
      <c r="H7" s="101"/>
      <c r="I7" s="101"/>
      <c r="J7" s="110" t="str">
        <f>IMAGE(Cats!$F$4, 3)</f>
        <v/>
      </c>
      <c r="K7" s="111"/>
      <c r="L7" s="111"/>
      <c r="M7" s="113" t="str">
        <f>IMAGE(Hats!$G$33, 3)</f>
        <v/>
      </c>
      <c r="N7" s="111"/>
      <c r="O7" s="114"/>
      <c r="P7" s="101"/>
      <c r="Q7" s="101"/>
      <c r="R7" s="101"/>
      <c r="S7" s="101"/>
      <c r="T7" s="101"/>
      <c r="U7" s="101"/>
      <c r="V7" s="101"/>
      <c r="W7" s="101"/>
      <c r="X7" s="98"/>
    </row>
    <row r="8" ht="25.5" customHeight="1">
      <c r="A8" s="98"/>
      <c r="B8" s="101"/>
      <c r="C8" s="101"/>
      <c r="D8" s="101"/>
      <c r="E8" s="101"/>
      <c r="F8" s="101"/>
      <c r="G8" s="101"/>
      <c r="H8" s="101"/>
      <c r="I8" s="101"/>
      <c r="J8" s="101"/>
      <c r="K8" s="101"/>
      <c r="L8" s="101"/>
      <c r="M8" s="101"/>
      <c r="N8" s="101"/>
      <c r="O8" s="101"/>
      <c r="P8" s="101"/>
      <c r="Q8" s="101"/>
      <c r="R8" s="101"/>
      <c r="S8" s="101"/>
      <c r="T8" s="101"/>
      <c r="U8" s="101"/>
      <c r="V8" s="101"/>
      <c r="W8" s="101"/>
      <c r="X8" s="98"/>
    </row>
    <row r="9" ht="24.75" customHeight="1">
      <c r="A9" s="115"/>
      <c r="B9" s="117" t="s">
        <v>31</v>
      </c>
      <c r="X9" s="115"/>
    </row>
    <row r="10" ht="56.25" customHeight="1" outlineLevel="1">
      <c r="A10" s="98"/>
      <c r="B10" s="101" t="str">
        <f>IMAGE("https://i.postimg.cc/LshrLMm2/aralie-000.png", 3)</f>
        <v/>
      </c>
      <c r="D10" s="101"/>
      <c r="E10" s="101"/>
      <c r="F10" s="101" t="str">
        <f>IMAGE("https://i.postimg.cc/HspQ6CgQ/aralie-001.png", 3)</f>
        <v/>
      </c>
      <c r="H10" s="101"/>
      <c r="I10" s="101"/>
      <c r="J10" s="101" t="str">
        <f>IMAGE("https://i.postimg.cc/ZRv9sfy5/aralie-002.png", 3)</f>
        <v/>
      </c>
      <c r="L10" s="101"/>
      <c r="M10" s="101"/>
      <c r="N10" s="101"/>
      <c r="P10" s="101"/>
      <c r="Q10" s="101"/>
      <c r="R10" s="101"/>
      <c r="T10" s="101"/>
      <c r="U10" s="101"/>
      <c r="V10" s="101"/>
      <c r="X10" s="98"/>
    </row>
    <row r="11" ht="17.25" customHeight="1" outlineLevel="1">
      <c r="A11" s="120"/>
      <c r="B11" s="122">
        <f>date(2022,3,17)</f>
        <v>44637</v>
      </c>
      <c r="D11" s="123"/>
      <c r="E11" s="123"/>
      <c r="F11" s="122">
        <f>date(2022,3,27)</f>
        <v>44647</v>
      </c>
      <c r="H11" s="123"/>
      <c r="I11" s="123"/>
      <c r="J11" s="122">
        <f>date(2022, 4, 4)</f>
        <v>44655</v>
      </c>
      <c r="L11" s="123"/>
      <c r="M11" s="123"/>
      <c r="N11" s="123"/>
      <c r="O11" s="123"/>
      <c r="P11" s="123"/>
      <c r="Q11" s="123"/>
      <c r="R11" s="123"/>
      <c r="S11" s="123"/>
      <c r="T11" s="123"/>
      <c r="U11" s="123"/>
      <c r="V11" s="123"/>
      <c r="W11" s="123"/>
      <c r="X11" s="120"/>
    </row>
    <row r="12" ht="17.25" customHeight="1" outlineLevel="1">
      <c r="A12" s="115"/>
      <c r="B12" s="124" t="str">
        <f>IMAGE(Cats!$F$4, 3)</f>
        <v/>
      </c>
      <c r="C12" s="125" t="str">
        <f>IMAGE(Hats!$G$3, 3)</f>
        <v/>
      </c>
      <c r="D12" s="125"/>
      <c r="E12" s="125"/>
      <c r="F12" s="124" t="str">
        <f>IMAGE(Cats!$F$4, 3)</f>
        <v/>
      </c>
      <c r="G12" s="125" t="str">
        <f>IMAGE(Hats!$G$33, 3)</f>
        <v/>
      </c>
      <c r="H12" s="125"/>
      <c r="I12" s="125"/>
      <c r="J12" s="124" t="str">
        <f>IMAGE(Cats!$F$9, 3)</f>
        <v/>
      </c>
      <c r="K12" s="125" t="str">
        <f>IMAGE(Hats!$G$35, 3)</f>
        <v/>
      </c>
      <c r="L12" s="125"/>
      <c r="M12" s="125"/>
      <c r="N12" s="125"/>
      <c r="O12" s="125"/>
      <c r="P12" s="125"/>
      <c r="Q12" s="125"/>
      <c r="R12" s="125"/>
      <c r="S12" s="125"/>
      <c r="T12" s="125"/>
      <c r="U12" s="125"/>
      <c r="V12" s="125"/>
      <c r="W12" s="125"/>
      <c r="X12" s="115"/>
    </row>
    <row r="13" ht="17.25" customHeight="1">
      <c r="A13" s="115"/>
      <c r="B13" s="125"/>
      <c r="C13" s="125"/>
      <c r="D13" s="125"/>
      <c r="E13" s="125"/>
      <c r="F13" s="125"/>
      <c r="G13" s="125"/>
      <c r="H13" s="125"/>
      <c r="I13" s="125"/>
      <c r="J13" s="125"/>
      <c r="K13" s="125"/>
      <c r="L13" s="125"/>
      <c r="M13" s="125"/>
      <c r="N13" s="125"/>
      <c r="O13" s="125"/>
      <c r="P13" s="125"/>
      <c r="Q13" s="125"/>
      <c r="R13" s="125"/>
      <c r="S13" s="125"/>
      <c r="T13" s="125"/>
      <c r="U13" s="125"/>
      <c r="V13" s="125"/>
      <c r="W13" s="125"/>
      <c r="X13" s="115"/>
    </row>
    <row r="14" ht="24.75" customHeight="1" outlineLevel="1">
      <c r="A14" s="115"/>
      <c r="B14" s="117" t="s">
        <v>32</v>
      </c>
      <c r="X14" s="115"/>
    </row>
    <row r="15" ht="56.25" customHeight="1" outlineLevel="1">
      <c r="A15" s="98"/>
      <c r="B15" s="101" t="str">
        <f>IMAGE(Cats!$E$4, 3)</f>
        <v/>
      </c>
      <c r="D15" s="101"/>
      <c r="E15" s="101"/>
      <c r="F15" s="101" t="str">
        <f>IMAGE(Cats!$E$9, 3)</f>
        <v/>
      </c>
      <c r="H15" s="101"/>
      <c r="I15" s="101"/>
      <c r="J15" s="101" t="str">
        <f>IMAGE(Cats!$E$13, 3)</f>
        <v/>
      </c>
      <c r="L15" s="101"/>
      <c r="M15" s="101"/>
      <c r="N15" s="101"/>
      <c r="P15" s="101"/>
      <c r="Q15" s="101"/>
      <c r="R15" s="101"/>
      <c r="T15" s="101"/>
      <c r="U15" s="101"/>
      <c r="V15" s="101"/>
      <c r="X15" s="98"/>
    </row>
    <row r="16" outlineLevel="1">
      <c r="A16" s="128"/>
      <c r="B16" s="129" t="str">
        <f>Cats!$C$4</f>
        <v>*A03</v>
      </c>
      <c r="D16" s="129"/>
      <c r="E16" s="129"/>
      <c r="F16" s="129" t="str">
        <f>Cats!$C$9</f>
        <v>*B04</v>
      </c>
      <c r="H16" s="130"/>
      <c r="I16" s="130"/>
      <c r="J16" s="129" t="str">
        <f>Cats!$C$13</f>
        <v>*B08</v>
      </c>
      <c r="L16" s="130"/>
      <c r="M16" s="130"/>
      <c r="N16" s="129"/>
      <c r="O16" s="129"/>
      <c r="P16" s="130"/>
      <c r="Q16" s="130"/>
      <c r="R16" s="129"/>
      <c r="S16" s="129"/>
      <c r="T16" s="130"/>
      <c r="U16" s="130"/>
      <c r="V16" s="129"/>
      <c r="W16" s="129"/>
      <c r="X16" s="128"/>
    </row>
    <row r="17" ht="17.25" customHeight="1">
      <c r="A17" s="115"/>
      <c r="B17" s="125"/>
      <c r="C17" s="125"/>
      <c r="D17" s="125"/>
      <c r="E17" s="125"/>
      <c r="F17" s="125"/>
      <c r="G17" s="125"/>
      <c r="H17" s="125"/>
      <c r="I17" s="125"/>
      <c r="J17" s="125"/>
      <c r="K17" s="125"/>
      <c r="L17" s="125"/>
      <c r="M17" s="125"/>
      <c r="N17" s="125"/>
      <c r="O17" s="125"/>
      <c r="P17" s="125"/>
      <c r="Q17" s="125"/>
      <c r="R17" s="125"/>
      <c r="S17" s="125"/>
      <c r="T17" s="125"/>
      <c r="U17" s="125"/>
      <c r="V17" s="125"/>
      <c r="W17" s="125"/>
      <c r="X17" s="115"/>
    </row>
    <row r="18" ht="24.75" customHeight="1">
      <c r="A18" s="98"/>
      <c r="B18" s="131" t="s">
        <v>33</v>
      </c>
      <c r="X18" s="98"/>
    </row>
    <row r="19" ht="56.25" customHeight="1">
      <c r="A19" s="98"/>
      <c r="B19" s="101" t="str">
        <f>IMAGE(Hats!$F$3, 3)</f>
        <v/>
      </c>
      <c r="D19" s="101"/>
      <c r="E19" s="101"/>
      <c r="F19" s="101" t="str">
        <f>IMAGE(Hats!$F$8, 3)</f>
        <v/>
      </c>
      <c r="H19" s="101"/>
      <c r="I19" s="101"/>
      <c r="J19" s="101" t="str">
        <f>image(Hats!$F$11, 3)</f>
        <v/>
      </c>
      <c r="L19" s="101"/>
      <c r="M19" s="101"/>
      <c r="N19" s="101" t="str">
        <f>image(Hats!$F$13, 3)</f>
        <v/>
      </c>
      <c r="P19" s="101"/>
      <c r="Q19" s="101"/>
      <c r="R19" s="101" t="str">
        <f>IMAGE(Hats!$F$16, 3)</f>
        <v/>
      </c>
      <c r="T19" s="101"/>
      <c r="U19" s="101"/>
      <c r="V19" s="101"/>
      <c r="X19" s="98"/>
    </row>
    <row r="20">
      <c r="A20" s="98"/>
      <c r="B20" s="129" t="str">
        <f>Hats!$C$3</f>
        <v>AA02</v>
      </c>
      <c r="C20" s="129">
        <v>1.0</v>
      </c>
      <c r="D20" s="129"/>
      <c r="E20" s="129"/>
      <c r="F20" s="129" t="str">
        <f>Hats!$C$8</f>
        <v>AB03</v>
      </c>
      <c r="G20" s="129">
        <v>1.0</v>
      </c>
      <c r="H20" s="101"/>
      <c r="I20" s="101"/>
      <c r="J20" s="129" t="str">
        <f>Hats!$C$11</f>
        <v>AB06</v>
      </c>
      <c r="K20" s="129">
        <v>1.0</v>
      </c>
      <c r="L20" s="101"/>
      <c r="M20" s="101"/>
      <c r="N20" s="129" t="str">
        <f>Hats!$C$13</f>
        <v>AB08</v>
      </c>
      <c r="O20" s="129">
        <v>1.0</v>
      </c>
      <c r="P20" s="101"/>
      <c r="Q20" s="101"/>
      <c r="R20" s="129" t="str">
        <f>Hats!$C$16</f>
        <v>AB11</v>
      </c>
      <c r="S20" s="129">
        <v>1.0</v>
      </c>
      <c r="T20" s="101"/>
      <c r="U20" s="101"/>
      <c r="V20" s="129"/>
      <c r="W20" s="129"/>
      <c r="X20" s="98"/>
    </row>
    <row r="21">
      <c r="A21" s="98"/>
      <c r="B21" s="98"/>
      <c r="C21" s="98"/>
      <c r="D21" s="98"/>
      <c r="E21" s="98"/>
      <c r="F21" s="98"/>
      <c r="G21" s="98"/>
      <c r="H21" s="98"/>
      <c r="I21" s="98"/>
      <c r="J21" s="98"/>
      <c r="K21" s="98"/>
      <c r="L21" s="98"/>
      <c r="M21" s="98"/>
      <c r="N21" s="98"/>
      <c r="O21" s="98"/>
      <c r="P21" s="98"/>
      <c r="Q21" s="98"/>
      <c r="R21" s="98"/>
      <c r="S21" s="98"/>
      <c r="T21" s="98"/>
      <c r="U21" s="98"/>
      <c r="V21" s="98"/>
      <c r="W21" s="98"/>
      <c r="X21" s="98"/>
    </row>
    <row r="22" ht="56.25" customHeight="1">
      <c r="A22" s="98"/>
      <c r="B22" s="101" t="str">
        <f>IMAGE(Hats!$F$21, 3)</f>
        <v/>
      </c>
      <c r="D22" s="101"/>
      <c r="E22" s="101"/>
      <c r="F22" s="101" t="str">
        <f>IMAGE(Hats!$F$22, 3)</f>
        <v/>
      </c>
      <c r="H22" s="101"/>
      <c r="I22" s="101"/>
      <c r="J22" s="101" t="str">
        <f>IMAGE(Hats!$F$24, 3)</f>
        <v/>
      </c>
      <c r="L22" s="101"/>
      <c r="M22" s="101"/>
      <c r="N22" s="101" t="str">
        <f>IMAGE(Hats!$F$25, 3)</f>
        <v/>
      </c>
      <c r="P22" s="101"/>
      <c r="Q22" s="101"/>
      <c r="R22" s="101" t="str">
        <f>IMAGE(Hats!$F$27, 3)</f>
        <v/>
      </c>
      <c r="T22" s="101"/>
      <c r="U22" s="101"/>
      <c r="V22" s="101" t="str">
        <f>IMAGE(Hats!$F$29, 3)</f>
        <v/>
      </c>
      <c r="X22" s="98"/>
    </row>
    <row r="23">
      <c r="A23" s="98"/>
      <c r="B23" s="129" t="str">
        <f>Hats!$C$21</f>
        <v>AC04</v>
      </c>
      <c r="C23" s="129">
        <v>1.0</v>
      </c>
      <c r="D23" s="101"/>
      <c r="E23" s="101"/>
      <c r="F23" s="129" t="str">
        <f>Hats!$C$22</f>
        <v>AC05</v>
      </c>
      <c r="G23" s="129">
        <v>1.0</v>
      </c>
      <c r="H23" s="101"/>
      <c r="I23" s="101"/>
      <c r="J23" s="129" t="str">
        <f>Hats!$C$24</f>
        <v>AC07</v>
      </c>
      <c r="K23" s="129">
        <v>1.0</v>
      </c>
      <c r="L23" s="101"/>
      <c r="M23" s="101"/>
      <c r="N23" s="129" t="str">
        <f>Hats!$C$25</f>
        <v>AC08</v>
      </c>
      <c r="O23" s="129">
        <v>1.0</v>
      </c>
      <c r="P23" s="101"/>
      <c r="Q23" s="101"/>
      <c r="R23" s="129" t="str">
        <f>Hats!$C$27</f>
        <v>AC10</v>
      </c>
      <c r="S23" s="129">
        <v>2.0</v>
      </c>
      <c r="T23" s="129"/>
      <c r="U23" s="129"/>
      <c r="V23" s="129" t="str">
        <f>Hats!$C$29</f>
        <v>AC12</v>
      </c>
      <c r="W23" s="129">
        <v>1.0</v>
      </c>
      <c r="X23" s="98"/>
    </row>
    <row r="24">
      <c r="A24" s="98"/>
      <c r="B24" s="98"/>
      <c r="C24" s="98"/>
      <c r="D24" s="98"/>
      <c r="E24" s="98"/>
      <c r="F24" s="98"/>
      <c r="G24" s="98"/>
      <c r="H24" s="98"/>
      <c r="I24" s="98"/>
      <c r="J24" s="98"/>
      <c r="K24" s="98"/>
      <c r="L24" s="98"/>
      <c r="M24" s="98"/>
      <c r="N24" s="98"/>
      <c r="O24" s="98"/>
      <c r="P24" s="98"/>
      <c r="Q24" s="98"/>
      <c r="R24" s="98"/>
      <c r="S24" s="98"/>
      <c r="T24" s="98"/>
      <c r="U24" s="98"/>
      <c r="V24" s="98"/>
      <c r="W24" s="98"/>
      <c r="X24" s="98"/>
    </row>
    <row r="25" ht="56.25" customHeight="1">
      <c r="A25" s="98"/>
      <c r="B25" s="101" t="str">
        <f>IMAGE(Hats!$F$30, 3)</f>
        <v/>
      </c>
      <c r="D25" s="101"/>
      <c r="E25" s="101"/>
      <c r="F25" s="135"/>
      <c r="H25" s="101"/>
      <c r="I25" s="101"/>
      <c r="J25" s="101" t="str">
        <f>IMAGE(Hats!$F$32, 3)</f>
        <v/>
      </c>
      <c r="L25" s="101"/>
      <c r="M25" s="101"/>
      <c r="N25" s="101" t="str">
        <f>IMAGE(Hats!$F$33, 3)</f>
        <v/>
      </c>
      <c r="P25" s="101"/>
      <c r="Q25" s="101"/>
      <c r="R25" s="101" t="str">
        <f>IMAGE(Hats!$F$34, 3)</f>
        <v/>
      </c>
      <c r="T25" s="101"/>
      <c r="U25" s="101"/>
      <c r="V25" s="101" t="str">
        <f>IMAGE(Hats!$F$35, 3)</f>
        <v/>
      </c>
      <c r="X25" s="98"/>
    </row>
    <row r="26">
      <c r="A26" s="98"/>
      <c r="B26" s="129" t="str">
        <f>Hats!$C$30</f>
        <v>AC13</v>
      </c>
      <c r="C26" s="129">
        <v>2.0</v>
      </c>
      <c r="D26" s="101"/>
      <c r="E26" s="101"/>
      <c r="F26" s="129" t="s">
        <v>36</v>
      </c>
      <c r="G26" s="129">
        <v>1.0</v>
      </c>
      <c r="H26" s="101"/>
      <c r="I26" s="101"/>
      <c r="J26" s="129" t="str">
        <f>Hats!$C$32</f>
        <v>AC15</v>
      </c>
      <c r="K26" s="129">
        <v>1.0</v>
      </c>
      <c r="L26" s="101"/>
      <c r="M26" s="101"/>
      <c r="N26" s="129" t="str">
        <f>Hats!$C$33</f>
        <v>AC16</v>
      </c>
      <c r="O26" s="129">
        <v>1.0</v>
      </c>
      <c r="P26" s="101"/>
      <c r="Q26" s="101"/>
      <c r="R26" s="129" t="str">
        <f>Hats!$C$34</f>
        <v>AC17</v>
      </c>
      <c r="S26" s="129">
        <v>1.0</v>
      </c>
      <c r="T26" s="101"/>
      <c r="U26" s="101"/>
      <c r="V26" s="129" t="str">
        <f>Hats!$C$35</f>
        <v>AC18</v>
      </c>
      <c r="W26" s="129">
        <v>1.0</v>
      </c>
      <c r="X26" s="98"/>
    </row>
    <row r="27">
      <c r="A27" s="98"/>
      <c r="B27" s="98"/>
      <c r="C27" s="98"/>
      <c r="D27" s="98"/>
      <c r="E27" s="98"/>
      <c r="F27" s="98"/>
      <c r="G27" s="98"/>
      <c r="H27" s="98"/>
      <c r="I27" s="98"/>
      <c r="J27" s="98"/>
      <c r="K27" s="98"/>
      <c r="L27" s="98"/>
      <c r="M27" s="98"/>
      <c r="N27" s="98"/>
      <c r="O27" s="98"/>
      <c r="P27" s="98"/>
      <c r="Q27" s="98"/>
      <c r="R27" s="98"/>
      <c r="S27" s="98"/>
      <c r="T27" s="98"/>
      <c r="U27" s="98"/>
      <c r="V27" s="98"/>
      <c r="W27" s="98"/>
      <c r="X27" s="98"/>
    </row>
    <row r="28" ht="56.25" customHeight="1">
      <c r="A28" s="98"/>
      <c r="B28" s="101" t="str">
        <f>IMAGE(Hats!$F$36, 3)</f>
        <v/>
      </c>
      <c r="D28" s="101"/>
      <c r="E28" s="101"/>
      <c r="F28" s="101"/>
      <c r="H28" s="101"/>
      <c r="I28" s="101"/>
      <c r="J28" s="101"/>
      <c r="L28" s="101"/>
      <c r="M28" s="101"/>
      <c r="N28" s="101"/>
      <c r="P28" s="101"/>
      <c r="Q28" s="101"/>
      <c r="R28" s="101"/>
      <c r="T28" s="101"/>
      <c r="U28" s="101"/>
      <c r="V28" s="101"/>
      <c r="X28" s="98"/>
    </row>
    <row r="29">
      <c r="A29" s="98"/>
      <c r="B29" s="129" t="str">
        <f>Hats!$C$36</f>
        <v>AC19</v>
      </c>
      <c r="C29" s="129">
        <v>1.0</v>
      </c>
      <c r="D29" s="101"/>
      <c r="E29" s="101"/>
      <c r="F29" s="129"/>
      <c r="G29" s="129"/>
      <c r="H29" s="101"/>
      <c r="I29" s="101"/>
      <c r="J29" s="129"/>
      <c r="K29" s="129"/>
      <c r="L29" s="101"/>
      <c r="M29" s="101"/>
      <c r="N29" s="129"/>
      <c r="O29" s="129"/>
      <c r="P29" s="101"/>
      <c r="Q29" s="101"/>
      <c r="R29" s="129"/>
      <c r="S29" s="129"/>
      <c r="T29" s="101"/>
      <c r="U29" s="101"/>
      <c r="V29" s="129"/>
      <c r="W29" s="129"/>
      <c r="X29" s="98"/>
    </row>
    <row r="30">
      <c r="A30" s="98"/>
      <c r="B30" s="98"/>
      <c r="C30" s="98"/>
      <c r="D30" s="98"/>
      <c r="E30" s="98"/>
      <c r="F30" s="98"/>
      <c r="G30" s="98"/>
      <c r="H30" s="98"/>
      <c r="I30" s="98"/>
      <c r="J30" s="98"/>
      <c r="K30" s="98"/>
      <c r="L30" s="98"/>
      <c r="M30" s="98"/>
      <c r="N30" s="98"/>
      <c r="O30" s="98"/>
      <c r="P30" s="98"/>
      <c r="Q30" s="98"/>
      <c r="R30" s="98"/>
      <c r="S30" s="98"/>
      <c r="T30" s="98"/>
      <c r="U30" s="98"/>
      <c r="V30" s="98"/>
      <c r="W30" s="98"/>
      <c r="X30" s="98"/>
    </row>
  </sheetData>
  <mergeCells count="52">
    <mergeCell ref="F10:G10"/>
    <mergeCell ref="F11:G11"/>
    <mergeCell ref="B15:C15"/>
    <mergeCell ref="B16:C16"/>
    <mergeCell ref="F16:G16"/>
    <mergeCell ref="J16:K16"/>
    <mergeCell ref="B22:C22"/>
    <mergeCell ref="F22:G22"/>
    <mergeCell ref="J22:K22"/>
    <mergeCell ref="B2:W2"/>
    <mergeCell ref="J3:K3"/>
    <mergeCell ref="N3:O3"/>
    <mergeCell ref="J5:O5"/>
    <mergeCell ref="J6:O6"/>
    <mergeCell ref="J7:L7"/>
    <mergeCell ref="M7:O7"/>
    <mergeCell ref="B9:W9"/>
    <mergeCell ref="B10:C10"/>
    <mergeCell ref="J10:K10"/>
    <mergeCell ref="N10:O10"/>
    <mergeCell ref="R10:S10"/>
    <mergeCell ref="V10:W10"/>
    <mergeCell ref="B11:C11"/>
    <mergeCell ref="B18:W18"/>
    <mergeCell ref="B19:C19"/>
    <mergeCell ref="F19:G19"/>
    <mergeCell ref="J19:K19"/>
    <mergeCell ref="N19:O19"/>
    <mergeCell ref="R19:S19"/>
    <mergeCell ref="V19:W19"/>
    <mergeCell ref="J11:K11"/>
    <mergeCell ref="B14:W14"/>
    <mergeCell ref="F15:G15"/>
    <mergeCell ref="J15:K15"/>
    <mergeCell ref="N15:O15"/>
    <mergeCell ref="R15:S15"/>
    <mergeCell ref="V15:W15"/>
    <mergeCell ref="N22:O22"/>
    <mergeCell ref="R22:S22"/>
    <mergeCell ref="V22:W22"/>
    <mergeCell ref="B25:C25"/>
    <mergeCell ref="F25:G25"/>
    <mergeCell ref="J25:K25"/>
    <mergeCell ref="N25:O25"/>
    <mergeCell ref="R25:S25"/>
    <mergeCell ref="V25:W25"/>
    <mergeCell ref="B28:C28"/>
    <mergeCell ref="F28:G28"/>
    <mergeCell ref="J28:K28"/>
    <mergeCell ref="N28:O28"/>
    <mergeCell ref="R28:S28"/>
    <mergeCell ref="V28:W2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7257"/>
    <outlinePr summaryBelow="0" summaryRight="0"/>
  </sheetPr>
  <sheetViews>
    <sheetView showGridLines="0" workbookViewId="0"/>
  </sheetViews>
  <sheetFormatPr customHeight="1" defaultColWidth="12.63" defaultRowHeight="15.75" outlineLevelRow="1"/>
  <cols>
    <col customWidth="1" min="2" max="3" width="5.13"/>
    <col customWidth="1" min="4" max="5" width="1.38"/>
    <col customWidth="1" min="6" max="7" width="5.13"/>
    <col customWidth="1" min="8" max="9" width="1.38"/>
    <col customWidth="1" min="10" max="11" width="5.13"/>
    <col customWidth="1" min="12" max="13" width="1.38"/>
    <col customWidth="1" min="14" max="15" width="5.13"/>
    <col customWidth="1" min="16" max="17" width="1.38"/>
    <col customWidth="1" min="18" max="19" width="5.13"/>
    <col customWidth="1" min="20" max="21" width="1.38"/>
    <col customWidth="1" min="22" max="23" width="5.13"/>
  </cols>
  <sheetData>
    <row r="1">
      <c r="A1" s="98"/>
      <c r="B1" s="98"/>
      <c r="C1" s="98"/>
      <c r="D1" s="98"/>
      <c r="E1" s="98"/>
      <c r="F1" s="98"/>
      <c r="G1" s="98"/>
      <c r="H1" s="98"/>
      <c r="I1" s="98"/>
      <c r="J1" s="98"/>
      <c r="K1" s="98"/>
      <c r="L1" s="98"/>
      <c r="M1" s="98"/>
      <c r="N1" s="98"/>
      <c r="O1" s="98"/>
      <c r="P1" s="98"/>
      <c r="Q1" s="98"/>
      <c r="R1" s="98"/>
      <c r="S1" s="98"/>
      <c r="T1" s="98"/>
      <c r="U1" s="98"/>
      <c r="V1" s="98"/>
      <c r="W1" s="98"/>
      <c r="X1" s="98"/>
    </row>
    <row r="2">
      <c r="A2" s="98"/>
      <c r="B2" s="100" t="s">
        <v>28</v>
      </c>
      <c r="X2" s="98"/>
    </row>
    <row r="3">
      <c r="A3" s="98"/>
      <c r="B3" s="98"/>
      <c r="C3" s="101"/>
      <c r="D3" s="102"/>
      <c r="E3" s="102"/>
      <c r="F3" s="101"/>
      <c r="G3" s="101"/>
      <c r="H3" s="102"/>
      <c r="I3" s="102"/>
      <c r="J3" s="103" t="s">
        <v>27</v>
      </c>
      <c r="L3" s="103"/>
      <c r="M3" s="103"/>
      <c r="N3" s="104">
        <f>IFERROR(__xludf.DUMMYFUNCTION("SUM(IFERROR(QUERY(Records!$A:$F, CONCATENATE(""select F where B contains '"", $B2, ""'""), 0))) - SUM(IFERROR(QUERY(Records!$A:$F, CONCATENATE(""select G where B contains '"", $B2, ""'""), 0)))"),18.0)</f>
        <v>18</v>
      </c>
      <c r="P3" s="102"/>
      <c r="Q3" s="102"/>
      <c r="R3" s="101"/>
      <c r="S3" s="101"/>
      <c r="T3" s="102"/>
      <c r="U3" s="102"/>
      <c r="V3" s="101"/>
      <c r="W3" s="101"/>
      <c r="X3" s="98"/>
    </row>
    <row r="4" ht="23.25" customHeight="1">
      <c r="A4" s="98"/>
      <c r="B4" s="101"/>
      <c r="C4" s="101"/>
      <c r="D4" s="101"/>
      <c r="E4" s="101"/>
      <c r="F4" s="101"/>
      <c r="G4" s="101"/>
      <c r="H4" s="101"/>
      <c r="I4" s="101"/>
      <c r="J4" s="101"/>
      <c r="K4" s="101"/>
      <c r="L4" s="101"/>
      <c r="M4" s="101"/>
      <c r="N4" s="101"/>
      <c r="O4" s="101"/>
      <c r="P4" s="101"/>
      <c r="Q4" s="101"/>
      <c r="R4" s="101"/>
      <c r="S4" s="101"/>
      <c r="T4" s="101"/>
      <c r="U4" s="101"/>
      <c r="V4" s="101"/>
      <c r="W4" s="101"/>
      <c r="X4" s="98"/>
    </row>
    <row r="5" ht="112.5" customHeight="1">
      <c r="A5" s="98"/>
      <c r="B5" s="101"/>
      <c r="C5" s="101"/>
      <c r="D5" s="101"/>
      <c r="E5" s="101"/>
      <c r="F5" s="101"/>
      <c r="G5" s="101"/>
      <c r="H5" s="101"/>
      <c r="I5" s="101"/>
      <c r="J5" s="105" t="str">
        <f>IMAGE("https://i.postimg.cc/R0XYWX6k/ember-big.png", 3)</f>
        <v/>
      </c>
      <c r="K5" s="106"/>
      <c r="L5" s="106"/>
      <c r="M5" s="106"/>
      <c r="N5" s="106"/>
      <c r="O5" s="107"/>
      <c r="P5" s="101"/>
      <c r="Q5" s="101"/>
      <c r="R5" s="101"/>
      <c r="S5" s="101"/>
      <c r="T5" s="101"/>
      <c r="U5" s="101"/>
      <c r="V5" s="101"/>
      <c r="W5" s="101"/>
      <c r="X5" s="98"/>
    </row>
    <row r="6" ht="18.0" customHeight="1">
      <c r="A6" s="98"/>
      <c r="B6" s="101"/>
      <c r="C6" s="101"/>
      <c r="D6" s="101"/>
      <c r="E6" s="101"/>
      <c r="F6" s="101"/>
      <c r="G6" s="101"/>
      <c r="H6" s="101"/>
      <c r="I6" s="101"/>
      <c r="J6" s="108" t="s">
        <v>34</v>
      </c>
      <c r="O6" s="109"/>
      <c r="P6" s="101"/>
      <c r="Q6" s="101"/>
      <c r="R6" s="101"/>
      <c r="S6" s="101"/>
      <c r="T6" s="101"/>
      <c r="U6" s="101"/>
      <c r="V6" s="101"/>
      <c r="W6" s="101"/>
      <c r="X6" s="98"/>
    </row>
    <row r="7" ht="27.0" customHeight="1">
      <c r="A7" s="98"/>
      <c r="B7" s="101"/>
      <c r="C7" s="101"/>
      <c r="D7" s="101"/>
      <c r="E7" s="101"/>
      <c r="F7" s="101"/>
      <c r="G7" s="101"/>
      <c r="H7" s="101"/>
      <c r="I7" s="101"/>
      <c r="J7" s="110" t="str">
        <f>IMAGE(Cats!$F$4, 3)</f>
        <v/>
      </c>
      <c r="K7" s="111"/>
      <c r="L7" s="111"/>
      <c r="M7" s="113" t="str">
        <f>IMAGE(Hats!$G$3, 3)</f>
        <v/>
      </c>
      <c r="N7" s="111"/>
      <c r="O7" s="114"/>
      <c r="P7" s="101"/>
      <c r="Q7" s="101"/>
      <c r="R7" s="101"/>
      <c r="S7" s="101"/>
      <c r="T7" s="101"/>
      <c r="U7" s="101"/>
      <c r="V7" s="101"/>
      <c r="W7" s="101"/>
      <c r="X7" s="98"/>
    </row>
    <row r="8" ht="25.5" customHeight="1">
      <c r="A8" s="98"/>
      <c r="B8" s="101"/>
      <c r="C8" s="101"/>
      <c r="D8" s="101"/>
      <c r="E8" s="101"/>
      <c r="F8" s="101"/>
      <c r="G8" s="101"/>
      <c r="H8" s="101"/>
      <c r="I8" s="101"/>
      <c r="J8" s="101"/>
      <c r="K8" s="101"/>
      <c r="L8" s="101"/>
      <c r="M8" s="101"/>
      <c r="N8" s="101"/>
      <c r="O8" s="101"/>
      <c r="P8" s="101"/>
      <c r="Q8" s="101"/>
      <c r="R8" s="101"/>
      <c r="S8" s="101"/>
      <c r="T8" s="101"/>
      <c r="U8" s="101"/>
      <c r="V8" s="101"/>
      <c r="W8" s="101"/>
      <c r="X8" s="98"/>
    </row>
    <row r="9" ht="24.75" customHeight="1">
      <c r="A9" s="115"/>
      <c r="B9" s="117" t="s">
        <v>31</v>
      </c>
      <c r="X9" s="115"/>
    </row>
    <row r="10" ht="56.25" customHeight="1" outlineLevel="1">
      <c r="A10" s="98"/>
      <c r="B10" s="101" t="str">
        <f>IMAGE("https://i.postimg.cc/FKWrBxyX/ember-000.png", 3)</f>
        <v/>
      </c>
      <c r="D10" s="101"/>
      <c r="E10" s="101"/>
      <c r="F10" s="101" t="str">
        <f>IMAGE("https://i.postimg.cc/YqbQVyrT/ember-001.png", 3)</f>
        <v/>
      </c>
      <c r="H10" s="101"/>
      <c r="I10" s="101"/>
      <c r="J10" s="101"/>
      <c r="L10" s="101"/>
      <c r="M10" s="101"/>
      <c r="N10" s="101"/>
      <c r="P10" s="101"/>
      <c r="Q10" s="101"/>
      <c r="R10" s="101"/>
      <c r="T10" s="101"/>
      <c r="U10" s="101"/>
      <c r="V10" s="101"/>
      <c r="X10" s="98"/>
    </row>
    <row r="11" ht="17.25" customHeight="1" outlineLevel="1">
      <c r="A11" s="132"/>
      <c r="B11" s="133">
        <f>date(2022,3,17)</f>
        <v>44637</v>
      </c>
      <c r="D11" s="134"/>
      <c r="E11" s="134"/>
      <c r="F11" s="133">
        <f>date(2022,3,27)</f>
        <v>44647</v>
      </c>
      <c r="H11" s="134"/>
      <c r="I11" s="134"/>
      <c r="J11" s="134"/>
      <c r="K11" s="134"/>
      <c r="L11" s="134"/>
      <c r="M11" s="134"/>
      <c r="N11" s="134"/>
      <c r="O11" s="134"/>
      <c r="P11" s="134"/>
      <c r="Q11" s="134"/>
      <c r="R11" s="134"/>
      <c r="S11" s="134"/>
      <c r="T11" s="134"/>
      <c r="U11" s="134"/>
      <c r="V11" s="134"/>
      <c r="W11" s="134"/>
      <c r="X11" s="132"/>
    </row>
    <row r="12" ht="17.25" customHeight="1" outlineLevel="1">
      <c r="A12" s="115"/>
      <c r="B12" s="124" t="str">
        <f>IMAGE(Cats!$F$4, 3)</f>
        <v/>
      </c>
      <c r="C12" s="125" t="str">
        <f>IMAGE(Hats!$G$3, 3)</f>
        <v/>
      </c>
      <c r="D12" s="125"/>
      <c r="E12" s="125"/>
      <c r="F12" s="124" t="str">
        <f>IMAGE(Cats!$F$4, 3)</f>
        <v/>
      </c>
      <c r="G12" s="125" t="str">
        <f>IMAGE(Hats!$G$31, 3)</f>
        <v/>
      </c>
      <c r="H12" s="125"/>
      <c r="I12" s="125"/>
      <c r="J12" s="125"/>
      <c r="K12" s="125"/>
      <c r="L12" s="125"/>
      <c r="M12" s="125"/>
      <c r="N12" s="125"/>
      <c r="O12" s="125"/>
      <c r="P12" s="125"/>
      <c r="Q12" s="125"/>
      <c r="R12" s="125"/>
      <c r="S12" s="125"/>
      <c r="T12" s="125"/>
      <c r="U12" s="125"/>
      <c r="V12" s="125"/>
      <c r="W12" s="125"/>
      <c r="X12" s="115"/>
    </row>
    <row r="13" ht="17.25" customHeight="1">
      <c r="A13" s="115"/>
      <c r="B13" s="125"/>
      <c r="C13" s="125"/>
      <c r="D13" s="125"/>
      <c r="E13" s="125"/>
      <c r="F13" s="125"/>
      <c r="G13" s="125"/>
      <c r="H13" s="125"/>
      <c r="I13" s="125"/>
      <c r="J13" s="125"/>
      <c r="K13" s="125"/>
      <c r="L13" s="125"/>
      <c r="M13" s="125"/>
      <c r="N13" s="125"/>
      <c r="O13" s="125"/>
      <c r="P13" s="125"/>
      <c r="Q13" s="125"/>
      <c r="R13" s="125"/>
      <c r="S13" s="125"/>
      <c r="T13" s="125"/>
      <c r="U13" s="125"/>
      <c r="V13" s="125"/>
      <c r="W13" s="125"/>
      <c r="X13" s="115"/>
    </row>
    <row r="14" ht="24.75" customHeight="1">
      <c r="A14" s="115"/>
      <c r="B14" s="117" t="s">
        <v>32</v>
      </c>
      <c r="X14" s="115"/>
    </row>
    <row r="15" ht="56.25" customHeight="1" outlineLevel="1">
      <c r="A15" s="98"/>
      <c r="B15" s="101" t="str">
        <f>IMAGE(Cats!$E$4, 3)</f>
        <v/>
      </c>
      <c r="D15" s="101"/>
      <c r="E15" s="101"/>
      <c r="F15" s="101" t="str">
        <f>IMAGE(Cats!$E$8, 3)</f>
        <v/>
      </c>
      <c r="H15" s="101"/>
      <c r="I15" s="101"/>
      <c r="J15" s="101"/>
      <c r="L15" s="101"/>
      <c r="M15" s="101"/>
      <c r="N15" s="101"/>
      <c r="P15" s="101"/>
      <c r="Q15" s="101"/>
      <c r="R15" s="101"/>
      <c r="T15" s="101"/>
      <c r="U15" s="101"/>
      <c r="V15" s="101"/>
      <c r="X15" s="98"/>
    </row>
    <row r="16" outlineLevel="1">
      <c r="A16" s="128"/>
      <c r="B16" s="129" t="str">
        <f>Cats!$C$4</f>
        <v>*A03</v>
      </c>
      <c r="D16" s="129"/>
      <c r="E16" s="129"/>
      <c r="F16" s="129" t="str">
        <f>Cats!$C$8</f>
        <v>*B03</v>
      </c>
      <c r="H16" s="130"/>
      <c r="I16" s="130"/>
      <c r="J16" s="129"/>
      <c r="K16" s="129"/>
      <c r="L16" s="130"/>
      <c r="M16" s="130"/>
      <c r="N16" s="129"/>
      <c r="O16" s="129"/>
      <c r="P16" s="130"/>
      <c r="Q16" s="130"/>
      <c r="R16" s="129"/>
      <c r="S16" s="129"/>
      <c r="T16" s="130"/>
      <c r="U16" s="130"/>
      <c r="V16" s="129"/>
      <c r="W16" s="129"/>
      <c r="X16" s="128"/>
    </row>
    <row r="17" ht="17.25" customHeight="1">
      <c r="A17" s="115"/>
      <c r="B17" s="125"/>
      <c r="C17" s="125"/>
      <c r="D17" s="125"/>
      <c r="E17" s="125"/>
      <c r="F17" s="125"/>
      <c r="G17" s="125"/>
      <c r="H17" s="125"/>
      <c r="I17" s="125"/>
      <c r="J17" s="125"/>
      <c r="K17" s="125"/>
      <c r="L17" s="125"/>
      <c r="M17" s="125"/>
      <c r="N17" s="125"/>
      <c r="O17" s="125"/>
      <c r="P17" s="125"/>
      <c r="Q17" s="125"/>
      <c r="R17" s="125"/>
      <c r="S17" s="125"/>
      <c r="T17" s="125"/>
      <c r="U17" s="125"/>
      <c r="V17" s="125"/>
      <c r="W17" s="125"/>
      <c r="X17" s="115"/>
    </row>
    <row r="18" ht="24.75" customHeight="1">
      <c r="A18" s="98"/>
      <c r="B18" s="131" t="s">
        <v>33</v>
      </c>
      <c r="X18" s="98"/>
    </row>
    <row r="19" ht="56.25" customHeight="1">
      <c r="A19" s="98"/>
      <c r="B19" s="101" t="str">
        <f>IMAGE(Hats!$F$3, 3)</f>
        <v/>
      </c>
      <c r="D19" s="101"/>
      <c r="E19" s="101"/>
      <c r="F19" s="101" t="str">
        <f>IMAGE(Hats!$F$17, 3)</f>
        <v/>
      </c>
      <c r="H19" s="101"/>
      <c r="I19" s="101"/>
      <c r="J19" s="101" t="str">
        <f>IMAGE(Hats!$F$19, 3)</f>
        <v/>
      </c>
      <c r="L19" s="101"/>
      <c r="M19" s="101"/>
      <c r="N19" s="101" t="str">
        <f>IMAGE(Hats!$F$25, 3)</f>
        <v/>
      </c>
      <c r="P19" s="101"/>
      <c r="Q19" s="101"/>
      <c r="R19" s="101" t="str">
        <f>IMAGE(Hats!$F$28, 3)</f>
        <v/>
      </c>
      <c r="T19" s="101"/>
      <c r="U19" s="101"/>
      <c r="V19" s="101" t="str">
        <f>IMAGE(Hats!$F$29, 3)</f>
        <v/>
      </c>
      <c r="X19" s="98"/>
    </row>
    <row r="20">
      <c r="A20" s="98"/>
      <c r="B20" s="129" t="str">
        <f>Hats!$C$3</f>
        <v>AA02</v>
      </c>
      <c r="C20" s="129">
        <v>1.0</v>
      </c>
      <c r="D20" s="129"/>
      <c r="E20" s="129"/>
      <c r="F20" s="129" t="str">
        <f>Hats!$C$17</f>
        <v>AB12</v>
      </c>
      <c r="G20" s="129">
        <v>1.0</v>
      </c>
      <c r="H20" s="101"/>
      <c r="I20" s="101"/>
      <c r="J20" s="129" t="str">
        <f>Hats!$C$19</f>
        <v>AC02</v>
      </c>
      <c r="K20" s="129">
        <v>1.0</v>
      </c>
      <c r="L20" s="101"/>
      <c r="M20" s="101"/>
      <c r="N20" s="129" t="str">
        <f>Hats!$C$25</f>
        <v>AC08</v>
      </c>
      <c r="O20" s="129">
        <v>1.0</v>
      </c>
      <c r="P20" s="101"/>
      <c r="Q20" s="101"/>
      <c r="R20" s="129" t="str">
        <f>Hats!$C$28</f>
        <v>AC11</v>
      </c>
      <c r="S20" s="129">
        <v>1.0</v>
      </c>
      <c r="T20" s="101"/>
      <c r="U20" s="101"/>
      <c r="V20" s="129" t="str">
        <f>Hats!$C$29</f>
        <v>AC12</v>
      </c>
      <c r="W20" s="129">
        <v>1.0</v>
      </c>
      <c r="X20" s="98"/>
    </row>
    <row r="21">
      <c r="A21" s="98"/>
      <c r="B21" s="98"/>
      <c r="C21" s="98"/>
      <c r="D21" s="98"/>
      <c r="E21" s="98"/>
      <c r="F21" s="98"/>
      <c r="G21" s="98"/>
      <c r="H21" s="98"/>
      <c r="I21" s="98"/>
      <c r="J21" s="98"/>
      <c r="K21" s="98"/>
      <c r="L21" s="98"/>
      <c r="M21" s="98"/>
      <c r="N21" s="98"/>
      <c r="O21" s="98"/>
      <c r="P21" s="98"/>
      <c r="Q21" s="98"/>
      <c r="R21" s="98"/>
      <c r="S21" s="98"/>
      <c r="T21" s="98"/>
      <c r="U21" s="98"/>
      <c r="V21" s="98"/>
      <c r="W21" s="98"/>
      <c r="X21" s="98"/>
    </row>
    <row r="22" ht="56.25" customHeight="1">
      <c r="A22" s="98"/>
      <c r="B22" s="101" t="str">
        <f>IMAGE(Hats!$F$30, 3)</f>
        <v/>
      </c>
      <c r="D22" s="101"/>
      <c r="E22" s="101"/>
      <c r="F22" s="135"/>
      <c r="H22" s="101"/>
      <c r="I22" s="101"/>
      <c r="J22" s="101" t="str">
        <f>IMAGE(Hats!$F$33, 3)</f>
        <v/>
      </c>
      <c r="L22" s="101"/>
      <c r="M22" s="101"/>
      <c r="N22" s="101" t="str">
        <f>IMAGE(Hats!$F$35, 3)</f>
        <v/>
      </c>
      <c r="P22" s="101"/>
      <c r="Q22" s="101"/>
      <c r="R22" s="101"/>
      <c r="T22" s="101"/>
      <c r="U22" s="101"/>
      <c r="V22" s="101"/>
      <c r="X22" s="98"/>
    </row>
    <row r="23">
      <c r="A23" s="98"/>
      <c r="B23" s="129" t="str">
        <f>Hats!$C$30</f>
        <v>AC13</v>
      </c>
      <c r="C23" s="129">
        <v>1.0</v>
      </c>
      <c r="D23" s="129"/>
      <c r="E23" s="129"/>
      <c r="F23" s="129" t="s">
        <v>36</v>
      </c>
      <c r="G23" s="129">
        <v>1.0</v>
      </c>
      <c r="H23" s="129"/>
      <c r="I23" s="129"/>
      <c r="J23" s="129" t="str">
        <f>Hats!$C$33</f>
        <v>AC16</v>
      </c>
      <c r="K23" s="129">
        <v>1.0</v>
      </c>
      <c r="L23" s="129"/>
      <c r="M23" s="129"/>
      <c r="N23" s="129" t="str">
        <f>Hats!$C$35</f>
        <v>AC18</v>
      </c>
      <c r="O23" s="129">
        <v>1.0</v>
      </c>
      <c r="P23" s="101"/>
      <c r="Q23" s="101"/>
      <c r="R23" s="129"/>
      <c r="S23" s="129"/>
      <c r="T23" s="101"/>
      <c r="U23" s="101"/>
      <c r="V23" s="129"/>
      <c r="W23" s="129"/>
      <c r="X23" s="98"/>
    </row>
    <row r="24">
      <c r="A24" s="98"/>
      <c r="B24" s="98"/>
      <c r="C24" s="98"/>
      <c r="D24" s="98"/>
      <c r="E24" s="98"/>
      <c r="F24" s="98"/>
      <c r="G24" s="98"/>
      <c r="H24" s="98"/>
      <c r="I24" s="98"/>
      <c r="J24" s="98"/>
      <c r="K24" s="98"/>
      <c r="L24" s="98"/>
      <c r="M24" s="98"/>
      <c r="N24" s="98"/>
      <c r="O24" s="98"/>
      <c r="P24" s="98"/>
      <c r="Q24" s="98"/>
      <c r="R24" s="98"/>
      <c r="S24" s="98"/>
      <c r="T24" s="98"/>
      <c r="U24" s="98"/>
      <c r="V24" s="98"/>
      <c r="W24" s="98"/>
      <c r="X24" s="98"/>
    </row>
  </sheetData>
  <mergeCells count="38">
    <mergeCell ref="B2:W2"/>
    <mergeCell ref="J3:K3"/>
    <mergeCell ref="N3:O3"/>
    <mergeCell ref="J5:O5"/>
    <mergeCell ref="J6:O6"/>
    <mergeCell ref="J7:L7"/>
    <mergeCell ref="M7:O7"/>
    <mergeCell ref="F10:G10"/>
    <mergeCell ref="F11:G11"/>
    <mergeCell ref="F15:G15"/>
    <mergeCell ref="F16:G16"/>
    <mergeCell ref="F19:G19"/>
    <mergeCell ref="F22:G22"/>
    <mergeCell ref="B11:C11"/>
    <mergeCell ref="B15:C15"/>
    <mergeCell ref="B16:C16"/>
    <mergeCell ref="B19:C19"/>
    <mergeCell ref="B22:C22"/>
    <mergeCell ref="B9:W9"/>
    <mergeCell ref="B10:C10"/>
    <mergeCell ref="J10:K10"/>
    <mergeCell ref="N10:O10"/>
    <mergeCell ref="R10:S10"/>
    <mergeCell ref="V10:W10"/>
    <mergeCell ref="B14:W14"/>
    <mergeCell ref="R19:S19"/>
    <mergeCell ref="V19:W19"/>
    <mergeCell ref="J22:K22"/>
    <mergeCell ref="N22:O22"/>
    <mergeCell ref="R22:S22"/>
    <mergeCell ref="V22:W22"/>
    <mergeCell ref="J15:K15"/>
    <mergeCell ref="N15:O15"/>
    <mergeCell ref="R15:S15"/>
    <mergeCell ref="V15:W15"/>
    <mergeCell ref="B18:W18"/>
    <mergeCell ref="J19:K19"/>
    <mergeCell ref="N19:O1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7257"/>
    <outlinePr summaryBelow="0" summaryRight="0"/>
  </sheetPr>
  <sheetViews>
    <sheetView showGridLines="0" workbookViewId="0"/>
  </sheetViews>
  <sheetFormatPr customHeight="1" defaultColWidth="12.63" defaultRowHeight="15.75" outlineLevelRow="1"/>
  <cols>
    <col customWidth="1" min="2" max="3" width="5.13"/>
    <col customWidth="1" min="4" max="5" width="1.38"/>
    <col customWidth="1" min="6" max="7" width="5.13"/>
    <col customWidth="1" min="8" max="9" width="1.38"/>
    <col customWidth="1" min="10" max="11" width="5.13"/>
    <col customWidth="1" min="12" max="13" width="1.38"/>
    <col customWidth="1" min="14" max="15" width="5.13"/>
    <col customWidth="1" min="16" max="17" width="1.38"/>
    <col customWidth="1" min="18" max="19" width="5.13"/>
    <col customWidth="1" min="20" max="21" width="1.38"/>
    <col customWidth="1" min="22" max="23" width="5.13"/>
  </cols>
  <sheetData>
    <row r="1">
      <c r="A1" s="98"/>
      <c r="B1" s="98"/>
      <c r="C1" s="98"/>
      <c r="D1" s="98"/>
      <c r="E1" s="98"/>
      <c r="F1" s="98"/>
      <c r="G1" s="98"/>
      <c r="H1" s="98"/>
      <c r="I1" s="98"/>
      <c r="J1" s="98"/>
      <c r="K1" s="98"/>
      <c r="L1" s="98"/>
      <c r="M1" s="98"/>
      <c r="N1" s="98"/>
      <c r="O1" s="98"/>
      <c r="P1" s="98"/>
      <c r="Q1" s="98"/>
      <c r="R1" s="98"/>
      <c r="S1" s="98"/>
      <c r="T1" s="98"/>
      <c r="U1" s="98"/>
      <c r="V1" s="98"/>
      <c r="W1" s="98"/>
      <c r="X1" s="98"/>
    </row>
    <row r="2">
      <c r="A2" s="98"/>
      <c r="B2" s="100" t="s">
        <v>17</v>
      </c>
      <c r="X2" s="98"/>
    </row>
    <row r="3">
      <c r="A3" s="98"/>
      <c r="B3" s="98"/>
      <c r="C3" s="101"/>
      <c r="D3" s="102"/>
      <c r="E3" s="102"/>
      <c r="F3" s="101"/>
      <c r="G3" s="101"/>
      <c r="H3" s="102"/>
      <c r="I3" s="102"/>
      <c r="J3" s="103" t="s">
        <v>27</v>
      </c>
      <c r="L3" s="103"/>
      <c r="M3" s="103"/>
      <c r="N3" s="104">
        <f>IFERROR(__xludf.DUMMYFUNCTION("SUM(IFERROR(QUERY(Records!$A:$F, CONCATENATE(""select F where B contains '"", $B2, ""'""), 0))) - SUM(IFERROR(QUERY(Records!$A:$F, CONCATENATE(""select G where B contains '"", $B2, ""'""), 0)))"),88.0)</f>
        <v>88</v>
      </c>
      <c r="P3" s="102"/>
      <c r="Q3" s="102"/>
      <c r="R3" s="101"/>
      <c r="S3" s="101"/>
      <c r="T3" s="102"/>
      <c r="U3" s="102"/>
      <c r="V3" s="101"/>
      <c r="W3" s="101"/>
      <c r="X3" s="98"/>
    </row>
    <row r="4" ht="23.25" customHeight="1">
      <c r="A4" s="98"/>
      <c r="B4" s="101"/>
      <c r="C4" s="101"/>
      <c r="D4" s="101"/>
      <c r="E4" s="101"/>
      <c r="F4" s="101"/>
      <c r="G4" s="101"/>
      <c r="H4" s="101"/>
      <c r="I4" s="101"/>
      <c r="J4" s="101"/>
      <c r="K4" s="101"/>
      <c r="L4" s="101"/>
      <c r="M4" s="101"/>
      <c r="N4" s="101"/>
      <c r="O4" s="101"/>
      <c r="P4" s="101"/>
      <c r="Q4" s="101"/>
      <c r="R4" s="101"/>
      <c r="S4" s="101"/>
      <c r="T4" s="101"/>
      <c r="U4" s="101"/>
      <c r="V4" s="101"/>
      <c r="W4" s="101"/>
      <c r="X4" s="98"/>
    </row>
    <row r="5" ht="112.5" customHeight="1">
      <c r="A5" s="98"/>
      <c r="B5" s="101"/>
      <c r="C5" s="101"/>
      <c r="D5" s="101"/>
      <c r="E5" s="101"/>
      <c r="F5" s="101"/>
      <c r="G5" s="101"/>
      <c r="H5" s="101"/>
      <c r="I5" s="101"/>
      <c r="J5" s="105" t="str">
        <f>IMAGE("https://i.postimg.cc/ydCXLBz0/luv007-big.png", 3)</f>
        <v/>
      </c>
      <c r="K5" s="106"/>
      <c r="L5" s="106"/>
      <c r="M5" s="106"/>
      <c r="N5" s="106"/>
      <c r="O5" s="107"/>
      <c r="P5" s="101"/>
      <c r="Q5" s="101"/>
      <c r="R5" s="101"/>
      <c r="S5" s="101"/>
      <c r="T5" s="101"/>
      <c r="U5" s="101"/>
      <c r="V5" s="101"/>
      <c r="W5" s="101"/>
      <c r="X5" s="98"/>
    </row>
    <row r="6" ht="18.0" customHeight="1">
      <c r="A6" s="98"/>
      <c r="B6" s="101"/>
      <c r="C6" s="101"/>
      <c r="D6" s="101"/>
      <c r="E6" s="101"/>
      <c r="F6" s="101"/>
      <c r="G6" s="101"/>
      <c r="H6" s="101"/>
      <c r="I6" s="101"/>
      <c r="J6" s="108" t="s">
        <v>35</v>
      </c>
      <c r="O6" s="109"/>
      <c r="P6" s="101"/>
      <c r="Q6" s="101"/>
      <c r="R6" s="101"/>
      <c r="S6" s="101"/>
      <c r="T6" s="101"/>
      <c r="U6" s="101"/>
      <c r="V6" s="101"/>
      <c r="W6" s="101"/>
      <c r="X6" s="98"/>
    </row>
    <row r="7" ht="27.0" customHeight="1">
      <c r="A7" s="98"/>
      <c r="B7" s="101"/>
      <c r="C7" s="101"/>
      <c r="D7" s="101"/>
      <c r="E7" s="101"/>
      <c r="F7" s="101"/>
      <c r="G7" s="101"/>
      <c r="H7" s="101"/>
      <c r="I7" s="101"/>
      <c r="J7" s="110" t="str">
        <f>IMAGE(Cats!$F$3, 3)</f>
        <v/>
      </c>
      <c r="K7" s="111"/>
      <c r="L7" s="111"/>
      <c r="M7" s="113" t="str">
        <f>IMAGE(Hats!$G$5, 3)</f>
        <v/>
      </c>
      <c r="N7" s="111"/>
      <c r="O7" s="114"/>
      <c r="P7" s="101"/>
      <c r="Q7" s="101"/>
      <c r="R7" s="101"/>
      <c r="S7" s="101"/>
      <c r="T7" s="101"/>
      <c r="U7" s="101"/>
      <c r="V7" s="101"/>
      <c r="W7" s="101"/>
      <c r="X7" s="98"/>
    </row>
    <row r="8" ht="25.5" customHeight="1">
      <c r="A8" s="98"/>
      <c r="B8" s="101"/>
      <c r="C8" s="101"/>
      <c r="D8" s="101"/>
      <c r="E8" s="101"/>
      <c r="F8" s="101"/>
      <c r="G8" s="101"/>
      <c r="H8" s="101"/>
      <c r="I8" s="101"/>
      <c r="J8" s="101"/>
      <c r="K8" s="101"/>
      <c r="L8" s="101"/>
      <c r="M8" s="101"/>
      <c r="N8" s="101"/>
      <c r="O8" s="101"/>
      <c r="P8" s="101"/>
      <c r="Q8" s="101"/>
      <c r="R8" s="101"/>
      <c r="S8" s="101"/>
      <c r="T8" s="101"/>
      <c r="U8" s="101"/>
      <c r="V8" s="101"/>
      <c r="W8" s="101"/>
      <c r="X8" s="98"/>
    </row>
    <row r="9" ht="24.75" customHeight="1">
      <c r="A9" s="115"/>
      <c r="B9" s="117" t="s">
        <v>31</v>
      </c>
      <c r="X9" s="115"/>
    </row>
    <row r="10" ht="56.25" customHeight="1" outlineLevel="1">
      <c r="A10" s="98"/>
      <c r="B10" s="101" t="str">
        <f>IMAGE("https://i.postimg.cc/wTWZmTdF/luv007-000.png", 3)</f>
        <v/>
      </c>
      <c r="D10" s="101"/>
      <c r="E10" s="101"/>
      <c r="F10" s="101" t="str">
        <f>IMAGE("https://i.postimg.cc/dQR2RVzs/luv007-001.png", 3)</f>
        <v/>
      </c>
      <c r="H10" s="101"/>
      <c r="I10" s="101"/>
      <c r="J10" s="101" t="str">
        <f>IMAGE("https://i.postimg.cc/QCMzrThC/luv007-002.png", 3)</f>
        <v/>
      </c>
      <c r="L10" s="101"/>
      <c r="M10" s="101"/>
      <c r="N10" s="101"/>
      <c r="P10" s="101"/>
      <c r="Q10" s="101"/>
      <c r="R10" s="101"/>
      <c r="T10" s="101"/>
      <c r="U10" s="101"/>
      <c r="V10" s="101"/>
      <c r="X10" s="98"/>
    </row>
    <row r="11" ht="17.25" customHeight="1" outlineLevel="1">
      <c r="A11" s="120"/>
      <c r="B11" s="122">
        <f>date(2022,3,17)</f>
        <v>44637</v>
      </c>
      <c r="D11" s="123"/>
      <c r="E11" s="123"/>
      <c r="F11" s="122">
        <f>date(2022,3,27)</f>
        <v>44647</v>
      </c>
      <c r="H11" s="123"/>
      <c r="I11" s="123"/>
      <c r="J11" s="122">
        <f>date(2022, 4, 4)</f>
        <v>44655</v>
      </c>
      <c r="L11" s="123"/>
      <c r="M11" s="123"/>
      <c r="N11" s="123"/>
      <c r="O11" s="123"/>
      <c r="P11" s="123"/>
      <c r="Q11" s="123"/>
      <c r="R11" s="123"/>
      <c r="S11" s="123"/>
      <c r="T11" s="123"/>
      <c r="U11" s="123"/>
      <c r="V11" s="123"/>
      <c r="W11" s="123"/>
      <c r="X11" s="120"/>
    </row>
    <row r="12" ht="17.25" customHeight="1" outlineLevel="1">
      <c r="A12" s="115"/>
      <c r="B12" s="124"/>
      <c r="C12" s="125" t="str">
        <f>IMAGE(Hats!$G$5, 3)</f>
        <v/>
      </c>
      <c r="D12" s="125"/>
      <c r="E12" s="125"/>
      <c r="F12" s="124"/>
      <c r="G12" s="125" t="str">
        <f>IMAGE(Hats!$G$34, 3)</f>
        <v/>
      </c>
      <c r="H12" s="125"/>
      <c r="I12" s="125"/>
      <c r="J12" s="124" t="str">
        <f>IMAGE(Cats!$F$9, 3)</f>
        <v/>
      </c>
      <c r="K12" s="125" t="str">
        <f>IMAGE(Hats!$G$35, 3)</f>
        <v/>
      </c>
      <c r="L12" s="125"/>
      <c r="M12" s="125"/>
      <c r="N12" s="125"/>
      <c r="O12" s="125"/>
      <c r="P12" s="125"/>
      <c r="Q12" s="125"/>
      <c r="R12" s="125"/>
      <c r="S12" s="125"/>
      <c r="T12" s="125"/>
      <c r="U12" s="125"/>
      <c r="V12" s="125"/>
      <c r="W12" s="125"/>
      <c r="X12" s="115"/>
    </row>
    <row r="13" ht="17.25" customHeight="1">
      <c r="A13" s="115"/>
      <c r="B13" s="125"/>
      <c r="C13" s="125"/>
      <c r="D13" s="125"/>
      <c r="E13" s="125"/>
      <c r="F13" s="125"/>
      <c r="G13" s="125"/>
      <c r="H13" s="125"/>
      <c r="I13" s="125"/>
      <c r="J13" s="125"/>
      <c r="K13" s="125"/>
      <c r="L13" s="125"/>
      <c r="M13" s="125"/>
      <c r="N13" s="125"/>
      <c r="O13" s="125"/>
      <c r="P13" s="125"/>
      <c r="Q13" s="125"/>
      <c r="R13" s="125"/>
      <c r="S13" s="125"/>
      <c r="T13" s="125"/>
      <c r="U13" s="125"/>
      <c r="V13" s="125"/>
      <c r="W13" s="125"/>
      <c r="X13" s="115"/>
    </row>
    <row r="14" ht="24.75" customHeight="1">
      <c r="A14" s="115"/>
      <c r="B14" s="117" t="s">
        <v>32</v>
      </c>
      <c r="X14" s="115"/>
    </row>
    <row r="15" ht="56.25" customHeight="1" outlineLevel="1">
      <c r="A15" s="98"/>
      <c r="B15" s="101" t="str">
        <f>IMAGE(Cats!$E$3, 3)</f>
        <v/>
      </c>
      <c r="D15" s="101"/>
      <c r="E15" s="101"/>
      <c r="F15" s="101" t="str">
        <f>IMAGE(Cats!$E$9, 3)</f>
        <v/>
      </c>
      <c r="H15" s="101"/>
      <c r="I15" s="101"/>
      <c r="J15" s="101" t="str">
        <f>IMAGE(Cats!$E$10, 3)</f>
        <v/>
      </c>
      <c r="L15" s="101"/>
      <c r="M15" s="101"/>
      <c r="N15" s="101"/>
      <c r="P15" s="101"/>
      <c r="Q15" s="101"/>
      <c r="R15" s="101"/>
      <c r="T15" s="101"/>
      <c r="U15" s="101"/>
      <c r="V15" s="101"/>
      <c r="X15" s="98"/>
    </row>
    <row r="16" outlineLevel="1">
      <c r="A16" s="98"/>
      <c r="B16" s="129" t="str">
        <f>Cats!$C$3</f>
        <v>*A02</v>
      </c>
      <c r="D16" s="101"/>
      <c r="E16" s="101"/>
      <c r="F16" s="129" t="str">
        <f>Cats!$C$9</f>
        <v>*B04</v>
      </c>
      <c r="H16" s="101"/>
      <c r="I16" s="101"/>
      <c r="J16" s="129" t="str">
        <f>Cats!$C$10</f>
        <v>*B05</v>
      </c>
      <c r="L16" s="101"/>
      <c r="M16" s="101"/>
      <c r="N16" s="101"/>
      <c r="O16" s="101"/>
      <c r="P16" s="101"/>
      <c r="Q16" s="101"/>
      <c r="R16" s="101"/>
      <c r="S16" s="101"/>
      <c r="T16" s="101"/>
      <c r="U16" s="101"/>
      <c r="V16" s="101"/>
      <c r="W16" s="101"/>
      <c r="X16" s="98"/>
    </row>
    <row r="17" ht="17.25" customHeight="1">
      <c r="A17" s="115"/>
      <c r="B17" s="125"/>
      <c r="C17" s="125"/>
      <c r="D17" s="125"/>
      <c r="E17" s="125"/>
      <c r="F17" s="125"/>
      <c r="G17" s="125"/>
      <c r="H17" s="125"/>
      <c r="I17" s="125"/>
      <c r="J17" s="125"/>
      <c r="K17" s="125"/>
      <c r="L17" s="125"/>
      <c r="M17" s="125"/>
      <c r="N17" s="125"/>
      <c r="O17" s="125"/>
      <c r="P17" s="125"/>
      <c r="Q17" s="125"/>
      <c r="R17" s="125"/>
      <c r="S17" s="125"/>
      <c r="T17" s="125"/>
      <c r="U17" s="125"/>
      <c r="V17" s="125"/>
      <c r="W17" s="125"/>
      <c r="X17" s="115"/>
    </row>
    <row r="18" ht="24.75" customHeight="1">
      <c r="A18" s="98"/>
      <c r="B18" s="131" t="s">
        <v>33</v>
      </c>
      <c r="X18" s="98"/>
    </row>
    <row r="19" ht="56.25" customHeight="1">
      <c r="A19" s="98"/>
      <c r="B19" s="101" t="str">
        <f>IMAGE(Hats!$F$5, 3)</f>
        <v/>
      </c>
      <c r="D19" s="101"/>
      <c r="E19" s="101"/>
      <c r="F19" s="101" t="str">
        <f>IMAGE(Hats!$F$6, 3)</f>
        <v/>
      </c>
      <c r="H19" s="101"/>
      <c r="I19" s="101"/>
      <c r="J19" s="101" t="str">
        <f>IMAGE(Hats!$F$7, 3)</f>
        <v/>
      </c>
      <c r="L19" s="101"/>
      <c r="M19" s="101"/>
      <c r="N19" s="101" t="str">
        <f>image(Hats!$F$11, 3)</f>
        <v/>
      </c>
      <c r="P19" s="101"/>
      <c r="Q19" s="101"/>
      <c r="R19" s="101" t="str">
        <f>IMAGE(Hats!$F$13, 3)</f>
        <v/>
      </c>
      <c r="T19" s="101"/>
      <c r="U19" s="101"/>
      <c r="V19" s="101"/>
      <c r="X19" s="98"/>
    </row>
    <row r="20">
      <c r="A20" s="98"/>
      <c r="B20" s="129" t="str">
        <f>Hats!$C$5</f>
        <v>AA04</v>
      </c>
      <c r="C20" s="129">
        <v>1.0</v>
      </c>
      <c r="D20" s="129"/>
      <c r="E20" s="129"/>
      <c r="F20" s="129" t="str">
        <f>Hats!$C$6</f>
        <v>AB01</v>
      </c>
      <c r="G20" s="129">
        <v>1.0</v>
      </c>
      <c r="H20" s="101"/>
      <c r="I20" s="101"/>
      <c r="J20" s="129" t="str">
        <f>Hats!$C$7</f>
        <v>AB02</v>
      </c>
      <c r="K20" s="129">
        <v>1.0</v>
      </c>
      <c r="L20" s="101"/>
      <c r="M20" s="101"/>
      <c r="N20" s="129" t="str">
        <f>Hats!$C$11</f>
        <v>AB06</v>
      </c>
      <c r="O20" s="129">
        <v>1.0</v>
      </c>
      <c r="P20" s="101"/>
      <c r="Q20" s="101"/>
      <c r="R20" s="129" t="str">
        <f>Hats!$C$13</f>
        <v>AB08</v>
      </c>
      <c r="S20" s="129">
        <v>1.0</v>
      </c>
      <c r="T20" s="101"/>
      <c r="U20" s="101"/>
      <c r="V20" s="129"/>
      <c r="W20" s="129"/>
      <c r="X20" s="98"/>
    </row>
    <row r="21">
      <c r="A21" s="98"/>
      <c r="B21" s="98"/>
      <c r="C21" s="98"/>
      <c r="D21" s="98"/>
      <c r="E21" s="98"/>
      <c r="F21" s="98"/>
      <c r="G21" s="98"/>
      <c r="H21" s="98"/>
      <c r="I21" s="98"/>
      <c r="J21" s="98"/>
      <c r="K21" s="98"/>
      <c r="L21" s="98"/>
      <c r="M21" s="98"/>
      <c r="N21" s="98"/>
      <c r="O21" s="98"/>
      <c r="P21" s="98"/>
      <c r="Q21" s="98"/>
      <c r="R21" s="98"/>
      <c r="S21" s="98"/>
      <c r="T21" s="98"/>
      <c r="U21" s="98"/>
      <c r="V21" s="98"/>
      <c r="W21" s="98"/>
      <c r="X21" s="98"/>
    </row>
    <row r="22" ht="56.25" customHeight="1">
      <c r="A22" s="98"/>
      <c r="B22" s="101" t="str">
        <f>IMAGE(Hats!$F$19, 3)</f>
        <v/>
      </c>
      <c r="D22" s="101"/>
      <c r="E22" s="101"/>
      <c r="F22" s="101" t="str">
        <f>IMAGE(Hats!$F$20, 3)</f>
        <v/>
      </c>
      <c r="H22" s="101"/>
      <c r="I22" s="101"/>
      <c r="J22" s="101" t="str">
        <f>IMAGE(Hats!$F$21, 3)</f>
        <v/>
      </c>
      <c r="L22" s="101"/>
      <c r="M22" s="101"/>
      <c r="N22" s="101" t="str">
        <f>IMAGE(Hats!$F$24, 3)</f>
        <v/>
      </c>
      <c r="P22" s="101"/>
      <c r="Q22" s="101"/>
      <c r="R22" s="101" t="str">
        <f>IMAGE(Hats!$F$26, 3)</f>
        <v/>
      </c>
      <c r="T22" s="101"/>
      <c r="U22" s="101"/>
      <c r="V22" s="101" t="str">
        <f>IMAGE(Hats!$F$27, 3)</f>
        <v/>
      </c>
      <c r="X22" s="98"/>
    </row>
    <row r="23">
      <c r="A23" s="98"/>
      <c r="B23" s="129" t="str">
        <f>Hats!$C$19</f>
        <v>AC02</v>
      </c>
      <c r="C23" s="129">
        <v>1.0</v>
      </c>
      <c r="D23" s="101"/>
      <c r="E23" s="101"/>
      <c r="F23" s="129" t="str">
        <f>Hats!$C$20</f>
        <v>AC03</v>
      </c>
      <c r="G23" s="129">
        <v>1.0</v>
      </c>
      <c r="H23" s="101"/>
      <c r="I23" s="101"/>
      <c r="J23" s="129" t="str">
        <f>Hats!$C$21</f>
        <v>AC04</v>
      </c>
      <c r="K23" s="129">
        <v>1.0</v>
      </c>
      <c r="L23" s="129"/>
      <c r="M23" s="129"/>
      <c r="N23" s="129" t="str">
        <f>Hats!$C$24</f>
        <v>AC07</v>
      </c>
      <c r="O23" s="129">
        <v>1.0</v>
      </c>
      <c r="P23" s="129"/>
      <c r="Q23" s="129"/>
      <c r="R23" s="129" t="str">
        <f>Hats!$C$26</f>
        <v>AC09</v>
      </c>
      <c r="S23" s="129">
        <v>1.0</v>
      </c>
      <c r="T23" s="129"/>
      <c r="U23" s="129"/>
      <c r="V23" s="129" t="str">
        <f>Hats!$C$27</f>
        <v>AC10</v>
      </c>
      <c r="W23" s="129">
        <v>2.0</v>
      </c>
      <c r="X23" s="98"/>
    </row>
    <row r="24">
      <c r="A24" s="98"/>
      <c r="B24" s="98"/>
      <c r="C24" s="98"/>
      <c r="D24" s="98"/>
      <c r="E24" s="98"/>
      <c r="F24" s="98"/>
      <c r="G24" s="98"/>
      <c r="H24" s="98"/>
      <c r="I24" s="98"/>
      <c r="J24" s="98"/>
      <c r="K24" s="98"/>
      <c r="L24" s="98"/>
      <c r="M24" s="98"/>
      <c r="N24" s="98"/>
      <c r="O24" s="98"/>
      <c r="P24" s="98"/>
      <c r="Q24" s="98"/>
      <c r="R24" s="98"/>
      <c r="S24" s="98"/>
      <c r="T24" s="98"/>
      <c r="U24" s="98"/>
      <c r="V24" s="98"/>
      <c r="W24" s="98"/>
      <c r="X24" s="98"/>
    </row>
    <row r="25" ht="56.25" customHeight="1">
      <c r="A25" s="98"/>
      <c r="B25" s="101" t="str">
        <f>IMAGE(Hats!$F$30, 3)</f>
        <v/>
      </c>
      <c r="D25" s="101"/>
      <c r="E25" s="101"/>
      <c r="F25" s="101" t="str">
        <f>IMAGE(Hats!$F$33, 3)</f>
        <v/>
      </c>
      <c r="H25" s="101"/>
      <c r="I25" s="101"/>
      <c r="J25" s="101" t="str">
        <f>IMAGE(Hats!$F$34, 3)</f>
        <v/>
      </c>
      <c r="L25" s="101"/>
      <c r="M25" s="101"/>
      <c r="N25" s="101" t="str">
        <f>IMAGE(Hats!$F$35, 3)</f>
        <v/>
      </c>
      <c r="P25" s="101"/>
      <c r="Q25" s="101"/>
      <c r="R25" s="101" t="str">
        <f>IMAGE(Hats!$F$36, 3)</f>
        <v/>
      </c>
      <c r="T25" s="101"/>
      <c r="U25" s="101"/>
      <c r="V25" s="101"/>
      <c r="X25" s="98"/>
    </row>
    <row r="26">
      <c r="A26" s="98"/>
      <c r="B26" s="129" t="str">
        <f>Hats!$C$30</f>
        <v>AC13</v>
      </c>
      <c r="C26" s="129">
        <v>1.0</v>
      </c>
      <c r="D26" s="129"/>
      <c r="E26" s="129"/>
      <c r="F26" s="129" t="str">
        <f>Hats!$C$33</f>
        <v>AC16</v>
      </c>
      <c r="G26" s="129">
        <v>1.0</v>
      </c>
      <c r="H26" s="129"/>
      <c r="I26" s="129"/>
      <c r="J26" s="129" t="str">
        <f>Hats!$C$34</f>
        <v>AC17</v>
      </c>
      <c r="K26" s="129">
        <v>1.0</v>
      </c>
      <c r="L26" s="129"/>
      <c r="M26" s="129"/>
      <c r="N26" s="129" t="str">
        <f>Hats!$C$35</f>
        <v>AC18</v>
      </c>
      <c r="O26" s="129">
        <v>1.0</v>
      </c>
      <c r="P26" s="129"/>
      <c r="Q26" s="129"/>
      <c r="R26" s="129" t="str">
        <f>Hats!$C$36</f>
        <v>AC19</v>
      </c>
      <c r="S26" s="129">
        <v>1.0</v>
      </c>
      <c r="T26" s="101"/>
      <c r="U26" s="101"/>
      <c r="V26" s="129"/>
      <c r="W26" s="129"/>
      <c r="X26" s="98"/>
    </row>
    <row r="27">
      <c r="A27" s="98"/>
      <c r="B27" s="98"/>
      <c r="C27" s="98"/>
      <c r="D27" s="98"/>
      <c r="E27" s="98"/>
      <c r="F27" s="98"/>
      <c r="G27" s="98"/>
      <c r="H27" s="98"/>
      <c r="I27" s="98"/>
      <c r="J27" s="98"/>
      <c r="K27" s="98"/>
      <c r="L27" s="98"/>
      <c r="M27" s="98"/>
      <c r="N27" s="98"/>
      <c r="O27" s="98"/>
      <c r="P27" s="98"/>
      <c r="Q27" s="98"/>
      <c r="R27" s="98"/>
      <c r="S27" s="98"/>
      <c r="T27" s="98"/>
      <c r="U27" s="98"/>
      <c r="V27" s="98"/>
      <c r="W27" s="98"/>
      <c r="X27" s="98"/>
    </row>
    <row r="28" ht="56.25" customHeight="1">
      <c r="A28" s="98"/>
      <c r="B28" s="101" t="str">
        <f>IMAGE(Hats!$F$38, 3)</f>
        <v/>
      </c>
      <c r="D28" s="101"/>
      <c r="E28" s="101"/>
      <c r="F28" s="101" t="str">
        <f>IMAGE(Hats!$F$39, 3)</f>
        <v/>
      </c>
      <c r="H28" s="101"/>
      <c r="I28" s="101"/>
      <c r="J28" s="101"/>
      <c r="L28" s="101"/>
      <c r="M28" s="101"/>
      <c r="N28" s="101"/>
      <c r="P28" s="101"/>
      <c r="Q28" s="101"/>
      <c r="R28" s="101"/>
      <c r="T28" s="101"/>
      <c r="U28" s="101"/>
      <c r="V28" s="101"/>
      <c r="X28" s="98"/>
    </row>
    <row r="29">
      <c r="A29" s="98"/>
      <c r="B29" s="129" t="str">
        <f>Hats!$C$38</f>
        <v>AD01</v>
      </c>
      <c r="C29" s="129">
        <v>1.0</v>
      </c>
      <c r="D29" s="101"/>
      <c r="E29" s="101"/>
      <c r="F29" s="129" t="str">
        <f>Hats!$C$39</f>
        <v>AD02</v>
      </c>
      <c r="G29" s="129">
        <v>1.0</v>
      </c>
      <c r="H29" s="101"/>
      <c r="I29" s="101"/>
      <c r="J29" s="129"/>
      <c r="K29" s="129"/>
      <c r="L29" s="101"/>
      <c r="M29" s="101"/>
      <c r="N29" s="129"/>
      <c r="O29" s="129"/>
      <c r="P29" s="101"/>
      <c r="Q29" s="101"/>
      <c r="R29" s="129"/>
      <c r="S29" s="129"/>
      <c r="T29" s="101"/>
      <c r="U29" s="101"/>
      <c r="V29" s="129"/>
      <c r="W29" s="129"/>
      <c r="X29" s="98"/>
    </row>
    <row r="30">
      <c r="A30" s="98"/>
      <c r="B30" s="98"/>
      <c r="C30" s="98"/>
      <c r="D30" s="98"/>
      <c r="E30" s="98"/>
      <c r="F30" s="98"/>
      <c r="G30" s="98"/>
      <c r="H30" s="98"/>
      <c r="I30" s="98"/>
      <c r="J30" s="98"/>
      <c r="K30" s="98"/>
      <c r="L30" s="98"/>
      <c r="M30" s="98"/>
      <c r="N30" s="98"/>
      <c r="O30" s="98"/>
      <c r="P30" s="98"/>
      <c r="Q30" s="98"/>
      <c r="R30" s="98"/>
      <c r="S30" s="98"/>
      <c r="T30" s="98"/>
      <c r="U30" s="98"/>
      <c r="V30" s="98"/>
      <c r="W30" s="98"/>
      <c r="X30" s="98"/>
    </row>
  </sheetData>
  <mergeCells count="52">
    <mergeCell ref="F10:G10"/>
    <mergeCell ref="F11:G11"/>
    <mergeCell ref="B15:C15"/>
    <mergeCell ref="B16:C16"/>
    <mergeCell ref="F16:G16"/>
    <mergeCell ref="J16:K16"/>
    <mergeCell ref="B22:C22"/>
    <mergeCell ref="F22:G22"/>
    <mergeCell ref="J22:K22"/>
    <mergeCell ref="B2:W2"/>
    <mergeCell ref="J3:K3"/>
    <mergeCell ref="N3:O3"/>
    <mergeCell ref="J5:O5"/>
    <mergeCell ref="J6:O6"/>
    <mergeCell ref="J7:L7"/>
    <mergeCell ref="M7:O7"/>
    <mergeCell ref="B9:W9"/>
    <mergeCell ref="B10:C10"/>
    <mergeCell ref="J10:K10"/>
    <mergeCell ref="N10:O10"/>
    <mergeCell ref="R10:S10"/>
    <mergeCell ref="V10:W10"/>
    <mergeCell ref="B11:C11"/>
    <mergeCell ref="B18:W18"/>
    <mergeCell ref="B19:C19"/>
    <mergeCell ref="F19:G19"/>
    <mergeCell ref="J19:K19"/>
    <mergeCell ref="N19:O19"/>
    <mergeCell ref="R19:S19"/>
    <mergeCell ref="V19:W19"/>
    <mergeCell ref="J11:K11"/>
    <mergeCell ref="B14:W14"/>
    <mergeCell ref="F15:G15"/>
    <mergeCell ref="J15:K15"/>
    <mergeCell ref="N15:O15"/>
    <mergeCell ref="R15:S15"/>
    <mergeCell ref="V15:W15"/>
    <mergeCell ref="N22:O22"/>
    <mergeCell ref="R22:S22"/>
    <mergeCell ref="V22:W22"/>
    <mergeCell ref="B25:C25"/>
    <mergeCell ref="F25:G25"/>
    <mergeCell ref="J25:K25"/>
    <mergeCell ref="N25:O25"/>
    <mergeCell ref="R25:S25"/>
    <mergeCell ref="V25:W25"/>
    <mergeCell ref="B28:C28"/>
    <mergeCell ref="F28:G28"/>
    <mergeCell ref="J28:K28"/>
    <mergeCell ref="N28:O28"/>
    <mergeCell ref="R28:S28"/>
    <mergeCell ref="V28:W2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7257"/>
    <outlinePr summaryBelow="0" summaryRight="0"/>
  </sheetPr>
  <sheetViews>
    <sheetView showGridLines="0" workbookViewId="0"/>
  </sheetViews>
  <sheetFormatPr customHeight="1" defaultColWidth="12.63" defaultRowHeight="15.75" outlineLevelRow="1"/>
  <cols>
    <col customWidth="1" min="2" max="3" width="5.13"/>
    <col customWidth="1" min="4" max="5" width="1.38"/>
    <col customWidth="1" min="6" max="7" width="5.13"/>
    <col customWidth="1" min="8" max="9" width="1.38"/>
    <col customWidth="1" min="10" max="11" width="5.13"/>
    <col customWidth="1" min="12" max="13" width="1.38"/>
    <col customWidth="1" min="14" max="15" width="5.13"/>
    <col customWidth="1" min="16" max="17" width="1.38"/>
    <col customWidth="1" min="18" max="19" width="5.13"/>
    <col customWidth="1" min="20" max="21" width="1.38"/>
    <col customWidth="1" min="22" max="23" width="5.13"/>
  </cols>
  <sheetData>
    <row r="1">
      <c r="A1" s="98"/>
      <c r="B1" s="98"/>
      <c r="C1" s="98"/>
      <c r="D1" s="98"/>
      <c r="E1" s="98"/>
      <c r="F1" s="98"/>
      <c r="G1" s="98"/>
      <c r="H1" s="98"/>
      <c r="I1" s="98"/>
      <c r="J1" s="98"/>
      <c r="K1" s="98"/>
      <c r="L1" s="98"/>
      <c r="M1" s="98"/>
      <c r="N1" s="98"/>
      <c r="O1" s="98"/>
      <c r="P1" s="98"/>
      <c r="Q1" s="98"/>
      <c r="R1" s="98"/>
      <c r="S1" s="98"/>
      <c r="T1" s="98"/>
      <c r="U1" s="98"/>
      <c r="V1" s="98"/>
      <c r="W1" s="98"/>
      <c r="X1" s="98"/>
    </row>
    <row r="2">
      <c r="A2" s="98"/>
      <c r="B2" s="100" t="s">
        <v>16</v>
      </c>
      <c r="X2" s="98"/>
    </row>
    <row r="3">
      <c r="A3" s="98"/>
      <c r="B3" s="98"/>
      <c r="C3" s="101"/>
      <c r="D3" s="102"/>
      <c r="E3" s="102"/>
      <c r="F3" s="101"/>
      <c r="G3" s="101"/>
      <c r="H3" s="102"/>
      <c r="I3" s="102"/>
      <c r="J3" s="103" t="s">
        <v>27</v>
      </c>
      <c r="L3" s="103"/>
      <c r="M3" s="103"/>
      <c r="N3" s="104">
        <f>IFERROR(__xludf.DUMMYFUNCTION("SUM(IFERROR(QUERY(Records!$A:$F, CONCATENATE(""select F where B contains '"", $B2, ""'""), 0))) - SUM(IFERROR(QUERY(Records!$A:$F, CONCATENATE(""select G where B contains '"", $B2, ""'""), 0)))"),83.0)</f>
        <v>83</v>
      </c>
      <c r="P3" s="102"/>
      <c r="Q3" s="102"/>
      <c r="R3" s="101"/>
      <c r="S3" s="101"/>
      <c r="T3" s="102"/>
      <c r="U3" s="102"/>
      <c r="V3" s="101"/>
      <c r="W3" s="101"/>
      <c r="X3" s="98"/>
    </row>
    <row r="4" ht="23.25" customHeight="1">
      <c r="A4" s="98"/>
      <c r="B4" s="101"/>
      <c r="C4" s="101"/>
      <c r="D4" s="101"/>
      <c r="E4" s="101"/>
      <c r="F4" s="101"/>
      <c r="G4" s="101"/>
      <c r="H4" s="101"/>
      <c r="I4" s="101"/>
      <c r="J4" s="101"/>
      <c r="K4" s="101"/>
      <c r="L4" s="101"/>
      <c r="M4" s="101"/>
      <c r="N4" s="101"/>
      <c r="O4" s="101"/>
      <c r="P4" s="101"/>
      <c r="Q4" s="101"/>
      <c r="R4" s="101"/>
      <c r="S4" s="101"/>
      <c r="T4" s="101"/>
      <c r="U4" s="101"/>
      <c r="V4" s="101"/>
      <c r="W4" s="101"/>
      <c r="X4" s="98"/>
    </row>
    <row r="5" ht="112.5" customHeight="1">
      <c r="A5" s="98"/>
      <c r="B5" s="101"/>
      <c r="C5" s="101"/>
      <c r="D5" s="101"/>
      <c r="E5" s="101"/>
      <c r="F5" s="101"/>
      <c r="G5" s="101"/>
      <c r="H5" s="101"/>
      <c r="I5" s="101"/>
      <c r="J5" s="105" t="str">
        <f>IMAGE("https://i.postimg.cc/3N29FR6M/pinkshadow-big.png", 3)</f>
        <v/>
      </c>
      <c r="K5" s="106"/>
      <c r="L5" s="106"/>
      <c r="M5" s="106"/>
      <c r="N5" s="106"/>
      <c r="O5" s="107"/>
      <c r="P5" s="101"/>
      <c r="Q5" s="101"/>
      <c r="R5" s="101"/>
      <c r="S5" s="101"/>
      <c r="T5" s="101"/>
      <c r="U5" s="101"/>
      <c r="V5" s="101"/>
      <c r="W5" s="101"/>
      <c r="X5" s="98"/>
    </row>
    <row r="6" ht="18.0" customHeight="1">
      <c r="A6" s="98"/>
      <c r="B6" s="101"/>
      <c r="C6" s="101"/>
      <c r="D6" s="101"/>
      <c r="E6" s="101"/>
      <c r="F6" s="101"/>
      <c r="G6" s="101"/>
      <c r="H6" s="101"/>
      <c r="I6" s="101"/>
      <c r="J6" s="108" t="s">
        <v>38</v>
      </c>
      <c r="O6" s="109"/>
      <c r="P6" s="101"/>
      <c r="Q6" s="101"/>
      <c r="R6" s="101"/>
      <c r="S6" s="101"/>
      <c r="T6" s="101"/>
      <c r="U6" s="101"/>
      <c r="V6" s="101"/>
      <c r="W6" s="101"/>
      <c r="X6" s="98"/>
    </row>
    <row r="7" ht="27.0" customHeight="1">
      <c r="A7" s="98"/>
      <c r="B7" s="101"/>
      <c r="C7" s="101"/>
      <c r="D7" s="101"/>
      <c r="E7" s="101"/>
      <c r="F7" s="101"/>
      <c r="G7" s="101"/>
      <c r="H7" s="101"/>
      <c r="I7" s="101"/>
      <c r="J7" s="110" t="str">
        <f>IMAGE(Cats!$F$2, 3)</f>
        <v/>
      </c>
      <c r="K7" s="111"/>
      <c r="L7" s="111"/>
      <c r="M7" s="113" t="str">
        <f>IMAGE(Hats!$G$3, 3)</f>
        <v/>
      </c>
      <c r="N7" s="111"/>
      <c r="O7" s="114"/>
      <c r="P7" s="101"/>
      <c r="Q7" s="101"/>
      <c r="R7" s="101"/>
      <c r="S7" s="101"/>
      <c r="T7" s="101"/>
      <c r="U7" s="101"/>
      <c r="V7" s="101"/>
      <c r="W7" s="101"/>
      <c r="X7" s="98"/>
    </row>
    <row r="8" ht="25.5" customHeight="1">
      <c r="A8" s="98"/>
      <c r="B8" s="101"/>
      <c r="C8" s="101"/>
      <c r="D8" s="101"/>
      <c r="E8" s="101"/>
      <c r="F8" s="101"/>
      <c r="G8" s="101"/>
      <c r="H8" s="101"/>
      <c r="I8" s="101"/>
      <c r="J8" s="101"/>
      <c r="K8" s="101"/>
      <c r="L8" s="101"/>
      <c r="M8" s="101"/>
      <c r="N8" s="101"/>
      <c r="O8" s="101"/>
      <c r="P8" s="101"/>
      <c r="Q8" s="101"/>
      <c r="R8" s="101"/>
      <c r="S8" s="101"/>
      <c r="T8" s="101"/>
      <c r="U8" s="101"/>
      <c r="V8" s="101"/>
      <c r="W8" s="101"/>
      <c r="X8" s="98"/>
    </row>
    <row r="9" ht="24.75" customHeight="1">
      <c r="A9" s="115"/>
      <c r="B9" s="117" t="s">
        <v>31</v>
      </c>
      <c r="X9" s="115"/>
    </row>
    <row r="10" ht="56.25" customHeight="1" outlineLevel="1">
      <c r="A10" s="98"/>
      <c r="B10" s="101" t="str">
        <f>IMAGE("https://i.postimg.cc/mDN62TwY/pinkshadow-000.png", 3)</f>
        <v/>
      </c>
      <c r="D10" s="101"/>
      <c r="E10" s="101"/>
      <c r="F10" s="101" t="str">
        <f>IMAGE("https://i.postimg.cc/YCcJv87B/pinkshadow-001.png", 3)</f>
        <v/>
      </c>
      <c r="H10" s="101"/>
      <c r="I10" s="101"/>
      <c r="J10" s="101" t="str">
        <f>IMAGE("https://i.postimg.cc/MKfCZNhY/pinkshadow-002.png", 3)</f>
        <v/>
      </c>
      <c r="L10" s="101"/>
      <c r="M10" s="101"/>
      <c r="N10" s="101"/>
      <c r="P10" s="101"/>
      <c r="Q10" s="101"/>
      <c r="R10" s="101"/>
      <c r="T10" s="101"/>
      <c r="U10" s="101"/>
      <c r="V10" s="101"/>
      <c r="X10" s="98"/>
    </row>
    <row r="11" ht="17.25" customHeight="1" outlineLevel="1">
      <c r="A11" s="120"/>
      <c r="B11" s="122">
        <f>date(2022,3,17)</f>
        <v>44637</v>
      </c>
      <c r="D11" s="123"/>
      <c r="E11" s="123"/>
      <c r="F11" s="122">
        <f>date(2022,3,27)</f>
        <v>44647</v>
      </c>
      <c r="H11" s="123"/>
      <c r="I11" s="123"/>
      <c r="J11" s="122">
        <f>date(2022, 4, 4)</f>
        <v>44655</v>
      </c>
      <c r="L11" s="123"/>
      <c r="M11" s="123"/>
      <c r="N11" s="123"/>
      <c r="O11" s="123"/>
      <c r="P11" s="123"/>
      <c r="Q11" s="123"/>
      <c r="R11" s="123"/>
      <c r="S11" s="123"/>
      <c r="T11" s="123"/>
      <c r="U11" s="123"/>
      <c r="V11" s="123"/>
      <c r="W11" s="123"/>
      <c r="X11" s="120"/>
    </row>
    <row r="12" ht="17.25" customHeight="1" outlineLevel="1">
      <c r="A12" s="115"/>
      <c r="B12" s="124" t="str">
        <f>IMAGE(Cats!$F$2, 3)</f>
        <v/>
      </c>
      <c r="C12" s="125" t="str">
        <f>IMAGE(Hats!$G$3, 3)</f>
        <v/>
      </c>
      <c r="D12" s="125"/>
      <c r="E12" s="125"/>
      <c r="F12" s="124" t="str">
        <f>IMAGE(Cats!$F$2, 3)</f>
        <v/>
      </c>
      <c r="G12" s="125" t="str">
        <f>IMAGE(Hats!$G$3, 3)</f>
        <v/>
      </c>
      <c r="H12" s="125"/>
      <c r="I12" s="125"/>
      <c r="J12" s="124" t="str">
        <f>IMAGE(Cats!$F$9, 3)</f>
        <v/>
      </c>
      <c r="K12" s="125" t="str">
        <f>IMAGE(Hats!$G$7, 3)</f>
        <v/>
      </c>
      <c r="L12" s="125"/>
      <c r="M12" s="125"/>
      <c r="N12" s="125"/>
      <c r="O12" s="125"/>
      <c r="P12" s="125"/>
      <c r="Q12" s="125"/>
      <c r="R12" s="125"/>
      <c r="S12" s="125"/>
      <c r="T12" s="125"/>
      <c r="U12" s="125"/>
      <c r="V12" s="125"/>
      <c r="W12" s="125"/>
      <c r="X12" s="115"/>
    </row>
    <row r="13" ht="17.25" customHeight="1">
      <c r="A13" s="115"/>
      <c r="B13" s="125"/>
      <c r="C13" s="125"/>
      <c r="D13" s="125"/>
      <c r="E13" s="125"/>
      <c r="F13" s="125"/>
      <c r="G13" s="125"/>
      <c r="H13" s="125"/>
      <c r="I13" s="125"/>
      <c r="J13" s="125"/>
      <c r="K13" s="125"/>
      <c r="L13" s="125"/>
      <c r="M13" s="125"/>
      <c r="N13" s="125"/>
      <c r="O13" s="125"/>
      <c r="P13" s="125"/>
      <c r="Q13" s="125"/>
      <c r="R13" s="125"/>
      <c r="S13" s="125"/>
      <c r="T13" s="125"/>
      <c r="U13" s="125"/>
      <c r="V13" s="125"/>
      <c r="W13" s="125"/>
      <c r="X13" s="115"/>
    </row>
    <row r="14" ht="24.75" customHeight="1">
      <c r="A14" s="115"/>
      <c r="B14" s="117" t="s">
        <v>32</v>
      </c>
      <c r="X14" s="115"/>
    </row>
    <row r="15" ht="56.25" customHeight="1" outlineLevel="1">
      <c r="A15" s="98"/>
      <c r="B15" s="101" t="str">
        <f>IMAGE(Cats!$E$2, 3)</f>
        <v/>
      </c>
      <c r="D15" s="101"/>
      <c r="E15" s="101"/>
      <c r="F15" s="101" t="str">
        <f>IMAGE(Cats!$E$8, 3)</f>
        <v/>
      </c>
      <c r="H15" s="101"/>
      <c r="I15" s="101"/>
      <c r="J15" s="101" t="str">
        <f>IMAGE(Cats!$E$9, 3)</f>
        <v/>
      </c>
      <c r="L15" s="101"/>
      <c r="M15" s="101"/>
      <c r="N15" s="101" t="str">
        <f>IMAGE(Cats!$E$10, 3)</f>
        <v/>
      </c>
      <c r="P15" s="101"/>
      <c r="Q15" s="101"/>
      <c r="R15" s="101"/>
      <c r="T15" s="101"/>
      <c r="U15" s="101"/>
      <c r="V15" s="101"/>
      <c r="X15" s="98"/>
    </row>
    <row r="16" outlineLevel="1">
      <c r="A16" s="98"/>
      <c r="B16" s="129" t="str">
        <f>Cats!$C$2</f>
        <v>*A01</v>
      </c>
      <c r="D16" s="101"/>
      <c r="E16" s="101"/>
      <c r="F16" s="129" t="str">
        <f>Cats!$C$8</f>
        <v>*B03</v>
      </c>
      <c r="H16" s="101"/>
      <c r="I16" s="101"/>
      <c r="J16" s="129" t="str">
        <f>Cats!$C$9</f>
        <v>*B04</v>
      </c>
      <c r="L16" s="101"/>
      <c r="M16" s="101"/>
      <c r="N16" s="129" t="str">
        <f>Cats!$C$10</f>
        <v>*B05</v>
      </c>
      <c r="P16" s="101"/>
      <c r="Q16" s="101"/>
      <c r="R16" s="101"/>
      <c r="S16" s="101"/>
      <c r="T16" s="101"/>
      <c r="U16" s="101"/>
      <c r="V16" s="101"/>
      <c r="W16" s="101"/>
      <c r="X16" s="98"/>
    </row>
    <row r="17" ht="17.25" customHeight="1">
      <c r="A17" s="115"/>
      <c r="B17" s="125"/>
      <c r="C17" s="125"/>
      <c r="D17" s="125"/>
      <c r="E17" s="125"/>
      <c r="F17" s="125"/>
      <c r="G17" s="125"/>
      <c r="H17" s="125"/>
      <c r="I17" s="125"/>
      <c r="J17" s="125"/>
      <c r="K17" s="125"/>
      <c r="L17" s="125"/>
      <c r="M17" s="125"/>
      <c r="N17" s="125"/>
      <c r="O17" s="125"/>
      <c r="P17" s="125"/>
      <c r="Q17" s="125"/>
      <c r="R17" s="125"/>
      <c r="S17" s="125"/>
      <c r="T17" s="125"/>
      <c r="U17" s="125"/>
      <c r="V17" s="125"/>
      <c r="W17" s="125"/>
      <c r="X17" s="115"/>
    </row>
    <row r="18" ht="24.75" customHeight="1">
      <c r="A18" s="98"/>
      <c r="B18" s="131" t="s">
        <v>33</v>
      </c>
      <c r="X18" s="98"/>
    </row>
    <row r="19" ht="56.25" customHeight="1">
      <c r="A19" s="98"/>
      <c r="B19" s="101" t="str">
        <f>IMAGE(Hats!$F$3, 3)</f>
        <v/>
      </c>
      <c r="D19" s="101"/>
      <c r="E19" s="101"/>
      <c r="F19" s="101" t="str">
        <f>IMAGE(Hats!$F$6, 3)</f>
        <v/>
      </c>
      <c r="H19" s="101"/>
      <c r="I19" s="101"/>
      <c r="J19" s="101" t="str">
        <f>IMAGE(Hats!$F$7, 3)</f>
        <v/>
      </c>
      <c r="L19" s="101"/>
      <c r="M19" s="101"/>
      <c r="N19" s="101" t="str">
        <f>IMAGE(Hats!$F$9, 3)</f>
        <v/>
      </c>
      <c r="P19" s="101"/>
      <c r="Q19" s="101"/>
      <c r="R19" s="101" t="str">
        <f>image(Hats!$F$10, 3)</f>
        <v/>
      </c>
      <c r="T19" s="101"/>
      <c r="U19" s="101"/>
      <c r="V19" s="101" t="str">
        <f>image(Hats!$F$11, 3)</f>
        <v/>
      </c>
      <c r="X19" s="98"/>
    </row>
    <row r="20">
      <c r="A20" s="98"/>
      <c r="B20" s="129" t="str">
        <f>Hats!$C$3</f>
        <v>AA02</v>
      </c>
      <c r="C20" s="129">
        <v>1.0</v>
      </c>
      <c r="D20" s="129"/>
      <c r="E20" s="129"/>
      <c r="F20" s="129" t="str">
        <f>Hats!$C$6</f>
        <v>AB01</v>
      </c>
      <c r="G20" s="129">
        <v>1.0</v>
      </c>
      <c r="H20" s="101"/>
      <c r="I20" s="101"/>
      <c r="J20" s="129" t="str">
        <f>Hats!$C$7</f>
        <v>AB02</v>
      </c>
      <c r="K20" s="129">
        <v>1.0</v>
      </c>
      <c r="L20" s="101"/>
      <c r="M20" s="101"/>
      <c r="N20" s="129" t="str">
        <f>Hats!$C$9</f>
        <v>AB04</v>
      </c>
      <c r="O20" s="129">
        <v>1.0</v>
      </c>
      <c r="P20" s="101"/>
      <c r="Q20" s="101"/>
      <c r="R20" s="129" t="str">
        <f>Hats!$C$10</f>
        <v>AB05</v>
      </c>
      <c r="S20" s="129">
        <v>1.0</v>
      </c>
      <c r="T20" s="101"/>
      <c r="U20" s="101"/>
      <c r="V20" s="129" t="str">
        <f>Hats!$C$11</f>
        <v>AB06</v>
      </c>
      <c r="W20" s="129">
        <v>1.0</v>
      </c>
      <c r="X20" s="98"/>
    </row>
    <row r="21">
      <c r="A21" s="98"/>
      <c r="B21" s="98"/>
      <c r="C21" s="98"/>
      <c r="D21" s="98"/>
      <c r="E21" s="98"/>
      <c r="F21" s="98"/>
      <c r="G21" s="98"/>
      <c r="H21" s="98"/>
      <c r="I21" s="98"/>
      <c r="J21" s="98"/>
      <c r="K21" s="98"/>
      <c r="L21" s="98"/>
      <c r="M21" s="98"/>
      <c r="N21" s="98"/>
      <c r="O21" s="98"/>
      <c r="P21" s="98"/>
      <c r="Q21" s="98"/>
      <c r="R21" s="98"/>
      <c r="S21" s="98"/>
      <c r="T21" s="98"/>
      <c r="U21" s="98"/>
      <c r="V21" s="98"/>
      <c r="W21" s="98"/>
      <c r="X21" s="98"/>
    </row>
    <row r="22" ht="56.25" customHeight="1">
      <c r="A22" s="98"/>
      <c r="B22" s="101" t="str">
        <f>IMAGE(Hats!$F$12, 3)</f>
        <v/>
      </c>
      <c r="D22" s="101"/>
      <c r="E22" s="101"/>
      <c r="F22" s="101" t="str">
        <f>image(Hats!$F$13, 3)</f>
        <v/>
      </c>
      <c r="H22" s="101"/>
      <c r="I22" s="101"/>
      <c r="J22" s="101" t="str">
        <f>IMAGE(Hats!$F$16, 3)</f>
        <v/>
      </c>
      <c r="L22" s="101"/>
      <c r="M22" s="101"/>
      <c r="N22" s="101" t="str">
        <f>IMAGE(Hats!$F$17, 3)</f>
        <v/>
      </c>
      <c r="P22" s="101"/>
      <c r="Q22" s="101"/>
      <c r="R22" s="101"/>
      <c r="T22" s="101"/>
      <c r="U22" s="101"/>
      <c r="V22" s="101"/>
      <c r="X22" s="98"/>
    </row>
    <row r="23">
      <c r="A23" s="98"/>
      <c r="B23" s="129" t="str">
        <f>Hats!$C$12</f>
        <v>AB07</v>
      </c>
      <c r="C23" s="129">
        <v>1.0</v>
      </c>
      <c r="D23" s="129"/>
      <c r="E23" s="129"/>
      <c r="F23" s="129" t="str">
        <f>Hats!$C$13</f>
        <v>AB08</v>
      </c>
      <c r="G23" s="129">
        <v>1.0</v>
      </c>
      <c r="H23" s="129"/>
      <c r="I23" s="129"/>
      <c r="J23" s="129" t="str">
        <f>Hats!$C$16</f>
        <v>AB11</v>
      </c>
      <c r="K23" s="129">
        <v>1.0</v>
      </c>
      <c r="L23" s="129"/>
      <c r="M23" s="129"/>
      <c r="N23" s="129" t="str">
        <f>Hats!$C$17</f>
        <v>AB12</v>
      </c>
      <c r="O23" s="129">
        <v>1.0</v>
      </c>
      <c r="P23" s="101"/>
      <c r="Q23" s="101"/>
      <c r="R23" s="129"/>
      <c r="S23" s="129"/>
      <c r="T23" s="101"/>
      <c r="U23" s="101"/>
      <c r="V23" s="129"/>
      <c r="W23" s="129"/>
      <c r="X23" s="98"/>
    </row>
    <row r="24">
      <c r="A24" s="98"/>
      <c r="B24" s="98"/>
      <c r="C24" s="98"/>
      <c r="D24" s="98"/>
      <c r="E24" s="98"/>
      <c r="F24" s="98"/>
      <c r="G24" s="98"/>
      <c r="H24" s="98"/>
      <c r="I24" s="98"/>
      <c r="J24" s="98"/>
      <c r="K24" s="98"/>
      <c r="L24" s="98"/>
      <c r="M24" s="98"/>
      <c r="N24" s="98"/>
      <c r="O24" s="98"/>
      <c r="P24" s="98"/>
      <c r="Q24" s="98"/>
      <c r="R24" s="98"/>
      <c r="S24" s="98"/>
      <c r="T24" s="98"/>
      <c r="U24" s="98"/>
      <c r="V24" s="98"/>
      <c r="W24" s="98"/>
      <c r="X24" s="98"/>
    </row>
    <row r="25" ht="56.25" customHeight="1">
      <c r="A25" s="98"/>
      <c r="B25" s="101" t="str">
        <f>image(Hats!$F$18, 3)</f>
        <v/>
      </c>
      <c r="D25" s="101"/>
      <c r="E25" s="101"/>
      <c r="F25" s="101" t="str">
        <f>IMAGE(Hats!$F$21, 3)</f>
        <v/>
      </c>
      <c r="H25" s="101"/>
      <c r="I25" s="101"/>
      <c r="J25" s="101" t="str">
        <f>IMAGE(Hats!$F$22, 3)</f>
        <v/>
      </c>
      <c r="L25" s="101"/>
      <c r="M25" s="101"/>
      <c r="N25" s="101" t="str">
        <f>IMAGE(Hats!$F$30, 3)</f>
        <v/>
      </c>
      <c r="P25" s="101"/>
      <c r="Q25" s="101"/>
      <c r="R25" s="101" t="str">
        <f>IMAGE(Hats!$F$32, 3)</f>
        <v/>
      </c>
      <c r="T25" s="101"/>
      <c r="U25" s="101"/>
      <c r="V25" s="101"/>
      <c r="X25" s="98"/>
    </row>
    <row r="26">
      <c r="A26" s="98"/>
      <c r="B26" s="129" t="str">
        <f>Hats!$C$18</f>
        <v>AC01</v>
      </c>
      <c r="C26" s="129">
        <v>1.0</v>
      </c>
      <c r="D26" s="129"/>
      <c r="E26" s="129"/>
      <c r="F26" s="129" t="str">
        <f>Hats!$C$21</f>
        <v>AC04</v>
      </c>
      <c r="G26" s="129">
        <v>1.0</v>
      </c>
      <c r="H26" s="129"/>
      <c r="I26" s="129"/>
      <c r="J26" s="129" t="str">
        <f>Hats!$C$22</f>
        <v>AC05</v>
      </c>
      <c r="K26" s="129">
        <v>1.0</v>
      </c>
      <c r="L26" s="129"/>
      <c r="M26" s="129"/>
      <c r="N26" s="129" t="str">
        <f>Hats!$C$30</f>
        <v>AC13</v>
      </c>
      <c r="O26" s="129">
        <v>1.0</v>
      </c>
      <c r="P26" s="101"/>
      <c r="Q26" s="101"/>
      <c r="R26" s="129" t="str">
        <f>Hats!$C$32</f>
        <v>AC15</v>
      </c>
      <c r="S26" s="129">
        <v>1.0</v>
      </c>
      <c r="T26" s="101"/>
      <c r="U26" s="101"/>
      <c r="V26" s="129"/>
      <c r="W26" s="129"/>
      <c r="X26" s="98"/>
    </row>
    <row r="27">
      <c r="A27" s="98"/>
      <c r="B27" s="98"/>
      <c r="C27" s="98"/>
      <c r="D27" s="98"/>
      <c r="E27" s="98"/>
      <c r="F27" s="98"/>
      <c r="G27" s="98"/>
      <c r="H27" s="98"/>
      <c r="I27" s="98"/>
      <c r="J27" s="98"/>
      <c r="K27" s="98"/>
      <c r="L27" s="98"/>
      <c r="M27" s="98"/>
      <c r="N27" s="98"/>
      <c r="O27" s="98"/>
      <c r="P27" s="98"/>
      <c r="Q27" s="98"/>
      <c r="R27" s="98"/>
      <c r="S27" s="98"/>
      <c r="T27" s="98"/>
      <c r="U27" s="98"/>
      <c r="V27" s="98"/>
      <c r="W27" s="98"/>
      <c r="X27" s="98"/>
    </row>
  </sheetData>
  <mergeCells count="47">
    <mergeCell ref="B2:W2"/>
    <mergeCell ref="J3:K3"/>
    <mergeCell ref="N3:O3"/>
    <mergeCell ref="J5:O5"/>
    <mergeCell ref="J6:O6"/>
    <mergeCell ref="J7:L7"/>
    <mergeCell ref="M7:O7"/>
    <mergeCell ref="F10:G10"/>
    <mergeCell ref="F11:G11"/>
    <mergeCell ref="B9:W9"/>
    <mergeCell ref="B10:C10"/>
    <mergeCell ref="J10:K10"/>
    <mergeCell ref="N10:O10"/>
    <mergeCell ref="R10:S10"/>
    <mergeCell ref="V10:W10"/>
    <mergeCell ref="B11:C11"/>
    <mergeCell ref="J11:K11"/>
    <mergeCell ref="B14:W14"/>
    <mergeCell ref="F15:G15"/>
    <mergeCell ref="J15:K15"/>
    <mergeCell ref="N15:O15"/>
    <mergeCell ref="R15:S15"/>
    <mergeCell ref="V15:W15"/>
    <mergeCell ref="N19:O19"/>
    <mergeCell ref="R19:S19"/>
    <mergeCell ref="B15:C15"/>
    <mergeCell ref="B16:C16"/>
    <mergeCell ref="F16:G16"/>
    <mergeCell ref="J16:K16"/>
    <mergeCell ref="N16:O16"/>
    <mergeCell ref="B18:W18"/>
    <mergeCell ref="B19:C19"/>
    <mergeCell ref="V19:W19"/>
    <mergeCell ref="B22:C22"/>
    <mergeCell ref="B25:C25"/>
    <mergeCell ref="F25:G25"/>
    <mergeCell ref="J25:K25"/>
    <mergeCell ref="N25:O25"/>
    <mergeCell ref="R25:S25"/>
    <mergeCell ref="V25:W25"/>
    <mergeCell ref="F19:G19"/>
    <mergeCell ref="J19:K19"/>
    <mergeCell ref="F22:G22"/>
    <mergeCell ref="J22:K22"/>
    <mergeCell ref="N22:O22"/>
    <mergeCell ref="R22:S22"/>
    <mergeCell ref="V22:W2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7257"/>
    <outlinePr summaryBelow="0" summaryRight="0"/>
  </sheetPr>
  <sheetViews>
    <sheetView showGridLines="0" workbookViewId="0"/>
  </sheetViews>
  <sheetFormatPr customHeight="1" defaultColWidth="12.63" defaultRowHeight="15.75" outlineLevelRow="1"/>
  <cols>
    <col customWidth="1" min="2" max="3" width="5.13"/>
    <col customWidth="1" min="4" max="5" width="1.38"/>
    <col customWidth="1" min="6" max="7" width="5.13"/>
    <col customWidth="1" min="8" max="9" width="1.38"/>
    <col customWidth="1" min="10" max="11" width="5.13"/>
    <col customWidth="1" min="12" max="13" width="1.38"/>
    <col customWidth="1" min="14" max="15" width="5.13"/>
    <col customWidth="1" min="16" max="17" width="1.38"/>
    <col customWidth="1" min="18" max="19" width="5.13"/>
    <col customWidth="1" min="20" max="21" width="1.38"/>
    <col customWidth="1" min="22" max="23" width="5.13"/>
  </cols>
  <sheetData>
    <row r="1">
      <c r="A1" s="98"/>
      <c r="B1" s="98"/>
      <c r="C1" s="98"/>
      <c r="D1" s="98"/>
      <c r="E1" s="98"/>
      <c r="F1" s="98"/>
      <c r="G1" s="98"/>
      <c r="H1" s="98"/>
      <c r="I1" s="98"/>
      <c r="J1" s="98"/>
      <c r="K1" s="98"/>
      <c r="L1" s="98"/>
      <c r="M1" s="98"/>
      <c r="N1" s="98"/>
      <c r="O1" s="98"/>
      <c r="P1" s="98"/>
      <c r="Q1" s="98"/>
      <c r="R1" s="98"/>
      <c r="S1" s="98"/>
      <c r="T1" s="98"/>
      <c r="U1" s="98"/>
      <c r="V1" s="98"/>
      <c r="W1" s="98"/>
      <c r="X1" s="98"/>
    </row>
    <row r="2">
      <c r="A2" s="98"/>
      <c r="B2" s="100" t="s">
        <v>18</v>
      </c>
      <c r="X2" s="98"/>
    </row>
    <row r="3">
      <c r="A3" s="98"/>
      <c r="B3" s="98"/>
      <c r="C3" s="101"/>
      <c r="D3" s="102"/>
      <c r="E3" s="102"/>
      <c r="F3" s="101"/>
      <c r="G3" s="101"/>
      <c r="H3" s="102"/>
      <c r="I3" s="102"/>
      <c r="J3" s="103" t="s">
        <v>27</v>
      </c>
      <c r="L3" s="103"/>
      <c r="M3" s="103"/>
      <c r="N3" s="104">
        <f>IFERROR(__xludf.DUMMYFUNCTION("SUM(IFERROR(QUERY(Records!$A:$F, CONCATENATE(""select F where B contains '"", $B2, ""'""), 0))) - SUM(IFERROR(QUERY(Records!$A:$F, CONCATENATE(""select G where B contains '"", $B2, ""'""), 0)))"),140.0)</f>
        <v>140</v>
      </c>
      <c r="P3" s="102"/>
      <c r="Q3" s="102"/>
      <c r="R3" s="101"/>
      <c r="S3" s="101"/>
      <c r="T3" s="102"/>
      <c r="U3" s="102"/>
      <c r="V3" s="101"/>
      <c r="W3" s="101"/>
      <c r="X3" s="98"/>
    </row>
    <row r="4" ht="23.25" customHeight="1">
      <c r="A4" s="98"/>
      <c r="B4" s="101"/>
      <c r="C4" s="101"/>
      <c r="D4" s="101"/>
      <c r="E4" s="101"/>
      <c r="F4" s="101"/>
      <c r="G4" s="101"/>
      <c r="H4" s="101"/>
      <c r="I4" s="101"/>
      <c r="J4" s="101"/>
      <c r="K4" s="101"/>
      <c r="L4" s="101"/>
      <c r="M4" s="101"/>
      <c r="N4" s="101"/>
      <c r="O4" s="101"/>
      <c r="P4" s="101"/>
      <c r="Q4" s="101"/>
      <c r="R4" s="101"/>
      <c r="S4" s="101"/>
      <c r="T4" s="101"/>
      <c r="U4" s="101"/>
      <c r="V4" s="101"/>
      <c r="W4" s="101"/>
      <c r="X4" s="98"/>
    </row>
    <row r="5" ht="112.5" customHeight="1">
      <c r="A5" s="98"/>
      <c r="B5" s="101"/>
      <c r="C5" s="101"/>
      <c r="D5" s="101"/>
      <c r="E5" s="101"/>
      <c r="F5" s="101"/>
      <c r="G5" s="101"/>
      <c r="H5" s="101"/>
      <c r="I5" s="101"/>
      <c r="J5" s="105" t="str">
        <f>IMAGE("https://i.postimg.cc/02R56nPc/ryuukokoro-big.png", 3)</f>
        <v/>
      </c>
      <c r="K5" s="106"/>
      <c r="L5" s="106"/>
      <c r="M5" s="106"/>
      <c r="N5" s="106"/>
      <c r="O5" s="107"/>
      <c r="P5" s="101"/>
      <c r="Q5" s="101"/>
      <c r="R5" s="101"/>
      <c r="S5" s="101"/>
      <c r="T5" s="101"/>
      <c r="U5" s="101"/>
      <c r="V5" s="101"/>
      <c r="W5" s="101"/>
      <c r="X5" s="98"/>
    </row>
    <row r="6" ht="18.0" customHeight="1">
      <c r="A6" s="98"/>
      <c r="B6" s="101"/>
      <c r="C6" s="101"/>
      <c r="D6" s="101"/>
      <c r="E6" s="101"/>
      <c r="F6" s="101"/>
      <c r="G6" s="101"/>
      <c r="H6" s="101"/>
      <c r="I6" s="101"/>
      <c r="J6" s="108" t="s">
        <v>37</v>
      </c>
      <c r="O6" s="109"/>
      <c r="P6" s="101"/>
      <c r="Q6" s="101"/>
      <c r="R6" s="101"/>
      <c r="S6" s="101"/>
      <c r="T6" s="101"/>
      <c r="U6" s="101"/>
      <c r="V6" s="101"/>
      <c r="W6" s="101"/>
      <c r="X6" s="98"/>
    </row>
    <row r="7" ht="27.0" customHeight="1">
      <c r="A7" s="98"/>
      <c r="B7" s="101"/>
      <c r="C7" s="101"/>
      <c r="D7" s="101"/>
      <c r="E7" s="101"/>
      <c r="F7" s="101"/>
      <c r="G7" s="101"/>
      <c r="H7" s="101"/>
      <c r="I7" s="101"/>
      <c r="J7" s="110" t="str">
        <f>IMAGE(Cats!$F$2, 3)</f>
        <v/>
      </c>
      <c r="K7" s="111"/>
      <c r="L7" s="111"/>
      <c r="M7" s="113" t="str">
        <f>IMAGE(Hats!$G$3, 3)</f>
        <v/>
      </c>
      <c r="N7" s="111"/>
      <c r="O7" s="114"/>
      <c r="P7" s="101"/>
      <c r="Q7" s="101"/>
      <c r="R7" s="101"/>
      <c r="S7" s="101"/>
      <c r="T7" s="101"/>
      <c r="U7" s="101"/>
      <c r="V7" s="101"/>
      <c r="W7" s="101"/>
      <c r="X7" s="98"/>
    </row>
    <row r="8" ht="25.5" customHeight="1">
      <c r="A8" s="98"/>
      <c r="B8" s="101"/>
      <c r="C8" s="101"/>
      <c r="D8" s="101"/>
      <c r="E8" s="101"/>
      <c r="F8" s="101"/>
      <c r="G8" s="101"/>
      <c r="H8" s="101"/>
      <c r="I8" s="101"/>
      <c r="J8" s="101"/>
      <c r="K8" s="101"/>
      <c r="L8" s="101"/>
      <c r="M8" s="101"/>
      <c r="N8" s="101"/>
      <c r="O8" s="101"/>
      <c r="P8" s="101"/>
      <c r="Q8" s="101"/>
      <c r="R8" s="101"/>
      <c r="S8" s="101"/>
      <c r="T8" s="101"/>
      <c r="U8" s="101"/>
      <c r="V8" s="101"/>
      <c r="W8" s="101"/>
      <c r="X8" s="98"/>
    </row>
    <row r="9" ht="24.75" customHeight="1">
      <c r="A9" s="115"/>
      <c r="B9" s="117" t="s">
        <v>31</v>
      </c>
      <c r="X9" s="115"/>
    </row>
    <row r="10" ht="56.25" customHeight="1" outlineLevel="1">
      <c r="A10" s="98"/>
      <c r="B10" s="101" t="str">
        <f>IMAGE("https://i.postimg.cc/D0vpSRjt/ryuukokoro-000.png", 3)</f>
        <v/>
      </c>
      <c r="D10" s="101"/>
      <c r="E10" s="101"/>
      <c r="F10" s="101" t="str">
        <f>IMAGE("https://i.postimg.cc/wjnR8CS4/ryuukokoro-001.png", 3)</f>
        <v/>
      </c>
      <c r="H10" s="101"/>
      <c r="I10" s="101"/>
      <c r="J10" s="101" t="str">
        <f>IMAGE("https://i.postimg.cc/mDwmgNwR/ryuukokoro-002.png", 3)</f>
        <v/>
      </c>
      <c r="L10" s="101"/>
      <c r="M10" s="101"/>
      <c r="N10" s="101"/>
      <c r="P10" s="101"/>
      <c r="Q10" s="101"/>
      <c r="R10" s="101"/>
      <c r="T10" s="101"/>
      <c r="U10" s="101"/>
      <c r="V10" s="101"/>
      <c r="X10" s="98"/>
    </row>
    <row r="11" ht="17.25" customHeight="1" outlineLevel="1">
      <c r="A11" s="120"/>
      <c r="B11" s="122">
        <f>date(2022,3,19)</f>
        <v>44639</v>
      </c>
      <c r="D11" s="123"/>
      <c r="E11" s="123"/>
      <c r="F11" s="122">
        <f>date(2022,3,27)</f>
        <v>44647</v>
      </c>
      <c r="H11" s="123"/>
      <c r="I11" s="123"/>
      <c r="J11" s="122">
        <f>date(2022, 4, 4)</f>
        <v>44655</v>
      </c>
      <c r="L11" s="123"/>
      <c r="M11" s="123"/>
      <c r="N11" s="123"/>
      <c r="O11" s="123"/>
      <c r="P11" s="123"/>
      <c r="Q11" s="123"/>
      <c r="R11" s="123"/>
      <c r="S11" s="123"/>
      <c r="T11" s="123"/>
      <c r="U11" s="123"/>
      <c r="V11" s="123"/>
      <c r="W11" s="123"/>
      <c r="X11" s="120"/>
    </row>
    <row r="12" ht="17.25" customHeight="1" outlineLevel="1">
      <c r="A12" s="115"/>
      <c r="B12" s="124" t="str">
        <f>IMAGE(Cats!$F$2, 3)</f>
        <v/>
      </c>
      <c r="C12" s="125" t="str">
        <f>IMAGE(Hats!$G$3, 3)</f>
        <v/>
      </c>
      <c r="D12" s="125"/>
      <c r="E12" s="125"/>
      <c r="F12" s="124" t="str">
        <f>IMAGE(Cats!$F$2, 3)</f>
        <v/>
      </c>
      <c r="G12" s="125" t="str">
        <f>IMAGE(Hats!$G$34, 3)</f>
        <v/>
      </c>
      <c r="H12" s="125"/>
      <c r="I12" s="125"/>
      <c r="J12" s="124" t="str">
        <f>IMAGE(Cats!$F$2, 3)</f>
        <v/>
      </c>
      <c r="K12" s="125" t="str">
        <f>IMAGE(Hats!$G$35, 3)</f>
        <v/>
      </c>
      <c r="L12" s="125"/>
      <c r="M12" s="125"/>
      <c r="N12" s="125"/>
      <c r="O12" s="125"/>
      <c r="P12" s="125"/>
      <c r="Q12" s="125"/>
      <c r="R12" s="125"/>
      <c r="S12" s="125"/>
      <c r="T12" s="125"/>
      <c r="U12" s="125"/>
      <c r="V12" s="125"/>
      <c r="W12" s="125"/>
      <c r="X12" s="115"/>
    </row>
    <row r="13" ht="17.25" customHeight="1">
      <c r="A13" s="115"/>
      <c r="B13" s="125"/>
      <c r="C13" s="125"/>
      <c r="D13" s="125"/>
      <c r="E13" s="125"/>
      <c r="F13" s="125"/>
      <c r="G13" s="125"/>
      <c r="H13" s="125"/>
      <c r="I13" s="125"/>
      <c r="J13" s="125"/>
      <c r="K13" s="125"/>
      <c r="L13" s="125"/>
      <c r="M13" s="125"/>
      <c r="N13" s="125"/>
      <c r="O13" s="125"/>
      <c r="P13" s="125"/>
      <c r="Q13" s="125"/>
      <c r="R13" s="125"/>
      <c r="S13" s="125"/>
      <c r="T13" s="125"/>
      <c r="U13" s="125"/>
      <c r="V13" s="125"/>
      <c r="W13" s="125"/>
      <c r="X13" s="115"/>
    </row>
    <row r="14" ht="24.75" customHeight="1">
      <c r="A14" s="115"/>
      <c r="B14" s="117" t="s">
        <v>32</v>
      </c>
      <c r="X14" s="115"/>
    </row>
    <row r="15" ht="56.25" customHeight="1" outlineLevel="1">
      <c r="A15" s="98"/>
      <c r="B15" s="101" t="str">
        <f>IMAGE(Cats!$E$2, 3)</f>
        <v/>
      </c>
      <c r="D15" s="101"/>
      <c r="E15" s="101"/>
      <c r="F15" s="101" t="str">
        <f>IMAGE(Cats!$E$6, 3)</f>
        <v/>
      </c>
      <c r="H15" s="101"/>
      <c r="I15" s="101"/>
      <c r="J15" s="101" t="str">
        <f>IMAGE(Cats!$E$8, 3)</f>
        <v/>
      </c>
      <c r="L15" s="101"/>
      <c r="M15" s="101"/>
      <c r="N15" s="101" t="str">
        <f>IMAGE(Cats!$E$13, 3)</f>
        <v/>
      </c>
      <c r="P15" s="101"/>
      <c r="Q15" s="101"/>
      <c r="R15" s="101"/>
      <c r="T15" s="101"/>
      <c r="U15" s="101"/>
      <c r="V15" s="101"/>
      <c r="X15" s="98"/>
    </row>
    <row r="16" outlineLevel="1">
      <c r="A16" s="98"/>
      <c r="B16" s="129" t="str">
        <f>Cats!$C$2</f>
        <v>*A01</v>
      </c>
      <c r="D16" s="101"/>
      <c r="E16" s="101"/>
      <c r="F16" s="129" t="str">
        <f>Cats!$C$6</f>
        <v>*B01</v>
      </c>
      <c r="H16" s="101"/>
      <c r="I16" s="101"/>
      <c r="J16" s="129" t="str">
        <f>Cats!$C$8</f>
        <v>*B03</v>
      </c>
      <c r="L16" s="101"/>
      <c r="M16" s="101"/>
      <c r="N16" s="129" t="str">
        <f>Cats!$C$13</f>
        <v>*B08</v>
      </c>
      <c r="P16" s="101"/>
      <c r="Q16" s="101"/>
      <c r="R16" s="129"/>
      <c r="T16" s="101"/>
      <c r="U16" s="101"/>
      <c r="V16" s="101"/>
      <c r="W16" s="101"/>
      <c r="X16" s="98"/>
    </row>
    <row r="17" ht="17.25" customHeight="1">
      <c r="A17" s="115"/>
      <c r="B17" s="125"/>
      <c r="C17" s="125"/>
      <c r="D17" s="125"/>
      <c r="E17" s="125"/>
      <c r="F17" s="125"/>
      <c r="G17" s="125"/>
      <c r="H17" s="125"/>
      <c r="I17" s="125"/>
      <c r="J17" s="125"/>
      <c r="K17" s="125"/>
      <c r="L17" s="125"/>
      <c r="M17" s="125"/>
      <c r="N17" s="125"/>
      <c r="O17" s="125"/>
      <c r="P17" s="125"/>
      <c r="Q17" s="125"/>
      <c r="R17" s="125"/>
      <c r="S17" s="125"/>
      <c r="T17" s="125"/>
      <c r="U17" s="125"/>
      <c r="V17" s="125"/>
      <c r="W17" s="125"/>
      <c r="X17" s="115"/>
    </row>
    <row r="18" ht="24.75" customHeight="1">
      <c r="A18" s="98"/>
      <c r="B18" s="131" t="s">
        <v>33</v>
      </c>
      <c r="X18" s="98"/>
    </row>
    <row r="19" ht="56.25" customHeight="1">
      <c r="A19" s="98"/>
      <c r="B19" s="101" t="str">
        <f>IMAGE(Hats!$F$3, 3)</f>
        <v/>
      </c>
      <c r="D19" s="101"/>
      <c r="E19" s="101"/>
      <c r="F19" s="101" t="str">
        <f>IMAGE(Hats!$F$6, 3)</f>
        <v/>
      </c>
      <c r="H19" s="101"/>
      <c r="I19" s="101"/>
      <c r="J19" s="101" t="str">
        <f>IMAGE(Hats!$F$7, 3)</f>
        <v/>
      </c>
      <c r="L19" s="101"/>
      <c r="M19" s="101"/>
      <c r="N19" s="101" t="str">
        <f>IMAGE(Hats!$F$8, 3)</f>
        <v/>
      </c>
      <c r="P19" s="101"/>
      <c r="Q19" s="101"/>
      <c r="R19" s="101" t="str">
        <f>IMAGE(Hats!$F$9, 3)</f>
        <v/>
      </c>
      <c r="T19" s="101"/>
      <c r="U19" s="101"/>
      <c r="V19" s="101" t="str">
        <f>image(Hats!$F$10, 3)</f>
        <v/>
      </c>
      <c r="X19" s="98"/>
    </row>
    <row r="20">
      <c r="A20" s="98"/>
      <c r="B20" s="129" t="str">
        <f>Hats!$C$3</f>
        <v>AA02</v>
      </c>
      <c r="C20" s="129">
        <v>1.0</v>
      </c>
      <c r="D20" s="129"/>
      <c r="E20" s="129"/>
      <c r="F20" s="129" t="str">
        <f>Hats!$C$6</f>
        <v>AB01</v>
      </c>
      <c r="G20" s="129">
        <v>1.0</v>
      </c>
      <c r="H20" s="101"/>
      <c r="I20" s="101"/>
      <c r="J20" s="129" t="str">
        <f>Hats!$C$7</f>
        <v>AB02</v>
      </c>
      <c r="K20" s="129">
        <v>1.0</v>
      </c>
      <c r="L20" s="101"/>
      <c r="M20" s="101"/>
      <c r="N20" s="129" t="str">
        <f>Hats!$C$8</f>
        <v>AB03</v>
      </c>
      <c r="O20" s="129">
        <v>1.0</v>
      </c>
      <c r="P20" s="101"/>
      <c r="Q20" s="101"/>
      <c r="R20" s="129" t="str">
        <f>Hats!$C$9</f>
        <v>AB04</v>
      </c>
      <c r="S20" s="129">
        <v>1.0</v>
      </c>
      <c r="T20" s="101"/>
      <c r="U20" s="101"/>
      <c r="V20" s="129" t="str">
        <f>Hats!$C$10</f>
        <v>AB05</v>
      </c>
      <c r="W20" s="129">
        <v>1.0</v>
      </c>
      <c r="X20" s="98"/>
    </row>
    <row r="21">
      <c r="A21" s="98"/>
      <c r="B21" s="98"/>
      <c r="C21" s="98"/>
      <c r="D21" s="98"/>
      <c r="E21" s="98"/>
      <c r="F21" s="98"/>
      <c r="G21" s="98"/>
      <c r="H21" s="98"/>
      <c r="I21" s="98"/>
      <c r="J21" s="98"/>
      <c r="K21" s="98"/>
      <c r="L21" s="98"/>
      <c r="M21" s="98"/>
      <c r="N21" s="98"/>
      <c r="O21" s="98"/>
      <c r="P21" s="98"/>
      <c r="Q21" s="98"/>
      <c r="R21" s="98"/>
      <c r="S21" s="98"/>
      <c r="T21" s="98"/>
      <c r="U21" s="98"/>
      <c r="V21" s="98"/>
      <c r="W21" s="98"/>
      <c r="X21" s="98"/>
    </row>
    <row r="22" ht="56.25" customHeight="1">
      <c r="A22" s="98"/>
      <c r="B22" s="101" t="str">
        <f>IMAGE(Hats!$F$16, 3)</f>
        <v/>
      </c>
      <c r="D22" s="101"/>
      <c r="E22" s="101"/>
      <c r="F22" s="101" t="str">
        <f>IMAGE(Hats!$F$17, 3)</f>
        <v/>
      </c>
      <c r="H22" s="101"/>
      <c r="I22" s="101"/>
      <c r="J22" s="101"/>
      <c r="L22" s="101"/>
      <c r="M22" s="101"/>
      <c r="N22" s="101"/>
      <c r="P22" s="101"/>
      <c r="Q22" s="101"/>
      <c r="R22" s="135"/>
      <c r="T22" s="101"/>
      <c r="U22" s="101"/>
      <c r="V22" s="101"/>
      <c r="X22" s="98"/>
    </row>
    <row r="23">
      <c r="A23" s="98"/>
      <c r="B23" s="129" t="str">
        <f>Hats!$C$16</f>
        <v>AB11</v>
      </c>
      <c r="C23" s="129">
        <v>1.0</v>
      </c>
      <c r="D23" s="129"/>
      <c r="E23" s="129"/>
      <c r="F23" s="129" t="str">
        <f>Hats!$C$17</f>
        <v>AB12</v>
      </c>
      <c r="G23" s="129">
        <v>1.0</v>
      </c>
      <c r="H23" s="101"/>
      <c r="I23" s="101"/>
      <c r="J23" s="129"/>
      <c r="K23" s="129"/>
      <c r="L23" s="101"/>
      <c r="M23" s="101"/>
      <c r="N23" s="129"/>
      <c r="O23" s="129"/>
      <c r="P23" s="101"/>
      <c r="Q23" s="101"/>
      <c r="R23" s="129"/>
      <c r="S23" s="129"/>
      <c r="T23" s="101"/>
      <c r="U23" s="101"/>
      <c r="V23" s="129"/>
      <c r="W23" s="129"/>
      <c r="X23" s="98"/>
    </row>
    <row r="24">
      <c r="A24" s="98"/>
      <c r="B24" s="98"/>
      <c r="C24" s="98"/>
      <c r="D24" s="98"/>
      <c r="E24" s="98"/>
      <c r="F24" s="98"/>
      <c r="G24" s="98"/>
      <c r="H24" s="98"/>
      <c r="I24" s="98"/>
      <c r="J24" s="98"/>
      <c r="K24" s="98"/>
      <c r="L24" s="98"/>
      <c r="M24" s="98"/>
      <c r="N24" s="98"/>
      <c r="O24" s="98"/>
      <c r="P24" s="98"/>
      <c r="Q24" s="98"/>
      <c r="R24" s="98"/>
      <c r="S24" s="98"/>
      <c r="T24" s="98"/>
      <c r="U24" s="98"/>
      <c r="V24" s="98"/>
      <c r="W24" s="98"/>
      <c r="X24" s="98"/>
    </row>
    <row r="25" ht="56.25" customHeight="1">
      <c r="A25" s="98"/>
      <c r="B25" s="101" t="str">
        <f>IMAGE(Hats!$F$19, 3)</f>
        <v/>
      </c>
      <c r="D25" s="101"/>
      <c r="E25" s="101"/>
      <c r="F25" s="101" t="str">
        <f>IMAGE(Hats!$F$20, 3)</f>
        <v/>
      </c>
      <c r="H25" s="101"/>
      <c r="I25" s="101"/>
      <c r="J25" s="101" t="str">
        <f>IMAGE(Hats!$F$24, 3)</f>
        <v/>
      </c>
      <c r="L25" s="101"/>
      <c r="M25" s="101"/>
      <c r="N25" s="101" t="str">
        <f>IMAGE(Hats!$F$25, 3)</f>
        <v/>
      </c>
      <c r="P25" s="101"/>
      <c r="Q25" s="101"/>
      <c r="R25" s="101" t="str">
        <f>IMAGE(Hats!$F$26, 3)</f>
        <v/>
      </c>
      <c r="T25" s="101"/>
      <c r="U25" s="101"/>
      <c r="V25" s="101" t="str">
        <f>IMAGE(Hats!$F$27, 3)</f>
        <v/>
      </c>
      <c r="X25" s="98"/>
    </row>
    <row r="26">
      <c r="A26" s="98"/>
      <c r="B26" s="129" t="str">
        <f>Hats!$C$19</f>
        <v>AC02</v>
      </c>
      <c r="C26" s="129">
        <v>1.0</v>
      </c>
      <c r="D26" s="129"/>
      <c r="E26" s="129"/>
      <c r="F26" s="129" t="str">
        <f>Hats!$C$20</f>
        <v>AC03</v>
      </c>
      <c r="G26" s="129">
        <v>1.0</v>
      </c>
      <c r="H26" s="101"/>
      <c r="I26" s="101"/>
      <c r="J26" s="129" t="str">
        <f>Hats!$C$24</f>
        <v>AC07</v>
      </c>
      <c r="K26" s="129">
        <v>1.0</v>
      </c>
      <c r="L26" s="101"/>
      <c r="M26" s="101"/>
      <c r="N26" s="129" t="str">
        <f>Hats!$C$25</f>
        <v>AC08</v>
      </c>
      <c r="O26" s="129">
        <v>1.0</v>
      </c>
      <c r="P26" s="101"/>
      <c r="Q26" s="101"/>
      <c r="R26" s="129" t="str">
        <f>Hats!$C$26</f>
        <v>AC09</v>
      </c>
      <c r="S26" s="129">
        <v>1.0</v>
      </c>
      <c r="T26" s="101"/>
      <c r="U26" s="101"/>
      <c r="V26" s="129" t="str">
        <f>Hats!$C$27</f>
        <v>AC10</v>
      </c>
      <c r="W26" s="129">
        <v>1.0</v>
      </c>
      <c r="X26" s="98"/>
    </row>
    <row r="27">
      <c r="A27" s="98"/>
      <c r="B27" s="98"/>
      <c r="C27" s="98"/>
      <c r="D27" s="98"/>
      <c r="E27" s="98"/>
      <c r="F27" s="98"/>
      <c r="G27" s="98"/>
      <c r="H27" s="98"/>
      <c r="I27" s="98"/>
      <c r="J27" s="98"/>
      <c r="K27" s="98"/>
      <c r="L27" s="98"/>
      <c r="M27" s="98"/>
      <c r="N27" s="98"/>
      <c r="O27" s="98"/>
      <c r="P27" s="98"/>
      <c r="Q27" s="98"/>
      <c r="R27" s="98"/>
      <c r="S27" s="98"/>
      <c r="T27" s="98"/>
      <c r="U27" s="98"/>
      <c r="V27" s="98"/>
      <c r="W27" s="98"/>
      <c r="X27" s="98"/>
    </row>
    <row r="28" ht="56.25" customHeight="1">
      <c r="A28" s="98"/>
      <c r="B28" s="135"/>
      <c r="D28" s="101"/>
      <c r="E28" s="101"/>
      <c r="F28" s="101" t="str">
        <f>IMAGE(Hats!$F$32, 3)</f>
        <v/>
      </c>
      <c r="H28" s="101"/>
      <c r="I28" s="101"/>
      <c r="J28" s="101" t="str">
        <f>IMAGE(Hats!$F$33, 3)</f>
        <v/>
      </c>
      <c r="L28" s="101"/>
      <c r="M28" s="101"/>
      <c r="N28" s="101" t="str">
        <f>IMAGE(Hats!$F$34, 3)</f>
        <v/>
      </c>
      <c r="P28" s="101"/>
      <c r="Q28" s="101"/>
      <c r="R28" s="101" t="str">
        <f>IMAGE(Hats!$F$35, 3)</f>
        <v/>
      </c>
      <c r="T28" s="101"/>
      <c r="U28" s="101"/>
      <c r="V28" s="101" t="str">
        <f>IMAGE(Hats!$F$36, 3)</f>
        <v/>
      </c>
      <c r="X28" s="98"/>
    </row>
    <row r="29">
      <c r="A29" s="98"/>
      <c r="B29" s="129" t="s">
        <v>36</v>
      </c>
      <c r="C29" s="129">
        <v>1.0</v>
      </c>
      <c r="D29" s="129"/>
      <c r="E29" s="129"/>
      <c r="F29" s="129" t="str">
        <f>Hats!$C$32</f>
        <v>AC15</v>
      </c>
      <c r="G29" s="129">
        <v>1.0</v>
      </c>
      <c r="H29" s="129"/>
      <c r="I29" s="129"/>
      <c r="J29" s="129" t="str">
        <f>Hats!$C$33</f>
        <v>AC16</v>
      </c>
      <c r="K29" s="129">
        <v>1.0</v>
      </c>
      <c r="L29" s="129"/>
      <c r="M29" s="129"/>
      <c r="N29" s="129" t="str">
        <f>Hats!$C$34</f>
        <v>AC17</v>
      </c>
      <c r="O29" s="129">
        <v>1.0</v>
      </c>
      <c r="P29" s="129"/>
      <c r="Q29" s="129"/>
      <c r="R29" s="129" t="str">
        <f>Hats!$C$35</f>
        <v>AC18</v>
      </c>
      <c r="S29" s="129">
        <v>1.0</v>
      </c>
      <c r="T29" s="129"/>
      <c r="U29" s="129"/>
      <c r="V29" s="129" t="str">
        <f>Hats!$C$36</f>
        <v>AC19</v>
      </c>
      <c r="W29" s="129">
        <v>1.0</v>
      </c>
      <c r="X29" s="98"/>
    </row>
    <row r="30">
      <c r="A30" s="98"/>
      <c r="B30" s="98"/>
      <c r="C30" s="98"/>
      <c r="D30" s="98"/>
      <c r="E30" s="98"/>
      <c r="F30" s="98"/>
      <c r="G30" s="98"/>
      <c r="H30" s="98"/>
      <c r="I30" s="98"/>
      <c r="J30" s="98"/>
      <c r="K30" s="98"/>
      <c r="L30" s="98"/>
      <c r="M30" s="98"/>
      <c r="N30" s="98"/>
      <c r="O30" s="98"/>
      <c r="P30" s="98"/>
      <c r="Q30" s="98"/>
      <c r="R30" s="98"/>
      <c r="S30" s="98"/>
      <c r="T30" s="98"/>
      <c r="U30" s="98"/>
      <c r="V30" s="98"/>
      <c r="W30" s="98"/>
      <c r="X30" s="98"/>
    </row>
    <row r="31" ht="56.25" customHeight="1">
      <c r="A31" s="98"/>
      <c r="B31" s="101" t="str">
        <f>IMAGE(Hats!$F$38, 3)</f>
        <v/>
      </c>
      <c r="D31" s="101"/>
      <c r="E31" s="101"/>
      <c r="F31" s="101" t="str">
        <f>IMAGE(Hats!$F$39, 3)</f>
        <v/>
      </c>
      <c r="H31" s="101"/>
      <c r="I31" s="101"/>
      <c r="J31" s="101"/>
      <c r="L31" s="101"/>
      <c r="M31" s="101"/>
      <c r="N31" s="101"/>
      <c r="P31" s="101"/>
      <c r="Q31" s="101"/>
      <c r="R31" s="101"/>
      <c r="T31" s="101"/>
      <c r="U31" s="101"/>
      <c r="V31" s="135"/>
      <c r="X31" s="98"/>
    </row>
    <row r="32">
      <c r="A32" s="98"/>
      <c r="B32" s="129" t="str">
        <f>Hats!$C$38</f>
        <v>AD01</v>
      </c>
      <c r="C32" s="129">
        <v>1.0</v>
      </c>
      <c r="D32" s="129"/>
      <c r="E32" s="129"/>
      <c r="F32" s="129" t="str">
        <f>Hats!$C$39</f>
        <v>AD02</v>
      </c>
      <c r="G32" s="129">
        <v>1.0</v>
      </c>
      <c r="H32" s="129"/>
      <c r="I32" s="129"/>
      <c r="J32" s="129"/>
      <c r="K32" s="129"/>
      <c r="L32" s="129"/>
      <c r="M32" s="129"/>
      <c r="N32" s="129"/>
      <c r="O32" s="129"/>
      <c r="P32" s="101"/>
      <c r="Q32" s="101"/>
      <c r="R32" s="129"/>
      <c r="S32" s="129"/>
      <c r="T32" s="101"/>
      <c r="U32" s="101"/>
      <c r="V32" s="129"/>
      <c r="W32" s="129"/>
      <c r="X32" s="98"/>
    </row>
    <row r="33">
      <c r="A33" s="98"/>
      <c r="B33" s="98"/>
      <c r="C33" s="98"/>
      <c r="D33" s="98"/>
      <c r="E33" s="98"/>
      <c r="F33" s="98"/>
      <c r="G33" s="98"/>
      <c r="H33" s="98"/>
      <c r="I33" s="98"/>
      <c r="J33" s="98"/>
      <c r="K33" s="98"/>
      <c r="L33" s="98"/>
      <c r="M33" s="98"/>
      <c r="N33" s="98"/>
      <c r="O33" s="98"/>
      <c r="P33" s="98"/>
      <c r="Q33" s="98"/>
      <c r="R33" s="98"/>
      <c r="S33" s="98"/>
      <c r="T33" s="98"/>
      <c r="U33" s="98"/>
      <c r="V33" s="98"/>
      <c r="W33" s="98"/>
      <c r="X33" s="98"/>
    </row>
  </sheetData>
  <mergeCells count="60">
    <mergeCell ref="B19:C19"/>
    <mergeCell ref="F19:G19"/>
    <mergeCell ref="J19:K19"/>
    <mergeCell ref="N19:O19"/>
    <mergeCell ref="R19:S19"/>
    <mergeCell ref="V19:W19"/>
    <mergeCell ref="B22:C22"/>
    <mergeCell ref="V22:W22"/>
    <mergeCell ref="F22:G22"/>
    <mergeCell ref="J22:K22"/>
    <mergeCell ref="F25:G25"/>
    <mergeCell ref="J25:K25"/>
    <mergeCell ref="N25:O25"/>
    <mergeCell ref="R25:S25"/>
    <mergeCell ref="V25:W25"/>
    <mergeCell ref="B2:W2"/>
    <mergeCell ref="J3:K3"/>
    <mergeCell ref="N3:O3"/>
    <mergeCell ref="J5:O5"/>
    <mergeCell ref="J6:O6"/>
    <mergeCell ref="J7:L7"/>
    <mergeCell ref="M7:O7"/>
    <mergeCell ref="F10:G10"/>
    <mergeCell ref="F11:G11"/>
    <mergeCell ref="B9:W9"/>
    <mergeCell ref="B10:C10"/>
    <mergeCell ref="J10:K10"/>
    <mergeCell ref="N10:O10"/>
    <mergeCell ref="R10:S10"/>
    <mergeCell ref="V10:W10"/>
    <mergeCell ref="B11:C11"/>
    <mergeCell ref="J11:K11"/>
    <mergeCell ref="B14:W14"/>
    <mergeCell ref="F15:G15"/>
    <mergeCell ref="J15:K15"/>
    <mergeCell ref="N15:O15"/>
    <mergeCell ref="R15:S15"/>
    <mergeCell ref="V15:W15"/>
    <mergeCell ref="B15:C15"/>
    <mergeCell ref="B16:C16"/>
    <mergeCell ref="F16:G16"/>
    <mergeCell ref="J16:K16"/>
    <mergeCell ref="N16:O16"/>
    <mergeCell ref="R16:S16"/>
    <mergeCell ref="B18:W18"/>
    <mergeCell ref="N22:O22"/>
    <mergeCell ref="R22:S22"/>
    <mergeCell ref="B31:C31"/>
    <mergeCell ref="F31:G31"/>
    <mergeCell ref="J31:K31"/>
    <mergeCell ref="N31:O31"/>
    <mergeCell ref="R31:S31"/>
    <mergeCell ref="V31:W31"/>
    <mergeCell ref="B25:C25"/>
    <mergeCell ref="B28:C28"/>
    <mergeCell ref="F28:G28"/>
    <mergeCell ref="J28:K28"/>
    <mergeCell ref="N28:O28"/>
    <mergeCell ref="R28:S28"/>
    <mergeCell ref="V28:W28"/>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7257"/>
    <outlinePr summaryBelow="0" summaryRight="0"/>
  </sheetPr>
  <sheetViews>
    <sheetView showGridLines="0" workbookViewId="0"/>
  </sheetViews>
  <sheetFormatPr customHeight="1" defaultColWidth="12.63" defaultRowHeight="15.75" outlineLevelRow="1"/>
  <cols>
    <col customWidth="1" min="2" max="3" width="5.13"/>
    <col customWidth="1" min="4" max="5" width="1.38"/>
    <col customWidth="1" min="6" max="7" width="5.13"/>
    <col customWidth="1" min="8" max="9" width="1.38"/>
    <col customWidth="1" min="10" max="11" width="5.13"/>
    <col customWidth="1" min="12" max="13" width="1.38"/>
    <col customWidth="1" min="14" max="15" width="5.13"/>
    <col customWidth="1" min="16" max="17" width="1.38"/>
    <col customWidth="1" min="18" max="19" width="5.13"/>
    <col customWidth="1" min="20" max="21" width="1.38"/>
    <col customWidth="1" min="22" max="23" width="5.13"/>
  </cols>
  <sheetData>
    <row r="1">
      <c r="A1" s="98"/>
      <c r="B1" s="98"/>
      <c r="C1" s="98"/>
      <c r="D1" s="98"/>
      <c r="E1" s="98"/>
      <c r="F1" s="98"/>
      <c r="G1" s="98"/>
      <c r="H1" s="98"/>
      <c r="I1" s="98"/>
      <c r="J1" s="98"/>
      <c r="K1" s="98"/>
      <c r="L1" s="98"/>
      <c r="M1" s="98"/>
      <c r="N1" s="98"/>
      <c r="O1" s="98"/>
      <c r="P1" s="98"/>
      <c r="Q1" s="98"/>
      <c r="R1" s="98"/>
      <c r="S1" s="98"/>
      <c r="T1" s="98"/>
      <c r="U1" s="98"/>
      <c r="V1" s="98"/>
      <c r="W1" s="98"/>
      <c r="X1" s="98"/>
    </row>
    <row r="2">
      <c r="A2" s="98"/>
      <c r="B2" s="100" t="s">
        <v>19</v>
      </c>
      <c r="X2" s="98"/>
    </row>
    <row r="3">
      <c r="A3" s="98"/>
      <c r="B3" s="98"/>
      <c r="C3" s="101"/>
      <c r="D3" s="102"/>
      <c r="E3" s="102"/>
      <c r="F3" s="101"/>
      <c r="G3" s="101"/>
      <c r="H3" s="102"/>
      <c r="I3" s="102"/>
      <c r="J3" s="103" t="s">
        <v>27</v>
      </c>
      <c r="L3" s="103"/>
      <c r="M3" s="103"/>
      <c r="N3" s="104">
        <f>IFERROR(__xludf.DUMMYFUNCTION("SUM(IFERROR(QUERY(Records!$A:$F, CONCATENATE(""select F where B contains '"", $B2, ""'""), 0))) - SUM(IFERROR(QUERY(Records!$A:$F, CONCATENATE(""select G where B contains '"", $B2, ""'""), 0)))"),85.0)</f>
        <v>85</v>
      </c>
      <c r="P3" s="102"/>
      <c r="Q3" s="102"/>
      <c r="R3" s="101"/>
      <c r="S3" s="101"/>
      <c r="T3" s="102"/>
      <c r="U3" s="102"/>
      <c r="V3" s="101"/>
      <c r="W3" s="101"/>
      <c r="X3" s="98"/>
    </row>
    <row r="4" ht="23.25" customHeight="1">
      <c r="A4" s="98"/>
      <c r="B4" s="101"/>
      <c r="C4" s="101"/>
      <c r="D4" s="101"/>
      <c r="E4" s="101"/>
      <c r="F4" s="101"/>
      <c r="G4" s="101"/>
      <c r="H4" s="101"/>
      <c r="I4" s="101"/>
      <c r="J4" s="101"/>
      <c r="K4" s="101"/>
      <c r="L4" s="101"/>
      <c r="M4" s="101"/>
      <c r="N4" s="101"/>
      <c r="O4" s="101"/>
      <c r="P4" s="101"/>
      <c r="Q4" s="101"/>
      <c r="R4" s="101"/>
      <c r="S4" s="101"/>
      <c r="T4" s="101"/>
      <c r="U4" s="101"/>
      <c r="V4" s="101"/>
      <c r="W4" s="101"/>
      <c r="X4" s="98"/>
    </row>
    <row r="5" ht="112.5" customHeight="1">
      <c r="A5" s="98"/>
      <c r="B5" s="101"/>
      <c r="C5" s="101"/>
      <c r="D5" s="101"/>
      <c r="E5" s="101"/>
      <c r="F5" s="101"/>
      <c r="G5" s="101"/>
      <c r="H5" s="101"/>
      <c r="I5" s="101"/>
      <c r="J5" s="105" t="str">
        <f>IMAGE("https://i.postimg.cc/T3nfFMLT/saturnalia-big.png", 3)</f>
        <v/>
      </c>
      <c r="K5" s="106"/>
      <c r="L5" s="106"/>
      <c r="M5" s="106"/>
      <c r="N5" s="106"/>
      <c r="O5" s="107"/>
      <c r="P5" s="101"/>
      <c r="Q5" s="101"/>
      <c r="R5" s="101"/>
      <c r="S5" s="101"/>
      <c r="T5" s="101"/>
      <c r="U5" s="101"/>
      <c r="V5" s="101"/>
      <c r="W5" s="101"/>
      <c r="X5" s="98"/>
    </row>
    <row r="6" ht="18.0" customHeight="1">
      <c r="A6" s="98"/>
      <c r="B6" s="101"/>
      <c r="C6" s="101"/>
      <c r="D6" s="101"/>
      <c r="E6" s="101"/>
      <c r="F6" s="101"/>
      <c r="G6" s="101"/>
      <c r="H6" s="101"/>
      <c r="I6" s="101"/>
      <c r="J6" s="108" t="s">
        <v>39</v>
      </c>
      <c r="O6" s="109"/>
      <c r="P6" s="101"/>
      <c r="Q6" s="101"/>
      <c r="R6" s="101"/>
      <c r="S6" s="101"/>
      <c r="T6" s="101"/>
      <c r="U6" s="101"/>
      <c r="V6" s="101"/>
      <c r="W6" s="101"/>
      <c r="X6" s="98"/>
    </row>
    <row r="7" ht="27.0" customHeight="1">
      <c r="A7" s="98"/>
      <c r="B7" s="101"/>
      <c r="C7" s="101"/>
      <c r="D7" s="101"/>
      <c r="E7" s="101"/>
      <c r="F7" s="101"/>
      <c r="G7" s="101"/>
      <c r="H7" s="101"/>
      <c r="I7" s="101"/>
      <c r="J7" s="110" t="str">
        <f>IMAGE(Cats!$F$4, 3)</f>
        <v/>
      </c>
      <c r="K7" s="111"/>
      <c r="L7" s="111"/>
      <c r="M7" s="113" t="str">
        <f>IMAGE(Hats!$G$4, 3)</f>
        <v/>
      </c>
      <c r="N7" s="111"/>
      <c r="O7" s="114"/>
      <c r="P7" s="101"/>
      <c r="Q7" s="101"/>
      <c r="R7" s="101"/>
      <c r="S7" s="101"/>
      <c r="T7" s="101"/>
      <c r="U7" s="101"/>
      <c r="V7" s="101"/>
      <c r="W7" s="101"/>
      <c r="X7" s="98"/>
    </row>
    <row r="8" ht="25.5" customHeight="1">
      <c r="A8" s="98"/>
      <c r="B8" s="101"/>
      <c r="C8" s="101"/>
      <c r="D8" s="101"/>
      <c r="E8" s="101"/>
      <c r="F8" s="101"/>
      <c r="G8" s="101"/>
      <c r="H8" s="101"/>
      <c r="I8" s="101"/>
      <c r="J8" s="101"/>
      <c r="K8" s="101"/>
      <c r="L8" s="101"/>
      <c r="M8" s="101"/>
      <c r="N8" s="101"/>
      <c r="O8" s="101"/>
      <c r="P8" s="101"/>
      <c r="Q8" s="101"/>
      <c r="R8" s="101"/>
      <c r="S8" s="101"/>
      <c r="T8" s="101"/>
      <c r="U8" s="101"/>
      <c r="V8" s="101"/>
      <c r="W8" s="101"/>
      <c r="X8" s="98"/>
    </row>
    <row r="9" ht="24.75" customHeight="1">
      <c r="A9" s="115"/>
      <c r="B9" s="117" t="s">
        <v>31</v>
      </c>
      <c r="X9" s="115"/>
    </row>
    <row r="10" ht="56.25" customHeight="1" outlineLevel="1">
      <c r="A10" s="98"/>
      <c r="B10" s="101" t="str">
        <f>IMAGE("https://i.postimg.cc/BvFVkTPw/saturnalia-000.png", 3)</f>
        <v/>
      </c>
      <c r="D10" s="101"/>
      <c r="E10" s="101"/>
      <c r="F10" s="101" t="str">
        <f>IMAGE("https://i.postimg.cc/9fTRWx2m/saturnalia-001.png", 3)</f>
        <v/>
      </c>
      <c r="H10" s="101"/>
      <c r="I10" s="101"/>
      <c r="J10" s="101" t="str">
        <f>IMAGE("https://i.postimg.cc/dQ8pZr5b/saturnalia-002.png", 3)</f>
        <v/>
      </c>
      <c r="L10" s="101"/>
      <c r="M10" s="101"/>
      <c r="N10" s="101"/>
      <c r="P10" s="101"/>
      <c r="Q10" s="101"/>
      <c r="R10" s="101"/>
      <c r="T10" s="101"/>
      <c r="U10" s="101"/>
      <c r="V10" s="101"/>
      <c r="X10" s="98"/>
    </row>
    <row r="11" ht="17.25" customHeight="1" outlineLevel="1">
      <c r="A11" s="120"/>
      <c r="B11" s="122">
        <f>date(2022,3,17)</f>
        <v>44637</v>
      </c>
      <c r="D11" s="123"/>
      <c r="E11" s="123"/>
      <c r="F11" s="122">
        <f>date(2022,3,27)</f>
        <v>44647</v>
      </c>
      <c r="H11" s="123"/>
      <c r="I11" s="123"/>
      <c r="J11" s="122">
        <f>date(2022, 4, 4)</f>
        <v>44655</v>
      </c>
      <c r="L11" s="123"/>
      <c r="M11" s="123"/>
      <c r="N11" s="123"/>
      <c r="O11" s="123"/>
      <c r="P11" s="123"/>
      <c r="Q11" s="123"/>
      <c r="R11" s="123"/>
      <c r="S11" s="123"/>
      <c r="T11" s="123"/>
      <c r="U11" s="123"/>
      <c r="V11" s="123"/>
      <c r="W11" s="123"/>
      <c r="X11" s="120"/>
    </row>
    <row r="12" ht="17.25" customHeight="1" outlineLevel="1">
      <c r="A12" s="115"/>
      <c r="B12" s="124" t="str">
        <f>IMAGE(Cats!$F$4, 3)</f>
        <v/>
      </c>
      <c r="C12" s="125" t="str">
        <f>IMAGE(Hats!$G$4, 3)</f>
        <v/>
      </c>
      <c r="D12" s="125"/>
      <c r="E12" s="125"/>
      <c r="F12" s="124" t="str">
        <f>IMAGE(Cats!$F$4, 3)</f>
        <v/>
      </c>
      <c r="G12" s="125" t="str">
        <f>IMAGE(Hats!$G$11, 3)</f>
        <v/>
      </c>
      <c r="H12" s="125"/>
      <c r="I12" s="125"/>
      <c r="J12" s="124" t="str">
        <f>IMAGE(Cats!$F$4, 3)</f>
        <v/>
      </c>
      <c r="K12" s="125" t="str">
        <f>IMAGE(Hats!$G$38, 3)</f>
        <v/>
      </c>
      <c r="L12" s="125"/>
      <c r="M12" s="125"/>
      <c r="N12" s="125"/>
      <c r="O12" s="125"/>
      <c r="P12" s="125"/>
      <c r="Q12" s="125"/>
      <c r="R12" s="125"/>
      <c r="S12" s="125"/>
      <c r="T12" s="125"/>
      <c r="U12" s="125"/>
      <c r="V12" s="125"/>
      <c r="W12" s="125"/>
      <c r="X12" s="115"/>
    </row>
    <row r="13" ht="17.25" customHeight="1">
      <c r="A13" s="115"/>
      <c r="B13" s="125"/>
      <c r="C13" s="125"/>
      <c r="D13" s="125"/>
      <c r="E13" s="125"/>
      <c r="F13" s="125"/>
      <c r="G13" s="125"/>
      <c r="H13" s="125"/>
      <c r="I13" s="125"/>
      <c r="J13" s="125"/>
      <c r="K13" s="125"/>
      <c r="L13" s="125"/>
      <c r="M13" s="125"/>
      <c r="N13" s="125"/>
      <c r="O13" s="125"/>
      <c r="P13" s="125"/>
      <c r="Q13" s="125"/>
      <c r="R13" s="125"/>
      <c r="S13" s="125"/>
      <c r="T13" s="125"/>
      <c r="U13" s="125"/>
      <c r="V13" s="125"/>
      <c r="W13" s="125"/>
      <c r="X13" s="115"/>
    </row>
    <row r="14" ht="24.75" customHeight="1">
      <c r="A14" s="115"/>
      <c r="B14" s="117" t="s">
        <v>32</v>
      </c>
      <c r="X14" s="115"/>
    </row>
    <row r="15" ht="56.25" customHeight="1" outlineLevel="1">
      <c r="A15" s="98"/>
      <c r="B15" s="101" t="str">
        <f>IMAGE(Cats!$E$4, 3)</f>
        <v/>
      </c>
      <c r="D15" s="101"/>
      <c r="E15" s="101"/>
      <c r="F15" s="101" t="str">
        <f>IMAGE(Cats!$E$7, 3)</f>
        <v/>
      </c>
      <c r="H15" s="101"/>
      <c r="I15" s="101"/>
      <c r="J15" s="101" t="str">
        <f>IMAGE(Cats!$E$9, 3)</f>
        <v/>
      </c>
      <c r="L15" s="101"/>
      <c r="M15" s="101"/>
      <c r="N15" s="101" t="str">
        <f>IMAGE(Cats!$E$12, 3)</f>
        <v/>
      </c>
      <c r="P15" s="101"/>
      <c r="Q15" s="101"/>
      <c r="R15" s="101"/>
      <c r="T15" s="101"/>
      <c r="U15" s="101"/>
      <c r="V15" s="101"/>
      <c r="X15" s="98"/>
    </row>
    <row r="16" outlineLevel="1">
      <c r="A16" s="98"/>
      <c r="B16" s="129" t="str">
        <f>Cats!$C$4</f>
        <v>*A03</v>
      </c>
      <c r="D16" s="101"/>
      <c r="E16" s="101"/>
      <c r="F16" s="129" t="str">
        <f>Cats!$C$7</f>
        <v>*B02</v>
      </c>
      <c r="H16" s="101"/>
      <c r="I16" s="101"/>
      <c r="J16" s="129" t="str">
        <f>Cats!$C$9</f>
        <v>*B04</v>
      </c>
      <c r="L16" s="101"/>
      <c r="M16" s="101"/>
      <c r="N16" s="129" t="str">
        <f>Cats!$C$12</f>
        <v>*B07</v>
      </c>
      <c r="P16" s="101"/>
      <c r="Q16" s="101"/>
      <c r="R16" s="101"/>
      <c r="S16" s="101"/>
      <c r="T16" s="101"/>
      <c r="U16" s="101"/>
      <c r="V16" s="101"/>
      <c r="W16" s="101"/>
      <c r="X16" s="98"/>
    </row>
    <row r="17" ht="17.25" customHeight="1">
      <c r="A17" s="115"/>
      <c r="B17" s="125"/>
      <c r="C17" s="125"/>
      <c r="D17" s="125"/>
      <c r="E17" s="125"/>
      <c r="F17" s="125"/>
      <c r="G17" s="125"/>
      <c r="H17" s="125"/>
      <c r="I17" s="125"/>
      <c r="J17" s="125"/>
      <c r="K17" s="125"/>
      <c r="L17" s="125"/>
      <c r="M17" s="125"/>
      <c r="N17" s="125"/>
      <c r="O17" s="125"/>
      <c r="P17" s="125"/>
      <c r="Q17" s="125"/>
      <c r="R17" s="125"/>
      <c r="S17" s="125"/>
      <c r="T17" s="125"/>
      <c r="U17" s="125"/>
      <c r="V17" s="125"/>
      <c r="W17" s="125"/>
      <c r="X17" s="115"/>
    </row>
    <row r="18" ht="24.75" customHeight="1">
      <c r="A18" s="98"/>
      <c r="B18" s="131" t="s">
        <v>33</v>
      </c>
      <c r="X18" s="98"/>
    </row>
    <row r="19" ht="56.25" customHeight="1">
      <c r="A19" s="98"/>
      <c r="B19" s="101" t="str">
        <f>IMAGE(Hats!$F$4, 3)</f>
        <v/>
      </c>
      <c r="D19" s="101"/>
      <c r="E19" s="101"/>
      <c r="F19" s="101"/>
      <c r="H19" s="101"/>
      <c r="I19" s="101"/>
      <c r="J19" s="101"/>
      <c r="L19" s="101"/>
      <c r="M19" s="101"/>
      <c r="N19" s="101"/>
      <c r="P19" s="101"/>
      <c r="Q19" s="101"/>
      <c r="R19" s="101"/>
      <c r="T19" s="101"/>
      <c r="U19" s="101"/>
      <c r="V19" s="101"/>
      <c r="X19" s="98"/>
    </row>
    <row r="20">
      <c r="A20" s="98"/>
      <c r="B20" s="129" t="str">
        <f>Hats!$C$4</f>
        <v>AA03</v>
      </c>
      <c r="C20" s="129">
        <v>1.0</v>
      </c>
      <c r="D20" s="129"/>
      <c r="E20" s="129"/>
      <c r="F20" s="129"/>
      <c r="G20" s="129"/>
      <c r="H20" s="101"/>
      <c r="I20" s="101"/>
      <c r="J20" s="129"/>
      <c r="K20" s="129"/>
      <c r="L20" s="101"/>
      <c r="M20" s="101"/>
      <c r="N20" s="129"/>
      <c r="O20" s="129"/>
      <c r="P20" s="101"/>
      <c r="Q20" s="101"/>
      <c r="R20" s="129"/>
      <c r="S20" s="129"/>
      <c r="T20" s="101"/>
      <c r="U20" s="101"/>
      <c r="V20" s="129"/>
      <c r="W20" s="129"/>
      <c r="X20" s="98"/>
    </row>
    <row r="21">
      <c r="A21" s="98"/>
      <c r="B21" s="98"/>
      <c r="C21" s="98"/>
      <c r="D21" s="98"/>
      <c r="E21" s="98"/>
      <c r="F21" s="98"/>
      <c r="G21" s="98"/>
      <c r="H21" s="98"/>
      <c r="I21" s="98"/>
      <c r="J21" s="98"/>
      <c r="K21" s="98"/>
      <c r="L21" s="98"/>
      <c r="M21" s="98"/>
      <c r="N21" s="98"/>
      <c r="O21" s="98"/>
      <c r="P21" s="98"/>
      <c r="Q21" s="98"/>
      <c r="R21" s="98"/>
      <c r="S21" s="98"/>
      <c r="T21" s="98"/>
      <c r="U21" s="98"/>
      <c r="V21" s="98"/>
      <c r="W21" s="98"/>
      <c r="X21" s="98"/>
    </row>
    <row r="22" ht="56.25" customHeight="1">
      <c r="A22" s="98"/>
      <c r="B22" s="101" t="str">
        <f>IMAGE(Hats!$F$6, 3)</f>
        <v/>
      </c>
      <c r="D22" s="101"/>
      <c r="E22" s="101"/>
      <c r="F22" s="101" t="str">
        <f>IMAGE(Hats!$F$8, 3)</f>
        <v/>
      </c>
      <c r="H22" s="101"/>
      <c r="I22" s="101"/>
      <c r="J22" s="101" t="str">
        <f>IMAGE(Hats!$F$9, 3)</f>
        <v/>
      </c>
      <c r="L22" s="101"/>
      <c r="M22" s="101"/>
      <c r="N22" s="101" t="str">
        <f>image(Hats!$F$10, 3)</f>
        <v/>
      </c>
      <c r="P22" s="101"/>
      <c r="Q22" s="101"/>
      <c r="R22" s="101" t="str">
        <f>image(Hats!$F$11, 3)</f>
        <v/>
      </c>
      <c r="T22" s="101"/>
      <c r="U22" s="101"/>
      <c r="V22" s="101" t="str">
        <f>IMAGE(Hats!$F$12, 3)</f>
        <v/>
      </c>
      <c r="X22" s="98"/>
    </row>
    <row r="23">
      <c r="A23" s="98"/>
      <c r="B23" s="129" t="str">
        <f>Hats!$C$6</f>
        <v>AB01</v>
      </c>
      <c r="C23" s="129">
        <v>1.0</v>
      </c>
      <c r="D23" s="101"/>
      <c r="E23" s="101"/>
      <c r="F23" s="129" t="str">
        <f>Hats!$C$8</f>
        <v>AB03</v>
      </c>
      <c r="G23" s="129">
        <v>1.0</v>
      </c>
      <c r="H23" s="101"/>
      <c r="I23" s="101"/>
      <c r="J23" s="129" t="str">
        <f>Hats!$C$9</f>
        <v>AB04</v>
      </c>
      <c r="K23" s="129">
        <v>1.0</v>
      </c>
      <c r="L23" s="101"/>
      <c r="M23" s="101"/>
      <c r="N23" s="129" t="str">
        <f>Hats!$C$10</f>
        <v>AB05</v>
      </c>
      <c r="O23" s="129">
        <v>1.0</v>
      </c>
      <c r="P23" s="101"/>
      <c r="Q23" s="101"/>
      <c r="R23" s="129" t="str">
        <f>Hats!$C$11</f>
        <v>AB06</v>
      </c>
      <c r="S23" s="129">
        <v>2.0</v>
      </c>
      <c r="T23" s="101"/>
      <c r="U23" s="101"/>
      <c r="V23" s="129" t="str">
        <f>Hats!$C$12</f>
        <v>AB07</v>
      </c>
      <c r="W23" s="129">
        <v>1.0</v>
      </c>
      <c r="X23" s="98"/>
    </row>
    <row r="24">
      <c r="A24" s="98"/>
      <c r="B24" s="98"/>
      <c r="C24" s="98"/>
      <c r="D24" s="98"/>
      <c r="E24" s="98"/>
      <c r="F24" s="98"/>
      <c r="G24" s="98"/>
      <c r="H24" s="98"/>
      <c r="I24" s="98"/>
      <c r="J24" s="98"/>
      <c r="K24" s="98"/>
      <c r="L24" s="98"/>
      <c r="M24" s="98"/>
      <c r="N24" s="98"/>
      <c r="O24" s="98"/>
      <c r="P24" s="98"/>
      <c r="Q24" s="98"/>
      <c r="R24" s="98"/>
      <c r="S24" s="98"/>
      <c r="T24" s="98"/>
      <c r="U24" s="98"/>
      <c r="V24" s="98"/>
      <c r="W24" s="98"/>
      <c r="X24" s="98"/>
    </row>
    <row r="25" ht="56.25" customHeight="1">
      <c r="A25" s="98"/>
      <c r="B25" s="101" t="str">
        <f>IMAGE(Hats!$F$13, 3)</f>
        <v/>
      </c>
      <c r="D25" s="101"/>
      <c r="E25" s="101"/>
      <c r="F25" s="101" t="str">
        <f>IMAGE(Hats!$F$14, 3)</f>
        <v/>
      </c>
      <c r="H25" s="101"/>
      <c r="I25" s="101"/>
      <c r="J25" s="101" t="str">
        <f>IMAGE(Hats!$F$15, 3)</f>
        <v/>
      </c>
      <c r="L25" s="101"/>
      <c r="M25" s="101"/>
      <c r="N25" s="101" t="str">
        <f>IMAGE(Hats!$F$17, 3)</f>
        <v/>
      </c>
      <c r="P25" s="101"/>
      <c r="Q25" s="101"/>
      <c r="R25" s="101"/>
      <c r="T25" s="101"/>
      <c r="U25" s="101"/>
      <c r="V25" s="101"/>
      <c r="X25" s="98"/>
    </row>
    <row r="26">
      <c r="A26" s="98"/>
      <c r="B26" s="129" t="str">
        <f>Hats!$C$13</f>
        <v>AB08</v>
      </c>
      <c r="C26" s="129">
        <v>1.0</v>
      </c>
      <c r="D26" s="129"/>
      <c r="E26" s="129"/>
      <c r="F26" s="129" t="str">
        <f>Hats!$C$14</f>
        <v>AB09</v>
      </c>
      <c r="G26" s="129">
        <v>1.0</v>
      </c>
      <c r="H26" s="129"/>
      <c r="I26" s="129"/>
      <c r="J26" s="129" t="str">
        <f>Hats!$C$15</f>
        <v>AB10</v>
      </c>
      <c r="K26" s="129">
        <v>1.0</v>
      </c>
      <c r="L26" s="129"/>
      <c r="M26" s="129"/>
      <c r="N26" s="129" t="str">
        <f>Hats!$C$17</f>
        <v>AB12</v>
      </c>
      <c r="O26" s="129">
        <v>1.0</v>
      </c>
      <c r="P26" s="101"/>
      <c r="Q26" s="101"/>
      <c r="R26" s="129"/>
      <c r="S26" s="129"/>
      <c r="T26" s="101"/>
      <c r="U26" s="101"/>
      <c r="V26" s="129"/>
      <c r="W26" s="129"/>
      <c r="X26" s="98"/>
    </row>
    <row r="27">
      <c r="A27" s="98"/>
      <c r="B27" s="98"/>
      <c r="C27" s="98"/>
      <c r="D27" s="98"/>
      <c r="E27" s="98"/>
      <c r="F27" s="98"/>
      <c r="G27" s="98"/>
      <c r="H27" s="98"/>
      <c r="I27" s="98"/>
      <c r="J27" s="98"/>
      <c r="K27" s="98"/>
      <c r="L27" s="98"/>
      <c r="M27" s="98"/>
      <c r="N27" s="98"/>
      <c r="O27" s="98"/>
      <c r="P27" s="98"/>
      <c r="Q27" s="98"/>
      <c r="R27" s="98"/>
      <c r="S27" s="98"/>
      <c r="T27" s="98"/>
      <c r="U27" s="98"/>
      <c r="V27" s="98"/>
      <c r="W27" s="98"/>
      <c r="X27" s="98"/>
    </row>
    <row r="28" ht="56.25" customHeight="1">
      <c r="A28" s="98"/>
      <c r="B28" s="101" t="str">
        <f>image(Hats!$F$18, 3)</f>
        <v/>
      </c>
      <c r="D28" s="101"/>
      <c r="E28" s="101"/>
      <c r="F28" s="101" t="str">
        <f>IMAGE(Hats!$F$20, 3)</f>
        <v/>
      </c>
      <c r="H28" s="101"/>
      <c r="I28" s="101"/>
      <c r="J28" s="101" t="str">
        <f>IMAGE(Hats!$F$22, 3)</f>
        <v/>
      </c>
      <c r="L28" s="101"/>
      <c r="M28" s="101"/>
      <c r="N28" s="101" t="str">
        <f>IMAGE(Hats!$F$26, 3)</f>
        <v/>
      </c>
      <c r="P28" s="101"/>
      <c r="Q28" s="101"/>
      <c r="R28" s="101" t="str">
        <f>IMAGE(Hats!$F$29, 3)</f>
        <v/>
      </c>
      <c r="T28" s="101"/>
      <c r="U28" s="101"/>
      <c r="V28" s="101" t="str">
        <f>IMAGE(Hats!$F$30, 3)</f>
        <v/>
      </c>
      <c r="X28" s="98"/>
    </row>
    <row r="29">
      <c r="A29" s="98"/>
      <c r="B29" s="129" t="str">
        <f>Hats!$C$18</f>
        <v>AC01</v>
      </c>
      <c r="C29" s="129">
        <v>2.0</v>
      </c>
      <c r="D29" s="129"/>
      <c r="E29" s="129"/>
      <c r="F29" s="129" t="str">
        <f>Hats!$C$20</f>
        <v>AC03</v>
      </c>
      <c r="G29" s="129">
        <v>1.0</v>
      </c>
      <c r="H29" s="129"/>
      <c r="I29" s="129"/>
      <c r="J29" s="129" t="str">
        <f>Hats!$C$22</f>
        <v>AC05</v>
      </c>
      <c r="K29" s="129">
        <v>2.0</v>
      </c>
      <c r="L29" s="101"/>
      <c r="M29" s="101"/>
      <c r="N29" s="129" t="str">
        <f>Hats!$C$26</f>
        <v>AC09</v>
      </c>
      <c r="O29" s="129">
        <v>1.0</v>
      </c>
      <c r="P29" s="101"/>
      <c r="Q29" s="101"/>
      <c r="R29" s="129" t="str">
        <f>Hats!$C$29</f>
        <v>AC12</v>
      </c>
      <c r="S29" s="129">
        <v>1.0</v>
      </c>
      <c r="T29" s="101"/>
      <c r="U29" s="101"/>
      <c r="V29" s="129" t="str">
        <f>Hats!$C$30</f>
        <v>AC13</v>
      </c>
      <c r="W29" s="129">
        <v>1.0</v>
      </c>
      <c r="X29" s="98"/>
    </row>
    <row r="30">
      <c r="A30" s="98"/>
      <c r="B30" s="98"/>
      <c r="C30" s="98"/>
      <c r="D30" s="98"/>
      <c r="E30" s="98"/>
      <c r="F30" s="98"/>
      <c r="G30" s="98"/>
      <c r="H30" s="98"/>
      <c r="I30" s="98"/>
      <c r="J30" s="98"/>
      <c r="K30" s="98"/>
      <c r="L30" s="98"/>
      <c r="M30" s="98"/>
      <c r="N30" s="98"/>
      <c r="O30" s="98"/>
      <c r="P30" s="98"/>
      <c r="Q30" s="98"/>
      <c r="R30" s="98"/>
      <c r="S30" s="98"/>
      <c r="T30" s="98"/>
      <c r="U30" s="98"/>
      <c r="V30" s="98"/>
      <c r="W30" s="98"/>
      <c r="X30" s="98"/>
    </row>
    <row r="31" ht="56.25" customHeight="1">
      <c r="A31" s="98"/>
      <c r="B31" s="101" t="str">
        <f>IMAGE(Hats!$F$32, 3)</f>
        <v/>
      </c>
      <c r="D31" s="101"/>
      <c r="E31" s="101"/>
      <c r="F31" s="101"/>
      <c r="H31" s="101"/>
      <c r="I31" s="101"/>
      <c r="J31" s="101"/>
      <c r="L31" s="101"/>
      <c r="M31" s="101"/>
      <c r="N31" s="101"/>
      <c r="P31" s="101"/>
      <c r="Q31" s="101"/>
      <c r="R31" s="101"/>
      <c r="T31" s="101"/>
      <c r="U31" s="101"/>
      <c r="V31" s="101"/>
      <c r="X31" s="98"/>
    </row>
    <row r="32">
      <c r="A32" s="98"/>
      <c r="B32" s="129" t="str">
        <f>Hats!$C$32</f>
        <v>AC15</v>
      </c>
      <c r="C32" s="129">
        <v>1.0</v>
      </c>
      <c r="D32" s="129"/>
      <c r="E32" s="129"/>
      <c r="F32" s="129"/>
      <c r="G32" s="129"/>
      <c r="H32" s="129"/>
      <c r="I32" s="129"/>
      <c r="J32" s="129"/>
      <c r="K32" s="129"/>
      <c r="L32" s="101"/>
      <c r="M32" s="101"/>
      <c r="N32" s="129"/>
      <c r="O32" s="129"/>
      <c r="P32" s="101"/>
      <c r="Q32" s="101"/>
      <c r="R32" s="129"/>
      <c r="S32" s="129"/>
      <c r="T32" s="101"/>
      <c r="U32" s="101"/>
      <c r="V32" s="129"/>
      <c r="W32" s="129"/>
      <c r="X32" s="98"/>
    </row>
    <row r="33">
      <c r="A33" s="98"/>
      <c r="B33" s="98"/>
      <c r="C33" s="98"/>
      <c r="D33" s="98"/>
      <c r="E33" s="98"/>
      <c r="F33" s="98"/>
      <c r="G33" s="98"/>
      <c r="H33" s="98"/>
      <c r="I33" s="98"/>
      <c r="J33" s="98"/>
      <c r="K33" s="98"/>
      <c r="L33" s="98"/>
      <c r="M33" s="98"/>
      <c r="N33" s="98"/>
      <c r="O33" s="98"/>
      <c r="P33" s="98"/>
      <c r="Q33" s="98"/>
      <c r="R33" s="98"/>
      <c r="S33" s="98"/>
      <c r="T33" s="98"/>
      <c r="U33" s="98"/>
      <c r="V33" s="98"/>
      <c r="W33" s="98"/>
      <c r="X33" s="98"/>
    </row>
    <row r="34" ht="56.25" customHeight="1">
      <c r="A34" s="98"/>
      <c r="B34" s="101" t="str">
        <f>IMAGE(Hats!$F$38, 3)</f>
        <v/>
      </c>
      <c r="D34" s="101"/>
      <c r="E34" s="101"/>
      <c r="F34" s="101" t="str">
        <f>IMAGE(Hats!$F$39, 3)</f>
        <v/>
      </c>
      <c r="H34" s="101"/>
      <c r="I34" s="101"/>
      <c r="J34" s="101"/>
      <c r="L34" s="101"/>
      <c r="M34" s="101"/>
      <c r="N34" s="101"/>
      <c r="P34" s="101"/>
      <c r="Q34" s="101"/>
      <c r="R34" s="101"/>
      <c r="T34" s="101"/>
      <c r="U34" s="101"/>
      <c r="V34" s="101"/>
      <c r="X34" s="98"/>
    </row>
    <row r="35">
      <c r="A35" s="98"/>
      <c r="B35" s="129" t="str">
        <f>Hats!$C$38</f>
        <v>AD01</v>
      </c>
      <c r="C35" s="129">
        <v>1.0</v>
      </c>
      <c r="D35" s="129"/>
      <c r="E35" s="129"/>
      <c r="F35" s="129" t="str">
        <f>Hats!$C$39</f>
        <v>AD02</v>
      </c>
      <c r="G35" s="129">
        <v>1.0</v>
      </c>
      <c r="H35" s="129"/>
      <c r="I35" s="129"/>
      <c r="J35" s="129"/>
      <c r="K35" s="129"/>
      <c r="L35" s="101"/>
      <c r="M35" s="101"/>
      <c r="N35" s="129"/>
      <c r="O35" s="129"/>
      <c r="P35" s="101"/>
      <c r="Q35" s="101"/>
      <c r="R35" s="129"/>
      <c r="S35" s="129"/>
      <c r="T35" s="101"/>
      <c r="U35" s="101"/>
      <c r="V35" s="129"/>
      <c r="W35" s="129"/>
      <c r="X35" s="98"/>
    </row>
    <row r="36">
      <c r="A36" s="98"/>
      <c r="B36" s="98"/>
      <c r="C36" s="98"/>
      <c r="D36" s="98"/>
      <c r="E36" s="98"/>
      <c r="F36" s="98"/>
      <c r="G36" s="98"/>
      <c r="H36" s="98"/>
      <c r="I36" s="98"/>
      <c r="J36" s="98"/>
      <c r="K36" s="98"/>
      <c r="L36" s="98"/>
      <c r="M36" s="98"/>
      <c r="N36" s="98"/>
      <c r="O36" s="98"/>
      <c r="P36" s="98"/>
      <c r="Q36" s="98"/>
      <c r="R36" s="98"/>
      <c r="S36" s="98"/>
      <c r="T36" s="98"/>
      <c r="U36" s="98"/>
      <c r="V36" s="98"/>
      <c r="W36" s="98"/>
      <c r="X36" s="98"/>
    </row>
  </sheetData>
  <mergeCells count="65">
    <mergeCell ref="F19:G19"/>
    <mergeCell ref="J19:K19"/>
    <mergeCell ref="F22:G22"/>
    <mergeCell ref="J22:K22"/>
    <mergeCell ref="N22:O22"/>
    <mergeCell ref="R22:S22"/>
    <mergeCell ref="V22:W22"/>
    <mergeCell ref="B22:C22"/>
    <mergeCell ref="B25:C25"/>
    <mergeCell ref="F25:G25"/>
    <mergeCell ref="J25:K25"/>
    <mergeCell ref="N25:O25"/>
    <mergeCell ref="R25:S25"/>
    <mergeCell ref="V25:W25"/>
    <mergeCell ref="N31:O31"/>
    <mergeCell ref="R31:S31"/>
    <mergeCell ref="B28:C28"/>
    <mergeCell ref="F28:G28"/>
    <mergeCell ref="J28:K28"/>
    <mergeCell ref="N28:O28"/>
    <mergeCell ref="R28:S28"/>
    <mergeCell ref="V28:W28"/>
    <mergeCell ref="B31:C31"/>
    <mergeCell ref="V31:W31"/>
    <mergeCell ref="B2:W2"/>
    <mergeCell ref="J3:K3"/>
    <mergeCell ref="N3:O3"/>
    <mergeCell ref="J5:O5"/>
    <mergeCell ref="J6:O6"/>
    <mergeCell ref="J7:L7"/>
    <mergeCell ref="M7:O7"/>
    <mergeCell ref="F10:G10"/>
    <mergeCell ref="F11:G11"/>
    <mergeCell ref="B9:W9"/>
    <mergeCell ref="B10:C10"/>
    <mergeCell ref="J10:K10"/>
    <mergeCell ref="N10:O10"/>
    <mergeCell ref="R10:S10"/>
    <mergeCell ref="V10:W10"/>
    <mergeCell ref="B11:C11"/>
    <mergeCell ref="J11:K11"/>
    <mergeCell ref="B14:W14"/>
    <mergeCell ref="F15:G15"/>
    <mergeCell ref="J15:K15"/>
    <mergeCell ref="N15:O15"/>
    <mergeCell ref="R15:S15"/>
    <mergeCell ref="V15:W15"/>
    <mergeCell ref="N19:O19"/>
    <mergeCell ref="R19:S19"/>
    <mergeCell ref="B15:C15"/>
    <mergeCell ref="B16:C16"/>
    <mergeCell ref="F16:G16"/>
    <mergeCell ref="J16:K16"/>
    <mergeCell ref="N16:O16"/>
    <mergeCell ref="B18:W18"/>
    <mergeCell ref="B19:C19"/>
    <mergeCell ref="V19:W19"/>
    <mergeCell ref="F31:G31"/>
    <mergeCell ref="J31:K31"/>
    <mergeCell ref="B34:C34"/>
    <mergeCell ref="F34:G34"/>
    <mergeCell ref="J34:K34"/>
    <mergeCell ref="N34:O34"/>
    <mergeCell ref="R34:S34"/>
    <mergeCell ref="V34:W3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7257"/>
    <outlinePr summaryBelow="0" summaryRight="0"/>
  </sheetPr>
  <sheetViews>
    <sheetView showGridLines="0" workbookViewId="0"/>
  </sheetViews>
  <sheetFormatPr customHeight="1" defaultColWidth="12.63" defaultRowHeight="15.75" outlineLevelRow="1"/>
  <cols>
    <col customWidth="1" min="2" max="3" width="5.13"/>
    <col customWidth="1" min="4" max="5" width="1.38"/>
    <col customWidth="1" min="6" max="7" width="5.13"/>
    <col customWidth="1" min="8" max="9" width="1.38"/>
    <col customWidth="1" min="10" max="11" width="5.13"/>
    <col customWidth="1" min="12" max="13" width="1.38"/>
    <col customWidth="1" min="14" max="15" width="5.13"/>
    <col customWidth="1" min="16" max="17" width="1.38"/>
    <col customWidth="1" min="18" max="19" width="5.13"/>
    <col customWidth="1" min="20" max="21" width="1.38"/>
    <col customWidth="1" min="22" max="23" width="5.13"/>
  </cols>
  <sheetData>
    <row r="1">
      <c r="A1" s="98"/>
      <c r="B1" s="98"/>
      <c r="C1" s="98"/>
      <c r="D1" s="98"/>
      <c r="E1" s="98"/>
      <c r="F1" s="98"/>
      <c r="G1" s="98"/>
      <c r="H1" s="98"/>
      <c r="I1" s="98"/>
      <c r="J1" s="98"/>
      <c r="K1" s="98"/>
      <c r="L1" s="98"/>
      <c r="M1" s="98"/>
      <c r="N1" s="98"/>
      <c r="O1" s="98"/>
      <c r="P1" s="98"/>
      <c r="Q1" s="98"/>
      <c r="R1" s="98"/>
      <c r="S1" s="98"/>
      <c r="T1" s="98"/>
      <c r="U1" s="98"/>
      <c r="V1" s="98"/>
      <c r="W1" s="98"/>
      <c r="X1" s="98"/>
    </row>
    <row r="2">
      <c r="A2" s="98"/>
      <c r="B2" s="100" t="s">
        <v>14</v>
      </c>
      <c r="X2" s="98"/>
    </row>
    <row r="3">
      <c r="A3" s="98"/>
      <c r="B3" s="98"/>
      <c r="C3" s="101"/>
      <c r="D3" s="102"/>
      <c r="E3" s="102"/>
      <c r="F3" s="101"/>
      <c r="G3" s="101"/>
      <c r="H3" s="102"/>
      <c r="I3" s="102"/>
      <c r="J3" s="103" t="s">
        <v>27</v>
      </c>
      <c r="L3" s="103"/>
      <c r="M3" s="103"/>
      <c r="N3" s="104">
        <f>IFERROR(__xludf.DUMMYFUNCTION("SUM(IFERROR(QUERY(Records!$A:$F, CONCATENATE(""select F where B contains '"", $B2, ""'""), 0))) - SUM(IFERROR(QUERY(Records!$A:$F, CONCATENATE(""select G where B contains '"", $B2, ""'""), 0)))"),137.0)</f>
        <v>137</v>
      </c>
      <c r="P3" s="102"/>
      <c r="Q3" s="102"/>
      <c r="R3" s="101"/>
      <c r="S3" s="101"/>
      <c r="T3" s="102"/>
      <c r="U3" s="102"/>
      <c r="V3" s="101"/>
      <c r="W3" s="101"/>
      <c r="X3" s="98"/>
    </row>
    <row r="4" ht="23.25" customHeight="1">
      <c r="A4" s="98"/>
      <c r="B4" s="101"/>
      <c r="C4" s="101"/>
      <c r="D4" s="101"/>
      <c r="E4" s="101"/>
      <c r="F4" s="101"/>
      <c r="G4" s="101"/>
      <c r="H4" s="101"/>
      <c r="I4" s="101"/>
      <c r="J4" s="101"/>
      <c r="K4" s="101"/>
      <c r="L4" s="101"/>
      <c r="M4" s="101"/>
      <c r="N4" s="101"/>
      <c r="O4" s="101"/>
      <c r="P4" s="101"/>
      <c r="Q4" s="101"/>
      <c r="R4" s="101"/>
      <c r="S4" s="101"/>
      <c r="T4" s="101"/>
      <c r="U4" s="101"/>
      <c r="V4" s="101"/>
      <c r="W4" s="101"/>
      <c r="X4" s="98"/>
    </row>
    <row r="5" ht="112.5" customHeight="1">
      <c r="A5" s="98"/>
      <c r="B5" s="101"/>
      <c r="C5" s="101"/>
      <c r="D5" s="101"/>
      <c r="E5" s="101"/>
      <c r="F5" s="101"/>
      <c r="G5" s="101"/>
      <c r="H5" s="101"/>
      <c r="I5" s="101"/>
      <c r="J5" s="105" t="str">
        <f>IMAGE("https://i.postimg.cc/4x2rc4ps/seacrest-big.png", 3)</f>
        <v/>
      </c>
      <c r="K5" s="106"/>
      <c r="L5" s="106"/>
      <c r="M5" s="106"/>
      <c r="N5" s="106"/>
      <c r="O5" s="107"/>
      <c r="P5" s="101"/>
      <c r="Q5" s="101"/>
      <c r="R5" s="101"/>
      <c r="S5" s="101"/>
      <c r="T5" s="101"/>
      <c r="U5" s="101"/>
      <c r="V5" s="101"/>
      <c r="W5" s="101"/>
      <c r="X5" s="98"/>
    </row>
    <row r="6" ht="18.0" customHeight="1">
      <c r="A6" s="98"/>
      <c r="B6" s="101"/>
      <c r="C6" s="101"/>
      <c r="D6" s="101"/>
      <c r="E6" s="101"/>
      <c r="F6" s="101"/>
      <c r="G6" s="101"/>
      <c r="H6" s="101"/>
      <c r="I6" s="101"/>
      <c r="J6" s="108" t="s">
        <v>40</v>
      </c>
      <c r="O6" s="109"/>
      <c r="P6" s="101"/>
      <c r="Q6" s="101"/>
      <c r="R6" s="101"/>
      <c r="S6" s="101"/>
      <c r="T6" s="101"/>
      <c r="U6" s="101"/>
      <c r="V6" s="101"/>
      <c r="W6" s="101"/>
      <c r="X6" s="98"/>
    </row>
    <row r="7" ht="27.0" customHeight="1">
      <c r="A7" s="98"/>
      <c r="B7" s="101"/>
      <c r="C7" s="101"/>
      <c r="D7" s="101"/>
      <c r="E7" s="101"/>
      <c r="F7" s="101"/>
      <c r="G7" s="101"/>
      <c r="H7" s="101"/>
      <c r="I7" s="101"/>
      <c r="J7" s="110" t="str">
        <f>IMAGE(Cats!$F$3, 3)</f>
        <v/>
      </c>
      <c r="K7" s="111"/>
      <c r="L7" s="111"/>
      <c r="M7" s="113" t="str">
        <f>IMAGE(Hats!$G$3, 3)</f>
        <v/>
      </c>
      <c r="N7" s="111"/>
      <c r="O7" s="114"/>
      <c r="P7" s="101"/>
      <c r="Q7" s="101"/>
      <c r="R7" s="101"/>
      <c r="S7" s="101"/>
      <c r="T7" s="101"/>
      <c r="U7" s="101"/>
      <c r="V7" s="101"/>
      <c r="W7" s="101"/>
      <c r="X7" s="98"/>
    </row>
    <row r="8" ht="25.5" customHeight="1">
      <c r="A8" s="98"/>
      <c r="B8" s="101"/>
      <c r="C8" s="101"/>
      <c r="D8" s="101"/>
      <c r="E8" s="101"/>
      <c r="F8" s="101"/>
      <c r="G8" s="101"/>
      <c r="H8" s="101"/>
      <c r="I8" s="101"/>
      <c r="J8" s="101"/>
      <c r="K8" s="101"/>
      <c r="L8" s="101"/>
      <c r="M8" s="101"/>
      <c r="N8" s="101"/>
      <c r="O8" s="101"/>
      <c r="P8" s="101"/>
      <c r="Q8" s="101"/>
      <c r="R8" s="101"/>
      <c r="S8" s="101"/>
      <c r="T8" s="101"/>
      <c r="U8" s="101"/>
      <c r="V8" s="101"/>
      <c r="W8" s="101"/>
      <c r="X8" s="98"/>
    </row>
    <row r="9" ht="24.75" customHeight="1">
      <c r="A9" s="115"/>
      <c r="B9" s="117" t="s">
        <v>31</v>
      </c>
      <c r="X9" s="115"/>
    </row>
    <row r="10" ht="56.25" customHeight="1" outlineLevel="1">
      <c r="A10" s="98"/>
      <c r="B10" s="101" t="str">
        <f>IMAGE("https://i.postimg.cc/cL2zF9Cn/seacrest-000.png", 3)</f>
        <v/>
      </c>
      <c r="D10" s="101"/>
      <c r="E10" s="101"/>
      <c r="F10" s="101" t="str">
        <f>IMAGE("https://i.postimg.cc/hjBJh949/seacrest-001.png", 3)</f>
        <v/>
      </c>
      <c r="H10" s="101"/>
      <c r="I10" s="101"/>
      <c r="J10" s="101" t="str">
        <f>IMAGE("https://i.postimg.cc/1tBQ6dSj/seacrest-002.png", 3)</f>
        <v/>
      </c>
      <c r="L10" s="101"/>
      <c r="M10" s="101"/>
      <c r="N10" s="101"/>
      <c r="P10" s="101"/>
      <c r="Q10" s="101"/>
      <c r="R10" s="101"/>
      <c r="T10" s="101"/>
      <c r="U10" s="101"/>
      <c r="V10" s="101"/>
      <c r="X10" s="98"/>
    </row>
    <row r="11" ht="17.25" customHeight="1" outlineLevel="1">
      <c r="A11" s="120"/>
      <c r="B11" s="122">
        <f>date(2022,3,17)</f>
        <v>44637</v>
      </c>
      <c r="D11" s="123"/>
      <c r="E11" s="123"/>
      <c r="F11" s="122">
        <f>date(2022,3,27)</f>
        <v>44647</v>
      </c>
      <c r="H11" s="123"/>
      <c r="I11" s="123"/>
      <c r="J11" s="122">
        <f>date(2022, 4, 3)</f>
        <v>44654</v>
      </c>
      <c r="L11" s="123"/>
      <c r="M11" s="123"/>
      <c r="N11" s="123"/>
      <c r="O11" s="123"/>
      <c r="P11" s="123"/>
      <c r="Q11" s="123"/>
      <c r="R11" s="123"/>
      <c r="S11" s="123"/>
      <c r="T11" s="123"/>
      <c r="U11" s="123"/>
      <c r="V11" s="123"/>
      <c r="W11" s="123"/>
      <c r="X11" s="120"/>
    </row>
    <row r="12" ht="17.25" customHeight="1" outlineLevel="1">
      <c r="A12" s="115"/>
      <c r="B12" s="124" t="str">
        <f>IMAGE(Cats!$F$3, 3)</f>
        <v/>
      </c>
      <c r="C12" s="125" t="str">
        <f>IMAGE(Hats!$G$3, 3)</f>
        <v/>
      </c>
      <c r="D12" s="125"/>
      <c r="E12" s="125"/>
      <c r="F12" s="124" t="str">
        <f>IMAGE(Cats!$F$3, 3)</f>
        <v/>
      </c>
      <c r="G12" s="125" t="str">
        <f>IMAGE(Hats!$G$29, 3)</f>
        <v/>
      </c>
      <c r="H12" s="125"/>
      <c r="I12" s="125"/>
      <c r="J12" s="124" t="str">
        <f>IMAGE(Cats!$F$6, 3)</f>
        <v/>
      </c>
      <c r="K12" s="125" t="str">
        <f>IMAGE(Hats!$G$11, 3)</f>
        <v/>
      </c>
      <c r="L12" s="125"/>
      <c r="M12" s="125"/>
      <c r="N12" s="125"/>
      <c r="O12" s="125"/>
      <c r="P12" s="125"/>
      <c r="Q12" s="125"/>
      <c r="R12" s="125"/>
      <c r="S12" s="125"/>
      <c r="T12" s="125"/>
      <c r="U12" s="125"/>
      <c r="V12" s="125"/>
      <c r="W12" s="125"/>
      <c r="X12" s="115"/>
    </row>
    <row r="13" ht="17.25" customHeight="1">
      <c r="A13" s="115"/>
      <c r="B13" s="125"/>
      <c r="C13" s="125"/>
      <c r="D13" s="125"/>
      <c r="E13" s="125"/>
      <c r="F13" s="125"/>
      <c r="G13" s="125"/>
      <c r="H13" s="125"/>
      <c r="I13" s="125"/>
      <c r="J13" s="125"/>
      <c r="K13" s="125"/>
      <c r="L13" s="125"/>
      <c r="M13" s="125"/>
      <c r="N13" s="125"/>
      <c r="O13" s="125"/>
      <c r="P13" s="125"/>
      <c r="Q13" s="125"/>
      <c r="R13" s="125"/>
      <c r="S13" s="125"/>
      <c r="T13" s="125"/>
      <c r="U13" s="125"/>
      <c r="V13" s="125"/>
      <c r="W13" s="125"/>
      <c r="X13" s="115"/>
    </row>
    <row r="14" ht="24.75" customHeight="1">
      <c r="A14" s="115"/>
      <c r="B14" s="117" t="s">
        <v>32</v>
      </c>
      <c r="X14" s="115"/>
    </row>
    <row r="15" ht="56.25" customHeight="1" outlineLevel="1">
      <c r="A15" s="98"/>
      <c r="B15" s="101" t="str">
        <f>IMAGE(Cats!$E$3, 3)</f>
        <v/>
      </c>
      <c r="D15" s="101"/>
      <c r="E15" s="101"/>
      <c r="F15" s="101" t="str">
        <f>IMAGE(Cats!$E$6, 3)</f>
        <v/>
      </c>
      <c r="H15" s="101"/>
      <c r="I15" s="101"/>
      <c r="J15" s="101" t="str">
        <f>IMAGE(Cats!$E$13, 3)</f>
        <v/>
      </c>
      <c r="L15" s="101"/>
      <c r="M15" s="101"/>
      <c r="N15" s="101" t="str">
        <f>image(Cats!$E$17, 3)</f>
        <v/>
      </c>
      <c r="P15" s="101"/>
      <c r="Q15" s="101"/>
      <c r="R15" s="101"/>
      <c r="T15" s="101"/>
      <c r="U15" s="101"/>
      <c r="V15" s="101"/>
      <c r="X15" s="98"/>
    </row>
    <row r="16" outlineLevel="1">
      <c r="A16" s="98"/>
      <c r="B16" s="129" t="str">
        <f>Cats!$C$3</f>
        <v>*A02</v>
      </c>
      <c r="D16" s="101"/>
      <c r="E16" s="101"/>
      <c r="F16" s="129" t="str">
        <f>Cats!$C$6</f>
        <v>*B01</v>
      </c>
      <c r="H16" s="101"/>
      <c r="I16" s="101"/>
      <c r="J16" s="129" t="str">
        <f>Cats!$C$13</f>
        <v>*B08</v>
      </c>
      <c r="L16" s="101"/>
      <c r="M16" s="101"/>
      <c r="N16" s="129" t="str">
        <f>Cats!$C$17</f>
        <v>*B12</v>
      </c>
      <c r="P16" s="101"/>
      <c r="Q16" s="101"/>
      <c r="R16" s="101"/>
      <c r="S16" s="101"/>
      <c r="T16" s="101"/>
      <c r="U16" s="101"/>
      <c r="V16" s="101"/>
      <c r="W16" s="101"/>
      <c r="X16" s="98"/>
    </row>
    <row r="17" ht="17.25" customHeight="1">
      <c r="A17" s="115"/>
      <c r="B17" s="125"/>
      <c r="C17" s="125"/>
      <c r="D17" s="125"/>
      <c r="E17" s="125"/>
      <c r="F17" s="125"/>
      <c r="G17" s="125"/>
      <c r="H17" s="125"/>
      <c r="I17" s="125"/>
      <c r="J17" s="125"/>
      <c r="K17" s="125"/>
      <c r="L17" s="125"/>
      <c r="M17" s="125"/>
      <c r="N17" s="125"/>
      <c r="O17" s="125"/>
      <c r="P17" s="125"/>
      <c r="Q17" s="125"/>
      <c r="R17" s="125"/>
      <c r="S17" s="125"/>
      <c r="T17" s="125"/>
      <c r="U17" s="125"/>
      <c r="V17" s="125"/>
      <c r="W17" s="125"/>
      <c r="X17" s="115"/>
    </row>
    <row r="18" ht="24.75" customHeight="1">
      <c r="A18" s="98"/>
      <c r="B18" s="131" t="s">
        <v>33</v>
      </c>
      <c r="X18" s="98"/>
    </row>
    <row r="19" ht="56.25" customHeight="1">
      <c r="A19" s="98"/>
      <c r="B19" s="101" t="str">
        <f>IMAGE(Hats!$F$3, 3)</f>
        <v/>
      </c>
      <c r="D19" s="101"/>
      <c r="E19" s="101"/>
      <c r="F19" s="101" t="str">
        <f>IMAGE(Hats!$F$6, 3)</f>
        <v/>
      </c>
      <c r="H19" s="101"/>
      <c r="I19" s="101"/>
      <c r="J19" s="101" t="str">
        <f>IMAGE(Hats!$F$9, 3)</f>
        <v/>
      </c>
      <c r="L19" s="101"/>
      <c r="M19" s="101"/>
      <c r="N19" s="101" t="str">
        <f>image(Hats!$F$10, 3)</f>
        <v/>
      </c>
      <c r="P19" s="101"/>
      <c r="Q19" s="101"/>
      <c r="R19" s="101" t="str">
        <f>IMAGE(Hats!$F$11, 3)</f>
        <v/>
      </c>
      <c r="T19" s="101"/>
      <c r="U19" s="101"/>
      <c r="V19" s="101" t="str">
        <f>IMAGE(Hats!$F$12, 3)</f>
        <v/>
      </c>
      <c r="X19" s="98"/>
    </row>
    <row r="20">
      <c r="A20" s="98"/>
      <c r="B20" s="129" t="str">
        <f>Hats!$C$3</f>
        <v>AA02</v>
      </c>
      <c r="C20" s="129">
        <v>1.0</v>
      </c>
      <c r="D20" s="129"/>
      <c r="E20" s="129"/>
      <c r="F20" s="129" t="str">
        <f>Hats!$C$6</f>
        <v>AB01</v>
      </c>
      <c r="G20" s="129">
        <v>1.0</v>
      </c>
      <c r="H20" s="101"/>
      <c r="I20" s="101"/>
      <c r="J20" s="129" t="str">
        <f>Hats!$C$9</f>
        <v>AB04</v>
      </c>
      <c r="K20" s="129">
        <v>1.0</v>
      </c>
      <c r="L20" s="101"/>
      <c r="M20" s="101"/>
      <c r="N20" s="129" t="str">
        <f>Hats!$C$10</f>
        <v>AB05</v>
      </c>
      <c r="O20" s="129">
        <v>1.0</v>
      </c>
      <c r="P20" s="101"/>
      <c r="Q20" s="101"/>
      <c r="R20" s="129" t="str">
        <f>Hats!$C$11</f>
        <v>AB06</v>
      </c>
      <c r="S20" s="129">
        <v>1.0</v>
      </c>
      <c r="T20" s="101"/>
      <c r="U20" s="101"/>
      <c r="V20" s="129" t="str">
        <f>Hats!$C$12</f>
        <v>AB07</v>
      </c>
      <c r="W20" s="129">
        <v>2.0</v>
      </c>
      <c r="X20" s="98"/>
    </row>
    <row r="21">
      <c r="A21" s="98"/>
      <c r="B21" s="98"/>
      <c r="C21" s="98"/>
      <c r="D21" s="98"/>
      <c r="E21" s="98"/>
      <c r="F21" s="98"/>
      <c r="G21" s="98"/>
      <c r="H21" s="98"/>
      <c r="I21" s="98"/>
      <c r="J21" s="98"/>
      <c r="K21" s="98"/>
      <c r="L21" s="98"/>
      <c r="M21" s="98"/>
      <c r="N21" s="98"/>
      <c r="O21" s="98"/>
      <c r="P21" s="98"/>
      <c r="Q21" s="98"/>
      <c r="R21" s="98"/>
      <c r="S21" s="98"/>
      <c r="T21" s="98"/>
      <c r="U21" s="98"/>
      <c r="V21" s="98"/>
      <c r="W21" s="98"/>
      <c r="X21" s="98"/>
    </row>
    <row r="22" ht="56.25" customHeight="1">
      <c r="A22" s="98"/>
      <c r="B22" s="101" t="str">
        <f>IMAGE(Hats!$F$13, 3)</f>
        <v/>
      </c>
      <c r="D22" s="101"/>
      <c r="E22" s="101"/>
      <c r="F22" s="101"/>
      <c r="H22" s="101"/>
      <c r="I22" s="101"/>
      <c r="J22" s="101"/>
      <c r="L22" s="101"/>
      <c r="M22" s="101"/>
      <c r="N22" s="101"/>
      <c r="P22" s="101"/>
      <c r="Q22" s="101"/>
      <c r="R22" s="101"/>
      <c r="T22" s="101"/>
      <c r="U22" s="101"/>
      <c r="V22" s="101"/>
      <c r="X22" s="98"/>
    </row>
    <row r="23">
      <c r="A23" s="98"/>
      <c r="B23" s="129" t="str">
        <f>Hats!$C$13</f>
        <v>AB08</v>
      </c>
      <c r="C23" s="129">
        <v>1.0</v>
      </c>
      <c r="D23" s="101"/>
      <c r="E23" s="101"/>
      <c r="F23" s="129"/>
      <c r="G23" s="129"/>
      <c r="H23" s="101"/>
      <c r="I23" s="101"/>
      <c r="J23" s="129"/>
      <c r="K23" s="129"/>
      <c r="L23" s="101"/>
      <c r="M23" s="101"/>
      <c r="N23" s="129"/>
      <c r="O23" s="129"/>
      <c r="P23" s="129"/>
      <c r="Q23" s="129"/>
      <c r="R23" s="129"/>
      <c r="S23" s="129"/>
      <c r="T23" s="129"/>
      <c r="U23" s="129"/>
      <c r="V23" s="129"/>
      <c r="W23" s="129"/>
      <c r="X23" s="98"/>
    </row>
    <row r="24">
      <c r="A24" s="98"/>
      <c r="B24" s="98"/>
      <c r="C24" s="98"/>
      <c r="D24" s="98"/>
      <c r="E24" s="98"/>
      <c r="F24" s="98"/>
      <c r="G24" s="98"/>
      <c r="H24" s="98"/>
      <c r="I24" s="98"/>
      <c r="J24" s="98"/>
      <c r="K24" s="98"/>
      <c r="L24" s="98"/>
      <c r="M24" s="98"/>
      <c r="N24" s="98"/>
      <c r="O24" s="98"/>
      <c r="P24" s="98"/>
      <c r="Q24" s="98"/>
      <c r="R24" s="98"/>
      <c r="S24" s="98"/>
      <c r="T24" s="98"/>
      <c r="U24" s="98"/>
      <c r="V24" s="98"/>
      <c r="W24" s="98"/>
      <c r="X24" s="98"/>
    </row>
    <row r="25" ht="56.25" customHeight="1">
      <c r="A25" s="98"/>
      <c r="B25" s="101" t="str">
        <f>IMAGE(Hats!$F$19, 3)</f>
        <v/>
      </c>
      <c r="D25" s="101"/>
      <c r="E25" s="101"/>
      <c r="F25" s="101" t="str">
        <f>IMAGE(Hats!$F$20, 3)</f>
        <v/>
      </c>
      <c r="H25" s="101"/>
      <c r="I25" s="101"/>
      <c r="J25" s="101" t="str">
        <f>IMAGE(Hats!$F$23, 3)</f>
        <v/>
      </c>
      <c r="L25" s="101"/>
      <c r="M25" s="101"/>
      <c r="N25" s="101" t="str">
        <f>IMAGE(Hats!$F$24, 3)</f>
        <v/>
      </c>
      <c r="P25" s="101"/>
      <c r="Q25" s="101"/>
      <c r="R25" s="101" t="str">
        <f>IMAGE(Hats!$F$25, 3)</f>
        <v/>
      </c>
      <c r="T25" s="101"/>
      <c r="U25" s="101"/>
      <c r="V25" s="101" t="str">
        <f>IMAGE(Hats!$F$26, 3)</f>
        <v/>
      </c>
      <c r="X25" s="98"/>
    </row>
    <row r="26">
      <c r="A26" s="98"/>
      <c r="B26" s="129" t="str">
        <f>Hats!$C$19</f>
        <v>AC02</v>
      </c>
      <c r="C26" s="129">
        <v>1.0</v>
      </c>
      <c r="D26" s="129"/>
      <c r="E26" s="129"/>
      <c r="F26" s="129" t="str">
        <f>Hats!$C$20</f>
        <v>AC03</v>
      </c>
      <c r="G26" s="129">
        <v>1.0</v>
      </c>
      <c r="H26" s="129"/>
      <c r="I26" s="129"/>
      <c r="J26" s="129" t="str">
        <f>Hats!$C$23</f>
        <v>AC06</v>
      </c>
      <c r="K26" s="129">
        <v>1.0</v>
      </c>
      <c r="L26" s="129"/>
      <c r="M26" s="129"/>
      <c r="N26" s="129" t="str">
        <f>Hats!$C$24</f>
        <v>AC07</v>
      </c>
      <c r="O26" s="129">
        <v>1.0</v>
      </c>
      <c r="P26" s="129"/>
      <c r="Q26" s="129"/>
      <c r="R26" s="129" t="str">
        <f>Hats!$C$25</f>
        <v>AC08</v>
      </c>
      <c r="S26" s="129">
        <v>1.0</v>
      </c>
      <c r="T26" s="129"/>
      <c r="U26" s="129"/>
      <c r="V26" s="129" t="str">
        <f>Hats!$C$26</f>
        <v>AC09</v>
      </c>
      <c r="W26" s="129">
        <v>1.0</v>
      </c>
      <c r="X26" s="98"/>
    </row>
    <row r="27">
      <c r="A27" s="98"/>
      <c r="B27" s="98"/>
      <c r="C27" s="98"/>
      <c r="D27" s="98"/>
      <c r="E27" s="98"/>
      <c r="F27" s="98"/>
      <c r="G27" s="98"/>
      <c r="H27" s="98"/>
      <c r="I27" s="98"/>
      <c r="J27" s="98"/>
      <c r="K27" s="98"/>
      <c r="L27" s="98"/>
      <c r="M27" s="98"/>
      <c r="N27" s="98"/>
      <c r="O27" s="98"/>
      <c r="P27" s="98"/>
      <c r="Q27" s="98"/>
      <c r="R27" s="98"/>
      <c r="S27" s="98"/>
      <c r="T27" s="98"/>
      <c r="U27" s="98"/>
      <c r="V27" s="98"/>
      <c r="W27" s="98"/>
      <c r="X27" s="98"/>
    </row>
    <row r="28" ht="56.25" customHeight="1">
      <c r="A28" s="98"/>
      <c r="B28" s="101" t="str">
        <f>IMAGE(Hats!$F$27, 3)</f>
        <v/>
      </c>
      <c r="D28" s="101"/>
      <c r="E28" s="101"/>
      <c r="F28" s="101" t="str">
        <f>IMAGE(Hats!$F$28, 3)</f>
        <v/>
      </c>
      <c r="H28" s="101"/>
      <c r="I28" s="101"/>
      <c r="J28" s="101" t="str">
        <f>IMAGE(Hats!$F$29, 3)</f>
        <v/>
      </c>
      <c r="L28" s="101"/>
      <c r="M28" s="101"/>
      <c r="N28" s="101" t="str">
        <f>IMAGE(Hats!$F$30, 3)</f>
        <v/>
      </c>
      <c r="P28" s="101"/>
      <c r="Q28" s="101"/>
      <c r="R28" s="101" t="str">
        <f>IMAGE(Hats!$F$31, 3)</f>
        <v/>
      </c>
      <c r="T28" s="101"/>
      <c r="U28" s="101"/>
      <c r="V28" s="101" t="str">
        <f>IMAGE(Hats!$F$36, 3)</f>
        <v/>
      </c>
      <c r="X28" s="98"/>
    </row>
    <row r="29">
      <c r="A29" s="98"/>
      <c r="B29" s="129" t="str">
        <f>Hats!$C$27</f>
        <v>AC10</v>
      </c>
      <c r="C29" s="129">
        <v>2.0</v>
      </c>
      <c r="D29" s="101"/>
      <c r="E29" s="101"/>
      <c r="F29" s="129" t="str">
        <f>Hats!$C$28</f>
        <v>AC11</v>
      </c>
      <c r="G29" s="129">
        <v>1.0</v>
      </c>
      <c r="H29" s="101"/>
      <c r="I29" s="101"/>
      <c r="J29" s="129" t="str">
        <f>Hats!$C$29</f>
        <v>AC12</v>
      </c>
      <c r="K29" s="129">
        <v>2.0</v>
      </c>
      <c r="L29" s="101"/>
      <c r="M29" s="101"/>
      <c r="N29" s="129" t="str">
        <f>Hats!$C$30</f>
        <v>AC13</v>
      </c>
      <c r="O29" s="129">
        <v>1.0</v>
      </c>
      <c r="P29" s="101"/>
      <c r="Q29" s="101"/>
      <c r="R29" s="129" t="str">
        <f>Hats!$C$31</f>
        <v>AC14</v>
      </c>
      <c r="S29" s="129">
        <v>1.0</v>
      </c>
      <c r="T29" s="129"/>
      <c r="U29" s="129"/>
      <c r="V29" s="129" t="str">
        <f>Hats!$C$36</f>
        <v>AC19</v>
      </c>
      <c r="W29" s="129">
        <v>1.0</v>
      </c>
      <c r="X29" s="98"/>
    </row>
    <row r="30">
      <c r="A30" s="98"/>
      <c r="B30" s="98"/>
      <c r="C30" s="98"/>
      <c r="D30" s="98"/>
      <c r="E30" s="98"/>
      <c r="F30" s="98"/>
      <c r="G30" s="98"/>
      <c r="H30" s="98"/>
      <c r="I30" s="98"/>
      <c r="J30" s="98"/>
      <c r="K30" s="98"/>
      <c r="L30" s="98"/>
      <c r="M30" s="98"/>
      <c r="N30" s="98"/>
      <c r="O30" s="98"/>
      <c r="P30" s="98"/>
      <c r="Q30" s="98"/>
      <c r="R30" s="98"/>
      <c r="S30" s="98"/>
      <c r="T30" s="98"/>
      <c r="U30" s="98"/>
      <c r="V30" s="98"/>
      <c r="W30" s="98"/>
      <c r="X30" s="98"/>
    </row>
    <row r="31" ht="56.25" customHeight="1">
      <c r="A31" s="98"/>
      <c r="B31" s="101" t="str">
        <f>IMAGE(Hats!$F$38, 3)</f>
        <v/>
      </c>
      <c r="D31" s="101"/>
      <c r="E31" s="101"/>
      <c r="F31" s="101" t="str">
        <f>IMAGE(Hats!$F$39, 3)</f>
        <v/>
      </c>
      <c r="H31" s="101"/>
      <c r="I31" s="101"/>
      <c r="J31" s="101"/>
      <c r="L31" s="101"/>
      <c r="M31" s="101"/>
      <c r="N31" s="101"/>
      <c r="P31" s="101"/>
      <c r="Q31" s="101"/>
      <c r="R31" s="101"/>
      <c r="T31" s="101"/>
      <c r="U31" s="101"/>
      <c r="V31" s="101"/>
      <c r="X31" s="98"/>
    </row>
    <row r="32">
      <c r="A32" s="98"/>
      <c r="B32" s="129" t="str">
        <f>Hats!$C$38</f>
        <v>AD01</v>
      </c>
      <c r="C32" s="129">
        <v>1.0</v>
      </c>
      <c r="D32" s="101"/>
      <c r="E32" s="101"/>
      <c r="F32" s="129" t="str">
        <f>Hats!$C$39</f>
        <v>AD02</v>
      </c>
      <c r="G32" s="129">
        <v>1.0</v>
      </c>
      <c r="H32" s="129"/>
      <c r="I32" s="129"/>
      <c r="J32" s="129"/>
      <c r="K32" s="129"/>
      <c r="L32" s="101"/>
      <c r="M32" s="101"/>
      <c r="N32" s="129"/>
      <c r="O32" s="129"/>
      <c r="P32" s="101"/>
      <c r="Q32" s="101"/>
      <c r="R32" s="129"/>
      <c r="S32" s="129"/>
      <c r="T32" s="129"/>
      <c r="U32" s="129"/>
      <c r="V32" s="129"/>
      <c r="W32" s="129"/>
      <c r="X32" s="98"/>
    </row>
    <row r="33">
      <c r="A33" s="98"/>
      <c r="B33" s="98"/>
      <c r="C33" s="98"/>
      <c r="D33" s="98"/>
      <c r="E33" s="98"/>
      <c r="F33" s="98"/>
      <c r="G33" s="98"/>
      <c r="H33" s="98"/>
      <c r="I33" s="98"/>
      <c r="J33" s="98"/>
      <c r="K33" s="98"/>
      <c r="L33" s="98"/>
      <c r="M33" s="98"/>
      <c r="N33" s="98"/>
      <c r="O33" s="98"/>
      <c r="P33" s="98"/>
      <c r="Q33" s="98"/>
      <c r="R33" s="98"/>
      <c r="S33" s="98"/>
      <c r="T33" s="98"/>
      <c r="U33" s="98"/>
      <c r="V33" s="98"/>
      <c r="W33" s="98"/>
      <c r="X33" s="98"/>
    </row>
  </sheetData>
  <mergeCells count="59">
    <mergeCell ref="F19:G19"/>
    <mergeCell ref="J19:K19"/>
    <mergeCell ref="F22:G22"/>
    <mergeCell ref="J22:K22"/>
    <mergeCell ref="N22:O22"/>
    <mergeCell ref="R22:S22"/>
    <mergeCell ref="V22:W22"/>
    <mergeCell ref="B22:C22"/>
    <mergeCell ref="B25:C25"/>
    <mergeCell ref="F25:G25"/>
    <mergeCell ref="J25:K25"/>
    <mergeCell ref="N25:O25"/>
    <mergeCell ref="R25:S25"/>
    <mergeCell ref="V25:W25"/>
    <mergeCell ref="N31:O31"/>
    <mergeCell ref="R31:S31"/>
    <mergeCell ref="B28:C28"/>
    <mergeCell ref="F28:G28"/>
    <mergeCell ref="J28:K28"/>
    <mergeCell ref="N28:O28"/>
    <mergeCell ref="R28:S28"/>
    <mergeCell ref="V28:W28"/>
    <mergeCell ref="B31:C31"/>
    <mergeCell ref="V31:W31"/>
    <mergeCell ref="B2:W2"/>
    <mergeCell ref="J3:K3"/>
    <mergeCell ref="N3:O3"/>
    <mergeCell ref="J5:O5"/>
    <mergeCell ref="J6:O6"/>
    <mergeCell ref="J7:L7"/>
    <mergeCell ref="M7:O7"/>
    <mergeCell ref="F10:G10"/>
    <mergeCell ref="F11:G11"/>
    <mergeCell ref="B9:W9"/>
    <mergeCell ref="B10:C10"/>
    <mergeCell ref="J10:K10"/>
    <mergeCell ref="N10:O10"/>
    <mergeCell ref="R10:S10"/>
    <mergeCell ref="V10:W10"/>
    <mergeCell ref="B11:C11"/>
    <mergeCell ref="J11:K11"/>
    <mergeCell ref="B14:W14"/>
    <mergeCell ref="F15:G15"/>
    <mergeCell ref="J15:K15"/>
    <mergeCell ref="N15:O15"/>
    <mergeCell ref="R15:S15"/>
    <mergeCell ref="V15:W15"/>
    <mergeCell ref="N19:O19"/>
    <mergeCell ref="R19:S19"/>
    <mergeCell ref="B15:C15"/>
    <mergeCell ref="B16:C16"/>
    <mergeCell ref="F16:G16"/>
    <mergeCell ref="J16:K16"/>
    <mergeCell ref="N16:O16"/>
    <mergeCell ref="B18:W18"/>
    <mergeCell ref="B19:C19"/>
    <mergeCell ref="V19:W19"/>
    <mergeCell ref="F31:G31"/>
    <mergeCell ref="J31:K3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7257"/>
    <outlinePr summaryBelow="0" summaryRight="0"/>
  </sheetPr>
  <sheetViews>
    <sheetView showGridLines="0" workbookViewId="0"/>
  </sheetViews>
  <sheetFormatPr customHeight="1" defaultColWidth="12.63" defaultRowHeight="15.75" outlineLevelRow="1"/>
  <cols>
    <col customWidth="1" min="2" max="2" width="5.13"/>
    <col customWidth="1" min="3" max="3" width="3.88"/>
    <col customWidth="1" min="4" max="5" width="1.38"/>
    <col customWidth="1" min="6" max="6" width="5.13"/>
    <col customWidth="1" min="7" max="7" width="3.88"/>
    <col customWidth="1" min="8" max="9" width="1.38"/>
    <col customWidth="1" min="10" max="10" width="5.13"/>
    <col customWidth="1" min="11" max="11" width="3.88"/>
    <col customWidth="1" min="12" max="13" width="1.38"/>
    <col customWidth="1" min="14" max="14" width="5.13"/>
    <col customWidth="1" min="15" max="15" width="3.88"/>
    <col customWidth="1" min="16" max="17" width="1.38"/>
    <col customWidth="1" min="18" max="18" width="5.13"/>
    <col customWidth="1" min="19" max="19" width="3.88"/>
    <col customWidth="1" min="20" max="21" width="1.38"/>
    <col customWidth="1" min="22" max="22" width="5.13"/>
    <col customWidth="1" min="23" max="23" width="3.88"/>
  </cols>
  <sheetData>
    <row r="1">
      <c r="A1" s="98"/>
      <c r="B1" s="98"/>
      <c r="C1" s="98"/>
      <c r="D1" s="98"/>
      <c r="E1" s="98"/>
      <c r="F1" s="98"/>
      <c r="G1" s="98"/>
      <c r="H1" s="98"/>
      <c r="I1" s="98"/>
      <c r="J1" s="98"/>
      <c r="K1" s="98"/>
      <c r="L1" s="98"/>
      <c r="M1" s="98"/>
      <c r="N1" s="98"/>
      <c r="O1" s="98"/>
      <c r="P1" s="98"/>
      <c r="Q1" s="98"/>
      <c r="R1" s="98"/>
      <c r="S1" s="98"/>
      <c r="T1" s="98"/>
      <c r="U1" s="98"/>
      <c r="V1" s="98"/>
      <c r="W1" s="98"/>
      <c r="X1" s="98"/>
    </row>
    <row r="2">
      <c r="A2" s="98"/>
      <c r="B2" s="100" t="s">
        <v>41</v>
      </c>
      <c r="X2" s="98"/>
    </row>
    <row r="3">
      <c r="A3" s="98"/>
      <c r="B3" s="98"/>
      <c r="C3" s="101"/>
      <c r="D3" s="102"/>
      <c r="E3" s="102"/>
      <c r="F3" s="101"/>
      <c r="G3" s="101"/>
      <c r="H3" s="102"/>
      <c r="I3" s="102"/>
      <c r="J3" s="103" t="s">
        <v>27</v>
      </c>
      <c r="L3" s="103"/>
      <c r="M3" s="103"/>
      <c r="N3" s="104">
        <f>IFERROR(__xludf.DUMMYFUNCTION("SUM(IFERROR(QUERY(Records!$A:$F, CONCATENATE(""select F where B contains '"", $B2, ""'""), 0))) - SUM(IFERROR(QUERY(Records!$A:$F, CONCATENATE(""select G where B contains '"", $B2, ""'""), 0)))"),26.0)</f>
        <v>26</v>
      </c>
      <c r="P3" s="102"/>
      <c r="Q3" s="102"/>
      <c r="R3" s="101"/>
      <c r="S3" s="101"/>
      <c r="T3" s="102"/>
      <c r="U3" s="102"/>
      <c r="V3" s="101"/>
      <c r="W3" s="101"/>
      <c r="X3" s="98"/>
    </row>
    <row r="4" ht="23.25" customHeight="1">
      <c r="A4" s="98"/>
      <c r="B4" s="101"/>
      <c r="C4" s="101"/>
      <c r="D4" s="101"/>
      <c r="E4" s="101"/>
      <c r="F4" s="101"/>
      <c r="G4" s="101"/>
      <c r="H4" s="101"/>
      <c r="I4" s="101"/>
      <c r="J4" s="101"/>
      <c r="K4" s="101"/>
      <c r="L4" s="101"/>
      <c r="M4" s="101"/>
      <c r="N4" s="101"/>
      <c r="O4" s="101"/>
      <c r="P4" s="101"/>
      <c r="Q4" s="101"/>
      <c r="R4" s="101"/>
      <c r="S4" s="101"/>
      <c r="T4" s="101"/>
      <c r="U4" s="101"/>
      <c r="V4" s="101"/>
      <c r="W4" s="101"/>
      <c r="X4" s="98"/>
    </row>
    <row r="5" ht="112.5" customHeight="1">
      <c r="A5" s="98"/>
      <c r="B5" s="101"/>
      <c r="C5" s="101"/>
      <c r="D5" s="101"/>
      <c r="E5" s="101"/>
      <c r="F5" s="101"/>
      <c r="G5" s="101"/>
      <c r="H5" s="101"/>
      <c r="I5" s="101"/>
      <c r="J5" s="105" t="str">
        <f>IMAGE("https://i.postimg.cc/ZKKVdTcQ/silvanon-big.png", 3)</f>
        <v/>
      </c>
      <c r="K5" s="106"/>
      <c r="L5" s="106"/>
      <c r="M5" s="106"/>
      <c r="N5" s="106"/>
      <c r="O5" s="107"/>
      <c r="P5" s="101"/>
      <c r="Q5" s="101"/>
      <c r="R5" s="101"/>
      <c r="S5" s="101"/>
      <c r="T5" s="101"/>
      <c r="U5" s="101"/>
      <c r="V5" s="101"/>
      <c r="W5" s="101"/>
      <c r="X5" s="98"/>
    </row>
    <row r="6" ht="18.0" customHeight="1">
      <c r="A6" s="98"/>
      <c r="B6" s="101"/>
      <c r="C6" s="101"/>
      <c r="D6" s="101"/>
      <c r="E6" s="101"/>
      <c r="F6" s="101"/>
      <c r="G6" s="101"/>
      <c r="H6" s="101"/>
      <c r="I6" s="101"/>
      <c r="J6" s="108" t="s">
        <v>42</v>
      </c>
      <c r="O6" s="109"/>
      <c r="P6" s="101"/>
      <c r="Q6" s="101"/>
      <c r="R6" s="101"/>
      <c r="S6" s="101"/>
      <c r="T6" s="101"/>
      <c r="U6" s="101"/>
      <c r="V6" s="101"/>
      <c r="W6" s="101"/>
      <c r="X6" s="98"/>
    </row>
    <row r="7" ht="27.0" customHeight="1">
      <c r="A7" s="98"/>
      <c r="B7" s="101"/>
      <c r="C7" s="101"/>
      <c r="D7" s="101"/>
      <c r="E7" s="101"/>
      <c r="F7" s="101"/>
      <c r="G7" s="101"/>
      <c r="H7" s="101"/>
      <c r="I7" s="101"/>
      <c r="J7" s="110" t="str">
        <f>IMAGE(Cats!$F$4, 3)</f>
        <v/>
      </c>
      <c r="K7" s="111"/>
      <c r="L7" s="111"/>
      <c r="M7" s="113" t="str">
        <f>IMAGE(Hats!$G$5, 3)</f>
        <v/>
      </c>
      <c r="N7" s="111"/>
      <c r="O7" s="114"/>
      <c r="P7" s="101"/>
      <c r="Q7" s="101"/>
      <c r="R7" s="101"/>
      <c r="S7" s="101"/>
      <c r="T7" s="101"/>
      <c r="U7" s="101"/>
      <c r="V7" s="101"/>
      <c r="W7" s="101"/>
      <c r="X7" s="98"/>
    </row>
    <row r="8" ht="25.5" customHeight="1">
      <c r="A8" s="98"/>
      <c r="B8" s="101"/>
      <c r="C8" s="101"/>
      <c r="D8" s="101"/>
      <c r="E8" s="101"/>
      <c r="F8" s="101"/>
      <c r="G8" s="101"/>
      <c r="H8" s="101"/>
      <c r="I8" s="101"/>
      <c r="J8" s="101"/>
      <c r="K8" s="101"/>
      <c r="L8" s="101"/>
      <c r="M8" s="101"/>
      <c r="N8" s="101"/>
      <c r="O8" s="101"/>
      <c r="P8" s="101"/>
      <c r="Q8" s="101"/>
      <c r="R8" s="101"/>
      <c r="S8" s="101"/>
      <c r="T8" s="101"/>
      <c r="U8" s="101"/>
      <c r="V8" s="101"/>
      <c r="W8" s="101"/>
      <c r="X8" s="98"/>
    </row>
    <row r="9" ht="24.75" customHeight="1">
      <c r="A9" s="115"/>
      <c r="B9" s="117" t="s">
        <v>32</v>
      </c>
      <c r="X9" s="115"/>
    </row>
    <row r="10" ht="56.25" customHeight="1" outlineLevel="1">
      <c r="A10" s="98"/>
      <c r="B10" s="101" t="str">
        <f>IMAGE(Cats!$E$4, 3)</f>
        <v/>
      </c>
      <c r="D10" s="101"/>
      <c r="E10" s="101"/>
      <c r="F10" s="101"/>
      <c r="H10" s="101"/>
      <c r="I10" s="101"/>
      <c r="J10" s="101"/>
      <c r="L10" s="101"/>
      <c r="M10" s="101"/>
      <c r="N10" s="101"/>
      <c r="P10" s="101"/>
      <c r="Q10" s="101"/>
      <c r="R10" s="101"/>
      <c r="T10" s="101"/>
      <c r="U10" s="101"/>
      <c r="V10" s="101"/>
      <c r="X10" s="98"/>
    </row>
    <row r="11" ht="17.25" customHeight="1">
      <c r="A11" s="115"/>
      <c r="B11" s="125"/>
      <c r="C11" s="125"/>
      <c r="D11" s="125"/>
      <c r="E11" s="125"/>
      <c r="F11" s="125"/>
      <c r="G11" s="125"/>
      <c r="H11" s="125"/>
      <c r="I11" s="125"/>
      <c r="J11" s="125"/>
      <c r="K11" s="125"/>
      <c r="L11" s="125"/>
      <c r="M11" s="125"/>
      <c r="N11" s="125"/>
      <c r="O11" s="125"/>
      <c r="P11" s="125"/>
      <c r="Q11" s="125"/>
      <c r="R11" s="125"/>
      <c r="S11" s="125"/>
      <c r="T11" s="125"/>
      <c r="U11" s="125"/>
      <c r="V11" s="125"/>
      <c r="W11" s="125"/>
      <c r="X11" s="115"/>
    </row>
    <row r="12" ht="24.75" customHeight="1">
      <c r="A12" s="98"/>
      <c r="B12" s="131" t="s">
        <v>33</v>
      </c>
      <c r="X12" s="98"/>
    </row>
    <row r="13" ht="56.25" customHeight="1">
      <c r="A13" s="98"/>
      <c r="B13" s="101" t="str">
        <f>IMAGE(Hats!$F$5, 3)</f>
        <v/>
      </c>
      <c r="D13" s="101"/>
      <c r="E13" s="101"/>
      <c r="F13" s="101" t="str">
        <f>IMAGE(Hats!$F$9, 3)</f>
        <v/>
      </c>
      <c r="H13" s="101"/>
      <c r="I13" s="101"/>
      <c r="J13" s="101" t="str">
        <f>image(Hats!$F$10, 3)</f>
        <v/>
      </c>
      <c r="L13" s="101"/>
      <c r="M13" s="101"/>
      <c r="N13" s="101" t="str">
        <f>IMAGE(Hats!$F$11, 3)</f>
        <v/>
      </c>
      <c r="P13" s="101"/>
      <c r="Q13" s="101"/>
      <c r="R13" s="101" t="str">
        <f>IMAGE(Hats!$F$17, 3)</f>
        <v/>
      </c>
      <c r="T13" s="101"/>
      <c r="U13" s="101"/>
      <c r="V13" s="101"/>
      <c r="X13" s="98"/>
    </row>
    <row r="14">
      <c r="A14" s="98"/>
      <c r="B14" s="129" t="str">
        <f>Hats!$C$5</f>
        <v>AA04</v>
      </c>
      <c r="C14" s="129">
        <v>1.0</v>
      </c>
      <c r="D14" s="129"/>
      <c r="E14" s="129"/>
      <c r="F14" s="129" t="str">
        <f>Hats!$C$9</f>
        <v>AB04</v>
      </c>
      <c r="G14" s="129">
        <v>1.0</v>
      </c>
      <c r="H14" s="101"/>
      <c r="I14" s="101"/>
      <c r="J14" s="129" t="str">
        <f>Hats!$C$10</f>
        <v>AB05</v>
      </c>
      <c r="K14" s="129">
        <v>1.0</v>
      </c>
      <c r="L14" s="101"/>
      <c r="M14" s="101"/>
      <c r="N14" s="129" t="str">
        <f>Hats!$C$11</f>
        <v>AB06</v>
      </c>
      <c r="O14" s="129">
        <v>1.0</v>
      </c>
      <c r="P14" s="101"/>
      <c r="Q14" s="101"/>
      <c r="R14" s="129" t="str">
        <f>Hats!$C$17</f>
        <v>AB12</v>
      </c>
      <c r="S14" s="129">
        <v>1.0</v>
      </c>
      <c r="T14" s="101"/>
      <c r="U14" s="101"/>
      <c r="V14" s="129"/>
      <c r="W14" s="129"/>
      <c r="X14" s="98"/>
    </row>
    <row r="15">
      <c r="A15" s="98"/>
      <c r="B15" s="98"/>
      <c r="C15" s="98"/>
      <c r="D15" s="98"/>
      <c r="E15" s="98"/>
      <c r="F15" s="98"/>
      <c r="G15" s="98"/>
      <c r="H15" s="98"/>
      <c r="I15" s="98"/>
      <c r="J15" s="98"/>
      <c r="K15" s="98"/>
      <c r="L15" s="98"/>
      <c r="M15" s="98"/>
      <c r="N15" s="98"/>
      <c r="O15" s="98"/>
      <c r="P15" s="98"/>
      <c r="Q15" s="98"/>
      <c r="R15" s="98"/>
      <c r="S15" s="98"/>
      <c r="T15" s="98"/>
      <c r="U15" s="98"/>
      <c r="V15" s="98"/>
      <c r="W15" s="98"/>
      <c r="X15" s="98"/>
    </row>
    <row r="16" ht="56.25" customHeight="1">
      <c r="A16" s="98"/>
      <c r="B16" s="101" t="str">
        <f>image(Hats!$F$18, 3)</f>
        <v/>
      </c>
      <c r="D16" s="101"/>
      <c r="E16" s="101"/>
      <c r="F16" s="101" t="str">
        <f>IMAGE(Hats!$F$29, 3)</f>
        <v/>
      </c>
      <c r="H16" s="101"/>
      <c r="I16" s="101"/>
      <c r="J16" s="101" t="str">
        <f>IMAGE(Hats!$F$32, 3)</f>
        <v/>
      </c>
      <c r="L16" s="101"/>
      <c r="M16" s="101"/>
      <c r="N16" s="101"/>
      <c r="P16" s="101"/>
      <c r="Q16" s="101"/>
      <c r="R16" s="101"/>
      <c r="T16" s="101"/>
      <c r="U16" s="101"/>
      <c r="V16" s="101"/>
      <c r="X16" s="98"/>
    </row>
    <row r="17">
      <c r="A17" s="98"/>
      <c r="B17" s="129" t="str">
        <f>Hats!$C$18</f>
        <v>AC01</v>
      </c>
      <c r="C17" s="129">
        <v>1.0</v>
      </c>
      <c r="D17" s="101"/>
      <c r="E17" s="101"/>
      <c r="F17" s="129" t="str">
        <f>Hats!$C$29</f>
        <v>AC12</v>
      </c>
      <c r="G17" s="129">
        <v>1.0</v>
      </c>
      <c r="H17" s="101"/>
      <c r="I17" s="101"/>
      <c r="J17" s="129" t="str">
        <f>Hats!$C$32</f>
        <v>AC15</v>
      </c>
      <c r="K17" s="129">
        <v>1.0</v>
      </c>
      <c r="L17" s="101"/>
      <c r="M17" s="101"/>
      <c r="N17" s="129"/>
      <c r="O17" s="129"/>
      <c r="P17" s="101"/>
      <c r="Q17" s="101"/>
      <c r="R17" s="129"/>
      <c r="S17" s="129"/>
      <c r="T17" s="101"/>
      <c r="U17" s="101"/>
      <c r="V17" s="129"/>
      <c r="W17" s="129"/>
      <c r="X17" s="98"/>
    </row>
    <row r="18">
      <c r="A18" s="98"/>
      <c r="B18" s="98"/>
      <c r="C18" s="98"/>
      <c r="D18" s="98"/>
      <c r="E18" s="98"/>
      <c r="F18" s="98"/>
      <c r="G18" s="98"/>
      <c r="H18" s="98"/>
      <c r="I18" s="98"/>
      <c r="J18" s="98"/>
      <c r="K18" s="98"/>
      <c r="L18" s="98"/>
      <c r="M18" s="98"/>
      <c r="N18" s="98"/>
      <c r="O18" s="98"/>
      <c r="P18" s="98"/>
      <c r="Q18" s="98"/>
      <c r="R18" s="98"/>
      <c r="S18" s="98"/>
      <c r="T18" s="98"/>
      <c r="U18" s="98"/>
      <c r="V18" s="98"/>
      <c r="W18" s="98"/>
      <c r="X18" s="98"/>
    </row>
    <row r="19">
      <c r="A19" s="98"/>
      <c r="B19" s="98"/>
      <c r="C19" s="98"/>
      <c r="D19" s="98"/>
      <c r="E19" s="98"/>
      <c r="F19" s="98"/>
      <c r="G19" s="98"/>
      <c r="H19" s="98"/>
      <c r="I19" s="98"/>
      <c r="J19" s="98"/>
      <c r="K19" s="98"/>
      <c r="L19" s="98"/>
      <c r="M19" s="98"/>
      <c r="N19" s="98"/>
      <c r="O19" s="98"/>
      <c r="P19" s="98"/>
      <c r="Q19" s="98"/>
      <c r="R19" s="98"/>
      <c r="S19" s="98"/>
      <c r="T19" s="98"/>
      <c r="U19" s="98"/>
      <c r="V19" s="98"/>
      <c r="W19" s="98"/>
      <c r="X19" s="98"/>
    </row>
  </sheetData>
  <mergeCells count="27">
    <mergeCell ref="B2:W2"/>
    <mergeCell ref="J3:K3"/>
    <mergeCell ref="N3:O3"/>
    <mergeCell ref="J5:O5"/>
    <mergeCell ref="J6:O6"/>
    <mergeCell ref="J7:L7"/>
    <mergeCell ref="M7:O7"/>
    <mergeCell ref="B9:W9"/>
    <mergeCell ref="F10:G10"/>
    <mergeCell ref="J10:K10"/>
    <mergeCell ref="N10:O10"/>
    <mergeCell ref="R10:S10"/>
    <mergeCell ref="V10:W10"/>
    <mergeCell ref="B12:W12"/>
    <mergeCell ref="B16:C16"/>
    <mergeCell ref="F16:G16"/>
    <mergeCell ref="J16:K16"/>
    <mergeCell ref="N16:O16"/>
    <mergeCell ref="R16:S16"/>
    <mergeCell ref="V16:W16"/>
    <mergeCell ref="B10:C10"/>
    <mergeCell ref="B13:C13"/>
    <mergeCell ref="F13:G13"/>
    <mergeCell ref="J13:K13"/>
    <mergeCell ref="N13:O13"/>
    <mergeCell ref="R13:S13"/>
    <mergeCell ref="V13:W1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7257"/>
    <outlinePr summaryBelow="0" summaryRight="0"/>
  </sheetPr>
  <sheetViews>
    <sheetView showGridLines="0" workbookViewId="0"/>
  </sheetViews>
  <sheetFormatPr customHeight="1" defaultColWidth="12.63" defaultRowHeight="15.75" outlineLevelRow="1"/>
  <cols>
    <col customWidth="1" min="2" max="3" width="5.13"/>
    <col customWidth="1" min="4" max="5" width="1.38"/>
    <col customWidth="1" min="6" max="7" width="5.13"/>
    <col customWidth="1" min="8" max="9" width="1.38"/>
    <col customWidth="1" min="10" max="11" width="5.13"/>
    <col customWidth="1" min="12" max="13" width="1.38"/>
    <col customWidth="1" min="14" max="15" width="5.13"/>
    <col customWidth="1" min="16" max="17" width="1.38"/>
    <col customWidth="1" min="18" max="19" width="5.13"/>
    <col customWidth="1" min="20" max="21" width="1.38"/>
    <col customWidth="1" min="22" max="23" width="5.13"/>
  </cols>
  <sheetData>
    <row r="1">
      <c r="A1" s="98"/>
      <c r="B1" s="98"/>
      <c r="C1" s="98"/>
      <c r="D1" s="98"/>
      <c r="E1" s="98"/>
      <c r="F1" s="98"/>
      <c r="G1" s="98"/>
      <c r="H1" s="98"/>
      <c r="I1" s="98"/>
      <c r="J1" s="98"/>
      <c r="K1" s="98"/>
      <c r="L1" s="98"/>
      <c r="M1" s="98"/>
      <c r="N1" s="98"/>
      <c r="O1" s="98"/>
      <c r="P1" s="98"/>
      <c r="Q1" s="98"/>
      <c r="R1" s="98"/>
      <c r="S1" s="98"/>
      <c r="T1" s="98"/>
      <c r="U1" s="98"/>
      <c r="V1" s="98"/>
      <c r="W1" s="98"/>
      <c r="X1" s="98"/>
    </row>
    <row r="2">
      <c r="A2" s="98"/>
      <c r="B2" s="100" t="s">
        <v>15</v>
      </c>
      <c r="X2" s="98"/>
    </row>
    <row r="3">
      <c r="A3" s="98"/>
      <c r="B3" s="98"/>
      <c r="C3" s="101"/>
      <c r="D3" s="102"/>
      <c r="E3" s="102"/>
      <c r="F3" s="101"/>
      <c r="G3" s="101"/>
      <c r="H3" s="102"/>
      <c r="I3" s="102"/>
      <c r="J3" s="103" t="s">
        <v>27</v>
      </c>
      <c r="L3" s="103"/>
      <c r="M3" s="103"/>
      <c r="N3" s="104">
        <f>IFERROR(__xludf.DUMMYFUNCTION("SUM(IFERROR(QUERY(Records!$A:$F, CONCATENATE(""select F where B contains '"", $B2, ""'""), 0))) - SUM(IFERROR(QUERY(Records!$A:$F, CONCATENATE(""select G where B contains '"", $B2, ""'""), 0)))"),30.0)</f>
        <v>30</v>
      </c>
      <c r="P3" s="102"/>
      <c r="Q3" s="102"/>
      <c r="R3" s="101"/>
      <c r="S3" s="101"/>
      <c r="T3" s="102"/>
      <c r="U3" s="102"/>
      <c r="V3" s="101"/>
      <c r="W3" s="101"/>
      <c r="X3" s="98"/>
    </row>
    <row r="4" ht="23.25" customHeight="1">
      <c r="A4" s="98"/>
      <c r="B4" s="101"/>
      <c r="C4" s="101"/>
      <c r="D4" s="101"/>
      <c r="E4" s="101"/>
      <c r="F4" s="101"/>
      <c r="G4" s="101"/>
      <c r="H4" s="101"/>
      <c r="I4" s="101"/>
      <c r="J4" s="101"/>
      <c r="K4" s="101"/>
      <c r="L4" s="101"/>
      <c r="M4" s="101"/>
      <c r="N4" s="101"/>
      <c r="O4" s="101"/>
      <c r="P4" s="101"/>
      <c r="Q4" s="101"/>
      <c r="R4" s="101"/>
      <c r="S4" s="101"/>
      <c r="T4" s="101"/>
      <c r="U4" s="101"/>
      <c r="V4" s="101"/>
      <c r="W4" s="101"/>
      <c r="X4" s="98"/>
    </row>
    <row r="5" ht="112.5" customHeight="1">
      <c r="A5" s="98"/>
      <c r="B5" s="101"/>
      <c r="C5" s="101"/>
      <c r="D5" s="101"/>
      <c r="E5" s="101"/>
      <c r="F5" s="101"/>
      <c r="G5" s="101"/>
      <c r="H5" s="101"/>
      <c r="I5" s="101"/>
      <c r="J5" s="105" t="str">
        <f>IMAGE("https://i.postimg.cc/kMsh0XD9/springacres-big.png", 3)</f>
        <v/>
      </c>
      <c r="K5" s="106"/>
      <c r="L5" s="106"/>
      <c r="M5" s="106"/>
      <c r="N5" s="106"/>
      <c r="O5" s="107"/>
      <c r="P5" s="101"/>
      <c r="Q5" s="101"/>
      <c r="R5" s="101"/>
      <c r="S5" s="101"/>
      <c r="T5" s="101"/>
      <c r="U5" s="101"/>
      <c r="V5" s="101"/>
      <c r="W5" s="101"/>
      <c r="X5" s="98"/>
    </row>
    <row r="6" ht="18.0" customHeight="1">
      <c r="A6" s="98"/>
      <c r="B6" s="101"/>
      <c r="C6" s="101"/>
      <c r="D6" s="101"/>
      <c r="E6" s="101"/>
      <c r="F6" s="101"/>
      <c r="G6" s="101"/>
      <c r="H6" s="101"/>
      <c r="I6" s="101"/>
      <c r="J6" s="108" t="s">
        <v>44</v>
      </c>
      <c r="O6" s="109"/>
      <c r="P6" s="101"/>
      <c r="Q6" s="101"/>
      <c r="R6" s="101"/>
      <c r="S6" s="101"/>
      <c r="T6" s="101"/>
      <c r="U6" s="101"/>
      <c r="V6" s="101"/>
      <c r="W6" s="101"/>
      <c r="X6" s="98"/>
    </row>
    <row r="7" ht="27.0" customHeight="1">
      <c r="A7" s="98"/>
      <c r="B7" s="101"/>
      <c r="C7" s="101"/>
      <c r="D7" s="101"/>
      <c r="E7" s="101"/>
      <c r="F7" s="101"/>
      <c r="G7" s="101"/>
      <c r="H7" s="101"/>
      <c r="I7" s="101"/>
      <c r="J7" s="110" t="str">
        <f>IMAGE(Cats!$F$5, 3)</f>
        <v/>
      </c>
      <c r="K7" s="111"/>
      <c r="L7" s="111"/>
      <c r="M7" s="113" t="str">
        <f>IMAGE(Hats!$G$2, 3)</f>
        <v/>
      </c>
      <c r="N7" s="111"/>
      <c r="O7" s="114"/>
      <c r="P7" s="101"/>
      <c r="Q7" s="101"/>
      <c r="R7" s="101"/>
      <c r="S7" s="101"/>
      <c r="T7" s="101"/>
      <c r="U7" s="101"/>
      <c r="V7" s="101"/>
      <c r="W7" s="101"/>
      <c r="X7" s="98"/>
    </row>
    <row r="8" ht="25.5" customHeight="1">
      <c r="A8" s="98"/>
      <c r="B8" s="101"/>
      <c r="C8" s="101"/>
      <c r="D8" s="101"/>
      <c r="E8" s="101"/>
      <c r="F8" s="101"/>
      <c r="G8" s="101"/>
      <c r="H8" s="101"/>
      <c r="I8" s="101"/>
      <c r="J8" s="101"/>
      <c r="K8" s="101"/>
      <c r="L8" s="101"/>
      <c r="M8" s="101"/>
      <c r="N8" s="101"/>
      <c r="O8" s="101"/>
      <c r="P8" s="101"/>
      <c r="Q8" s="101"/>
      <c r="R8" s="101"/>
      <c r="S8" s="101"/>
      <c r="T8" s="101"/>
      <c r="U8" s="101"/>
      <c r="V8" s="101"/>
      <c r="W8" s="101"/>
      <c r="X8" s="98"/>
    </row>
    <row r="9" ht="24.75" customHeight="1">
      <c r="A9" s="115"/>
      <c r="B9" s="117" t="s">
        <v>31</v>
      </c>
      <c r="X9" s="115"/>
    </row>
    <row r="10" ht="56.25" customHeight="1" outlineLevel="1">
      <c r="A10" s="98"/>
      <c r="B10" s="101" t="str">
        <f>IMAGE("https://i.postimg.cc/X7p9RkrJ/springacres-000.png", 3)</f>
        <v/>
      </c>
      <c r="D10" s="101"/>
      <c r="E10" s="101"/>
      <c r="F10" s="101" t="str">
        <f>IMAGE("https://i.postimg.cc/fLDLMD5C/springacres-001.png", 3)</f>
        <v/>
      </c>
      <c r="H10" s="101"/>
      <c r="I10" s="101"/>
      <c r="J10" s="101" t="str">
        <f>IMAGE("https://i.postimg.cc/xTkwT8X7/springacres-002.png", 3)</f>
        <v/>
      </c>
      <c r="L10" s="101"/>
      <c r="M10" s="101"/>
      <c r="N10" s="101"/>
      <c r="P10" s="101"/>
      <c r="Q10" s="101"/>
      <c r="R10" s="101"/>
      <c r="T10" s="101"/>
      <c r="U10" s="101"/>
      <c r="V10" s="101"/>
      <c r="X10" s="98"/>
    </row>
    <row r="11" ht="17.25" customHeight="1" outlineLevel="1">
      <c r="A11" s="132"/>
      <c r="B11" s="133">
        <f>date(2022,3,17)</f>
        <v>44637</v>
      </c>
      <c r="D11" s="134"/>
      <c r="E11" s="134"/>
      <c r="F11" s="133">
        <f>date(2022,3,27)</f>
        <v>44647</v>
      </c>
      <c r="H11" s="134"/>
      <c r="I11" s="134"/>
      <c r="J11" s="133">
        <f>date(2022, 4, 3)</f>
        <v>44654</v>
      </c>
      <c r="L11" s="134"/>
      <c r="M11" s="134"/>
      <c r="N11" s="134"/>
      <c r="O11" s="134"/>
      <c r="P11" s="134"/>
      <c r="Q11" s="134"/>
      <c r="R11" s="134"/>
      <c r="S11" s="134"/>
      <c r="T11" s="134"/>
      <c r="U11" s="134"/>
      <c r="V11" s="134"/>
      <c r="W11" s="134"/>
      <c r="X11" s="132"/>
    </row>
    <row r="12" ht="17.25" customHeight="1" outlineLevel="1">
      <c r="A12" s="136"/>
      <c r="B12" s="137" t="str">
        <f>IMAGE(Cats!$F$5, 3)</f>
        <v/>
      </c>
      <c r="C12" s="138" t="str">
        <f>IMAGE(Hats!$G$2, 3)</f>
        <v/>
      </c>
      <c r="D12" s="138"/>
      <c r="E12" s="138"/>
      <c r="F12" s="137" t="str">
        <f>IMAGE(Cats!$F$5, 3)</f>
        <v/>
      </c>
      <c r="G12" s="138" t="str">
        <f>IMAGE(Hats!$G$27, 3)</f>
        <v/>
      </c>
      <c r="H12" s="138"/>
      <c r="I12" s="138"/>
      <c r="J12" s="137" t="str">
        <f>IMAGE(Cats!$F$9, 3)</f>
        <v/>
      </c>
      <c r="K12" s="139" t="str">
        <f>IMAGE(Hats!$G$30, 3)</f>
        <v/>
      </c>
      <c r="L12" s="138"/>
      <c r="M12" s="138"/>
      <c r="N12" s="138"/>
      <c r="O12" s="138"/>
      <c r="P12" s="138"/>
      <c r="Q12" s="138"/>
      <c r="R12" s="138"/>
      <c r="S12" s="138"/>
      <c r="T12" s="138"/>
      <c r="U12" s="138"/>
      <c r="V12" s="138"/>
      <c r="W12" s="138"/>
      <c r="X12" s="136"/>
    </row>
    <row r="13" ht="17.25" customHeight="1">
      <c r="A13" s="115"/>
      <c r="B13" s="125"/>
      <c r="C13" s="125"/>
      <c r="D13" s="125"/>
      <c r="E13" s="125"/>
      <c r="F13" s="125"/>
      <c r="G13" s="125"/>
      <c r="H13" s="125"/>
      <c r="I13" s="125"/>
      <c r="J13" s="125"/>
      <c r="K13" s="125"/>
      <c r="L13" s="125"/>
      <c r="M13" s="125"/>
      <c r="N13" s="125"/>
      <c r="O13" s="125"/>
      <c r="P13" s="125"/>
      <c r="Q13" s="125"/>
      <c r="R13" s="125"/>
      <c r="S13" s="125"/>
      <c r="T13" s="125"/>
      <c r="U13" s="125"/>
      <c r="V13" s="125"/>
      <c r="W13" s="125"/>
      <c r="X13" s="115"/>
    </row>
    <row r="14" ht="24.75" customHeight="1">
      <c r="A14" s="115"/>
      <c r="B14" s="117" t="s">
        <v>32</v>
      </c>
      <c r="X14" s="115"/>
    </row>
    <row r="15" ht="56.25" customHeight="1" outlineLevel="1">
      <c r="A15" s="98"/>
      <c r="B15" s="101" t="str">
        <f>IMAGE(Cats!$E$5, 3)</f>
        <v/>
      </c>
      <c r="D15" s="101"/>
      <c r="E15" s="101"/>
      <c r="F15" s="101" t="str">
        <f>IMAGE(Cats!$E$8, 3)</f>
        <v/>
      </c>
      <c r="H15" s="101"/>
      <c r="I15" s="101"/>
      <c r="J15" s="101" t="str">
        <f>IMAGE(Cats!$E$9, 3)</f>
        <v/>
      </c>
      <c r="L15" s="101"/>
      <c r="M15" s="101"/>
      <c r="N15" s="101"/>
      <c r="P15" s="101"/>
      <c r="Q15" s="101"/>
      <c r="R15" s="101"/>
      <c r="T15" s="101"/>
      <c r="U15" s="101"/>
      <c r="V15" s="101"/>
      <c r="X15" s="98"/>
    </row>
    <row r="16" outlineLevel="1">
      <c r="A16" s="98"/>
      <c r="B16" s="129" t="str">
        <f>Cats!$C$5</f>
        <v>*A04</v>
      </c>
      <c r="D16" s="101"/>
      <c r="E16" s="101"/>
      <c r="F16" s="129" t="str">
        <f>Cats!$C$8</f>
        <v>*B03</v>
      </c>
      <c r="H16" s="101"/>
      <c r="I16" s="101"/>
      <c r="J16" s="129" t="str">
        <f>Cats!$C$9</f>
        <v>*B04</v>
      </c>
      <c r="L16" s="101"/>
      <c r="M16" s="101"/>
      <c r="N16" s="129"/>
      <c r="P16" s="101"/>
      <c r="Q16" s="101"/>
      <c r="R16" s="101"/>
      <c r="S16" s="101"/>
      <c r="T16" s="101"/>
      <c r="U16" s="101"/>
      <c r="V16" s="101"/>
      <c r="W16" s="101"/>
      <c r="X16" s="98"/>
    </row>
    <row r="17" ht="17.25" customHeight="1">
      <c r="A17" s="115"/>
      <c r="B17" s="125"/>
      <c r="C17" s="125"/>
      <c r="D17" s="125"/>
      <c r="E17" s="125"/>
      <c r="F17" s="125"/>
      <c r="G17" s="125"/>
      <c r="H17" s="125"/>
      <c r="I17" s="125"/>
      <c r="J17" s="125"/>
      <c r="K17" s="125"/>
      <c r="L17" s="125"/>
      <c r="M17" s="125"/>
      <c r="N17" s="125"/>
      <c r="O17" s="125"/>
      <c r="P17" s="125"/>
      <c r="Q17" s="125"/>
      <c r="R17" s="125"/>
      <c r="S17" s="125"/>
      <c r="T17" s="125"/>
      <c r="U17" s="125"/>
      <c r="V17" s="125"/>
      <c r="W17" s="125"/>
      <c r="X17" s="115"/>
    </row>
    <row r="18" ht="24.75" customHeight="1">
      <c r="A18" s="98"/>
      <c r="B18" s="131" t="s">
        <v>33</v>
      </c>
      <c r="X18" s="98"/>
    </row>
    <row r="19" ht="56.25" customHeight="1">
      <c r="A19" s="98"/>
      <c r="B19" s="101" t="str">
        <f>IMAGE(Hats!$F$2, 3)</f>
        <v/>
      </c>
      <c r="D19" s="101"/>
      <c r="E19" s="101"/>
      <c r="F19" s="101" t="str">
        <f>IMAGE(Hats!$F$7, 3)</f>
        <v/>
      </c>
      <c r="H19" s="101"/>
      <c r="I19" s="101"/>
      <c r="J19" s="101" t="str">
        <f>IMAGE(Hats!$F$9, 3)</f>
        <v/>
      </c>
      <c r="L19" s="101"/>
      <c r="M19" s="101"/>
      <c r="N19" s="101" t="str">
        <f>IMAGE(Hats!$F$13, 3)</f>
        <v/>
      </c>
      <c r="P19" s="101"/>
      <c r="Q19" s="101"/>
      <c r="R19" s="101" t="str">
        <f>IMAGE(Hats!$F$14, 3)</f>
        <v/>
      </c>
      <c r="T19" s="101"/>
      <c r="U19" s="101"/>
      <c r="V19" s="101"/>
      <c r="X19" s="98"/>
    </row>
    <row r="20">
      <c r="A20" s="98"/>
      <c r="B20" s="129" t="str">
        <f>Hats!$C$2</f>
        <v>AA01</v>
      </c>
      <c r="C20" s="129">
        <v>1.0</v>
      </c>
      <c r="D20" s="129"/>
      <c r="E20" s="129"/>
      <c r="F20" s="129" t="str">
        <f>Hats!$C$7</f>
        <v>AB02</v>
      </c>
      <c r="G20" s="129">
        <v>1.0</v>
      </c>
      <c r="H20" s="101"/>
      <c r="I20" s="101"/>
      <c r="J20" s="129" t="str">
        <f>Hats!$C$9</f>
        <v>AB04</v>
      </c>
      <c r="K20" s="129">
        <v>1.0</v>
      </c>
      <c r="L20" s="101"/>
      <c r="M20" s="101"/>
      <c r="N20" s="129" t="str">
        <f>Hats!$C$13</f>
        <v>AB08</v>
      </c>
      <c r="O20" s="129">
        <v>1.0</v>
      </c>
      <c r="P20" s="101"/>
      <c r="Q20" s="101"/>
      <c r="R20" s="129" t="str">
        <f>Hats!$C$14</f>
        <v>AB09</v>
      </c>
      <c r="S20" s="129">
        <v>1.0</v>
      </c>
      <c r="T20" s="101"/>
      <c r="U20" s="101"/>
      <c r="V20" s="129"/>
      <c r="W20" s="129"/>
      <c r="X20" s="98"/>
    </row>
    <row r="21">
      <c r="A21" s="98"/>
      <c r="B21" s="98"/>
      <c r="C21" s="98"/>
      <c r="D21" s="98"/>
      <c r="E21" s="98"/>
      <c r="F21" s="98"/>
      <c r="G21" s="98"/>
      <c r="H21" s="98"/>
      <c r="I21" s="98"/>
      <c r="J21" s="98"/>
      <c r="K21" s="98"/>
      <c r="L21" s="98"/>
      <c r="M21" s="98"/>
      <c r="N21" s="98"/>
      <c r="O21" s="98"/>
      <c r="P21" s="98"/>
      <c r="Q21" s="98"/>
      <c r="R21" s="98"/>
      <c r="S21" s="98"/>
      <c r="T21" s="98"/>
      <c r="U21" s="98"/>
      <c r="V21" s="98"/>
      <c r="W21" s="98"/>
      <c r="X21" s="98"/>
    </row>
    <row r="22" ht="56.25" customHeight="1">
      <c r="A22" s="98"/>
      <c r="B22" s="101" t="str">
        <f>IMAGE(Hats!$F$19, 3)</f>
        <v/>
      </c>
      <c r="D22" s="101"/>
      <c r="E22" s="101"/>
      <c r="F22" s="101" t="str">
        <f>IMAGE(Hats!$F$20, 3)</f>
        <v/>
      </c>
      <c r="H22" s="101"/>
      <c r="I22" s="101"/>
      <c r="J22" s="101" t="str">
        <f>IMAGE(Hats!$F$21, 3)</f>
        <v/>
      </c>
      <c r="L22" s="101"/>
      <c r="M22" s="101"/>
      <c r="N22" s="101" t="str">
        <f>IMAGE(Hats!$F$25, 3)</f>
        <v/>
      </c>
      <c r="P22" s="101"/>
      <c r="Q22" s="101"/>
      <c r="R22" s="101" t="str">
        <f>IMAGE(Hats!$F$27, 3)</f>
        <v/>
      </c>
      <c r="T22" s="101"/>
      <c r="U22" s="101"/>
      <c r="V22" s="101" t="str">
        <f>IMAGE(Hats!$F$29, 3)</f>
        <v/>
      </c>
      <c r="X22" s="98"/>
    </row>
    <row r="23">
      <c r="A23" s="98"/>
      <c r="B23" s="129" t="str">
        <f>Hats!$C$19</f>
        <v>AC02</v>
      </c>
      <c r="C23" s="129">
        <v>1.0</v>
      </c>
      <c r="D23" s="101"/>
      <c r="E23" s="101"/>
      <c r="F23" s="129" t="str">
        <f>Hats!$C$20</f>
        <v>AC03</v>
      </c>
      <c r="G23" s="129">
        <v>1.0</v>
      </c>
      <c r="H23" s="101"/>
      <c r="I23" s="101"/>
      <c r="J23" s="129" t="str">
        <f>Hats!$C$21</f>
        <v>AC04</v>
      </c>
      <c r="K23" s="129">
        <v>1.0</v>
      </c>
      <c r="L23" s="101"/>
      <c r="M23" s="101"/>
      <c r="N23" s="129" t="str">
        <f>Hats!$C$25</f>
        <v>AC08</v>
      </c>
      <c r="O23" s="129">
        <v>1.0</v>
      </c>
      <c r="P23" s="101"/>
      <c r="Q23" s="101"/>
      <c r="R23" s="129" t="str">
        <f>Hats!$C$27</f>
        <v>AC10</v>
      </c>
      <c r="S23" s="129">
        <v>2.0</v>
      </c>
      <c r="T23" s="101"/>
      <c r="U23" s="101"/>
      <c r="V23" s="129" t="str">
        <f>Hats!$C$29</f>
        <v>AC12</v>
      </c>
      <c r="W23" s="129">
        <v>1.0</v>
      </c>
      <c r="X23" s="98"/>
    </row>
    <row r="24">
      <c r="A24" s="98"/>
      <c r="B24" s="98"/>
      <c r="C24" s="98"/>
      <c r="D24" s="98"/>
      <c r="E24" s="98"/>
      <c r="F24" s="98"/>
      <c r="G24" s="98"/>
      <c r="H24" s="98"/>
      <c r="I24" s="98"/>
      <c r="J24" s="98"/>
      <c r="K24" s="98"/>
      <c r="L24" s="98"/>
      <c r="M24" s="98"/>
      <c r="N24" s="98"/>
      <c r="O24" s="98"/>
      <c r="P24" s="98"/>
      <c r="Q24" s="98"/>
      <c r="R24" s="98"/>
      <c r="S24" s="98"/>
      <c r="T24" s="98"/>
      <c r="U24" s="98"/>
      <c r="V24" s="98"/>
      <c r="W24" s="98"/>
      <c r="X24" s="98"/>
    </row>
    <row r="25" ht="56.25" customHeight="1">
      <c r="A25" s="98"/>
      <c r="B25" s="101" t="str">
        <f>IMAGE(Hats!$F$30, 3)</f>
        <v/>
      </c>
      <c r="D25" s="101"/>
      <c r="E25" s="101"/>
      <c r="F25" s="101"/>
      <c r="H25" s="101"/>
      <c r="I25" s="101"/>
      <c r="J25" s="101"/>
      <c r="L25" s="101"/>
      <c r="M25" s="101"/>
      <c r="N25" s="101"/>
      <c r="P25" s="101"/>
      <c r="Q25" s="101"/>
      <c r="R25" s="101"/>
      <c r="T25" s="101"/>
      <c r="U25" s="101"/>
      <c r="V25" s="101"/>
      <c r="X25" s="98"/>
    </row>
    <row r="26">
      <c r="A26" s="98"/>
      <c r="B26" s="129" t="str">
        <f>Hats!$C$30</f>
        <v>AC13</v>
      </c>
      <c r="C26" s="129">
        <v>1.0</v>
      </c>
      <c r="D26" s="101"/>
      <c r="E26" s="101"/>
      <c r="F26" s="129"/>
      <c r="G26" s="129"/>
      <c r="H26" s="101"/>
      <c r="I26" s="101"/>
      <c r="J26" s="129"/>
      <c r="K26" s="129"/>
      <c r="L26" s="101"/>
      <c r="M26" s="101"/>
      <c r="N26" s="129"/>
      <c r="O26" s="129"/>
      <c r="P26" s="101"/>
      <c r="Q26" s="101"/>
      <c r="R26" s="129"/>
      <c r="S26" s="129"/>
      <c r="T26" s="101"/>
      <c r="U26" s="101"/>
      <c r="V26" s="129"/>
      <c r="W26" s="129"/>
      <c r="X26" s="98"/>
    </row>
    <row r="27">
      <c r="A27" s="98"/>
      <c r="B27" s="98"/>
      <c r="C27" s="98"/>
      <c r="D27" s="98"/>
      <c r="E27" s="98"/>
      <c r="F27" s="98"/>
      <c r="G27" s="98"/>
      <c r="H27" s="98"/>
      <c r="I27" s="98"/>
      <c r="J27" s="98"/>
      <c r="K27" s="98"/>
      <c r="L27" s="98"/>
      <c r="M27" s="98"/>
      <c r="N27" s="98"/>
      <c r="O27" s="98"/>
      <c r="P27" s="98"/>
      <c r="Q27" s="98"/>
      <c r="R27" s="98"/>
      <c r="S27" s="98"/>
      <c r="T27" s="98"/>
      <c r="U27" s="98"/>
      <c r="V27" s="98"/>
      <c r="W27" s="98"/>
      <c r="X27" s="98"/>
    </row>
    <row r="28" ht="56.25" customHeight="1">
      <c r="A28" s="98"/>
      <c r="B28" s="101" t="str">
        <f>IMAGE(Hats!$F$38, 3)</f>
        <v/>
      </c>
      <c r="D28" s="101"/>
      <c r="E28" s="101"/>
      <c r="F28" s="101" t="str">
        <f>IMAGE(Hats!$F$39, 3)</f>
        <v/>
      </c>
      <c r="H28" s="101"/>
      <c r="I28" s="101"/>
      <c r="J28" s="101"/>
      <c r="L28" s="101"/>
      <c r="M28" s="101"/>
      <c r="N28" s="101"/>
      <c r="P28" s="101"/>
      <c r="Q28" s="101"/>
      <c r="R28" s="101"/>
      <c r="T28" s="101"/>
      <c r="U28" s="101"/>
      <c r="V28" s="101"/>
      <c r="X28" s="98"/>
    </row>
    <row r="29">
      <c r="A29" s="98"/>
      <c r="B29" s="129" t="str">
        <f>Hats!$C$38</f>
        <v>AD01</v>
      </c>
      <c r="C29" s="129">
        <v>1.0</v>
      </c>
      <c r="D29" s="101"/>
      <c r="E29" s="101"/>
      <c r="F29" s="129" t="str">
        <f>Hats!$C$39</f>
        <v>AD02</v>
      </c>
      <c r="G29" s="129">
        <v>1.0</v>
      </c>
      <c r="H29" s="101"/>
      <c r="I29" s="101"/>
      <c r="J29" s="129"/>
      <c r="K29" s="129"/>
      <c r="L29" s="101"/>
      <c r="M29" s="101"/>
      <c r="N29" s="129"/>
      <c r="O29" s="129"/>
      <c r="P29" s="101"/>
      <c r="Q29" s="101"/>
      <c r="R29" s="129"/>
      <c r="S29" s="129"/>
      <c r="T29" s="101"/>
      <c r="U29" s="101"/>
      <c r="V29" s="129"/>
      <c r="W29" s="129"/>
      <c r="X29" s="98"/>
    </row>
    <row r="30">
      <c r="A30" s="98"/>
      <c r="B30" s="98"/>
      <c r="C30" s="98"/>
      <c r="D30" s="98"/>
      <c r="E30" s="98"/>
      <c r="F30" s="98"/>
      <c r="G30" s="98"/>
      <c r="H30" s="98"/>
      <c r="I30" s="98"/>
      <c r="J30" s="98"/>
      <c r="K30" s="98"/>
      <c r="L30" s="98"/>
      <c r="M30" s="98"/>
      <c r="N30" s="98"/>
      <c r="O30" s="98"/>
      <c r="P30" s="98"/>
      <c r="Q30" s="98"/>
      <c r="R30" s="98"/>
      <c r="S30" s="98"/>
      <c r="T30" s="98"/>
      <c r="U30" s="98"/>
      <c r="V30" s="98"/>
      <c r="W30" s="98"/>
      <c r="X30" s="98"/>
    </row>
  </sheetData>
  <mergeCells count="53">
    <mergeCell ref="F19:G19"/>
    <mergeCell ref="J19:K19"/>
    <mergeCell ref="F22:G22"/>
    <mergeCell ref="J22:K22"/>
    <mergeCell ref="N22:O22"/>
    <mergeCell ref="R22:S22"/>
    <mergeCell ref="V22:W22"/>
    <mergeCell ref="B22:C22"/>
    <mergeCell ref="B25:C25"/>
    <mergeCell ref="F25:G25"/>
    <mergeCell ref="J25:K25"/>
    <mergeCell ref="N25:O25"/>
    <mergeCell ref="R25:S25"/>
    <mergeCell ref="V25:W25"/>
    <mergeCell ref="B2:W2"/>
    <mergeCell ref="J3:K3"/>
    <mergeCell ref="N3:O3"/>
    <mergeCell ref="J5:O5"/>
    <mergeCell ref="J6:O6"/>
    <mergeCell ref="J7:L7"/>
    <mergeCell ref="M7:O7"/>
    <mergeCell ref="F10:G10"/>
    <mergeCell ref="F11:G11"/>
    <mergeCell ref="B9:W9"/>
    <mergeCell ref="B10:C10"/>
    <mergeCell ref="J10:K10"/>
    <mergeCell ref="N10:O10"/>
    <mergeCell ref="R10:S10"/>
    <mergeCell ref="V10:W10"/>
    <mergeCell ref="B11:C11"/>
    <mergeCell ref="J11:K11"/>
    <mergeCell ref="B14:W14"/>
    <mergeCell ref="F15:G15"/>
    <mergeCell ref="J15:K15"/>
    <mergeCell ref="N15:O15"/>
    <mergeCell ref="R15:S15"/>
    <mergeCell ref="V15:W15"/>
    <mergeCell ref="N19:O19"/>
    <mergeCell ref="R19:S19"/>
    <mergeCell ref="B15:C15"/>
    <mergeCell ref="B16:C16"/>
    <mergeCell ref="F16:G16"/>
    <mergeCell ref="J16:K16"/>
    <mergeCell ref="N16:O16"/>
    <mergeCell ref="B18:W18"/>
    <mergeCell ref="B19:C19"/>
    <mergeCell ref="V19:W19"/>
    <mergeCell ref="B28:C28"/>
    <mergeCell ref="F28:G28"/>
    <mergeCell ref="J28:K28"/>
    <mergeCell ref="N28:O28"/>
    <mergeCell ref="R28:S28"/>
    <mergeCell ref="V28:W28"/>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7257"/>
    <outlinePr summaryBelow="0" summaryRight="0"/>
  </sheetPr>
  <sheetViews>
    <sheetView showGridLines="0" workbookViewId="0"/>
  </sheetViews>
  <sheetFormatPr customHeight="1" defaultColWidth="12.63" defaultRowHeight="15.75" outlineLevelRow="1"/>
  <cols>
    <col customWidth="1" min="2" max="2" width="5.13"/>
    <col customWidth="1" min="3" max="3" width="3.88"/>
    <col customWidth="1" min="4" max="5" width="1.38"/>
    <col customWidth="1" min="6" max="6" width="5.13"/>
    <col customWidth="1" min="7" max="7" width="3.88"/>
    <col customWidth="1" min="8" max="9" width="1.38"/>
    <col customWidth="1" min="10" max="10" width="5.13"/>
    <col customWidth="1" min="11" max="11" width="3.88"/>
    <col customWidth="1" min="12" max="13" width="1.38"/>
    <col customWidth="1" min="14" max="14" width="5.13"/>
    <col customWidth="1" min="15" max="15" width="3.88"/>
    <col customWidth="1" min="16" max="17" width="1.38"/>
    <col customWidth="1" min="18" max="18" width="5.13"/>
    <col customWidth="1" min="19" max="19" width="3.88"/>
    <col customWidth="1" min="20" max="21" width="1.38"/>
    <col customWidth="1" min="22" max="22" width="5.13"/>
    <col customWidth="1" min="23" max="23" width="3.88"/>
  </cols>
  <sheetData>
    <row r="1">
      <c r="A1" s="98"/>
      <c r="B1" s="98"/>
      <c r="C1" s="98"/>
      <c r="D1" s="98"/>
      <c r="E1" s="98"/>
      <c r="F1" s="98"/>
      <c r="G1" s="98"/>
      <c r="H1" s="98"/>
      <c r="I1" s="98"/>
      <c r="J1" s="98"/>
      <c r="K1" s="98"/>
      <c r="L1" s="98"/>
      <c r="M1" s="98"/>
      <c r="N1" s="98"/>
      <c r="O1" s="98"/>
      <c r="P1" s="98"/>
      <c r="Q1" s="98"/>
      <c r="R1" s="98"/>
      <c r="S1" s="98"/>
      <c r="T1" s="98"/>
      <c r="U1" s="98"/>
      <c r="V1" s="98"/>
      <c r="W1" s="98"/>
      <c r="X1" s="98"/>
    </row>
    <row r="2">
      <c r="A2" s="98"/>
      <c r="B2" s="100" t="s">
        <v>43</v>
      </c>
      <c r="X2" s="98"/>
    </row>
    <row r="3">
      <c r="A3" s="98"/>
      <c r="B3" s="98"/>
      <c r="C3" s="101"/>
      <c r="D3" s="102"/>
      <c r="E3" s="102"/>
      <c r="F3" s="101"/>
      <c r="G3" s="101"/>
      <c r="H3" s="102"/>
      <c r="I3" s="102"/>
      <c r="J3" s="103" t="s">
        <v>27</v>
      </c>
      <c r="L3" s="103"/>
      <c r="M3" s="103"/>
      <c r="N3" s="104">
        <f>IFERROR(__xludf.DUMMYFUNCTION("SUM(IFERROR(QUERY(Records!$A:$F, CONCATENATE(""select F where B contains '"", $B2, ""' and E = '+'""), 0))) - SUM(IFERROR(QUERY(Records!$A:$F, CONCATENATE(""select F where B contains '"", $B2, ""' and E = '-'""), 0)))"),0.0)</f>
        <v>0</v>
      </c>
      <c r="P3" s="102"/>
      <c r="Q3" s="102"/>
      <c r="R3" s="101"/>
      <c r="S3" s="101"/>
      <c r="T3" s="102"/>
      <c r="U3" s="102"/>
      <c r="V3" s="101"/>
      <c r="W3" s="101"/>
      <c r="X3" s="98"/>
    </row>
    <row r="4" ht="23.25" customHeight="1">
      <c r="A4" s="98"/>
      <c r="B4" s="101"/>
      <c r="C4" s="101"/>
      <c r="D4" s="101"/>
      <c r="E4" s="101"/>
      <c r="F4" s="101"/>
      <c r="G4" s="101"/>
      <c r="H4" s="101"/>
      <c r="I4" s="101"/>
      <c r="J4" s="101"/>
      <c r="K4" s="101"/>
      <c r="L4" s="101"/>
      <c r="M4" s="101"/>
      <c r="N4" s="101"/>
      <c r="O4" s="101"/>
      <c r="P4" s="101"/>
      <c r="Q4" s="101"/>
      <c r="R4" s="101"/>
      <c r="S4" s="101"/>
      <c r="T4" s="101"/>
      <c r="U4" s="101"/>
      <c r="V4" s="101"/>
      <c r="W4" s="101"/>
      <c r="X4" s="98"/>
    </row>
    <row r="5" ht="112.5" customHeight="1">
      <c r="A5" s="98"/>
      <c r="B5" s="101"/>
      <c r="C5" s="101"/>
      <c r="D5" s="101"/>
      <c r="E5" s="101"/>
      <c r="F5" s="101"/>
      <c r="G5" s="101"/>
      <c r="H5" s="101"/>
      <c r="I5" s="101"/>
      <c r="J5" s="105" t="str">
        <f>IMAGE("https://i.postimg.cc/3R08Xr3g/laviee-big.png", 3)</f>
        <v/>
      </c>
      <c r="K5" s="106"/>
      <c r="L5" s="106"/>
      <c r="M5" s="106"/>
      <c r="N5" s="106"/>
      <c r="O5" s="107"/>
      <c r="P5" s="101"/>
      <c r="Q5" s="101"/>
      <c r="R5" s="101"/>
      <c r="S5" s="101"/>
      <c r="T5" s="101"/>
      <c r="U5" s="101"/>
      <c r="V5" s="101"/>
      <c r="W5" s="101"/>
      <c r="X5" s="98"/>
    </row>
    <row r="6" ht="18.0" customHeight="1">
      <c r="A6" s="98"/>
      <c r="B6" s="101"/>
      <c r="C6" s="101"/>
      <c r="D6" s="101"/>
      <c r="E6" s="101"/>
      <c r="F6" s="101"/>
      <c r="G6" s="101"/>
      <c r="H6" s="101"/>
      <c r="I6" s="101"/>
      <c r="J6" s="108" t="s">
        <v>45</v>
      </c>
      <c r="O6" s="109"/>
      <c r="P6" s="101"/>
      <c r="Q6" s="101"/>
      <c r="R6" s="101"/>
      <c r="S6" s="101"/>
      <c r="T6" s="101"/>
      <c r="U6" s="101"/>
      <c r="V6" s="101"/>
      <c r="W6" s="101"/>
      <c r="X6" s="98"/>
    </row>
    <row r="7" ht="27.0" customHeight="1">
      <c r="A7" s="98"/>
      <c r="B7" s="101"/>
      <c r="C7" s="101"/>
      <c r="D7" s="101"/>
      <c r="E7" s="101"/>
      <c r="F7" s="101"/>
      <c r="G7" s="101"/>
      <c r="H7" s="101"/>
      <c r="I7" s="101"/>
      <c r="J7" s="110" t="str">
        <f>IMAGE(Cats!$F$2, 3)</f>
        <v/>
      </c>
      <c r="K7" s="111"/>
      <c r="L7" s="111"/>
      <c r="M7" s="113" t="str">
        <f>IMAGE(Hats!$G$27, 3)</f>
        <v/>
      </c>
      <c r="N7" s="111"/>
      <c r="O7" s="114"/>
      <c r="P7" s="101"/>
      <c r="Q7" s="101"/>
      <c r="R7" s="101"/>
      <c r="S7" s="101"/>
      <c r="T7" s="101"/>
      <c r="U7" s="101"/>
      <c r="V7" s="101"/>
      <c r="W7" s="101"/>
      <c r="X7" s="98"/>
    </row>
    <row r="8" ht="25.5" customHeight="1">
      <c r="A8" s="98"/>
      <c r="B8" s="101"/>
      <c r="C8" s="101"/>
      <c r="D8" s="101"/>
      <c r="E8" s="101"/>
      <c r="F8" s="101"/>
      <c r="G8" s="101"/>
      <c r="H8" s="101"/>
      <c r="I8" s="101"/>
      <c r="J8" s="101"/>
      <c r="K8" s="101"/>
      <c r="L8" s="101"/>
      <c r="M8" s="101"/>
      <c r="N8" s="101"/>
      <c r="O8" s="101"/>
      <c r="P8" s="101"/>
      <c r="Q8" s="101"/>
      <c r="R8" s="101"/>
      <c r="S8" s="101"/>
      <c r="T8" s="101"/>
      <c r="U8" s="101"/>
      <c r="V8" s="101"/>
      <c r="W8" s="101"/>
      <c r="X8" s="98"/>
    </row>
    <row r="9" ht="24.75" customHeight="1">
      <c r="A9" s="115"/>
      <c r="B9" s="117" t="s">
        <v>32</v>
      </c>
      <c r="X9" s="115"/>
    </row>
    <row r="10" ht="56.25" customHeight="1" outlineLevel="1">
      <c r="A10" s="98"/>
      <c r="B10" s="101" t="str">
        <f>IMAGE(Cats!$E$2, 3)</f>
        <v/>
      </c>
      <c r="D10" s="101"/>
      <c r="E10" s="101"/>
      <c r="F10" s="101"/>
      <c r="H10" s="101"/>
      <c r="I10" s="101"/>
      <c r="J10" s="101"/>
      <c r="L10" s="101"/>
      <c r="M10" s="101"/>
      <c r="N10" s="101"/>
      <c r="P10" s="101"/>
      <c r="Q10" s="101"/>
      <c r="R10" s="101"/>
      <c r="T10" s="101"/>
      <c r="U10" s="101"/>
      <c r="V10" s="101"/>
      <c r="X10" s="98"/>
    </row>
    <row r="11" ht="17.25" customHeight="1">
      <c r="A11" s="115"/>
      <c r="B11" s="125"/>
      <c r="C11" s="125"/>
      <c r="D11" s="125"/>
      <c r="E11" s="125"/>
      <c r="F11" s="125"/>
      <c r="G11" s="125"/>
      <c r="H11" s="125"/>
      <c r="I11" s="125"/>
      <c r="J11" s="125"/>
      <c r="K11" s="125"/>
      <c r="L11" s="125"/>
      <c r="M11" s="125"/>
      <c r="N11" s="125"/>
      <c r="O11" s="125"/>
      <c r="P11" s="125"/>
      <c r="Q11" s="125"/>
      <c r="R11" s="125"/>
      <c r="S11" s="125"/>
      <c r="T11" s="125"/>
      <c r="U11" s="125"/>
      <c r="V11" s="125"/>
      <c r="W11" s="125"/>
      <c r="X11" s="115"/>
    </row>
    <row r="12" ht="24.75" customHeight="1">
      <c r="A12" s="98"/>
      <c r="B12" s="131" t="s">
        <v>33</v>
      </c>
      <c r="X12" s="98"/>
    </row>
    <row r="13" ht="56.25" customHeight="1">
      <c r="A13" s="98"/>
      <c r="B13" s="101" t="str">
        <f>IMAGE(Hats!$F$27, 3)</f>
        <v/>
      </c>
      <c r="D13" s="101"/>
      <c r="E13" s="101"/>
      <c r="F13" s="101"/>
      <c r="H13" s="101"/>
      <c r="I13" s="101"/>
      <c r="J13" s="101"/>
      <c r="L13" s="101"/>
      <c r="M13" s="101"/>
      <c r="N13" s="101"/>
      <c r="P13" s="101"/>
      <c r="Q13" s="101"/>
      <c r="R13" s="101"/>
      <c r="T13" s="101"/>
      <c r="U13" s="101"/>
      <c r="V13" s="101"/>
      <c r="X13" s="98"/>
    </row>
    <row r="14">
      <c r="A14" s="98"/>
      <c r="B14" s="129" t="str">
        <f>Hats!$C$27</f>
        <v>AC10</v>
      </c>
      <c r="C14" s="129">
        <v>1.0</v>
      </c>
      <c r="D14" s="129"/>
      <c r="E14" s="129"/>
      <c r="F14" s="101"/>
      <c r="H14" s="101"/>
      <c r="I14" s="101"/>
      <c r="J14" s="101"/>
      <c r="L14" s="101"/>
      <c r="M14" s="101"/>
      <c r="N14" s="101"/>
      <c r="P14" s="101"/>
      <c r="Q14" s="101"/>
      <c r="R14" s="101"/>
      <c r="T14" s="101"/>
      <c r="U14" s="101"/>
      <c r="V14" s="101"/>
      <c r="X14" s="98"/>
    </row>
    <row r="15">
      <c r="A15" s="98"/>
      <c r="B15" s="98"/>
      <c r="C15" s="98"/>
      <c r="D15" s="98"/>
      <c r="E15" s="98"/>
      <c r="F15" s="98"/>
      <c r="G15" s="98"/>
      <c r="H15" s="98"/>
      <c r="I15" s="98"/>
      <c r="J15" s="98"/>
      <c r="K15" s="98"/>
      <c r="L15" s="98"/>
      <c r="M15" s="98"/>
      <c r="N15" s="98"/>
      <c r="O15" s="98"/>
      <c r="P15" s="98"/>
      <c r="Q15" s="98"/>
      <c r="R15" s="98"/>
      <c r="S15" s="98"/>
      <c r="T15" s="98"/>
      <c r="U15" s="98"/>
      <c r="V15" s="98"/>
      <c r="W15" s="98"/>
      <c r="X15" s="98"/>
    </row>
    <row r="16">
      <c r="A16" s="98"/>
      <c r="B16" s="98"/>
      <c r="C16" s="98"/>
      <c r="D16" s="98"/>
      <c r="E16" s="98"/>
      <c r="F16" s="98"/>
      <c r="G16" s="98"/>
      <c r="H16" s="98"/>
      <c r="I16" s="98"/>
      <c r="J16" s="98"/>
      <c r="K16" s="98"/>
      <c r="L16" s="98"/>
      <c r="M16" s="98"/>
      <c r="N16" s="98"/>
      <c r="O16" s="98"/>
      <c r="P16" s="98"/>
      <c r="Q16" s="98"/>
      <c r="R16" s="98"/>
      <c r="S16" s="98"/>
      <c r="T16" s="98"/>
      <c r="U16" s="98"/>
      <c r="V16" s="98"/>
      <c r="W16" s="98"/>
      <c r="X16" s="98"/>
    </row>
  </sheetData>
  <mergeCells count="26">
    <mergeCell ref="B2:W2"/>
    <mergeCell ref="J3:K3"/>
    <mergeCell ref="N3:O3"/>
    <mergeCell ref="J5:O5"/>
    <mergeCell ref="J6:O6"/>
    <mergeCell ref="J7:L7"/>
    <mergeCell ref="M7:O7"/>
    <mergeCell ref="B9:W9"/>
    <mergeCell ref="F10:G10"/>
    <mergeCell ref="J10:K10"/>
    <mergeCell ref="N10:O10"/>
    <mergeCell ref="R10:S10"/>
    <mergeCell ref="V10:W10"/>
    <mergeCell ref="B12:W12"/>
    <mergeCell ref="J13:K13"/>
    <mergeCell ref="J14:K14"/>
    <mergeCell ref="R13:S13"/>
    <mergeCell ref="R14:S14"/>
    <mergeCell ref="B10:C10"/>
    <mergeCell ref="B13:C13"/>
    <mergeCell ref="F13:G13"/>
    <mergeCell ref="N13:O13"/>
    <mergeCell ref="V13:W13"/>
    <mergeCell ref="F14:G14"/>
    <mergeCell ref="N14:O14"/>
    <mergeCell ref="V14:W14"/>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7257"/>
    <outlinePr summaryBelow="0" summaryRight="0"/>
  </sheetPr>
  <sheetViews>
    <sheetView showGridLines="0" workbookViewId="0"/>
  </sheetViews>
  <sheetFormatPr customHeight="1" defaultColWidth="12.63" defaultRowHeight="15.75" outlineLevelRow="1"/>
  <cols>
    <col customWidth="1" min="2" max="3" width="5.13"/>
    <col customWidth="1" min="4" max="5" width="1.38"/>
    <col customWidth="1" min="6" max="7" width="5.13"/>
    <col customWidth="1" min="8" max="9" width="1.38"/>
    <col customWidth="1" min="10" max="11" width="5.13"/>
    <col customWidth="1" min="12" max="13" width="1.38"/>
    <col customWidth="1" min="14" max="15" width="5.13"/>
    <col customWidth="1" min="16" max="17" width="1.38"/>
    <col customWidth="1" min="18" max="19" width="5.13"/>
    <col customWidth="1" min="20" max="21" width="1.38"/>
    <col customWidth="1" min="22" max="23" width="5.13"/>
  </cols>
  <sheetData>
    <row r="1">
      <c r="A1" s="98"/>
      <c r="B1" s="98"/>
      <c r="C1" s="98"/>
      <c r="D1" s="98"/>
      <c r="E1" s="98"/>
      <c r="F1" s="98"/>
      <c r="G1" s="98"/>
      <c r="H1" s="98"/>
      <c r="I1" s="98"/>
      <c r="J1" s="98"/>
      <c r="K1" s="98"/>
      <c r="L1" s="98"/>
      <c r="M1" s="98"/>
      <c r="N1" s="98"/>
      <c r="O1" s="98"/>
      <c r="P1" s="98"/>
      <c r="Q1" s="98"/>
      <c r="R1" s="98"/>
      <c r="S1" s="98"/>
      <c r="T1" s="98"/>
      <c r="U1" s="98"/>
      <c r="V1" s="98"/>
      <c r="W1" s="98"/>
      <c r="X1" s="98"/>
    </row>
    <row r="2">
      <c r="A2" s="98"/>
      <c r="B2" s="100" t="s">
        <v>25</v>
      </c>
      <c r="X2" s="98"/>
    </row>
    <row r="3">
      <c r="A3" s="98"/>
      <c r="B3" s="98"/>
      <c r="C3" s="101"/>
      <c r="D3" s="102"/>
      <c r="E3" s="102"/>
      <c r="F3" s="101"/>
      <c r="G3" s="101"/>
      <c r="H3" s="102"/>
      <c r="I3" s="102"/>
      <c r="J3" s="103" t="s">
        <v>27</v>
      </c>
      <c r="L3" s="103"/>
      <c r="M3" s="103"/>
      <c r="N3" s="104">
        <f>IFERROR(__xludf.DUMMYFUNCTION("SUM(IFERROR(QUERY(Records!$A:$F, CONCATENATE(""select F where B contains '"", $B2, ""'""), 0))) - SUM(IFERROR(QUERY(Records!$A:$F, CONCATENATE(""select G where B contains '"", $B2, ""'""), 0)))"),18.0)</f>
        <v>18</v>
      </c>
      <c r="P3" s="102"/>
      <c r="Q3" s="102"/>
      <c r="R3" s="101"/>
      <c r="S3" s="101"/>
      <c r="T3" s="102"/>
      <c r="U3" s="102"/>
      <c r="V3" s="101"/>
      <c r="W3" s="101"/>
      <c r="X3" s="98"/>
    </row>
    <row r="4" ht="23.25" customHeight="1">
      <c r="A4" s="98"/>
      <c r="B4" s="101"/>
      <c r="C4" s="101"/>
      <c r="D4" s="101"/>
      <c r="E4" s="101"/>
      <c r="F4" s="101"/>
      <c r="G4" s="101"/>
      <c r="H4" s="101"/>
      <c r="I4" s="101"/>
      <c r="J4" s="101"/>
      <c r="K4" s="101"/>
      <c r="L4" s="101"/>
      <c r="M4" s="101"/>
      <c r="N4" s="101"/>
      <c r="O4" s="101"/>
      <c r="P4" s="101"/>
      <c r="Q4" s="101"/>
      <c r="R4" s="101"/>
      <c r="S4" s="101"/>
      <c r="T4" s="101"/>
      <c r="U4" s="101"/>
      <c r="V4" s="101"/>
      <c r="W4" s="101"/>
      <c r="X4" s="98"/>
    </row>
    <row r="5" ht="112.5" customHeight="1">
      <c r="A5" s="98"/>
      <c r="B5" s="101"/>
      <c r="C5" s="101"/>
      <c r="D5" s="101"/>
      <c r="E5" s="101"/>
      <c r="F5" s="101"/>
      <c r="G5" s="101"/>
      <c r="H5" s="101"/>
      <c r="I5" s="101"/>
      <c r="J5" s="105" t="str">
        <f>IMAGE("https://i.postimg.cc/rwPj8DLX/sunshinewarrior-big.png", 3)</f>
        <v/>
      </c>
      <c r="K5" s="106"/>
      <c r="L5" s="106"/>
      <c r="M5" s="106"/>
      <c r="N5" s="106"/>
      <c r="O5" s="107"/>
      <c r="P5" s="101"/>
      <c r="Q5" s="101"/>
      <c r="R5" s="101"/>
      <c r="S5" s="101"/>
      <c r="T5" s="101"/>
      <c r="U5" s="101"/>
      <c r="V5" s="101"/>
      <c r="W5" s="101"/>
      <c r="X5" s="98"/>
    </row>
    <row r="6" ht="18.0" customHeight="1">
      <c r="A6" s="98"/>
      <c r="B6" s="101"/>
      <c r="C6" s="101"/>
      <c r="D6" s="101"/>
      <c r="E6" s="101"/>
      <c r="F6" s="101"/>
      <c r="G6" s="101"/>
      <c r="H6" s="101"/>
      <c r="I6" s="101"/>
      <c r="J6" s="108" t="s">
        <v>46</v>
      </c>
      <c r="O6" s="109"/>
      <c r="P6" s="101"/>
      <c r="Q6" s="101"/>
      <c r="R6" s="101"/>
      <c r="S6" s="101"/>
      <c r="T6" s="101"/>
      <c r="U6" s="101"/>
      <c r="V6" s="101"/>
      <c r="W6" s="101"/>
      <c r="X6" s="98"/>
    </row>
    <row r="7" ht="27.0" customHeight="1">
      <c r="A7" s="98"/>
      <c r="B7" s="101"/>
      <c r="C7" s="101"/>
      <c r="D7" s="101"/>
      <c r="E7" s="101"/>
      <c r="F7" s="101"/>
      <c r="G7" s="101"/>
      <c r="H7" s="101"/>
      <c r="I7" s="101"/>
      <c r="J7" s="110" t="str">
        <f>IMAGE(Cats!$F$3, 3)</f>
        <v/>
      </c>
      <c r="K7" s="111"/>
      <c r="L7" s="111"/>
      <c r="M7" s="113" t="str">
        <f>IMAGE(Hats!$G$3, 3)</f>
        <v/>
      </c>
      <c r="N7" s="111"/>
      <c r="O7" s="114"/>
      <c r="P7" s="101"/>
      <c r="Q7" s="101"/>
      <c r="R7" s="101"/>
      <c r="S7" s="101"/>
      <c r="T7" s="101"/>
      <c r="U7" s="101"/>
      <c r="V7" s="101"/>
      <c r="W7" s="101"/>
      <c r="X7" s="98"/>
    </row>
    <row r="8" ht="25.5" customHeight="1">
      <c r="A8" s="98"/>
      <c r="B8" s="101"/>
      <c r="C8" s="101"/>
      <c r="D8" s="101"/>
      <c r="E8" s="101"/>
      <c r="F8" s="101"/>
      <c r="G8" s="101"/>
      <c r="H8" s="101"/>
      <c r="I8" s="101"/>
      <c r="J8" s="101"/>
      <c r="K8" s="101"/>
      <c r="L8" s="101"/>
      <c r="M8" s="101"/>
      <c r="N8" s="101"/>
      <c r="O8" s="101"/>
      <c r="P8" s="101"/>
      <c r="Q8" s="101"/>
      <c r="R8" s="101"/>
      <c r="S8" s="101"/>
      <c r="T8" s="101"/>
      <c r="U8" s="101"/>
      <c r="V8" s="101"/>
      <c r="W8" s="101"/>
      <c r="X8" s="98"/>
    </row>
    <row r="9" ht="24.75" customHeight="1">
      <c r="A9" s="115"/>
      <c r="B9" s="117" t="s">
        <v>31</v>
      </c>
      <c r="X9" s="115"/>
    </row>
    <row r="10" ht="56.25" customHeight="1" outlineLevel="1">
      <c r="A10" s="98"/>
      <c r="B10" s="140" t="str">
        <f>IMAGE("https://i.postimg.cc/9Q9ZMXtH/sunshinewarrior-000.png", 3)</f>
        <v/>
      </c>
      <c r="D10" s="101"/>
      <c r="E10" s="101"/>
      <c r="F10" s="101" t="str">
        <f>IMAGE("https://i.postimg.cc/W3843CHv/sunshinewarrior-001.png", 3)</f>
        <v/>
      </c>
      <c r="H10" s="101"/>
      <c r="I10" s="101"/>
      <c r="J10" s="101"/>
      <c r="L10" s="101"/>
      <c r="M10" s="101"/>
      <c r="N10" s="101"/>
      <c r="P10" s="101"/>
      <c r="Q10" s="101"/>
      <c r="R10" s="101"/>
      <c r="T10" s="101"/>
      <c r="U10" s="101"/>
      <c r="V10" s="101"/>
      <c r="X10" s="98"/>
    </row>
    <row r="11" ht="17.25" customHeight="1" outlineLevel="1">
      <c r="A11" s="115"/>
      <c r="B11" s="141">
        <f>date(2022,3,17)</f>
        <v>44637</v>
      </c>
      <c r="D11" s="125"/>
      <c r="E11" s="125"/>
      <c r="F11" s="141">
        <f>date(2022,3,27)</f>
        <v>44647</v>
      </c>
      <c r="H11" s="125"/>
      <c r="I11" s="125"/>
      <c r="J11" s="125"/>
      <c r="K11" s="125"/>
      <c r="L11" s="125"/>
      <c r="M11" s="125"/>
      <c r="N11" s="125"/>
      <c r="O11" s="125"/>
      <c r="P11" s="125"/>
      <c r="Q11" s="125"/>
      <c r="R11" s="125"/>
      <c r="S11" s="125"/>
      <c r="T11" s="125"/>
      <c r="U11" s="125"/>
      <c r="V11" s="125"/>
      <c r="W11" s="125"/>
      <c r="X11" s="115"/>
    </row>
    <row r="12" ht="17.25" customHeight="1" outlineLevel="1">
      <c r="A12" s="115"/>
      <c r="B12" s="124" t="str">
        <f>IMAGE(Cats!$F$3, 3)</f>
        <v/>
      </c>
      <c r="C12" s="125" t="str">
        <f>IMAGE(Hats!$G$3, 3)</f>
        <v/>
      </c>
      <c r="D12" s="125"/>
      <c r="E12" s="125"/>
      <c r="F12" s="124" t="str">
        <f>IMAGE(Cats!$F$3, 3)</f>
        <v/>
      </c>
      <c r="G12" s="125" t="str">
        <f>IMAGE(Hats!$G$26, 3)</f>
        <v/>
      </c>
      <c r="H12" s="125"/>
      <c r="I12" s="125"/>
      <c r="J12" s="125"/>
      <c r="K12" s="125"/>
      <c r="L12" s="125"/>
      <c r="M12" s="125"/>
      <c r="N12" s="125"/>
      <c r="O12" s="125"/>
      <c r="P12" s="125"/>
      <c r="Q12" s="125"/>
      <c r="R12" s="125"/>
      <c r="S12" s="125"/>
      <c r="T12" s="125"/>
      <c r="U12" s="125"/>
      <c r="V12" s="125"/>
      <c r="W12" s="125"/>
      <c r="X12" s="115"/>
    </row>
    <row r="13" ht="17.25" customHeight="1">
      <c r="A13" s="115"/>
      <c r="B13" s="125"/>
      <c r="C13" s="125"/>
      <c r="D13" s="125"/>
      <c r="E13" s="125"/>
      <c r="F13" s="125"/>
      <c r="G13" s="125"/>
      <c r="H13" s="125"/>
      <c r="I13" s="125"/>
      <c r="J13" s="125"/>
      <c r="K13" s="125"/>
      <c r="L13" s="125"/>
      <c r="M13" s="125"/>
      <c r="N13" s="125"/>
      <c r="O13" s="125"/>
      <c r="P13" s="125"/>
      <c r="Q13" s="125"/>
      <c r="R13" s="125"/>
      <c r="S13" s="125"/>
      <c r="T13" s="125"/>
      <c r="U13" s="125"/>
      <c r="V13" s="125"/>
      <c r="W13" s="125"/>
      <c r="X13" s="115"/>
    </row>
    <row r="14" ht="24.75" customHeight="1">
      <c r="A14" s="115"/>
      <c r="B14" s="117" t="s">
        <v>32</v>
      </c>
      <c r="X14" s="115"/>
    </row>
    <row r="15" ht="56.25" customHeight="1" outlineLevel="1">
      <c r="A15" s="98"/>
      <c r="B15" s="101" t="str">
        <f>IMAGE(Cats!$E$3, 3)</f>
        <v/>
      </c>
      <c r="D15" s="101"/>
      <c r="E15" s="101"/>
      <c r="F15" s="101" t="str">
        <f>IMAGE(Cats!$E$8, 3)</f>
        <v/>
      </c>
      <c r="H15" s="101"/>
      <c r="I15" s="101"/>
      <c r="J15" s="101"/>
      <c r="L15" s="101"/>
      <c r="M15" s="101"/>
      <c r="N15" s="101"/>
      <c r="P15" s="101"/>
      <c r="Q15" s="101"/>
      <c r="R15" s="101"/>
      <c r="T15" s="101"/>
      <c r="U15" s="101"/>
      <c r="V15" s="101"/>
      <c r="X15" s="98"/>
    </row>
    <row r="16" outlineLevel="1">
      <c r="A16" s="98"/>
      <c r="B16" s="142" t="str">
        <f>Cats!$C$3</f>
        <v>*A02</v>
      </c>
      <c r="D16" s="129"/>
      <c r="E16" s="129"/>
      <c r="F16" s="129" t="str">
        <f>Cats!$C$8</f>
        <v>*B03</v>
      </c>
      <c r="H16" s="101"/>
      <c r="I16" s="101"/>
      <c r="J16" s="129"/>
      <c r="K16" s="129"/>
      <c r="L16" s="101"/>
      <c r="M16" s="101"/>
      <c r="N16" s="129"/>
      <c r="O16" s="129"/>
      <c r="P16" s="101"/>
      <c r="Q16" s="101"/>
      <c r="R16" s="129"/>
      <c r="S16" s="129"/>
      <c r="T16" s="101"/>
      <c r="U16" s="101"/>
      <c r="V16" s="129"/>
      <c r="W16" s="129"/>
      <c r="X16" s="98"/>
    </row>
    <row r="17" ht="17.25" customHeight="1">
      <c r="A17" s="115"/>
      <c r="B17" s="125"/>
      <c r="C17" s="125"/>
      <c r="D17" s="125"/>
      <c r="E17" s="125"/>
      <c r="F17" s="125"/>
      <c r="G17" s="125"/>
      <c r="H17" s="125"/>
      <c r="I17" s="125"/>
      <c r="J17" s="125"/>
      <c r="K17" s="125"/>
      <c r="L17" s="125"/>
      <c r="M17" s="125"/>
      <c r="N17" s="125"/>
      <c r="O17" s="125"/>
      <c r="P17" s="125"/>
      <c r="Q17" s="125"/>
      <c r="R17" s="125"/>
      <c r="S17" s="125"/>
      <c r="T17" s="125"/>
      <c r="U17" s="125"/>
      <c r="V17" s="125"/>
      <c r="W17" s="125"/>
      <c r="X17" s="115"/>
    </row>
    <row r="18" ht="24.75" customHeight="1">
      <c r="A18" s="98"/>
      <c r="B18" s="131" t="s">
        <v>33</v>
      </c>
      <c r="X18" s="98"/>
    </row>
    <row r="19" ht="56.25" customHeight="1">
      <c r="A19" s="98"/>
      <c r="B19" s="101" t="str">
        <f>IMAGE(Hats!$F$3, 3)</f>
        <v/>
      </c>
      <c r="D19" s="101"/>
      <c r="E19" s="101"/>
      <c r="F19" s="101" t="str">
        <f>IMAGE(Hats!$F$7, 3)</f>
        <v/>
      </c>
      <c r="H19" s="101"/>
      <c r="I19" s="101"/>
      <c r="J19" s="101" t="str">
        <f>IMAGE(Hats!$F$11, 3)</f>
        <v/>
      </c>
      <c r="L19" s="101"/>
      <c r="M19" s="101"/>
      <c r="N19" s="101" t="str">
        <f>IMAGE(Hats!$F$17, 3)</f>
        <v/>
      </c>
      <c r="P19" s="101"/>
      <c r="Q19" s="101"/>
      <c r="R19" s="101"/>
      <c r="T19" s="101"/>
      <c r="U19" s="101"/>
      <c r="V19" s="101"/>
      <c r="X19" s="98"/>
    </row>
    <row r="20">
      <c r="A20" s="98"/>
      <c r="B20" s="129" t="str">
        <f>Hats!$C$3</f>
        <v>AA02</v>
      </c>
      <c r="C20" s="129">
        <v>1.0</v>
      </c>
      <c r="D20" s="129"/>
      <c r="E20" s="129"/>
      <c r="F20" s="129" t="str">
        <f>Hats!$C$7</f>
        <v>AB02</v>
      </c>
      <c r="G20" s="129">
        <v>1.0</v>
      </c>
      <c r="H20" s="101"/>
      <c r="I20" s="101"/>
      <c r="J20" s="129" t="str">
        <f>Hats!$C$11</f>
        <v>AB06</v>
      </c>
      <c r="K20" s="129">
        <v>1.0</v>
      </c>
      <c r="L20" s="101"/>
      <c r="M20" s="101"/>
      <c r="N20" s="129" t="str">
        <f>Hats!$C$17</f>
        <v>AB12</v>
      </c>
      <c r="O20" s="129">
        <v>1.0</v>
      </c>
      <c r="P20" s="101"/>
      <c r="Q20" s="101"/>
      <c r="R20" s="129"/>
      <c r="S20" s="129"/>
      <c r="T20" s="101"/>
      <c r="U20" s="101"/>
      <c r="V20" s="129"/>
      <c r="W20" s="129"/>
      <c r="X20" s="98"/>
    </row>
    <row r="21">
      <c r="A21" s="98"/>
      <c r="B21" s="98"/>
      <c r="C21" s="98"/>
      <c r="D21" s="98"/>
      <c r="E21" s="98"/>
      <c r="F21" s="98"/>
      <c r="G21" s="98"/>
      <c r="H21" s="98"/>
      <c r="I21" s="98"/>
      <c r="J21" s="98"/>
      <c r="K21" s="98"/>
      <c r="L21" s="98"/>
      <c r="M21" s="98"/>
      <c r="N21" s="98"/>
      <c r="O21" s="98"/>
      <c r="P21" s="98"/>
      <c r="Q21" s="98"/>
      <c r="R21" s="98"/>
      <c r="S21" s="98"/>
      <c r="T21" s="98"/>
      <c r="U21" s="98"/>
      <c r="V21" s="98"/>
      <c r="W21" s="98"/>
      <c r="X21" s="98"/>
    </row>
    <row r="22" ht="56.25" customHeight="1">
      <c r="A22" s="98"/>
      <c r="B22" s="101" t="str">
        <f>IMAGE(Hats!$F$19, 3)</f>
        <v/>
      </c>
      <c r="D22" s="101"/>
      <c r="E22" s="101"/>
      <c r="F22" s="101" t="str">
        <f>IMAGE(Hats!$F$21, 3)</f>
        <v/>
      </c>
      <c r="H22" s="101"/>
      <c r="I22" s="101"/>
      <c r="J22" s="101" t="str">
        <f>IMAGE(Hats!$F$23, 3)</f>
        <v/>
      </c>
      <c r="L22" s="101"/>
      <c r="M22" s="101"/>
      <c r="N22" s="101" t="str">
        <f>IMAGE(Hats!$F$26, 3)</f>
        <v/>
      </c>
      <c r="P22" s="101"/>
      <c r="Q22" s="101"/>
      <c r="R22" s="101" t="str">
        <f>IMAGE(Hats!$F$28, 3)</f>
        <v/>
      </c>
      <c r="T22" s="101"/>
      <c r="U22" s="101"/>
      <c r="V22" s="101" t="str">
        <f>IMAGE(Hats!$F$33, 3)</f>
        <v/>
      </c>
      <c r="X22" s="98"/>
    </row>
    <row r="23">
      <c r="A23" s="98"/>
      <c r="B23" s="129" t="str">
        <f>Hats!$C$19</f>
        <v>AC02</v>
      </c>
      <c r="C23" s="129">
        <v>1.0</v>
      </c>
      <c r="D23" s="101"/>
      <c r="E23" s="101"/>
      <c r="F23" s="129" t="str">
        <f>Hats!$C$21</f>
        <v>AC04</v>
      </c>
      <c r="G23" s="129">
        <v>1.0</v>
      </c>
      <c r="H23" s="101"/>
      <c r="I23" s="101"/>
      <c r="J23" s="129" t="str">
        <f>Hats!$C$23</f>
        <v>AC06</v>
      </c>
      <c r="K23" s="129">
        <v>1.0</v>
      </c>
      <c r="L23" s="101"/>
      <c r="M23" s="101"/>
      <c r="N23" s="129" t="str">
        <f>Hats!$C$26</f>
        <v>AC09</v>
      </c>
      <c r="O23" s="129">
        <v>1.0</v>
      </c>
      <c r="P23" s="101"/>
      <c r="Q23" s="101"/>
      <c r="R23" s="129" t="str">
        <f>Hats!$C$28</f>
        <v>AC11</v>
      </c>
      <c r="S23" s="129">
        <v>1.0</v>
      </c>
      <c r="T23" s="129"/>
      <c r="U23" s="129"/>
      <c r="V23" s="129" t="str">
        <f>Hats!$C$33</f>
        <v>AC16</v>
      </c>
      <c r="W23" s="129">
        <v>1.0</v>
      </c>
      <c r="X23" s="98"/>
    </row>
    <row r="24">
      <c r="A24" s="98"/>
      <c r="B24" s="98"/>
      <c r="C24" s="98"/>
      <c r="D24" s="98"/>
      <c r="E24" s="98"/>
      <c r="F24" s="98"/>
      <c r="G24" s="98"/>
      <c r="H24" s="98"/>
      <c r="I24" s="98"/>
      <c r="J24" s="98"/>
      <c r="K24" s="98"/>
      <c r="L24" s="98"/>
      <c r="M24" s="98"/>
      <c r="N24" s="98"/>
      <c r="O24" s="98"/>
      <c r="P24" s="98"/>
      <c r="Q24" s="98"/>
      <c r="R24" s="98"/>
      <c r="S24" s="98"/>
      <c r="T24" s="98"/>
      <c r="U24" s="98"/>
      <c r="V24" s="98"/>
      <c r="W24" s="98"/>
      <c r="X24" s="98"/>
    </row>
  </sheetData>
  <mergeCells count="38">
    <mergeCell ref="B2:W2"/>
    <mergeCell ref="J3:K3"/>
    <mergeCell ref="N3:O3"/>
    <mergeCell ref="J5:O5"/>
    <mergeCell ref="J6:O6"/>
    <mergeCell ref="J7:L7"/>
    <mergeCell ref="M7:O7"/>
    <mergeCell ref="F10:G10"/>
    <mergeCell ref="F11:G11"/>
    <mergeCell ref="F15:G15"/>
    <mergeCell ref="F16:G16"/>
    <mergeCell ref="F19:G19"/>
    <mergeCell ref="F22:G22"/>
    <mergeCell ref="B11:C11"/>
    <mergeCell ref="B15:C15"/>
    <mergeCell ref="B16:C16"/>
    <mergeCell ref="B19:C19"/>
    <mergeCell ref="B22:C22"/>
    <mergeCell ref="B9:W9"/>
    <mergeCell ref="B10:C10"/>
    <mergeCell ref="J10:K10"/>
    <mergeCell ref="N10:O10"/>
    <mergeCell ref="R10:S10"/>
    <mergeCell ref="V10:W10"/>
    <mergeCell ref="B14:W14"/>
    <mergeCell ref="R19:S19"/>
    <mergeCell ref="V19:W19"/>
    <mergeCell ref="J22:K22"/>
    <mergeCell ref="N22:O22"/>
    <mergeCell ref="R22:S22"/>
    <mergeCell ref="V22:W22"/>
    <mergeCell ref="J15:K15"/>
    <mergeCell ref="N15:O15"/>
    <mergeCell ref="R15:S15"/>
    <mergeCell ref="V15:W15"/>
    <mergeCell ref="B18:W18"/>
    <mergeCell ref="J19:K19"/>
    <mergeCell ref="N19:O19"/>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7257"/>
    <outlinePr summaryBelow="0" summaryRight="0"/>
  </sheetPr>
  <sheetViews>
    <sheetView showGridLines="0" workbookViewId="0"/>
  </sheetViews>
  <sheetFormatPr customHeight="1" defaultColWidth="12.63" defaultRowHeight="15.75" outlineLevelRow="1"/>
  <cols>
    <col customWidth="1" min="2" max="3" width="5.13"/>
    <col customWidth="1" min="4" max="5" width="1.38"/>
    <col customWidth="1" min="6" max="7" width="5.13"/>
    <col customWidth="1" min="8" max="9" width="1.38"/>
    <col customWidth="1" min="10" max="11" width="5.13"/>
    <col customWidth="1" min="12" max="13" width="1.38"/>
    <col customWidth="1" min="14" max="15" width="5.13"/>
    <col customWidth="1" min="16" max="17" width="1.38"/>
    <col customWidth="1" min="18" max="19" width="5.13"/>
    <col customWidth="1" min="20" max="21" width="1.38"/>
    <col customWidth="1" min="22" max="23" width="5.13"/>
  </cols>
  <sheetData>
    <row r="1">
      <c r="A1" s="98"/>
      <c r="B1" s="98"/>
      <c r="C1" s="98"/>
      <c r="D1" s="98"/>
      <c r="E1" s="98"/>
      <c r="F1" s="98"/>
      <c r="G1" s="98"/>
      <c r="H1" s="98"/>
      <c r="I1" s="98"/>
      <c r="J1" s="98"/>
      <c r="K1" s="98"/>
      <c r="L1" s="98"/>
      <c r="M1" s="98"/>
      <c r="N1" s="98"/>
      <c r="O1" s="98"/>
      <c r="P1" s="98"/>
      <c r="Q1" s="98"/>
      <c r="R1" s="98"/>
      <c r="S1" s="98"/>
      <c r="T1" s="98"/>
      <c r="U1" s="98"/>
      <c r="V1" s="98"/>
      <c r="W1" s="98"/>
      <c r="X1" s="98"/>
    </row>
    <row r="2">
      <c r="A2" s="98"/>
      <c r="B2" s="100" t="s">
        <v>29</v>
      </c>
      <c r="X2" s="98"/>
    </row>
    <row r="3">
      <c r="A3" s="98"/>
      <c r="B3" s="98"/>
      <c r="C3" s="101"/>
      <c r="D3" s="102"/>
      <c r="E3" s="102"/>
      <c r="F3" s="101"/>
      <c r="G3" s="101"/>
      <c r="H3" s="102"/>
      <c r="I3" s="102"/>
      <c r="J3" s="103" t="s">
        <v>27</v>
      </c>
      <c r="L3" s="103"/>
      <c r="M3" s="103"/>
      <c r="N3" s="104">
        <f>IFERROR(__xludf.DUMMYFUNCTION("SUM(IFERROR(QUERY(Records!$A:$F, CONCATENATE(""select F where B contains '"", $B2, ""'""), 0))) - SUM(IFERROR(QUERY(Records!$A:$F, CONCATENATE(""select G where B contains '"", $B2, ""'""), 0)))"),17.0)</f>
        <v>17</v>
      </c>
      <c r="P3" s="102"/>
      <c r="Q3" s="102"/>
      <c r="R3" s="101"/>
      <c r="S3" s="101"/>
      <c r="T3" s="102"/>
      <c r="U3" s="102"/>
      <c r="V3" s="101"/>
      <c r="W3" s="101"/>
      <c r="X3" s="98"/>
    </row>
    <row r="4" ht="23.25" customHeight="1">
      <c r="A4" s="98"/>
      <c r="B4" s="101"/>
      <c r="C4" s="101"/>
      <c r="D4" s="101"/>
      <c r="E4" s="101"/>
      <c r="F4" s="101"/>
      <c r="G4" s="101"/>
      <c r="H4" s="101"/>
      <c r="I4" s="101"/>
      <c r="J4" s="101"/>
      <c r="K4" s="101"/>
      <c r="L4" s="101"/>
      <c r="M4" s="101"/>
      <c r="N4" s="101"/>
      <c r="O4" s="101"/>
      <c r="P4" s="101"/>
      <c r="Q4" s="101"/>
      <c r="R4" s="101"/>
      <c r="S4" s="101"/>
      <c r="T4" s="101"/>
      <c r="U4" s="101"/>
      <c r="V4" s="101"/>
      <c r="W4" s="101"/>
      <c r="X4" s="98"/>
    </row>
    <row r="5" ht="112.5" customHeight="1">
      <c r="A5" s="98"/>
      <c r="B5" s="101"/>
      <c r="C5" s="101"/>
      <c r="D5" s="101"/>
      <c r="E5" s="101"/>
      <c r="F5" s="101"/>
      <c r="G5" s="101"/>
      <c r="H5" s="101"/>
      <c r="I5" s="101"/>
      <c r="J5" s="105" t="str">
        <f>IMAGE("https://i.postimg.cc/R0t74GRK/wildfilly94-big.png", 3)</f>
        <v/>
      </c>
      <c r="K5" s="106"/>
      <c r="L5" s="106"/>
      <c r="M5" s="106"/>
      <c r="N5" s="106"/>
      <c r="O5" s="107"/>
      <c r="P5" s="101"/>
      <c r="Q5" s="101"/>
      <c r="R5" s="101"/>
      <c r="S5" s="101"/>
      <c r="T5" s="101"/>
      <c r="U5" s="101"/>
      <c r="V5" s="101"/>
      <c r="W5" s="101"/>
      <c r="X5" s="98"/>
    </row>
    <row r="6" ht="18.0" customHeight="1">
      <c r="A6" s="98"/>
      <c r="B6" s="101"/>
      <c r="C6" s="101"/>
      <c r="D6" s="101"/>
      <c r="E6" s="101"/>
      <c r="F6" s="101"/>
      <c r="G6" s="101"/>
      <c r="H6" s="101"/>
      <c r="I6" s="101"/>
      <c r="J6" s="108" t="s">
        <v>47</v>
      </c>
      <c r="O6" s="109"/>
      <c r="P6" s="101"/>
      <c r="Q6" s="101"/>
      <c r="R6" s="101"/>
      <c r="S6" s="101"/>
      <c r="T6" s="101"/>
      <c r="U6" s="101"/>
      <c r="V6" s="101"/>
      <c r="W6" s="101"/>
      <c r="X6" s="98"/>
    </row>
    <row r="7" ht="27.0" customHeight="1">
      <c r="A7" s="98"/>
      <c r="B7" s="101"/>
      <c r="C7" s="101"/>
      <c r="D7" s="101"/>
      <c r="E7" s="101"/>
      <c r="F7" s="101"/>
      <c r="G7" s="101"/>
      <c r="H7" s="101"/>
      <c r="I7" s="101"/>
      <c r="J7" s="110" t="str">
        <f>IMAGE(Cats!$F$3, 3)</f>
        <v/>
      </c>
      <c r="K7" s="111"/>
      <c r="L7" s="111"/>
      <c r="M7" s="113" t="str">
        <f>IMAGE(Hats!$G$5, 3)</f>
        <v/>
      </c>
      <c r="N7" s="111"/>
      <c r="O7" s="114"/>
      <c r="P7" s="101"/>
      <c r="Q7" s="101"/>
      <c r="R7" s="101"/>
      <c r="S7" s="101"/>
      <c r="T7" s="101"/>
      <c r="U7" s="101"/>
      <c r="V7" s="101"/>
      <c r="W7" s="101"/>
      <c r="X7" s="98"/>
    </row>
    <row r="8" ht="25.5" customHeight="1">
      <c r="A8" s="98"/>
      <c r="B8" s="101"/>
      <c r="C8" s="101"/>
      <c r="D8" s="101"/>
      <c r="E8" s="101"/>
      <c r="F8" s="101"/>
      <c r="G8" s="101"/>
      <c r="H8" s="101"/>
      <c r="I8" s="101"/>
      <c r="J8" s="101"/>
      <c r="K8" s="101"/>
      <c r="L8" s="101"/>
      <c r="M8" s="101"/>
      <c r="N8" s="101"/>
      <c r="O8" s="101"/>
      <c r="P8" s="101"/>
      <c r="Q8" s="101"/>
      <c r="R8" s="101"/>
      <c r="S8" s="101"/>
      <c r="T8" s="101"/>
      <c r="U8" s="101"/>
      <c r="V8" s="101"/>
      <c r="W8" s="101"/>
      <c r="X8" s="98"/>
    </row>
    <row r="9" ht="24.75" customHeight="1">
      <c r="A9" s="115"/>
      <c r="B9" s="117" t="s">
        <v>31</v>
      </c>
      <c r="X9" s="115"/>
    </row>
    <row r="10" ht="56.25" customHeight="1" outlineLevel="1">
      <c r="A10" s="98"/>
      <c r="B10" s="101" t="str">
        <f>IMAGE("https://i.postimg.cc/sDq5sGWJ/wildfilly94-000.png", 3)</f>
        <v/>
      </c>
      <c r="D10" s="101"/>
      <c r="E10" s="101"/>
      <c r="F10" s="101" t="str">
        <f>IMAGE("https://i.postimg.cc/N0hFP1HW/wildfilly94-001.png", 3)</f>
        <v/>
      </c>
      <c r="H10" s="101"/>
      <c r="I10" s="101"/>
      <c r="J10" s="101"/>
      <c r="L10" s="101"/>
      <c r="M10" s="101"/>
      <c r="N10" s="101"/>
      <c r="P10" s="101"/>
      <c r="Q10" s="101"/>
      <c r="R10" s="101"/>
      <c r="T10" s="101"/>
      <c r="U10" s="101"/>
      <c r="V10" s="101"/>
      <c r="X10" s="98"/>
    </row>
    <row r="11" ht="17.25" customHeight="1" outlineLevel="1">
      <c r="A11" s="115"/>
      <c r="B11" s="141">
        <f>date(2022,3,17)</f>
        <v>44637</v>
      </c>
      <c r="D11" s="125"/>
      <c r="E11" s="125"/>
      <c r="F11" s="141">
        <f>date(2022,3,27)</f>
        <v>44647</v>
      </c>
      <c r="H11" s="125"/>
      <c r="I11" s="125"/>
      <c r="J11" s="125"/>
      <c r="K11" s="125"/>
      <c r="L11" s="125"/>
      <c r="M11" s="125"/>
      <c r="N11" s="125"/>
      <c r="O11" s="125"/>
      <c r="P11" s="125"/>
      <c r="Q11" s="125"/>
      <c r="R11" s="125"/>
      <c r="S11" s="125"/>
      <c r="T11" s="125"/>
      <c r="U11" s="125"/>
      <c r="V11" s="125"/>
      <c r="W11" s="125"/>
      <c r="X11" s="115"/>
    </row>
    <row r="12" ht="17.25" customHeight="1" outlineLevel="1">
      <c r="A12" s="115"/>
      <c r="B12" s="124" t="str">
        <f>IMAGE(Cats!$F$3, 3)</f>
        <v/>
      </c>
      <c r="C12" s="125" t="str">
        <f>IMAGE(Hats!$G$5, 3)</f>
        <v/>
      </c>
      <c r="D12" s="125"/>
      <c r="E12" s="125"/>
      <c r="F12" s="124" t="str">
        <f>IMAGE(Cats!$F$3, 3)</f>
        <v/>
      </c>
      <c r="G12" s="125" t="str">
        <f>IMAGE(Hats!$G$24, 3)</f>
        <v/>
      </c>
      <c r="H12" s="125"/>
      <c r="I12" s="125"/>
      <c r="J12" s="125"/>
      <c r="K12" s="125"/>
      <c r="L12" s="125"/>
      <c r="M12" s="125"/>
      <c r="N12" s="125"/>
      <c r="O12" s="125"/>
      <c r="P12" s="125"/>
      <c r="Q12" s="125"/>
      <c r="R12" s="125"/>
      <c r="S12" s="125"/>
      <c r="T12" s="125"/>
      <c r="U12" s="125"/>
      <c r="V12" s="125"/>
      <c r="W12" s="125"/>
      <c r="X12" s="115"/>
    </row>
    <row r="13" ht="17.25" customHeight="1">
      <c r="A13" s="115"/>
      <c r="B13" s="125"/>
      <c r="C13" s="125"/>
      <c r="D13" s="125"/>
      <c r="E13" s="125"/>
      <c r="F13" s="125"/>
      <c r="G13" s="125"/>
      <c r="H13" s="125"/>
      <c r="I13" s="125"/>
      <c r="J13" s="125"/>
      <c r="K13" s="125"/>
      <c r="L13" s="125"/>
      <c r="M13" s="125"/>
      <c r="N13" s="125"/>
      <c r="O13" s="125"/>
      <c r="P13" s="125"/>
      <c r="Q13" s="125"/>
      <c r="R13" s="125"/>
      <c r="S13" s="125"/>
      <c r="T13" s="125"/>
      <c r="U13" s="125"/>
      <c r="V13" s="125"/>
      <c r="W13" s="125"/>
      <c r="X13" s="115"/>
    </row>
    <row r="14" ht="24.75" customHeight="1">
      <c r="A14" s="115"/>
      <c r="B14" s="117" t="s">
        <v>32</v>
      </c>
      <c r="X14" s="115"/>
    </row>
    <row r="15" ht="56.25" customHeight="1" outlineLevel="1">
      <c r="A15" s="98"/>
      <c r="B15" s="101" t="str">
        <f>IMAGE(Cats!$E$3, 3)</f>
        <v/>
      </c>
      <c r="D15" s="101"/>
      <c r="E15" s="101"/>
      <c r="F15" s="101" t="str">
        <f>IMAGE(Cats!$E$8, 3)</f>
        <v/>
      </c>
      <c r="H15" s="101"/>
      <c r="I15" s="101"/>
      <c r="J15" s="101"/>
      <c r="L15" s="101"/>
      <c r="M15" s="101"/>
      <c r="N15" s="101"/>
      <c r="P15" s="101"/>
      <c r="Q15" s="101"/>
      <c r="R15" s="101"/>
      <c r="T15" s="101"/>
      <c r="U15" s="101"/>
      <c r="V15" s="101"/>
      <c r="X15" s="98"/>
    </row>
    <row r="16" outlineLevel="1">
      <c r="A16" s="98"/>
      <c r="B16" s="142" t="str">
        <f>Cats!$C$3</f>
        <v>*A02</v>
      </c>
      <c r="D16" s="129"/>
      <c r="E16" s="129"/>
      <c r="F16" s="129" t="str">
        <f>Cats!$C$8</f>
        <v>*B03</v>
      </c>
      <c r="H16" s="101"/>
      <c r="I16" s="101"/>
      <c r="J16" s="129"/>
      <c r="K16" s="129"/>
      <c r="L16" s="101"/>
      <c r="M16" s="101"/>
      <c r="N16" s="129"/>
      <c r="O16" s="129"/>
      <c r="P16" s="101"/>
      <c r="Q16" s="101"/>
      <c r="R16" s="129"/>
      <c r="S16" s="129"/>
      <c r="T16" s="101"/>
      <c r="U16" s="101"/>
      <c r="V16" s="129"/>
      <c r="W16" s="129"/>
      <c r="X16" s="98"/>
    </row>
    <row r="17" ht="17.25" customHeight="1">
      <c r="A17" s="115"/>
      <c r="B17" s="125"/>
      <c r="C17" s="125"/>
      <c r="D17" s="125"/>
      <c r="E17" s="125"/>
      <c r="F17" s="125"/>
      <c r="G17" s="125"/>
      <c r="H17" s="125"/>
      <c r="I17" s="125"/>
      <c r="J17" s="125"/>
      <c r="K17" s="125"/>
      <c r="L17" s="125"/>
      <c r="M17" s="125"/>
      <c r="N17" s="125"/>
      <c r="O17" s="125"/>
      <c r="P17" s="125"/>
      <c r="Q17" s="125"/>
      <c r="R17" s="125"/>
      <c r="S17" s="125"/>
      <c r="T17" s="125"/>
      <c r="U17" s="125"/>
      <c r="V17" s="125"/>
      <c r="W17" s="125"/>
      <c r="X17" s="115"/>
    </row>
    <row r="18" ht="24.75" customHeight="1">
      <c r="A18" s="98"/>
      <c r="B18" s="131" t="s">
        <v>33</v>
      </c>
      <c r="X18" s="98"/>
    </row>
    <row r="19" ht="56.25" customHeight="1">
      <c r="A19" s="98"/>
      <c r="B19" s="101" t="str">
        <f>IMAGE(Hats!$F$5, 3)</f>
        <v/>
      </c>
      <c r="D19" s="101"/>
      <c r="E19" s="101"/>
      <c r="F19" s="101" t="str">
        <f>IMAGE(Hats!$F$13, 3)</f>
        <v/>
      </c>
      <c r="H19" s="101"/>
      <c r="I19" s="101"/>
      <c r="J19" s="101" t="str">
        <f>IMAGE(Hats!$F$15, 3)</f>
        <v/>
      </c>
      <c r="L19" s="101"/>
      <c r="M19" s="101"/>
      <c r="N19" s="101" t="str">
        <f>IMAGE(Hats!$F$19, 3)</f>
        <v/>
      </c>
      <c r="P19" s="101"/>
      <c r="Q19" s="101"/>
      <c r="R19" s="101" t="str">
        <f>IMAGE(Hats!$F$20, 3)</f>
        <v/>
      </c>
      <c r="T19" s="101"/>
      <c r="U19" s="101"/>
      <c r="V19" s="101" t="str">
        <f>IMAGE(Hats!$F$24, 3)</f>
        <v/>
      </c>
      <c r="X19" s="98"/>
    </row>
    <row r="20">
      <c r="A20" s="98"/>
      <c r="B20" s="129" t="str">
        <f>Hats!$C$5</f>
        <v>AA04</v>
      </c>
      <c r="C20" s="129">
        <v>1.0</v>
      </c>
      <c r="D20" s="129"/>
      <c r="E20" s="129"/>
      <c r="F20" s="129" t="str">
        <f>Hats!$C$13</f>
        <v>AB08</v>
      </c>
      <c r="G20" s="129">
        <v>1.0</v>
      </c>
      <c r="H20" s="101"/>
      <c r="I20" s="101"/>
      <c r="J20" s="129" t="str">
        <f>Hats!$C$15</f>
        <v>AB10</v>
      </c>
      <c r="K20" s="129">
        <v>1.0</v>
      </c>
      <c r="L20" s="101"/>
      <c r="M20" s="101"/>
      <c r="N20" s="129" t="str">
        <f>Hats!$C$19</f>
        <v>AC02</v>
      </c>
      <c r="O20" s="129">
        <v>1.0</v>
      </c>
      <c r="P20" s="101"/>
      <c r="Q20" s="101"/>
      <c r="R20" s="129" t="str">
        <f>Hats!$C$20</f>
        <v>AC03</v>
      </c>
      <c r="S20" s="129">
        <v>1.0</v>
      </c>
      <c r="T20" s="101"/>
      <c r="U20" s="101"/>
      <c r="V20" s="129" t="str">
        <f>Hats!$C$24</f>
        <v>AC07</v>
      </c>
      <c r="W20" s="129">
        <v>1.0</v>
      </c>
      <c r="X20" s="98"/>
    </row>
    <row r="21">
      <c r="A21" s="98"/>
      <c r="B21" s="98"/>
      <c r="C21" s="98"/>
      <c r="D21" s="98"/>
      <c r="E21" s="98"/>
      <c r="F21" s="98"/>
      <c r="G21" s="98"/>
      <c r="H21" s="98"/>
      <c r="I21" s="98"/>
      <c r="J21" s="98"/>
      <c r="K21" s="98"/>
      <c r="L21" s="98"/>
      <c r="M21" s="98"/>
      <c r="N21" s="98"/>
      <c r="O21" s="98"/>
      <c r="P21" s="98"/>
      <c r="Q21" s="98"/>
      <c r="R21" s="98"/>
      <c r="S21" s="98"/>
      <c r="T21" s="98"/>
      <c r="U21" s="98"/>
      <c r="V21" s="98"/>
      <c r="W21" s="98"/>
      <c r="X21" s="98"/>
    </row>
    <row r="22" ht="56.25" customHeight="1">
      <c r="A22" s="98"/>
      <c r="B22" s="101" t="str">
        <f>IMAGE(Hats!$F$30, 3)</f>
        <v/>
      </c>
      <c r="D22" s="101"/>
      <c r="E22" s="101"/>
      <c r="F22" s="101"/>
      <c r="H22" s="101"/>
      <c r="I22" s="101"/>
      <c r="J22" s="101"/>
      <c r="L22" s="101"/>
      <c r="M22" s="101"/>
      <c r="N22" s="101"/>
      <c r="P22" s="101"/>
      <c r="Q22" s="101"/>
      <c r="R22" s="101"/>
      <c r="T22" s="101"/>
      <c r="U22" s="101"/>
      <c r="V22" s="101"/>
      <c r="X22" s="98"/>
    </row>
    <row r="23">
      <c r="A23" s="98"/>
      <c r="B23" s="129" t="str">
        <f>Hats!$C$30</f>
        <v>AC13</v>
      </c>
      <c r="C23" s="129">
        <v>1.0</v>
      </c>
      <c r="D23" s="129"/>
      <c r="E23" s="129"/>
      <c r="F23" s="129"/>
      <c r="G23" s="129"/>
      <c r="H23" s="101"/>
      <c r="I23" s="101"/>
      <c r="J23" s="129"/>
      <c r="K23" s="129"/>
      <c r="L23" s="101"/>
      <c r="M23" s="101"/>
      <c r="N23" s="129"/>
      <c r="O23" s="129"/>
      <c r="P23" s="101"/>
      <c r="Q23" s="101"/>
      <c r="R23" s="129"/>
      <c r="S23" s="129"/>
      <c r="T23" s="101"/>
      <c r="U23" s="101"/>
      <c r="V23" s="129"/>
      <c r="W23" s="129"/>
      <c r="X23" s="98"/>
    </row>
    <row r="24">
      <c r="A24" s="98"/>
      <c r="B24" s="98"/>
      <c r="C24" s="98"/>
      <c r="D24" s="98"/>
      <c r="E24" s="98"/>
      <c r="F24" s="98"/>
      <c r="G24" s="98"/>
      <c r="H24" s="98"/>
      <c r="I24" s="98"/>
      <c r="J24" s="98"/>
      <c r="K24" s="98"/>
      <c r="L24" s="98"/>
      <c r="M24" s="98"/>
      <c r="N24" s="98"/>
      <c r="O24" s="98"/>
      <c r="P24" s="98"/>
      <c r="Q24" s="98"/>
      <c r="R24" s="98"/>
      <c r="S24" s="98"/>
      <c r="T24" s="98"/>
      <c r="U24" s="98"/>
      <c r="V24" s="98"/>
      <c r="W24" s="98"/>
      <c r="X24" s="98"/>
    </row>
  </sheetData>
  <mergeCells count="38">
    <mergeCell ref="B2:W2"/>
    <mergeCell ref="J3:K3"/>
    <mergeCell ref="N3:O3"/>
    <mergeCell ref="J5:O5"/>
    <mergeCell ref="J6:O6"/>
    <mergeCell ref="J7:L7"/>
    <mergeCell ref="M7:O7"/>
    <mergeCell ref="F10:G10"/>
    <mergeCell ref="F11:G11"/>
    <mergeCell ref="F15:G15"/>
    <mergeCell ref="F16:G16"/>
    <mergeCell ref="F19:G19"/>
    <mergeCell ref="F22:G22"/>
    <mergeCell ref="B11:C11"/>
    <mergeCell ref="B15:C15"/>
    <mergeCell ref="B16:C16"/>
    <mergeCell ref="B19:C19"/>
    <mergeCell ref="B22:C22"/>
    <mergeCell ref="B9:W9"/>
    <mergeCell ref="B10:C10"/>
    <mergeCell ref="J10:K10"/>
    <mergeCell ref="N10:O10"/>
    <mergeCell ref="R10:S10"/>
    <mergeCell ref="V10:W10"/>
    <mergeCell ref="B14:W14"/>
    <mergeCell ref="R19:S19"/>
    <mergeCell ref="V19:W19"/>
    <mergeCell ref="J22:K22"/>
    <mergeCell ref="N22:O22"/>
    <mergeCell ref="R22:S22"/>
    <mergeCell ref="V22:W22"/>
    <mergeCell ref="J15:K15"/>
    <mergeCell ref="N15:O15"/>
    <mergeCell ref="R15:S15"/>
    <mergeCell ref="V15:W15"/>
    <mergeCell ref="B18:W18"/>
    <mergeCell ref="J19:K19"/>
    <mergeCell ref="N19:O19"/>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7257"/>
    <outlinePr summaryBelow="0" summaryRight="0"/>
  </sheetPr>
  <sheetViews>
    <sheetView showGridLines="0" workbookViewId="0"/>
  </sheetViews>
  <sheetFormatPr customHeight="1" defaultColWidth="12.63" defaultRowHeight="15.75" outlineLevelRow="1"/>
  <cols>
    <col customWidth="1" min="2" max="3" width="5.13"/>
    <col customWidth="1" min="4" max="5" width="1.38"/>
    <col customWidth="1" min="6" max="7" width="5.13"/>
    <col customWidth="1" min="8" max="9" width="1.38"/>
    <col customWidth="1" min="10" max="11" width="5.13"/>
    <col customWidth="1" min="12" max="13" width="1.38"/>
    <col customWidth="1" min="14" max="15" width="5.13"/>
    <col customWidth="1" min="16" max="17" width="1.38"/>
    <col customWidth="1" min="18" max="19" width="5.13"/>
    <col customWidth="1" min="20" max="21" width="1.38"/>
    <col customWidth="1" min="22" max="23" width="5.13"/>
  </cols>
  <sheetData>
    <row r="1">
      <c r="A1" s="98"/>
      <c r="B1" s="98"/>
      <c r="C1" s="98"/>
      <c r="D1" s="98"/>
      <c r="E1" s="98"/>
      <c r="F1" s="98"/>
      <c r="G1" s="98"/>
      <c r="H1" s="98"/>
      <c r="I1" s="98"/>
      <c r="J1" s="98"/>
      <c r="K1" s="98"/>
      <c r="L1" s="98"/>
      <c r="M1" s="98"/>
      <c r="N1" s="98"/>
      <c r="O1" s="98"/>
      <c r="P1" s="98"/>
      <c r="Q1" s="98"/>
      <c r="R1" s="98"/>
      <c r="S1" s="98"/>
      <c r="T1" s="98"/>
      <c r="U1" s="98"/>
      <c r="V1" s="98"/>
      <c r="W1" s="98"/>
      <c r="X1" s="98"/>
    </row>
    <row r="2">
      <c r="A2" s="98"/>
      <c r="B2" s="100" t="s">
        <v>21</v>
      </c>
      <c r="X2" s="98"/>
    </row>
    <row r="3">
      <c r="A3" s="98"/>
      <c r="B3" s="98"/>
      <c r="C3" s="101"/>
      <c r="D3" s="102"/>
      <c r="E3" s="102"/>
      <c r="F3" s="101"/>
      <c r="G3" s="101"/>
      <c r="H3" s="102"/>
      <c r="I3" s="102"/>
      <c r="J3" s="103" t="s">
        <v>27</v>
      </c>
      <c r="L3" s="103"/>
      <c r="M3" s="103"/>
      <c r="N3" s="104">
        <f>IFERROR(__xludf.DUMMYFUNCTION("SUM(IFERROR(QUERY(Records!$A:$F, CONCATENATE(""select F where B contains '"", $B2, ""'""), 0))) - SUM(IFERROR(QUERY(Records!$A:$F, CONCATENATE(""select G where B contains '"", $B2, ""'""), 0)))"),90.0)</f>
        <v>90</v>
      </c>
      <c r="P3" s="102"/>
      <c r="Q3" s="102"/>
      <c r="R3" s="101"/>
      <c r="S3" s="101"/>
      <c r="T3" s="102"/>
      <c r="U3" s="102"/>
      <c r="V3" s="101"/>
      <c r="W3" s="101"/>
      <c r="X3" s="98"/>
    </row>
    <row r="4" ht="23.25" customHeight="1">
      <c r="A4" s="98"/>
      <c r="B4" s="101"/>
      <c r="C4" s="101"/>
      <c r="D4" s="101"/>
      <c r="E4" s="101"/>
      <c r="F4" s="101"/>
      <c r="G4" s="101"/>
      <c r="H4" s="101"/>
      <c r="I4" s="101"/>
      <c r="J4" s="101"/>
      <c r="K4" s="101"/>
      <c r="L4" s="101"/>
      <c r="M4" s="101"/>
      <c r="N4" s="101"/>
      <c r="O4" s="101"/>
      <c r="P4" s="101"/>
      <c r="Q4" s="101"/>
      <c r="R4" s="101"/>
      <c r="S4" s="101"/>
      <c r="T4" s="101"/>
      <c r="U4" s="101"/>
      <c r="V4" s="101"/>
      <c r="W4" s="101"/>
      <c r="X4" s="98"/>
    </row>
    <row r="5" ht="112.5" customHeight="1">
      <c r="A5" s="98"/>
      <c r="B5" s="101"/>
      <c r="C5" s="101"/>
      <c r="D5" s="101"/>
      <c r="E5" s="101"/>
      <c r="F5" s="101"/>
      <c r="G5" s="101"/>
      <c r="H5" s="101"/>
      <c r="I5" s="101"/>
      <c r="J5" s="105" t="str">
        <f>IMAGE("https://i.postimg.cc/85WkWQcR/xlostxdestinyx-big.png", 3)</f>
        <v/>
      </c>
      <c r="K5" s="106"/>
      <c r="L5" s="106"/>
      <c r="M5" s="106"/>
      <c r="N5" s="106"/>
      <c r="O5" s="107"/>
      <c r="P5" s="101"/>
      <c r="Q5" s="101"/>
      <c r="R5" s="101"/>
      <c r="S5" s="101"/>
      <c r="T5" s="101"/>
      <c r="U5" s="101"/>
      <c r="V5" s="101"/>
      <c r="W5" s="101"/>
      <c r="X5" s="98"/>
    </row>
    <row r="6" ht="18.0" customHeight="1">
      <c r="A6" s="98"/>
      <c r="B6" s="101"/>
      <c r="C6" s="101"/>
      <c r="D6" s="101"/>
      <c r="E6" s="101"/>
      <c r="F6" s="101"/>
      <c r="G6" s="101"/>
      <c r="H6" s="101"/>
      <c r="I6" s="101"/>
      <c r="J6" s="108" t="s">
        <v>48</v>
      </c>
      <c r="O6" s="109"/>
      <c r="P6" s="101"/>
      <c r="Q6" s="101"/>
      <c r="R6" s="101"/>
      <c r="S6" s="101"/>
      <c r="T6" s="101"/>
      <c r="U6" s="101"/>
      <c r="V6" s="101"/>
      <c r="W6" s="101"/>
      <c r="X6" s="98"/>
    </row>
    <row r="7" ht="27.0" customHeight="1">
      <c r="A7" s="98"/>
      <c r="B7" s="101"/>
      <c r="C7" s="101"/>
      <c r="D7" s="101"/>
      <c r="E7" s="101"/>
      <c r="F7" s="101"/>
      <c r="G7" s="101"/>
      <c r="H7" s="101"/>
      <c r="I7" s="101"/>
      <c r="J7" s="110" t="str">
        <f>IMAGE(Cats!$F$3, 3)</f>
        <v/>
      </c>
      <c r="K7" s="111"/>
      <c r="L7" s="111"/>
      <c r="M7" s="113" t="str">
        <f>IMAGE(Hats!$G$3, 3)</f>
        <v/>
      </c>
      <c r="N7" s="111"/>
      <c r="O7" s="114"/>
      <c r="P7" s="101"/>
      <c r="Q7" s="101"/>
      <c r="R7" s="101"/>
      <c r="S7" s="101"/>
      <c r="T7" s="101"/>
      <c r="U7" s="101"/>
      <c r="V7" s="101"/>
      <c r="W7" s="101"/>
      <c r="X7" s="98"/>
    </row>
    <row r="8" ht="25.5" customHeight="1">
      <c r="A8" s="98"/>
      <c r="B8" s="101"/>
      <c r="C8" s="101"/>
      <c r="D8" s="101"/>
      <c r="E8" s="101"/>
      <c r="F8" s="101"/>
      <c r="G8" s="101"/>
      <c r="H8" s="101"/>
      <c r="I8" s="101"/>
      <c r="J8" s="101"/>
      <c r="K8" s="101"/>
      <c r="L8" s="101"/>
      <c r="M8" s="101"/>
      <c r="N8" s="101"/>
      <c r="O8" s="101"/>
      <c r="P8" s="101"/>
      <c r="Q8" s="101"/>
      <c r="R8" s="101"/>
      <c r="S8" s="101"/>
      <c r="T8" s="101"/>
      <c r="U8" s="101"/>
      <c r="V8" s="101"/>
      <c r="W8" s="101"/>
      <c r="X8" s="98"/>
    </row>
    <row r="9" ht="24.75" customHeight="1">
      <c r="A9" s="115"/>
      <c r="B9" s="117" t="s">
        <v>31</v>
      </c>
      <c r="X9" s="115"/>
    </row>
    <row r="10" ht="56.25" customHeight="1" outlineLevel="1">
      <c r="A10" s="98"/>
      <c r="B10" s="101" t="str">
        <f>IMAGE("https://i.postimg.cc/Y0VWgW2Q/xlostxdestinyx-000.png", 3)</f>
        <v/>
      </c>
      <c r="D10" s="101"/>
      <c r="E10" s="101"/>
      <c r="F10" s="101" t="str">
        <f>IMAGE("https://i.postimg.cc/Wbz6PXHG/xlostxdestinyx-001.png", 3)</f>
        <v/>
      </c>
      <c r="H10" s="101"/>
      <c r="I10" s="101"/>
      <c r="J10" s="101" t="str">
        <f>IMAGE("https://i.postimg.cc/mD5m03yr/xlostxdestinyx-002.png", 3)</f>
        <v/>
      </c>
      <c r="L10" s="101"/>
      <c r="M10" s="101"/>
      <c r="N10" s="101"/>
      <c r="P10" s="101"/>
      <c r="Q10" s="101"/>
      <c r="R10" s="101"/>
      <c r="T10" s="101"/>
      <c r="U10" s="101"/>
      <c r="V10" s="101"/>
      <c r="X10" s="98"/>
    </row>
    <row r="11" ht="17.25" customHeight="1" outlineLevel="1">
      <c r="A11" s="120"/>
      <c r="B11" s="122">
        <f>date(2022,3,17)</f>
        <v>44637</v>
      </c>
      <c r="D11" s="123"/>
      <c r="E11" s="123"/>
      <c r="F11" s="122">
        <f>date(2022,3,27)</f>
        <v>44647</v>
      </c>
      <c r="H11" s="123"/>
      <c r="I11" s="123"/>
      <c r="J11" s="122">
        <f>date(2022, 4, 4)</f>
        <v>44655</v>
      </c>
      <c r="L11" s="123"/>
      <c r="M11" s="123"/>
      <c r="N11" s="123"/>
      <c r="O11" s="123"/>
      <c r="P11" s="123"/>
      <c r="Q11" s="123"/>
      <c r="R11" s="123"/>
      <c r="S11" s="123"/>
      <c r="T11" s="123"/>
      <c r="U11" s="123"/>
      <c r="V11" s="123"/>
      <c r="W11" s="123"/>
      <c r="X11" s="120"/>
    </row>
    <row r="12" ht="17.25" customHeight="1" outlineLevel="1">
      <c r="A12" s="115"/>
      <c r="B12" s="124" t="str">
        <f>IMAGE(Cats!$F$3, 3)</f>
        <v/>
      </c>
      <c r="C12" s="125" t="str">
        <f>IMAGE(Hats!$G$3, 3)</f>
        <v/>
      </c>
      <c r="D12" s="125"/>
      <c r="E12" s="125"/>
      <c r="F12" s="124" t="str">
        <f>IMAGE(Cats!$F$3, 3)</f>
        <v/>
      </c>
      <c r="G12" s="125" t="str">
        <f>IMAGE(Hats!$G$31, 3)</f>
        <v/>
      </c>
      <c r="H12" s="125"/>
      <c r="I12" s="125"/>
      <c r="J12" s="124" t="str">
        <f>IMAGE(Cats!$F$9, 3)</f>
        <v/>
      </c>
      <c r="K12" s="125" t="str">
        <f>IMAGE(Hats!$G$33, 3)</f>
        <v/>
      </c>
      <c r="L12" s="125"/>
      <c r="M12" s="125"/>
      <c r="N12" s="125"/>
      <c r="O12" s="125"/>
      <c r="P12" s="125"/>
      <c r="Q12" s="125"/>
      <c r="R12" s="125"/>
      <c r="S12" s="125"/>
      <c r="T12" s="125"/>
      <c r="U12" s="125"/>
      <c r="V12" s="125"/>
      <c r="W12" s="125"/>
      <c r="X12" s="115"/>
    </row>
    <row r="13" ht="17.25" customHeight="1">
      <c r="A13" s="115"/>
      <c r="B13" s="125"/>
      <c r="C13" s="125"/>
      <c r="D13" s="125"/>
      <c r="E13" s="125"/>
      <c r="F13" s="125"/>
      <c r="G13" s="125"/>
      <c r="H13" s="125"/>
      <c r="I13" s="125"/>
      <c r="J13" s="125"/>
      <c r="K13" s="125"/>
      <c r="L13" s="125"/>
      <c r="M13" s="125"/>
      <c r="N13" s="125"/>
      <c r="O13" s="125"/>
      <c r="P13" s="125"/>
      <c r="Q13" s="125"/>
      <c r="R13" s="125"/>
      <c r="S13" s="125"/>
      <c r="T13" s="125"/>
      <c r="U13" s="125"/>
      <c r="V13" s="125"/>
      <c r="W13" s="125"/>
      <c r="X13" s="115"/>
    </row>
    <row r="14" ht="24.75" customHeight="1">
      <c r="A14" s="115"/>
      <c r="B14" s="117" t="s">
        <v>32</v>
      </c>
      <c r="X14" s="115"/>
    </row>
    <row r="15" ht="56.25" customHeight="1" outlineLevel="1">
      <c r="A15" s="98"/>
      <c r="B15" s="101" t="str">
        <f>IMAGE(Cats!$E$3, 3)</f>
        <v/>
      </c>
      <c r="D15" s="101"/>
      <c r="E15" s="101"/>
      <c r="F15" s="101" t="str">
        <f>IMAGE(Cats!$E$9, 3)</f>
        <v/>
      </c>
      <c r="H15" s="101"/>
      <c r="I15" s="101"/>
      <c r="J15" s="101" t="str">
        <f>IMAGE(Cats!$E$13, 3)</f>
        <v/>
      </c>
      <c r="L15" s="101"/>
      <c r="M15" s="101"/>
      <c r="N15" s="101"/>
      <c r="P15" s="101"/>
      <c r="Q15" s="101"/>
      <c r="R15" s="101"/>
      <c r="T15" s="101"/>
      <c r="U15" s="101"/>
      <c r="V15" s="101"/>
      <c r="X15" s="98"/>
    </row>
    <row r="16" outlineLevel="1">
      <c r="A16" s="98"/>
      <c r="B16" s="142" t="str">
        <f>Cats!$C$3</f>
        <v>*A02</v>
      </c>
      <c r="D16" s="101"/>
      <c r="E16" s="101"/>
      <c r="F16" s="129" t="str">
        <f>Cats!$C$9</f>
        <v>*B04</v>
      </c>
      <c r="H16" s="101"/>
      <c r="I16" s="101"/>
      <c r="J16" s="129" t="str">
        <f>Cats!$C$13</f>
        <v>*B08</v>
      </c>
      <c r="L16" s="101"/>
      <c r="M16" s="101"/>
      <c r="N16" s="101"/>
      <c r="O16" s="101"/>
      <c r="P16" s="101"/>
      <c r="Q16" s="101"/>
      <c r="R16" s="101"/>
      <c r="S16" s="101"/>
      <c r="T16" s="101"/>
      <c r="U16" s="101"/>
      <c r="V16" s="101"/>
      <c r="W16" s="101"/>
      <c r="X16" s="98"/>
    </row>
    <row r="17" ht="17.25" customHeight="1">
      <c r="A17" s="115"/>
      <c r="B17" s="125"/>
      <c r="C17" s="125"/>
      <c r="D17" s="125"/>
      <c r="E17" s="125"/>
      <c r="F17" s="125"/>
      <c r="G17" s="125"/>
      <c r="H17" s="125"/>
      <c r="I17" s="125"/>
      <c r="J17" s="125"/>
      <c r="K17" s="125"/>
      <c r="L17" s="125"/>
      <c r="M17" s="125"/>
      <c r="N17" s="125"/>
      <c r="O17" s="125"/>
      <c r="P17" s="125"/>
      <c r="Q17" s="125"/>
      <c r="R17" s="125"/>
      <c r="S17" s="125"/>
      <c r="T17" s="125"/>
      <c r="U17" s="125"/>
      <c r="V17" s="125"/>
      <c r="W17" s="125"/>
      <c r="X17" s="115"/>
    </row>
    <row r="18" ht="24.75" customHeight="1">
      <c r="A18" s="98"/>
      <c r="B18" s="131" t="s">
        <v>33</v>
      </c>
      <c r="X18" s="98"/>
    </row>
    <row r="19" ht="56.25" customHeight="1">
      <c r="A19" s="98"/>
      <c r="B19" s="101" t="str">
        <f>IMAGE(Hats!$F$3, 3)</f>
        <v/>
      </c>
      <c r="D19" s="101"/>
      <c r="E19" s="101"/>
      <c r="F19" s="101" t="str">
        <f>IMAGE(Hats!$F$7, 3)</f>
        <v/>
      </c>
      <c r="H19" s="101"/>
      <c r="I19" s="101"/>
      <c r="J19" s="101" t="str">
        <f>image(Hats!$F$9, 3)</f>
        <v/>
      </c>
      <c r="L19" s="101"/>
      <c r="M19" s="101"/>
      <c r="N19" s="101" t="str">
        <f>image(Hats!$F$10, 3)</f>
        <v/>
      </c>
      <c r="P19" s="101"/>
      <c r="Q19" s="101"/>
      <c r="R19" s="101" t="str">
        <f>image(Hats!$F$17, 3)</f>
        <v/>
      </c>
      <c r="T19" s="101"/>
      <c r="U19" s="101"/>
      <c r="V19" s="101"/>
      <c r="X19" s="98"/>
    </row>
    <row r="20">
      <c r="A20" s="98"/>
      <c r="B20" s="129" t="str">
        <f>Hats!$C$3</f>
        <v>AA02</v>
      </c>
      <c r="C20" s="129">
        <v>1.0</v>
      </c>
      <c r="D20" s="129"/>
      <c r="E20" s="129"/>
      <c r="F20" s="129" t="str">
        <f>Hats!$C$7</f>
        <v>AB02</v>
      </c>
      <c r="G20" s="129">
        <v>1.0</v>
      </c>
      <c r="H20" s="101"/>
      <c r="I20" s="101"/>
      <c r="J20" s="129" t="str">
        <f>Hats!$C$9</f>
        <v>AB04</v>
      </c>
      <c r="K20" s="129">
        <v>3.0</v>
      </c>
      <c r="L20" s="101"/>
      <c r="M20" s="101"/>
      <c r="N20" s="129" t="str">
        <f>Hats!$C$10</f>
        <v>AB05</v>
      </c>
      <c r="O20" s="129">
        <v>1.0</v>
      </c>
      <c r="P20" s="101"/>
      <c r="Q20" s="101"/>
      <c r="R20" s="129" t="str">
        <f>Hats!$C$17</f>
        <v>AB12</v>
      </c>
      <c r="S20" s="129">
        <v>1.0</v>
      </c>
      <c r="T20" s="101"/>
      <c r="U20" s="101"/>
      <c r="V20" s="129"/>
      <c r="W20" s="129"/>
      <c r="X20" s="98"/>
    </row>
    <row r="21">
      <c r="A21" s="98"/>
      <c r="B21" s="98"/>
      <c r="C21" s="98"/>
      <c r="D21" s="98"/>
      <c r="E21" s="98"/>
      <c r="F21" s="98"/>
      <c r="G21" s="98"/>
      <c r="H21" s="98"/>
      <c r="I21" s="98"/>
      <c r="J21" s="98"/>
      <c r="K21" s="98"/>
      <c r="L21" s="98"/>
      <c r="M21" s="98"/>
      <c r="N21" s="98"/>
      <c r="O21" s="98"/>
      <c r="P21" s="98"/>
      <c r="Q21" s="98"/>
      <c r="R21" s="98"/>
      <c r="S21" s="98"/>
      <c r="T21" s="98"/>
      <c r="U21" s="98"/>
      <c r="V21" s="98"/>
      <c r="W21" s="98"/>
      <c r="X21" s="98"/>
    </row>
    <row r="22" ht="56.25" customHeight="1">
      <c r="A22" s="98"/>
      <c r="B22" s="101" t="str">
        <f>image(Hats!$F$18, 3)</f>
        <v/>
      </c>
      <c r="D22" s="101"/>
      <c r="E22" s="101"/>
      <c r="F22" s="101" t="str">
        <f>IMAGE(Hats!$F$20, 3)</f>
        <v/>
      </c>
      <c r="H22" s="101"/>
      <c r="I22" s="101"/>
      <c r="J22" s="101" t="str">
        <f>IMAGE(Hats!$F$24, 3)</f>
        <v/>
      </c>
      <c r="L22" s="101"/>
      <c r="M22" s="101"/>
      <c r="N22" s="101" t="str">
        <f>IMAGE(Hats!$F$28, 3)</f>
        <v/>
      </c>
      <c r="P22" s="101"/>
      <c r="Q22" s="101"/>
      <c r="R22" s="101" t="str">
        <f>IMAGE(Hats!$F$30, 3)</f>
        <v/>
      </c>
      <c r="T22" s="101"/>
      <c r="U22" s="101"/>
      <c r="V22" s="101" t="str">
        <f>IMAGE(Hats!$F$31, 3)</f>
        <v/>
      </c>
      <c r="X22" s="98"/>
    </row>
    <row r="23">
      <c r="A23" s="98"/>
      <c r="B23" s="129" t="str">
        <f>Hats!$C$18</f>
        <v>AC01</v>
      </c>
      <c r="C23" s="129">
        <v>2.0</v>
      </c>
      <c r="D23" s="129"/>
      <c r="E23" s="129"/>
      <c r="F23" s="129" t="str">
        <f>Hats!$C$20</f>
        <v>AC03</v>
      </c>
      <c r="G23" s="129">
        <v>1.0</v>
      </c>
      <c r="H23" s="129"/>
      <c r="I23" s="129"/>
      <c r="J23" s="129" t="str">
        <f>Hats!$C$24</f>
        <v>AC07</v>
      </c>
      <c r="K23" s="129">
        <v>3.0</v>
      </c>
      <c r="L23" s="129"/>
      <c r="M23" s="129"/>
      <c r="N23" s="129" t="str">
        <f>Hats!$C$28</f>
        <v>AC11</v>
      </c>
      <c r="O23" s="129">
        <v>1.0</v>
      </c>
      <c r="P23" s="129"/>
      <c r="Q23" s="129"/>
      <c r="R23" s="129" t="str">
        <f>Hats!$C$30</f>
        <v>AC13</v>
      </c>
      <c r="S23" s="129">
        <v>1.0</v>
      </c>
      <c r="T23" s="129"/>
      <c r="U23" s="129"/>
      <c r="V23" s="129" t="str">
        <f>Hats!$C$31</f>
        <v>AC14</v>
      </c>
      <c r="W23" s="129">
        <v>1.0</v>
      </c>
      <c r="X23" s="98"/>
    </row>
    <row r="24">
      <c r="A24" s="98"/>
      <c r="B24" s="98"/>
      <c r="C24" s="98"/>
      <c r="D24" s="98"/>
      <c r="E24" s="98"/>
      <c r="F24" s="98"/>
      <c r="G24" s="98"/>
      <c r="H24" s="98"/>
      <c r="I24" s="98"/>
      <c r="J24" s="98"/>
      <c r="K24" s="98"/>
      <c r="L24" s="98"/>
      <c r="M24" s="98"/>
      <c r="N24" s="98"/>
      <c r="O24" s="98"/>
      <c r="P24" s="98"/>
      <c r="Q24" s="98"/>
      <c r="R24" s="98"/>
      <c r="S24" s="98"/>
      <c r="T24" s="98"/>
      <c r="U24" s="98"/>
      <c r="V24" s="98"/>
      <c r="W24" s="98"/>
      <c r="X24" s="98"/>
    </row>
    <row r="25" ht="56.25" customHeight="1">
      <c r="A25" s="98"/>
      <c r="B25" s="101" t="str">
        <f>IMAGE(Hats!$F$32, 3)</f>
        <v/>
      </c>
      <c r="D25" s="101"/>
      <c r="E25" s="101"/>
      <c r="F25" s="101" t="str">
        <f>IMAGE(Hats!$F$33, 3)</f>
        <v/>
      </c>
      <c r="H25" s="101"/>
      <c r="I25" s="101"/>
      <c r="J25" s="101" t="str">
        <f>IMAGE(Hats!$F$34, 3)</f>
        <v/>
      </c>
      <c r="L25" s="101"/>
      <c r="M25" s="101"/>
      <c r="N25" s="101" t="str">
        <f>IMAGE(Hats!$F$36, 3)</f>
        <v/>
      </c>
      <c r="P25" s="101"/>
      <c r="Q25" s="101"/>
      <c r="R25" s="101"/>
      <c r="T25" s="101"/>
      <c r="U25" s="101"/>
      <c r="V25" s="101"/>
      <c r="X25" s="98"/>
    </row>
    <row r="26">
      <c r="A26" s="98"/>
      <c r="B26" s="129" t="str">
        <f>Hats!$C$32</f>
        <v>AC15</v>
      </c>
      <c r="C26" s="129">
        <v>1.0</v>
      </c>
      <c r="D26" s="129"/>
      <c r="E26" s="129"/>
      <c r="F26" s="129" t="str">
        <f>Hats!$C$33</f>
        <v>AC16</v>
      </c>
      <c r="G26" s="129">
        <v>1.0</v>
      </c>
      <c r="H26" s="129"/>
      <c r="I26" s="129"/>
      <c r="J26" s="129" t="str">
        <f>Hats!$C$34</f>
        <v>AC17</v>
      </c>
      <c r="K26" s="129">
        <v>1.0</v>
      </c>
      <c r="L26" s="129"/>
      <c r="M26" s="129"/>
      <c r="N26" s="129" t="str">
        <f>Hats!$C$36</f>
        <v>AC19</v>
      </c>
      <c r="O26" s="129">
        <v>1.0</v>
      </c>
      <c r="P26" s="129"/>
      <c r="Q26" s="129"/>
      <c r="R26" s="129"/>
      <c r="S26" s="129"/>
      <c r="T26" s="101"/>
      <c r="U26" s="101"/>
      <c r="V26" s="129"/>
      <c r="W26" s="129"/>
      <c r="X26" s="98"/>
    </row>
    <row r="27">
      <c r="A27" s="98"/>
      <c r="B27" s="98"/>
      <c r="C27" s="98"/>
      <c r="D27" s="98"/>
      <c r="E27" s="98"/>
      <c r="F27" s="98"/>
      <c r="G27" s="98"/>
      <c r="H27" s="98"/>
      <c r="I27" s="98"/>
      <c r="J27" s="98"/>
      <c r="K27" s="98"/>
      <c r="L27" s="98"/>
      <c r="M27" s="98"/>
      <c r="N27" s="98"/>
      <c r="O27" s="98"/>
      <c r="P27" s="98"/>
      <c r="Q27" s="98"/>
      <c r="R27" s="98"/>
      <c r="S27" s="98"/>
      <c r="T27" s="98"/>
      <c r="U27" s="98"/>
      <c r="V27" s="98"/>
      <c r="W27" s="98"/>
      <c r="X27" s="98"/>
    </row>
    <row r="28" ht="56.25" customHeight="1">
      <c r="A28" s="98"/>
      <c r="B28" s="101" t="str">
        <f>IMAGE(Hats!$F$38, 3)</f>
        <v/>
      </c>
      <c r="D28" s="101"/>
      <c r="E28" s="101"/>
      <c r="F28" s="101" t="str">
        <f>IMAGE(Hats!$F$39, 3)</f>
        <v/>
      </c>
      <c r="H28" s="101"/>
      <c r="I28" s="101"/>
      <c r="J28" s="101"/>
      <c r="L28" s="101"/>
      <c r="M28" s="101"/>
      <c r="N28" s="101"/>
      <c r="P28" s="101"/>
      <c r="Q28" s="101"/>
      <c r="R28" s="101"/>
      <c r="T28" s="101"/>
      <c r="U28" s="101"/>
      <c r="V28" s="101"/>
      <c r="X28" s="98"/>
    </row>
    <row r="29">
      <c r="A29" s="98"/>
      <c r="B29" s="129" t="str">
        <f>Hats!$C$38</f>
        <v>AD01</v>
      </c>
      <c r="C29" s="129">
        <v>1.0</v>
      </c>
      <c r="D29" s="129"/>
      <c r="E29" s="129"/>
      <c r="F29" s="129" t="str">
        <f>Hats!$C$39</f>
        <v>AD02</v>
      </c>
      <c r="G29" s="129">
        <v>1.0</v>
      </c>
      <c r="H29" s="129"/>
      <c r="I29" s="129"/>
      <c r="J29" s="129"/>
      <c r="K29" s="129"/>
      <c r="L29" s="129"/>
      <c r="M29" s="129"/>
      <c r="N29" s="129"/>
      <c r="O29" s="129"/>
      <c r="P29" s="129"/>
      <c r="Q29" s="129"/>
      <c r="R29" s="129"/>
      <c r="S29" s="129"/>
      <c r="T29" s="129"/>
      <c r="U29" s="129"/>
      <c r="V29" s="129"/>
      <c r="W29" s="129"/>
      <c r="X29" s="98"/>
    </row>
    <row r="30">
      <c r="A30" s="98"/>
      <c r="B30" s="98"/>
      <c r="C30" s="98"/>
      <c r="D30" s="98"/>
      <c r="E30" s="98"/>
      <c r="F30" s="98"/>
      <c r="G30" s="98"/>
      <c r="H30" s="98"/>
      <c r="I30" s="98"/>
      <c r="J30" s="98"/>
      <c r="K30" s="98"/>
      <c r="L30" s="98"/>
      <c r="M30" s="98"/>
      <c r="N30" s="98"/>
      <c r="O30" s="98"/>
      <c r="P30" s="98"/>
      <c r="Q30" s="98"/>
      <c r="R30" s="98"/>
      <c r="S30" s="98"/>
      <c r="T30" s="98"/>
      <c r="U30" s="98"/>
      <c r="V30" s="98"/>
      <c r="W30" s="98"/>
      <c r="X30" s="98"/>
    </row>
  </sheetData>
  <mergeCells count="52">
    <mergeCell ref="F10:G10"/>
    <mergeCell ref="F11:G11"/>
    <mergeCell ref="B15:C15"/>
    <mergeCell ref="B16:C16"/>
    <mergeCell ref="F16:G16"/>
    <mergeCell ref="J16:K16"/>
    <mergeCell ref="B22:C22"/>
    <mergeCell ref="F22:G22"/>
    <mergeCell ref="J22:K22"/>
    <mergeCell ref="B2:W2"/>
    <mergeCell ref="J3:K3"/>
    <mergeCell ref="N3:O3"/>
    <mergeCell ref="J5:O5"/>
    <mergeCell ref="J6:O6"/>
    <mergeCell ref="J7:L7"/>
    <mergeCell ref="M7:O7"/>
    <mergeCell ref="B9:W9"/>
    <mergeCell ref="B10:C10"/>
    <mergeCell ref="J10:K10"/>
    <mergeCell ref="N10:O10"/>
    <mergeCell ref="R10:S10"/>
    <mergeCell ref="V10:W10"/>
    <mergeCell ref="B11:C11"/>
    <mergeCell ref="B18:W18"/>
    <mergeCell ref="B19:C19"/>
    <mergeCell ref="F19:G19"/>
    <mergeCell ref="J19:K19"/>
    <mergeCell ref="N19:O19"/>
    <mergeCell ref="R19:S19"/>
    <mergeCell ref="V19:W19"/>
    <mergeCell ref="J11:K11"/>
    <mergeCell ref="B14:W14"/>
    <mergeCell ref="F15:G15"/>
    <mergeCell ref="J15:K15"/>
    <mergeCell ref="N15:O15"/>
    <mergeCell ref="R15:S15"/>
    <mergeCell ref="V15:W15"/>
    <mergeCell ref="N22:O22"/>
    <mergeCell ref="R22:S22"/>
    <mergeCell ref="V22:W22"/>
    <mergeCell ref="B25:C25"/>
    <mergeCell ref="F25:G25"/>
    <mergeCell ref="J25:K25"/>
    <mergeCell ref="N25:O25"/>
    <mergeCell ref="R25:S25"/>
    <mergeCell ref="V25:W25"/>
    <mergeCell ref="B28:C28"/>
    <mergeCell ref="F28:G28"/>
    <mergeCell ref="J28:K28"/>
    <mergeCell ref="N28:O28"/>
    <mergeCell ref="R28:S28"/>
    <mergeCell ref="V28:W28"/>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7257"/>
    <outlinePr summaryBelow="0" summaryRight="0"/>
  </sheetPr>
  <sheetViews>
    <sheetView showGridLines="0" workbookViewId="0"/>
  </sheetViews>
  <sheetFormatPr customHeight="1" defaultColWidth="12.63" defaultRowHeight="15.75" outlineLevelRow="1"/>
  <cols>
    <col customWidth="1" min="2" max="3" width="5.13"/>
    <col customWidth="1" min="4" max="5" width="1.38"/>
    <col customWidth="1" min="6" max="7" width="5.13"/>
    <col customWidth="1" min="8" max="9" width="1.38"/>
    <col customWidth="1" min="10" max="11" width="5.13"/>
    <col customWidth="1" min="12" max="13" width="1.38"/>
    <col customWidth="1" min="14" max="15" width="5.13"/>
    <col customWidth="1" min="16" max="17" width="1.38"/>
    <col customWidth="1" min="18" max="19" width="5.13"/>
    <col customWidth="1" min="20" max="21" width="1.38"/>
    <col customWidth="1" min="22" max="23" width="5.13"/>
  </cols>
  <sheetData>
    <row r="1">
      <c r="A1" s="98"/>
      <c r="B1" s="98"/>
      <c r="C1" s="98"/>
      <c r="D1" s="98"/>
      <c r="E1" s="98"/>
      <c r="F1" s="98"/>
      <c r="G1" s="98"/>
      <c r="H1" s="98"/>
      <c r="I1" s="98"/>
      <c r="J1" s="98"/>
      <c r="K1" s="98"/>
      <c r="L1" s="98"/>
      <c r="M1" s="98"/>
      <c r="N1" s="98"/>
      <c r="O1" s="98"/>
      <c r="P1" s="98"/>
      <c r="Q1" s="98"/>
      <c r="R1" s="98"/>
      <c r="S1" s="98"/>
      <c r="T1" s="98"/>
      <c r="U1" s="98"/>
      <c r="V1" s="98"/>
      <c r="W1" s="98"/>
      <c r="X1" s="98"/>
    </row>
    <row r="2">
      <c r="A2" s="98"/>
      <c r="B2" s="100" t="s">
        <v>23</v>
      </c>
      <c r="X2" s="98"/>
    </row>
    <row r="3">
      <c r="A3" s="98"/>
      <c r="B3" s="98"/>
      <c r="C3" s="101"/>
      <c r="D3" s="102"/>
      <c r="E3" s="102"/>
      <c r="F3" s="101"/>
      <c r="G3" s="101"/>
      <c r="H3" s="102"/>
      <c r="I3" s="102"/>
      <c r="J3" s="103" t="s">
        <v>27</v>
      </c>
      <c r="L3" s="103"/>
      <c r="M3" s="103"/>
      <c r="N3" s="104">
        <f>IFERROR(__xludf.DUMMYFUNCTION("SUM(IFERROR(QUERY(Records!$A:$F, CONCATENATE(""select F where B contains '"", $B2, ""'""), 0))) - SUM(IFERROR(QUERY(Records!$A:$F, CONCATENATE(""select G where B contains '"", $B2, ""'""), 0)))"),139.0)</f>
        <v>139</v>
      </c>
      <c r="P3" s="102"/>
      <c r="Q3" s="102"/>
      <c r="R3" s="101"/>
      <c r="S3" s="101"/>
      <c r="T3" s="102"/>
      <c r="U3" s="102"/>
      <c r="V3" s="101"/>
      <c r="W3" s="101"/>
      <c r="X3" s="98"/>
    </row>
    <row r="4" ht="23.25" customHeight="1">
      <c r="A4" s="98"/>
      <c r="B4" s="101"/>
      <c r="C4" s="101"/>
      <c r="D4" s="101"/>
      <c r="E4" s="101"/>
      <c r="F4" s="101"/>
      <c r="G4" s="101"/>
      <c r="H4" s="101"/>
      <c r="I4" s="101"/>
      <c r="J4" s="101"/>
      <c r="K4" s="101"/>
      <c r="L4" s="101"/>
      <c r="M4" s="101"/>
      <c r="N4" s="101"/>
      <c r="O4" s="101"/>
      <c r="P4" s="101"/>
      <c r="Q4" s="101"/>
      <c r="R4" s="101"/>
      <c r="S4" s="101"/>
      <c r="T4" s="101"/>
      <c r="U4" s="101"/>
      <c r="V4" s="101"/>
      <c r="W4" s="101"/>
      <c r="X4" s="98"/>
    </row>
    <row r="5" ht="112.5" customHeight="1">
      <c r="A5" s="98"/>
      <c r="B5" s="101"/>
      <c r="C5" s="101"/>
      <c r="D5" s="101"/>
      <c r="E5" s="101"/>
      <c r="F5" s="101"/>
      <c r="G5" s="101"/>
      <c r="H5" s="101"/>
      <c r="I5" s="101"/>
      <c r="J5" s="105" t="str">
        <f>IMAGE("https://i.postimg.cc/DzhdRwKv/ylo-big.png", 3)</f>
        <v/>
      </c>
      <c r="K5" s="106"/>
      <c r="L5" s="106"/>
      <c r="M5" s="106"/>
      <c r="N5" s="106"/>
      <c r="O5" s="107"/>
      <c r="P5" s="101"/>
      <c r="Q5" s="101"/>
      <c r="R5" s="101"/>
      <c r="S5" s="101"/>
      <c r="T5" s="101"/>
      <c r="U5" s="101"/>
      <c r="V5" s="101"/>
      <c r="W5" s="101"/>
      <c r="X5" s="98"/>
    </row>
    <row r="6" ht="18.0" customHeight="1">
      <c r="A6" s="98"/>
      <c r="B6" s="101"/>
      <c r="C6" s="101"/>
      <c r="D6" s="101"/>
      <c r="E6" s="101"/>
      <c r="F6" s="101"/>
      <c r="G6" s="101"/>
      <c r="H6" s="101"/>
      <c r="I6" s="101"/>
      <c r="J6" s="108" t="s">
        <v>49</v>
      </c>
      <c r="O6" s="109"/>
      <c r="P6" s="101"/>
      <c r="Q6" s="101"/>
      <c r="R6" s="101"/>
      <c r="S6" s="101"/>
      <c r="T6" s="101"/>
      <c r="U6" s="101"/>
      <c r="V6" s="101"/>
      <c r="W6" s="101"/>
      <c r="X6" s="98"/>
    </row>
    <row r="7" ht="27.0" customHeight="1">
      <c r="A7" s="98"/>
      <c r="B7" s="101"/>
      <c r="C7" s="101"/>
      <c r="D7" s="101"/>
      <c r="E7" s="101"/>
      <c r="F7" s="101"/>
      <c r="G7" s="101"/>
      <c r="H7" s="101"/>
      <c r="I7" s="101"/>
      <c r="J7" s="110" t="str">
        <f>IMAGE(Cats!$F$2, 3)</f>
        <v/>
      </c>
      <c r="K7" s="111"/>
      <c r="L7" s="111"/>
      <c r="M7" s="113" t="str">
        <f>IMAGE(Hats!$G$4, 3)</f>
        <v/>
      </c>
      <c r="N7" s="111"/>
      <c r="O7" s="114"/>
      <c r="P7" s="101"/>
      <c r="Q7" s="101"/>
      <c r="R7" s="101"/>
      <c r="S7" s="101"/>
      <c r="T7" s="101"/>
      <c r="U7" s="101"/>
      <c r="V7" s="101"/>
      <c r="W7" s="101"/>
      <c r="X7" s="98"/>
    </row>
    <row r="8" ht="25.5" customHeight="1">
      <c r="A8" s="98"/>
      <c r="B8" s="101"/>
      <c r="C8" s="101"/>
      <c r="D8" s="101"/>
      <c r="E8" s="101"/>
      <c r="F8" s="101"/>
      <c r="G8" s="101"/>
      <c r="H8" s="101"/>
      <c r="I8" s="101"/>
      <c r="J8" s="101"/>
      <c r="K8" s="101"/>
      <c r="L8" s="101"/>
      <c r="M8" s="101"/>
      <c r="N8" s="101"/>
      <c r="O8" s="101"/>
      <c r="P8" s="101"/>
      <c r="Q8" s="101"/>
      <c r="R8" s="101"/>
      <c r="S8" s="101"/>
      <c r="T8" s="101"/>
      <c r="U8" s="101"/>
      <c r="V8" s="101"/>
      <c r="W8" s="101"/>
      <c r="X8" s="98"/>
    </row>
    <row r="9" ht="24.75" customHeight="1">
      <c r="A9" s="115"/>
      <c r="B9" s="117" t="s">
        <v>31</v>
      </c>
      <c r="X9" s="115"/>
    </row>
    <row r="10" ht="56.25" customHeight="1" outlineLevel="1">
      <c r="A10" s="98"/>
      <c r="B10" s="101" t="str">
        <f>IMAGE("https://i.postimg.cc/TPXmW8CL/ylo-000.png", 3)</f>
        <v/>
      </c>
      <c r="D10" s="101"/>
      <c r="E10" s="101"/>
      <c r="F10" s="101" t="str">
        <f>IMAGE("https://i.postimg.cc/FKjzt7b1/ylo-001.png", 3)</f>
        <v/>
      </c>
      <c r="H10" s="101"/>
      <c r="I10" s="101"/>
      <c r="J10" s="101" t="str">
        <f>IMAGE("https://i.postimg.cc/6QkTVSjR/ylo-002.png", 3)</f>
        <v/>
      </c>
      <c r="L10" s="101"/>
      <c r="M10" s="101"/>
      <c r="N10" s="101"/>
      <c r="P10" s="101"/>
      <c r="Q10" s="101"/>
      <c r="R10" s="101"/>
      <c r="T10" s="101"/>
      <c r="U10" s="101"/>
      <c r="V10" s="101"/>
      <c r="X10" s="98"/>
    </row>
    <row r="11" ht="17.25" customHeight="1" outlineLevel="1">
      <c r="A11" s="130"/>
      <c r="B11" s="122">
        <f>date(2022,3,17)</f>
        <v>44637</v>
      </c>
      <c r="D11" s="156"/>
      <c r="E11" s="156"/>
      <c r="F11" s="122">
        <f>date(2022,3,27)</f>
        <v>44647</v>
      </c>
      <c r="H11" s="156"/>
      <c r="I11" s="156"/>
      <c r="J11" s="122">
        <f>date(2022, 4, 4)</f>
        <v>44655</v>
      </c>
      <c r="L11" s="156"/>
      <c r="M11" s="156"/>
      <c r="N11" s="156"/>
      <c r="O11" s="156"/>
      <c r="P11" s="156"/>
      <c r="Q11" s="156"/>
      <c r="R11" s="156"/>
      <c r="S11" s="156"/>
      <c r="T11" s="156"/>
      <c r="U11" s="156"/>
      <c r="V11" s="156"/>
      <c r="W11" s="156"/>
      <c r="X11" s="130"/>
    </row>
    <row r="12" ht="17.25" customHeight="1" outlineLevel="1">
      <c r="A12" s="115"/>
      <c r="B12" s="124" t="str">
        <f>IMAGE(Cats!$F$2, 3)</f>
        <v/>
      </c>
      <c r="C12" s="125" t="str">
        <f>IMAGE(Hats!$G$4, 3)</f>
        <v/>
      </c>
      <c r="D12" s="125"/>
      <c r="E12" s="125"/>
      <c r="F12" s="124" t="str">
        <f>IMAGE(Cats!$F$2, 3)</f>
        <v/>
      </c>
      <c r="G12" s="125" t="str">
        <f>IMAGE(Hats!$G$23, 3)</f>
        <v/>
      </c>
      <c r="H12" s="125"/>
      <c r="I12" s="125"/>
      <c r="J12" s="124" t="str">
        <f>IMAGE(Cats!$F$7, 3)</f>
        <v/>
      </c>
      <c r="K12" s="125" t="str">
        <f>IMAGE(Hats!$G$10, 3)</f>
        <v/>
      </c>
      <c r="L12" s="125"/>
      <c r="M12" s="125"/>
      <c r="N12" s="125"/>
      <c r="O12" s="125"/>
      <c r="P12" s="125"/>
      <c r="Q12" s="125"/>
      <c r="R12" s="125"/>
      <c r="S12" s="125"/>
      <c r="T12" s="125"/>
      <c r="U12" s="125"/>
      <c r="V12" s="125"/>
      <c r="W12" s="125"/>
      <c r="X12" s="115"/>
    </row>
    <row r="13" ht="17.25" customHeight="1">
      <c r="A13" s="115"/>
      <c r="B13" s="125"/>
      <c r="C13" s="125"/>
      <c r="D13" s="125"/>
      <c r="E13" s="125"/>
      <c r="F13" s="125"/>
      <c r="G13" s="125"/>
      <c r="H13" s="125"/>
      <c r="I13" s="125"/>
      <c r="J13" s="125"/>
      <c r="K13" s="125"/>
      <c r="L13" s="125"/>
      <c r="M13" s="125"/>
      <c r="N13" s="125"/>
      <c r="O13" s="125"/>
      <c r="P13" s="125"/>
      <c r="Q13" s="125"/>
      <c r="R13" s="125"/>
      <c r="S13" s="125"/>
      <c r="T13" s="125"/>
      <c r="U13" s="125"/>
      <c r="V13" s="125"/>
      <c r="W13" s="125"/>
      <c r="X13" s="115"/>
    </row>
    <row r="14" ht="24.75" customHeight="1">
      <c r="A14" s="115"/>
      <c r="B14" s="117" t="s">
        <v>32</v>
      </c>
      <c r="X14" s="115"/>
    </row>
    <row r="15" ht="56.25" customHeight="1" outlineLevel="1">
      <c r="A15" s="98"/>
      <c r="B15" s="101" t="str">
        <f>IMAGE(Cats!$E$2, 3)</f>
        <v/>
      </c>
      <c r="D15" s="101"/>
      <c r="E15" s="101"/>
      <c r="F15" s="101" t="str">
        <f>IMAGE(Cats!$E$7, 3)</f>
        <v/>
      </c>
      <c r="H15" s="101"/>
      <c r="I15" s="101"/>
      <c r="J15" s="101" t="str">
        <f>IMAGE(Cats!$E$11, 3)</f>
        <v/>
      </c>
      <c r="L15" s="101"/>
      <c r="M15" s="101"/>
      <c r="N15" s="101" t="str">
        <f>image(Cats!$E$14, 3)</f>
        <v/>
      </c>
      <c r="P15" s="101"/>
      <c r="Q15" s="101"/>
      <c r="R15" s="101"/>
      <c r="T15" s="101"/>
      <c r="U15" s="101"/>
      <c r="V15" s="101"/>
      <c r="X15" s="98"/>
    </row>
    <row r="16" outlineLevel="1">
      <c r="A16" s="98"/>
      <c r="B16" s="129" t="str">
        <f>Cats!$C$2</f>
        <v>*A01</v>
      </c>
      <c r="D16" s="101"/>
      <c r="E16" s="101"/>
      <c r="F16" s="129" t="str">
        <f>Cats!$C$7</f>
        <v>*B02</v>
      </c>
      <c r="H16" s="101"/>
      <c r="I16" s="101"/>
      <c r="J16" s="129" t="str">
        <f>Cats!$C$11</f>
        <v>*B06</v>
      </c>
      <c r="L16" s="101"/>
      <c r="M16" s="101"/>
      <c r="N16" s="129" t="str">
        <f>Cats!$C$14</f>
        <v>*B09</v>
      </c>
      <c r="P16" s="101"/>
      <c r="Q16" s="101"/>
      <c r="R16" s="101"/>
      <c r="S16" s="101"/>
      <c r="T16" s="101"/>
      <c r="U16" s="101"/>
      <c r="V16" s="101"/>
      <c r="W16" s="101"/>
      <c r="X16" s="98"/>
    </row>
    <row r="17" ht="17.25" customHeight="1">
      <c r="A17" s="115"/>
      <c r="B17" s="125"/>
      <c r="C17" s="125"/>
      <c r="D17" s="125"/>
      <c r="E17" s="125"/>
      <c r="F17" s="125"/>
      <c r="G17" s="125"/>
      <c r="H17" s="125"/>
      <c r="I17" s="125"/>
      <c r="J17" s="125"/>
      <c r="K17" s="125"/>
      <c r="L17" s="125"/>
      <c r="M17" s="125"/>
      <c r="N17" s="125"/>
      <c r="O17" s="125"/>
      <c r="P17" s="125"/>
      <c r="Q17" s="125"/>
      <c r="R17" s="125"/>
      <c r="S17" s="125"/>
      <c r="T17" s="125"/>
      <c r="U17" s="125"/>
      <c r="V17" s="125"/>
      <c r="W17" s="125"/>
      <c r="X17" s="115"/>
    </row>
    <row r="18" ht="24.75" customHeight="1">
      <c r="A18" s="98"/>
      <c r="B18" s="131" t="s">
        <v>33</v>
      </c>
      <c r="X18" s="98"/>
    </row>
    <row r="19" ht="56.25" customHeight="1">
      <c r="A19" s="98"/>
      <c r="B19" s="101" t="str">
        <f>IMAGE(Hats!$F$4, 3)</f>
        <v/>
      </c>
      <c r="D19" s="101"/>
      <c r="E19" s="101"/>
      <c r="F19" s="101" t="str">
        <f>IMAGE(Hats!$F$6, 3)</f>
        <v/>
      </c>
      <c r="H19" s="101"/>
      <c r="I19" s="101"/>
      <c r="J19" s="101" t="str">
        <f>IMAGE(Hats!$F$8, 3)</f>
        <v/>
      </c>
      <c r="L19" s="101"/>
      <c r="M19" s="101"/>
      <c r="N19" s="101" t="str">
        <f>IMAGE(Hats!$F$9, 3)</f>
        <v/>
      </c>
      <c r="P19" s="101"/>
      <c r="Q19" s="101"/>
      <c r="R19" s="101" t="str">
        <f>image(Hats!$F$10, 3)</f>
        <v/>
      </c>
      <c r="T19" s="101"/>
      <c r="U19" s="101"/>
      <c r="V19" s="101" t="str">
        <f>image(Hats!$F$11, 3)</f>
        <v/>
      </c>
      <c r="X19" s="98"/>
    </row>
    <row r="20">
      <c r="A20" s="98"/>
      <c r="B20" s="129" t="str">
        <f>Hats!$C$4</f>
        <v>AA03</v>
      </c>
      <c r="C20" s="129">
        <v>1.0</v>
      </c>
      <c r="D20" s="129"/>
      <c r="E20" s="129"/>
      <c r="F20" s="129" t="str">
        <f>Hats!$C$6</f>
        <v>AB01</v>
      </c>
      <c r="G20" s="129">
        <v>1.0</v>
      </c>
      <c r="H20" s="101"/>
      <c r="I20" s="101"/>
      <c r="J20" s="129" t="str">
        <f>Hats!$C$8</f>
        <v>AB03</v>
      </c>
      <c r="K20" s="129">
        <v>1.0</v>
      </c>
      <c r="L20" s="101"/>
      <c r="M20" s="101"/>
      <c r="N20" s="129" t="str">
        <f>Hats!$C$9</f>
        <v>AB04</v>
      </c>
      <c r="O20" s="129">
        <v>1.0</v>
      </c>
      <c r="P20" s="101"/>
      <c r="Q20" s="101"/>
      <c r="R20" s="129" t="str">
        <f>Hats!$C$10</f>
        <v>AB05</v>
      </c>
      <c r="S20" s="129">
        <v>2.0</v>
      </c>
      <c r="T20" s="101"/>
      <c r="U20" s="101"/>
      <c r="V20" s="129" t="str">
        <f>Hats!$C$11</f>
        <v>AB06</v>
      </c>
      <c r="W20" s="129">
        <v>1.0</v>
      </c>
      <c r="X20" s="98"/>
    </row>
    <row r="21">
      <c r="A21" s="98"/>
      <c r="B21" s="98"/>
      <c r="C21" s="98"/>
      <c r="D21" s="98"/>
      <c r="E21" s="98"/>
      <c r="F21" s="98"/>
      <c r="G21" s="98"/>
      <c r="H21" s="98"/>
      <c r="I21" s="98"/>
      <c r="J21" s="98"/>
      <c r="K21" s="98"/>
      <c r="L21" s="98"/>
      <c r="M21" s="98"/>
      <c r="N21" s="98"/>
      <c r="O21" s="98"/>
      <c r="P21" s="98"/>
      <c r="Q21" s="98"/>
      <c r="R21" s="98"/>
      <c r="S21" s="98"/>
      <c r="T21" s="98"/>
      <c r="U21" s="98"/>
      <c r="V21" s="98"/>
      <c r="W21" s="98"/>
      <c r="X21" s="98"/>
    </row>
    <row r="22" ht="56.25" customHeight="1">
      <c r="A22" s="98"/>
      <c r="B22" s="101" t="str">
        <f>IMAGE(Hats!$F$13, 3)</f>
        <v/>
      </c>
      <c r="D22" s="101"/>
      <c r="E22" s="101"/>
      <c r="F22" s="101"/>
      <c r="H22" s="101"/>
      <c r="I22" s="101"/>
      <c r="J22" s="101"/>
      <c r="L22" s="101"/>
      <c r="M22" s="101"/>
      <c r="N22" s="101"/>
      <c r="P22" s="101"/>
      <c r="Q22" s="101"/>
      <c r="R22" s="101"/>
      <c r="T22" s="101"/>
      <c r="U22" s="101"/>
      <c r="V22" s="101"/>
      <c r="X22" s="98"/>
    </row>
    <row r="23">
      <c r="A23" s="98"/>
      <c r="B23" s="129" t="str">
        <f>Hats!$C$13</f>
        <v>AB08</v>
      </c>
      <c r="C23" s="129">
        <v>1.0</v>
      </c>
      <c r="D23" s="101"/>
      <c r="E23" s="101"/>
      <c r="F23" s="129"/>
      <c r="G23" s="129"/>
      <c r="H23" s="129"/>
      <c r="I23" s="129"/>
      <c r="J23" s="129"/>
      <c r="K23" s="129"/>
      <c r="L23" s="129"/>
      <c r="M23" s="129"/>
      <c r="N23" s="129"/>
      <c r="O23" s="129"/>
      <c r="P23" s="129"/>
      <c r="Q23" s="129"/>
      <c r="R23" s="129"/>
      <c r="S23" s="129"/>
      <c r="T23" s="129"/>
      <c r="U23" s="129"/>
      <c r="V23" s="129"/>
      <c r="W23" s="129"/>
      <c r="X23" s="98"/>
    </row>
    <row r="24">
      <c r="A24" s="98"/>
      <c r="B24" s="98"/>
      <c r="C24" s="98"/>
      <c r="D24" s="98"/>
      <c r="E24" s="98"/>
      <c r="F24" s="98"/>
      <c r="G24" s="98"/>
      <c r="H24" s="98"/>
      <c r="I24" s="98"/>
      <c r="J24" s="98"/>
      <c r="K24" s="98"/>
      <c r="L24" s="98"/>
      <c r="M24" s="98"/>
      <c r="N24" s="98"/>
      <c r="O24" s="98"/>
      <c r="P24" s="98"/>
      <c r="Q24" s="98"/>
      <c r="R24" s="98"/>
      <c r="S24" s="98"/>
      <c r="T24" s="98"/>
      <c r="U24" s="98"/>
      <c r="V24" s="98"/>
      <c r="W24" s="98"/>
      <c r="X24" s="98"/>
    </row>
    <row r="25" ht="56.25" customHeight="1">
      <c r="A25" s="98"/>
      <c r="B25" s="101" t="str">
        <f>IMAGE(Hats!$F$20, 3)</f>
        <v/>
      </c>
      <c r="D25" s="101"/>
      <c r="E25" s="101"/>
      <c r="F25" s="101" t="str">
        <f>IMAGE(Hats!$F$22, 3)</f>
        <v/>
      </c>
      <c r="H25" s="101"/>
      <c r="I25" s="101"/>
      <c r="J25" s="101" t="str">
        <f>IMAGE(Hats!$F$23, 3)</f>
        <v/>
      </c>
      <c r="L25" s="101"/>
      <c r="M25" s="101"/>
      <c r="N25" s="101" t="str">
        <f>IMAGE(Hats!$F$24, 3)</f>
        <v/>
      </c>
      <c r="P25" s="101"/>
      <c r="Q25" s="101"/>
      <c r="R25" s="101" t="str">
        <f>IMAGE(Hats!$F$25, 3)</f>
        <v/>
      </c>
      <c r="T25" s="101"/>
      <c r="U25" s="101"/>
      <c r="V25" s="101" t="str">
        <f>IMAGE(Hats!$F$27, 3)</f>
        <v/>
      </c>
      <c r="X25" s="98"/>
    </row>
    <row r="26">
      <c r="A26" s="98"/>
      <c r="B26" s="129" t="str">
        <f>Hats!$C$20</f>
        <v>AC03</v>
      </c>
      <c r="C26" s="129">
        <v>1.0</v>
      </c>
      <c r="D26" s="129"/>
      <c r="E26" s="129"/>
      <c r="F26" s="129" t="str">
        <f>Hats!$C$22</f>
        <v>AC05</v>
      </c>
      <c r="G26" s="129">
        <v>1.0</v>
      </c>
      <c r="H26" s="129"/>
      <c r="I26" s="129"/>
      <c r="J26" s="129" t="str">
        <f>Hats!$C$23</f>
        <v>AC06</v>
      </c>
      <c r="K26" s="129">
        <v>1.0</v>
      </c>
      <c r="L26" s="129"/>
      <c r="M26" s="129"/>
      <c r="N26" s="129" t="str">
        <f>Hats!$C$24</f>
        <v>AC07</v>
      </c>
      <c r="O26" s="129">
        <v>1.0</v>
      </c>
      <c r="P26" s="129"/>
      <c r="Q26" s="129"/>
      <c r="R26" s="129" t="str">
        <f>Hats!$C$25</f>
        <v>AC08</v>
      </c>
      <c r="S26" s="129">
        <v>2.0</v>
      </c>
      <c r="T26" s="129"/>
      <c r="U26" s="129"/>
      <c r="V26" s="129" t="str">
        <f>Hats!$C$27</f>
        <v>AC10</v>
      </c>
      <c r="W26" s="129">
        <v>2.0</v>
      </c>
      <c r="X26" s="98"/>
    </row>
    <row r="27">
      <c r="A27" s="98"/>
      <c r="B27" s="98"/>
      <c r="C27" s="98"/>
      <c r="D27" s="98"/>
      <c r="E27" s="98"/>
      <c r="F27" s="98"/>
      <c r="G27" s="98"/>
      <c r="H27" s="98"/>
      <c r="I27" s="98"/>
      <c r="J27" s="98"/>
      <c r="K27" s="98"/>
      <c r="L27" s="98"/>
      <c r="M27" s="98"/>
      <c r="N27" s="98"/>
      <c r="O27" s="98"/>
      <c r="P27" s="98"/>
      <c r="Q27" s="98"/>
      <c r="R27" s="98"/>
      <c r="S27" s="98"/>
      <c r="T27" s="98"/>
      <c r="U27" s="98"/>
      <c r="V27" s="98"/>
      <c r="W27" s="98"/>
      <c r="X27" s="98"/>
    </row>
    <row r="28" ht="56.25" customHeight="1">
      <c r="A28" s="98"/>
      <c r="B28" s="101" t="str">
        <f>IMAGE(Hats!$F$28, 3)</f>
        <v/>
      </c>
      <c r="D28" s="101"/>
      <c r="E28" s="101"/>
      <c r="F28" s="101" t="str">
        <f>IMAGE(Hats!$F$30, 3)</f>
        <v/>
      </c>
      <c r="H28" s="101"/>
      <c r="I28" s="101"/>
      <c r="J28" s="135"/>
      <c r="L28" s="101"/>
      <c r="M28" s="101"/>
      <c r="N28" s="101" t="str">
        <f>IMAGE(Hats!$F$35, 3)</f>
        <v/>
      </c>
      <c r="P28" s="101"/>
      <c r="Q28" s="101"/>
      <c r="R28" s="101" t="str">
        <f>IMAGE(Hats!$F$36, 3)</f>
        <v/>
      </c>
      <c r="T28" s="101"/>
      <c r="U28" s="101"/>
      <c r="V28" s="135"/>
      <c r="X28" s="98"/>
    </row>
    <row r="29">
      <c r="A29" s="98"/>
      <c r="B29" s="129" t="str">
        <f>Hats!$C$28</f>
        <v>AC11</v>
      </c>
      <c r="C29" s="129">
        <v>1.0</v>
      </c>
      <c r="D29" s="129"/>
      <c r="E29" s="129"/>
      <c r="F29" s="129" t="str">
        <f>Hats!$C$30</f>
        <v>AC13</v>
      </c>
      <c r="G29" s="129">
        <v>1.0</v>
      </c>
      <c r="H29" s="129"/>
      <c r="I29" s="129"/>
      <c r="J29" s="129" t="s">
        <v>36</v>
      </c>
      <c r="K29" s="129">
        <v>1.0</v>
      </c>
      <c r="L29" s="129"/>
      <c r="M29" s="129"/>
      <c r="N29" s="129" t="str">
        <f>Hats!$C$35</f>
        <v>AC18</v>
      </c>
      <c r="O29" s="129">
        <v>1.0</v>
      </c>
      <c r="P29" s="129"/>
      <c r="Q29" s="129"/>
      <c r="R29" s="129" t="str">
        <f>Hats!$C$36</f>
        <v>AC19</v>
      </c>
      <c r="S29" s="129">
        <v>1.0</v>
      </c>
      <c r="T29" s="101"/>
      <c r="U29" s="101"/>
      <c r="V29" s="129"/>
      <c r="W29" s="129"/>
      <c r="X29" s="98"/>
    </row>
    <row r="30">
      <c r="A30" s="98"/>
      <c r="B30" s="98"/>
      <c r="C30" s="98"/>
      <c r="D30" s="98"/>
      <c r="E30" s="98"/>
      <c r="F30" s="98"/>
      <c r="G30" s="98"/>
      <c r="H30" s="98"/>
      <c r="I30" s="98"/>
      <c r="J30" s="98"/>
      <c r="K30" s="98"/>
      <c r="L30" s="98"/>
      <c r="M30" s="98"/>
      <c r="N30" s="98"/>
      <c r="O30" s="98"/>
      <c r="P30" s="98"/>
      <c r="Q30" s="98"/>
      <c r="R30" s="98"/>
      <c r="S30" s="98"/>
      <c r="T30" s="98"/>
      <c r="U30" s="98"/>
      <c r="V30" s="98"/>
      <c r="W30" s="98"/>
      <c r="X30" s="98"/>
    </row>
    <row r="31" ht="56.25" customHeight="1">
      <c r="A31" s="98"/>
      <c r="B31" s="101" t="str">
        <f>IMAGE(Hats!$F$38, 3)</f>
        <v/>
      </c>
      <c r="D31" s="101"/>
      <c r="E31" s="101"/>
      <c r="F31" s="101" t="str">
        <f>IMAGE(Hats!$F$39, 3)</f>
        <v/>
      </c>
      <c r="H31" s="101"/>
      <c r="I31" s="101"/>
      <c r="J31" s="101"/>
      <c r="L31" s="101"/>
      <c r="M31" s="101"/>
      <c r="N31" s="101"/>
      <c r="P31" s="101"/>
      <c r="Q31" s="101"/>
      <c r="R31" s="101"/>
      <c r="T31" s="101"/>
      <c r="U31" s="101"/>
      <c r="V31" s="101"/>
      <c r="X31" s="98"/>
    </row>
    <row r="32">
      <c r="A32" s="98"/>
      <c r="B32" s="129" t="str">
        <f>Hats!$C$38</f>
        <v>AD01</v>
      </c>
      <c r="C32" s="129">
        <v>1.0</v>
      </c>
      <c r="D32" s="129"/>
      <c r="E32" s="129"/>
      <c r="F32" s="129" t="str">
        <f>Hats!$C$39</f>
        <v>AD02</v>
      </c>
      <c r="G32" s="129">
        <v>1.0</v>
      </c>
      <c r="H32" s="129"/>
      <c r="I32" s="129"/>
      <c r="J32" s="129"/>
      <c r="K32" s="129"/>
      <c r="L32" s="129"/>
      <c r="M32" s="129"/>
      <c r="N32" s="129"/>
      <c r="O32" s="129"/>
      <c r="P32" s="101"/>
      <c r="Q32" s="101"/>
      <c r="R32" s="129"/>
      <c r="S32" s="129"/>
      <c r="T32" s="101"/>
      <c r="U32" s="101"/>
      <c r="V32" s="129"/>
      <c r="W32" s="129"/>
      <c r="X32" s="98"/>
    </row>
    <row r="33">
      <c r="A33" s="98"/>
      <c r="B33" s="98"/>
      <c r="C33" s="98"/>
      <c r="D33" s="98"/>
      <c r="E33" s="98"/>
      <c r="F33" s="98"/>
      <c r="G33" s="98"/>
      <c r="H33" s="98"/>
      <c r="I33" s="98"/>
      <c r="J33" s="98"/>
      <c r="K33" s="98"/>
      <c r="L33" s="98"/>
      <c r="M33" s="98"/>
      <c r="N33" s="98"/>
      <c r="O33" s="98"/>
      <c r="P33" s="98"/>
      <c r="Q33" s="98"/>
      <c r="R33" s="98"/>
      <c r="S33" s="98"/>
      <c r="T33" s="98"/>
      <c r="U33" s="98"/>
      <c r="V33" s="98"/>
      <c r="W33" s="98"/>
      <c r="X33" s="98"/>
    </row>
  </sheetData>
  <mergeCells count="59">
    <mergeCell ref="F19:G19"/>
    <mergeCell ref="J19:K19"/>
    <mergeCell ref="F22:G22"/>
    <mergeCell ref="J22:K22"/>
    <mergeCell ref="N22:O22"/>
    <mergeCell ref="R22:S22"/>
    <mergeCell ref="V22:W22"/>
    <mergeCell ref="B22:C22"/>
    <mergeCell ref="B25:C25"/>
    <mergeCell ref="F25:G25"/>
    <mergeCell ref="J25:K25"/>
    <mergeCell ref="N25:O25"/>
    <mergeCell ref="R25:S25"/>
    <mergeCell ref="V25:W25"/>
    <mergeCell ref="N31:O31"/>
    <mergeCell ref="R31:S31"/>
    <mergeCell ref="B28:C28"/>
    <mergeCell ref="F28:G28"/>
    <mergeCell ref="J28:K28"/>
    <mergeCell ref="N28:O28"/>
    <mergeCell ref="R28:S28"/>
    <mergeCell ref="V28:W28"/>
    <mergeCell ref="B31:C31"/>
    <mergeCell ref="V31:W31"/>
    <mergeCell ref="B2:W2"/>
    <mergeCell ref="J3:K3"/>
    <mergeCell ref="N3:O3"/>
    <mergeCell ref="J5:O5"/>
    <mergeCell ref="J6:O6"/>
    <mergeCell ref="J7:L7"/>
    <mergeCell ref="M7:O7"/>
    <mergeCell ref="F10:G10"/>
    <mergeCell ref="F11:G11"/>
    <mergeCell ref="B9:W9"/>
    <mergeCell ref="B10:C10"/>
    <mergeCell ref="J10:K10"/>
    <mergeCell ref="N10:O10"/>
    <mergeCell ref="R10:S10"/>
    <mergeCell ref="V10:W10"/>
    <mergeCell ref="B11:C11"/>
    <mergeCell ref="J11:K11"/>
    <mergeCell ref="B14:W14"/>
    <mergeCell ref="F15:G15"/>
    <mergeCell ref="J15:K15"/>
    <mergeCell ref="N15:O15"/>
    <mergeCell ref="R15:S15"/>
    <mergeCell ref="V15:W15"/>
    <mergeCell ref="N19:O19"/>
    <mergeCell ref="R19:S19"/>
    <mergeCell ref="B15:C15"/>
    <mergeCell ref="B16:C16"/>
    <mergeCell ref="F16:G16"/>
    <mergeCell ref="J16:K16"/>
    <mergeCell ref="N16:O16"/>
    <mergeCell ref="B18:W18"/>
    <mergeCell ref="B19:C19"/>
    <mergeCell ref="V19:W19"/>
    <mergeCell ref="F31:G31"/>
    <mergeCell ref="J31:K31"/>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2" max="2" width="16.63"/>
    <col customWidth="1" min="4" max="4" width="8.38"/>
    <col customWidth="1" min="5" max="5" width="7.88"/>
    <col customWidth="1" min="6" max="6" width="4.75"/>
    <col customWidth="1" min="7" max="7" width="3.75"/>
  </cols>
  <sheetData>
    <row r="1">
      <c r="A1" s="143" t="s">
        <v>50</v>
      </c>
      <c r="B1" s="143" t="s">
        <v>51</v>
      </c>
      <c r="C1" s="143" t="s">
        <v>52</v>
      </c>
      <c r="D1" s="143" t="s">
        <v>53</v>
      </c>
      <c r="E1" s="143" t="s">
        <v>54</v>
      </c>
      <c r="F1" s="143" t="s">
        <v>55</v>
      </c>
      <c r="G1" s="143" t="s">
        <v>56</v>
      </c>
    </row>
    <row r="2">
      <c r="A2" s="144">
        <f t="shared" ref="A2:A32" si="1">date(2022,3,17)</f>
        <v>44637</v>
      </c>
      <c r="B2" s="145" t="s">
        <v>16</v>
      </c>
      <c r="C2" s="145" t="s">
        <v>57</v>
      </c>
      <c r="D2" s="146" t="s">
        <v>58</v>
      </c>
      <c r="E2" s="147"/>
      <c r="F2" s="148"/>
      <c r="G2" s="149"/>
    </row>
    <row r="3">
      <c r="A3" s="144">
        <f t="shared" si="1"/>
        <v>44637</v>
      </c>
      <c r="B3" s="145" t="s">
        <v>16</v>
      </c>
      <c r="C3" s="145" t="s">
        <v>57</v>
      </c>
      <c r="D3" s="146" t="s">
        <v>66</v>
      </c>
      <c r="E3" s="147"/>
      <c r="F3" s="148"/>
      <c r="G3" s="149"/>
    </row>
    <row r="4">
      <c r="A4" s="144">
        <f t="shared" si="1"/>
        <v>44637</v>
      </c>
      <c r="B4" s="145" t="s">
        <v>41</v>
      </c>
      <c r="C4" s="145" t="s">
        <v>57</v>
      </c>
      <c r="D4" s="146" t="s">
        <v>67</v>
      </c>
      <c r="E4" s="147"/>
      <c r="F4" s="148"/>
      <c r="G4" s="149"/>
    </row>
    <row r="5">
      <c r="A5" s="144">
        <f t="shared" si="1"/>
        <v>44637</v>
      </c>
      <c r="B5" s="145" t="s">
        <v>41</v>
      </c>
      <c r="C5" s="145" t="s">
        <v>57</v>
      </c>
      <c r="D5" s="151" t="s">
        <v>68</v>
      </c>
      <c r="E5" s="152"/>
      <c r="F5" s="148"/>
      <c r="G5" s="149"/>
    </row>
    <row r="6">
      <c r="A6" s="144">
        <f t="shared" si="1"/>
        <v>44637</v>
      </c>
      <c r="B6" s="145" t="s">
        <v>17</v>
      </c>
      <c r="C6" s="145" t="s">
        <v>57</v>
      </c>
      <c r="D6" s="146" t="s">
        <v>67</v>
      </c>
      <c r="E6" s="147"/>
      <c r="F6" s="148"/>
      <c r="G6" s="149"/>
    </row>
    <row r="7">
      <c r="A7" s="144">
        <f t="shared" si="1"/>
        <v>44637</v>
      </c>
      <c r="B7" s="145" t="s">
        <v>17</v>
      </c>
      <c r="C7" s="145" t="s">
        <v>57</v>
      </c>
      <c r="D7" s="146" t="s">
        <v>72</v>
      </c>
      <c r="E7" s="147"/>
      <c r="F7" s="148"/>
      <c r="G7" s="149"/>
    </row>
    <row r="8">
      <c r="A8" s="144">
        <f t="shared" si="1"/>
        <v>44637</v>
      </c>
      <c r="B8" s="145" t="s">
        <v>21</v>
      </c>
      <c r="C8" s="145" t="s">
        <v>57</v>
      </c>
      <c r="D8" s="146" t="s">
        <v>58</v>
      </c>
      <c r="E8" s="147"/>
      <c r="F8" s="148"/>
      <c r="G8" s="149"/>
    </row>
    <row r="9">
      <c r="A9" s="144">
        <f t="shared" si="1"/>
        <v>44637</v>
      </c>
      <c r="B9" s="145" t="s">
        <v>21</v>
      </c>
      <c r="C9" s="145" t="s">
        <v>57</v>
      </c>
      <c r="D9" s="146" t="s">
        <v>72</v>
      </c>
      <c r="E9" s="147"/>
      <c r="F9" s="148"/>
      <c r="G9" s="149"/>
    </row>
    <row r="10">
      <c r="A10" s="144">
        <f t="shared" si="1"/>
        <v>44637</v>
      </c>
      <c r="B10" s="145" t="s">
        <v>19</v>
      </c>
      <c r="C10" s="145" t="s">
        <v>57</v>
      </c>
      <c r="D10" s="146" t="s">
        <v>74</v>
      </c>
      <c r="E10" s="147"/>
      <c r="F10" s="148"/>
      <c r="G10" s="149"/>
    </row>
    <row r="11">
      <c r="A11" s="144">
        <f t="shared" si="1"/>
        <v>44637</v>
      </c>
      <c r="B11" s="145" t="s">
        <v>19</v>
      </c>
      <c r="C11" s="145" t="s">
        <v>57</v>
      </c>
      <c r="D11" s="151" t="s">
        <v>68</v>
      </c>
      <c r="E11" s="152"/>
      <c r="F11" s="148"/>
      <c r="G11" s="149"/>
    </row>
    <row r="12">
      <c r="A12" s="144">
        <f t="shared" si="1"/>
        <v>44637</v>
      </c>
      <c r="B12" s="145" t="s">
        <v>14</v>
      </c>
      <c r="C12" s="145" t="s">
        <v>57</v>
      </c>
      <c r="D12" s="146" t="s">
        <v>58</v>
      </c>
      <c r="E12" s="147"/>
      <c r="F12" s="148"/>
      <c r="G12" s="149"/>
    </row>
    <row r="13">
      <c r="A13" s="144">
        <f t="shared" si="1"/>
        <v>44637</v>
      </c>
      <c r="B13" s="145" t="s">
        <v>14</v>
      </c>
      <c r="C13" s="145" t="s">
        <v>57</v>
      </c>
      <c r="D13" s="146" t="s">
        <v>72</v>
      </c>
      <c r="E13" s="147"/>
      <c r="F13" s="148"/>
      <c r="G13" s="149"/>
    </row>
    <row r="14">
      <c r="A14" s="144">
        <f t="shared" si="1"/>
        <v>44637</v>
      </c>
      <c r="B14" s="145" t="s">
        <v>28</v>
      </c>
      <c r="C14" s="145" t="s">
        <v>57</v>
      </c>
      <c r="D14" s="146" t="s">
        <v>58</v>
      </c>
      <c r="E14" s="147"/>
      <c r="F14" s="148"/>
      <c r="G14" s="149"/>
    </row>
    <row r="15">
      <c r="A15" s="144">
        <f t="shared" si="1"/>
        <v>44637</v>
      </c>
      <c r="B15" s="145" t="s">
        <v>28</v>
      </c>
      <c r="C15" s="145" t="s">
        <v>57</v>
      </c>
      <c r="D15" s="146" t="s">
        <v>68</v>
      </c>
      <c r="E15" s="147"/>
      <c r="F15" s="148"/>
      <c r="G15" s="149"/>
    </row>
    <row r="16">
      <c r="A16" s="144">
        <f t="shared" si="1"/>
        <v>44637</v>
      </c>
      <c r="B16" s="145" t="s">
        <v>19</v>
      </c>
      <c r="C16" s="145" t="s">
        <v>75</v>
      </c>
      <c r="D16" s="146" t="s">
        <v>76</v>
      </c>
      <c r="E16" s="147"/>
      <c r="F16" s="148"/>
      <c r="G16" s="149"/>
    </row>
    <row r="17">
      <c r="A17" s="144">
        <f t="shared" si="1"/>
        <v>44637</v>
      </c>
      <c r="B17" s="145" t="s">
        <v>28</v>
      </c>
      <c r="C17" s="145" t="s">
        <v>75</v>
      </c>
      <c r="D17" s="146" t="s">
        <v>77</v>
      </c>
      <c r="E17" s="147"/>
      <c r="F17" s="146">
        <v>1.0</v>
      </c>
      <c r="G17" s="147"/>
    </row>
    <row r="18">
      <c r="A18" s="144">
        <f t="shared" si="1"/>
        <v>44637</v>
      </c>
      <c r="B18" s="145" t="s">
        <v>21</v>
      </c>
      <c r="C18" s="145" t="s">
        <v>75</v>
      </c>
      <c r="D18" s="146" t="s">
        <v>78</v>
      </c>
      <c r="E18" s="147"/>
      <c r="F18" s="146">
        <v>1.0</v>
      </c>
      <c r="G18" s="147"/>
    </row>
    <row r="19">
      <c r="A19" s="144">
        <f t="shared" si="1"/>
        <v>44637</v>
      </c>
      <c r="B19" s="145" t="s">
        <v>14</v>
      </c>
      <c r="C19" s="145" t="s">
        <v>75</v>
      </c>
      <c r="D19" s="146" t="s">
        <v>36</v>
      </c>
      <c r="E19" s="147"/>
      <c r="F19" s="148"/>
      <c r="G19" s="149"/>
    </row>
    <row r="20">
      <c r="A20" s="144">
        <f t="shared" si="1"/>
        <v>44637</v>
      </c>
      <c r="B20" s="145" t="s">
        <v>22</v>
      </c>
      <c r="C20" s="145" t="s">
        <v>75</v>
      </c>
      <c r="D20" s="146" t="s">
        <v>79</v>
      </c>
      <c r="E20" s="147"/>
      <c r="F20" s="148"/>
      <c r="G20" s="149"/>
    </row>
    <row r="21">
      <c r="A21" s="144">
        <f t="shared" si="1"/>
        <v>44637</v>
      </c>
      <c r="B21" s="145" t="s">
        <v>16</v>
      </c>
      <c r="C21" s="145" t="s">
        <v>75</v>
      </c>
      <c r="D21" s="146" t="s">
        <v>80</v>
      </c>
      <c r="E21" s="147"/>
      <c r="F21" s="146">
        <v>1.0</v>
      </c>
      <c r="G21" s="147"/>
    </row>
    <row r="22">
      <c r="A22" s="144">
        <f t="shared" si="1"/>
        <v>44637</v>
      </c>
      <c r="B22" s="145" t="s">
        <v>23</v>
      </c>
      <c r="C22" s="145" t="s">
        <v>57</v>
      </c>
      <c r="D22" s="146" t="s">
        <v>74</v>
      </c>
      <c r="E22" s="147"/>
      <c r="F22" s="146"/>
      <c r="G22" s="147"/>
    </row>
    <row r="23">
      <c r="A23" s="144">
        <f t="shared" si="1"/>
        <v>44637</v>
      </c>
      <c r="B23" s="145" t="s">
        <v>23</v>
      </c>
      <c r="C23" s="145" t="s">
        <v>57</v>
      </c>
      <c r="D23" s="146" t="s">
        <v>66</v>
      </c>
      <c r="E23" s="147"/>
      <c r="F23" s="146"/>
      <c r="G23" s="147"/>
    </row>
    <row r="24">
      <c r="A24" s="144">
        <f t="shared" si="1"/>
        <v>44637</v>
      </c>
      <c r="B24" s="145" t="s">
        <v>23</v>
      </c>
      <c r="C24" s="145" t="s">
        <v>75</v>
      </c>
      <c r="D24" s="146" t="s">
        <v>82</v>
      </c>
      <c r="E24" s="147"/>
      <c r="F24" s="146">
        <v>1.0</v>
      </c>
      <c r="G24" s="147"/>
    </row>
    <row r="25">
      <c r="A25" s="144">
        <f t="shared" si="1"/>
        <v>44637</v>
      </c>
      <c r="B25" s="145" t="s">
        <v>29</v>
      </c>
      <c r="C25" s="145" t="s">
        <v>57</v>
      </c>
      <c r="D25" s="146" t="s">
        <v>67</v>
      </c>
      <c r="E25" s="147"/>
      <c r="F25" s="148"/>
      <c r="G25" s="149"/>
    </row>
    <row r="26">
      <c r="A26" s="144">
        <f t="shared" si="1"/>
        <v>44637</v>
      </c>
      <c r="B26" s="145" t="s">
        <v>29</v>
      </c>
      <c r="C26" s="145" t="s">
        <v>57</v>
      </c>
      <c r="D26" s="146" t="s">
        <v>72</v>
      </c>
      <c r="E26" s="147"/>
      <c r="F26" s="148"/>
      <c r="G26" s="149"/>
    </row>
    <row r="27">
      <c r="A27" s="144">
        <f t="shared" si="1"/>
        <v>44637</v>
      </c>
      <c r="B27" s="145" t="s">
        <v>29</v>
      </c>
      <c r="C27" s="145" t="s">
        <v>75</v>
      </c>
      <c r="D27" s="146" t="s">
        <v>79</v>
      </c>
      <c r="E27" s="147"/>
      <c r="F27" s="146">
        <v>2.0</v>
      </c>
      <c r="G27" s="147"/>
    </row>
    <row r="28">
      <c r="A28" s="144">
        <f t="shared" si="1"/>
        <v>44637</v>
      </c>
      <c r="B28" s="145" t="s">
        <v>15</v>
      </c>
      <c r="C28" s="145" t="s">
        <v>57</v>
      </c>
      <c r="D28" s="146" t="s">
        <v>70</v>
      </c>
      <c r="E28" s="147"/>
      <c r="F28" s="148"/>
      <c r="G28" s="149"/>
    </row>
    <row r="29">
      <c r="A29" s="144">
        <f t="shared" si="1"/>
        <v>44637</v>
      </c>
      <c r="B29" s="145" t="s">
        <v>15</v>
      </c>
      <c r="C29" s="145" t="s">
        <v>57</v>
      </c>
      <c r="D29" s="146" t="s">
        <v>86</v>
      </c>
      <c r="E29" s="147"/>
      <c r="F29" s="148"/>
      <c r="G29" s="149"/>
    </row>
    <row r="30">
      <c r="A30" s="144">
        <f t="shared" si="1"/>
        <v>44637</v>
      </c>
      <c r="B30" s="145" t="s">
        <v>17</v>
      </c>
      <c r="C30" s="145" t="s">
        <v>75</v>
      </c>
      <c r="D30" s="146" t="s">
        <v>87</v>
      </c>
      <c r="E30" s="147"/>
      <c r="F30" s="146">
        <v>1.0</v>
      </c>
      <c r="G30" s="147"/>
    </row>
    <row r="31">
      <c r="A31" s="144">
        <f t="shared" si="1"/>
        <v>44637</v>
      </c>
      <c r="B31" s="145" t="s">
        <v>15</v>
      </c>
      <c r="C31" s="145" t="s">
        <v>75</v>
      </c>
      <c r="D31" s="146" t="s">
        <v>88</v>
      </c>
      <c r="E31" s="147"/>
      <c r="F31" s="146">
        <v>1.0</v>
      </c>
      <c r="G31" s="147"/>
    </row>
    <row r="32">
      <c r="A32" s="144">
        <f t="shared" si="1"/>
        <v>44637</v>
      </c>
      <c r="B32" s="145" t="s">
        <v>41</v>
      </c>
      <c r="C32" s="145" t="s">
        <v>75</v>
      </c>
      <c r="D32" s="146" t="s">
        <v>82</v>
      </c>
      <c r="E32" s="147"/>
      <c r="F32" s="148"/>
      <c r="G32" s="149"/>
    </row>
    <row r="33">
      <c r="A33" s="144">
        <f t="shared" ref="A33:A44" si="2">date(2022,3,18)</f>
        <v>44638</v>
      </c>
      <c r="B33" s="145" t="s">
        <v>14</v>
      </c>
      <c r="C33" s="145" t="s">
        <v>75</v>
      </c>
      <c r="D33" s="146" t="s">
        <v>91</v>
      </c>
      <c r="E33" s="147"/>
      <c r="F33" s="148"/>
      <c r="G33" s="149"/>
    </row>
    <row r="34">
      <c r="A34" s="144">
        <f t="shared" si="2"/>
        <v>44638</v>
      </c>
      <c r="B34" s="145" t="s">
        <v>19</v>
      </c>
      <c r="C34" s="145" t="s">
        <v>75</v>
      </c>
      <c r="D34" s="146" t="s">
        <v>94</v>
      </c>
      <c r="E34" s="147"/>
      <c r="F34" s="146">
        <v>1.0</v>
      </c>
      <c r="G34" s="147"/>
    </row>
    <row r="35">
      <c r="A35" s="144">
        <f t="shared" si="2"/>
        <v>44638</v>
      </c>
      <c r="B35" s="145" t="s">
        <v>23</v>
      </c>
      <c r="C35" s="145" t="s">
        <v>75</v>
      </c>
      <c r="D35" s="146" t="s">
        <v>95</v>
      </c>
      <c r="E35" s="147"/>
      <c r="F35" s="146">
        <v>1.0</v>
      </c>
      <c r="G35" s="147"/>
    </row>
    <row r="36">
      <c r="A36" s="144">
        <f t="shared" si="2"/>
        <v>44638</v>
      </c>
      <c r="B36" s="145" t="s">
        <v>28</v>
      </c>
      <c r="C36" s="145" t="s">
        <v>75</v>
      </c>
      <c r="D36" s="146" t="s">
        <v>96</v>
      </c>
      <c r="E36" s="147"/>
      <c r="F36" s="146">
        <v>2.0</v>
      </c>
      <c r="G36" s="147"/>
    </row>
    <row r="37">
      <c r="A37" s="144">
        <f t="shared" si="2"/>
        <v>44638</v>
      </c>
      <c r="B37" s="145" t="s">
        <v>21</v>
      </c>
      <c r="C37" s="145" t="s">
        <v>75</v>
      </c>
      <c r="D37" s="146" t="s">
        <v>76</v>
      </c>
      <c r="E37" s="147"/>
      <c r="F37" s="146">
        <v>2.0</v>
      </c>
      <c r="G37" s="147"/>
    </row>
    <row r="38">
      <c r="A38" s="144">
        <f t="shared" si="2"/>
        <v>44638</v>
      </c>
      <c r="B38" s="145" t="s">
        <v>16</v>
      </c>
      <c r="C38" s="145" t="s">
        <v>75</v>
      </c>
      <c r="D38" s="146" t="s">
        <v>76</v>
      </c>
      <c r="E38" s="147"/>
      <c r="F38" s="148"/>
      <c r="G38" s="149"/>
    </row>
    <row r="39">
      <c r="A39" s="144">
        <f t="shared" si="2"/>
        <v>44638</v>
      </c>
      <c r="B39" s="145" t="s">
        <v>25</v>
      </c>
      <c r="C39" s="145" t="s">
        <v>57</v>
      </c>
      <c r="D39" s="146" t="s">
        <v>58</v>
      </c>
      <c r="E39" s="147"/>
      <c r="F39" s="148"/>
      <c r="G39" s="149"/>
    </row>
    <row r="40">
      <c r="A40" s="144">
        <f t="shared" si="2"/>
        <v>44638</v>
      </c>
      <c r="B40" s="145" t="s">
        <v>25</v>
      </c>
      <c r="C40" s="145" t="s">
        <v>57</v>
      </c>
      <c r="D40" s="146" t="s">
        <v>72</v>
      </c>
      <c r="E40" s="147"/>
      <c r="F40" s="148"/>
      <c r="G40" s="149"/>
    </row>
    <row r="41">
      <c r="A41" s="144">
        <f t="shared" si="2"/>
        <v>44638</v>
      </c>
      <c r="B41" s="145" t="s">
        <v>17</v>
      </c>
      <c r="C41" s="145" t="s">
        <v>75</v>
      </c>
      <c r="D41" s="146" t="s">
        <v>88</v>
      </c>
      <c r="E41" s="147"/>
      <c r="F41" s="146">
        <v>1.0</v>
      </c>
      <c r="G41" s="147"/>
    </row>
    <row r="42">
      <c r="A42" s="144">
        <f t="shared" si="2"/>
        <v>44638</v>
      </c>
      <c r="B42" s="145" t="s">
        <v>25</v>
      </c>
      <c r="C42" s="145" t="s">
        <v>75</v>
      </c>
      <c r="D42" s="146" t="s">
        <v>78</v>
      </c>
      <c r="E42" s="147"/>
      <c r="F42" s="148"/>
      <c r="G42" s="149"/>
    </row>
    <row r="43">
      <c r="A43" s="144">
        <f t="shared" si="2"/>
        <v>44638</v>
      </c>
      <c r="B43" s="145" t="s">
        <v>22</v>
      </c>
      <c r="C43" s="145" t="s">
        <v>75</v>
      </c>
      <c r="D43" s="146" t="s">
        <v>78</v>
      </c>
      <c r="E43" s="147"/>
      <c r="F43" s="146">
        <v>2.0</v>
      </c>
      <c r="G43" s="147"/>
    </row>
    <row r="44">
      <c r="A44" s="144">
        <f t="shared" si="2"/>
        <v>44638</v>
      </c>
      <c r="B44" s="145" t="s">
        <v>41</v>
      </c>
      <c r="C44" s="145" t="s">
        <v>75</v>
      </c>
      <c r="D44" s="146" t="s">
        <v>101</v>
      </c>
      <c r="E44" s="147"/>
      <c r="F44" s="146">
        <v>1.0</v>
      </c>
      <c r="G44" s="147"/>
    </row>
    <row r="45">
      <c r="A45" s="144">
        <f t="shared" ref="A45:A47" si="3">date(2022,3,19)</f>
        <v>44639</v>
      </c>
      <c r="B45" s="145" t="s">
        <v>18</v>
      </c>
      <c r="C45" s="145" t="s">
        <v>57</v>
      </c>
      <c r="D45" s="146" t="s">
        <v>58</v>
      </c>
      <c r="E45" s="147"/>
      <c r="F45" s="148"/>
      <c r="G45" s="149"/>
    </row>
    <row r="46">
      <c r="A46" s="144">
        <f t="shared" si="3"/>
        <v>44639</v>
      </c>
      <c r="B46" s="145" t="s">
        <v>18</v>
      </c>
      <c r="C46" s="145" t="s">
        <v>57</v>
      </c>
      <c r="D46" s="146" t="s">
        <v>66</v>
      </c>
      <c r="E46" s="147"/>
      <c r="F46" s="148"/>
      <c r="G46" s="149"/>
    </row>
    <row r="47">
      <c r="A47" s="144">
        <f t="shared" si="3"/>
        <v>44639</v>
      </c>
      <c r="B47" s="145" t="s">
        <v>18</v>
      </c>
      <c r="C47" s="145" t="s">
        <v>75</v>
      </c>
      <c r="D47" s="146" t="s">
        <v>76</v>
      </c>
      <c r="E47" s="147"/>
      <c r="F47" s="146">
        <v>1.0</v>
      </c>
      <c r="G47" s="147"/>
    </row>
    <row r="48">
      <c r="A48" s="144">
        <f t="shared" ref="A48:A58" si="4">date(2022,3,21)</f>
        <v>44641</v>
      </c>
      <c r="B48" s="145" t="s">
        <v>14</v>
      </c>
      <c r="C48" s="145" t="s">
        <v>75</v>
      </c>
      <c r="D48" s="146" t="s">
        <v>107</v>
      </c>
      <c r="E48" s="147"/>
      <c r="F48" s="146">
        <v>2.0</v>
      </c>
      <c r="G48" s="147"/>
    </row>
    <row r="49">
      <c r="A49" s="144">
        <f t="shared" si="4"/>
        <v>44641</v>
      </c>
      <c r="B49" s="145" t="s">
        <v>22</v>
      </c>
      <c r="C49" s="145" t="s">
        <v>75</v>
      </c>
      <c r="D49" s="146" t="s">
        <v>107</v>
      </c>
      <c r="E49" s="147"/>
      <c r="F49" s="146">
        <v>2.0</v>
      </c>
      <c r="G49" s="147"/>
    </row>
    <row r="50">
      <c r="A50" s="144">
        <f t="shared" si="4"/>
        <v>44641</v>
      </c>
      <c r="B50" s="145" t="s">
        <v>17</v>
      </c>
      <c r="C50" s="145" t="s">
        <v>75</v>
      </c>
      <c r="D50" s="146" t="s">
        <v>108</v>
      </c>
      <c r="E50" s="147"/>
      <c r="F50" s="146">
        <v>1.0</v>
      </c>
      <c r="G50" s="147"/>
    </row>
    <row r="51">
      <c r="A51" s="144">
        <f t="shared" si="4"/>
        <v>44641</v>
      </c>
      <c r="B51" s="145" t="s">
        <v>23</v>
      </c>
      <c r="C51" s="145" t="s">
        <v>75</v>
      </c>
      <c r="D51" s="146" t="s">
        <v>107</v>
      </c>
      <c r="E51" s="147"/>
      <c r="F51" s="146">
        <v>1.0</v>
      </c>
      <c r="G51" s="147"/>
    </row>
    <row r="52">
      <c r="A52" s="144">
        <f t="shared" si="4"/>
        <v>44641</v>
      </c>
      <c r="B52" s="145" t="s">
        <v>25</v>
      </c>
      <c r="C52" s="145" t="s">
        <v>75</v>
      </c>
      <c r="D52" s="146" t="s">
        <v>94</v>
      </c>
      <c r="E52" s="147"/>
      <c r="F52" s="146">
        <v>2.0</v>
      </c>
      <c r="G52" s="147"/>
    </row>
    <row r="53">
      <c r="A53" s="144">
        <f t="shared" si="4"/>
        <v>44641</v>
      </c>
      <c r="B53" s="145" t="s">
        <v>18</v>
      </c>
      <c r="C53" s="145" t="s">
        <v>75</v>
      </c>
      <c r="D53" s="146" t="s">
        <v>94</v>
      </c>
      <c r="E53" s="147"/>
      <c r="F53" s="146">
        <v>2.0</v>
      </c>
      <c r="G53" s="147"/>
    </row>
    <row r="54">
      <c r="A54" s="163">
        <f t="shared" si="4"/>
        <v>44641</v>
      </c>
      <c r="B54" s="145" t="s">
        <v>19</v>
      </c>
      <c r="C54" s="2" t="s">
        <v>75</v>
      </c>
      <c r="D54" s="164" t="s">
        <v>101</v>
      </c>
      <c r="E54" s="166"/>
      <c r="F54" s="168"/>
      <c r="G54" s="170"/>
    </row>
    <row r="55">
      <c r="A55" s="144">
        <f t="shared" si="4"/>
        <v>44641</v>
      </c>
      <c r="B55" s="145" t="s">
        <v>21</v>
      </c>
      <c r="C55" s="145" t="s">
        <v>75</v>
      </c>
      <c r="D55" s="151" t="s">
        <v>36</v>
      </c>
      <c r="E55" s="152"/>
      <c r="F55" s="146">
        <v>2.0</v>
      </c>
      <c r="G55" s="147"/>
    </row>
    <row r="56">
      <c r="A56" s="144">
        <f t="shared" si="4"/>
        <v>44641</v>
      </c>
      <c r="B56" s="145" t="s">
        <v>28</v>
      </c>
      <c r="C56" s="145" t="s">
        <v>75</v>
      </c>
      <c r="D56" s="146" t="s">
        <v>115</v>
      </c>
      <c r="E56" s="147"/>
      <c r="F56" s="146">
        <v>1.0</v>
      </c>
      <c r="G56" s="147"/>
    </row>
    <row r="57">
      <c r="A57" s="144">
        <f t="shared" si="4"/>
        <v>44641</v>
      </c>
      <c r="B57" s="145" t="s">
        <v>16</v>
      </c>
      <c r="C57" s="145" t="s">
        <v>75</v>
      </c>
      <c r="D57" s="151" t="s">
        <v>82</v>
      </c>
      <c r="E57" s="152"/>
      <c r="F57" s="146">
        <v>1.0</v>
      </c>
      <c r="G57" s="147"/>
    </row>
    <row r="58">
      <c r="A58" s="144">
        <f t="shared" si="4"/>
        <v>44641</v>
      </c>
      <c r="B58" s="145" t="s">
        <v>29</v>
      </c>
      <c r="C58" s="145" t="s">
        <v>75</v>
      </c>
      <c r="D58" s="151" t="s">
        <v>87</v>
      </c>
      <c r="E58" s="152"/>
      <c r="F58" s="146">
        <v>1.0</v>
      </c>
      <c r="G58" s="147"/>
    </row>
    <row r="59">
      <c r="A59" s="144">
        <f t="shared" ref="A59:A68" si="5">date(2022,3,22)</f>
        <v>44642</v>
      </c>
      <c r="B59" s="145" t="s">
        <v>21</v>
      </c>
      <c r="C59" s="145" t="s">
        <v>75</v>
      </c>
      <c r="D59" s="146" t="s">
        <v>117</v>
      </c>
      <c r="E59" s="147"/>
      <c r="F59" s="146">
        <v>1.0</v>
      </c>
      <c r="G59" s="147"/>
    </row>
    <row r="60">
      <c r="A60" s="144">
        <f t="shared" si="5"/>
        <v>44642</v>
      </c>
      <c r="B60" s="145" t="s">
        <v>17</v>
      </c>
      <c r="C60" s="145" t="s">
        <v>75</v>
      </c>
      <c r="D60" s="146" t="s">
        <v>88</v>
      </c>
      <c r="E60" s="147"/>
      <c r="F60" s="146">
        <v>2.0</v>
      </c>
      <c r="G60" s="147"/>
    </row>
    <row r="61">
      <c r="A61" s="144">
        <f t="shared" si="5"/>
        <v>44642</v>
      </c>
      <c r="B61" s="145" t="s">
        <v>25</v>
      </c>
      <c r="C61" s="145" t="s">
        <v>75</v>
      </c>
      <c r="D61" s="146" t="s">
        <v>122</v>
      </c>
      <c r="E61" s="147"/>
      <c r="F61" s="146">
        <v>1.0</v>
      </c>
      <c r="G61" s="147"/>
    </row>
    <row r="62">
      <c r="A62" s="144">
        <f t="shared" si="5"/>
        <v>44642</v>
      </c>
      <c r="B62" s="145" t="s">
        <v>14</v>
      </c>
      <c r="C62" s="145" t="s">
        <v>75</v>
      </c>
      <c r="D62" s="146" t="s">
        <v>95</v>
      </c>
      <c r="E62" s="147"/>
      <c r="F62" s="148"/>
      <c r="G62" s="149"/>
    </row>
    <row r="63">
      <c r="A63" s="144">
        <f t="shared" si="5"/>
        <v>44642</v>
      </c>
      <c r="B63" s="145" t="s">
        <v>19</v>
      </c>
      <c r="C63" s="145" t="s">
        <v>75</v>
      </c>
      <c r="D63" s="146" t="s">
        <v>88</v>
      </c>
      <c r="E63" s="147"/>
      <c r="F63" s="146">
        <v>2.0</v>
      </c>
      <c r="G63" s="147"/>
    </row>
    <row r="64">
      <c r="A64" s="144">
        <f t="shared" si="5"/>
        <v>44642</v>
      </c>
      <c r="B64" s="145" t="s">
        <v>22</v>
      </c>
      <c r="C64" s="145" t="s">
        <v>75</v>
      </c>
      <c r="D64" s="146" t="s">
        <v>94</v>
      </c>
      <c r="E64" s="147"/>
      <c r="F64" s="146">
        <v>1.0</v>
      </c>
      <c r="G64" s="147"/>
    </row>
    <row r="65">
      <c r="A65" s="144">
        <f t="shared" si="5"/>
        <v>44642</v>
      </c>
      <c r="B65" s="145" t="s">
        <v>29</v>
      </c>
      <c r="C65" s="145" t="s">
        <v>75</v>
      </c>
      <c r="D65" s="146" t="s">
        <v>124</v>
      </c>
      <c r="E65" s="147"/>
      <c r="F65" s="146">
        <v>2.0</v>
      </c>
      <c r="G65" s="147"/>
    </row>
    <row r="66">
      <c r="A66" s="144">
        <f t="shared" si="5"/>
        <v>44642</v>
      </c>
      <c r="B66" s="145" t="s">
        <v>18</v>
      </c>
      <c r="C66" s="145" t="s">
        <v>75</v>
      </c>
      <c r="D66" s="146" t="s">
        <v>80</v>
      </c>
      <c r="E66" s="147"/>
      <c r="F66" s="146">
        <v>2.0</v>
      </c>
      <c r="G66" s="147"/>
    </row>
    <row r="67">
      <c r="A67" s="144">
        <f t="shared" si="5"/>
        <v>44642</v>
      </c>
      <c r="B67" s="145" t="s">
        <v>16</v>
      </c>
      <c r="C67" s="145" t="s">
        <v>75</v>
      </c>
      <c r="D67" s="146" t="s">
        <v>125</v>
      </c>
      <c r="E67" s="147"/>
      <c r="F67" s="146">
        <v>1.0</v>
      </c>
      <c r="G67" s="147"/>
    </row>
    <row r="68">
      <c r="A68" s="144">
        <f t="shared" si="5"/>
        <v>44642</v>
      </c>
      <c r="B68" s="145" t="s">
        <v>23</v>
      </c>
      <c r="C68" s="145" t="s">
        <v>75</v>
      </c>
      <c r="D68" s="146" t="s">
        <v>127</v>
      </c>
      <c r="E68" s="147"/>
      <c r="F68" s="146">
        <v>2.0</v>
      </c>
      <c r="G68" s="147"/>
    </row>
    <row r="69">
      <c r="A69" s="144">
        <f t="shared" ref="A69:A77" si="6">date(2022,3,23)</f>
        <v>44643</v>
      </c>
      <c r="B69" s="145" t="s">
        <v>21</v>
      </c>
      <c r="C69" s="145" t="s">
        <v>75</v>
      </c>
      <c r="D69" s="146" t="s">
        <v>79</v>
      </c>
      <c r="E69" s="147"/>
      <c r="F69" s="146">
        <v>1.0</v>
      </c>
      <c r="G69" s="147"/>
    </row>
    <row r="70">
      <c r="A70" s="144">
        <f t="shared" si="6"/>
        <v>44643</v>
      </c>
      <c r="B70" s="145" t="s">
        <v>14</v>
      </c>
      <c r="C70" s="145" t="s">
        <v>75</v>
      </c>
      <c r="D70" s="146" t="s">
        <v>91</v>
      </c>
      <c r="E70" s="147"/>
      <c r="F70" s="146">
        <v>1.0</v>
      </c>
      <c r="G70" s="147"/>
    </row>
    <row r="71">
      <c r="A71" s="144">
        <f t="shared" si="6"/>
        <v>44643</v>
      </c>
      <c r="B71" s="145" t="s">
        <v>28</v>
      </c>
      <c r="C71" s="145" t="s">
        <v>75</v>
      </c>
      <c r="D71" s="146" t="s">
        <v>79</v>
      </c>
      <c r="E71" s="147"/>
      <c r="F71" s="146">
        <v>1.0</v>
      </c>
      <c r="G71" s="147"/>
    </row>
    <row r="72">
      <c r="A72" s="144">
        <f t="shared" si="6"/>
        <v>44643</v>
      </c>
      <c r="B72" s="145" t="s">
        <v>22</v>
      </c>
      <c r="C72" s="145" t="s">
        <v>75</v>
      </c>
      <c r="D72" s="146" t="s">
        <v>115</v>
      </c>
      <c r="E72" s="147"/>
      <c r="F72" s="148"/>
      <c r="G72" s="149"/>
    </row>
    <row r="73">
      <c r="A73" s="144">
        <f t="shared" si="6"/>
        <v>44643</v>
      </c>
      <c r="B73" s="145" t="s">
        <v>18</v>
      </c>
      <c r="C73" s="145" t="s">
        <v>75</v>
      </c>
      <c r="D73" s="146" t="s">
        <v>108</v>
      </c>
      <c r="E73" s="147"/>
      <c r="F73" s="146">
        <v>2.0</v>
      </c>
      <c r="G73" s="147"/>
    </row>
    <row r="74">
      <c r="A74" s="144">
        <f t="shared" si="6"/>
        <v>44643</v>
      </c>
      <c r="B74" s="145" t="s">
        <v>25</v>
      </c>
      <c r="C74" s="145" t="s">
        <v>75</v>
      </c>
      <c r="D74" s="146" t="s">
        <v>127</v>
      </c>
      <c r="E74" s="147"/>
      <c r="F74" s="146">
        <v>1.0</v>
      </c>
      <c r="G74" s="147"/>
    </row>
    <row r="75">
      <c r="A75" s="144">
        <f t="shared" si="6"/>
        <v>44643</v>
      </c>
      <c r="B75" s="145" t="s">
        <v>17</v>
      </c>
      <c r="C75" s="145" t="s">
        <v>75</v>
      </c>
      <c r="D75" s="146" t="s">
        <v>76</v>
      </c>
      <c r="E75" s="147"/>
      <c r="F75" s="146">
        <v>2.0</v>
      </c>
      <c r="G75" s="147"/>
    </row>
    <row r="76">
      <c r="A76" s="144">
        <f t="shared" si="6"/>
        <v>44643</v>
      </c>
      <c r="B76" s="145" t="s">
        <v>23</v>
      </c>
      <c r="C76" s="145" t="s">
        <v>75</v>
      </c>
      <c r="D76" s="146" t="s">
        <v>120</v>
      </c>
      <c r="E76" s="147"/>
      <c r="F76" s="146">
        <v>2.0</v>
      </c>
      <c r="G76" s="147"/>
    </row>
    <row r="77">
      <c r="A77" s="144">
        <f t="shared" si="6"/>
        <v>44643</v>
      </c>
      <c r="B77" s="145" t="s">
        <v>19</v>
      </c>
      <c r="C77" s="145" t="s">
        <v>75</v>
      </c>
      <c r="D77" s="146" t="s">
        <v>82</v>
      </c>
      <c r="E77" s="147"/>
      <c r="F77" s="146">
        <v>1.0</v>
      </c>
      <c r="G77" s="147"/>
    </row>
    <row r="78">
      <c r="A78" s="144">
        <f t="shared" ref="A78:A88" si="7">date(2022,3,24)</f>
        <v>44644</v>
      </c>
      <c r="B78" s="145" t="s">
        <v>21</v>
      </c>
      <c r="C78" s="145" t="s">
        <v>75</v>
      </c>
      <c r="D78" s="146" t="s">
        <v>125</v>
      </c>
      <c r="E78" s="147"/>
      <c r="F78" s="148"/>
      <c r="G78" s="149"/>
    </row>
    <row r="79">
      <c r="A79" s="144">
        <f t="shared" si="7"/>
        <v>44644</v>
      </c>
      <c r="B79" s="145" t="s">
        <v>15</v>
      </c>
      <c r="C79" s="145" t="s">
        <v>75</v>
      </c>
      <c r="D79" s="151" t="s">
        <v>79</v>
      </c>
      <c r="E79" s="152"/>
      <c r="F79" s="146">
        <v>1.0</v>
      </c>
      <c r="G79" s="147"/>
    </row>
    <row r="80">
      <c r="A80" s="144">
        <f t="shared" si="7"/>
        <v>44644</v>
      </c>
      <c r="B80" s="145" t="s">
        <v>17</v>
      </c>
      <c r="C80" s="145" t="s">
        <v>75</v>
      </c>
      <c r="D80" s="146" t="s">
        <v>107</v>
      </c>
      <c r="E80" s="147"/>
      <c r="F80" s="148"/>
      <c r="G80" s="149"/>
    </row>
    <row r="81">
      <c r="A81" s="144">
        <f t="shared" si="7"/>
        <v>44644</v>
      </c>
      <c r="B81" s="145" t="s">
        <v>25</v>
      </c>
      <c r="C81" s="145" t="s">
        <v>75</v>
      </c>
      <c r="D81" s="146" t="s">
        <v>135</v>
      </c>
      <c r="E81" s="147"/>
      <c r="F81" s="146">
        <v>1.0</v>
      </c>
      <c r="G81" s="147"/>
    </row>
    <row r="82">
      <c r="A82" s="144">
        <f t="shared" si="7"/>
        <v>44644</v>
      </c>
      <c r="B82" s="145" t="s">
        <v>14</v>
      </c>
      <c r="C82" s="145" t="s">
        <v>75</v>
      </c>
      <c r="D82" s="146" t="s">
        <v>88</v>
      </c>
      <c r="E82" s="147"/>
      <c r="F82" s="146">
        <v>1.0</v>
      </c>
      <c r="G82" s="147"/>
    </row>
    <row r="83">
      <c r="A83" s="144">
        <f t="shared" si="7"/>
        <v>44644</v>
      </c>
      <c r="B83" s="145" t="s">
        <v>28</v>
      </c>
      <c r="C83" s="145" t="s">
        <v>75</v>
      </c>
      <c r="D83" s="151" t="s">
        <v>36</v>
      </c>
      <c r="E83" s="152"/>
      <c r="F83" s="148"/>
      <c r="G83" s="149"/>
    </row>
    <row r="84">
      <c r="A84" s="144">
        <f t="shared" si="7"/>
        <v>44644</v>
      </c>
      <c r="B84" s="145" t="s">
        <v>22</v>
      </c>
      <c r="C84" s="145" t="s">
        <v>75</v>
      </c>
      <c r="D84" s="146" t="s">
        <v>91</v>
      </c>
      <c r="E84" s="147"/>
      <c r="F84" s="148"/>
      <c r="G84" s="149"/>
    </row>
    <row r="85">
      <c r="A85" s="144">
        <f t="shared" si="7"/>
        <v>44644</v>
      </c>
      <c r="B85" s="145" t="s">
        <v>18</v>
      </c>
      <c r="C85" s="145" t="s">
        <v>75</v>
      </c>
      <c r="D85" s="146" t="s">
        <v>112</v>
      </c>
      <c r="E85" s="147"/>
      <c r="F85" s="146">
        <v>2.0</v>
      </c>
      <c r="G85" s="147"/>
    </row>
    <row r="86">
      <c r="A86" s="144">
        <f t="shared" si="7"/>
        <v>44644</v>
      </c>
      <c r="B86" s="145" t="s">
        <v>19</v>
      </c>
      <c r="C86" s="145" t="s">
        <v>75</v>
      </c>
      <c r="D86" s="146" t="s">
        <v>138</v>
      </c>
      <c r="E86" s="147"/>
      <c r="F86" s="146">
        <v>2.0</v>
      </c>
      <c r="G86" s="147"/>
    </row>
    <row r="87">
      <c r="A87" s="144">
        <f t="shared" si="7"/>
        <v>44644</v>
      </c>
      <c r="B87" s="145" t="s">
        <v>29</v>
      </c>
      <c r="C87" s="145" t="s">
        <v>75</v>
      </c>
      <c r="D87" s="146" t="s">
        <v>88</v>
      </c>
      <c r="E87" s="147"/>
      <c r="F87" s="146">
        <v>2.0</v>
      </c>
      <c r="G87" s="147"/>
    </row>
    <row r="88">
      <c r="A88" s="144">
        <f t="shared" si="7"/>
        <v>44644</v>
      </c>
      <c r="B88" s="145" t="s">
        <v>16</v>
      </c>
      <c r="C88" s="145" t="s">
        <v>75</v>
      </c>
      <c r="D88" s="146" t="s">
        <v>141</v>
      </c>
      <c r="E88" s="147"/>
      <c r="F88" s="146">
        <v>1.0</v>
      </c>
      <c r="G88" s="147"/>
    </row>
    <row r="89">
      <c r="A89" s="144">
        <f t="shared" ref="A89:A97" si="8">date(2022,3,25)</f>
        <v>44645</v>
      </c>
      <c r="B89" s="145" t="s">
        <v>21</v>
      </c>
      <c r="C89" s="145" t="s">
        <v>75</v>
      </c>
      <c r="D89" s="146" t="s">
        <v>82</v>
      </c>
      <c r="E89" s="147"/>
      <c r="F89" s="146">
        <v>1.0</v>
      </c>
      <c r="G89" s="147"/>
    </row>
    <row r="90">
      <c r="A90" s="144">
        <f t="shared" si="8"/>
        <v>44645</v>
      </c>
      <c r="B90" s="145" t="s">
        <v>14</v>
      </c>
      <c r="C90" s="145" t="s">
        <v>75</v>
      </c>
      <c r="D90" s="146" t="s">
        <v>95</v>
      </c>
      <c r="E90" s="147"/>
      <c r="F90" s="148"/>
      <c r="G90" s="149"/>
    </row>
    <row r="91">
      <c r="A91" s="144">
        <f t="shared" si="8"/>
        <v>44645</v>
      </c>
      <c r="B91" s="145" t="s">
        <v>28</v>
      </c>
      <c r="C91" s="145" t="s">
        <v>75</v>
      </c>
      <c r="D91" s="151" t="s">
        <v>79</v>
      </c>
      <c r="E91" s="152"/>
      <c r="F91" s="148"/>
      <c r="G91" s="149"/>
    </row>
    <row r="92">
      <c r="A92" s="144">
        <f t="shared" si="8"/>
        <v>44645</v>
      </c>
      <c r="B92" s="145" t="s">
        <v>17</v>
      </c>
      <c r="C92" s="145" t="s">
        <v>75</v>
      </c>
      <c r="D92" s="146" t="s">
        <v>95</v>
      </c>
      <c r="E92" s="147"/>
      <c r="F92" s="146">
        <v>1.0</v>
      </c>
      <c r="G92" s="147"/>
    </row>
    <row r="93">
      <c r="A93" s="144">
        <f t="shared" si="8"/>
        <v>44645</v>
      </c>
      <c r="B93" s="145" t="s">
        <v>25</v>
      </c>
      <c r="C93" s="145" t="s">
        <v>75</v>
      </c>
      <c r="D93" s="146" t="s">
        <v>117</v>
      </c>
      <c r="E93" s="147"/>
      <c r="F93" s="146">
        <v>2.0</v>
      </c>
      <c r="G93" s="147"/>
    </row>
    <row r="94">
      <c r="A94" s="144">
        <f t="shared" si="8"/>
        <v>44645</v>
      </c>
      <c r="B94" s="145" t="s">
        <v>19</v>
      </c>
      <c r="C94" s="145" t="s">
        <v>75</v>
      </c>
      <c r="D94" s="146" t="s">
        <v>138</v>
      </c>
      <c r="E94" s="147"/>
      <c r="F94" s="148"/>
      <c r="G94" s="149"/>
    </row>
    <row r="95">
      <c r="A95" s="144">
        <f t="shared" si="8"/>
        <v>44645</v>
      </c>
      <c r="B95" s="145" t="s">
        <v>23</v>
      </c>
      <c r="C95" s="145" t="s">
        <v>75</v>
      </c>
      <c r="D95" s="146" t="s">
        <v>141</v>
      </c>
      <c r="E95" s="147"/>
      <c r="F95" s="146">
        <v>1.0</v>
      </c>
      <c r="G95" s="147"/>
    </row>
    <row r="96">
      <c r="A96" s="144">
        <f t="shared" si="8"/>
        <v>44645</v>
      </c>
      <c r="B96" s="145" t="s">
        <v>18</v>
      </c>
      <c r="C96" s="145" t="s">
        <v>75</v>
      </c>
      <c r="D96" s="146" t="s">
        <v>138</v>
      </c>
      <c r="E96" s="147"/>
      <c r="F96" s="146">
        <v>1.0</v>
      </c>
      <c r="G96" s="147"/>
    </row>
    <row r="97">
      <c r="A97" s="144">
        <f t="shared" si="8"/>
        <v>44645</v>
      </c>
      <c r="B97" s="145" t="s">
        <v>22</v>
      </c>
      <c r="C97" s="145" t="s">
        <v>75</v>
      </c>
      <c r="D97" s="146" t="s">
        <v>36</v>
      </c>
      <c r="E97" s="147"/>
      <c r="F97" s="148"/>
      <c r="G97" s="149"/>
    </row>
    <row r="98">
      <c r="A98" s="144">
        <f t="shared" ref="A98:A107" si="9">date(2022,3,26)</f>
        <v>44646</v>
      </c>
      <c r="B98" s="145" t="s">
        <v>21</v>
      </c>
      <c r="C98" s="145" t="s">
        <v>75</v>
      </c>
      <c r="D98" s="146" t="s">
        <v>80</v>
      </c>
      <c r="E98" s="147"/>
      <c r="F98" s="148"/>
      <c r="G98" s="149"/>
    </row>
    <row r="99">
      <c r="A99" s="144">
        <f t="shared" si="9"/>
        <v>44646</v>
      </c>
      <c r="B99" s="145" t="s">
        <v>14</v>
      </c>
      <c r="C99" s="145" t="s">
        <v>75</v>
      </c>
      <c r="D99" s="146" t="s">
        <v>94</v>
      </c>
      <c r="E99" s="147"/>
      <c r="F99" s="148"/>
      <c r="G99" s="149"/>
    </row>
    <row r="100">
      <c r="A100" s="144">
        <f t="shared" si="9"/>
        <v>44646</v>
      </c>
      <c r="B100" s="145" t="s">
        <v>17</v>
      </c>
      <c r="C100" s="145" t="s">
        <v>75</v>
      </c>
      <c r="D100" s="146" t="s">
        <v>87</v>
      </c>
      <c r="E100" s="147"/>
      <c r="F100" s="146">
        <v>1.0</v>
      </c>
      <c r="G100" s="147"/>
    </row>
    <row r="101">
      <c r="A101" s="144">
        <f t="shared" si="9"/>
        <v>44646</v>
      </c>
      <c r="B101" s="145" t="s">
        <v>25</v>
      </c>
      <c r="C101" s="145" t="s">
        <v>75</v>
      </c>
      <c r="D101" s="146" t="s">
        <v>112</v>
      </c>
      <c r="E101" s="147"/>
      <c r="F101" s="146">
        <v>1.0</v>
      </c>
      <c r="G101" s="147"/>
    </row>
    <row r="102">
      <c r="A102" s="144">
        <f t="shared" si="9"/>
        <v>44646</v>
      </c>
      <c r="B102" s="145" t="s">
        <v>22</v>
      </c>
      <c r="C102" s="145" t="s">
        <v>75</v>
      </c>
      <c r="D102" s="146" t="s">
        <v>155</v>
      </c>
      <c r="E102" s="147"/>
      <c r="F102" s="146">
        <v>1.0</v>
      </c>
      <c r="G102" s="147"/>
    </row>
    <row r="103">
      <c r="A103" s="144">
        <f t="shared" si="9"/>
        <v>44646</v>
      </c>
      <c r="B103" s="145" t="s">
        <v>18</v>
      </c>
      <c r="C103" s="145" t="s">
        <v>75</v>
      </c>
      <c r="D103" s="146" t="s">
        <v>36</v>
      </c>
      <c r="E103" s="147"/>
      <c r="F103" s="148"/>
      <c r="G103" s="149"/>
    </row>
    <row r="104">
      <c r="A104" s="144">
        <f t="shared" si="9"/>
        <v>44646</v>
      </c>
      <c r="B104" s="145" t="s">
        <v>19</v>
      </c>
      <c r="C104" s="145" t="s">
        <v>75</v>
      </c>
      <c r="D104" s="146" t="s">
        <v>82</v>
      </c>
      <c r="E104" s="147"/>
      <c r="F104" s="148"/>
      <c r="G104" s="149"/>
    </row>
    <row r="105">
      <c r="A105" s="144">
        <f t="shared" si="9"/>
        <v>44646</v>
      </c>
      <c r="B105" s="145" t="s">
        <v>15</v>
      </c>
      <c r="C105" s="145" t="s">
        <v>75</v>
      </c>
      <c r="D105" s="146" t="s">
        <v>107</v>
      </c>
      <c r="E105" s="147"/>
      <c r="F105" s="146">
        <v>2.0</v>
      </c>
      <c r="G105" s="147"/>
    </row>
    <row r="106">
      <c r="A106" s="144">
        <f t="shared" si="9"/>
        <v>44646</v>
      </c>
      <c r="B106" s="145" t="s">
        <v>16</v>
      </c>
      <c r="C106" s="145" t="s">
        <v>75</v>
      </c>
      <c r="D106" s="146" t="s">
        <v>95</v>
      </c>
      <c r="E106" s="147"/>
      <c r="F106" s="146">
        <v>1.0</v>
      </c>
      <c r="G106" s="147"/>
    </row>
    <row r="107">
      <c r="A107" s="144">
        <f t="shared" si="9"/>
        <v>44646</v>
      </c>
      <c r="B107" s="145" t="s">
        <v>23</v>
      </c>
      <c r="C107" s="145" t="s">
        <v>75</v>
      </c>
      <c r="D107" s="146" t="s">
        <v>117</v>
      </c>
      <c r="E107" s="147"/>
      <c r="F107" s="146">
        <v>2.0</v>
      </c>
      <c r="G107" s="147"/>
    </row>
    <row r="108">
      <c r="A108" s="144">
        <f t="shared" ref="A108:A119" si="10">date(2022,3,27)</f>
        <v>44647</v>
      </c>
      <c r="B108" s="145" t="s">
        <v>15</v>
      </c>
      <c r="C108" s="145" t="s">
        <v>165</v>
      </c>
      <c r="D108" s="146" t="s">
        <v>166</v>
      </c>
      <c r="E108" s="147"/>
      <c r="F108" s="146">
        <v>10.0</v>
      </c>
      <c r="G108" s="147"/>
    </row>
    <row r="109">
      <c r="A109" s="144">
        <f t="shared" si="10"/>
        <v>44647</v>
      </c>
      <c r="B109" s="145" t="s">
        <v>16</v>
      </c>
      <c r="C109" s="145" t="s">
        <v>165</v>
      </c>
      <c r="D109" s="146" t="s">
        <v>166</v>
      </c>
      <c r="E109" s="147"/>
      <c r="F109" s="146">
        <v>10.0</v>
      </c>
      <c r="G109" s="147"/>
    </row>
    <row r="110">
      <c r="A110" s="144">
        <f t="shared" si="10"/>
        <v>44647</v>
      </c>
      <c r="B110" s="145" t="s">
        <v>21</v>
      </c>
      <c r="C110" s="145" t="s">
        <v>165</v>
      </c>
      <c r="D110" s="146" t="s">
        <v>166</v>
      </c>
      <c r="E110" s="147"/>
      <c r="F110" s="146">
        <v>10.0</v>
      </c>
      <c r="G110" s="147"/>
    </row>
    <row r="111">
      <c r="A111" s="144">
        <f t="shared" si="10"/>
        <v>44647</v>
      </c>
      <c r="B111" s="145" t="s">
        <v>25</v>
      </c>
      <c r="C111" s="145" t="s">
        <v>165</v>
      </c>
      <c r="D111" s="146" t="s">
        <v>170</v>
      </c>
      <c r="E111" s="147"/>
      <c r="F111" s="146">
        <v>10.0</v>
      </c>
      <c r="G111" s="147"/>
    </row>
    <row r="112">
      <c r="A112" s="144">
        <f t="shared" si="10"/>
        <v>44647</v>
      </c>
      <c r="B112" s="145" t="s">
        <v>23</v>
      </c>
      <c r="C112" s="145" t="s">
        <v>165</v>
      </c>
      <c r="D112" s="146" t="s">
        <v>172</v>
      </c>
      <c r="E112" s="147"/>
      <c r="F112" s="146">
        <v>10.0</v>
      </c>
      <c r="G112" s="147"/>
    </row>
    <row r="113">
      <c r="A113" s="144">
        <f t="shared" si="10"/>
        <v>44647</v>
      </c>
      <c r="B113" s="145" t="s">
        <v>19</v>
      </c>
      <c r="C113" s="145" t="s">
        <v>165</v>
      </c>
      <c r="D113" s="146" t="s">
        <v>166</v>
      </c>
      <c r="E113" s="147"/>
      <c r="F113" s="146">
        <v>10.0</v>
      </c>
      <c r="G113" s="147"/>
    </row>
    <row r="114">
      <c r="A114" s="144">
        <f t="shared" si="10"/>
        <v>44647</v>
      </c>
      <c r="B114" s="145" t="s">
        <v>28</v>
      </c>
      <c r="C114" s="145" t="s">
        <v>165</v>
      </c>
      <c r="D114" s="146" t="s">
        <v>170</v>
      </c>
      <c r="E114" s="147"/>
      <c r="F114" s="146">
        <v>10.0</v>
      </c>
      <c r="G114" s="147"/>
    </row>
    <row r="115">
      <c r="A115" s="144">
        <f t="shared" si="10"/>
        <v>44647</v>
      </c>
      <c r="B115" s="145" t="s">
        <v>17</v>
      </c>
      <c r="C115" s="145" t="s">
        <v>165</v>
      </c>
      <c r="D115" s="146" t="s">
        <v>166</v>
      </c>
      <c r="E115" s="147"/>
      <c r="F115" s="146">
        <v>10.0</v>
      </c>
      <c r="G115" s="147"/>
    </row>
    <row r="116">
      <c r="A116" s="144">
        <f t="shared" si="10"/>
        <v>44647</v>
      </c>
      <c r="B116" s="145" t="s">
        <v>29</v>
      </c>
      <c r="C116" s="145" t="s">
        <v>165</v>
      </c>
      <c r="D116" s="146" t="s">
        <v>170</v>
      </c>
      <c r="E116" s="147"/>
      <c r="F116" s="146">
        <v>10.0</v>
      </c>
      <c r="G116" s="147"/>
    </row>
    <row r="117">
      <c r="A117" s="144">
        <f t="shared" si="10"/>
        <v>44647</v>
      </c>
      <c r="B117" s="145" t="s">
        <v>22</v>
      </c>
      <c r="C117" s="145" t="s">
        <v>165</v>
      </c>
      <c r="D117" s="146" t="s">
        <v>166</v>
      </c>
      <c r="E117" s="147"/>
      <c r="F117" s="146">
        <v>10.0</v>
      </c>
      <c r="G117" s="147"/>
    </row>
    <row r="118">
      <c r="A118" s="144">
        <f t="shared" si="10"/>
        <v>44647</v>
      </c>
      <c r="B118" s="145" t="s">
        <v>18</v>
      </c>
      <c r="C118" s="145" t="s">
        <v>165</v>
      </c>
      <c r="D118" s="146" t="s">
        <v>170</v>
      </c>
      <c r="E118" s="147"/>
      <c r="F118" s="146">
        <v>10.0</v>
      </c>
      <c r="G118" s="147"/>
    </row>
    <row r="119">
      <c r="A119" s="144">
        <f t="shared" si="10"/>
        <v>44647</v>
      </c>
      <c r="B119" s="145" t="s">
        <v>14</v>
      </c>
      <c r="C119" s="145" t="s">
        <v>165</v>
      </c>
      <c r="D119" s="146" t="s">
        <v>181</v>
      </c>
      <c r="E119" s="147"/>
      <c r="F119" s="146">
        <v>10.0</v>
      </c>
      <c r="G119" s="147"/>
    </row>
    <row r="120">
      <c r="A120" s="144">
        <f t="shared" ref="A120:A128" si="11">date(2022,3,28)</f>
        <v>44648</v>
      </c>
      <c r="B120" s="145" t="s">
        <v>21</v>
      </c>
      <c r="C120" s="145" t="s">
        <v>75</v>
      </c>
      <c r="D120" s="146" t="s">
        <v>135</v>
      </c>
      <c r="E120" s="147"/>
      <c r="F120" s="146">
        <v>1.0</v>
      </c>
      <c r="G120" s="147"/>
    </row>
    <row r="121">
      <c r="A121" s="144">
        <f t="shared" si="11"/>
        <v>44648</v>
      </c>
      <c r="B121" s="145" t="s">
        <v>28</v>
      </c>
      <c r="C121" s="145" t="s">
        <v>75</v>
      </c>
      <c r="D121" s="146" t="s">
        <v>78</v>
      </c>
      <c r="E121" s="147"/>
      <c r="F121" s="146">
        <v>2.0</v>
      </c>
      <c r="G121" s="147"/>
    </row>
    <row r="122">
      <c r="A122" s="144">
        <f t="shared" si="11"/>
        <v>44648</v>
      </c>
      <c r="B122" s="145" t="s">
        <v>14</v>
      </c>
      <c r="C122" s="145" t="s">
        <v>75</v>
      </c>
      <c r="D122" s="146" t="s">
        <v>145</v>
      </c>
      <c r="E122" s="147"/>
      <c r="F122" s="146">
        <v>2.0</v>
      </c>
      <c r="G122" s="147"/>
    </row>
    <row r="123">
      <c r="A123" s="144">
        <f t="shared" si="11"/>
        <v>44648</v>
      </c>
      <c r="B123" s="145" t="s">
        <v>17</v>
      </c>
      <c r="C123" s="145" t="s">
        <v>75</v>
      </c>
      <c r="D123" s="151" t="s">
        <v>192</v>
      </c>
      <c r="E123" s="152"/>
      <c r="F123" s="146">
        <v>2.0</v>
      </c>
      <c r="G123" s="147"/>
    </row>
    <row r="124">
      <c r="A124" s="144">
        <f t="shared" si="11"/>
        <v>44648</v>
      </c>
      <c r="B124" s="145" t="s">
        <v>19</v>
      </c>
      <c r="C124" s="145" t="s">
        <v>75</v>
      </c>
      <c r="D124" s="146" t="s">
        <v>124</v>
      </c>
      <c r="E124" s="147"/>
      <c r="F124" s="146">
        <v>1.0</v>
      </c>
      <c r="G124" s="147"/>
    </row>
    <row r="125">
      <c r="A125" s="144">
        <f t="shared" si="11"/>
        <v>44648</v>
      </c>
      <c r="B125" s="145" t="s">
        <v>14</v>
      </c>
      <c r="C125" s="145" t="s">
        <v>195</v>
      </c>
      <c r="D125" s="146" t="s">
        <v>138</v>
      </c>
      <c r="E125" s="147" t="s">
        <v>95</v>
      </c>
      <c r="F125" s="148"/>
      <c r="G125" s="149"/>
    </row>
    <row r="126">
      <c r="A126" s="144">
        <f t="shared" si="11"/>
        <v>44648</v>
      </c>
      <c r="B126" s="145" t="s">
        <v>19</v>
      </c>
      <c r="C126" s="145" t="s">
        <v>195</v>
      </c>
      <c r="D126" s="146" t="s">
        <v>95</v>
      </c>
      <c r="E126" s="147" t="s">
        <v>138</v>
      </c>
      <c r="F126" s="148"/>
      <c r="G126" s="149"/>
    </row>
    <row r="127">
      <c r="A127" s="144">
        <f t="shared" si="11"/>
        <v>44648</v>
      </c>
      <c r="B127" s="145" t="s">
        <v>22</v>
      </c>
      <c r="C127" s="145" t="s">
        <v>75</v>
      </c>
      <c r="D127" s="146" t="s">
        <v>80</v>
      </c>
      <c r="E127" s="149"/>
      <c r="F127" s="146">
        <v>2.0</v>
      </c>
      <c r="G127" s="149"/>
    </row>
    <row r="128">
      <c r="A128" s="144">
        <f t="shared" si="11"/>
        <v>44648</v>
      </c>
      <c r="B128" s="145" t="s">
        <v>18</v>
      </c>
      <c r="C128" s="145" t="s">
        <v>75</v>
      </c>
      <c r="D128" s="146" t="s">
        <v>94</v>
      </c>
      <c r="E128" s="149"/>
      <c r="F128" s="146">
        <v>1.0</v>
      </c>
      <c r="G128" s="149"/>
    </row>
    <row r="129">
      <c r="A129" s="144">
        <f t="shared" ref="A129:A140" si="12">date(2022,3,29)</f>
        <v>44649</v>
      </c>
      <c r="B129" s="145" t="s">
        <v>14</v>
      </c>
      <c r="C129" s="145" t="s">
        <v>195</v>
      </c>
      <c r="D129" s="146" t="s">
        <v>79</v>
      </c>
      <c r="E129" s="147" t="s">
        <v>91</v>
      </c>
      <c r="F129" s="148"/>
      <c r="G129" s="149"/>
    </row>
    <row r="130">
      <c r="A130" s="144">
        <f t="shared" si="12"/>
        <v>44649</v>
      </c>
      <c r="B130" s="145" t="s">
        <v>28</v>
      </c>
      <c r="C130" s="145" t="s">
        <v>195</v>
      </c>
      <c r="D130" s="146" t="s">
        <v>91</v>
      </c>
      <c r="E130" s="147" t="s">
        <v>79</v>
      </c>
      <c r="F130" s="148"/>
      <c r="G130" s="149"/>
    </row>
    <row r="131">
      <c r="A131" s="144">
        <f t="shared" si="12"/>
        <v>44649</v>
      </c>
      <c r="B131" s="145" t="s">
        <v>28</v>
      </c>
      <c r="C131" s="145" t="s">
        <v>75</v>
      </c>
      <c r="D131" s="146" t="s">
        <v>135</v>
      </c>
      <c r="E131" s="149"/>
      <c r="F131" s="148"/>
      <c r="G131" s="149"/>
    </row>
    <row r="132">
      <c r="A132" s="144">
        <f t="shared" si="12"/>
        <v>44649</v>
      </c>
      <c r="B132" s="145" t="s">
        <v>21</v>
      </c>
      <c r="C132" s="145" t="s">
        <v>75</v>
      </c>
      <c r="D132" s="146" t="s">
        <v>88</v>
      </c>
      <c r="E132" s="149"/>
      <c r="F132" s="146">
        <v>1.0</v>
      </c>
      <c r="G132" s="149"/>
    </row>
    <row r="133">
      <c r="A133" s="144">
        <f t="shared" si="12"/>
        <v>44649</v>
      </c>
      <c r="B133" s="145" t="s">
        <v>19</v>
      </c>
      <c r="C133" s="145" t="s">
        <v>75</v>
      </c>
      <c r="D133" s="146" t="s">
        <v>141</v>
      </c>
      <c r="E133" s="149"/>
      <c r="F133" s="148"/>
      <c r="G133" s="149"/>
    </row>
    <row r="134">
      <c r="A134" s="144">
        <f t="shared" si="12"/>
        <v>44649</v>
      </c>
      <c r="B134" s="145" t="s">
        <v>17</v>
      </c>
      <c r="C134" s="145" t="s">
        <v>75</v>
      </c>
      <c r="D134" s="146" t="s">
        <v>138</v>
      </c>
      <c r="E134" s="149"/>
      <c r="F134" s="146">
        <v>2.0</v>
      </c>
      <c r="G134" s="149"/>
    </row>
    <row r="135">
      <c r="A135" s="144">
        <f t="shared" si="12"/>
        <v>44649</v>
      </c>
      <c r="B135" s="145" t="s">
        <v>15</v>
      </c>
      <c r="C135" s="145" t="s">
        <v>75</v>
      </c>
      <c r="D135" s="146" t="s">
        <v>95</v>
      </c>
      <c r="E135" s="149"/>
      <c r="F135" s="146">
        <v>1.0</v>
      </c>
      <c r="G135" s="149"/>
    </row>
    <row r="136">
      <c r="A136" s="144">
        <f t="shared" si="12"/>
        <v>44649</v>
      </c>
      <c r="B136" s="145" t="s">
        <v>14</v>
      </c>
      <c r="C136" s="145" t="s">
        <v>75</v>
      </c>
      <c r="D136" s="146" t="s">
        <v>125</v>
      </c>
      <c r="E136" s="149"/>
      <c r="F136" s="146">
        <v>2.0</v>
      </c>
      <c r="G136" s="149"/>
    </row>
    <row r="137">
      <c r="A137" s="144">
        <f t="shared" si="12"/>
        <v>44649</v>
      </c>
      <c r="B137" s="145" t="s">
        <v>18</v>
      </c>
      <c r="C137" s="145" t="s">
        <v>75</v>
      </c>
      <c r="D137" s="146" t="s">
        <v>192</v>
      </c>
      <c r="E137" s="149"/>
      <c r="F137" s="148"/>
      <c r="G137" s="149"/>
    </row>
    <row r="138">
      <c r="A138" s="144">
        <f t="shared" si="12"/>
        <v>44649</v>
      </c>
      <c r="B138" s="145" t="s">
        <v>22</v>
      </c>
      <c r="C138" s="145" t="s">
        <v>75</v>
      </c>
      <c r="D138" s="146" t="s">
        <v>122</v>
      </c>
      <c r="E138" s="149"/>
      <c r="F138" s="146">
        <v>2.0</v>
      </c>
      <c r="G138" s="149"/>
    </row>
    <row r="139">
      <c r="A139" s="144">
        <f t="shared" si="12"/>
        <v>44649</v>
      </c>
      <c r="B139" s="145" t="s">
        <v>16</v>
      </c>
      <c r="C139" s="145" t="s">
        <v>75</v>
      </c>
      <c r="D139" s="146" t="s">
        <v>112</v>
      </c>
      <c r="E139" s="149"/>
      <c r="F139" s="146">
        <v>1.0</v>
      </c>
      <c r="G139" s="149"/>
    </row>
    <row r="140">
      <c r="A140" s="144">
        <f t="shared" si="12"/>
        <v>44649</v>
      </c>
      <c r="B140" s="145" t="s">
        <v>23</v>
      </c>
      <c r="C140" s="145" t="s">
        <v>75</v>
      </c>
      <c r="D140" s="146" t="s">
        <v>79</v>
      </c>
      <c r="E140" s="149"/>
      <c r="F140" s="148"/>
      <c r="G140" s="149"/>
    </row>
    <row r="141">
      <c r="A141" s="144">
        <f t="shared" ref="A141:A155" si="13">date(2022,3,30)</f>
        <v>44650</v>
      </c>
      <c r="B141" s="145" t="s">
        <v>17</v>
      </c>
      <c r="C141" s="145" t="s">
        <v>195</v>
      </c>
      <c r="D141" s="146" t="s">
        <v>94</v>
      </c>
      <c r="E141" s="147" t="s">
        <v>87</v>
      </c>
      <c r="F141" s="148"/>
      <c r="G141" s="149"/>
    </row>
    <row r="142">
      <c r="A142" s="144">
        <f t="shared" si="13"/>
        <v>44650</v>
      </c>
      <c r="B142" s="145" t="s">
        <v>18</v>
      </c>
      <c r="C142" s="145" t="s">
        <v>195</v>
      </c>
      <c r="D142" s="146" t="s">
        <v>87</v>
      </c>
      <c r="E142" s="147" t="s">
        <v>94</v>
      </c>
      <c r="F142" s="148"/>
      <c r="G142" s="149"/>
    </row>
    <row r="143">
      <c r="A143" s="144">
        <f t="shared" si="13"/>
        <v>44650</v>
      </c>
      <c r="B143" s="145" t="s">
        <v>21</v>
      </c>
      <c r="C143" s="145" t="s">
        <v>75</v>
      </c>
      <c r="D143" s="146" t="s">
        <v>78</v>
      </c>
      <c r="E143" s="149"/>
      <c r="F143" s="148"/>
      <c r="G143" s="149"/>
    </row>
    <row r="144">
      <c r="A144" s="144">
        <f t="shared" si="13"/>
        <v>44650</v>
      </c>
      <c r="B144" s="145" t="s">
        <v>17</v>
      </c>
      <c r="C144" s="145" t="s">
        <v>75</v>
      </c>
      <c r="D144" s="146" t="s">
        <v>122</v>
      </c>
      <c r="E144" s="149"/>
      <c r="F144" s="146">
        <v>1.0</v>
      </c>
      <c r="G144" s="149"/>
    </row>
    <row r="145">
      <c r="A145" s="144">
        <f t="shared" si="13"/>
        <v>44650</v>
      </c>
      <c r="B145" s="145" t="s">
        <v>22</v>
      </c>
      <c r="C145" s="145" t="s">
        <v>75</v>
      </c>
      <c r="D145" s="146" t="s">
        <v>107</v>
      </c>
      <c r="E145" s="149"/>
      <c r="F145" s="146">
        <v>2.0</v>
      </c>
      <c r="G145" s="149"/>
    </row>
    <row r="146">
      <c r="A146" s="144">
        <f t="shared" si="13"/>
        <v>44650</v>
      </c>
      <c r="B146" s="145" t="s">
        <v>28</v>
      </c>
      <c r="C146" s="145" t="s">
        <v>75</v>
      </c>
      <c r="D146" s="146" t="s">
        <v>117</v>
      </c>
      <c r="E146" s="149"/>
      <c r="F146" s="146">
        <v>1.0</v>
      </c>
      <c r="G146" s="149"/>
    </row>
    <row r="147">
      <c r="A147" s="144">
        <f t="shared" si="13"/>
        <v>44650</v>
      </c>
      <c r="B147" s="145" t="s">
        <v>29</v>
      </c>
      <c r="C147" s="145" t="s">
        <v>75</v>
      </c>
      <c r="D147" s="146" t="s">
        <v>95</v>
      </c>
      <c r="E147" s="149"/>
      <c r="F147" s="148"/>
      <c r="G147" s="149"/>
    </row>
    <row r="148">
      <c r="A148" s="144">
        <f t="shared" si="13"/>
        <v>44650</v>
      </c>
      <c r="B148" s="145" t="s">
        <v>14</v>
      </c>
      <c r="C148" s="145" t="s">
        <v>75</v>
      </c>
      <c r="D148" s="146" t="s">
        <v>87</v>
      </c>
      <c r="E148" s="149"/>
      <c r="F148" s="146">
        <v>2.0</v>
      </c>
      <c r="G148" s="149"/>
    </row>
    <row r="149">
      <c r="A149" s="144">
        <f t="shared" si="13"/>
        <v>44650</v>
      </c>
      <c r="B149" s="145" t="s">
        <v>19</v>
      </c>
      <c r="C149" s="145" t="s">
        <v>75</v>
      </c>
      <c r="D149" s="146" t="s">
        <v>141</v>
      </c>
      <c r="E149" s="149"/>
      <c r="F149" s="146">
        <v>2.0</v>
      </c>
      <c r="G149" s="149"/>
    </row>
    <row r="150">
      <c r="A150" s="144">
        <f t="shared" si="13"/>
        <v>44650</v>
      </c>
      <c r="B150" s="145" t="s">
        <v>15</v>
      </c>
      <c r="C150" s="145" t="s">
        <v>75</v>
      </c>
      <c r="D150" s="146" t="s">
        <v>115</v>
      </c>
      <c r="E150" s="149"/>
      <c r="F150" s="148"/>
      <c r="G150" s="149"/>
    </row>
    <row r="151">
      <c r="A151" s="144">
        <f t="shared" si="13"/>
        <v>44650</v>
      </c>
      <c r="B151" s="145" t="s">
        <v>16</v>
      </c>
      <c r="C151" s="145" t="s">
        <v>75</v>
      </c>
      <c r="D151" s="146" t="s">
        <v>95</v>
      </c>
      <c r="E151" s="149"/>
      <c r="F151" s="148"/>
      <c r="G151" s="149"/>
    </row>
    <row r="152">
      <c r="A152" s="144">
        <f t="shared" si="13"/>
        <v>44650</v>
      </c>
      <c r="B152" s="145" t="s">
        <v>23</v>
      </c>
      <c r="C152" s="145" t="s">
        <v>75</v>
      </c>
      <c r="D152" s="146" t="s">
        <v>125</v>
      </c>
      <c r="E152" s="149"/>
      <c r="F152" s="146">
        <v>1.0</v>
      </c>
      <c r="G152" s="149"/>
    </row>
    <row r="153">
      <c r="A153" s="144">
        <f t="shared" si="13"/>
        <v>44650</v>
      </c>
      <c r="B153" s="145" t="s">
        <v>18</v>
      </c>
      <c r="C153" s="145" t="s">
        <v>75</v>
      </c>
      <c r="D153" s="146" t="s">
        <v>112</v>
      </c>
      <c r="E153" s="149"/>
      <c r="F153" s="148"/>
      <c r="G153" s="149"/>
    </row>
    <row r="154">
      <c r="A154" s="144">
        <f t="shared" si="13"/>
        <v>44650</v>
      </c>
      <c r="B154" s="145" t="s">
        <v>18</v>
      </c>
      <c r="C154" s="145" t="s">
        <v>195</v>
      </c>
      <c r="D154" s="146" t="s">
        <v>78</v>
      </c>
      <c r="E154" s="147" t="s">
        <v>112</v>
      </c>
      <c r="F154" s="148"/>
      <c r="G154" s="149"/>
    </row>
    <row r="155">
      <c r="A155" s="144">
        <f t="shared" si="13"/>
        <v>44650</v>
      </c>
      <c r="B155" s="145" t="s">
        <v>21</v>
      </c>
      <c r="C155" s="145" t="s">
        <v>195</v>
      </c>
      <c r="D155" s="146" t="s">
        <v>112</v>
      </c>
      <c r="E155" s="147" t="s">
        <v>78</v>
      </c>
      <c r="F155" s="148"/>
      <c r="G155" s="149"/>
    </row>
    <row r="156">
      <c r="A156" s="144">
        <f t="shared" ref="A156:A166" si="14">date(2022,3,31)</f>
        <v>44651</v>
      </c>
      <c r="B156" s="145" t="s">
        <v>15</v>
      </c>
      <c r="C156" s="145" t="s">
        <v>75</v>
      </c>
      <c r="D156" s="146" t="s">
        <v>79</v>
      </c>
      <c r="E156" s="149"/>
      <c r="F156" s="146">
        <v>2.0</v>
      </c>
      <c r="G156" s="149"/>
    </row>
    <row r="157">
      <c r="A157" s="144">
        <f t="shared" si="14"/>
        <v>44651</v>
      </c>
      <c r="B157" s="145" t="s">
        <v>17</v>
      </c>
      <c r="C157" s="145" t="s">
        <v>75</v>
      </c>
      <c r="D157" s="146" t="s">
        <v>120</v>
      </c>
      <c r="E157" s="149"/>
      <c r="F157" s="146">
        <v>2.0</v>
      </c>
      <c r="G157" s="149"/>
    </row>
    <row r="158">
      <c r="A158" s="144">
        <f t="shared" si="14"/>
        <v>44651</v>
      </c>
      <c r="B158" s="145" t="s">
        <v>16</v>
      </c>
      <c r="C158" s="145" t="s">
        <v>75</v>
      </c>
      <c r="D158" s="146" t="s">
        <v>79</v>
      </c>
      <c r="E158" s="149"/>
      <c r="F158" s="146">
        <v>1.0</v>
      </c>
      <c r="G158" s="149"/>
    </row>
    <row r="159">
      <c r="A159" s="144">
        <f t="shared" si="14"/>
        <v>44651</v>
      </c>
      <c r="B159" s="145" t="s">
        <v>14</v>
      </c>
      <c r="C159" s="145" t="s">
        <v>75</v>
      </c>
      <c r="D159" s="146" t="s">
        <v>77</v>
      </c>
      <c r="E159" s="149"/>
      <c r="F159" s="146">
        <v>1.0</v>
      </c>
      <c r="G159" s="149"/>
    </row>
    <row r="160">
      <c r="A160" s="144">
        <f t="shared" si="14"/>
        <v>44651</v>
      </c>
      <c r="B160" s="145" t="s">
        <v>22</v>
      </c>
      <c r="C160" s="145" t="s">
        <v>75</v>
      </c>
      <c r="D160" s="146" t="s">
        <v>192</v>
      </c>
      <c r="E160" s="149"/>
      <c r="F160" s="148"/>
      <c r="G160" s="149"/>
    </row>
    <row r="161">
      <c r="A161" s="144">
        <f t="shared" si="14"/>
        <v>44651</v>
      </c>
      <c r="B161" s="145" t="s">
        <v>18</v>
      </c>
      <c r="C161" s="145" t="s">
        <v>75</v>
      </c>
      <c r="D161" s="146" t="s">
        <v>77</v>
      </c>
      <c r="E161" s="149"/>
      <c r="F161" s="148"/>
      <c r="G161" s="149"/>
    </row>
    <row r="162">
      <c r="A162" s="144">
        <f t="shared" si="14"/>
        <v>44651</v>
      </c>
      <c r="B162" s="145" t="s">
        <v>23</v>
      </c>
      <c r="C162" s="145" t="s">
        <v>75</v>
      </c>
      <c r="D162" s="146" t="s">
        <v>138</v>
      </c>
      <c r="E162" s="149"/>
      <c r="F162" s="146">
        <v>2.0</v>
      </c>
      <c r="G162" s="149"/>
    </row>
    <row r="163">
      <c r="A163" s="144">
        <f t="shared" si="14"/>
        <v>44651</v>
      </c>
      <c r="B163" s="145" t="s">
        <v>19</v>
      </c>
      <c r="C163" s="145" t="s">
        <v>75</v>
      </c>
      <c r="D163" s="146" t="s">
        <v>138</v>
      </c>
      <c r="E163" s="149"/>
      <c r="F163" s="148"/>
      <c r="G163" s="149"/>
    </row>
    <row r="164">
      <c r="A164" s="144">
        <f t="shared" si="14"/>
        <v>44651</v>
      </c>
      <c r="B164" s="145" t="s">
        <v>21</v>
      </c>
      <c r="C164" s="145" t="s">
        <v>75</v>
      </c>
      <c r="D164" s="146" t="s">
        <v>82</v>
      </c>
      <c r="E164" s="149"/>
      <c r="F164" s="146">
        <v>2.0</v>
      </c>
      <c r="G164" s="149"/>
    </row>
    <row r="165">
      <c r="A165" s="144">
        <f t="shared" si="14"/>
        <v>44651</v>
      </c>
      <c r="B165" s="145" t="s">
        <v>15</v>
      </c>
      <c r="C165" s="145" t="s">
        <v>195</v>
      </c>
      <c r="D165" s="146" t="s">
        <v>82</v>
      </c>
      <c r="E165" s="152" t="s">
        <v>79</v>
      </c>
      <c r="F165" s="148"/>
      <c r="G165" s="149"/>
    </row>
    <row r="166">
      <c r="A166" s="144">
        <f t="shared" si="14"/>
        <v>44651</v>
      </c>
      <c r="B166" s="145" t="s">
        <v>19</v>
      </c>
      <c r="C166" s="145" t="s">
        <v>195</v>
      </c>
      <c r="D166" s="151" t="s">
        <v>79</v>
      </c>
      <c r="E166" s="147" t="s">
        <v>82</v>
      </c>
      <c r="F166" s="148"/>
      <c r="G166" s="149"/>
    </row>
    <row r="167">
      <c r="A167" s="144">
        <f t="shared" ref="A167:A173" si="15">date(2022, 4, 1)</f>
        <v>44652</v>
      </c>
      <c r="B167" s="145" t="s">
        <v>19</v>
      </c>
      <c r="C167" s="145" t="s">
        <v>253</v>
      </c>
      <c r="D167" s="151" t="s">
        <v>254</v>
      </c>
      <c r="E167" s="149"/>
      <c r="F167" s="148"/>
      <c r="G167" s="149"/>
    </row>
    <row r="168">
      <c r="A168" s="144">
        <f t="shared" si="15"/>
        <v>44652</v>
      </c>
      <c r="B168" s="145" t="s">
        <v>21</v>
      </c>
      <c r="C168" s="145" t="s">
        <v>253</v>
      </c>
      <c r="D168" s="146" t="s">
        <v>254</v>
      </c>
      <c r="E168" s="149"/>
      <c r="F168" s="148"/>
      <c r="G168" s="149"/>
    </row>
    <row r="169">
      <c r="A169" s="144">
        <f t="shared" si="15"/>
        <v>44652</v>
      </c>
      <c r="B169" s="145" t="s">
        <v>15</v>
      </c>
      <c r="C169" s="145" t="s">
        <v>253</v>
      </c>
      <c r="D169" s="151" t="s">
        <v>254</v>
      </c>
      <c r="E169" s="149"/>
      <c r="F169" s="148"/>
      <c r="G169" s="149"/>
    </row>
    <row r="170">
      <c r="A170" s="144">
        <f t="shared" si="15"/>
        <v>44652</v>
      </c>
      <c r="B170" s="145" t="s">
        <v>17</v>
      </c>
      <c r="C170" s="145" t="s">
        <v>253</v>
      </c>
      <c r="D170" s="146" t="s">
        <v>254</v>
      </c>
      <c r="E170" s="149"/>
      <c r="F170" s="148"/>
      <c r="G170" s="149"/>
    </row>
    <row r="171">
      <c r="A171" s="144">
        <f t="shared" si="15"/>
        <v>44652</v>
      </c>
      <c r="B171" s="145" t="s">
        <v>14</v>
      </c>
      <c r="C171" s="145" t="s">
        <v>253</v>
      </c>
      <c r="D171" s="146" t="s">
        <v>254</v>
      </c>
      <c r="E171" s="149"/>
      <c r="F171" s="148"/>
      <c r="G171" s="149"/>
    </row>
    <row r="172">
      <c r="A172" s="144">
        <f t="shared" si="15"/>
        <v>44652</v>
      </c>
      <c r="B172" s="145" t="s">
        <v>23</v>
      </c>
      <c r="C172" s="145" t="s">
        <v>253</v>
      </c>
      <c r="D172" s="146" t="s">
        <v>254</v>
      </c>
      <c r="E172" s="149"/>
      <c r="F172" s="148"/>
      <c r="G172" s="149"/>
    </row>
    <row r="173">
      <c r="A173" s="144">
        <f t="shared" si="15"/>
        <v>44652</v>
      </c>
      <c r="B173" s="145" t="s">
        <v>18</v>
      </c>
      <c r="C173" s="145" t="s">
        <v>253</v>
      </c>
      <c r="D173" s="146" t="s">
        <v>254</v>
      </c>
      <c r="E173" s="149"/>
      <c r="F173" s="148"/>
      <c r="G173" s="149"/>
    </row>
    <row r="174">
      <c r="A174" s="144">
        <f t="shared" ref="A174:A184" si="16">date(2022, 4, 3)</f>
        <v>44654</v>
      </c>
      <c r="B174" s="145" t="s">
        <v>15</v>
      </c>
      <c r="C174" s="145" t="s">
        <v>75</v>
      </c>
      <c r="D174" s="146" t="s">
        <v>122</v>
      </c>
      <c r="E174" s="149"/>
      <c r="F174" s="146">
        <v>2.0</v>
      </c>
      <c r="G174" s="149"/>
    </row>
    <row r="175">
      <c r="A175" s="144">
        <f t="shared" si="16"/>
        <v>44654</v>
      </c>
      <c r="B175" s="145" t="s">
        <v>21</v>
      </c>
      <c r="C175" s="145" t="s">
        <v>75</v>
      </c>
      <c r="D175" s="146" t="s">
        <v>82</v>
      </c>
      <c r="E175" s="149"/>
      <c r="F175" s="146">
        <v>2.0</v>
      </c>
      <c r="G175" s="149"/>
    </row>
    <row r="176">
      <c r="A176" s="144">
        <f t="shared" si="16"/>
        <v>44654</v>
      </c>
      <c r="B176" s="145" t="s">
        <v>14</v>
      </c>
      <c r="C176" s="145" t="s">
        <v>75</v>
      </c>
      <c r="D176" s="146" t="s">
        <v>117</v>
      </c>
      <c r="E176" s="149"/>
      <c r="F176" s="148"/>
      <c r="G176" s="149"/>
    </row>
    <row r="177">
      <c r="A177" s="144">
        <f t="shared" si="16"/>
        <v>44654</v>
      </c>
      <c r="B177" s="145" t="s">
        <v>14</v>
      </c>
      <c r="C177" s="145" t="s">
        <v>266</v>
      </c>
      <c r="D177" s="146" t="s">
        <v>267</v>
      </c>
      <c r="E177" s="149"/>
      <c r="F177" s="146">
        <v>50.0</v>
      </c>
      <c r="G177" s="149"/>
      <c r="H177" s="145" t="s">
        <v>268</v>
      </c>
    </row>
    <row r="178">
      <c r="A178" s="144">
        <f t="shared" si="16"/>
        <v>44654</v>
      </c>
      <c r="B178" s="145" t="s">
        <v>19</v>
      </c>
      <c r="C178" s="145" t="s">
        <v>75</v>
      </c>
      <c r="D178" s="146" t="s">
        <v>101</v>
      </c>
      <c r="E178" s="149"/>
      <c r="F178" s="148"/>
      <c r="G178" s="149"/>
    </row>
    <row r="179">
      <c r="A179" s="144">
        <f t="shared" si="16"/>
        <v>44654</v>
      </c>
      <c r="B179" s="145" t="s">
        <v>17</v>
      </c>
      <c r="C179" s="145" t="s">
        <v>75</v>
      </c>
      <c r="D179" s="146" t="s">
        <v>77</v>
      </c>
      <c r="E179" s="149"/>
      <c r="F179" s="148"/>
      <c r="G179" s="149"/>
    </row>
    <row r="180">
      <c r="A180" s="144">
        <f t="shared" si="16"/>
        <v>44654</v>
      </c>
      <c r="B180" s="145" t="s">
        <v>25</v>
      </c>
      <c r="C180" s="145" t="s">
        <v>75</v>
      </c>
      <c r="D180" s="146" t="s">
        <v>138</v>
      </c>
      <c r="E180" s="149"/>
      <c r="F180" s="148"/>
      <c r="G180" s="149"/>
    </row>
    <row r="181">
      <c r="A181" s="144">
        <f t="shared" si="16"/>
        <v>44654</v>
      </c>
      <c r="B181" s="145" t="s">
        <v>18</v>
      </c>
      <c r="C181" s="145" t="s">
        <v>75</v>
      </c>
      <c r="D181" s="146" t="s">
        <v>135</v>
      </c>
      <c r="E181" s="149"/>
      <c r="F181" s="146">
        <v>1.0</v>
      </c>
      <c r="G181" s="149"/>
    </row>
    <row r="182">
      <c r="A182" s="144">
        <f t="shared" si="16"/>
        <v>44654</v>
      </c>
      <c r="B182" s="145" t="s">
        <v>22</v>
      </c>
      <c r="C182" s="145" t="s">
        <v>75</v>
      </c>
      <c r="D182" s="146" t="s">
        <v>122</v>
      </c>
      <c r="E182" s="149"/>
      <c r="F182" s="146">
        <v>1.0</v>
      </c>
      <c r="G182" s="149"/>
    </row>
    <row r="183">
      <c r="A183" s="144">
        <f t="shared" si="16"/>
        <v>44654</v>
      </c>
      <c r="B183" s="145" t="s">
        <v>16</v>
      </c>
      <c r="C183" s="145" t="s">
        <v>75</v>
      </c>
      <c r="D183" s="146" t="s">
        <v>155</v>
      </c>
      <c r="E183" s="149"/>
      <c r="F183" s="148"/>
      <c r="G183" s="149"/>
    </row>
    <row r="184">
      <c r="A184" s="144">
        <f t="shared" si="16"/>
        <v>44654</v>
      </c>
      <c r="B184" s="145" t="s">
        <v>23</v>
      </c>
      <c r="C184" s="145" t="s">
        <v>75</v>
      </c>
      <c r="D184" s="146" t="s">
        <v>79</v>
      </c>
      <c r="E184" s="149"/>
      <c r="F184" s="148"/>
      <c r="G184" s="149"/>
    </row>
    <row r="185">
      <c r="A185" s="144">
        <f t="shared" ref="A185:A193" si="17">date(2022,4,4)</f>
        <v>44655</v>
      </c>
      <c r="B185" s="145" t="s">
        <v>14</v>
      </c>
      <c r="C185" s="145" t="s">
        <v>165</v>
      </c>
      <c r="D185" s="146" t="s">
        <v>271</v>
      </c>
      <c r="E185" s="149"/>
      <c r="F185" s="146">
        <v>10.0</v>
      </c>
      <c r="G185" s="149"/>
    </row>
    <row r="186">
      <c r="A186" s="144">
        <f t="shared" si="17"/>
        <v>44655</v>
      </c>
      <c r="B186" s="145" t="s">
        <v>15</v>
      </c>
      <c r="C186" s="145" t="s">
        <v>165</v>
      </c>
      <c r="D186" s="146" t="s">
        <v>170</v>
      </c>
      <c r="E186" s="149"/>
      <c r="F186" s="146">
        <v>10.0</v>
      </c>
      <c r="G186" s="149"/>
    </row>
    <row r="187">
      <c r="A187" s="144">
        <f t="shared" si="17"/>
        <v>44655</v>
      </c>
      <c r="B187" s="145" t="s">
        <v>16</v>
      </c>
      <c r="C187" s="145" t="s">
        <v>165</v>
      </c>
      <c r="D187" s="146" t="s">
        <v>239</v>
      </c>
      <c r="E187" s="149"/>
      <c r="F187" s="146">
        <v>10.0</v>
      </c>
      <c r="G187" s="149"/>
    </row>
    <row r="188">
      <c r="A188" s="144">
        <f t="shared" si="17"/>
        <v>44655</v>
      </c>
      <c r="B188" s="145" t="s">
        <v>17</v>
      </c>
      <c r="C188" s="145" t="s">
        <v>165</v>
      </c>
      <c r="D188" s="146" t="s">
        <v>239</v>
      </c>
      <c r="E188" s="149"/>
      <c r="F188" s="146">
        <v>10.0</v>
      </c>
      <c r="G188" s="149"/>
    </row>
    <row r="189">
      <c r="A189" s="144">
        <f t="shared" si="17"/>
        <v>44655</v>
      </c>
      <c r="B189" s="145" t="s">
        <v>18</v>
      </c>
      <c r="C189" s="145" t="s">
        <v>165</v>
      </c>
      <c r="D189" s="146" t="s">
        <v>271</v>
      </c>
      <c r="E189" s="149"/>
      <c r="F189" s="146">
        <v>10.0</v>
      </c>
      <c r="G189" s="149"/>
    </row>
    <row r="190">
      <c r="A190" s="144">
        <f t="shared" si="17"/>
        <v>44655</v>
      </c>
      <c r="B190" s="145" t="s">
        <v>19</v>
      </c>
      <c r="C190" s="145" t="s">
        <v>165</v>
      </c>
      <c r="D190" s="146" t="s">
        <v>260</v>
      </c>
      <c r="E190" s="149"/>
      <c r="F190" s="146">
        <v>10.0</v>
      </c>
      <c r="G190" s="149"/>
    </row>
    <row r="191">
      <c r="A191" s="144">
        <f t="shared" si="17"/>
        <v>44655</v>
      </c>
      <c r="B191" s="145" t="s">
        <v>21</v>
      </c>
      <c r="C191" s="145" t="s">
        <v>165</v>
      </c>
      <c r="D191" s="146" t="s">
        <v>271</v>
      </c>
      <c r="E191" s="149"/>
      <c r="F191" s="146">
        <v>10.0</v>
      </c>
      <c r="G191" s="149"/>
    </row>
    <row r="192">
      <c r="A192" s="144">
        <f t="shared" si="17"/>
        <v>44655</v>
      </c>
      <c r="B192" s="145" t="s">
        <v>22</v>
      </c>
      <c r="C192" s="145" t="s">
        <v>165</v>
      </c>
      <c r="D192" s="146" t="s">
        <v>271</v>
      </c>
      <c r="E192" s="149"/>
      <c r="F192" s="146">
        <v>10.0</v>
      </c>
      <c r="G192" s="149"/>
    </row>
    <row r="193">
      <c r="A193" s="144">
        <f t="shared" si="17"/>
        <v>44655</v>
      </c>
      <c r="B193" s="145" t="s">
        <v>23</v>
      </c>
      <c r="C193" s="145" t="s">
        <v>165</v>
      </c>
      <c r="D193" s="146" t="s">
        <v>249</v>
      </c>
      <c r="E193" s="149"/>
      <c r="F193" s="146">
        <v>10.0</v>
      </c>
      <c r="G193" s="149"/>
    </row>
    <row r="194">
      <c r="A194" s="144">
        <f t="shared" ref="A194:A206" si="18">date(2022,4,5)</f>
        <v>44656</v>
      </c>
      <c r="B194" s="145" t="s">
        <v>23</v>
      </c>
      <c r="C194" s="145" t="s">
        <v>195</v>
      </c>
      <c r="D194" s="146" t="s">
        <v>88</v>
      </c>
      <c r="E194" s="147" t="s">
        <v>79</v>
      </c>
      <c r="F194" s="148"/>
      <c r="G194" s="149"/>
    </row>
    <row r="195">
      <c r="A195" s="144">
        <f t="shared" si="18"/>
        <v>44656</v>
      </c>
      <c r="B195" s="145" t="s">
        <v>17</v>
      </c>
      <c r="C195" s="145" t="s">
        <v>195</v>
      </c>
      <c r="D195" s="146" t="s">
        <v>79</v>
      </c>
      <c r="E195" s="147" t="s">
        <v>88</v>
      </c>
      <c r="F195" s="148"/>
      <c r="G195" s="149"/>
    </row>
    <row r="196">
      <c r="A196" s="144">
        <f t="shared" si="18"/>
        <v>44656</v>
      </c>
      <c r="B196" s="145" t="s">
        <v>17</v>
      </c>
      <c r="C196" s="145" t="s">
        <v>266</v>
      </c>
      <c r="D196" s="146" t="s">
        <v>267</v>
      </c>
      <c r="E196" s="149"/>
      <c r="F196" s="146">
        <v>50.0</v>
      </c>
      <c r="G196" s="149"/>
      <c r="H196" s="145" t="s">
        <v>268</v>
      </c>
    </row>
    <row r="197">
      <c r="A197" s="144">
        <f t="shared" si="18"/>
        <v>44656</v>
      </c>
      <c r="B197" s="145" t="s">
        <v>17</v>
      </c>
      <c r="C197" s="145" t="s">
        <v>75</v>
      </c>
      <c r="D197" s="146" t="s">
        <v>112</v>
      </c>
      <c r="E197" s="149"/>
      <c r="F197" s="146">
        <v>1.0</v>
      </c>
      <c r="G197" s="149"/>
    </row>
    <row r="198">
      <c r="A198" s="144">
        <f t="shared" si="18"/>
        <v>44656</v>
      </c>
      <c r="B198" s="145" t="s">
        <v>25</v>
      </c>
      <c r="C198" s="145" t="s">
        <v>75</v>
      </c>
      <c r="D198" s="146" t="s">
        <v>77</v>
      </c>
      <c r="E198" s="149"/>
      <c r="F198" s="148"/>
      <c r="G198" s="149"/>
    </row>
    <row r="199">
      <c r="A199" s="144">
        <f t="shared" si="18"/>
        <v>44656</v>
      </c>
      <c r="B199" s="145" t="s">
        <v>23</v>
      </c>
      <c r="C199" s="145" t="s">
        <v>75</v>
      </c>
      <c r="D199" s="146" t="s">
        <v>115</v>
      </c>
      <c r="E199" s="149"/>
      <c r="F199" s="148"/>
      <c r="G199" s="149"/>
    </row>
    <row r="200">
      <c r="A200" s="144">
        <f t="shared" si="18"/>
        <v>44656</v>
      </c>
      <c r="B200" s="145" t="s">
        <v>14</v>
      </c>
      <c r="C200" s="145" t="s">
        <v>75</v>
      </c>
      <c r="D200" s="146" t="s">
        <v>107</v>
      </c>
      <c r="E200" s="149"/>
      <c r="F200" s="146">
        <v>1.0</v>
      </c>
      <c r="G200" s="149"/>
    </row>
    <row r="201">
      <c r="A201" s="144">
        <f t="shared" si="18"/>
        <v>44656</v>
      </c>
      <c r="B201" s="145" t="s">
        <v>21</v>
      </c>
      <c r="C201" s="145" t="s">
        <v>75</v>
      </c>
      <c r="D201" s="146" t="s">
        <v>87</v>
      </c>
      <c r="E201" s="149"/>
      <c r="F201" s="146">
        <v>2.0</v>
      </c>
      <c r="G201" s="149"/>
    </row>
    <row r="202">
      <c r="A202" s="144">
        <f t="shared" si="18"/>
        <v>44656</v>
      </c>
      <c r="B202" s="145" t="s">
        <v>19</v>
      </c>
      <c r="C202" s="145" t="s">
        <v>75</v>
      </c>
      <c r="D202" s="146" t="s">
        <v>91</v>
      </c>
      <c r="E202" s="149"/>
      <c r="F202" s="148"/>
      <c r="G202" s="149"/>
    </row>
    <row r="203">
      <c r="A203" s="144">
        <f t="shared" si="18"/>
        <v>44656</v>
      </c>
      <c r="B203" s="145" t="s">
        <v>18</v>
      </c>
      <c r="C203" s="145" t="s">
        <v>75</v>
      </c>
      <c r="D203" s="146" t="s">
        <v>125</v>
      </c>
      <c r="E203" s="149"/>
      <c r="F203" s="146">
        <v>1.0</v>
      </c>
      <c r="G203" s="149"/>
    </row>
    <row r="204">
      <c r="A204" s="144">
        <f t="shared" si="18"/>
        <v>44656</v>
      </c>
      <c r="B204" s="145" t="s">
        <v>16</v>
      </c>
      <c r="C204" s="145" t="s">
        <v>75</v>
      </c>
      <c r="D204" s="146" t="s">
        <v>145</v>
      </c>
      <c r="E204" s="149"/>
      <c r="F204" s="146">
        <v>2.0</v>
      </c>
      <c r="G204" s="149"/>
    </row>
    <row r="205">
      <c r="A205" s="144">
        <f t="shared" si="18"/>
        <v>44656</v>
      </c>
      <c r="B205" s="145" t="s">
        <v>15</v>
      </c>
      <c r="C205" s="145" t="s">
        <v>75</v>
      </c>
      <c r="D205" s="146" t="s">
        <v>77</v>
      </c>
      <c r="E205" s="149"/>
      <c r="F205" s="146">
        <v>1.0</v>
      </c>
      <c r="G205" s="149"/>
    </row>
    <row r="206">
      <c r="A206" s="144">
        <f t="shared" si="18"/>
        <v>44656</v>
      </c>
      <c r="B206" s="145" t="s">
        <v>22</v>
      </c>
      <c r="C206" s="145" t="s">
        <v>75</v>
      </c>
      <c r="D206" s="146" t="s">
        <v>120</v>
      </c>
      <c r="E206" s="149"/>
      <c r="F206" s="146">
        <v>2.0</v>
      </c>
      <c r="G206" s="149"/>
    </row>
    <row r="207">
      <c r="A207" s="144">
        <f t="shared" ref="A207:A208" si="19">date(2022,4,6)</f>
        <v>44657</v>
      </c>
      <c r="B207" s="145" t="s">
        <v>22</v>
      </c>
      <c r="C207" s="145" t="s">
        <v>195</v>
      </c>
      <c r="D207" s="146" t="s">
        <v>95</v>
      </c>
      <c r="E207" s="147" t="s">
        <v>122</v>
      </c>
      <c r="F207" s="148"/>
      <c r="G207" s="149"/>
    </row>
    <row r="208">
      <c r="A208" s="144">
        <f t="shared" si="19"/>
        <v>44657</v>
      </c>
      <c r="B208" s="145" t="s">
        <v>16</v>
      </c>
      <c r="C208" s="145" t="s">
        <v>195</v>
      </c>
      <c r="D208" s="146" t="s">
        <v>122</v>
      </c>
      <c r="E208" s="147" t="s">
        <v>95</v>
      </c>
      <c r="F208" s="148"/>
      <c r="G208" s="149"/>
    </row>
    <row r="209">
      <c r="A209" s="144">
        <f t="shared" ref="A209:A223" si="20">date(2022,6,23)</f>
        <v>44735</v>
      </c>
      <c r="B209" s="145" t="s">
        <v>19</v>
      </c>
      <c r="C209" s="145" t="s">
        <v>253</v>
      </c>
      <c r="D209" s="146" t="s">
        <v>317</v>
      </c>
      <c r="E209" s="149"/>
      <c r="F209" s="148"/>
      <c r="G209" s="149"/>
    </row>
    <row r="210">
      <c r="A210" s="144">
        <f t="shared" si="20"/>
        <v>44735</v>
      </c>
      <c r="B210" s="145" t="s">
        <v>21</v>
      </c>
      <c r="C210" s="145" t="s">
        <v>253</v>
      </c>
      <c r="D210" s="146" t="s">
        <v>320</v>
      </c>
      <c r="E210" s="149"/>
      <c r="F210" s="148"/>
      <c r="G210" s="149"/>
    </row>
    <row r="211">
      <c r="A211" s="144">
        <f t="shared" si="20"/>
        <v>44735</v>
      </c>
      <c r="B211" s="145" t="s">
        <v>15</v>
      </c>
      <c r="C211" s="145" t="s">
        <v>253</v>
      </c>
      <c r="D211" s="146" t="s">
        <v>321</v>
      </c>
      <c r="E211" s="149"/>
      <c r="F211" s="148"/>
      <c r="G211" s="149"/>
    </row>
    <row r="212">
      <c r="A212" s="144">
        <f t="shared" si="20"/>
        <v>44735</v>
      </c>
      <c r="B212" s="145" t="s">
        <v>17</v>
      </c>
      <c r="C212" s="145" t="s">
        <v>253</v>
      </c>
      <c r="D212" s="146" t="s">
        <v>322</v>
      </c>
      <c r="E212" s="149"/>
      <c r="F212" s="148"/>
      <c r="G212" s="149"/>
    </row>
    <row r="213">
      <c r="A213" s="144">
        <f t="shared" si="20"/>
        <v>44735</v>
      </c>
      <c r="B213" s="145" t="s">
        <v>14</v>
      </c>
      <c r="C213" s="145" t="s">
        <v>253</v>
      </c>
      <c r="D213" s="146" t="s">
        <v>327</v>
      </c>
      <c r="E213" s="149"/>
      <c r="F213" s="148"/>
      <c r="G213" s="149"/>
    </row>
    <row r="214">
      <c r="A214" s="144">
        <f t="shared" si="20"/>
        <v>44735</v>
      </c>
      <c r="B214" s="145" t="s">
        <v>23</v>
      </c>
      <c r="C214" s="145" t="s">
        <v>253</v>
      </c>
      <c r="D214" s="146" t="s">
        <v>329</v>
      </c>
      <c r="E214" s="149"/>
      <c r="F214" s="148"/>
      <c r="G214" s="149"/>
    </row>
    <row r="215">
      <c r="A215" s="144">
        <f t="shared" si="20"/>
        <v>44735</v>
      </c>
      <c r="B215" s="145" t="s">
        <v>18</v>
      </c>
      <c r="C215" s="145" t="s">
        <v>253</v>
      </c>
      <c r="D215" s="146" t="s">
        <v>330</v>
      </c>
      <c r="E215" s="149"/>
      <c r="F215" s="148"/>
      <c r="G215" s="149"/>
    </row>
    <row r="216">
      <c r="A216" s="144">
        <f t="shared" si="20"/>
        <v>44735</v>
      </c>
      <c r="B216" s="145" t="s">
        <v>14</v>
      </c>
      <c r="C216" s="145" t="s">
        <v>75</v>
      </c>
      <c r="D216" s="151" t="s">
        <v>115</v>
      </c>
      <c r="E216" s="149"/>
      <c r="F216" s="146">
        <v>2.0</v>
      </c>
      <c r="G216" s="149"/>
    </row>
    <row r="217">
      <c r="A217" s="144">
        <f t="shared" si="20"/>
        <v>44735</v>
      </c>
      <c r="B217" s="145" t="s">
        <v>15</v>
      </c>
      <c r="C217" s="145" t="s">
        <v>75</v>
      </c>
      <c r="D217" s="151" t="s">
        <v>163</v>
      </c>
      <c r="E217" s="149"/>
      <c r="F217" s="148"/>
      <c r="G217" s="149"/>
    </row>
    <row r="218">
      <c r="A218" s="144">
        <f t="shared" si="20"/>
        <v>44735</v>
      </c>
      <c r="B218" s="145" t="s">
        <v>19</v>
      </c>
      <c r="C218" s="145" t="s">
        <v>75</v>
      </c>
      <c r="D218" s="151" t="s">
        <v>80</v>
      </c>
      <c r="E218" s="149"/>
      <c r="F218" s="148"/>
      <c r="G218" s="149"/>
    </row>
    <row r="219">
      <c r="A219" s="144">
        <f t="shared" si="20"/>
        <v>44735</v>
      </c>
      <c r="B219" s="145" t="s">
        <v>17</v>
      </c>
      <c r="C219" s="145" t="s">
        <v>75</v>
      </c>
      <c r="D219" s="151" t="s">
        <v>78</v>
      </c>
      <c r="E219" s="149"/>
      <c r="F219" s="148"/>
      <c r="G219" s="149"/>
    </row>
    <row r="220">
      <c r="A220" s="144">
        <f t="shared" si="20"/>
        <v>44735</v>
      </c>
      <c r="B220" s="145" t="s">
        <v>21</v>
      </c>
      <c r="C220" s="145" t="s">
        <v>75</v>
      </c>
      <c r="D220" s="146" t="s">
        <v>87</v>
      </c>
      <c r="E220" s="149"/>
      <c r="F220" s="148"/>
      <c r="G220" s="149"/>
    </row>
    <row r="221">
      <c r="A221" s="144">
        <f t="shared" si="20"/>
        <v>44735</v>
      </c>
      <c r="B221" s="145" t="s">
        <v>22</v>
      </c>
      <c r="C221" s="145" t="s">
        <v>75</v>
      </c>
      <c r="D221" s="146" t="s">
        <v>79</v>
      </c>
      <c r="E221" s="149"/>
      <c r="F221" s="148"/>
      <c r="G221" s="149"/>
    </row>
    <row r="222">
      <c r="A222" s="144">
        <f t="shared" si="20"/>
        <v>44735</v>
      </c>
      <c r="B222" s="145" t="s">
        <v>18</v>
      </c>
      <c r="C222" s="145" t="s">
        <v>75</v>
      </c>
      <c r="D222" s="146" t="s">
        <v>192</v>
      </c>
      <c r="E222" s="149"/>
      <c r="F222" s="146">
        <v>1.0</v>
      </c>
      <c r="G222" s="149"/>
    </row>
    <row r="223">
      <c r="A223" s="144">
        <f t="shared" si="20"/>
        <v>44735</v>
      </c>
      <c r="B223" s="145" t="s">
        <v>23</v>
      </c>
      <c r="C223" s="145" t="s">
        <v>75</v>
      </c>
      <c r="D223" s="146" t="s">
        <v>82</v>
      </c>
      <c r="E223" s="149"/>
      <c r="F223" s="148"/>
      <c r="G223" s="149"/>
    </row>
    <row r="224">
      <c r="A224" s="144">
        <f t="shared" ref="A224:A235" si="21">date(2022,6,28)</f>
        <v>44740</v>
      </c>
      <c r="B224" s="145" t="s">
        <v>41</v>
      </c>
      <c r="C224" s="145" t="s">
        <v>75</v>
      </c>
      <c r="D224" s="146" t="s">
        <v>125</v>
      </c>
      <c r="E224" s="149"/>
      <c r="F224" s="148"/>
      <c r="G224" s="149"/>
    </row>
    <row r="225">
      <c r="A225" s="144">
        <f t="shared" si="21"/>
        <v>44740</v>
      </c>
      <c r="B225" s="145" t="s">
        <v>23</v>
      </c>
      <c r="C225" s="145" t="s">
        <v>75</v>
      </c>
      <c r="D225" s="146" t="s">
        <v>87</v>
      </c>
      <c r="E225" s="149"/>
      <c r="F225" s="146">
        <v>1.0</v>
      </c>
      <c r="G225" s="149"/>
    </row>
    <row r="226">
      <c r="A226" s="144">
        <f t="shared" si="21"/>
        <v>44740</v>
      </c>
      <c r="B226" s="145" t="s">
        <v>19</v>
      </c>
      <c r="C226" s="145" t="s">
        <v>75</v>
      </c>
      <c r="D226" s="146" t="s">
        <v>163</v>
      </c>
      <c r="E226" s="149"/>
      <c r="F226" s="146">
        <v>2.0</v>
      </c>
      <c r="G226" s="149"/>
    </row>
    <row r="227">
      <c r="A227" s="144">
        <f t="shared" si="21"/>
        <v>44740</v>
      </c>
      <c r="B227" s="145" t="s">
        <v>19</v>
      </c>
      <c r="C227" s="145" t="s">
        <v>266</v>
      </c>
      <c r="D227" s="146" t="s">
        <v>172</v>
      </c>
      <c r="E227" s="149"/>
      <c r="F227" s="146">
        <v>50.0</v>
      </c>
      <c r="G227" s="149"/>
      <c r="H227" s="145" t="s">
        <v>103</v>
      </c>
    </row>
    <row r="228">
      <c r="A228" s="144">
        <f t="shared" si="21"/>
        <v>44740</v>
      </c>
      <c r="B228" s="145" t="s">
        <v>14</v>
      </c>
      <c r="C228" s="145" t="s">
        <v>75</v>
      </c>
      <c r="D228" s="146" t="s">
        <v>76</v>
      </c>
      <c r="E228" s="149"/>
      <c r="F228" s="148"/>
      <c r="G228" s="149"/>
    </row>
    <row r="229">
      <c r="A229" s="144">
        <f t="shared" si="21"/>
        <v>44740</v>
      </c>
      <c r="B229" s="145" t="s">
        <v>16</v>
      </c>
      <c r="C229" s="145" t="s">
        <v>75</v>
      </c>
      <c r="D229" s="146" t="s">
        <v>138</v>
      </c>
      <c r="E229" s="149"/>
      <c r="F229" s="146">
        <v>2.0</v>
      </c>
      <c r="G229" s="149"/>
    </row>
    <row r="230">
      <c r="A230" s="144">
        <f t="shared" si="21"/>
        <v>44740</v>
      </c>
      <c r="B230" s="145" t="s">
        <v>16</v>
      </c>
      <c r="C230" s="145" t="s">
        <v>266</v>
      </c>
      <c r="D230" s="146" t="s">
        <v>170</v>
      </c>
      <c r="E230" s="149"/>
      <c r="F230" s="146">
        <v>50.0</v>
      </c>
      <c r="G230" s="149"/>
      <c r="H230" s="145" t="s">
        <v>103</v>
      </c>
    </row>
    <row r="231">
      <c r="A231" s="144">
        <f t="shared" si="21"/>
        <v>44740</v>
      </c>
      <c r="B231" s="145" t="s">
        <v>22</v>
      </c>
      <c r="C231" s="145" t="s">
        <v>75</v>
      </c>
      <c r="D231" s="146" t="s">
        <v>141</v>
      </c>
      <c r="E231" s="149"/>
      <c r="F231" s="146">
        <v>1.0</v>
      </c>
      <c r="G231" s="149"/>
    </row>
    <row r="232">
      <c r="A232" s="144">
        <f t="shared" si="21"/>
        <v>44740</v>
      </c>
      <c r="B232" s="145" t="s">
        <v>22</v>
      </c>
      <c r="C232" s="145" t="s">
        <v>266</v>
      </c>
      <c r="D232" s="146" t="s">
        <v>267</v>
      </c>
      <c r="E232" s="149"/>
      <c r="F232" s="146">
        <v>50.0</v>
      </c>
      <c r="G232" s="149"/>
      <c r="H232" s="145" t="s">
        <v>268</v>
      </c>
    </row>
    <row r="233">
      <c r="A233" s="144">
        <f t="shared" si="21"/>
        <v>44740</v>
      </c>
      <c r="B233" s="145" t="s">
        <v>18</v>
      </c>
      <c r="C233" s="145" t="s">
        <v>75</v>
      </c>
      <c r="D233" s="146" t="s">
        <v>88</v>
      </c>
      <c r="E233" s="149"/>
      <c r="F233" s="148"/>
      <c r="G233" s="149"/>
    </row>
    <row r="234">
      <c r="A234" s="144">
        <f t="shared" si="21"/>
        <v>44740</v>
      </c>
      <c r="B234" s="145" t="s">
        <v>18</v>
      </c>
      <c r="C234" s="145" t="s">
        <v>266</v>
      </c>
      <c r="D234" s="146" t="s">
        <v>267</v>
      </c>
      <c r="E234" s="149"/>
      <c r="F234" s="146">
        <v>50.0</v>
      </c>
      <c r="G234" s="149"/>
      <c r="H234" s="145" t="s">
        <v>268</v>
      </c>
    </row>
    <row r="235">
      <c r="A235" s="144">
        <f t="shared" si="21"/>
        <v>44740</v>
      </c>
      <c r="B235" s="145" t="s">
        <v>21</v>
      </c>
      <c r="C235" s="145" t="s">
        <v>75</v>
      </c>
      <c r="D235" s="146" t="s">
        <v>101</v>
      </c>
      <c r="E235" s="149"/>
      <c r="F235" s="146">
        <v>2.0</v>
      </c>
      <c r="G235" s="149"/>
    </row>
    <row r="236">
      <c r="A236" s="144">
        <f t="shared" ref="A236:A243" si="22">date(2022,6,30)</f>
        <v>44742</v>
      </c>
      <c r="B236" s="145" t="s">
        <v>22</v>
      </c>
      <c r="C236" s="145" t="s">
        <v>336</v>
      </c>
      <c r="D236" s="148"/>
      <c r="E236" s="149"/>
      <c r="F236" s="146">
        <v>10.0</v>
      </c>
      <c r="G236" s="149"/>
    </row>
    <row r="237">
      <c r="A237" s="144">
        <f t="shared" si="22"/>
        <v>44742</v>
      </c>
      <c r="B237" s="145" t="s">
        <v>41</v>
      </c>
      <c r="C237" s="145" t="s">
        <v>336</v>
      </c>
      <c r="D237" s="146"/>
      <c r="E237" s="149"/>
      <c r="F237" s="146">
        <v>20.0</v>
      </c>
      <c r="G237" s="149"/>
    </row>
    <row r="238">
      <c r="A238" s="144">
        <f t="shared" si="22"/>
        <v>44742</v>
      </c>
      <c r="B238" s="145" t="s">
        <v>41</v>
      </c>
      <c r="C238" s="145" t="s">
        <v>75</v>
      </c>
      <c r="D238" s="146" t="s">
        <v>80</v>
      </c>
      <c r="E238" s="149"/>
      <c r="F238" s="148"/>
      <c r="G238" s="149"/>
    </row>
    <row r="239">
      <c r="A239" s="144">
        <f t="shared" si="22"/>
        <v>44742</v>
      </c>
      <c r="B239" s="145" t="s">
        <v>14</v>
      </c>
      <c r="C239" s="145" t="s">
        <v>75</v>
      </c>
      <c r="D239" s="146" t="s">
        <v>145</v>
      </c>
      <c r="E239" s="149"/>
      <c r="F239" s="148"/>
      <c r="G239" s="149"/>
    </row>
    <row r="240">
      <c r="A240" s="144">
        <f t="shared" si="22"/>
        <v>44742</v>
      </c>
      <c r="B240" s="145" t="s">
        <v>19</v>
      </c>
      <c r="C240" s="145" t="s">
        <v>75</v>
      </c>
      <c r="D240" s="146" t="s">
        <v>135</v>
      </c>
      <c r="E240" s="149"/>
      <c r="F240" s="148"/>
      <c r="G240" s="149"/>
    </row>
    <row r="241">
      <c r="A241" s="144">
        <f t="shared" si="22"/>
        <v>44742</v>
      </c>
      <c r="B241" s="145" t="s">
        <v>17</v>
      </c>
      <c r="C241" s="145" t="s">
        <v>75</v>
      </c>
      <c r="D241" s="146" t="s">
        <v>107</v>
      </c>
      <c r="E241" s="149"/>
      <c r="F241" s="146">
        <v>1.0</v>
      </c>
      <c r="G241" s="149"/>
    </row>
    <row r="242">
      <c r="A242" s="144">
        <f t="shared" si="22"/>
        <v>44742</v>
      </c>
      <c r="B242" s="145" t="s">
        <v>18</v>
      </c>
      <c r="C242" s="145" t="s">
        <v>75</v>
      </c>
      <c r="D242" s="146" t="s">
        <v>120</v>
      </c>
      <c r="E242" s="149"/>
      <c r="F242" s="146">
        <v>1.0</v>
      </c>
      <c r="G242" s="149"/>
    </row>
    <row r="243">
      <c r="A243" s="144">
        <f t="shared" si="22"/>
        <v>44742</v>
      </c>
      <c r="B243" s="145" t="s">
        <v>23</v>
      </c>
      <c r="C243" s="145" t="s">
        <v>75</v>
      </c>
      <c r="D243" s="146" t="s">
        <v>125</v>
      </c>
      <c r="E243" s="149"/>
      <c r="F243" s="148"/>
      <c r="G243" s="149"/>
    </row>
    <row r="244">
      <c r="A244" s="144">
        <f>date(2022,7,1)</f>
        <v>44743</v>
      </c>
      <c r="B244" s="145" t="s">
        <v>341</v>
      </c>
      <c r="C244" s="145" t="s">
        <v>336</v>
      </c>
      <c r="D244" s="148"/>
      <c r="E244" s="149"/>
      <c r="F244" s="146">
        <v>15.0</v>
      </c>
      <c r="G244" s="149"/>
    </row>
    <row r="245">
      <c r="A245" s="144">
        <f t="shared" ref="A245:A251" si="23">date(2022,7,4)</f>
        <v>44746</v>
      </c>
      <c r="B245" s="145" t="s">
        <v>41</v>
      </c>
      <c r="C245" s="145" t="s">
        <v>75</v>
      </c>
      <c r="D245" s="146" t="s">
        <v>138</v>
      </c>
      <c r="E245" s="149"/>
      <c r="F245" s="146">
        <v>2.0</v>
      </c>
      <c r="G245" s="149"/>
    </row>
    <row r="246">
      <c r="A246" s="144">
        <f t="shared" si="23"/>
        <v>44746</v>
      </c>
      <c r="B246" s="145" t="s">
        <v>341</v>
      </c>
      <c r="C246" s="145" t="s">
        <v>75</v>
      </c>
      <c r="D246" s="146" t="s">
        <v>91</v>
      </c>
      <c r="E246" s="149"/>
      <c r="F246" s="146">
        <v>2.0</v>
      </c>
      <c r="G246" s="149"/>
    </row>
    <row r="247">
      <c r="A247" s="144">
        <f t="shared" si="23"/>
        <v>44746</v>
      </c>
      <c r="B247" s="145" t="s">
        <v>23</v>
      </c>
      <c r="C247" s="145" t="s">
        <v>75</v>
      </c>
      <c r="D247" s="146" t="s">
        <v>82</v>
      </c>
      <c r="E247" s="149"/>
      <c r="F247" s="146">
        <v>1.0</v>
      </c>
      <c r="G247" s="149"/>
    </row>
    <row r="248">
      <c r="A248" s="144">
        <f t="shared" si="23"/>
        <v>44746</v>
      </c>
      <c r="B248" s="145" t="s">
        <v>19</v>
      </c>
      <c r="C248" s="145" t="s">
        <v>75</v>
      </c>
      <c r="D248" s="146" t="s">
        <v>120</v>
      </c>
      <c r="E248" s="149"/>
      <c r="F248" s="146">
        <v>2.0</v>
      </c>
      <c r="G248" s="149"/>
    </row>
    <row r="249">
      <c r="A249" s="144">
        <f t="shared" si="23"/>
        <v>44746</v>
      </c>
      <c r="B249" s="145" t="s">
        <v>14</v>
      </c>
      <c r="C249" s="145" t="s">
        <v>75</v>
      </c>
      <c r="D249" s="146" t="s">
        <v>127</v>
      </c>
      <c r="E249" s="149"/>
      <c r="F249" s="146">
        <v>1.0</v>
      </c>
      <c r="G249" s="149"/>
    </row>
    <row r="250">
      <c r="A250" s="144">
        <f t="shared" si="23"/>
        <v>44746</v>
      </c>
      <c r="B250" s="145" t="s">
        <v>22</v>
      </c>
      <c r="C250" s="145" t="s">
        <v>75</v>
      </c>
      <c r="D250" s="146" t="s">
        <v>138</v>
      </c>
      <c r="E250" s="149"/>
      <c r="F250" s="146">
        <v>2.0</v>
      </c>
      <c r="G250" s="149"/>
    </row>
    <row r="251">
      <c r="A251" s="144">
        <f t="shared" si="23"/>
        <v>44746</v>
      </c>
      <c r="B251" s="145" t="s">
        <v>18</v>
      </c>
      <c r="C251" s="145" t="s">
        <v>75</v>
      </c>
      <c r="D251" s="146"/>
      <c r="E251" s="147"/>
      <c r="F251" s="146">
        <v>2.0</v>
      </c>
      <c r="G251" s="149"/>
    </row>
    <row r="252">
      <c r="A252" s="144">
        <f t="shared" ref="A252:A268" si="24">date(2022,7,6)</f>
        <v>44748</v>
      </c>
      <c r="B252" s="145" t="s">
        <v>23</v>
      </c>
      <c r="C252" s="145" t="s">
        <v>195</v>
      </c>
      <c r="D252" s="146" t="s">
        <v>192</v>
      </c>
      <c r="E252" s="147" t="s">
        <v>82</v>
      </c>
      <c r="F252" s="148"/>
      <c r="G252" s="149"/>
    </row>
    <row r="253">
      <c r="A253" s="144">
        <f t="shared" si="24"/>
        <v>44748</v>
      </c>
      <c r="B253" s="145" t="s">
        <v>18</v>
      </c>
      <c r="C253" s="145" t="s">
        <v>195</v>
      </c>
      <c r="D253" s="146" t="s">
        <v>82</v>
      </c>
      <c r="E253" s="147" t="s">
        <v>192</v>
      </c>
      <c r="F253" s="148"/>
      <c r="G253" s="149"/>
    </row>
    <row r="254">
      <c r="A254" s="144">
        <f t="shared" si="24"/>
        <v>44748</v>
      </c>
      <c r="B254" s="145" t="s">
        <v>23</v>
      </c>
      <c r="C254" s="145" t="s">
        <v>266</v>
      </c>
      <c r="D254" s="146" t="s">
        <v>267</v>
      </c>
      <c r="E254" s="149"/>
      <c r="F254" s="146">
        <v>50.0</v>
      </c>
      <c r="G254" s="149"/>
      <c r="H254" s="145" t="s">
        <v>268</v>
      </c>
    </row>
    <row r="255">
      <c r="A255" s="144">
        <f t="shared" si="24"/>
        <v>44748</v>
      </c>
      <c r="B255" s="145" t="s">
        <v>14</v>
      </c>
      <c r="C255" s="145" t="s">
        <v>75</v>
      </c>
      <c r="D255" s="146" t="s">
        <v>76</v>
      </c>
      <c r="E255" s="149"/>
      <c r="F255" s="146">
        <v>2.0</v>
      </c>
      <c r="G255" s="149"/>
    </row>
    <row r="256">
      <c r="A256" s="144">
        <f t="shared" si="24"/>
        <v>44748</v>
      </c>
      <c r="B256" s="145" t="s">
        <v>23</v>
      </c>
      <c r="C256" s="145" t="s">
        <v>75</v>
      </c>
      <c r="D256" s="146" t="s">
        <v>115</v>
      </c>
      <c r="E256" s="149"/>
      <c r="F256" s="146">
        <v>2.0</v>
      </c>
      <c r="G256" s="149"/>
    </row>
    <row r="257">
      <c r="A257" s="144">
        <f t="shared" si="24"/>
        <v>44748</v>
      </c>
      <c r="B257" s="145" t="s">
        <v>19</v>
      </c>
      <c r="C257" s="145" t="s">
        <v>75</v>
      </c>
      <c r="D257" s="146" t="s">
        <v>145</v>
      </c>
      <c r="E257" s="149"/>
      <c r="F257" s="148"/>
      <c r="G257" s="149"/>
    </row>
    <row r="258">
      <c r="A258" s="144">
        <f t="shared" si="24"/>
        <v>44748</v>
      </c>
      <c r="B258" s="145" t="s">
        <v>18</v>
      </c>
      <c r="C258" s="145" t="s">
        <v>75</v>
      </c>
      <c r="D258" s="146" t="s">
        <v>36</v>
      </c>
      <c r="E258" s="149"/>
      <c r="F258" s="146">
        <v>2.0</v>
      </c>
      <c r="G258" s="149"/>
    </row>
    <row r="259">
      <c r="A259" s="144">
        <f t="shared" si="24"/>
        <v>44748</v>
      </c>
      <c r="B259" s="145" t="s">
        <v>22</v>
      </c>
      <c r="C259" s="145" t="s">
        <v>75</v>
      </c>
      <c r="D259" s="146" t="s">
        <v>155</v>
      </c>
      <c r="E259" s="149"/>
      <c r="F259" s="146">
        <v>1.0</v>
      </c>
      <c r="G259" s="149"/>
    </row>
    <row r="260">
      <c r="A260" s="144">
        <f t="shared" si="24"/>
        <v>44748</v>
      </c>
      <c r="B260" s="145" t="s">
        <v>41</v>
      </c>
      <c r="C260" s="145" t="s">
        <v>75</v>
      </c>
      <c r="D260" s="146" t="s">
        <v>91</v>
      </c>
      <c r="E260" s="149"/>
      <c r="F260" s="146">
        <v>2.0</v>
      </c>
      <c r="G260" s="149"/>
    </row>
    <row r="261">
      <c r="A261" s="144">
        <f t="shared" si="24"/>
        <v>44748</v>
      </c>
      <c r="B261" s="145" t="s">
        <v>341</v>
      </c>
      <c r="C261" s="145" t="s">
        <v>75</v>
      </c>
      <c r="D261" s="146" t="s">
        <v>107</v>
      </c>
      <c r="E261" s="149"/>
      <c r="F261" s="146">
        <v>2.0</v>
      </c>
      <c r="G261" s="149"/>
    </row>
    <row r="262">
      <c r="A262" s="144">
        <f t="shared" si="24"/>
        <v>44748</v>
      </c>
      <c r="B262" s="145" t="s">
        <v>21</v>
      </c>
      <c r="C262" s="145" t="s">
        <v>75</v>
      </c>
      <c r="D262" s="146" t="s">
        <v>108</v>
      </c>
      <c r="E262" s="149"/>
      <c r="F262" s="148"/>
      <c r="G262" s="149"/>
    </row>
    <row r="263">
      <c r="A263" s="144">
        <f t="shared" si="24"/>
        <v>44748</v>
      </c>
      <c r="B263" s="145" t="s">
        <v>21</v>
      </c>
      <c r="C263" s="145" t="s">
        <v>266</v>
      </c>
      <c r="D263" s="146" t="s">
        <v>267</v>
      </c>
      <c r="E263" s="149"/>
      <c r="F263" s="146">
        <v>50.0</v>
      </c>
      <c r="G263" s="149"/>
      <c r="H263" s="145" t="s">
        <v>268</v>
      </c>
    </row>
    <row r="264">
      <c r="A264" s="144">
        <f t="shared" si="24"/>
        <v>44748</v>
      </c>
      <c r="B264" s="145" t="s">
        <v>16</v>
      </c>
      <c r="C264" s="145" t="s">
        <v>75</v>
      </c>
      <c r="D264" s="146" t="s">
        <v>135</v>
      </c>
      <c r="E264" s="149"/>
      <c r="F264" s="148"/>
      <c r="G264" s="149"/>
    </row>
    <row r="265">
      <c r="A265" s="144">
        <f t="shared" si="24"/>
        <v>44748</v>
      </c>
      <c r="B265" s="145" t="s">
        <v>23</v>
      </c>
      <c r="C265" s="145" t="s">
        <v>195</v>
      </c>
      <c r="D265" s="146" t="s">
        <v>76</v>
      </c>
      <c r="E265" s="147" t="s">
        <v>82</v>
      </c>
      <c r="F265" s="148"/>
      <c r="G265" s="149"/>
    </row>
    <row r="266">
      <c r="A266" s="144">
        <f t="shared" si="24"/>
        <v>44748</v>
      </c>
      <c r="B266" s="145" t="s">
        <v>14</v>
      </c>
      <c r="C266" s="145" t="s">
        <v>195</v>
      </c>
      <c r="D266" s="151" t="s">
        <v>82</v>
      </c>
      <c r="E266" s="152" t="s">
        <v>76</v>
      </c>
      <c r="F266" s="148"/>
      <c r="G266" s="149"/>
    </row>
    <row r="267">
      <c r="A267" s="144">
        <f t="shared" si="24"/>
        <v>44748</v>
      </c>
      <c r="B267" s="145" t="s">
        <v>23</v>
      </c>
      <c r="C267" s="145" t="s">
        <v>266</v>
      </c>
      <c r="D267" s="146" t="s">
        <v>280</v>
      </c>
      <c r="E267" s="149"/>
      <c r="F267" s="146">
        <v>50.0</v>
      </c>
      <c r="G267" s="149"/>
      <c r="H267" s="145" t="s">
        <v>103</v>
      </c>
    </row>
    <row r="268">
      <c r="A268" s="144">
        <f t="shared" si="24"/>
        <v>44748</v>
      </c>
      <c r="B268" s="145" t="s">
        <v>14</v>
      </c>
      <c r="C268" s="145" t="s">
        <v>266</v>
      </c>
      <c r="D268" s="146" t="s">
        <v>298</v>
      </c>
      <c r="E268" s="147"/>
      <c r="F268" s="146">
        <v>50.0</v>
      </c>
      <c r="G268" s="149"/>
      <c r="H268" s="145" t="s">
        <v>103</v>
      </c>
    </row>
    <row r="269">
      <c r="A269" s="144">
        <f t="shared" ref="A269:A276" si="25">date(2022,7,9)</f>
        <v>44751</v>
      </c>
      <c r="B269" s="145" t="s">
        <v>14</v>
      </c>
      <c r="C269" s="145" t="s">
        <v>75</v>
      </c>
      <c r="D269" s="146" t="s">
        <v>91</v>
      </c>
      <c r="E269" s="149"/>
      <c r="F269" s="148"/>
      <c r="G269" s="149"/>
    </row>
    <row r="270">
      <c r="A270" s="144">
        <f t="shared" si="25"/>
        <v>44751</v>
      </c>
      <c r="B270" s="145" t="s">
        <v>41</v>
      </c>
      <c r="C270" s="145" t="s">
        <v>75</v>
      </c>
      <c r="D270" s="146" t="s">
        <v>135</v>
      </c>
      <c r="E270" s="149"/>
      <c r="F270" s="146">
        <v>1.0</v>
      </c>
      <c r="G270" s="149"/>
    </row>
    <row r="271">
      <c r="A271" s="144">
        <f t="shared" si="25"/>
        <v>44751</v>
      </c>
      <c r="B271" s="145" t="s">
        <v>23</v>
      </c>
      <c r="C271" s="145" t="s">
        <v>75</v>
      </c>
      <c r="D271" s="146" t="s">
        <v>107</v>
      </c>
      <c r="E271" s="149"/>
      <c r="F271" s="146">
        <v>2.0</v>
      </c>
      <c r="G271" s="149"/>
    </row>
    <row r="272">
      <c r="A272" s="144">
        <f t="shared" si="25"/>
        <v>44751</v>
      </c>
      <c r="B272" s="145" t="s">
        <v>19</v>
      </c>
      <c r="C272" s="145" t="s">
        <v>75</v>
      </c>
      <c r="D272" s="146" t="s">
        <v>125</v>
      </c>
      <c r="E272" s="149"/>
      <c r="F272" s="146">
        <v>2.0</v>
      </c>
      <c r="G272" s="149"/>
    </row>
    <row r="273">
      <c r="A273" s="144">
        <f t="shared" si="25"/>
        <v>44751</v>
      </c>
      <c r="B273" s="145" t="s">
        <v>18</v>
      </c>
      <c r="C273" s="145" t="s">
        <v>75</v>
      </c>
      <c r="D273" s="146" t="s">
        <v>87</v>
      </c>
      <c r="E273" s="149"/>
      <c r="F273" s="146">
        <v>1.0</v>
      </c>
      <c r="G273" s="149"/>
    </row>
    <row r="274">
      <c r="A274" s="144">
        <f t="shared" si="25"/>
        <v>44751</v>
      </c>
      <c r="B274" s="145" t="s">
        <v>16</v>
      </c>
      <c r="C274" s="145" t="s">
        <v>75</v>
      </c>
      <c r="D274" s="146" t="s">
        <v>76</v>
      </c>
      <c r="E274" s="149"/>
      <c r="F274" s="146">
        <v>2.0</v>
      </c>
      <c r="G274" s="149"/>
    </row>
    <row r="275">
      <c r="A275" s="144">
        <f t="shared" si="25"/>
        <v>44751</v>
      </c>
      <c r="B275" s="145" t="s">
        <v>22</v>
      </c>
      <c r="C275" s="145" t="s">
        <v>75</v>
      </c>
      <c r="D275" s="146" t="s">
        <v>108</v>
      </c>
      <c r="E275" s="149"/>
      <c r="F275" s="146">
        <v>2.0</v>
      </c>
      <c r="G275" s="149"/>
    </row>
    <row r="276">
      <c r="A276" s="144">
        <f t="shared" si="25"/>
        <v>44751</v>
      </c>
      <c r="B276" s="145" t="s">
        <v>21</v>
      </c>
      <c r="C276" s="145" t="s">
        <v>75</v>
      </c>
      <c r="D276" s="146" t="s">
        <v>87</v>
      </c>
      <c r="E276" s="149"/>
      <c r="F276" s="146">
        <v>2.0</v>
      </c>
      <c r="G276" s="149"/>
    </row>
    <row r="277">
      <c r="A277" s="144">
        <f t="shared" ref="A277:A278" si="26">date(2022,7,10)</f>
        <v>44752</v>
      </c>
      <c r="B277" s="145" t="s">
        <v>18</v>
      </c>
      <c r="C277" s="145" t="s">
        <v>195</v>
      </c>
      <c r="D277" s="146" t="s">
        <v>107</v>
      </c>
      <c r="E277" s="147" t="s">
        <v>36</v>
      </c>
      <c r="F277" s="148"/>
      <c r="G277" s="149"/>
    </row>
    <row r="278">
      <c r="A278" s="144">
        <f t="shared" si="26"/>
        <v>44752</v>
      </c>
      <c r="B278" s="145" t="s">
        <v>23</v>
      </c>
      <c r="C278" s="145" t="s">
        <v>195</v>
      </c>
      <c r="D278" s="146" t="s">
        <v>36</v>
      </c>
      <c r="E278" s="147" t="s">
        <v>107</v>
      </c>
      <c r="F278" s="148"/>
      <c r="G278" s="149"/>
    </row>
    <row r="279">
      <c r="A279" s="144">
        <f t="shared" ref="A279:A281" si="27">date(2022,7,12)</f>
        <v>44754</v>
      </c>
      <c r="B279" s="145" t="s">
        <v>18</v>
      </c>
      <c r="C279" s="145" t="s">
        <v>195</v>
      </c>
      <c r="D279" s="146" t="s">
        <v>155</v>
      </c>
      <c r="E279" s="147" t="s">
        <v>87</v>
      </c>
      <c r="F279" s="148"/>
      <c r="G279" s="149"/>
    </row>
    <row r="280">
      <c r="A280" s="144">
        <f t="shared" si="27"/>
        <v>44754</v>
      </c>
      <c r="B280" s="145" t="s">
        <v>22</v>
      </c>
      <c r="C280" s="145" t="s">
        <v>195</v>
      </c>
      <c r="D280" s="146" t="s">
        <v>87</v>
      </c>
      <c r="E280" s="147" t="s">
        <v>155</v>
      </c>
      <c r="F280" s="148"/>
      <c r="G280" s="149"/>
    </row>
    <row r="281">
      <c r="A281" s="144">
        <f t="shared" si="27"/>
        <v>44754</v>
      </c>
      <c r="B281" s="145" t="s">
        <v>18</v>
      </c>
      <c r="C281" s="145" t="s">
        <v>266</v>
      </c>
      <c r="D281" s="146" t="s">
        <v>181</v>
      </c>
      <c r="E281" s="149"/>
      <c r="F281" s="146">
        <v>50.0</v>
      </c>
      <c r="G281" s="149"/>
      <c r="H281" s="145" t="s">
        <v>103</v>
      </c>
    </row>
    <row r="282">
      <c r="D282" s="146"/>
      <c r="E282" s="149"/>
      <c r="F282" s="146"/>
      <c r="G282" s="149"/>
    </row>
    <row r="283">
      <c r="D283" s="148"/>
      <c r="E283" s="149"/>
      <c r="F283" s="148"/>
      <c r="G283" s="149"/>
    </row>
    <row r="284">
      <c r="D284" s="148"/>
      <c r="E284" s="149"/>
      <c r="F284" s="148"/>
      <c r="G284" s="149"/>
    </row>
    <row r="285">
      <c r="D285" s="148"/>
      <c r="E285" s="149"/>
      <c r="F285" s="148"/>
      <c r="G285" s="149"/>
    </row>
    <row r="286">
      <c r="D286" s="148"/>
      <c r="E286" s="149"/>
      <c r="F286" s="148"/>
      <c r="G286" s="149"/>
    </row>
    <row r="287">
      <c r="D287" s="148"/>
      <c r="E287" s="149"/>
      <c r="F287" s="148"/>
      <c r="G287" s="149"/>
    </row>
    <row r="288">
      <c r="D288" s="148"/>
      <c r="E288" s="149"/>
      <c r="F288" s="148"/>
      <c r="G288" s="149"/>
    </row>
    <row r="289">
      <c r="D289" s="148"/>
      <c r="E289" s="149"/>
      <c r="F289" s="148"/>
      <c r="G289" s="149"/>
    </row>
    <row r="290">
      <c r="D290" s="148"/>
      <c r="E290" s="149"/>
      <c r="F290" s="148"/>
      <c r="G290" s="149"/>
    </row>
    <row r="291">
      <c r="D291" s="148"/>
      <c r="E291" s="149"/>
      <c r="F291" s="148"/>
      <c r="G291" s="149"/>
    </row>
    <row r="292">
      <c r="D292" s="148"/>
      <c r="E292" s="149"/>
      <c r="F292" s="148"/>
      <c r="G292" s="149"/>
    </row>
    <row r="293">
      <c r="D293" s="148"/>
      <c r="E293" s="149"/>
      <c r="F293" s="148"/>
      <c r="G293" s="149"/>
    </row>
    <row r="294">
      <c r="D294" s="148"/>
      <c r="E294" s="149"/>
      <c r="F294" s="148"/>
      <c r="G294" s="149"/>
    </row>
    <row r="295">
      <c r="D295" s="148"/>
      <c r="E295" s="149"/>
      <c r="F295" s="148"/>
      <c r="G295" s="149"/>
    </row>
    <row r="296">
      <c r="D296" s="148"/>
      <c r="E296" s="149"/>
      <c r="F296" s="148"/>
      <c r="G296" s="149"/>
    </row>
    <row r="297">
      <c r="D297" s="148"/>
      <c r="E297" s="149"/>
      <c r="F297" s="148"/>
      <c r="G297" s="149"/>
    </row>
    <row r="298">
      <c r="D298" s="148"/>
      <c r="E298" s="149"/>
      <c r="F298" s="148"/>
      <c r="G298" s="149"/>
    </row>
    <row r="299">
      <c r="D299" s="148"/>
      <c r="E299" s="149"/>
      <c r="F299" s="148"/>
      <c r="G299" s="149"/>
    </row>
    <row r="300">
      <c r="D300" s="148"/>
      <c r="E300" s="149"/>
      <c r="F300" s="148"/>
      <c r="G300" s="149"/>
    </row>
    <row r="301">
      <c r="D301" s="148"/>
      <c r="E301" s="149"/>
      <c r="F301" s="148"/>
      <c r="G301" s="149"/>
    </row>
    <row r="302">
      <c r="D302" s="148"/>
      <c r="E302" s="149"/>
      <c r="F302" s="148"/>
      <c r="G302" s="149"/>
    </row>
    <row r="303">
      <c r="D303" s="148"/>
      <c r="E303" s="149"/>
      <c r="F303" s="148"/>
      <c r="G303" s="149"/>
    </row>
    <row r="304">
      <c r="D304" s="148"/>
      <c r="E304" s="149"/>
      <c r="F304" s="148"/>
      <c r="G304" s="149"/>
    </row>
    <row r="305">
      <c r="D305" s="148"/>
      <c r="E305" s="149"/>
      <c r="F305" s="148"/>
      <c r="G305" s="149"/>
    </row>
    <row r="306">
      <c r="D306" s="148"/>
      <c r="E306" s="149"/>
      <c r="F306" s="148"/>
      <c r="G306" s="149"/>
    </row>
    <row r="307">
      <c r="D307" s="148"/>
      <c r="E307" s="149"/>
      <c r="F307" s="148"/>
      <c r="G307" s="149"/>
    </row>
    <row r="308">
      <c r="D308" s="148"/>
      <c r="E308" s="149"/>
      <c r="F308" s="148"/>
      <c r="G308" s="149"/>
    </row>
    <row r="309">
      <c r="D309" s="148"/>
      <c r="E309" s="149"/>
      <c r="F309" s="148"/>
      <c r="G309" s="149"/>
    </row>
    <row r="310">
      <c r="D310" s="148"/>
      <c r="E310" s="149"/>
      <c r="F310" s="148"/>
      <c r="G310" s="149"/>
    </row>
    <row r="311">
      <c r="D311" s="148"/>
      <c r="E311" s="149"/>
      <c r="F311" s="148"/>
      <c r="G311" s="149"/>
    </row>
    <row r="312">
      <c r="D312" s="148"/>
      <c r="E312" s="149"/>
      <c r="F312" s="148"/>
      <c r="G312" s="149"/>
    </row>
    <row r="313">
      <c r="D313" s="148"/>
      <c r="E313" s="149"/>
      <c r="F313" s="148"/>
      <c r="G313" s="149"/>
    </row>
    <row r="314">
      <c r="D314" s="148"/>
      <c r="E314" s="149"/>
      <c r="F314" s="148"/>
      <c r="G314" s="149"/>
    </row>
    <row r="315">
      <c r="D315" s="148"/>
      <c r="E315" s="149"/>
      <c r="F315" s="148"/>
      <c r="G315" s="149"/>
    </row>
    <row r="316">
      <c r="D316" s="148"/>
      <c r="E316" s="149"/>
      <c r="F316" s="148"/>
      <c r="G316" s="149"/>
    </row>
    <row r="317">
      <c r="D317" s="148"/>
      <c r="E317" s="149"/>
      <c r="F317" s="148"/>
      <c r="G317" s="149"/>
    </row>
    <row r="318">
      <c r="D318" s="148"/>
      <c r="E318" s="149"/>
      <c r="F318" s="148"/>
      <c r="G318" s="149"/>
    </row>
    <row r="319">
      <c r="D319" s="148"/>
      <c r="E319" s="149"/>
      <c r="F319" s="148"/>
      <c r="G319" s="149"/>
    </row>
    <row r="320">
      <c r="D320" s="148"/>
      <c r="E320" s="149"/>
      <c r="F320" s="148"/>
      <c r="G320" s="149"/>
    </row>
    <row r="321">
      <c r="D321" s="148"/>
      <c r="E321" s="149"/>
      <c r="F321" s="148"/>
      <c r="G321" s="149"/>
    </row>
    <row r="322">
      <c r="D322" s="148"/>
      <c r="E322" s="149"/>
      <c r="F322" s="148"/>
      <c r="G322" s="149"/>
    </row>
    <row r="323">
      <c r="D323" s="148"/>
      <c r="E323" s="149"/>
      <c r="F323" s="148"/>
      <c r="G323" s="149"/>
    </row>
    <row r="324">
      <c r="D324" s="148"/>
      <c r="E324" s="149"/>
      <c r="F324" s="148"/>
      <c r="G324" s="149"/>
    </row>
    <row r="325">
      <c r="D325" s="148"/>
      <c r="E325" s="149"/>
      <c r="F325" s="148"/>
      <c r="G325" s="149"/>
    </row>
    <row r="326">
      <c r="D326" s="148"/>
      <c r="E326" s="149"/>
      <c r="F326" s="148"/>
      <c r="G326" s="149"/>
    </row>
    <row r="327">
      <c r="D327" s="148"/>
      <c r="E327" s="149"/>
      <c r="F327" s="148"/>
      <c r="G327" s="149"/>
    </row>
    <row r="328">
      <c r="D328" s="148"/>
      <c r="E328" s="149"/>
      <c r="F328" s="148"/>
      <c r="G328" s="149"/>
    </row>
    <row r="329">
      <c r="D329" s="148"/>
      <c r="E329" s="149"/>
      <c r="F329" s="148"/>
      <c r="G329" s="149"/>
    </row>
    <row r="330">
      <c r="D330" s="148"/>
      <c r="E330" s="149"/>
      <c r="F330" s="148"/>
      <c r="G330" s="149"/>
    </row>
    <row r="331">
      <c r="D331" s="148"/>
      <c r="E331" s="149"/>
      <c r="F331" s="148"/>
      <c r="G331" s="149"/>
    </row>
    <row r="332">
      <c r="D332" s="148"/>
      <c r="E332" s="149"/>
      <c r="F332" s="148"/>
      <c r="G332" s="149"/>
    </row>
    <row r="333">
      <c r="D333" s="148"/>
      <c r="E333" s="149"/>
      <c r="F333" s="148"/>
      <c r="G333" s="149"/>
    </row>
    <row r="334">
      <c r="D334" s="148"/>
      <c r="E334" s="149"/>
      <c r="F334" s="148"/>
      <c r="G334" s="149"/>
    </row>
    <row r="335">
      <c r="D335" s="148"/>
      <c r="E335" s="149"/>
      <c r="F335" s="148"/>
      <c r="G335" s="149"/>
    </row>
    <row r="336">
      <c r="D336" s="148"/>
      <c r="E336" s="149"/>
      <c r="F336" s="148"/>
      <c r="G336" s="149"/>
    </row>
    <row r="337">
      <c r="D337" s="148"/>
      <c r="E337" s="149"/>
      <c r="F337" s="148"/>
      <c r="G337" s="149"/>
    </row>
    <row r="338">
      <c r="D338" s="148"/>
      <c r="E338" s="149"/>
      <c r="F338" s="148"/>
      <c r="G338" s="149"/>
    </row>
    <row r="339">
      <c r="D339" s="148"/>
      <c r="E339" s="149"/>
      <c r="F339" s="148"/>
      <c r="G339" s="149"/>
    </row>
    <row r="340">
      <c r="D340" s="148"/>
      <c r="E340" s="149"/>
      <c r="F340" s="148"/>
      <c r="G340" s="149"/>
    </row>
    <row r="341">
      <c r="D341" s="148"/>
      <c r="E341" s="149"/>
      <c r="F341" s="148"/>
      <c r="G341" s="149"/>
    </row>
    <row r="342">
      <c r="D342" s="148"/>
      <c r="E342" s="149"/>
      <c r="F342" s="148"/>
      <c r="G342" s="149"/>
    </row>
    <row r="343">
      <c r="D343" s="148"/>
      <c r="E343" s="149"/>
      <c r="F343" s="148"/>
      <c r="G343" s="149"/>
    </row>
    <row r="344">
      <c r="D344" s="148"/>
      <c r="E344" s="149"/>
      <c r="F344" s="148"/>
      <c r="G344" s="149"/>
    </row>
    <row r="345">
      <c r="D345" s="148"/>
      <c r="E345" s="149"/>
      <c r="F345" s="148"/>
      <c r="G345" s="149"/>
    </row>
    <row r="346">
      <c r="D346" s="148"/>
      <c r="E346" s="149"/>
      <c r="F346" s="148"/>
      <c r="G346" s="149"/>
    </row>
    <row r="347">
      <c r="D347" s="148"/>
      <c r="E347" s="149"/>
      <c r="F347" s="148"/>
      <c r="G347" s="149"/>
    </row>
    <row r="348">
      <c r="D348" s="148"/>
      <c r="E348" s="149"/>
      <c r="F348" s="148"/>
      <c r="G348" s="149"/>
    </row>
    <row r="349">
      <c r="D349" s="148"/>
      <c r="E349" s="149"/>
      <c r="F349" s="148"/>
      <c r="G349" s="149"/>
    </row>
    <row r="350">
      <c r="D350" s="148"/>
      <c r="E350" s="149"/>
      <c r="F350" s="148"/>
      <c r="G350" s="149"/>
    </row>
    <row r="351">
      <c r="D351" s="148"/>
      <c r="E351" s="149"/>
      <c r="F351" s="148"/>
      <c r="G351" s="149"/>
    </row>
    <row r="352">
      <c r="D352" s="148"/>
      <c r="E352" s="149"/>
      <c r="F352" s="148"/>
      <c r="G352" s="149"/>
    </row>
    <row r="353">
      <c r="D353" s="148"/>
      <c r="E353" s="149"/>
      <c r="F353" s="148"/>
      <c r="G353" s="149"/>
    </row>
    <row r="354">
      <c r="D354" s="148"/>
      <c r="E354" s="149"/>
      <c r="F354" s="148"/>
      <c r="G354" s="149"/>
    </row>
    <row r="355">
      <c r="D355" s="148"/>
      <c r="E355" s="149"/>
      <c r="F355" s="148"/>
      <c r="G355" s="149"/>
    </row>
    <row r="356">
      <c r="D356" s="148"/>
      <c r="E356" s="149"/>
      <c r="F356" s="148"/>
      <c r="G356" s="149"/>
    </row>
    <row r="357">
      <c r="D357" s="148"/>
      <c r="E357" s="149"/>
      <c r="F357" s="148"/>
      <c r="G357" s="149"/>
    </row>
    <row r="358">
      <c r="D358" s="148"/>
      <c r="E358" s="149"/>
      <c r="F358" s="148"/>
      <c r="G358" s="149"/>
    </row>
    <row r="359">
      <c r="D359" s="148"/>
      <c r="E359" s="149"/>
      <c r="F359" s="148"/>
      <c r="G359" s="149"/>
    </row>
    <row r="360">
      <c r="D360" s="148"/>
      <c r="E360" s="149"/>
      <c r="F360" s="148"/>
      <c r="G360" s="149"/>
    </row>
    <row r="361">
      <c r="D361" s="148"/>
      <c r="E361" s="149"/>
      <c r="F361" s="148"/>
      <c r="G361" s="149"/>
    </row>
    <row r="362">
      <c r="D362" s="148"/>
      <c r="E362" s="149"/>
      <c r="F362" s="148"/>
      <c r="G362" s="149"/>
    </row>
    <row r="363">
      <c r="D363" s="148"/>
      <c r="E363" s="149"/>
      <c r="F363" s="148"/>
      <c r="G363" s="149"/>
    </row>
    <row r="364">
      <c r="D364" s="148"/>
      <c r="E364" s="149"/>
      <c r="F364" s="148"/>
      <c r="G364" s="149"/>
    </row>
    <row r="365">
      <c r="D365" s="148"/>
      <c r="E365" s="149"/>
      <c r="F365" s="148"/>
      <c r="G365" s="149"/>
    </row>
    <row r="366">
      <c r="D366" s="148"/>
      <c r="E366" s="149"/>
      <c r="F366" s="148"/>
      <c r="G366" s="149"/>
    </row>
    <row r="367">
      <c r="D367" s="148"/>
      <c r="E367" s="149"/>
      <c r="F367" s="148"/>
      <c r="G367" s="149"/>
    </row>
    <row r="368">
      <c r="D368" s="148"/>
      <c r="E368" s="149"/>
      <c r="F368" s="148"/>
      <c r="G368" s="149"/>
    </row>
    <row r="369">
      <c r="D369" s="148"/>
      <c r="E369" s="149"/>
      <c r="F369" s="148"/>
      <c r="G369" s="149"/>
    </row>
    <row r="370">
      <c r="D370" s="148"/>
      <c r="E370" s="149"/>
      <c r="F370" s="148"/>
      <c r="G370" s="149"/>
    </row>
    <row r="371">
      <c r="D371" s="148"/>
      <c r="E371" s="149"/>
      <c r="F371" s="148"/>
      <c r="G371" s="149"/>
    </row>
    <row r="372">
      <c r="D372" s="148"/>
      <c r="E372" s="149"/>
      <c r="F372" s="148"/>
      <c r="G372" s="149"/>
    </row>
    <row r="373">
      <c r="D373" s="148"/>
      <c r="E373" s="149"/>
      <c r="F373" s="148"/>
      <c r="G373" s="149"/>
    </row>
    <row r="374">
      <c r="D374" s="148"/>
      <c r="E374" s="149"/>
      <c r="F374" s="148"/>
      <c r="G374" s="149"/>
    </row>
    <row r="375">
      <c r="D375" s="148"/>
      <c r="E375" s="149"/>
      <c r="F375" s="148"/>
      <c r="G375" s="149"/>
    </row>
    <row r="376">
      <c r="D376" s="148"/>
      <c r="E376" s="149"/>
      <c r="F376" s="148"/>
      <c r="G376" s="149"/>
    </row>
    <row r="377">
      <c r="D377" s="148"/>
      <c r="E377" s="149"/>
      <c r="F377" s="148"/>
      <c r="G377" s="149"/>
    </row>
    <row r="378">
      <c r="D378" s="148"/>
      <c r="E378" s="149"/>
      <c r="F378" s="148"/>
      <c r="G378" s="149"/>
    </row>
    <row r="379">
      <c r="D379" s="148"/>
      <c r="E379" s="149"/>
      <c r="F379" s="148"/>
      <c r="G379" s="149"/>
    </row>
    <row r="380">
      <c r="D380" s="148"/>
      <c r="E380" s="149"/>
      <c r="F380" s="148"/>
      <c r="G380" s="149"/>
    </row>
    <row r="381">
      <c r="D381" s="148"/>
      <c r="E381" s="149"/>
      <c r="F381" s="148"/>
      <c r="G381" s="149"/>
    </row>
    <row r="382">
      <c r="D382" s="148"/>
      <c r="E382" s="149"/>
      <c r="F382" s="148"/>
      <c r="G382" s="149"/>
    </row>
    <row r="383">
      <c r="D383" s="148"/>
      <c r="E383" s="149"/>
      <c r="F383" s="148"/>
      <c r="G383" s="149"/>
    </row>
    <row r="384">
      <c r="D384" s="148"/>
      <c r="E384" s="149"/>
      <c r="F384" s="148"/>
      <c r="G384" s="149"/>
    </row>
    <row r="385">
      <c r="D385" s="148"/>
      <c r="E385" s="149"/>
      <c r="F385" s="148"/>
      <c r="G385" s="149"/>
    </row>
    <row r="386">
      <c r="D386" s="148"/>
      <c r="E386" s="149"/>
      <c r="F386" s="148"/>
      <c r="G386" s="149"/>
    </row>
    <row r="387">
      <c r="D387" s="148"/>
      <c r="E387" s="149"/>
      <c r="F387" s="148"/>
      <c r="G387" s="149"/>
    </row>
    <row r="388">
      <c r="D388" s="148"/>
      <c r="E388" s="149"/>
      <c r="F388" s="148"/>
      <c r="G388" s="149"/>
    </row>
    <row r="389">
      <c r="D389" s="148"/>
      <c r="E389" s="149"/>
      <c r="F389" s="148"/>
      <c r="G389" s="149"/>
    </row>
    <row r="390">
      <c r="D390" s="148"/>
      <c r="E390" s="149"/>
      <c r="F390" s="148"/>
      <c r="G390" s="149"/>
    </row>
    <row r="391">
      <c r="D391" s="148"/>
      <c r="E391" s="149"/>
      <c r="F391" s="148"/>
      <c r="G391" s="149"/>
    </row>
    <row r="392">
      <c r="D392" s="148"/>
      <c r="E392" s="149"/>
      <c r="F392" s="148"/>
      <c r="G392" s="149"/>
    </row>
    <row r="393">
      <c r="D393" s="148"/>
      <c r="E393" s="149"/>
      <c r="F393" s="148"/>
      <c r="G393" s="149"/>
    </row>
    <row r="394">
      <c r="D394" s="148"/>
      <c r="E394" s="149"/>
      <c r="F394" s="148"/>
      <c r="G394" s="149"/>
    </row>
    <row r="395">
      <c r="D395" s="148"/>
      <c r="E395" s="149"/>
      <c r="F395" s="148"/>
      <c r="G395" s="149"/>
    </row>
    <row r="396">
      <c r="D396" s="148"/>
      <c r="E396" s="149"/>
      <c r="F396" s="148"/>
      <c r="G396" s="149"/>
    </row>
    <row r="397">
      <c r="D397" s="148"/>
      <c r="E397" s="149"/>
      <c r="F397" s="148"/>
      <c r="G397" s="149"/>
    </row>
    <row r="398">
      <c r="D398" s="148"/>
      <c r="E398" s="149"/>
      <c r="F398" s="148"/>
      <c r="G398" s="149"/>
    </row>
    <row r="399">
      <c r="D399" s="148"/>
      <c r="E399" s="149"/>
      <c r="F399" s="148"/>
      <c r="G399" s="149"/>
    </row>
    <row r="400">
      <c r="D400" s="148"/>
      <c r="E400" s="149"/>
      <c r="F400" s="148"/>
      <c r="G400" s="149"/>
    </row>
    <row r="401">
      <c r="D401" s="148"/>
      <c r="E401" s="149"/>
      <c r="F401" s="148"/>
      <c r="G401" s="149"/>
    </row>
    <row r="402">
      <c r="D402" s="148"/>
      <c r="E402" s="149"/>
      <c r="F402" s="148"/>
      <c r="G402" s="149"/>
    </row>
    <row r="403">
      <c r="D403" s="148"/>
      <c r="E403" s="149"/>
      <c r="F403" s="148"/>
      <c r="G403" s="149"/>
    </row>
    <row r="404">
      <c r="D404" s="148"/>
      <c r="E404" s="149"/>
      <c r="F404" s="148"/>
      <c r="G404" s="149"/>
    </row>
    <row r="405">
      <c r="D405" s="148"/>
      <c r="E405" s="149"/>
      <c r="F405" s="148"/>
      <c r="G405" s="149"/>
    </row>
    <row r="406">
      <c r="D406" s="148"/>
      <c r="E406" s="149"/>
      <c r="F406" s="148"/>
      <c r="G406" s="149"/>
    </row>
    <row r="407">
      <c r="D407" s="148"/>
      <c r="E407" s="149"/>
      <c r="F407" s="148"/>
      <c r="G407" s="149"/>
    </row>
    <row r="408">
      <c r="D408" s="148"/>
      <c r="E408" s="149"/>
      <c r="F408" s="148"/>
      <c r="G408" s="149"/>
    </row>
    <row r="409">
      <c r="D409" s="148"/>
      <c r="E409" s="149"/>
      <c r="F409" s="148"/>
      <c r="G409" s="149"/>
    </row>
    <row r="410">
      <c r="D410" s="148"/>
      <c r="E410" s="149"/>
      <c r="F410" s="148"/>
      <c r="G410" s="149"/>
    </row>
    <row r="411">
      <c r="D411" s="148"/>
      <c r="E411" s="149"/>
      <c r="F411" s="148"/>
      <c r="G411" s="149"/>
    </row>
    <row r="412">
      <c r="D412" s="148"/>
      <c r="E412" s="149"/>
      <c r="F412" s="148"/>
      <c r="G412" s="149"/>
    </row>
    <row r="413">
      <c r="D413" s="148"/>
      <c r="E413" s="149"/>
      <c r="F413" s="148"/>
      <c r="G413" s="149"/>
    </row>
    <row r="414">
      <c r="D414" s="148"/>
      <c r="E414" s="149"/>
      <c r="F414" s="148"/>
      <c r="G414" s="149"/>
    </row>
    <row r="415">
      <c r="D415" s="148"/>
      <c r="E415" s="149"/>
      <c r="F415" s="148"/>
      <c r="G415" s="149"/>
    </row>
    <row r="416">
      <c r="D416" s="148"/>
      <c r="E416" s="149"/>
      <c r="F416" s="148"/>
      <c r="G416" s="149"/>
    </row>
    <row r="417">
      <c r="D417" s="148"/>
      <c r="E417" s="149"/>
      <c r="F417" s="148"/>
      <c r="G417" s="149"/>
    </row>
    <row r="418">
      <c r="D418" s="148"/>
      <c r="E418" s="149"/>
      <c r="F418" s="148"/>
      <c r="G418" s="149"/>
    </row>
    <row r="419">
      <c r="D419" s="148"/>
      <c r="E419" s="149"/>
      <c r="F419" s="148"/>
      <c r="G419" s="149"/>
    </row>
    <row r="420">
      <c r="D420" s="148"/>
      <c r="E420" s="149"/>
      <c r="F420" s="148"/>
      <c r="G420" s="149"/>
    </row>
    <row r="421">
      <c r="D421" s="148"/>
      <c r="E421" s="149"/>
      <c r="F421" s="148"/>
      <c r="G421" s="149"/>
    </row>
    <row r="422">
      <c r="D422" s="148"/>
      <c r="E422" s="149"/>
      <c r="F422" s="148"/>
      <c r="G422" s="149"/>
    </row>
    <row r="423">
      <c r="D423" s="148"/>
      <c r="E423" s="149"/>
      <c r="F423" s="148"/>
      <c r="G423" s="149"/>
    </row>
    <row r="424">
      <c r="D424" s="148"/>
      <c r="E424" s="149"/>
      <c r="F424" s="148"/>
      <c r="G424" s="149"/>
    </row>
    <row r="425">
      <c r="D425" s="148"/>
      <c r="E425" s="149"/>
      <c r="F425" s="148"/>
      <c r="G425" s="149"/>
    </row>
    <row r="426">
      <c r="D426" s="148"/>
      <c r="E426" s="149"/>
      <c r="F426" s="148"/>
      <c r="G426" s="149"/>
    </row>
    <row r="427">
      <c r="D427" s="148"/>
      <c r="E427" s="149"/>
      <c r="F427" s="148"/>
      <c r="G427" s="149"/>
    </row>
    <row r="428">
      <c r="D428" s="148"/>
      <c r="E428" s="149"/>
      <c r="F428" s="148"/>
      <c r="G428" s="149"/>
    </row>
    <row r="429">
      <c r="D429" s="148"/>
      <c r="E429" s="149"/>
      <c r="F429" s="148"/>
      <c r="G429" s="149"/>
    </row>
    <row r="430">
      <c r="D430" s="148"/>
      <c r="E430" s="149"/>
      <c r="F430" s="148"/>
      <c r="G430" s="149"/>
    </row>
    <row r="431">
      <c r="D431" s="148"/>
      <c r="E431" s="149"/>
      <c r="F431" s="148"/>
      <c r="G431" s="149"/>
    </row>
    <row r="432">
      <c r="D432" s="148"/>
      <c r="E432" s="149"/>
      <c r="F432" s="148"/>
      <c r="G432" s="149"/>
    </row>
    <row r="433">
      <c r="D433" s="148"/>
      <c r="E433" s="149"/>
      <c r="F433" s="148"/>
      <c r="G433" s="149"/>
    </row>
    <row r="434">
      <c r="D434" s="148"/>
      <c r="E434" s="149"/>
      <c r="F434" s="148"/>
      <c r="G434" s="149"/>
    </row>
    <row r="435">
      <c r="D435" s="148"/>
      <c r="E435" s="149"/>
      <c r="F435" s="148"/>
      <c r="G435" s="149"/>
    </row>
    <row r="436">
      <c r="D436" s="148"/>
      <c r="E436" s="149"/>
      <c r="F436" s="148"/>
      <c r="G436" s="149"/>
    </row>
    <row r="437">
      <c r="D437" s="148"/>
      <c r="E437" s="149"/>
      <c r="F437" s="148"/>
      <c r="G437" s="149"/>
    </row>
    <row r="438">
      <c r="D438" s="148"/>
      <c r="E438" s="149"/>
      <c r="F438" s="148"/>
      <c r="G438" s="149"/>
    </row>
    <row r="439">
      <c r="D439" s="148"/>
      <c r="E439" s="149"/>
      <c r="F439" s="148"/>
      <c r="G439" s="149"/>
    </row>
    <row r="440">
      <c r="D440" s="148"/>
      <c r="E440" s="149"/>
      <c r="F440" s="148"/>
      <c r="G440" s="149"/>
    </row>
    <row r="441">
      <c r="D441" s="148"/>
      <c r="E441" s="149"/>
      <c r="F441" s="148"/>
      <c r="G441" s="149"/>
    </row>
    <row r="442">
      <c r="D442" s="148"/>
      <c r="E442" s="149"/>
      <c r="F442" s="148"/>
      <c r="G442" s="149"/>
    </row>
    <row r="443">
      <c r="D443" s="148"/>
      <c r="E443" s="149"/>
      <c r="F443" s="148"/>
      <c r="G443" s="149"/>
    </row>
    <row r="444">
      <c r="D444" s="148"/>
      <c r="E444" s="149"/>
      <c r="F444" s="148"/>
      <c r="G444" s="149"/>
    </row>
    <row r="445">
      <c r="D445" s="148"/>
      <c r="E445" s="149"/>
      <c r="F445" s="148"/>
      <c r="G445" s="149"/>
    </row>
    <row r="446">
      <c r="D446" s="148"/>
      <c r="E446" s="149"/>
      <c r="F446" s="148"/>
      <c r="G446" s="149"/>
    </row>
    <row r="447">
      <c r="D447" s="148"/>
      <c r="E447" s="149"/>
      <c r="F447" s="148"/>
      <c r="G447" s="149"/>
    </row>
    <row r="448">
      <c r="D448" s="148"/>
      <c r="E448" s="149"/>
      <c r="F448" s="148"/>
      <c r="G448" s="149"/>
    </row>
    <row r="449">
      <c r="D449" s="148"/>
      <c r="E449" s="149"/>
      <c r="F449" s="148"/>
      <c r="G449" s="149"/>
    </row>
    <row r="450">
      <c r="D450" s="148"/>
      <c r="E450" s="149"/>
      <c r="F450" s="148"/>
      <c r="G450" s="149"/>
    </row>
    <row r="451">
      <c r="D451" s="148"/>
      <c r="E451" s="149"/>
      <c r="F451" s="148"/>
      <c r="G451" s="149"/>
    </row>
    <row r="452">
      <c r="D452" s="148"/>
      <c r="E452" s="149"/>
      <c r="F452" s="148"/>
      <c r="G452" s="149"/>
    </row>
    <row r="453">
      <c r="D453" s="148"/>
      <c r="E453" s="149"/>
      <c r="F453" s="148"/>
      <c r="G453" s="149"/>
    </row>
    <row r="454">
      <c r="D454" s="148"/>
      <c r="E454" s="149"/>
      <c r="F454" s="148"/>
      <c r="G454" s="149"/>
    </row>
    <row r="455">
      <c r="D455" s="148"/>
      <c r="E455" s="149"/>
      <c r="F455" s="148"/>
      <c r="G455" s="149"/>
    </row>
    <row r="456">
      <c r="D456" s="148"/>
      <c r="E456" s="149"/>
      <c r="F456" s="148"/>
      <c r="G456" s="149"/>
    </row>
    <row r="457">
      <c r="D457" s="148"/>
      <c r="E457" s="149"/>
      <c r="F457" s="148"/>
      <c r="G457" s="149"/>
    </row>
    <row r="458">
      <c r="D458" s="148"/>
      <c r="E458" s="149"/>
      <c r="F458" s="148"/>
      <c r="G458" s="149"/>
    </row>
    <row r="459">
      <c r="D459" s="148"/>
      <c r="E459" s="149"/>
      <c r="F459" s="148"/>
      <c r="G459" s="149"/>
    </row>
    <row r="460">
      <c r="D460" s="148"/>
      <c r="E460" s="149"/>
      <c r="F460" s="148"/>
      <c r="G460" s="149"/>
    </row>
    <row r="461">
      <c r="D461" s="148"/>
      <c r="E461" s="149"/>
      <c r="F461" s="148"/>
      <c r="G461" s="149"/>
    </row>
    <row r="462">
      <c r="D462" s="148"/>
      <c r="E462" s="149"/>
      <c r="F462" s="148"/>
      <c r="G462" s="149"/>
    </row>
    <row r="463">
      <c r="D463" s="148"/>
      <c r="E463" s="149"/>
      <c r="F463" s="148"/>
      <c r="G463" s="149"/>
    </row>
    <row r="464">
      <c r="D464" s="148"/>
      <c r="E464" s="149"/>
      <c r="F464" s="148"/>
      <c r="G464" s="149"/>
    </row>
    <row r="465">
      <c r="D465" s="148"/>
      <c r="E465" s="149"/>
      <c r="F465" s="148"/>
      <c r="G465" s="149"/>
    </row>
    <row r="466">
      <c r="D466" s="148"/>
      <c r="E466" s="149"/>
      <c r="F466" s="148"/>
      <c r="G466" s="149"/>
    </row>
    <row r="467">
      <c r="D467" s="148"/>
      <c r="E467" s="149"/>
      <c r="F467" s="148"/>
      <c r="G467" s="149"/>
    </row>
    <row r="468">
      <c r="D468" s="148"/>
      <c r="E468" s="149"/>
      <c r="F468" s="148"/>
      <c r="G468" s="149"/>
    </row>
    <row r="469">
      <c r="D469" s="148"/>
      <c r="E469" s="149"/>
      <c r="F469" s="148"/>
      <c r="G469" s="149"/>
    </row>
    <row r="470">
      <c r="D470" s="148"/>
      <c r="E470" s="149"/>
      <c r="F470" s="148"/>
      <c r="G470" s="149"/>
    </row>
    <row r="471">
      <c r="D471" s="148"/>
      <c r="E471" s="149"/>
      <c r="F471" s="148"/>
      <c r="G471" s="149"/>
    </row>
    <row r="472">
      <c r="D472" s="148"/>
      <c r="E472" s="149"/>
      <c r="F472" s="148"/>
      <c r="G472" s="149"/>
    </row>
    <row r="473">
      <c r="D473" s="148"/>
      <c r="E473" s="149"/>
      <c r="F473" s="148"/>
      <c r="G473" s="149"/>
    </row>
    <row r="474">
      <c r="D474" s="148"/>
      <c r="E474" s="149"/>
      <c r="F474" s="148"/>
      <c r="G474" s="149"/>
    </row>
    <row r="475">
      <c r="D475" s="148"/>
      <c r="E475" s="149"/>
      <c r="F475" s="148"/>
      <c r="G475" s="149"/>
    </row>
    <row r="476">
      <c r="D476" s="148"/>
      <c r="E476" s="149"/>
      <c r="F476" s="148"/>
      <c r="G476" s="149"/>
    </row>
    <row r="477">
      <c r="D477" s="148"/>
      <c r="E477" s="149"/>
      <c r="F477" s="148"/>
      <c r="G477" s="149"/>
    </row>
    <row r="478">
      <c r="D478" s="148"/>
      <c r="E478" s="149"/>
      <c r="F478" s="148"/>
      <c r="G478" s="149"/>
    </row>
    <row r="479">
      <c r="D479" s="148"/>
      <c r="E479" s="149"/>
      <c r="F479" s="148"/>
      <c r="G479" s="149"/>
    </row>
    <row r="480">
      <c r="D480" s="148"/>
      <c r="E480" s="149"/>
      <c r="F480" s="148"/>
      <c r="G480" s="149"/>
    </row>
    <row r="481">
      <c r="D481" s="148"/>
      <c r="E481" s="149"/>
      <c r="F481" s="148"/>
      <c r="G481" s="149"/>
    </row>
    <row r="482">
      <c r="D482" s="148"/>
      <c r="E482" s="149"/>
      <c r="F482" s="148"/>
      <c r="G482" s="149"/>
    </row>
    <row r="483">
      <c r="D483" s="148"/>
      <c r="E483" s="149"/>
      <c r="F483" s="148"/>
      <c r="G483" s="149"/>
    </row>
    <row r="484">
      <c r="D484" s="148"/>
      <c r="E484" s="149"/>
      <c r="F484" s="148"/>
      <c r="G484" s="149"/>
    </row>
    <row r="485">
      <c r="D485" s="148"/>
      <c r="E485" s="149"/>
      <c r="F485" s="148"/>
      <c r="G485" s="149"/>
    </row>
    <row r="486">
      <c r="D486" s="148"/>
      <c r="E486" s="149"/>
      <c r="F486" s="148"/>
      <c r="G486" s="149"/>
    </row>
    <row r="487">
      <c r="D487" s="148"/>
      <c r="E487" s="149"/>
      <c r="F487" s="148"/>
      <c r="G487" s="149"/>
    </row>
    <row r="488">
      <c r="D488" s="148"/>
      <c r="E488" s="149"/>
      <c r="F488" s="148"/>
      <c r="G488" s="149"/>
    </row>
    <row r="489">
      <c r="D489" s="148"/>
      <c r="E489" s="149"/>
      <c r="F489" s="148"/>
      <c r="G489" s="149"/>
    </row>
    <row r="490">
      <c r="D490" s="148"/>
      <c r="E490" s="149"/>
      <c r="F490" s="148"/>
      <c r="G490" s="149"/>
    </row>
    <row r="491">
      <c r="D491" s="148"/>
      <c r="E491" s="149"/>
      <c r="F491" s="148"/>
      <c r="G491" s="149"/>
    </row>
    <row r="492">
      <c r="D492" s="148"/>
      <c r="E492" s="149"/>
      <c r="F492" s="148"/>
      <c r="G492" s="149"/>
    </row>
    <row r="493">
      <c r="D493" s="148"/>
      <c r="E493" s="149"/>
      <c r="F493" s="148"/>
      <c r="G493" s="149"/>
    </row>
    <row r="494">
      <c r="D494" s="148"/>
      <c r="E494" s="149"/>
      <c r="F494" s="148"/>
      <c r="G494" s="149"/>
    </row>
    <row r="495">
      <c r="D495" s="148"/>
      <c r="E495" s="149"/>
      <c r="F495" s="148"/>
      <c r="G495" s="149"/>
    </row>
    <row r="496">
      <c r="D496" s="148"/>
      <c r="E496" s="149"/>
      <c r="F496" s="148"/>
      <c r="G496" s="149"/>
    </row>
    <row r="497">
      <c r="D497" s="148"/>
      <c r="E497" s="149"/>
      <c r="F497" s="148"/>
      <c r="G497" s="149"/>
    </row>
    <row r="498">
      <c r="D498" s="148"/>
      <c r="E498" s="149"/>
      <c r="F498" s="148"/>
      <c r="G498" s="149"/>
    </row>
    <row r="499">
      <c r="D499" s="148"/>
      <c r="E499" s="149"/>
      <c r="F499" s="148"/>
      <c r="G499" s="149"/>
    </row>
    <row r="500">
      <c r="D500" s="148"/>
      <c r="E500" s="149"/>
      <c r="F500" s="148"/>
      <c r="G500" s="149"/>
    </row>
    <row r="501">
      <c r="D501" s="148"/>
      <c r="E501" s="149"/>
      <c r="F501" s="148"/>
      <c r="G501" s="149"/>
    </row>
    <row r="502">
      <c r="D502" s="148"/>
      <c r="E502" s="149"/>
      <c r="F502" s="148"/>
      <c r="G502" s="149"/>
    </row>
    <row r="503">
      <c r="D503" s="148"/>
      <c r="E503" s="149"/>
      <c r="F503" s="148"/>
      <c r="G503" s="149"/>
    </row>
    <row r="504">
      <c r="D504" s="148"/>
      <c r="E504" s="149"/>
      <c r="F504" s="148"/>
      <c r="G504" s="149"/>
    </row>
    <row r="505">
      <c r="D505" s="148"/>
      <c r="E505" s="149"/>
      <c r="F505" s="148"/>
      <c r="G505" s="149"/>
    </row>
    <row r="506">
      <c r="D506" s="148"/>
      <c r="E506" s="149"/>
      <c r="F506" s="148"/>
      <c r="G506" s="149"/>
    </row>
    <row r="507">
      <c r="D507" s="148"/>
      <c r="E507" s="149"/>
      <c r="F507" s="148"/>
      <c r="G507" s="149"/>
    </row>
    <row r="508">
      <c r="D508" s="148"/>
      <c r="E508" s="149"/>
      <c r="F508" s="148"/>
      <c r="G508" s="149"/>
    </row>
    <row r="509">
      <c r="D509" s="148"/>
      <c r="E509" s="149"/>
      <c r="F509" s="148"/>
      <c r="G509" s="149"/>
    </row>
    <row r="510">
      <c r="D510" s="148"/>
      <c r="E510" s="149"/>
      <c r="F510" s="148"/>
      <c r="G510" s="149"/>
    </row>
    <row r="511">
      <c r="D511" s="148"/>
      <c r="E511" s="149"/>
      <c r="F511" s="148"/>
      <c r="G511" s="149"/>
    </row>
    <row r="512">
      <c r="D512" s="148"/>
      <c r="E512" s="149"/>
      <c r="F512" s="148"/>
      <c r="G512" s="149"/>
    </row>
    <row r="513">
      <c r="D513" s="148"/>
      <c r="E513" s="149"/>
      <c r="F513" s="148"/>
      <c r="G513" s="149"/>
    </row>
    <row r="514">
      <c r="D514" s="148"/>
      <c r="E514" s="149"/>
      <c r="F514" s="148"/>
      <c r="G514" s="149"/>
    </row>
    <row r="515">
      <c r="D515" s="148"/>
      <c r="E515" s="149"/>
      <c r="F515" s="148"/>
      <c r="G515" s="149"/>
    </row>
    <row r="516">
      <c r="D516" s="148"/>
      <c r="E516" s="149"/>
      <c r="F516" s="148"/>
      <c r="G516" s="149"/>
    </row>
    <row r="517">
      <c r="D517" s="148"/>
      <c r="E517" s="149"/>
      <c r="F517" s="148"/>
      <c r="G517" s="149"/>
    </row>
    <row r="518">
      <c r="D518" s="148"/>
      <c r="E518" s="149"/>
      <c r="F518" s="148"/>
      <c r="G518" s="149"/>
    </row>
    <row r="519">
      <c r="D519" s="148"/>
      <c r="E519" s="149"/>
      <c r="F519" s="148"/>
      <c r="G519" s="149"/>
    </row>
    <row r="520">
      <c r="D520" s="148"/>
      <c r="E520" s="149"/>
      <c r="F520" s="148"/>
      <c r="G520" s="149"/>
    </row>
    <row r="521">
      <c r="D521" s="148"/>
      <c r="E521" s="149"/>
      <c r="F521" s="148"/>
      <c r="G521" s="149"/>
    </row>
    <row r="522">
      <c r="D522" s="148"/>
      <c r="E522" s="149"/>
      <c r="F522" s="148"/>
      <c r="G522" s="149"/>
    </row>
    <row r="523">
      <c r="D523" s="148"/>
      <c r="E523" s="149"/>
      <c r="F523" s="148"/>
      <c r="G523" s="149"/>
    </row>
    <row r="524">
      <c r="D524" s="148"/>
      <c r="E524" s="149"/>
      <c r="F524" s="148"/>
      <c r="G524" s="149"/>
    </row>
    <row r="525">
      <c r="D525" s="148"/>
      <c r="E525" s="149"/>
      <c r="F525" s="148"/>
      <c r="G525" s="149"/>
    </row>
    <row r="526">
      <c r="D526" s="148"/>
      <c r="E526" s="149"/>
      <c r="F526" s="148"/>
      <c r="G526" s="149"/>
    </row>
    <row r="527">
      <c r="D527" s="148"/>
      <c r="E527" s="149"/>
      <c r="F527" s="148"/>
      <c r="G527" s="149"/>
    </row>
    <row r="528">
      <c r="D528" s="148"/>
      <c r="E528" s="149"/>
      <c r="F528" s="148"/>
      <c r="G528" s="149"/>
    </row>
    <row r="529">
      <c r="D529" s="148"/>
      <c r="E529" s="149"/>
      <c r="F529" s="148"/>
      <c r="G529" s="149"/>
    </row>
    <row r="530">
      <c r="D530" s="148"/>
      <c r="E530" s="149"/>
      <c r="F530" s="148"/>
      <c r="G530" s="149"/>
    </row>
    <row r="531">
      <c r="D531" s="148"/>
      <c r="E531" s="149"/>
      <c r="F531" s="148"/>
      <c r="G531" s="149"/>
    </row>
    <row r="532">
      <c r="D532" s="148"/>
      <c r="E532" s="149"/>
      <c r="F532" s="148"/>
      <c r="G532" s="149"/>
    </row>
    <row r="533">
      <c r="D533" s="148"/>
      <c r="E533" s="149"/>
      <c r="F533" s="148"/>
      <c r="G533" s="149"/>
    </row>
    <row r="534">
      <c r="D534" s="148"/>
      <c r="E534" s="149"/>
      <c r="F534" s="148"/>
      <c r="G534" s="149"/>
    </row>
    <row r="535">
      <c r="D535" s="148"/>
      <c r="E535" s="149"/>
      <c r="F535" s="148"/>
      <c r="G535" s="149"/>
    </row>
    <row r="536">
      <c r="D536" s="148"/>
      <c r="E536" s="149"/>
      <c r="F536" s="148"/>
      <c r="G536" s="149"/>
    </row>
    <row r="537">
      <c r="D537" s="148"/>
      <c r="E537" s="149"/>
      <c r="F537" s="148"/>
      <c r="G537" s="149"/>
    </row>
    <row r="538">
      <c r="D538" s="148"/>
      <c r="E538" s="149"/>
      <c r="F538" s="148"/>
      <c r="G538" s="149"/>
    </row>
    <row r="539">
      <c r="D539" s="148"/>
      <c r="E539" s="149"/>
      <c r="F539" s="148"/>
      <c r="G539" s="149"/>
    </row>
    <row r="540">
      <c r="D540" s="148"/>
      <c r="E540" s="149"/>
      <c r="F540" s="148"/>
      <c r="G540" s="149"/>
    </row>
    <row r="541">
      <c r="D541" s="148"/>
      <c r="E541" s="149"/>
      <c r="F541" s="148"/>
      <c r="G541" s="149"/>
    </row>
    <row r="542">
      <c r="D542" s="148"/>
      <c r="E542" s="149"/>
      <c r="F542" s="148"/>
      <c r="G542" s="149"/>
    </row>
    <row r="543">
      <c r="D543" s="148"/>
      <c r="E543" s="149"/>
      <c r="F543" s="148"/>
      <c r="G543" s="149"/>
    </row>
    <row r="544">
      <c r="D544" s="148"/>
      <c r="E544" s="149"/>
      <c r="F544" s="148"/>
      <c r="G544" s="149"/>
    </row>
    <row r="545">
      <c r="D545" s="148"/>
      <c r="E545" s="149"/>
      <c r="F545" s="148"/>
      <c r="G545" s="149"/>
    </row>
    <row r="546">
      <c r="D546" s="148"/>
      <c r="E546" s="149"/>
      <c r="F546" s="148"/>
      <c r="G546" s="149"/>
    </row>
    <row r="547">
      <c r="D547" s="148"/>
      <c r="E547" s="149"/>
      <c r="F547" s="148"/>
      <c r="G547" s="149"/>
    </row>
    <row r="548">
      <c r="D548" s="148"/>
      <c r="E548" s="149"/>
      <c r="F548" s="148"/>
      <c r="G548" s="149"/>
    </row>
    <row r="549">
      <c r="D549" s="148"/>
      <c r="E549" s="149"/>
      <c r="F549" s="148"/>
      <c r="G549" s="149"/>
    </row>
    <row r="550">
      <c r="D550" s="148"/>
      <c r="E550" s="149"/>
      <c r="F550" s="148"/>
      <c r="G550" s="149"/>
    </row>
    <row r="551">
      <c r="D551" s="148"/>
      <c r="E551" s="149"/>
      <c r="F551" s="148"/>
      <c r="G551" s="149"/>
    </row>
    <row r="552">
      <c r="D552" s="148"/>
      <c r="E552" s="149"/>
      <c r="F552" s="148"/>
      <c r="G552" s="149"/>
    </row>
    <row r="553">
      <c r="D553" s="148"/>
      <c r="E553" s="149"/>
      <c r="F553" s="148"/>
      <c r="G553" s="149"/>
    </row>
    <row r="554">
      <c r="D554" s="148"/>
      <c r="E554" s="149"/>
      <c r="F554" s="148"/>
      <c r="G554" s="149"/>
    </row>
    <row r="555">
      <c r="D555" s="148"/>
      <c r="E555" s="149"/>
      <c r="F555" s="148"/>
      <c r="G555" s="149"/>
    </row>
    <row r="556">
      <c r="D556" s="148"/>
      <c r="E556" s="149"/>
      <c r="F556" s="148"/>
      <c r="G556" s="149"/>
    </row>
    <row r="557">
      <c r="D557" s="148"/>
      <c r="E557" s="149"/>
      <c r="F557" s="148"/>
      <c r="G557" s="149"/>
    </row>
    <row r="558">
      <c r="D558" s="148"/>
      <c r="E558" s="149"/>
      <c r="F558" s="148"/>
      <c r="G558" s="149"/>
    </row>
    <row r="559">
      <c r="D559" s="148"/>
      <c r="E559" s="149"/>
      <c r="F559" s="148"/>
      <c r="G559" s="149"/>
    </row>
    <row r="560">
      <c r="D560" s="148"/>
      <c r="E560" s="149"/>
      <c r="F560" s="148"/>
      <c r="G560" s="149"/>
    </row>
    <row r="561">
      <c r="D561" s="148"/>
      <c r="E561" s="149"/>
      <c r="F561" s="148"/>
      <c r="G561" s="149"/>
    </row>
    <row r="562">
      <c r="D562" s="148"/>
      <c r="E562" s="149"/>
      <c r="F562" s="148"/>
      <c r="G562" s="149"/>
    </row>
    <row r="563">
      <c r="D563" s="148"/>
      <c r="E563" s="149"/>
      <c r="F563" s="148"/>
      <c r="G563" s="149"/>
    </row>
    <row r="564">
      <c r="D564" s="148"/>
      <c r="E564" s="149"/>
      <c r="F564" s="148"/>
      <c r="G564" s="149"/>
    </row>
    <row r="565">
      <c r="D565" s="148"/>
      <c r="E565" s="149"/>
      <c r="F565" s="148"/>
      <c r="G565" s="149"/>
    </row>
    <row r="566">
      <c r="D566" s="148"/>
      <c r="E566" s="149"/>
      <c r="F566" s="148"/>
      <c r="G566" s="149"/>
    </row>
    <row r="567">
      <c r="D567" s="148"/>
      <c r="E567" s="149"/>
      <c r="F567" s="148"/>
      <c r="G567" s="149"/>
    </row>
    <row r="568">
      <c r="D568" s="148"/>
      <c r="E568" s="149"/>
      <c r="F568" s="148"/>
      <c r="G568" s="149"/>
    </row>
    <row r="569">
      <c r="D569" s="148"/>
      <c r="E569" s="149"/>
      <c r="F569" s="148"/>
      <c r="G569" s="149"/>
    </row>
    <row r="570">
      <c r="D570" s="148"/>
      <c r="E570" s="149"/>
      <c r="F570" s="148"/>
      <c r="G570" s="149"/>
    </row>
    <row r="571">
      <c r="D571" s="148"/>
      <c r="E571" s="149"/>
      <c r="F571" s="148"/>
      <c r="G571" s="149"/>
    </row>
    <row r="572">
      <c r="D572" s="148"/>
      <c r="E572" s="149"/>
      <c r="F572" s="148"/>
      <c r="G572" s="149"/>
    </row>
    <row r="573">
      <c r="D573" s="148"/>
      <c r="E573" s="149"/>
      <c r="F573" s="148"/>
      <c r="G573" s="149"/>
    </row>
    <row r="574">
      <c r="D574" s="148"/>
      <c r="E574" s="149"/>
      <c r="F574" s="148"/>
      <c r="G574" s="149"/>
    </row>
    <row r="575">
      <c r="D575" s="148"/>
      <c r="E575" s="149"/>
      <c r="F575" s="148"/>
      <c r="G575" s="149"/>
    </row>
    <row r="576">
      <c r="D576" s="148"/>
      <c r="E576" s="149"/>
      <c r="F576" s="148"/>
      <c r="G576" s="149"/>
    </row>
    <row r="577">
      <c r="D577" s="148"/>
      <c r="E577" s="149"/>
      <c r="F577" s="148"/>
      <c r="G577" s="149"/>
    </row>
    <row r="578">
      <c r="D578" s="148"/>
      <c r="E578" s="149"/>
      <c r="F578" s="148"/>
      <c r="G578" s="149"/>
    </row>
    <row r="579">
      <c r="D579" s="148"/>
      <c r="E579" s="149"/>
      <c r="F579" s="148"/>
      <c r="G579" s="149"/>
    </row>
    <row r="580">
      <c r="D580" s="148"/>
      <c r="E580" s="149"/>
      <c r="F580" s="148"/>
      <c r="G580" s="149"/>
    </row>
    <row r="581">
      <c r="D581" s="148"/>
      <c r="E581" s="149"/>
      <c r="F581" s="148"/>
      <c r="G581" s="149"/>
    </row>
    <row r="582">
      <c r="D582" s="148"/>
      <c r="E582" s="149"/>
      <c r="F582" s="148"/>
      <c r="G582" s="149"/>
    </row>
    <row r="583">
      <c r="D583" s="148"/>
      <c r="E583" s="149"/>
      <c r="F583" s="148"/>
      <c r="G583" s="149"/>
    </row>
    <row r="584">
      <c r="D584" s="148"/>
      <c r="E584" s="149"/>
      <c r="F584" s="148"/>
      <c r="G584" s="149"/>
    </row>
    <row r="585">
      <c r="D585" s="148"/>
      <c r="E585" s="149"/>
      <c r="F585" s="148"/>
      <c r="G585" s="149"/>
    </row>
    <row r="586">
      <c r="D586" s="148"/>
      <c r="E586" s="149"/>
      <c r="F586" s="148"/>
      <c r="G586" s="149"/>
    </row>
    <row r="587">
      <c r="D587" s="148"/>
      <c r="E587" s="149"/>
      <c r="F587" s="148"/>
      <c r="G587" s="149"/>
    </row>
    <row r="588">
      <c r="D588" s="148"/>
      <c r="E588" s="149"/>
      <c r="F588" s="148"/>
      <c r="G588" s="149"/>
    </row>
    <row r="589">
      <c r="D589" s="148"/>
      <c r="E589" s="149"/>
      <c r="F589" s="148"/>
      <c r="G589" s="149"/>
    </row>
    <row r="590">
      <c r="D590" s="148"/>
      <c r="E590" s="149"/>
      <c r="F590" s="148"/>
      <c r="G590" s="149"/>
    </row>
    <row r="591">
      <c r="D591" s="148"/>
      <c r="E591" s="149"/>
      <c r="F591" s="148"/>
      <c r="G591" s="149"/>
    </row>
    <row r="592">
      <c r="D592" s="148"/>
      <c r="E592" s="149"/>
      <c r="F592" s="148"/>
      <c r="G592" s="149"/>
    </row>
    <row r="593">
      <c r="D593" s="148"/>
      <c r="E593" s="149"/>
      <c r="F593" s="148"/>
      <c r="G593" s="149"/>
    </row>
    <row r="594">
      <c r="D594" s="148"/>
      <c r="E594" s="149"/>
      <c r="F594" s="148"/>
      <c r="G594" s="149"/>
    </row>
    <row r="595">
      <c r="D595" s="148"/>
      <c r="E595" s="149"/>
      <c r="F595" s="148"/>
      <c r="G595" s="149"/>
    </row>
    <row r="596">
      <c r="D596" s="148"/>
      <c r="E596" s="149"/>
      <c r="F596" s="148"/>
      <c r="G596" s="149"/>
    </row>
    <row r="597">
      <c r="D597" s="148"/>
      <c r="E597" s="149"/>
      <c r="F597" s="148"/>
      <c r="G597" s="149"/>
    </row>
    <row r="598">
      <c r="D598" s="148"/>
      <c r="E598" s="149"/>
      <c r="F598" s="148"/>
      <c r="G598" s="149"/>
    </row>
    <row r="599">
      <c r="D599" s="148"/>
      <c r="E599" s="149"/>
      <c r="F599" s="148"/>
      <c r="G599" s="149"/>
    </row>
    <row r="600">
      <c r="D600" s="148"/>
      <c r="E600" s="149"/>
      <c r="F600" s="148"/>
      <c r="G600" s="149"/>
    </row>
    <row r="601">
      <c r="D601" s="148"/>
      <c r="E601" s="149"/>
      <c r="F601" s="148"/>
      <c r="G601" s="149"/>
    </row>
    <row r="602">
      <c r="D602" s="148"/>
      <c r="E602" s="149"/>
      <c r="F602" s="148"/>
      <c r="G602" s="149"/>
    </row>
    <row r="603">
      <c r="D603" s="148"/>
      <c r="E603" s="149"/>
      <c r="F603" s="148"/>
      <c r="G603" s="149"/>
    </row>
    <row r="604">
      <c r="D604" s="148"/>
      <c r="E604" s="149"/>
      <c r="F604" s="148"/>
      <c r="G604" s="149"/>
    </row>
    <row r="605">
      <c r="D605" s="148"/>
      <c r="E605" s="149"/>
      <c r="F605" s="148"/>
      <c r="G605" s="149"/>
    </row>
    <row r="606">
      <c r="D606" s="148"/>
      <c r="E606" s="149"/>
      <c r="F606" s="148"/>
      <c r="G606" s="149"/>
    </row>
    <row r="607">
      <c r="D607" s="148"/>
      <c r="E607" s="149"/>
      <c r="F607" s="148"/>
      <c r="G607" s="149"/>
    </row>
    <row r="608">
      <c r="D608" s="148"/>
      <c r="E608" s="149"/>
      <c r="F608" s="148"/>
      <c r="G608" s="149"/>
    </row>
    <row r="609">
      <c r="D609" s="148"/>
      <c r="E609" s="149"/>
      <c r="F609" s="148"/>
      <c r="G609" s="149"/>
    </row>
    <row r="610">
      <c r="D610" s="148"/>
      <c r="E610" s="149"/>
      <c r="F610" s="148"/>
      <c r="G610" s="149"/>
    </row>
    <row r="611">
      <c r="D611" s="148"/>
      <c r="E611" s="149"/>
      <c r="F611" s="148"/>
      <c r="G611" s="149"/>
    </row>
    <row r="612">
      <c r="D612" s="148"/>
      <c r="E612" s="149"/>
      <c r="F612" s="148"/>
      <c r="G612" s="149"/>
    </row>
    <row r="613">
      <c r="D613" s="148"/>
      <c r="E613" s="149"/>
      <c r="F613" s="148"/>
      <c r="G613" s="149"/>
    </row>
    <row r="614">
      <c r="D614" s="148"/>
      <c r="E614" s="149"/>
      <c r="F614" s="148"/>
      <c r="G614" s="149"/>
    </row>
    <row r="615">
      <c r="D615" s="148"/>
      <c r="E615" s="149"/>
      <c r="F615" s="148"/>
      <c r="G615" s="149"/>
    </row>
    <row r="616">
      <c r="D616" s="148"/>
      <c r="E616" s="149"/>
      <c r="F616" s="148"/>
      <c r="G616" s="149"/>
    </row>
    <row r="617">
      <c r="D617" s="148"/>
      <c r="E617" s="149"/>
      <c r="F617" s="148"/>
      <c r="G617" s="149"/>
    </row>
    <row r="618">
      <c r="D618" s="148"/>
      <c r="E618" s="149"/>
      <c r="F618" s="148"/>
      <c r="G618" s="149"/>
    </row>
    <row r="619">
      <c r="D619" s="148"/>
      <c r="E619" s="149"/>
      <c r="F619" s="148"/>
      <c r="G619" s="149"/>
    </row>
    <row r="620">
      <c r="D620" s="148"/>
      <c r="E620" s="149"/>
      <c r="F620" s="148"/>
      <c r="G620" s="149"/>
    </row>
    <row r="621">
      <c r="D621" s="148"/>
      <c r="E621" s="149"/>
      <c r="F621" s="148"/>
      <c r="G621" s="149"/>
    </row>
    <row r="622">
      <c r="D622" s="148"/>
      <c r="E622" s="149"/>
      <c r="F622" s="148"/>
      <c r="G622" s="149"/>
    </row>
    <row r="623">
      <c r="D623" s="148"/>
      <c r="E623" s="149"/>
      <c r="F623" s="148"/>
      <c r="G623" s="149"/>
    </row>
    <row r="624">
      <c r="D624" s="148"/>
      <c r="E624" s="149"/>
      <c r="F624" s="148"/>
      <c r="G624" s="149"/>
    </row>
    <row r="625">
      <c r="D625" s="148"/>
      <c r="E625" s="149"/>
      <c r="F625" s="148"/>
      <c r="G625" s="149"/>
    </row>
    <row r="626">
      <c r="D626" s="148"/>
      <c r="E626" s="149"/>
      <c r="F626" s="148"/>
      <c r="G626" s="149"/>
    </row>
    <row r="627">
      <c r="D627" s="148"/>
      <c r="E627" s="149"/>
      <c r="F627" s="148"/>
      <c r="G627" s="149"/>
    </row>
    <row r="628">
      <c r="D628" s="148"/>
      <c r="E628" s="149"/>
      <c r="F628" s="148"/>
      <c r="G628" s="149"/>
    </row>
    <row r="629">
      <c r="D629" s="148"/>
      <c r="E629" s="149"/>
      <c r="F629" s="148"/>
      <c r="G629" s="149"/>
    </row>
    <row r="630">
      <c r="D630" s="148"/>
      <c r="E630" s="149"/>
      <c r="F630" s="148"/>
      <c r="G630" s="149"/>
    </row>
    <row r="631">
      <c r="D631" s="148"/>
      <c r="E631" s="149"/>
      <c r="F631" s="148"/>
      <c r="G631" s="149"/>
    </row>
    <row r="632">
      <c r="D632" s="148"/>
      <c r="E632" s="149"/>
      <c r="F632" s="148"/>
      <c r="G632" s="149"/>
    </row>
    <row r="633">
      <c r="D633" s="148"/>
      <c r="E633" s="149"/>
      <c r="F633" s="148"/>
      <c r="G633" s="149"/>
    </row>
    <row r="634">
      <c r="D634" s="148"/>
      <c r="E634" s="149"/>
      <c r="F634" s="148"/>
      <c r="G634" s="149"/>
    </row>
    <row r="635">
      <c r="D635" s="148"/>
      <c r="E635" s="149"/>
      <c r="F635" s="148"/>
      <c r="G635" s="149"/>
    </row>
    <row r="636">
      <c r="D636" s="148"/>
      <c r="E636" s="149"/>
      <c r="F636" s="148"/>
      <c r="G636" s="149"/>
    </row>
    <row r="637">
      <c r="D637" s="148"/>
      <c r="E637" s="149"/>
      <c r="F637" s="148"/>
      <c r="G637" s="149"/>
    </row>
    <row r="638">
      <c r="D638" s="148"/>
      <c r="E638" s="149"/>
      <c r="F638" s="148"/>
      <c r="G638" s="149"/>
    </row>
    <row r="639">
      <c r="D639" s="148"/>
      <c r="E639" s="149"/>
      <c r="F639" s="148"/>
      <c r="G639" s="149"/>
    </row>
    <row r="640">
      <c r="D640" s="148"/>
      <c r="E640" s="149"/>
      <c r="F640" s="148"/>
      <c r="G640" s="149"/>
    </row>
    <row r="641">
      <c r="D641" s="148"/>
      <c r="E641" s="149"/>
      <c r="F641" s="148"/>
      <c r="G641" s="149"/>
    </row>
    <row r="642">
      <c r="D642" s="148"/>
      <c r="E642" s="149"/>
      <c r="F642" s="148"/>
      <c r="G642" s="149"/>
    </row>
    <row r="643">
      <c r="D643" s="148"/>
      <c r="E643" s="149"/>
      <c r="F643" s="148"/>
      <c r="G643" s="149"/>
    </row>
    <row r="644">
      <c r="D644" s="148"/>
      <c r="E644" s="149"/>
      <c r="F644" s="148"/>
      <c r="G644" s="149"/>
    </row>
    <row r="645">
      <c r="D645" s="148"/>
      <c r="E645" s="149"/>
      <c r="F645" s="148"/>
      <c r="G645" s="149"/>
    </row>
    <row r="646">
      <c r="D646" s="148"/>
      <c r="E646" s="149"/>
      <c r="F646" s="148"/>
      <c r="G646" s="149"/>
    </row>
    <row r="647">
      <c r="D647" s="148"/>
      <c r="E647" s="149"/>
      <c r="F647" s="148"/>
      <c r="G647" s="149"/>
    </row>
    <row r="648">
      <c r="D648" s="148"/>
      <c r="E648" s="149"/>
      <c r="F648" s="148"/>
      <c r="G648" s="149"/>
    </row>
    <row r="649">
      <c r="D649" s="148"/>
      <c r="E649" s="149"/>
      <c r="F649" s="148"/>
      <c r="G649" s="149"/>
    </row>
    <row r="650">
      <c r="D650" s="148"/>
      <c r="E650" s="149"/>
      <c r="F650" s="148"/>
      <c r="G650" s="149"/>
    </row>
    <row r="651">
      <c r="D651" s="148"/>
      <c r="E651" s="149"/>
      <c r="F651" s="148"/>
      <c r="G651" s="149"/>
    </row>
    <row r="652">
      <c r="D652" s="148"/>
      <c r="E652" s="149"/>
      <c r="F652" s="148"/>
      <c r="G652" s="149"/>
    </row>
    <row r="653">
      <c r="D653" s="148"/>
      <c r="E653" s="149"/>
      <c r="F653" s="148"/>
      <c r="G653" s="149"/>
    </row>
    <row r="654">
      <c r="D654" s="148"/>
      <c r="E654" s="149"/>
      <c r="F654" s="148"/>
      <c r="G654" s="149"/>
    </row>
    <row r="655">
      <c r="D655" s="148"/>
      <c r="E655" s="149"/>
      <c r="F655" s="148"/>
      <c r="G655" s="149"/>
    </row>
    <row r="656">
      <c r="D656" s="148"/>
      <c r="E656" s="149"/>
      <c r="F656" s="148"/>
      <c r="G656" s="149"/>
    </row>
    <row r="657">
      <c r="D657" s="148"/>
      <c r="E657" s="149"/>
      <c r="F657" s="148"/>
      <c r="G657" s="149"/>
    </row>
    <row r="658">
      <c r="D658" s="148"/>
      <c r="E658" s="149"/>
      <c r="F658" s="148"/>
      <c r="G658" s="149"/>
    </row>
    <row r="659">
      <c r="D659" s="148"/>
      <c r="E659" s="149"/>
      <c r="F659" s="148"/>
      <c r="G659" s="149"/>
    </row>
    <row r="660">
      <c r="D660" s="148"/>
      <c r="E660" s="149"/>
      <c r="F660" s="148"/>
      <c r="G660" s="149"/>
    </row>
    <row r="661">
      <c r="D661" s="148"/>
      <c r="E661" s="149"/>
      <c r="F661" s="148"/>
      <c r="G661" s="149"/>
    </row>
    <row r="662">
      <c r="D662" s="148"/>
      <c r="E662" s="149"/>
      <c r="F662" s="148"/>
      <c r="G662" s="149"/>
    </row>
    <row r="663">
      <c r="D663" s="148"/>
      <c r="E663" s="149"/>
      <c r="F663" s="148"/>
      <c r="G663" s="149"/>
    </row>
    <row r="664">
      <c r="D664" s="148"/>
      <c r="E664" s="149"/>
      <c r="F664" s="148"/>
      <c r="G664" s="149"/>
    </row>
    <row r="665">
      <c r="D665" s="148"/>
      <c r="E665" s="149"/>
      <c r="F665" s="148"/>
      <c r="G665" s="149"/>
    </row>
    <row r="666">
      <c r="D666" s="148"/>
      <c r="E666" s="149"/>
      <c r="F666" s="148"/>
      <c r="G666" s="149"/>
    </row>
    <row r="667">
      <c r="D667" s="148"/>
      <c r="E667" s="149"/>
      <c r="F667" s="148"/>
      <c r="G667" s="149"/>
    </row>
    <row r="668">
      <c r="D668" s="148"/>
      <c r="E668" s="149"/>
      <c r="F668" s="148"/>
      <c r="G668" s="149"/>
    </row>
    <row r="669">
      <c r="D669" s="148"/>
      <c r="E669" s="149"/>
      <c r="F669" s="148"/>
      <c r="G669" s="149"/>
    </row>
    <row r="670">
      <c r="D670" s="148"/>
      <c r="E670" s="149"/>
      <c r="F670" s="148"/>
      <c r="G670" s="149"/>
    </row>
    <row r="671">
      <c r="D671" s="148"/>
      <c r="E671" s="149"/>
      <c r="F671" s="148"/>
      <c r="G671" s="149"/>
    </row>
    <row r="672">
      <c r="D672" s="148"/>
      <c r="E672" s="149"/>
      <c r="F672" s="148"/>
      <c r="G672" s="149"/>
    </row>
    <row r="673">
      <c r="D673" s="148"/>
      <c r="E673" s="149"/>
      <c r="F673" s="148"/>
      <c r="G673" s="149"/>
    </row>
    <row r="674">
      <c r="D674" s="148"/>
      <c r="E674" s="149"/>
      <c r="F674" s="148"/>
      <c r="G674" s="149"/>
    </row>
    <row r="675">
      <c r="D675" s="148"/>
      <c r="E675" s="149"/>
      <c r="F675" s="148"/>
      <c r="G675" s="149"/>
    </row>
    <row r="676">
      <c r="D676" s="148"/>
      <c r="E676" s="149"/>
      <c r="F676" s="148"/>
      <c r="G676" s="149"/>
    </row>
    <row r="677">
      <c r="D677" s="148"/>
      <c r="E677" s="149"/>
      <c r="F677" s="148"/>
      <c r="G677" s="149"/>
    </row>
    <row r="678">
      <c r="D678" s="148"/>
      <c r="E678" s="149"/>
      <c r="F678" s="148"/>
      <c r="G678" s="149"/>
    </row>
    <row r="679">
      <c r="D679" s="148"/>
      <c r="E679" s="149"/>
      <c r="F679" s="148"/>
      <c r="G679" s="149"/>
    </row>
    <row r="680">
      <c r="D680" s="148"/>
      <c r="E680" s="149"/>
      <c r="F680" s="148"/>
      <c r="G680" s="149"/>
    </row>
    <row r="681">
      <c r="D681" s="148"/>
      <c r="E681" s="149"/>
      <c r="F681" s="148"/>
      <c r="G681" s="149"/>
    </row>
    <row r="682">
      <c r="D682" s="148"/>
      <c r="E682" s="149"/>
      <c r="F682" s="148"/>
      <c r="G682" s="149"/>
    </row>
    <row r="683">
      <c r="D683" s="148"/>
      <c r="E683" s="149"/>
      <c r="F683" s="148"/>
      <c r="G683" s="149"/>
    </row>
    <row r="684">
      <c r="D684" s="148"/>
      <c r="E684" s="149"/>
      <c r="F684" s="148"/>
      <c r="G684" s="149"/>
    </row>
    <row r="685">
      <c r="D685" s="148"/>
      <c r="E685" s="149"/>
      <c r="F685" s="148"/>
      <c r="G685" s="149"/>
    </row>
    <row r="686">
      <c r="D686" s="148"/>
      <c r="E686" s="149"/>
      <c r="F686" s="148"/>
      <c r="G686" s="149"/>
    </row>
    <row r="687">
      <c r="D687" s="148"/>
      <c r="E687" s="149"/>
      <c r="F687" s="148"/>
      <c r="G687" s="149"/>
    </row>
    <row r="688">
      <c r="D688" s="148"/>
      <c r="E688" s="149"/>
      <c r="F688" s="148"/>
      <c r="G688" s="149"/>
    </row>
    <row r="689">
      <c r="D689" s="148"/>
      <c r="E689" s="149"/>
      <c r="F689" s="148"/>
      <c r="G689" s="149"/>
    </row>
    <row r="690">
      <c r="D690" s="148"/>
      <c r="E690" s="149"/>
      <c r="F690" s="148"/>
      <c r="G690" s="149"/>
    </row>
    <row r="691">
      <c r="D691" s="148"/>
      <c r="E691" s="149"/>
      <c r="F691" s="148"/>
      <c r="G691" s="149"/>
    </row>
    <row r="692">
      <c r="D692" s="148"/>
      <c r="E692" s="149"/>
      <c r="F692" s="148"/>
      <c r="G692" s="149"/>
    </row>
    <row r="693">
      <c r="D693" s="148"/>
      <c r="E693" s="149"/>
      <c r="F693" s="148"/>
      <c r="G693" s="149"/>
    </row>
    <row r="694">
      <c r="D694" s="148"/>
      <c r="E694" s="149"/>
      <c r="F694" s="148"/>
      <c r="G694" s="149"/>
    </row>
    <row r="695">
      <c r="D695" s="148"/>
      <c r="E695" s="149"/>
      <c r="F695" s="148"/>
      <c r="G695" s="149"/>
    </row>
    <row r="696">
      <c r="D696" s="148"/>
      <c r="E696" s="149"/>
      <c r="F696" s="148"/>
      <c r="G696" s="149"/>
    </row>
    <row r="697">
      <c r="D697" s="148"/>
      <c r="E697" s="149"/>
      <c r="F697" s="148"/>
      <c r="G697" s="149"/>
    </row>
    <row r="698">
      <c r="D698" s="148"/>
      <c r="E698" s="149"/>
      <c r="F698" s="148"/>
      <c r="G698" s="149"/>
    </row>
    <row r="699">
      <c r="D699" s="148"/>
      <c r="E699" s="149"/>
      <c r="F699" s="148"/>
      <c r="G699" s="149"/>
    </row>
    <row r="700">
      <c r="D700" s="148"/>
      <c r="E700" s="149"/>
      <c r="F700" s="148"/>
      <c r="G700" s="149"/>
    </row>
    <row r="701">
      <c r="D701" s="148"/>
      <c r="E701" s="149"/>
      <c r="F701" s="148"/>
      <c r="G701" s="149"/>
    </row>
    <row r="702">
      <c r="D702" s="148"/>
      <c r="E702" s="149"/>
      <c r="F702" s="148"/>
      <c r="G702" s="149"/>
    </row>
    <row r="703">
      <c r="D703" s="148"/>
      <c r="E703" s="149"/>
      <c r="F703" s="148"/>
      <c r="G703" s="149"/>
    </row>
    <row r="704">
      <c r="D704" s="148"/>
      <c r="E704" s="149"/>
      <c r="F704" s="148"/>
      <c r="G704" s="149"/>
    </row>
    <row r="705">
      <c r="D705" s="148"/>
      <c r="E705" s="149"/>
      <c r="F705" s="148"/>
      <c r="G705" s="149"/>
    </row>
    <row r="706">
      <c r="D706" s="148"/>
      <c r="E706" s="149"/>
      <c r="F706" s="148"/>
      <c r="G706" s="149"/>
    </row>
    <row r="707">
      <c r="D707" s="148"/>
      <c r="E707" s="149"/>
      <c r="F707" s="148"/>
      <c r="G707" s="149"/>
    </row>
    <row r="708">
      <c r="D708" s="148"/>
      <c r="E708" s="149"/>
      <c r="F708" s="148"/>
      <c r="G708" s="149"/>
    </row>
    <row r="709">
      <c r="D709" s="148"/>
      <c r="E709" s="149"/>
      <c r="F709" s="148"/>
      <c r="G709" s="149"/>
    </row>
    <row r="710">
      <c r="D710" s="148"/>
      <c r="E710" s="149"/>
      <c r="F710" s="148"/>
      <c r="G710" s="149"/>
    </row>
    <row r="711">
      <c r="D711" s="148"/>
      <c r="E711" s="149"/>
      <c r="F711" s="148"/>
      <c r="G711" s="149"/>
    </row>
    <row r="712">
      <c r="D712" s="148"/>
      <c r="E712" s="149"/>
      <c r="F712" s="148"/>
      <c r="G712" s="149"/>
    </row>
    <row r="713">
      <c r="D713" s="148"/>
      <c r="E713" s="149"/>
      <c r="F713" s="148"/>
      <c r="G713" s="149"/>
    </row>
    <row r="714">
      <c r="D714" s="148"/>
      <c r="E714" s="149"/>
      <c r="F714" s="148"/>
      <c r="G714" s="149"/>
    </row>
    <row r="715">
      <c r="D715" s="148"/>
      <c r="E715" s="149"/>
      <c r="F715" s="148"/>
      <c r="G715" s="149"/>
    </row>
    <row r="716">
      <c r="D716" s="148"/>
      <c r="E716" s="149"/>
      <c r="F716" s="148"/>
      <c r="G716" s="149"/>
    </row>
    <row r="717">
      <c r="D717" s="148"/>
      <c r="E717" s="149"/>
      <c r="F717" s="148"/>
      <c r="G717" s="149"/>
    </row>
    <row r="718">
      <c r="D718" s="148"/>
      <c r="E718" s="149"/>
      <c r="F718" s="148"/>
      <c r="G718" s="149"/>
    </row>
    <row r="719">
      <c r="D719" s="148"/>
      <c r="E719" s="149"/>
      <c r="F719" s="148"/>
      <c r="G719" s="149"/>
    </row>
    <row r="720">
      <c r="D720" s="148"/>
      <c r="E720" s="149"/>
      <c r="F720" s="148"/>
      <c r="G720" s="149"/>
    </row>
    <row r="721">
      <c r="D721" s="148"/>
      <c r="E721" s="149"/>
      <c r="F721" s="148"/>
      <c r="G721" s="149"/>
    </row>
    <row r="722">
      <c r="D722" s="148"/>
      <c r="E722" s="149"/>
      <c r="F722" s="148"/>
      <c r="G722" s="149"/>
    </row>
    <row r="723">
      <c r="D723" s="148"/>
      <c r="E723" s="149"/>
      <c r="F723" s="148"/>
      <c r="G723" s="149"/>
    </row>
    <row r="724">
      <c r="D724" s="148"/>
      <c r="E724" s="149"/>
      <c r="F724" s="148"/>
      <c r="G724" s="149"/>
    </row>
    <row r="725">
      <c r="D725" s="148"/>
      <c r="E725" s="149"/>
      <c r="F725" s="148"/>
      <c r="G725" s="149"/>
    </row>
    <row r="726">
      <c r="D726" s="148"/>
      <c r="E726" s="149"/>
      <c r="F726" s="148"/>
      <c r="G726" s="149"/>
    </row>
    <row r="727">
      <c r="D727" s="148"/>
      <c r="E727" s="149"/>
      <c r="F727" s="148"/>
      <c r="G727" s="149"/>
    </row>
    <row r="728">
      <c r="D728" s="148"/>
      <c r="E728" s="149"/>
      <c r="F728" s="148"/>
      <c r="G728" s="149"/>
    </row>
    <row r="729">
      <c r="D729" s="148"/>
      <c r="E729" s="149"/>
      <c r="F729" s="148"/>
      <c r="G729" s="149"/>
    </row>
    <row r="730">
      <c r="D730" s="148"/>
      <c r="E730" s="149"/>
      <c r="F730" s="148"/>
      <c r="G730" s="149"/>
    </row>
    <row r="731">
      <c r="D731" s="148"/>
      <c r="E731" s="149"/>
      <c r="F731" s="148"/>
      <c r="G731" s="149"/>
    </row>
    <row r="732">
      <c r="D732" s="148"/>
      <c r="E732" s="149"/>
      <c r="F732" s="148"/>
      <c r="G732" s="149"/>
    </row>
    <row r="733">
      <c r="D733" s="148"/>
      <c r="E733" s="149"/>
      <c r="F733" s="148"/>
      <c r="G733" s="149"/>
    </row>
    <row r="734">
      <c r="D734" s="148"/>
      <c r="E734" s="149"/>
      <c r="F734" s="148"/>
      <c r="G734" s="149"/>
    </row>
    <row r="735">
      <c r="D735" s="148"/>
      <c r="E735" s="149"/>
      <c r="F735" s="148"/>
      <c r="G735" s="149"/>
    </row>
    <row r="736">
      <c r="D736" s="148"/>
      <c r="E736" s="149"/>
      <c r="F736" s="148"/>
      <c r="G736" s="149"/>
    </row>
    <row r="737">
      <c r="D737" s="148"/>
      <c r="E737" s="149"/>
      <c r="F737" s="148"/>
      <c r="G737" s="149"/>
    </row>
    <row r="738">
      <c r="D738" s="148"/>
      <c r="E738" s="149"/>
      <c r="F738" s="148"/>
      <c r="G738" s="149"/>
    </row>
    <row r="739">
      <c r="D739" s="148"/>
      <c r="E739" s="149"/>
      <c r="F739" s="148"/>
      <c r="G739" s="149"/>
    </row>
    <row r="740">
      <c r="D740" s="148"/>
      <c r="E740" s="149"/>
      <c r="F740" s="148"/>
      <c r="G740" s="149"/>
    </row>
    <row r="741">
      <c r="D741" s="148"/>
      <c r="E741" s="149"/>
      <c r="F741" s="148"/>
      <c r="G741" s="149"/>
    </row>
    <row r="742">
      <c r="D742" s="148"/>
      <c r="E742" s="149"/>
      <c r="F742" s="148"/>
      <c r="G742" s="149"/>
    </row>
    <row r="743">
      <c r="D743" s="148"/>
      <c r="E743" s="149"/>
      <c r="F743" s="148"/>
      <c r="G743" s="149"/>
    </row>
    <row r="744">
      <c r="D744" s="148"/>
      <c r="E744" s="149"/>
      <c r="F744" s="148"/>
      <c r="G744" s="149"/>
    </row>
    <row r="745">
      <c r="D745" s="148"/>
      <c r="E745" s="149"/>
      <c r="F745" s="148"/>
      <c r="G745" s="149"/>
    </row>
    <row r="746">
      <c r="D746" s="148"/>
      <c r="E746" s="149"/>
      <c r="F746" s="148"/>
      <c r="G746" s="149"/>
    </row>
    <row r="747">
      <c r="D747" s="148"/>
      <c r="E747" s="149"/>
      <c r="F747" s="148"/>
      <c r="G747" s="149"/>
    </row>
    <row r="748">
      <c r="D748" s="148"/>
      <c r="E748" s="149"/>
      <c r="F748" s="148"/>
      <c r="G748" s="149"/>
    </row>
    <row r="749">
      <c r="D749" s="148"/>
      <c r="E749" s="149"/>
      <c r="F749" s="148"/>
      <c r="G749" s="149"/>
    </row>
    <row r="750">
      <c r="D750" s="148"/>
      <c r="E750" s="149"/>
      <c r="F750" s="148"/>
      <c r="G750" s="149"/>
    </row>
    <row r="751">
      <c r="D751" s="148"/>
      <c r="E751" s="149"/>
      <c r="F751" s="148"/>
      <c r="G751" s="149"/>
    </row>
    <row r="752">
      <c r="D752" s="148"/>
      <c r="E752" s="149"/>
      <c r="F752" s="148"/>
      <c r="G752" s="149"/>
    </row>
    <row r="753">
      <c r="D753" s="148"/>
      <c r="E753" s="149"/>
      <c r="F753" s="148"/>
      <c r="G753" s="149"/>
    </row>
    <row r="754">
      <c r="D754" s="148"/>
      <c r="E754" s="149"/>
      <c r="F754" s="148"/>
      <c r="G754" s="149"/>
    </row>
    <row r="755">
      <c r="D755" s="148"/>
      <c r="E755" s="149"/>
      <c r="F755" s="148"/>
      <c r="G755" s="149"/>
    </row>
    <row r="756">
      <c r="D756" s="148"/>
      <c r="E756" s="149"/>
      <c r="F756" s="148"/>
      <c r="G756" s="149"/>
    </row>
    <row r="757">
      <c r="D757" s="148"/>
      <c r="E757" s="149"/>
      <c r="F757" s="148"/>
      <c r="G757" s="149"/>
    </row>
    <row r="758">
      <c r="D758" s="148"/>
      <c r="E758" s="149"/>
      <c r="F758" s="148"/>
      <c r="G758" s="149"/>
    </row>
    <row r="759">
      <c r="D759" s="148"/>
      <c r="E759" s="149"/>
      <c r="F759" s="148"/>
      <c r="G759" s="149"/>
    </row>
    <row r="760">
      <c r="D760" s="148"/>
      <c r="E760" s="149"/>
      <c r="F760" s="148"/>
      <c r="G760" s="149"/>
    </row>
    <row r="761">
      <c r="D761" s="148"/>
      <c r="E761" s="149"/>
      <c r="F761" s="148"/>
      <c r="G761" s="149"/>
    </row>
    <row r="762">
      <c r="D762" s="148"/>
      <c r="E762" s="149"/>
      <c r="F762" s="148"/>
      <c r="G762" s="149"/>
    </row>
    <row r="763">
      <c r="D763" s="148"/>
      <c r="E763" s="149"/>
      <c r="F763" s="148"/>
      <c r="G763" s="149"/>
    </row>
    <row r="764">
      <c r="D764" s="148"/>
      <c r="E764" s="149"/>
      <c r="F764" s="148"/>
      <c r="G764" s="149"/>
    </row>
    <row r="765">
      <c r="D765" s="148"/>
      <c r="E765" s="149"/>
      <c r="F765" s="148"/>
      <c r="G765" s="149"/>
    </row>
    <row r="766">
      <c r="D766" s="148"/>
      <c r="E766" s="149"/>
      <c r="F766" s="148"/>
      <c r="G766" s="149"/>
    </row>
    <row r="767">
      <c r="D767" s="148"/>
      <c r="E767" s="149"/>
      <c r="F767" s="148"/>
      <c r="G767" s="149"/>
    </row>
    <row r="768">
      <c r="D768" s="148"/>
      <c r="E768" s="149"/>
      <c r="F768" s="148"/>
      <c r="G768" s="149"/>
    </row>
    <row r="769">
      <c r="D769" s="148"/>
      <c r="E769" s="149"/>
      <c r="F769" s="148"/>
      <c r="G769" s="149"/>
    </row>
    <row r="770">
      <c r="D770" s="148"/>
      <c r="E770" s="149"/>
      <c r="F770" s="148"/>
      <c r="G770" s="149"/>
    </row>
    <row r="771">
      <c r="D771" s="148"/>
      <c r="E771" s="149"/>
      <c r="F771" s="148"/>
      <c r="G771" s="149"/>
    </row>
    <row r="772">
      <c r="D772" s="148"/>
      <c r="E772" s="149"/>
      <c r="F772" s="148"/>
      <c r="G772" s="149"/>
    </row>
    <row r="773">
      <c r="D773" s="148"/>
      <c r="E773" s="149"/>
      <c r="F773" s="148"/>
      <c r="G773" s="149"/>
    </row>
    <row r="774">
      <c r="D774" s="148"/>
      <c r="E774" s="149"/>
      <c r="F774" s="148"/>
      <c r="G774" s="149"/>
    </row>
    <row r="775">
      <c r="D775" s="148"/>
      <c r="E775" s="149"/>
      <c r="F775" s="148"/>
      <c r="G775" s="149"/>
    </row>
    <row r="776">
      <c r="D776" s="148"/>
      <c r="E776" s="149"/>
      <c r="F776" s="148"/>
      <c r="G776" s="149"/>
    </row>
    <row r="777">
      <c r="D777" s="148"/>
      <c r="E777" s="149"/>
      <c r="F777" s="148"/>
      <c r="G777" s="149"/>
    </row>
    <row r="778">
      <c r="D778" s="148"/>
      <c r="E778" s="149"/>
      <c r="F778" s="148"/>
      <c r="G778" s="149"/>
    </row>
    <row r="779">
      <c r="D779" s="148"/>
      <c r="E779" s="149"/>
      <c r="F779" s="148"/>
      <c r="G779" s="149"/>
    </row>
    <row r="780">
      <c r="D780" s="148"/>
      <c r="E780" s="149"/>
      <c r="F780" s="148"/>
      <c r="G780" s="149"/>
    </row>
    <row r="781">
      <c r="D781" s="148"/>
      <c r="E781" s="149"/>
      <c r="F781" s="148"/>
      <c r="G781" s="149"/>
    </row>
    <row r="782">
      <c r="D782" s="148"/>
      <c r="E782" s="149"/>
      <c r="F782" s="148"/>
      <c r="G782" s="149"/>
    </row>
    <row r="783">
      <c r="D783" s="148"/>
      <c r="E783" s="149"/>
      <c r="F783" s="148"/>
      <c r="G783" s="149"/>
    </row>
    <row r="784">
      <c r="D784" s="148"/>
      <c r="E784" s="149"/>
      <c r="F784" s="148"/>
      <c r="G784" s="149"/>
    </row>
    <row r="785">
      <c r="D785" s="148"/>
      <c r="E785" s="149"/>
      <c r="F785" s="148"/>
      <c r="G785" s="149"/>
    </row>
    <row r="786">
      <c r="D786" s="148"/>
      <c r="E786" s="149"/>
      <c r="F786" s="148"/>
      <c r="G786" s="149"/>
    </row>
    <row r="787">
      <c r="D787" s="148"/>
      <c r="E787" s="149"/>
      <c r="F787" s="148"/>
      <c r="G787" s="149"/>
    </row>
    <row r="788">
      <c r="D788" s="148"/>
      <c r="E788" s="149"/>
      <c r="F788" s="148"/>
      <c r="G788" s="149"/>
    </row>
    <row r="789">
      <c r="D789" s="148"/>
      <c r="E789" s="149"/>
      <c r="F789" s="148"/>
      <c r="G789" s="149"/>
    </row>
    <row r="790">
      <c r="D790" s="148"/>
      <c r="E790" s="149"/>
      <c r="F790" s="148"/>
      <c r="G790" s="149"/>
    </row>
    <row r="791">
      <c r="D791" s="148"/>
      <c r="E791" s="149"/>
      <c r="F791" s="148"/>
      <c r="G791" s="149"/>
    </row>
    <row r="792">
      <c r="D792" s="148"/>
      <c r="E792" s="149"/>
      <c r="F792" s="148"/>
      <c r="G792" s="149"/>
    </row>
    <row r="793">
      <c r="D793" s="148"/>
      <c r="E793" s="149"/>
      <c r="F793" s="148"/>
      <c r="G793" s="149"/>
    </row>
    <row r="794">
      <c r="D794" s="148"/>
      <c r="E794" s="149"/>
      <c r="F794" s="148"/>
      <c r="G794" s="149"/>
    </row>
    <row r="795">
      <c r="D795" s="148"/>
      <c r="E795" s="149"/>
      <c r="F795" s="148"/>
      <c r="G795" s="149"/>
    </row>
    <row r="796">
      <c r="D796" s="148"/>
      <c r="E796" s="149"/>
      <c r="F796" s="148"/>
      <c r="G796" s="149"/>
    </row>
    <row r="797">
      <c r="D797" s="148"/>
      <c r="E797" s="149"/>
      <c r="F797" s="148"/>
      <c r="G797" s="149"/>
    </row>
    <row r="798">
      <c r="D798" s="148"/>
      <c r="E798" s="149"/>
      <c r="F798" s="148"/>
      <c r="G798" s="149"/>
    </row>
    <row r="799">
      <c r="D799" s="148"/>
      <c r="E799" s="149"/>
      <c r="F799" s="148"/>
      <c r="G799" s="149"/>
    </row>
    <row r="800">
      <c r="D800" s="148"/>
      <c r="E800" s="149"/>
      <c r="F800" s="148"/>
      <c r="G800" s="149"/>
    </row>
    <row r="801">
      <c r="D801" s="148"/>
      <c r="E801" s="149"/>
      <c r="F801" s="148"/>
      <c r="G801" s="149"/>
    </row>
    <row r="802">
      <c r="D802" s="148"/>
      <c r="E802" s="149"/>
      <c r="F802" s="148"/>
      <c r="G802" s="149"/>
    </row>
    <row r="803">
      <c r="D803" s="148"/>
      <c r="E803" s="149"/>
      <c r="F803" s="148"/>
      <c r="G803" s="149"/>
    </row>
    <row r="804">
      <c r="D804" s="148"/>
      <c r="E804" s="149"/>
      <c r="F804" s="148"/>
      <c r="G804" s="149"/>
    </row>
    <row r="805">
      <c r="D805" s="148"/>
      <c r="E805" s="149"/>
      <c r="F805" s="148"/>
      <c r="G805" s="149"/>
    </row>
    <row r="806">
      <c r="D806" s="148"/>
      <c r="E806" s="149"/>
      <c r="F806" s="148"/>
      <c r="G806" s="149"/>
    </row>
    <row r="807">
      <c r="D807" s="148"/>
      <c r="E807" s="149"/>
      <c r="F807" s="148"/>
      <c r="G807" s="149"/>
    </row>
    <row r="808">
      <c r="D808" s="148"/>
      <c r="E808" s="149"/>
      <c r="F808" s="148"/>
      <c r="G808" s="149"/>
    </row>
    <row r="809">
      <c r="D809" s="148"/>
      <c r="E809" s="149"/>
      <c r="F809" s="148"/>
      <c r="G809" s="149"/>
    </row>
    <row r="810">
      <c r="D810" s="148"/>
      <c r="E810" s="149"/>
      <c r="F810" s="148"/>
      <c r="G810" s="149"/>
    </row>
    <row r="811">
      <c r="D811" s="148"/>
      <c r="E811" s="149"/>
      <c r="F811" s="148"/>
      <c r="G811" s="149"/>
    </row>
    <row r="812">
      <c r="D812" s="148"/>
      <c r="E812" s="149"/>
      <c r="F812" s="148"/>
      <c r="G812" s="149"/>
    </row>
    <row r="813">
      <c r="D813" s="148"/>
      <c r="E813" s="149"/>
      <c r="F813" s="148"/>
      <c r="G813" s="149"/>
    </row>
    <row r="814">
      <c r="D814" s="148"/>
      <c r="E814" s="149"/>
      <c r="F814" s="148"/>
      <c r="G814" s="149"/>
    </row>
    <row r="815">
      <c r="D815" s="148"/>
      <c r="E815" s="149"/>
      <c r="F815" s="148"/>
      <c r="G815" s="149"/>
    </row>
    <row r="816">
      <c r="D816" s="148"/>
      <c r="E816" s="149"/>
      <c r="F816" s="148"/>
      <c r="G816" s="149"/>
    </row>
    <row r="817">
      <c r="D817" s="148"/>
      <c r="E817" s="149"/>
      <c r="F817" s="148"/>
      <c r="G817" s="149"/>
    </row>
    <row r="818">
      <c r="D818" s="148"/>
      <c r="E818" s="149"/>
      <c r="F818" s="148"/>
      <c r="G818" s="149"/>
    </row>
    <row r="819">
      <c r="D819" s="148"/>
      <c r="E819" s="149"/>
      <c r="F819" s="148"/>
      <c r="G819" s="149"/>
    </row>
    <row r="820">
      <c r="D820" s="148"/>
      <c r="E820" s="149"/>
      <c r="F820" s="148"/>
      <c r="G820" s="149"/>
    </row>
    <row r="821">
      <c r="D821" s="148"/>
      <c r="E821" s="149"/>
      <c r="F821" s="148"/>
      <c r="G821" s="149"/>
    </row>
    <row r="822">
      <c r="D822" s="148"/>
      <c r="E822" s="149"/>
      <c r="F822" s="148"/>
      <c r="G822" s="149"/>
    </row>
    <row r="823">
      <c r="D823" s="148"/>
      <c r="E823" s="149"/>
      <c r="F823" s="148"/>
      <c r="G823" s="149"/>
    </row>
    <row r="824">
      <c r="D824" s="148"/>
      <c r="E824" s="149"/>
      <c r="F824" s="148"/>
      <c r="G824" s="149"/>
    </row>
    <row r="825">
      <c r="D825" s="148"/>
      <c r="E825" s="149"/>
      <c r="F825" s="148"/>
      <c r="G825" s="149"/>
    </row>
    <row r="826">
      <c r="D826" s="148"/>
      <c r="E826" s="149"/>
      <c r="F826" s="148"/>
      <c r="G826" s="149"/>
    </row>
    <row r="827">
      <c r="D827" s="148"/>
      <c r="E827" s="149"/>
      <c r="F827" s="148"/>
      <c r="G827" s="149"/>
    </row>
    <row r="828">
      <c r="D828" s="148"/>
      <c r="E828" s="149"/>
      <c r="F828" s="148"/>
      <c r="G828" s="149"/>
    </row>
    <row r="829">
      <c r="D829" s="148"/>
      <c r="E829" s="149"/>
      <c r="F829" s="148"/>
      <c r="G829" s="149"/>
    </row>
    <row r="830">
      <c r="D830" s="148"/>
      <c r="E830" s="149"/>
      <c r="F830" s="148"/>
      <c r="G830" s="149"/>
    </row>
    <row r="831">
      <c r="D831" s="148"/>
      <c r="E831" s="149"/>
      <c r="F831" s="148"/>
      <c r="G831" s="149"/>
    </row>
    <row r="832">
      <c r="D832" s="148"/>
      <c r="E832" s="149"/>
      <c r="F832" s="148"/>
      <c r="G832" s="149"/>
    </row>
    <row r="833">
      <c r="D833" s="148"/>
      <c r="E833" s="149"/>
      <c r="F833" s="148"/>
      <c r="G833" s="149"/>
    </row>
    <row r="834">
      <c r="D834" s="148"/>
      <c r="E834" s="149"/>
      <c r="F834" s="148"/>
      <c r="G834" s="149"/>
    </row>
    <row r="835">
      <c r="D835" s="148"/>
      <c r="E835" s="149"/>
      <c r="F835" s="148"/>
      <c r="G835" s="149"/>
    </row>
    <row r="836">
      <c r="D836" s="148"/>
      <c r="E836" s="149"/>
      <c r="F836" s="148"/>
      <c r="G836" s="149"/>
    </row>
    <row r="837">
      <c r="D837" s="148"/>
      <c r="E837" s="149"/>
      <c r="F837" s="148"/>
      <c r="G837" s="149"/>
    </row>
    <row r="838">
      <c r="D838" s="148"/>
      <c r="E838" s="149"/>
      <c r="F838" s="148"/>
      <c r="G838" s="149"/>
    </row>
    <row r="839">
      <c r="D839" s="148"/>
      <c r="E839" s="149"/>
      <c r="F839" s="148"/>
      <c r="G839" s="149"/>
    </row>
    <row r="840">
      <c r="D840" s="148"/>
      <c r="E840" s="149"/>
      <c r="F840" s="148"/>
      <c r="G840" s="149"/>
    </row>
    <row r="841">
      <c r="D841" s="148"/>
      <c r="E841" s="149"/>
      <c r="F841" s="148"/>
      <c r="G841" s="149"/>
    </row>
    <row r="842">
      <c r="D842" s="148"/>
      <c r="E842" s="149"/>
      <c r="F842" s="148"/>
      <c r="G842" s="149"/>
    </row>
    <row r="843">
      <c r="D843" s="148"/>
      <c r="E843" s="149"/>
      <c r="F843" s="148"/>
      <c r="G843" s="149"/>
    </row>
    <row r="844">
      <c r="D844" s="148"/>
      <c r="E844" s="149"/>
      <c r="F844" s="148"/>
      <c r="G844" s="149"/>
    </row>
    <row r="845">
      <c r="D845" s="148"/>
      <c r="E845" s="149"/>
      <c r="F845" s="148"/>
      <c r="G845" s="149"/>
    </row>
    <row r="846">
      <c r="D846" s="148"/>
      <c r="E846" s="149"/>
      <c r="F846" s="148"/>
      <c r="G846" s="149"/>
    </row>
    <row r="847">
      <c r="D847" s="148"/>
      <c r="E847" s="149"/>
      <c r="F847" s="148"/>
      <c r="G847" s="149"/>
    </row>
    <row r="848">
      <c r="D848" s="148"/>
      <c r="E848" s="149"/>
      <c r="F848" s="148"/>
      <c r="G848" s="149"/>
    </row>
    <row r="849">
      <c r="D849" s="148"/>
      <c r="E849" s="149"/>
      <c r="F849" s="148"/>
      <c r="G849" s="149"/>
    </row>
    <row r="850">
      <c r="D850" s="148"/>
      <c r="E850" s="149"/>
      <c r="F850" s="148"/>
      <c r="G850" s="149"/>
    </row>
    <row r="851">
      <c r="D851" s="148"/>
      <c r="E851" s="149"/>
      <c r="F851" s="148"/>
      <c r="G851" s="149"/>
    </row>
    <row r="852">
      <c r="D852" s="148"/>
      <c r="E852" s="149"/>
      <c r="F852" s="148"/>
      <c r="G852" s="149"/>
    </row>
    <row r="853">
      <c r="D853" s="148"/>
      <c r="E853" s="149"/>
      <c r="F853" s="148"/>
      <c r="G853" s="149"/>
    </row>
    <row r="854">
      <c r="D854" s="148"/>
      <c r="E854" s="149"/>
      <c r="F854" s="148"/>
      <c r="G854" s="149"/>
    </row>
    <row r="855">
      <c r="D855" s="148"/>
      <c r="E855" s="149"/>
      <c r="F855" s="148"/>
      <c r="G855" s="149"/>
    </row>
    <row r="856">
      <c r="D856" s="148"/>
      <c r="E856" s="149"/>
      <c r="F856" s="148"/>
      <c r="G856" s="149"/>
    </row>
    <row r="857">
      <c r="D857" s="148"/>
      <c r="E857" s="149"/>
      <c r="F857" s="148"/>
      <c r="G857" s="149"/>
    </row>
    <row r="858">
      <c r="D858" s="148"/>
      <c r="E858" s="149"/>
      <c r="F858" s="148"/>
      <c r="G858" s="149"/>
    </row>
    <row r="859">
      <c r="D859" s="148"/>
      <c r="E859" s="149"/>
      <c r="F859" s="148"/>
      <c r="G859" s="149"/>
    </row>
    <row r="860">
      <c r="D860" s="148"/>
      <c r="E860" s="149"/>
      <c r="F860" s="148"/>
      <c r="G860" s="149"/>
    </row>
    <row r="861">
      <c r="D861" s="148"/>
      <c r="E861" s="149"/>
      <c r="F861" s="148"/>
      <c r="G861" s="149"/>
    </row>
    <row r="862">
      <c r="D862" s="148"/>
      <c r="E862" s="149"/>
      <c r="F862" s="148"/>
      <c r="G862" s="149"/>
    </row>
    <row r="863">
      <c r="D863" s="148"/>
      <c r="E863" s="149"/>
      <c r="F863" s="148"/>
      <c r="G863" s="149"/>
    </row>
    <row r="864">
      <c r="D864" s="148"/>
      <c r="E864" s="149"/>
      <c r="F864" s="148"/>
      <c r="G864" s="149"/>
    </row>
    <row r="865">
      <c r="D865" s="148"/>
      <c r="E865" s="149"/>
      <c r="F865" s="148"/>
      <c r="G865" s="149"/>
    </row>
    <row r="866">
      <c r="D866" s="148"/>
      <c r="E866" s="149"/>
      <c r="F866" s="148"/>
      <c r="G866" s="149"/>
    </row>
    <row r="867">
      <c r="D867" s="148"/>
      <c r="E867" s="149"/>
      <c r="F867" s="148"/>
      <c r="G867" s="149"/>
    </row>
    <row r="868">
      <c r="D868" s="148"/>
      <c r="E868" s="149"/>
      <c r="F868" s="148"/>
      <c r="G868" s="149"/>
    </row>
    <row r="869">
      <c r="D869" s="148"/>
      <c r="E869" s="149"/>
      <c r="F869" s="148"/>
      <c r="G869" s="149"/>
    </row>
    <row r="870">
      <c r="D870" s="148"/>
      <c r="E870" s="149"/>
      <c r="F870" s="148"/>
      <c r="G870" s="149"/>
    </row>
    <row r="871">
      <c r="D871" s="148"/>
      <c r="E871" s="149"/>
      <c r="F871" s="148"/>
      <c r="G871" s="149"/>
    </row>
    <row r="872">
      <c r="D872" s="148"/>
      <c r="E872" s="149"/>
      <c r="F872" s="148"/>
      <c r="G872" s="149"/>
    </row>
    <row r="873">
      <c r="D873" s="148"/>
      <c r="E873" s="149"/>
      <c r="F873" s="148"/>
      <c r="G873" s="149"/>
    </row>
    <row r="874">
      <c r="D874" s="148"/>
      <c r="E874" s="149"/>
      <c r="F874" s="148"/>
      <c r="G874" s="149"/>
    </row>
    <row r="875">
      <c r="D875" s="148"/>
      <c r="E875" s="149"/>
      <c r="F875" s="148"/>
      <c r="G875" s="149"/>
    </row>
    <row r="876">
      <c r="D876" s="148"/>
      <c r="E876" s="149"/>
      <c r="F876" s="148"/>
      <c r="G876" s="149"/>
    </row>
    <row r="877">
      <c r="D877" s="148"/>
      <c r="E877" s="149"/>
      <c r="F877" s="148"/>
      <c r="G877" s="149"/>
    </row>
    <row r="878">
      <c r="D878" s="148"/>
      <c r="E878" s="149"/>
      <c r="F878" s="148"/>
      <c r="G878" s="149"/>
    </row>
    <row r="879">
      <c r="D879" s="148"/>
      <c r="E879" s="149"/>
      <c r="F879" s="148"/>
      <c r="G879" s="149"/>
    </row>
    <row r="880">
      <c r="D880" s="148"/>
      <c r="E880" s="149"/>
      <c r="F880" s="148"/>
      <c r="G880" s="149"/>
    </row>
    <row r="881">
      <c r="D881" s="148"/>
      <c r="E881" s="149"/>
      <c r="F881" s="148"/>
      <c r="G881" s="149"/>
    </row>
    <row r="882">
      <c r="D882" s="148"/>
      <c r="E882" s="149"/>
      <c r="F882" s="148"/>
      <c r="G882" s="149"/>
    </row>
    <row r="883">
      <c r="D883" s="148"/>
      <c r="E883" s="149"/>
      <c r="F883" s="148"/>
      <c r="G883" s="149"/>
    </row>
    <row r="884">
      <c r="D884" s="148"/>
      <c r="E884" s="149"/>
      <c r="F884" s="148"/>
      <c r="G884" s="149"/>
    </row>
    <row r="885">
      <c r="D885" s="148"/>
      <c r="E885" s="149"/>
      <c r="F885" s="148"/>
      <c r="G885" s="149"/>
    </row>
    <row r="886">
      <c r="D886" s="148"/>
      <c r="E886" s="149"/>
      <c r="F886" s="148"/>
      <c r="G886" s="149"/>
    </row>
    <row r="887">
      <c r="D887" s="148"/>
      <c r="E887" s="149"/>
      <c r="F887" s="148"/>
      <c r="G887" s="149"/>
    </row>
    <row r="888">
      <c r="D888" s="148"/>
      <c r="E888" s="149"/>
      <c r="F888" s="148"/>
      <c r="G888" s="149"/>
    </row>
    <row r="889">
      <c r="D889" s="148"/>
      <c r="E889" s="149"/>
      <c r="F889" s="148"/>
      <c r="G889" s="149"/>
    </row>
    <row r="890">
      <c r="D890" s="148"/>
      <c r="E890" s="149"/>
      <c r="F890" s="148"/>
      <c r="G890" s="149"/>
    </row>
    <row r="891">
      <c r="D891" s="148"/>
      <c r="E891" s="149"/>
      <c r="F891" s="148"/>
      <c r="G891" s="149"/>
    </row>
    <row r="892">
      <c r="D892" s="148"/>
      <c r="E892" s="149"/>
      <c r="F892" s="148"/>
      <c r="G892" s="149"/>
    </row>
    <row r="893">
      <c r="D893" s="148"/>
      <c r="E893" s="149"/>
      <c r="F893" s="148"/>
      <c r="G893" s="149"/>
    </row>
    <row r="894">
      <c r="D894" s="148"/>
      <c r="E894" s="149"/>
      <c r="F894" s="148"/>
      <c r="G894" s="149"/>
    </row>
    <row r="895">
      <c r="D895" s="148"/>
      <c r="E895" s="149"/>
      <c r="F895" s="148"/>
      <c r="G895" s="149"/>
    </row>
    <row r="896">
      <c r="D896" s="148"/>
      <c r="E896" s="149"/>
      <c r="F896" s="148"/>
      <c r="G896" s="149"/>
    </row>
    <row r="897">
      <c r="D897" s="148"/>
      <c r="E897" s="149"/>
      <c r="F897" s="148"/>
      <c r="G897" s="149"/>
    </row>
    <row r="898">
      <c r="D898" s="148"/>
      <c r="E898" s="149"/>
      <c r="F898" s="148"/>
      <c r="G898" s="149"/>
    </row>
    <row r="899">
      <c r="D899" s="148"/>
      <c r="E899" s="149"/>
      <c r="F899" s="148"/>
      <c r="G899" s="149"/>
    </row>
    <row r="900">
      <c r="D900" s="148"/>
      <c r="E900" s="149"/>
      <c r="F900" s="148"/>
      <c r="G900" s="149"/>
    </row>
    <row r="901">
      <c r="D901" s="148"/>
      <c r="E901" s="149"/>
      <c r="F901" s="148"/>
      <c r="G901" s="149"/>
    </row>
    <row r="902">
      <c r="D902" s="148"/>
      <c r="E902" s="149"/>
      <c r="F902" s="148"/>
      <c r="G902" s="149"/>
    </row>
    <row r="903">
      <c r="D903" s="148"/>
      <c r="E903" s="149"/>
      <c r="F903" s="148"/>
      <c r="G903" s="149"/>
    </row>
    <row r="904">
      <c r="D904" s="148"/>
      <c r="E904" s="149"/>
      <c r="F904" s="148"/>
      <c r="G904" s="149"/>
    </row>
    <row r="905">
      <c r="D905" s="148"/>
      <c r="E905" s="149"/>
      <c r="F905" s="148"/>
      <c r="G905" s="149"/>
    </row>
    <row r="906">
      <c r="D906" s="148"/>
      <c r="E906" s="149"/>
      <c r="F906" s="148"/>
      <c r="G906" s="149"/>
    </row>
    <row r="907">
      <c r="D907" s="148"/>
      <c r="E907" s="149"/>
      <c r="F907" s="148"/>
      <c r="G907" s="149"/>
    </row>
    <row r="908">
      <c r="D908" s="148"/>
      <c r="E908" s="149"/>
      <c r="F908" s="148"/>
      <c r="G908" s="149"/>
    </row>
    <row r="909">
      <c r="D909" s="148"/>
      <c r="E909" s="149"/>
      <c r="F909" s="148"/>
      <c r="G909" s="149"/>
    </row>
    <row r="910">
      <c r="D910" s="148"/>
      <c r="E910" s="149"/>
      <c r="F910" s="148"/>
      <c r="G910" s="149"/>
    </row>
    <row r="911">
      <c r="D911" s="148"/>
      <c r="E911" s="149"/>
      <c r="F911" s="148"/>
      <c r="G911" s="149"/>
    </row>
    <row r="912">
      <c r="D912" s="148"/>
      <c r="E912" s="149"/>
      <c r="F912" s="148"/>
      <c r="G912" s="149"/>
    </row>
    <row r="913">
      <c r="D913" s="148"/>
      <c r="E913" s="149"/>
      <c r="F913" s="148"/>
      <c r="G913" s="149"/>
    </row>
    <row r="914">
      <c r="D914" s="148"/>
      <c r="E914" s="149"/>
      <c r="F914" s="148"/>
      <c r="G914" s="149"/>
    </row>
    <row r="915">
      <c r="D915" s="148"/>
      <c r="E915" s="149"/>
      <c r="F915" s="148"/>
      <c r="G915" s="149"/>
    </row>
    <row r="916">
      <c r="D916" s="148"/>
      <c r="E916" s="149"/>
      <c r="F916" s="148"/>
      <c r="G916" s="149"/>
    </row>
    <row r="917">
      <c r="D917" s="148"/>
      <c r="E917" s="149"/>
      <c r="F917" s="148"/>
      <c r="G917" s="149"/>
    </row>
    <row r="918">
      <c r="D918" s="148"/>
      <c r="E918" s="149"/>
      <c r="F918" s="148"/>
      <c r="G918" s="149"/>
    </row>
    <row r="919">
      <c r="D919" s="148"/>
      <c r="E919" s="149"/>
      <c r="F919" s="148"/>
      <c r="G919" s="149"/>
    </row>
    <row r="920">
      <c r="D920" s="148"/>
      <c r="E920" s="149"/>
      <c r="F920" s="148"/>
      <c r="G920" s="149"/>
    </row>
    <row r="921">
      <c r="D921" s="148"/>
      <c r="E921" s="149"/>
      <c r="F921" s="148"/>
      <c r="G921" s="149"/>
    </row>
    <row r="922">
      <c r="D922" s="148"/>
      <c r="E922" s="149"/>
      <c r="F922" s="148"/>
      <c r="G922" s="149"/>
    </row>
    <row r="923">
      <c r="D923" s="148"/>
      <c r="E923" s="149"/>
      <c r="F923" s="148"/>
      <c r="G923" s="149"/>
    </row>
    <row r="924">
      <c r="D924" s="148"/>
      <c r="E924" s="149"/>
      <c r="F924" s="148"/>
      <c r="G924" s="149"/>
    </row>
    <row r="925">
      <c r="D925" s="148"/>
      <c r="E925" s="149"/>
      <c r="F925" s="148"/>
      <c r="G925" s="149"/>
    </row>
    <row r="926">
      <c r="D926" s="148"/>
      <c r="E926" s="149"/>
      <c r="F926" s="148"/>
      <c r="G926" s="149"/>
    </row>
    <row r="927">
      <c r="D927" s="148"/>
      <c r="E927" s="149"/>
      <c r="F927" s="148"/>
      <c r="G927" s="149"/>
    </row>
    <row r="928">
      <c r="D928" s="148"/>
      <c r="E928" s="149"/>
      <c r="F928" s="148"/>
      <c r="G928" s="149"/>
    </row>
    <row r="929">
      <c r="D929" s="148"/>
      <c r="E929" s="149"/>
      <c r="F929" s="148"/>
      <c r="G929" s="149"/>
    </row>
    <row r="930">
      <c r="D930" s="148"/>
      <c r="E930" s="149"/>
      <c r="F930" s="148"/>
      <c r="G930" s="149"/>
    </row>
    <row r="931">
      <c r="D931" s="148"/>
      <c r="E931" s="149"/>
      <c r="F931" s="148"/>
      <c r="G931" s="149"/>
    </row>
    <row r="932">
      <c r="D932" s="148"/>
      <c r="E932" s="149"/>
      <c r="F932" s="148"/>
      <c r="G932" s="149"/>
    </row>
    <row r="933">
      <c r="D933" s="148"/>
      <c r="E933" s="149"/>
      <c r="F933" s="148"/>
      <c r="G933" s="149"/>
    </row>
    <row r="934">
      <c r="D934" s="148"/>
      <c r="E934" s="149"/>
      <c r="F934" s="148"/>
      <c r="G934" s="149"/>
    </row>
    <row r="935">
      <c r="D935" s="148"/>
      <c r="E935" s="149"/>
      <c r="F935" s="148"/>
      <c r="G935" s="149"/>
    </row>
    <row r="936">
      <c r="D936" s="148"/>
      <c r="E936" s="149"/>
      <c r="F936" s="148"/>
      <c r="G936" s="149"/>
    </row>
    <row r="937">
      <c r="D937" s="148"/>
      <c r="E937" s="149"/>
      <c r="F937" s="148"/>
      <c r="G937" s="149"/>
    </row>
    <row r="938">
      <c r="D938" s="148"/>
      <c r="E938" s="149"/>
      <c r="F938" s="148"/>
      <c r="G938" s="149"/>
    </row>
    <row r="939">
      <c r="D939" s="148"/>
      <c r="E939" s="149"/>
      <c r="F939" s="148"/>
      <c r="G939" s="149"/>
    </row>
    <row r="940">
      <c r="D940" s="148"/>
      <c r="E940" s="149"/>
      <c r="F940" s="148"/>
      <c r="G940" s="149"/>
    </row>
    <row r="941">
      <c r="D941" s="148"/>
      <c r="E941" s="149"/>
      <c r="F941" s="148"/>
      <c r="G941" s="149"/>
    </row>
    <row r="942">
      <c r="D942" s="148"/>
      <c r="E942" s="149"/>
      <c r="F942" s="148"/>
      <c r="G942" s="149"/>
    </row>
    <row r="943">
      <c r="D943" s="148"/>
      <c r="E943" s="149"/>
      <c r="F943" s="148"/>
      <c r="G943" s="149"/>
    </row>
    <row r="944">
      <c r="D944" s="148"/>
      <c r="E944" s="149"/>
      <c r="F944" s="148"/>
      <c r="G944" s="149"/>
    </row>
    <row r="945">
      <c r="D945" s="148"/>
      <c r="E945" s="149"/>
      <c r="F945" s="148"/>
      <c r="G945" s="149"/>
    </row>
    <row r="946">
      <c r="D946" s="148"/>
      <c r="E946" s="149"/>
      <c r="F946" s="148"/>
      <c r="G946" s="149"/>
    </row>
    <row r="947">
      <c r="D947" s="148"/>
      <c r="E947" s="149"/>
      <c r="F947" s="148"/>
      <c r="G947" s="149"/>
    </row>
    <row r="948">
      <c r="D948" s="148"/>
      <c r="E948" s="149"/>
      <c r="F948" s="148"/>
      <c r="G948" s="149"/>
    </row>
    <row r="949">
      <c r="D949" s="148"/>
      <c r="E949" s="149"/>
      <c r="F949" s="148"/>
      <c r="G949" s="149"/>
    </row>
    <row r="950">
      <c r="D950" s="148"/>
      <c r="E950" s="149"/>
      <c r="F950" s="148"/>
      <c r="G950" s="149"/>
    </row>
    <row r="951">
      <c r="D951" s="148"/>
      <c r="E951" s="149"/>
      <c r="F951" s="148"/>
      <c r="G951" s="149"/>
    </row>
    <row r="952">
      <c r="D952" s="148"/>
      <c r="E952" s="149"/>
      <c r="F952" s="148"/>
      <c r="G952" s="149"/>
    </row>
    <row r="953">
      <c r="D953" s="148"/>
      <c r="E953" s="149"/>
      <c r="F953" s="148"/>
      <c r="G953" s="149"/>
    </row>
    <row r="954">
      <c r="D954" s="148"/>
      <c r="E954" s="149"/>
      <c r="F954" s="148"/>
      <c r="G954" s="149"/>
    </row>
    <row r="955">
      <c r="D955" s="148"/>
      <c r="E955" s="149"/>
      <c r="F955" s="148"/>
      <c r="G955" s="149"/>
    </row>
    <row r="956">
      <c r="D956" s="148"/>
      <c r="E956" s="149"/>
      <c r="F956" s="148"/>
      <c r="G956" s="149"/>
    </row>
    <row r="957">
      <c r="D957" s="148"/>
      <c r="E957" s="149"/>
      <c r="F957" s="148"/>
      <c r="G957" s="149"/>
    </row>
    <row r="958">
      <c r="D958" s="148"/>
      <c r="E958" s="149"/>
      <c r="F958" s="148"/>
      <c r="G958" s="149"/>
    </row>
    <row r="959">
      <c r="D959" s="148"/>
      <c r="E959" s="149"/>
      <c r="F959" s="148"/>
      <c r="G959" s="149"/>
    </row>
    <row r="960">
      <c r="D960" s="148"/>
      <c r="E960" s="149"/>
      <c r="F960" s="148"/>
      <c r="G960" s="149"/>
    </row>
    <row r="961">
      <c r="D961" s="148"/>
      <c r="E961" s="149"/>
      <c r="F961" s="148"/>
      <c r="G961" s="149"/>
    </row>
    <row r="962">
      <c r="D962" s="148"/>
      <c r="E962" s="149"/>
      <c r="F962" s="148"/>
      <c r="G962" s="149"/>
    </row>
    <row r="963">
      <c r="D963" s="148"/>
      <c r="E963" s="149"/>
      <c r="F963" s="148"/>
      <c r="G963" s="149"/>
    </row>
    <row r="964">
      <c r="D964" s="148"/>
      <c r="E964" s="149"/>
      <c r="F964" s="148"/>
      <c r="G964" s="149"/>
    </row>
    <row r="965">
      <c r="D965" s="148"/>
      <c r="E965" s="149"/>
      <c r="F965" s="148"/>
      <c r="G965" s="149"/>
    </row>
    <row r="966">
      <c r="D966" s="148"/>
      <c r="E966" s="149"/>
      <c r="F966" s="148"/>
      <c r="G966" s="149"/>
    </row>
    <row r="967">
      <c r="D967" s="148"/>
      <c r="E967" s="149"/>
      <c r="F967" s="148"/>
      <c r="G967" s="149"/>
    </row>
    <row r="968">
      <c r="D968" s="148"/>
      <c r="E968" s="149"/>
      <c r="F968" s="148"/>
      <c r="G968" s="149"/>
    </row>
    <row r="969">
      <c r="D969" s="148"/>
      <c r="E969" s="149"/>
      <c r="F969" s="148"/>
      <c r="G969" s="149"/>
    </row>
    <row r="970">
      <c r="D970" s="148"/>
      <c r="E970" s="149"/>
      <c r="F970" s="148"/>
      <c r="G970" s="149"/>
    </row>
    <row r="971">
      <c r="D971" s="148"/>
      <c r="E971" s="149"/>
      <c r="F971" s="148"/>
      <c r="G971" s="149"/>
    </row>
    <row r="972">
      <c r="D972" s="148"/>
      <c r="E972" s="149"/>
      <c r="F972" s="148"/>
      <c r="G972" s="149"/>
    </row>
    <row r="973">
      <c r="D973" s="148"/>
      <c r="E973" s="149"/>
      <c r="F973" s="148"/>
      <c r="G973" s="149"/>
    </row>
    <row r="974">
      <c r="D974" s="148"/>
      <c r="E974" s="149"/>
      <c r="F974" s="148"/>
      <c r="G974" s="149"/>
    </row>
    <row r="975">
      <c r="D975" s="148"/>
      <c r="E975" s="149"/>
      <c r="F975" s="148"/>
      <c r="G975" s="149"/>
    </row>
    <row r="976">
      <c r="D976" s="148"/>
      <c r="E976" s="149"/>
      <c r="F976" s="148"/>
      <c r="G976" s="149"/>
    </row>
    <row r="977">
      <c r="D977" s="148"/>
      <c r="E977" s="149"/>
      <c r="F977" s="148"/>
      <c r="G977" s="149"/>
    </row>
    <row r="978">
      <c r="D978" s="148"/>
      <c r="E978" s="149"/>
      <c r="F978" s="148"/>
      <c r="G978" s="149"/>
    </row>
    <row r="979">
      <c r="D979" s="148"/>
      <c r="E979" s="149"/>
      <c r="F979" s="148"/>
      <c r="G979" s="149"/>
    </row>
    <row r="980">
      <c r="D980" s="148"/>
      <c r="E980" s="149"/>
      <c r="F980" s="148"/>
      <c r="G980" s="149"/>
    </row>
    <row r="981">
      <c r="D981" s="148"/>
      <c r="E981" s="149"/>
      <c r="F981" s="148"/>
      <c r="G981" s="149"/>
    </row>
    <row r="982">
      <c r="D982" s="148"/>
      <c r="E982" s="149"/>
      <c r="F982" s="148"/>
      <c r="G982" s="149"/>
    </row>
    <row r="983">
      <c r="D983" s="148"/>
      <c r="E983" s="149"/>
      <c r="F983" s="148"/>
      <c r="G983" s="149"/>
    </row>
    <row r="984">
      <c r="D984" s="148"/>
      <c r="E984" s="149"/>
      <c r="F984" s="148"/>
      <c r="G984" s="149"/>
    </row>
    <row r="985">
      <c r="D985" s="148"/>
      <c r="E985" s="149"/>
      <c r="F985" s="148"/>
      <c r="G985" s="149"/>
    </row>
    <row r="986">
      <c r="D986" s="148"/>
      <c r="E986" s="149"/>
      <c r="F986" s="148"/>
      <c r="G986" s="149"/>
    </row>
    <row r="987">
      <c r="D987" s="148"/>
      <c r="E987" s="149"/>
      <c r="F987" s="148"/>
      <c r="G987" s="149"/>
    </row>
    <row r="988">
      <c r="D988" s="148"/>
      <c r="E988" s="149"/>
      <c r="F988" s="148"/>
      <c r="G988" s="149"/>
    </row>
    <row r="989">
      <c r="D989" s="148"/>
      <c r="E989" s="149"/>
      <c r="F989" s="148"/>
      <c r="G989" s="149"/>
    </row>
    <row r="990">
      <c r="D990" s="148"/>
      <c r="E990" s="149"/>
      <c r="F990" s="148"/>
      <c r="G990" s="149"/>
    </row>
    <row r="991">
      <c r="D991" s="148"/>
      <c r="E991" s="149"/>
      <c r="F991" s="148"/>
      <c r="G991" s="149"/>
    </row>
    <row r="992">
      <c r="D992" s="148"/>
      <c r="E992" s="149"/>
      <c r="F992" s="148"/>
      <c r="G992" s="149"/>
    </row>
    <row r="993">
      <c r="D993" s="148"/>
      <c r="E993" s="149"/>
      <c r="F993" s="148"/>
      <c r="G993" s="149"/>
    </row>
    <row r="994">
      <c r="D994" s="148"/>
      <c r="E994" s="149"/>
      <c r="F994" s="148"/>
      <c r="G994" s="149"/>
    </row>
    <row r="995">
      <c r="D995" s="148"/>
      <c r="E995" s="149"/>
      <c r="F995" s="148"/>
      <c r="G995" s="149"/>
    </row>
    <row r="996">
      <c r="D996" s="148"/>
      <c r="E996" s="149"/>
      <c r="F996" s="148"/>
      <c r="G996" s="149"/>
    </row>
    <row r="997">
      <c r="D997" s="148"/>
      <c r="E997" s="149"/>
      <c r="F997" s="148"/>
      <c r="G997" s="149"/>
    </row>
    <row r="998">
      <c r="D998" s="148"/>
      <c r="E998" s="149"/>
      <c r="F998" s="148"/>
      <c r="G998" s="149"/>
    </row>
    <row r="999">
      <c r="D999" s="148"/>
      <c r="E999" s="149"/>
      <c r="F999" s="148"/>
      <c r="G999" s="149"/>
    </row>
    <row r="1000">
      <c r="D1000" s="148"/>
      <c r="E1000" s="149"/>
      <c r="F1000" s="148"/>
      <c r="G1000" s="149"/>
    </row>
    <row r="1001">
      <c r="D1001" s="148"/>
      <c r="E1001" s="149"/>
      <c r="F1001" s="148"/>
      <c r="G1001" s="149"/>
    </row>
    <row r="1002">
      <c r="D1002" s="148"/>
      <c r="E1002" s="149"/>
      <c r="F1002" s="148"/>
      <c r="G1002" s="149"/>
    </row>
    <row r="1003">
      <c r="D1003" s="148"/>
      <c r="E1003" s="149"/>
      <c r="F1003" s="148"/>
      <c r="G1003" s="149"/>
    </row>
    <row r="1004">
      <c r="D1004" s="148"/>
      <c r="E1004" s="149"/>
      <c r="F1004" s="148"/>
      <c r="G1004" s="149"/>
    </row>
    <row r="1005">
      <c r="D1005" s="148"/>
      <c r="E1005" s="149"/>
      <c r="F1005" s="148"/>
      <c r="G1005" s="149"/>
    </row>
    <row r="1006">
      <c r="D1006" s="148"/>
      <c r="E1006" s="149"/>
      <c r="F1006" s="148"/>
      <c r="G1006" s="149"/>
    </row>
    <row r="1007">
      <c r="D1007" s="148"/>
      <c r="E1007" s="149"/>
      <c r="F1007" s="148"/>
      <c r="G1007" s="149"/>
    </row>
    <row r="1008">
      <c r="D1008" s="148"/>
      <c r="E1008" s="149"/>
      <c r="F1008" s="148"/>
      <c r="G1008" s="149"/>
    </row>
    <row r="1009">
      <c r="D1009" s="148"/>
      <c r="E1009" s="149"/>
      <c r="F1009" s="148"/>
      <c r="G1009" s="149"/>
    </row>
    <row r="1010">
      <c r="D1010" s="148"/>
      <c r="E1010" s="149"/>
      <c r="F1010" s="148"/>
      <c r="G1010" s="149"/>
    </row>
    <row r="1011">
      <c r="D1011" s="148"/>
      <c r="E1011" s="149"/>
      <c r="F1011" s="148"/>
      <c r="G1011" s="149"/>
    </row>
    <row r="1012">
      <c r="D1012" s="148"/>
      <c r="E1012" s="149"/>
      <c r="F1012" s="148"/>
      <c r="G1012" s="149"/>
    </row>
  </sheetData>
  <autoFilter ref="$A$1:$E$1012"/>
  <conditionalFormatting sqref="A1:G1">
    <cfRule type="colorScale" priority="1">
      <colorScale>
        <cfvo type="min"/>
        <cfvo type="max"/>
        <color rgb="FF57BB8A"/>
        <color rgb="FFFFFFFF"/>
      </colorScale>
    </cfRule>
  </conditionalFormatting>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FABCA"/>
    <outlinePr summaryBelow="0" summaryRight="0"/>
  </sheetPr>
  <sheetViews>
    <sheetView workbookViewId="0"/>
  </sheetViews>
  <sheetFormatPr customHeight="1" defaultColWidth="12.63" defaultRowHeight="15.75" outlineLevelRow="1"/>
  <cols>
    <col customWidth="1" min="1" max="1" width="16.25"/>
    <col customWidth="1" min="2" max="2" width="17.13"/>
    <col customWidth="1" min="3" max="3" width="8.25"/>
    <col customWidth="1" min="4" max="4" width="36.38"/>
    <col customWidth="1" min="5" max="5" width="17.0"/>
    <col customWidth="1" min="6" max="6" width="17.5"/>
    <col customWidth="1" min="7" max="7" width="16.25"/>
  </cols>
  <sheetData>
    <row r="1">
      <c r="A1" s="143" t="s">
        <v>59</v>
      </c>
      <c r="B1" s="143" t="s">
        <v>60</v>
      </c>
      <c r="C1" s="143" t="s">
        <v>61</v>
      </c>
      <c r="D1" s="143" t="s">
        <v>62</v>
      </c>
      <c r="E1" s="143" t="s">
        <v>63</v>
      </c>
      <c r="F1" s="143" t="s">
        <v>64</v>
      </c>
      <c r="G1" s="143" t="s">
        <v>65</v>
      </c>
      <c r="I1" s="150"/>
      <c r="J1" s="150"/>
      <c r="K1" s="150"/>
      <c r="L1" s="150"/>
      <c r="M1" s="150"/>
      <c r="N1" s="150"/>
      <c r="O1" s="150"/>
      <c r="P1" s="150"/>
      <c r="Q1" s="150"/>
      <c r="R1" s="150"/>
      <c r="S1" s="150"/>
      <c r="T1" s="150"/>
      <c r="U1" s="150"/>
      <c r="V1" s="150"/>
      <c r="W1" s="150"/>
      <c r="X1" s="150"/>
      <c r="Y1" s="150"/>
      <c r="Z1" s="150"/>
      <c r="AA1" s="150"/>
    </row>
    <row r="2">
      <c r="A2" s="153" t="s">
        <v>57</v>
      </c>
      <c r="B2" s="153" t="s">
        <v>69</v>
      </c>
      <c r="C2" s="153" t="s">
        <v>70</v>
      </c>
      <c r="D2" s="154" t="s">
        <v>71</v>
      </c>
      <c r="E2" s="155"/>
      <c r="F2" s="157" t="s">
        <v>73</v>
      </c>
      <c r="G2" s="158" t="s">
        <v>81</v>
      </c>
    </row>
    <row r="3">
      <c r="A3" s="153" t="s">
        <v>57</v>
      </c>
      <c r="B3" s="153" t="s">
        <v>83</v>
      </c>
      <c r="C3" s="153" t="s">
        <v>58</v>
      </c>
      <c r="D3" s="154" t="s">
        <v>84</v>
      </c>
      <c r="E3" s="155"/>
      <c r="F3" s="157" t="s">
        <v>85</v>
      </c>
      <c r="G3" s="158" t="s">
        <v>89</v>
      </c>
    </row>
    <row r="4">
      <c r="A4" s="153" t="s">
        <v>57</v>
      </c>
      <c r="B4" s="153" t="s">
        <v>90</v>
      </c>
      <c r="C4" s="153" t="s">
        <v>74</v>
      </c>
      <c r="D4" s="154" t="s">
        <v>92</v>
      </c>
      <c r="E4" s="155"/>
      <c r="F4" s="157" t="s">
        <v>93</v>
      </c>
      <c r="G4" s="158" t="s">
        <v>97</v>
      </c>
    </row>
    <row r="5">
      <c r="A5" s="153" t="s">
        <v>57</v>
      </c>
      <c r="B5" s="153" t="s">
        <v>98</v>
      </c>
      <c r="C5" s="153" t="s">
        <v>67</v>
      </c>
      <c r="D5" s="154" t="s">
        <v>99</v>
      </c>
      <c r="E5" s="155"/>
      <c r="F5" s="157" t="s">
        <v>100</v>
      </c>
      <c r="G5" s="158" t="s">
        <v>102</v>
      </c>
    </row>
    <row r="6">
      <c r="A6" s="159" t="s">
        <v>103</v>
      </c>
      <c r="B6" s="159" t="s">
        <v>104</v>
      </c>
      <c r="C6" s="159" t="s">
        <v>76</v>
      </c>
      <c r="D6" s="160" t="s">
        <v>105</v>
      </c>
      <c r="E6" s="161"/>
      <c r="F6" s="162" t="s">
        <v>106</v>
      </c>
      <c r="G6" s="165" t="s">
        <v>109</v>
      </c>
      <c r="H6" s="167"/>
      <c r="I6" s="167"/>
      <c r="J6" s="169">
        <v>1.0</v>
      </c>
      <c r="K6" s="169" t="s">
        <v>110</v>
      </c>
      <c r="L6" s="167"/>
      <c r="M6" s="167"/>
      <c r="N6" s="167"/>
      <c r="O6" s="167"/>
      <c r="P6" s="167"/>
      <c r="Q6" s="167"/>
      <c r="R6" s="167"/>
      <c r="S6" s="167"/>
      <c r="T6" s="167"/>
      <c r="U6" s="167"/>
      <c r="V6" s="167"/>
      <c r="W6" s="167"/>
      <c r="X6" s="167"/>
      <c r="Y6" s="167"/>
      <c r="Z6" s="167"/>
      <c r="AA6" s="167"/>
    </row>
    <row r="7">
      <c r="A7" s="153" t="s">
        <v>103</v>
      </c>
      <c r="B7" s="153" t="s">
        <v>111</v>
      </c>
      <c r="C7" s="153" t="s">
        <v>112</v>
      </c>
      <c r="D7" s="154" t="s">
        <v>113</v>
      </c>
      <c r="E7" s="155"/>
      <c r="F7" s="157" t="s">
        <v>114</v>
      </c>
      <c r="G7" s="158" t="s">
        <v>116</v>
      </c>
      <c r="J7" s="145">
        <v>2.0</v>
      </c>
      <c r="K7" s="145" t="s">
        <v>118</v>
      </c>
    </row>
    <row r="8">
      <c r="A8" s="153" t="s">
        <v>103</v>
      </c>
      <c r="B8" s="153" t="s">
        <v>119</v>
      </c>
      <c r="C8" s="153" t="s">
        <v>120</v>
      </c>
      <c r="D8" s="154"/>
      <c r="E8" s="155"/>
      <c r="F8" s="157" t="s">
        <v>121</v>
      </c>
      <c r="G8" s="158" t="s">
        <v>123</v>
      </c>
      <c r="J8" s="145">
        <v>3.0</v>
      </c>
      <c r="K8" s="145" t="s">
        <v>126</v>
      </c>
    </row>
    <row r="9">
      <c r="A9" s="153" t="s">
        <v>103</v>
      </c>
      <c r="B9" s="153" t="s">
        <v>128</v>
      </c>
      <c r="C9" s="153" t="s">
        <v>82</v>
      </c>
      <c r="D9" s="154"/>
      <c r="E9" s="155"/>
      <c r="F9" s="157" t="s">
        <v>129</v>
      </c>
      <c r="G9" s="158" t="s">
        <v>130</v>
      </c>
      <c r="J9" s="145">
        <v>4.0</v>
      </c>
      <c r="K9" s="145" t="s">
        <v>131</v>
      </c>
    </row>
    <row r="10">
      <c r="A10" s="153" t="s">
        <v>103</v>
      </c>
      <c r="B10" s="153" t="s">
        <v>132</v>
      </c>
      <c r="C10" s="153" t="s">
        <v>125</v>
      </c>
      <c r="D10" s="154"/>
      <c r="E10" s="155"/>
      <c r="F10" s="171" t="s">
        <v>133</v>
      </c>
      <c r="G10" s="158" t="s">
        <v>134</v>
      </c>
      <c r="J10" s="145">
        <v>5.0</v>
      </c>
      <c r="K10" s="145" t="s">
        <v>136</v>
      </c>
    </row>
    <row r="11">
      <c r="A11" s="153" t="s">
        <v>103</v>
      </c>
      <c r="B11" s="153" t="s">
        <v>137</v>
      </c>
      <c r="C11" s="153" t="s">
        <v>138</v>
      </c>
      <c r="D11" s="154"/>
      <c r="E11" s="155"/>
      <c r="F11" s="157" t="s">
        <v>139</v>
      </c>
      <c r="G11" s="172" t="s">
        <v>140</v>
      </c>
      <c r="J11" s="145">
        <v>6.0</v>
      </c>
      <c r="K11" s="145" t="s">
        <v>142</v>
      </c>
    </row>
    <row r="12">
      <c r="A12" s="153" t="s">
        <v>103</v>
      </c>
      <c r="B12" s="153" t="s">
        <v>143</v>
      </c>
      <c r="C12" s="153" t="s">
        <v>145</v>
      </c>
      <c r="D12" s="154"/>
      <c r="E12" s="155"/>
      <c r="F12" s="157" t="s">
        <v>146</v>
      </c>
      <c r="G12" s="172" t="s">
        <v>150</v>
      </c>
      <c r="J12" s="145">
        <v>7.0</v>
      </c>
      <c r="K12" s="173" t="s">
        <v>151</v>
      </c>
    </row>
    <row r="13">
      <c r="A13" s="153" t="s">
        <v>103</v>
      </c>
      <c r="B13" s="153" t="s">
        <v>152</v>
      </c>
      <c r="C13" s="153" t="s">
        <v>95</v>
      </c>
      <c r="D13" s="154"/>
      <c r="E13" s="155"/>
      <c r="F13" s="157" t="s">
        <v>153</v>
      </c>
      <c r="G13" s="172" t="s">
        <v>157</v>
      </c>
      <c r="J13" s="145">
        <v>8.0</v>
      </c>
      <c r="K13" s="145" t="s">
        <v>161</v>
      </c>
    </row>
    <row r="14">
      <c r="A14" s="153" t="s">
        <v>103</v>
      </c>
      <c r="B14" s="153" t="s">
        <v>162</v>
      </c>
      <c r="C14" s="153" t="s">
        <v>163</v>
      </c>
      <c r="D14" s="154"/>
      <c r="E14" s="155"/>
      <c r="F14" s="157" t="s">
        <v>164</v>
      </c>
      <c r="G14" s="158" t="s">
        <v>171</v>
      </c>
      <c r="J14" s="145">
        <v>9.0</v>
      </c>
      <c r="K14" s="145" t="s">
        <v>174</v>
      </c>
    </row>
    <row r="15">
      <c r="A15" s="153" t="s">
        <v>103</v>
      </c>
      <c r="B15" s="153" t="s">
        <v>175</v>
      </c>
      <c r="C15" s="153" t="s">
        <v>124</v>
      </c>
      <c r="D15" s="154" t="s">
        <v>176</v>
      </c>
      <c r="E15" s="155"/>
      <c r="F15" s="157" t="s">
        <v>177</v>
      </c>
      <c r="G15" s="158" t="s">
        <v>182</v>
      </c>
      <c r="J15" s="145">
        <v>10.0</v>
      </c>
      <c r="K15" s="145" t="s">
        <v>184</v>
      </c>
    </row>
    <row r="16">
      <c r="A16" s="153" t="s">
        <v>103</v>
      </c>
      <c r="B16" s="153" t="s">
        <v>185</v>
      </c>
      <c r="C16" s="153" t="s">
        <v>155</v>
      </c>
      <c r="D16" s="154"/>
      <c r="E16" s="155"/>
      <c r="F16" s="157" t="s">
        <v>186</v>
      </c>
      <c r="G16" s="175"/>
      <c r="J16" s="145">
        <v>11.0</v>
      </c>
      <c r="K16" s="145" t="s">
        <v>190</v>
      </c>
    </row>
    <row r="17">
      <c r="A17" s="153" t="s">
        <v>103</v>
      </c>
      <c r="B17" s="153" t="s">
        <v>191</v>
      </c>
      <c r="C17" s="153" t="s">
        <v>135</v>
      </c>
      <c r="D17" s="154"/>
      <c r="E17" s="155"/>
      <c r="F17" s="157" t="s">
        <v>193</v>
      </c>
      <c r="G17" s="175"/>
      <c r="J17" s="145">
        <v>12.0</v>
      </c>
      <c r="K17" s="145" t="s">
        <v>196</v>
      </c>
    </row>
    <row r="18">
      <c r="A18" s="159" t="s">
        <v>197</v>
      </c>
      <c r="B18" s="159" t="s">
        <v>198</v>
      </c>
      <c r="C18" s="159" t="s">
        <v>101</v>
      </c>
      <c r="D18" s="160" t="s">
        <v>199</v>
      </c>
      <c r="E18" s="161"/>
      <c r="F18" s="162" t="s">
        <v>200</v>
      </c>
      <c r="G18" s="165" t="s">
        <v>204</v>
      </c>
      <c r="H18" s="167"/>
      <c r="I18" s="167"/>
      <c r="J18" s="169">
        <v>13.0</v>
      </c>
      <c r="K18" s="169" t="s">
        <v>206</v>
      </c>
      <c r="L18" s="167"/>
      <c r="M18" s="167"/>
      <c r="N18" s="167"/>
      <c r="O18" s="167"/>
      <c r="P18" s="167"/>
      <c r="Q18" s="167"/>
      <c r="R18" s="167"/>
      <c r="S18" s="167"/>
      <c r="T18" s="167"/>
      <c r="U18" s="167"/>
      <c r="V18" s="167"/>
      <c r="W18" s="167"/>
      <c r="X18" s="167"/>
      <c r="Y18" s="167"/>
      <c r="Z18" s="167"/>
      <c r="AA18" s="167"/>
    </row>
    <row r="19">
      <c r="A19" s="153" t="s">
        <v>197</v>
      </c>
      <c r="B19" s="153" t="s">
        <v>207</v>
      </c>
      <c r="C19" s="153" t="s">
        <v>77</v>
      </c>
      <c r="D19" s="179" t="s">
        <v>208</v>
      </c>
      <c r="E19" s="180"/>
      <c r="F19" s="157" t="s">
        <v>209</v>
      </c>
      <c r="G19" s="157" t="s">
        <v>213</v>
      </c>
      <c r="H19" s="180"/>
      <c r="I19" s="180"/>
      <c r="J19" s="145">
        <v>14.0</v>
      </c>
      <c r="K19" s="145" t="s">
        <v>217</v>
      </c>
    </row>
    <row r="20">
      <c r="A20" s="153" t="s">
        <v>197</v>
      </c>
      <c r="B20" s="153" t="s">
        <v>220</v>
      </c>
      <c r="C20" s="153" t="s">
        <v>88</v>
      </c>
      <c r="D20" s="179" t="s">
        <v>221</v>
      </c>
      <c r="E20" s="180"/>
      <c r="F20" s="157" t="s">
        <v>222</v>
      </c>
      <c r="G20" s="157" t="s">
        <v>227</v>
      </c>
      <c r="H20" s="180"/>
      <c r="I20" s="180"/>
      <c r="J20" s="145">
        <v>15.0</v>
      </c>
      <c r="K20" s="181" t="s">
        <v>228</v>
      </c>
    </row>
    <row r="21">
      <c r="A21" s="153" t="s">
        <v>197</v>
      </c>
      <c r="B21" s="153" t="s">
        <v>229</v>
      </c>
      <c r="C21" s="153" t="s">
        <v>122</v>
      </c>
      <c r="D21" s="179" t="s">
        <v>230</v>
      </c>
      <c r="E21" s="180"/>
      <c r="F21" s="157" t="s">
        <v>231</v>
      </c>
      <c r="G21" s="157" t="s">
        <v>232</v>
      </c>
      <c r="H21" s="180"/>
      <c r="I21" s="180"/>
      <c r="J21" s="145">
        <v>16.0</v>
      </c>
      <c r="K21" s="145" t="s">
        <v>234</v>
      </c>
    </row>
    <row r="22">
      <c r="A22" s="153" t="s">
        <v>197</v>
      </c>
      <c r="B22" s="153" t="s">
        <v>235</v>
      </c>
      <c r="C22" s="153" t="s">
        <v>141</v>
      </c>
      <c r="D22" s="179" t="s">
        <v>236</v>
      </c>
      <c r="E22" s="180"/>
      <c r="F22" s="157" t="s">
        <v>237</v>
      </c>
      <c r="G22" s="174" t="s">
        <v>242</v>
      </c>
      <c r="H22" s="180"/>
      <c r="I22" s="180"/>
      <c r="J22" s="145">
        <v>17.0</v>
      </c>
      <c r="K22" s="145" t="s">
        <v>244</v>
      </c>
    </row>
    <row r="23">
      <c r="A23" s="153" t="s">
        <v>197</v>
      </c>
      <c r="B23" s="153" t="s">
        <v>245</v>
      </c>
      <c r="C23" s="153" t="s">
        <v>127</v>
      </c>
      <c r="D23" s="154" t="s">
        <v>246</v>
      </c>
      <c r="E23" s="180"/>
      <c r="F23" s="157" t="s">
        <v>248</v>
      </c>
      <c r="G23" s="157" t="s">
        <v>252</v>
      </c>
      <c r="H23" s="180"/>
      <c r="I23" s="180"/>
      <c r="J23" s="145">
        <v>18.0</v>
      </c>
      <c r="K23" s="145" t="s">
        <v>256</v>
      </c>
    </row>
    <row r="24">
      <c r="A24" s="153" t="s">
        <v>197</v>
      </c>
      <c r="B24" s="153" t="s">
        <v>257</v>
      </c>
      <c r="C24" s="153" t="s">
        <v>87</v>
      </c>
      <c r="D24" s="179" t="s">
        <v>258</v>
      </c>
      <c r="E24" s="180"/>
      <c r="F24" s="157" t="s">
        <v>261</v>
      </c>
      <c r="G24" s="157" t="s">
        <v>264</v>
      </c>
      <c r="H24" s="180"/>
      <c r="I24" s="180"/>
      <c r="J24" s="145">
        <v>19.0</v>
      </c>
      <c r="K24" s="145" t="s">
        <v>270</v>
      </c>
    </row>
    <row r="25">
      <c r="A25" s="153" t="s">
        <v>197</v>
      </c>
      <c r="B25" s="153" t="s">
        <v>274</v>
      </c>
      <c r="C25" s="153" t="s">
        <v>115</v>
      </c>
      <c r="D25" s="154" t="s">
        <v>275</v>
      </c>
      <c r="E25" s="180"/>
      <c r="F25" s="157" t="s">
        <v>276</v>
      </c>
      <c r="G25" s="157" t="s">
        <v>278</v>
      </c>
      <c r="H25" s="180"/>
      <c r="I25" s="180"/>
      <c r="J25" s="145">
        <v>20.0</v>
      </c>
      <c r="K25" s="145" t="s">
        <v>282</v>
      </c>
    </row>
    <row r="26">
      <c r="A26" s="153" t="s">
        <v>197</v>
      </c>
      <c r="B26" s="153" t="s">
        <v>283</v>
      </c>
      <c r="C26" s="153" t="s">
        <v>94</v>
      </c>
      <c r="D26" s="154" t="s">
        <v>285</v>
      </c>
      <c r="E26" s="180"/>
      <c r="F26" s="157" t="s">
        <v>287</v>
      </c>
      <c r="G26" s="157" t="s">
        <v>292</v>
      </c>
      <c r="H26" s="180"/>
      <c r="I26" s="180"/>
      <c r="J26" s="145">
        <v>21.0</v>
      </c>
      <c r="K26" s="145" t="s">
        <v>300</v>
      </c>
      <c r="R26" s="174" t="s">
        <v>301</v>
      </c>
    </row>
    <row r="27">
      <c r="A27" s="153" t="s">
        <v>197</v>
      </c>
      <c r="B27" s="153" t="s">
        <v>304</v>
      </c>
      <c r="C27" s="153" t="s">
        <v>107</v>
      </c>
      <c r="D27" s="145" t="s">
        <v>305</v>
      </c>
      <c r="E27" s="180"/>
      <c r="F27" s="157" t="s">
        <v>306</v>
      </c>
      <c r="G27" s="157" t="s">
        <v>301</v>
      </c>
      <c r="H27" s="180"/>
      <c r="I27" s="180"/>
      <c r="J27" s="145">
        <v>22.0</v>
      </c>
      <c r="K27" s="145" t="s">
        <v>311</v>
      </c>
    </row>
    <row r="28">
      <c r="A28" s="153" t="s">
        <v>197</v>
      </c>
      <c r="B28" s="153" t="s">
        <v>312</v>
      </c>
      <c r="C28" s="153" t="s">
        <v>117</v>
      </c>
      <c r="D28" s="154" t="s">
        <v>315</v>
      </c>
      <c r="E28" s="180"/>
      <c r="F28" s="157" t="s">
        <v>318</v>
      </c>
      <c r="G28" s="157" t="s">
        <v>328</v>
      </c>
      <c r="H28" s="180"/>
      <c r="I28" s="180"/>
      <c r="J28" s="145">
        <v>23.0</v>
      </c>
      <c r="K28" s="145" t="s">
        <v>331</v>
      </c>
    </row>
    <row r="29">
      <c r="A29" s="153" t="s">
        <v>197</v>
      </c>
      <c r="B29" s="153" t="s">
        <v>332</v>
      </c>
      <c r="C29" s="153" t="s">
        <v>91</v>
      </c>
      <c r="D29" s="145" t="s">
        <v>333</v>
      </c>
      <c r="E29" s="180"/>
      <c r="F29" s="157" t="s">
        <v>334</v>
      </c>
      <c r="G29" s="157" t="s">
        <v>335</v>
      </c>
      <c r="H29" s="180"/>
      <c r="I29" s="180"/>
      <c r="J29" s="145">
        <v>24.0</v>
      </c>
      <c r="K29" s="145" t="s">
        <v>337</v>
      </c>
    </row>
    <row r="30">
      <c r="A30" s="153" t="s">
        <v>197</v>
      </c>
      <c r="B30" s="153" t="s">
        <v>338</v>
      </c>
      <c r="C30" s="153" t="s">
        <v>79</v>
      </c>
      <c r="D30" s="154" t="s">
        <v>339</v>
      </c>
      <c r="E30" s="180"/>
      <c r="F30" s="157" t="s">
        <v>340</v>
      </c>
      <c r="G30" s="157" t="s">
        <v>342</v>
      </c>
      <c r="H30" s="180"/>
      <c r="I30" s="180"/>
      <c r="J30" s="145">
        <v>25.0</v>
      </c>
      <c r="K30" s="145" t="s">
        <v>343</v>
      </c>
    </row>
    <row r="31">
      <c r="A31" s="153" t="s">
        <v>197</v>
      </c>
      <c r="B31" s="153" t="s">
        <v>344</v>
      </c>
      <c r="C31" s="153" t="s">
        <v>36</v>
      </c>
      <c r="D31" s="154" t="s">
        <v>345</v>
      </c>
      <c r="E31" s="180"/>
      <c r="F31" s="157" t="s">
        <v>346</v>
      </c>
      <c r="G31" s="157" t="s">
        <v>347</v>
      </c>
      <c r="H31" s="180"/>
      <c r="I31" s="180"/>
      <c r="J31" s="145">
        <v>26.0</v>
      </c>
      <c r="K31" s="145" t="s">
        <v>348</v>
      </c>
      <c r="M31" s="153"/>
    </row>
    <row r="32">
      <c r="A32" s="153" t="s">
        <v>197</v>
      </c>
      <c r="B32" s="153" t="s">
        <v>349</v>
      </c>
      <c r="C32" s="153" t="s">
        <v>80</v>
      </c>
      <c r="D32" s="154" t="s">
        <v>350</v>
      </c>
      <c r="E32" s="180"/>
      <c r="F32" s="171" t="s">
        <v>351</v>
      </c>
      <c r="G32" s="157" t="s">
        <v>352</v>
      </c>
      <c r="H32" s="180"/>
      <c r="I32" s="180"/>
      <c r="J32" s="145">
        <v>27.0</v>
      </c>
      <c r="K32" s="145" t="s">
        <v>353</v>
      </c>
    </row>
    <row r="33">
      <c r="A33" s="153" t="s">
        <v>197</v>
      </c>
      <c r="B33" s="153" t="s">
        <v>354</v>
      </c>
      <c r="C33" s="153" t="s">
        <v>78</v>
      </c>
      <c r="D33" s="154" t="s">
        <v>355</v>
      </c>
      <c r="E33" s="180"/>
      <c r="F33" s="157" t="s">
        <v>356</v>
      </c>
      <c r="G33" s="157" t="s">
        <v>357</v>
      </c>
      <c r="H33" s="180"/>
      <c r="I33" s="180"/>
      <c r="J33" s="145">
        <v>28.0</v>
      </c>
      <c r="K33" s="145" t="s">
        <v>358</v>
      </c>
    </row>
    <row r="34">
      <c r="A34" s="153" t="s">
        <v>197</v>
      </c>
      <c r="B34" s="153" t="s">
        <v>359</v>
      </c>
      <c r="C34" s="153" t="s">
        <v>108</v>
      </c>
      <c r="D34" s="154" t="s">
        <v>360</v>
      </c>
      <c r="E34" s="180"/>
      <c r="F34" s="157" t="s">
        <v>361</v>
      </c>
      <c r="G34" s="157" t="s">
        <v>362</v>
      </c>
      <c r="H34" s="180"/>
      <c r="I34" s="180"/>
      <c r="J34" s="145">
        <v>29.0</v>
      </c>
      <c r="K34" s="145" t="s">
        <v>363</v>
      </c>
    </row>
    <row r="35">
      <c r="A35" s="153" t="s">
        <v>197</v>
      </c>
      <c r="B35" s="153" t="s">
        <v>364</v>
      </c>
      <c r="C35" s="153" t="s">
        <v>192</v>
      </c>
      <c r="D35" s="154" t="s">
        <v>365</v>
      </c>
      <c r="E35" s="180"/>
      <c r="F35" s="157" t="s">
        <v>366</v>
      </c>
      <c r="G35" s="157" t="s">
        <v>367</v>
      </c>
      <c r="H35" s="180"/>
      <c r="I35" s="180"/>
      <c r="J35" s="145">
        <v>30.0</v>
      </c>
      <c r="K35" s="145" t="s">
        <v>368</v>
      </c>
    </row>
    <row r="36">
      <c r="A36" s="153" t="s">
        <v>197</v>
      </c>
      <c r="B36" s="153" t="s">
        <v>369</v>
      </c>
      <c r="C36" s="153" t="s">
        <v>267</v>
      </c>
      <c r="D36" s="154" t="s">
        <v>370</v>
      </c>
      <c r="E36" s="180"/>
      <c r="F36" s="171" t="s">
        <v>371</v>
      </c>
      <c r="G36" s="157" t="s">
        <v>372</v>
      </c>
      <c r="H36" s="180"/>
      <c r="I36" s="180"/>
      <c r="J36" s="145"/>
      <c r="K36" s="181" t="s">
        <v>373</v>
      </c>
    </row>
    <row r="37">
      <c r="A37" s="153" t="s">
        <v>197</v>
      </c>
      <c r="B37" s="153" t="s">
        <v>374</v>
      </c>
      <c r="C37" s="153" t="s">
        <v>375</v>
      </c>
      <c r="D37" s="191" t="s">
        <v>376</v>
      </c>
      <c r="E37" s="180"/>
      <c r="F37" s="157" t="s">
        <v>377</v>
      </c>
      <c r="G37" s="157" t="s">
        <v>378</v>
      </c>
      <c r="H37" s="180"/>
      <c r="I37" s="180"/>
      <c r="K37" s="145" t="s">
        <v>379</v>
      </c>
    </row>
    <row r="38">
      <c r="A38" s="159" t="s">
        <v>380</v>
      </c>
      <c r="B38" s="159" t="s">
        <v>381</v>
      </c>
      <c r="C38" s="159" t="s">
        <v>254</v>
      </c>
      <c r="D38" s="160" t="s">
        <v>382</v>
      </c>
      <c r="E38" s="161"/>
      <c r="F38" s="176" t="s">
        <v>383</v>
      </c>
      <c r="G38" s="162" t="s">
        <v>384</v>
      </c>
      <c r="H38" s="167"/>
      <c r="I38" s="167"/>
      <c r="J38" s="167"/>
      <c r="K38" s="169" t="s">
        <v>385</v>
      </c>
      <c r="L38" s="167"/>
      <c r="M38" s="167"/>
      <c r="N38" s="167"/>
      <c r="O38" s="167"/>
      <c r="P38" s="167"/>
      <c r="Q38" s="167"/>
      <c r="R38" s="167"/>
      <c r="S38" s="167"/>
      <c r="T38" s="167"/>
      <c r="U38" s="167"/>
      <c r="V38" s="167"/>
      <c r="W38" s="167"/>
      <c r="X38" s="167"/>
      <c r="Y38" s="167"/>
      <c r="Z38" s="167"/>
      <c r="AA38" s="167"/>
    </row>
    <row r="39">
      <c r="A39" s="153" t="s">
        <v>380</v>
      </c>
      <c r="B39" s="153" t="s">
        <v>386</v>
      </c>
      <c r="C39" s="153" t="s">
        <v>317</v>
      </c>
      <c r="D39" s="154" t="s">
        <v>387</v>
      </c>
      <c r="E39" s="155"/>
      <c r="F39" s="157" t="s">
        <v>388</v>
      </c>
      <c r="G39" s="175"/>
    </row>
    <row r="40">
      <c r="A40" s="159" t="s">
        <v>303</v>
      </c>
      <c r="B40" s="159"/>
      <c r="C40" s="159"/>
      <c r="D40" s="160"/>
      <c r="E40" s="161"/>
      <c r="F40" s="192"/>
      <c r="G40" s="193"/>
      <c r="H40" s="167"/>
      <c r="I40" s="167"/>
      <c r="J40" s="167"/>
      <c r="K40" s="167"/>
      <c r="L40" s="167"/>
      <c r="M40" s="167"/>
      <c r="N40" s="167"/>
      <c r="O40" s="167"/>
      <c r="P40" s="167"/>
      <c r="Q40" s="167"/>
      <c r="R40" s="167"/>
      <c r="S40" s="167"/>
      <c r="T40" s="167"/>
      <c r="U40" s="167"/>
      <c r="V40" s="167"/>
      <c r="W40" s="167"/>
      <c r="X40" s="167"/>
      <c r="Y40" s="167"/>
      <c r="Z40" s="167"/>
      <c r="AA40" s="167"/>
    </row>
    <row r="41">
      <c r="A41" s="159" t="s">
        <v>389</v>
      </c>
      <c r="B41" s="159" t="s">
        <v>390</v>
      </c>
      <c r="C41" s="159"/>
      <c r="D41" s="160"/>
      <c r="E41" s="161"/>
      <c r="F41" s="192"/>
      <c r="G41" s="193"/>
      <c r="H41" s="167"/>
      <c r="I41" s="167"/>
      <c r="J41" s="167"/>
      <c r="K41" s="167"/>
      <c r="L41" s="167"/>
      <c r="M41" s="167"/>
      <c r="N41" s="167"/>
      <c r="O41" s="167"/>
      <c r="P41" s="167"/>
      <c r="Q41" s="167"/>
      <c r="R41" s="167"/>
      <c r="S41" s="167"/>
      <c r="T41" s="167"/>
      <c r="U41" s="167"/>
      <c r="V41" s="167"/>
      <c r="W41" s="167"/>
      <c r="X41" s="167"/>
      <c r="Y41" s="167"/>
      <c r="Z41" s="167"/>
      <c r="AA41" s="167"/>
    </row>
    <row r="42">
      <c r="A42" s="153" t="s">
        <v>389</v>
      </c>
      <c r="B42" s="153" t="s">
        <v>391</v>
      </c>
      <c r="C42" s="153"/>
      <c r="D42" s="154"/>
      <c r="E42" s="155"/>
      <c r="F42" s="180"/>
      <c r="G42" s="175"/>
    </row>
    <row r="43">
      <c r="A43" s="153" t="s">
        <v>389</v>
      </c>
      <c r="B43" s="153" t="s">
        <v>392</v>
      </c>
      <c r="C43" s="153"/>
      <c r="D43" s="154"/>
      <c r="E43" s="155"/>
      <c r="F43" s="180"/>
      <c r="G43" s="175"/>
    </row>
    <row r="44">
      <c r="A44" s="153" t="s">
        <v>389</v>
      </c>
      <c r="B44" s="153" t="s">
        <v>393</v>
      </c>
      <c r="C44" s="153"/>
      <c r="D44" s="154"/>
      <c r="E44" s="155"/>
      <c r="F44" s="180"/>
      <c r="G44" s="175"/>
    </row>
    <row r="45">
      <c r="A45" s="153" t="s">
        <v>389</v>
      </c>
      <c r="B45" s="153" t="s">
        <v>394</v>
      </c>
      <c r="C45" s="153"/>
      <c r="D45" s="154"/>
      <c r="E45" s="155"/>
      <c r="F45" s="180"/>
      <c r="G45" s="175"/>
    </row>
    <row r="46">
      <c r="A46" s="187"/>
      <c r="B46" s="187"/>
      <c r="C46" s="153"/>
      <c r="D46" s="154"/>
      <c r="E46" s="155"/>
      <c r="F46" s="180"/>
      <c r="G46" s="175"/>
    </row>
    <row r="47">
      <c r="A47" s="159" t="s">
        <v>395</v>
      </c>
      <c r="B47" s="159" t="s">
        <v>396</v>
      </c>
      <c r="C47" s="159"/>
      <c r="D47" s="160"/>
      <c r="E47" s="161"/>
      <c r="F47" s="192"/>
      <c r="G47" s="193"/>
      <c r="H47" s="167"/>
      <c r="I47" s="167"/>
      <c r="J47" s="167"/>
      <c r="K47" s="167"/>
      <c r="L47" s="167"/>
      <c r="M47" s="167"/>
      <c r="N47" s="167"/>
      <c r="O47" s="167"/>
      <c r="P47" s="167"/>
      <c r="Q47" s="167"/>
      <c r="R47" s="167"/>
      <c r="S47" s="167"/>
      <c r="T47" s="167"/>
      <c r="U47" s="167"/>
      <c r="V47" s="167"/>
      <c r="W47" s="167"/>
      <c r="X47" s="167"/>
      <c r="Y47" s="167"/>
      <c r="Z47" s="167"/>
      <c r="AA47" s="167"/>
    </row>
    <row r="48">
      <c r="A48" s="159" t="s">
        <v>397</v>
      </c>
      <c r="B48" s="159" t="s">
        <v>398</v>
      </c>
      <c r="C48" s="159"/>
      <c r="D48" s="160"/>
      <c r="E48" s="161"/>
      <c r="F48" s="192"/>
      <c r="G48" s="193"/>
      <c r="H48" s="167"/>
      <c r="I48" s="167"/>
      <c r="J48" s="167"/>
      <c r="K48" s="167"/>
      <c r="L48" s="167"/>
      <c r="M48" s="167"/>
      <c r="N48" s="167"/>
      <c r="O48" s="167"/>
      <c r="P48" s="167"/>
      <c r="Q48" s="167"/>
      <c r="R48" s="167"/>
      <c r="S48" s="167"/>
      <c r="T48" s="167"/>
      <c r="U48" s="167"/>
      <c r="V48" s="167"/>
      <c r="W48" s="167"/>
      <c r="X48" s="167"/>
      <c r="Y48" s="167"/>
      <c r="Z48" s="167"/>
      <c r="AA48" s="167"/>
    </row>
    <row r="49">
      <c r="A49" s="153" t="s">
        <v>397</v>
      </c>
      <c r="B49" s="153" t="s">
        <v>399</v>
      </c>
      <c r="C49" s="153"/>
      <c r="D49" s="154"/>
      <c r="E49" s="155"/>
      <c r="F49" s="180"/>
      <c r="G49" s="194"/>
    </row>
    <row r="50">
      <c r="A50" s="153" t="s">
        <v>397</v>
      </c>
      <c r="B50" s="153" t="s">
        <v>400</v>
      </c>
      <c r="C50" s="153"/>
      <c r="D50" s="154"/>
      <c r="E50" s="155"/>
      <c r="F50" s="180"/>
      <c r="G50" s="194"/>
    </row>
    <row r="51">
      <c r="A51" s="153"/>
      <c r="B51" s="153" t="s">
        <v>401</v>
      </c>
      <c r="C51" s="155"/>
      <c r="D51" s="189"/>
      <c r="E51" s="155"/>
      <c r="F51" s="180"/>
      <c r="G51" s="175"/>
    </row>
    <row r="52">
      <c r="A52" s="153" t="s">
        <v>397</v>
      </c>
      <c r="B52" s="153" t="s">
        <v>402</v>
      </c>
      <c r="C52" s="153"/>
      <c r="D52" s="154"/>
      <c r="E52" s="155"/>
      <c r="F52" s="180"/>
      <c r="G52" s="175"/>
    </row>
    <row r="53">
      <c r="A53" s="153" t="s">
        <v>397</v>
      </c>
      <c r="B53" s="153" t="s">
        <v>403</v>
      </c>
      <c r="C53" s="153"/>
      <c r="D53" s="154"/>
      <c r="E53" s="155"/>
      <c r="F53" s="180"/>
      <c r="G53" s="175"/>
    </row>
    <row r="54">
      <c r="A54" s="153" t="s">
        <v>397</v>
      </c>
      <c r="B54" s="153" t="s">
        <v>404</v>
      </c>
      <c r="C54" s="153"/>
      <c r="D54" s="154"/>
      <c r="E54" s="155"/>
      <c r="F54" s="180"/>
      <c r="G54" s="175"/>
    </row>
    <row r="55">
      <c r="A55" s="153" t="s">
        <v>397</v>
      </c>
      <c r="B55" s="153" t="s">
        <v>405</v>
      </c>
      <c r="C55" s="153"/>
      <c r="D55" s="154"/>
      <c r="E55" s="155"/>
      <c r="F55" s="180"/>
      <c r="G55" s="175"/>
    </row>
    <row r="56">
      <c r="A56" s="153" t="s">
        <v>397</v>
      </c>
      <c r="B56" s="153" t="s">
        <v>406</v>
      </c>
      <c r="C56" s="153"/>
      <c r="D56" s="188"/>
      <c r="E56" s="155"/>
      <c r="F56" s="180"/>
      <c r="G56" s="175"/>
    </row>
    <row r="57">
      <c r="A57" s="153" t="s">
        <v>397</v>
      </c>
      <c r="B57" s="153" t="s">
        <v>407</v>
      </c>
      <c r="C57" s="153"/>
      <c r="D57" s="188"/>
      <c r="E57" s="155"/>
      <c r="F57" s="180"/>
      <c r="G57" s="175"/>
    </row>
    <row r="58">
      <c r="A58" s="153" t="s">
        <v>397</v>
      </c>
      <c r="B58" s="153" t="s">
        <v>408</v>
      </c>
      <c r="C58" s="153"/>
      <c r="D58" s="188"/>
      <c r="E58" s="155"/>
      <c r="F58" s="180"/>
      <c r="G58" s="175"/>
    </row>
    <row r="59">
      <c r="A59" s="153" t="s">
        <v>397</v>
      </c>
      <c r="B59" s="153" t="s">
        <v>409</v>
      </c>
      <c r="C59" s="153"/>
      <c r="D59" s="188"/>
      <c r="E59" s="155"/>
      <c r="F59" s="180"/>
      <c r="G59" s="175"/>
    </row>
    <row r="60">
      <c r="A60" s="153"/>
      <c r="B60" s="153"/>
      <c r="C60" s="153"/>
      <c r="D60" s="188"/>
      <c r="E60" s="155"/>
      <c r="F60" s="180"/>
      <c r="G60" s="175"/>
    </row>
    <row r="61">
      <c r="A61" s="153" t="s">
        <v>397</v>
      </c>
      <c r="B61" s="153" t="s">
        <v>410</v>
      </c>
      <c r="C61" s="153"/>
      <c r="D61" s="188"/>
      <c r="E61" s="155"/>
      <c r="F61" s="180"/>
      <c r="G61" s="175"/>
    </row>
    <row r="62">
      <c r="A62" s="153" t="s">
        <v>397</v>
      </c>
      <c r="B62" s="153" t="s">
        <v>411</v>
      </c>
      <c r="C62" s="153"/>
      <c r="D62" s="188"/>
      <c r="E62" s="155"/>
      <c r="F62" s="180"/>
      <c r="G62" s="175"/>
    </row>
    <row r="63">
      <c r="A63" s="153" t="s">
        <v>397</v>
      </c>
      <c r="B63" s="153" t="s">
        <v>412</v>
      </c>
      <c r="C63" s="155"/>
      <c r="D63" s="189"/>
      <c r="E63" s="155"/>
      <c r="F63" s="180"/>
      <c r="G63" s="175"/>
    </row>
    <row r="64">
      <c r="A64" s="153"/>
      <c r="B64" s="187"/>
      <c r="C64" s="155"/>
      <c r="D64" s="189"/>
      <c r="E64" s="155"/>
      <c r="F64" s="180"/>
      <c r="G64" s="175"/>
    </row>
    <row r="65">
      <c r="A65" s="153"/>
      <c r="B65" s="187"/>
      <c r="C65" s="155"/>
      <c r="D65" s="189"/>
      <c r="E65" s="155"/>
      <c r="F65" s="180"/>
      <c r="G65" s="175"/>
    </row>
    <row r="66">
      <c r="A66" s="153"/>
      <c r="B66" s="187"/>
      <c r="C66" s="155"/>
      <c r="D66" s="189"/>
      <c r="E66" s="155"/>
      <c r="F66" s="180"/>
      <c r="G66" s="175"/>
    </row>
    <row r="67">
      <c r="A67" s="153"/>
      <c r="B67" s="187"/>
      <c r="C67" s="155"/>
      <c r="D67" s="189"/>
      <c r="E67" s="155"/>
      <c r="F67" s="180"/>
      <c r="G67" s="175"/>
    </row>
    <row r="68">
      <c r="A68" s="153"/>
      <c r="B68" s="187"/>
      <c r="C68" s="155"/>
      <c r="D68" s="189"/>
      <c r="E68" s="155"/>
      <c r="F68" s="180"/>
      <c r="G68" s="175"/>
    </row>
    <row r="69">
      <c r="A69" s="153"/>
      <c r="B69" s="187"/>
      <c r="C69" s="155"/>
      <c r="D69" s="189"/>
      <c r="E69" s="155"/>
      <c r="F69" s="180"/>
      <c r="G69" s="175"/>
    </row>
    <row r="70">
      <c r="A70" s="153"/>
      <c r="B70" s="187"/>
      <c r="C70" s="155"/>
      <c r="D70" s="189"/>
      <c r="E70" s="155"/>
      <c r="F70" s="180"/>
      <c r="G70" s="175"/>
    </row>
    <row r="71">
      <c r="A71" s="187"/>
      <c r="B71" s="187"/>
      <c r="C71" s="187"/>
      <c r="D71" s="190"/>
      <c r="E71" s="155"/>
      <c r="F71" s="180"/>
      <c r="G71" s="175"/>
    </row>
    <row r="72">
      <c r="A72" s="187"/>
      <c r="B72" s="187"/>
      <c r="C72" s="187"/>
      <c r="D72" s="190"/>
      <c r="E72" s="155"/>
      <c r="F72" s="180"/>
      <c r="G72" s="175"/>
    </row>
    <row r="73">
      <c r="A73" s="187"/>
      <c r="B73" s="187"/>
      <c r="C73" s="187"/>
      <c r="D73" s="190"/>
      <c r="E73" s="155"/>
      <c r="F73" s="180"/>
      <c r="G73" s="175"/>
    </row>
    <row r="74">
      <c r="A74" s="187"/>
      <c r="B74" s="187"/>
      <c r="C74" s="187"/>
      <c r="D74" s="190"/>
      <c r="E74" s="155"/>
      <c r="F74" s="180"/>
      <c r="G74" s="175"/>
    </row>
    <row r="75">
      <c r="A75" s="187"/>
      <c r="B75" s="187"/>
      <c r="C75" s="187"/>
      <c r="D75" s="190"/>
      <c r="E75" s="155"/>
      <c r="F75" s="180"/>
      <c r="G75" s="175"/>
    </row>
    <row r="76">
      <c r="A76" s="187"/>
      <c r="B76" s="187"/>
      <c r="C76" s="187"/>
      <c r="D76" s="190"/>
      <c r="E76" s="155"/>
      <c r="F76" s="180"/>
      <c r="G76" s="175"/>
    </row>
    <row r="77">
      <c r="A77" s="187"/>
      <c r="B77" s="187"/>
      <c r="C77" s="187"/>
      <c r="D77" s="190"/>
      <c r="E77" s="155"/>
      <c r="F77" s="180"/>
      <c r="G77" s="175"/>
    </row>
    <row r="78">
      <c r="A78" s="187"/>
      <c r="B78" s="187"/>
      <c r="C78" s="187"/>
      <c r="D78" s="190"/>
      <c r="E78" s="155"/>
      <c r="F78" s="180"/>
      <c r="G78" s="175"/>
    </row>
    <row r="79">
      <c r="A79" s="187"/>
      <c r="B79" s="187"/>
      <c r="C79" s="187"/>
      <c r="D79" s="190"/>
      <c r="E79" s="155"/>
      <c r="F79" s="180"/>
      <c r="G79" s="175"/>
    </row>
    <row r="80">
      <c r="A80" s="187"/>
      <c r="B80" s="187"/>
      <c r="C80" s="187"/>
      <c r="D80" s="190"/>
      <c r="E80" s="155"/>
      <c r="F80" s="180"/>
      <c r="G80" s="175"/>
    </row>
    <row r="81">
      <c r="A81" s="187"/>
      <c r="B81" s="187"/>
      <c r="C81" s="187"/>
      <c r="D81" s="190"/>
      <c r="E81" s="155"/>
      <c r="F81" s="180"/>
      <c r="G81" s="175"/>
    </row>
    <row r="82">
      <c r="A82" s="187"/>
      <c r="B82" s="187"/>
      <c r="C82" s="187"/>
      <c r="D82" s="190"/>
      <c r="E82" s="155"/>
      <c r="F82" s="180"/>
      <c r="G82" s="175"/>
    </row>
    <row r="83">
      <c r="A83" s="187"/>
      <c r="B83" s="187"/>
      <c r="C83" s="187"/>
      <c r="D83" s="190"/>
      <c r="E83" s="155"/>
      <c r="F83" s="180"/>
      <c r="G83" s="175"/>
    </row>
    <row r="84">
      <c r="A84" s="187"/>
      <c r="B84" s="187"/>
      <c r="C84" s="187"/>
      <c r="D84" s="190"/>
      <c r="E84" s="155"/>
      <c r="F84" s="180"/>
      <c r="G84" s="175"/>
    </row>
    <row r="85">
      <c r="A85" s="187"/>
      <c r="B85" s="187"/>
      <c r="C85" s="187"/>
      <c r="D85" s="190"/>
      <c r="E85" s="155"/>
      <c r="F85" s="180"/>
      <c r="G85" s="175"/>
    </row>
    <row r="86">
      <c r="A86" s="187"/>
      <c r="B86" s="187"/>
      <c r="C86" s="187"/>
      <c r="D86" s="190"/>
      <c r="E86" s="155"/>
      <c r="F86" s="180"/>
      <c r="G86" s="175"/>
    </row>
    <row r="87">
      <c r="A87" s="187"/>
      <c r="B87" s="187"/>
      <c r="C87" s="187"/>
      <c r="D87" s="190"/>
      <c r="E87" s="155"/>
      <c r="F87" s="180"/>
      <c r="G87" s="175"/>
    </row>
    <row r="88">
      <c r="A88" s="187"/>
      <c r="B88" s="187"/>
      <c r="C88" s="187"/>
      <c r="D88" s="190"/>
      <c r="E88" s="155"/>
      <c r="F88" s="180"/>
      <c r="G88" s="175"/>
    </row>
    <row r="89">
      <c r="A89" s="187"/>
      <c r="B89" s="187"/>
      <c r="C89" s="187"/>
      <c r="D89" s="190"/>
      <c r="E89" s="155"/>
      <c r="F89" s="180"/>
      <c r="G89" s="175"/>
    </row>
    <row r="90">
      <c r="A90" s="187"/>
      <c r="B90" s="187"/>
      <c r="C90" s="187"/>
      <c r="D90" s="190"/>
      <c r="E90" s="155"/>
      <c r="F90" s="180"/>
      <c r="G90" s="175"/>
    </row>
    <row r="91">
      <c r="A91" s="187"/>
      <c r="B91" s="187"/>
      <c r="C91" s="187"/>
      <c r="D91" s="190"/>
      <c r="E91" s="155"/>
      <c r="F91" s="180"/>
      <c r="G91" s="175"/>
    </row>
    <row r="92">
      <c r="A92" s="187"/>
      <c r="B92" s="187"/>
      <c r="C92" s="187"/>
      <c r="D92" s="190"/>
      <c r="E92" s="155"/>
      <c r="F92" s="180"/>
      <c r="G92" s="175"/>
    </row>
    <row r="93">
      <c r="A93" s="187"/>
      <c r="B93" s="187"/>
      <c r="C93" s="187"/>
      <c r="D93" s="190"/>
      <c r="E93" s="155"/>
      <c r="F93" s="180"/>
      <c r="G93" s="175"/>
    </row>
    <row r="94">
      <c r="A94" s="187"/>
      <c r="B94" s="187"/>
      <c r="C94" s="187"/>
      <c r="D94" s="190"/>
      <c r="E94" s="155"/>
      <c r="F94" s="180"/>
      <c r="G94" s="175"/>
    </row>
    <row r="95">
      <c r="A95" s="187"/>
      <c r="B95" s="187"/>
      <c r="C95" s="187"/>
      <c r="D95" s="190"/>
      <c r="E95" s="155"/>
      <c r="F95" s="180"/>
      <c r="G95" s="175"/>
    </row>
    <row r="96">
      <c r="A96" s="187"/>
      <c r="B96" s="187"/>
      <c r="C96" s="187"/>
      <c r="D96" s="190"/>
      <c r="E96" s="155"/>
      <c r="F96" s="180"/>
      <c r="G96" s="175"/>
    </row>
    <row r="97">
      <c r="A97" s="187"/>
      <c r="B97" s="187"/>
      <c r="C97" s="187"/>
      <c r="D97" s="190"/>
      <c r="E97" s="155"/>
      <c r="F97" s="180"/>
      <c r="G97" s="175"/>
    </row>
    <row r="98">
      <c r="A98" s="187"/>
      <c r="B98" s="187"/>
      <c r="C98" s="187"/>
      <c r="D98" s="190"/>
      <c r="E98" s="155"/>
      <c r="F98" s="180"/>
      <c r="G98" s="175"/>
    </row>
    <row r="99">
      <c r="A99" s="187"/>
      <c r="B99" s="187"/>
      <c r="C99" s="187"/>
      <c r="D99" s="190"/>
      <c r="E99" s="155"/>
      <c r="F99" s="180"/>
      <c r="G99" s="175"/>
    </row>
    <row r="100">
      <c r="A100" s="187"/>
      <c r="B100" s="187"/>
      <c r="C100" s="187"/>
      <c r="D100" s="190"/>
      <c r="E100" s="155"/>
      <c r="F100" s="180"/>
      <c r="G100" s="175"/>
    </row>
    <row r="101">
      <c r="A101" s="187"/>
      <c r="B101" s="187"/>
      <c r="C101" s="187"/>
      <c r="D101" s="190"/>
      <c r="E101" s="155"/>
      <c r="F101" s="180"/>
      <c r="G101" s="175"/>
    </row>
    <row r="102">
      <c r="A102" s="187"/>
      <c r="B102" s="187"/>
      <c r="C102" s="187"/>
      <c r="D102" s="190"/>
      <c r="E102" s="155"/>
      <c r="F102" s="180"/>
      <c r="G102" s="175"/>
    </row>
    <row r="103">
      <c r="A103" s="187"/>
      <c r="B103" s="187"/>
      <c r="C103" s="187"/>
      <c r="D103" s="190"/>
      <c r="E103" s="155"/>
      <c r="F103" s="180"/>
      <c r="G103" s="175"/>
    </row>
    <row r="104">
      <c r="A104" s="187"/>
      <c r="B104" s="187"/>
      <c r="C104" s="187"/>
      <c r="D104" s="190"/>
      <c r="E104" s="155"/>
      <c r="F104" s="180"/>
      <c r="G104" s="175"/>
    </row>
    <row r="105">
      <c r="A105" s="187"/>
      <c r="B105" s="187"/>
      <c r="C105" s="187"/>
      <c r="D105" s="190"/>
      <c r="E105" s="155"/>
      <c r="F105" s="180"/>
      <c r="G105" s="175"/>
    </row>
    <row r="106">
      <c r="A106" s="187"/>
      <c r="B106" s="187"/>
      <c r="C106" s="187"/>
      <c r="D106" s="190"/>
      <c r="E106" s="155"/>
      <c r="F106" s="180"/>
      <c r="G106" s="175"/>
    </row>
    <row r="107">
      <c r="A107" s="187"/>
      <c r="B107" s="187"/>
      <c r="C107" s="187"/>
      <c r="D107" s="190"/>
      <c r="E107" s="155"/>
      <c r="F107" s="180"/>
      <c r="G107" s="175"/>
    </row>
    <row r="108">
      <c r="A108" s="187"/>
      <c r="B108" s="187"/>
      <c r="C108" s="187"/>
      <c r="D108" s="190"/>
      <c r="E108" s="155"/>
      <c r="F108" s="180"/>
      <c r="G108" s="175"/>
    </row>
    <row r="109">
      <c r="A109" s="187"/>
      <c r="B109" s="187"/>
      <c r="C109" s="187"/>
      <c r="D109" s="190"/>
      <c r="E109" s="155"/>
      <c r="F109" s="180"/>
      <c r="G109" s="175"/>
    </row>
    <row r="110">
      <c r="A110" s="187"/>
      <c r="B110" s="187"/>
      <c r="C110" s="187"/>
      <c r="D110" s="190"/>
      <c r="E110" s="155"/>
      <c r="F110" s="180"/>
      <c r="G110" s="175"/>
    </row>
    <row r="111">
      <c r="A111" s="187"/>
      <c r="B111" s="187"/>
      <c r="C111" s="187"/>
      <c r="D111" s="190"/>
      <c r="E111" s="155"/>
      <c r="F111" s="180"/>
      <c r="G111" s="175"/>
    </row>
    <row r="112">
      <c r="A112" s="187"/>
      <c r="B112" s="187"/>
      <c r="C112" s="187"/>
      <c r="D112" s="190"/>
      <c r="E112" s="155"/>
      <c r="F112" s="180"/>
      <c r="G112" s="175"/>
    </row>
    <row r="113">
      <c r="A113" s="187"/>
      <c r="B113" s="187"/>
      <c r="C113" s="187"/>
      <c r="D113" s="190"/>
      <c r="E113" s="155"/>
      <c r="F113" s="180"/>
      <c r="G113" s="175"/>
    </row>
    <row r="114">
      <c r="A114" s="187"/>
      <c r="B114" s="187"/>
      <c r="C114" s="187"/>
      <c r="D114" s="190"/>
      <c r="E114" s="155"/>
      <c r="F114" s="180"/>
      <c r="G114" s="175"/>
    </row>
    <row r="115">
      <c r="A115" s="187"/>
      <c r="B115" s="187"/>
      <c r="C115" s="187"/>
      <c r="D115" s="190"/>
      <c r="E115" s="155"/>
      <c r="F115" s="180"/>
      <c r="G115" s="175"/>
    </row>
    <row r="116">
      <c r="A116" s="187"/>
      <c r="B116" s="187"/>
      <c r="C116" s="187"/>
      <c r="D116" s="190"/>
      <c r="E116" s="155"/>
      <c r="F116" s="180"/>
      <c r="G116" s="175"/>
    </row>
    <row r="117">
      <c r="A117" s="187"/>
      <c r="B117" s="187"/>
      <c r="C117" s="187"/>
      <c r="D117" s="190"/>
      <c r="E117" s="155"/>
      <c r="F117" s="180"/>
      <c r="G117" s="175"/>
    </row>
    <row r="118">
      <c r="A118" s="187"/>
      <c r="B118" s="187"/>
      <c r="C118" s="187"/>
      <c r="D118" s="190"/>
      <c r="E118" s="155"/>
      <c r="F118" s="180"/>
      <c r="G118" s="175"/>
    </row>
    <row r="119">
      <c r="A119" s="187"/>
      <c r="B119" s="187"/>
      <c r="C119" s="187"/>
      <c r="D119" s="190"/>
      <c r="E119" s="155"/>
      <c r="F119" s="180"/>
      <c r="G119" s="175"/>
    </row>
    <row r="120">
      <c r="A120" s="187"/>
      <c r="B120" s="187"/>
      <c r="C120" s="187"/>
      <c r="D120" s="190"/>
      <c r="E120" s="155"/>
      <c r="F120" s="180"/>
      <c r="G120" s="175"/>
    </row>
    <row r="121">
      <c r="A121" s="187"/>
      <c r="B121" s="187"/>
      <c r="C121" s="187"/>
      <c r="D121" s="190"/>
      <c r="E121" s="155"/>
      <c r="F121" s="180"/>
      <c r="G121" s="175"/>
    </row>
    <row r="122">
      <c r="A122" s="187"/>
      <c r="B122" s="187"/>
      <c r="C122" s="187"/>
      <c r="D122" s="190"/>
      <c r="E122" s="155"/>
      <c r="F122" s="180"/>
      <c r="G122" s="175"/>
    </row>
    <row r="123">
      <c r="A123" s="187"/>
      <c r="B123" s="187"/>
      <c r="C123" s="187"/>
      <c r="D123" s="190"/>
      <c r="E123" s="155"/>
      <c r="F123" s="180"/>
      <c r="G123" s="175"/>
    </row>
    <row r="124">
      <c r="A124" s="187"/>
      <c r="B124" s="187"/>
      <c r="C124" s="187"/>
      <c r="D124" s="190"/>
      <c r="E124" s="155"/>
      <c r="F124" s="180"/>
      <c r="G124" s="175"/>
    </row>
    <row r="125">
      <c r="A125" s="187"/>
      <c r="B125" s="187"/>
      <c r="C125" s="187"/>
      <c r="D125" s="190"/>
      <c r="E125" s="155"/>
      <c r="F125" s="180"/>
      <c r="G125" s="175"/>
    </row>
    <row r="126">
      <c r="A126" s="187"/>
      <c r="B126" s="187"/>
      <c r="C126" s="187"/>
      <c r="D126" s="190"/>
      <c r="E126" s="155"/>
      <c r="F126" s="180"/>
      <c r="G126" s="175"/>
    </row>
    <row r="127">
      <c r="A127" s="187"/>
      <c r="B127" s="187"/>
      <c r="C127" s="187"/>
      <c r="D127" s="190"/>
      <c r="E127" s="155"/>
      <c r="F127" s="180"/>
      <c r="G127" s="175"/>
    </row>
    <row r="128">
      <c r="A128" s="187"/>
      <c r="B128" s="187"/>
      <c r="C128" s="187"/>
      <c r="D128" s="190"/>
      <c r="E128" s="155"/>
      <c r="F128" s="180"/>
      <c r="G128" s="175"/>
    </row>
    <row r="129">
      <c r="A129" s="187"/>
      <c r="B129" s="187"/>
      <c r="C129" s="187"/>
      <c r="D129" s="190"/>
      <c r="E129" s="155"/>
      <c r="F129" s="180"/>
      <c r="G129" s="175"/>
    </row>
    <row r="130">
      <c r="A130" s="187"/>
      <c r="B130" s="187"/>
      <c r="C130" s="187"/>
      <c r="D130" s="190"/>
      <c r="E130" s="155"/>
      <c r="F130" s="180"/>
      <c r="G130" s="175"/>
    </row>
    <row r="131">
      <c r="A131" s="187"/>
      <c r="B131" s="187"/>
      <c r="C131" s="187"/>
      <c r="D131" s="190"/>
      <c r="E131" s="155"/>
      <c r="F131" s="180"/>
      <c r="G131" s="175"/>
    </row>
    <row r="132">
      <c r="A132" s="187"/>
      <c r="B132" s="187"/>
      <c r="C132" s="187"/>
      <c r="D132" s="190"/>
      <c r="E132" s="155"/>
      <c r="F132" s="180"/>
      <c r="G132" s="175"/>
    </row>
    <row r="133">
      <c r="A133" s="187"/>
      <c r="B133" s="187"/>
      <c r="C133" s="187"/>
      <c r="D133" s="190"/>
      <c r="E133" s="155"/>
      <c r="F133" s="180"/>
      <c r="G133" s="175"/>
    </row>
    <row r="134">
      <c r="A134" s="187"/>
      <c r="B134" s="187"/>
      <c r="C134" s="187"/>
      <c r="D134" s="190"/>
      <c r="E134" s="155"/>
      <c r="F134" s="180"/>
      <c r="G134" s="175"/>
    </row>
    <row r="135">
      <c r="A135" s="187"/>
      <c r="B135" s="187"/>
      <c r="C135" s="187"/>
      <c r="D135" s="190"/>
      <c r="E135" s="155"/>
      <c r="F135" s="180"/>
      <c r="G135" s="175"/>
    </row>
    <row r="136">
      <c r="A136" s="187"/>
      <c r="B136" s="187"/>
      <c r="C136" s="187"/>
      <c r="D136" s="190"/>
      <c r="E136" s="155"/>
      <c r="F136" s="180"/>
      <c r="G136" s="175"/>
    </row>
    <row r="137">
      <c r="A137" s="187"/>
      <c r="B137" s="187"/>
      <c r="C137" s="187"/>
      <c r="D137" s="190"/>
      <c r="E137" s="155"/>
      <c r="F137" s="180"/>
      <c r="G137" s="175"/>
    </row>
    <row r="138">
      <c r="A138" s="187"/>
      <c r="B138" s="187"/>
      <c r="C138" s="187"/>
      <c r="D138" s="190"/>
      <c r="E138" s="155"/>
      <c r="F138" s="180"/>
      <c r="G138" s="175"/>
    </row>
    <row r="139">
      <c r="A139" s="187"/>
      <c r="B139" s="187"/>
      <c r="C139" s="187"/>
      <c r="D139" s="190"/>
      <c r="E139" s="155"/>
      <c r="F139" s="180"/>
      <c r="G139" s="175"/>
    </row>
    <row r="140">
      <c r="A140" s="187"/>
      <c r="B140" s="187"/>
      <c r="C140" s="187"/>
      <c r="D140" s="190"/>
      <c r="E140" s="155"/>
      <c r="F140" s="180"/>
      <c r="G140" s="175"/>
    </row>
    <row r="141">
      <c r="A141" s="187"/>
      <c r="B141" s="187"/>
      <c r="C141" s="187"/>
      <c r="D141" s="190"/>
      <c r="E141" s="155"/>
      <c r="F141" s="180"/>
      <c r="G141" s="175"/>
    </row>
    <row r="142">
      <c r="A142" s="187"/>
      <c r="B142" s="187"/>
      <c r="C142" s="187"/>
      <c r="D142" s="190"/>
      <c r="E142" s="155"/>
      <c r="F142" s="180"/>
      <c r="G142" s="175"/>
    </row>
    <row r="143">
      <c r="A143" s="187"/>
      <c r="B143" s="187"/>
      <c r="C143" s="187"/>
      <c r="D143" s="190"/>
      <c r="E143" s="155"/>
      <c r="F143" s="180"/>
      <c r="G143" s="175"/>
    </row>
    <row r="144">
      <c r="A144" s="187"/>
      <c r="B144" s="187"/>
      <c r="C144" s="187"/>
      <c r="D144" s="190"/>
      <c r="E144" s="155"/>
      <c r="F144" s="180"/>
      <c r="G144" s="175"/>
    </row>
    <row r="145">
      <c r="A145" s="187"/>
      <c r="B145" s="187"/>
      <c r="C145" s="187"/>
      <c r="D145" s="190"/>
      <c r="E145" s="155"/>
      <c r="F145" s="180"/>
      <c r="G145" s="175"/>
    </row>
    <row r="146">
      <c r="A146" s="187"/>
      <c r="B146" s="187"/>
      <c r="C146" s="187"/>
      <c r="D146" s="190"/>
      <c r="E146" s="155"/>
      <c r="F146" s="180"/>
      <c r="G146" s="175"/>
    </row>
    <row r="147">
      <c r="A147" s="187"/>
      <c r="B147" s="187"/>
      <c r="C147" s="187"/>
      <c r="D147" s="190"/>
      <c r="E147" s="155"/>
      <c r="F147" s="180"/>
      <c r="G147" s="175"/>
    </row>
    <row r="148">
      <c r="A148" s="187"/>
      <c r="B148" s="187"/>
      <c r="C148" s="187"/>
      <c r="D148" s="190"/>
      <c r="E148" s="155"/>
      <c r="F148" s="180"/>
      <c r="G148" s="175"/>
    </row>
    <row r="149">
      <c r="A149" s="187"/>
      <c r="B149" s="187"/>
      <c r="C149" s="187"/>
      <c r="D149" s="190"/>
      <c r="E149" s="155"/>
      <c r="F149" s="180"/>
      <c r="G149" s="175"/>
    </row>
    <row r="150">
      <c r="A150" s="187"/>
      <c r="B150" s="187"/>
      <c r="C150" s="187"/>
      <c r="D150" s="190"/>
      <c r="E150" s="155"/>
      <c r="F150" s="180"/>
      <c r="G150" s="175"/>
    </row>
    <row r="151">
      <c r="A151" s="187"/>
      <c r="B151" s="187"/>
      <c r="C151" s="187"/>
      <c r="D151" s="190"/>
      <c r="E151" s="155"/>
      <c r="F151" s="180"/>
      <c r="G151" s="175"/>
    </row>
    <row r="152">
      <c r="A152" s="187"/>
      <c r="B152" s="187"/>
      <c r="C152" s="187"/>
      <c r="D152" s="190"/>
      <c r="E152" s="155"/>
      <c r="F152" s="180"/>
      <c r="G152" s="175"/>
    </row>
    <row r="153">
      <c r="A153" s="187"/>
      <c r="B153" s="187"/>
      <c r="C153" s="187"/>
      <c r="D153" s="190"/>
      <c r="E153" s="155"/>
      <c r="F153" s="180"/>
      <c r="G153" s="175"/>
    </row>
    <row r="154">
      <c r="A154" s="187"/>
      <c r="B154" s="187"/>
      <c r="C154" s="187"/>
      <c r="D154" s="190"/>
      <c r="E154" s="155"/>
      <c r="F154" s="180"/>
      <c r="G154" s="175"/>
    </row>
    <row r="155">
      <c r="A155" s="187"/>
      <c r="B155" s="187"/>
      <c r="C155" s="187"/>
      <c r="D155" s="190"/>
      <c r="E155" s="155"/>
      <c r="F155" s="180"/>
      <c r="G155" s="175"/>
    </row>
    <row r="156">
      <c r="A156" s="187"/>
      <c r="B156" s="187"/>
      <c r="C156" s="187"/>
      <c r="D156" s="190"/>
      <c r="E156" s="155"/>
      <c r="F156" s="180"/>
      <c r="G156" s="175"/>
    </row>
    <row r="157">
      <c r="A157" s="187"/>
      <c r="B157" s="187"/>
      <c r="C157" s="187"/>
      <c r="D157" s="190"/>
      <c r="E157" s="155"/>
      <c r="F157" s="180"/>
      <c r="G157" s="175"/>
    </row>
    <row r="158">
      <c r="A158" s="187"/>
      <c r="B158" s="187"/>
      <c r="C158" s="187"/>
      <c r="D158" s="190"/>
      <c r="E158" s="155"/>
      <c r="F158" s="180"/>
      <c r="G158" s="175"/>
    </row>
    <row r="159">
      <c r="A159" s="187"/>
      <c r="B159" s="187"/>
      <c r="C159" s="187"/>
      <c r="D159" s="190"/>
      <c r="E159" s="155"/>
      <c r="F159" s="180"/>
      <c r="G159" s="175"/>
    </row>
    <row r="160">
      <c r="A160" s="187"/>
      <c r="B160" s="187"/>
      <c r="C160" s="187"/>
      <c r="D160" s="190"/>
      <c r="E160" s="155"/>
      <c r="F160" s="180"/>
      <c r="G160" s="175"/>
    </row>
    <row r="161">
      <c r="A161" s="187"/>
      <c r="B161" s="187"/>
      <c r="C161" s="187"/>
      <c r="D161" s="190"/>
      <c r="E161" s="155"/>
      <c r="F161" s="180"/>
      <c r="G161" s="175"/>
    </row>
    <row r="162">
      <c r="A162" s="187"/>
      <c r="B162" s="187"/>
      <c r="C162" s="187"/>
      <c r="D162" s="190"/>
      <c r="E162" s="155"/>
      <c r="F162" s="180"/>
      <c r="G162" s="175"/>
    </row>
    <row r="163">
      <c r="A163" s="187"/>
      <c r="B163" s="187"/>
      <c r="C163" s="187"/>
      <c r="D163" s="190"/>
      <c r="E163" s="155"/>
      <c r="F163" s="180"/>
      <c r="G163" s="175"/>
    </row>
    <row r="164">
      <c r="A164" s="187"/>
      <c r="B164" s="187"/>
      <c r="C164" s="187"/>
      <c r="D164" s="190"/>
      <c r="E164" s="155"/>
      <c r="F164" s="180"/>
      <c r="G164" s="175"/>
    </row>
    <row r="165">
      <c r="A165" s="187"/>
      <c r="B165" s="187"/>
      <c r="C165" s="187"/>
      <c r="D165" s="190"/>
      <c r="E165" s="155"/>
      <c r="F165" s="180"/>
      <c r="G165" s="175"/>
    </row>
    <row r="166">
      <c r="A166" s="187"/>
      <c r="B166" s="187"/>
      <c r="C166" s="187"/>
      <c r="D166" s="190"/>
      <c r="E166" s="155"/>
      <c r="F166" s="180"/>
      <c r="G166" s="175"/>
    </row>
    <row r="167">
      <c r="A167" s="187"/>
      <c r="B167" s="187"/>
      <c r="C167" s="187"/>
      <c r="D167" s="190"/>
      <c r="E167" s="155"/>
      <c r="F167" s="180"/>
      <c r="G167" s="175"/>
    </row>
    <row r="168">
      <c r="A168" s="187"/>
      <c r="B168" s="187"/>
      <c r="C168" s="187"/>
      <c r="D168" s="190"/>
      <c r="E168" s="155"/>
      <c r="F168" s="180"/>
      <c r="G168" s="175"/>
    </row>
    <row r="169">
      <c r="A169" s="187"/>
      <c r="B169" s="187"/>
      <c r="C169" s="187"/>
      <c r="D169" s="190"/>
      <c r="E169" s="155"/>
      <c r="F169" s="180"/>
      <c r="G169" s="175"/>
    </row>
    <row r="170">
      <c r="A170" s="187"/>
      <c r="B170" s="187"/>
      <c r="C170" s="187"/>
      <c r="D170" s="190"/>
      <c r="E170" s="155"/>
      <c r="F170" s="180"/>
      <c r="G170" s="175"/>
    </row>
    <row r="171">
      <c r="A171" s="187"/>
      <c r="B171" s="187"/>
      <c r="C171" s="187"/>
      <c r="D171" s="190"/>
      <c r="E171" s="155"/>
      <c r="F171" s="180"/>
      <c r="G171" s="175"/>
    </row>
    <row r="172">
      <c r="A172" s="187"/>
      <c r="B172" s="187"/>
      <c r="C172" s="187"/>
      <c r="D172" s="190"/>
      <c r="E172" s="155"/>
      <c r="F172" s="180"/>
      <c r="G172" s="175"/>
    </row>
    <row r="173">
      <c r="A173" s="187"/>
      <c r="B173" s="187"/>
      <c r="C173" s="187"/>
      <c r="D173" s="190"/>
      <c r="E173" s="155"/>
      <c r="F173" s="180"/>
      <c r="G173" s="175"/>
    </row>
    <row r="174">
      <c r="A174" s="187"/>
      <c r="B174" s="187"/>
      <c r="C174" s="187"/>
      <c r="D174" s="190"/>
      <c r="E174" s="155"/>
      <c r="F174" s="180"/>
      <c r="G174" s="175"/>
    </row>
    <row r="175">
      <c r="A175" s="187"/>
      <c r="B175" s="187"/>
      <c r="C175" s="187"/>
      <c r="D175" s="190"/>
      <c r="E175" s="155"/>
      <c r="F175" s="180"/>
      <c r="G175" s="175"/>
    </row>
    <row r="176">
      <c r="A176" s="187"/>
      <c r="B176" s="187"/>
      <c r="C176" s="187"/>
      <c r="D176" s="190"/>
      <c r="E176" s="155"/>
      <c r="F176" s="180"/>
      <c r="G176" s="175"/>
    </row>
    <row r="177">
      <c r="A177" s="187"/>
      <c r="B177" s="187"/>
      <c r="C177" s="187"/>
      <c r="D177" s="190"/>
      <c r="E177" s="155"/>
      <c r="F177" s="180"/>
      <c r="G177" s="175"/>
    </row>
    <row r="178">
      <c r="A178" s="187"/>
      <c r="B178" s="187"/>
      <c r="C178" s="187"/>
      <c r="D178" s="190"/>
      <c r="E178" s="155"/>
      <c r="F178" s="180"/>
      <c r="G178" s="175"/>
    </row>
    <row r="179">
      <c r="A179" s="187"/>
      <c r="B179" s="187"/>
      <c r="C179" s="187"/>
      <c r="D179" s="190"/>
      <c r="E179" s="155"/>
      <c r="F179" s="180"/>
      <c r="G179" s="175"/>
    </row>
    <row r="180">
      <c r="A180" s="187"/>
      <c r="B180" s="187"/>
      <c r="C180" s="187"/>
      <c r="D180" s="190"/>
      <c r="E180" s="155"/>
      <c r="F180" s="180"/>
      <c r="G180" s="175"/>
    </row>
    <row r="181">
      <c r="A181" s="187"/>
      <c r="B181" s="187"/>
      <c r="C181" s="187"/>
      <c r="D181" s="190"/>
      <c r="E181" s="155"/>
      <c r="F181" s="180"/>
      <c r="G181" s="175"/>
    </row>
    <row r="182">
      <c r="A182" s="187"/>
      <c r="B182" s="187"/>
      <c r="C182" s="187"/>
      <c r="D182" s="190"/>
      <c r="E182" s="155"/>
      <c r="F182" s="180"/>
      <c r="G182" s="175"/>
    </row>
    <row r="183">
      <c r="A183" s="187"/>
      <c r="B183" s="187"/>
      <c r="C183" s="187"/>
      <c r="D183" s="190"/>
      <c r="E183" s="155"/>
      <c r="F183" s="180"/>
      <c r="G183" s="175"/>
    </row>
    <row r="184">
      <c r="A184" s="187"/>
      <c r="B184" s="187"/>
      <c r="C184" s="187"/>
      <c r="D184" s="190"/>
      <c r="E184" s="155"/>
      <c r="F184" s="180"/>
      <c r="G184" s="175"/>
    </row>
    <row r="185">
      <c r="A185" s="187"/>
      <c r="B185" s="187"/>
      <c r="C185" s="187"/>
      <c r="D185" s="190"/>
      <c r="E185" s="155"/>
      <c r="F185" s="180"/>
      <c r="G185" s="175"/>
    </row>
    <row r="186">
      <c r="A186" s="187"/>
      <c r="B186" s="187"/>
      <c r="C186" s="187"/>
      <c r="D186" s="190"/>
      <c r="E186" s="155"/>
      <c r="F186" s="180"/>
      <c r="G186" s="175"/>
    </row>
    <row r="187">
      <c r="A187" s="187"/>
      <c r="B187" s="187"/>
      <c r="C187" s="187"/>
      <c r="D187" s="190"/>
      <c r="E187" s="155"/>
      <c r="F187" s="180"/>
      <c r="G187" s="175"/>
    </row>
    <row r="188">
      <c r="A188" s="187"/>
      <c r="B188" s="187"/>
      <c r="C188" s="187"/>
      <c r="D188" s="190"/>
      <c r="E188" s="155"/>
      <c r="F188" s="180"/>
      <c r="G188" s="175"/>
    </row>
    <row r="189">
      <c r="A189" s="187"/>
      <c r="B189" s="187"/>
      <c r="C189" s="187"/>
      <c r="D189" s="190"/>
      <c r="E189" s="155"/>
      <c r="F189" s="180"/>
      <c r="G189" s="175"/>
    </row>
    <row r="190">
      <c r="A190" s="187"/>
      <c r="B190" s="187"/>
      <c r="C190" s="187"/>
      <c r="D190" s="190"/>
      <c r="E190" s="155"/>
      <c r="F190" s="180"/>
      <c r="G190" s="175"/>
    </row>
    <row r="191">
      <c r="A191" s="187"/>
      <c r="B191" s="187"/>
      <c r="C191" s="187"/>
      <c r="D191" s="190"/>
      <c r="E191" s="155"/>
      <c r="F191" s="180"/>
      <c r="G191" s="175"/>
    </row>
    <row r="192">
      <c r="A192" s="187"/>
      <c r="B192" s="187"/>
      <c r="C192" s="187"/>
      <c r="D192" s="190"/>
      <c r="E192" s="155"/>
      <c r="F192" s="180"/>
      <c r="G192" s="175"/>
    </row>
    <row r="193">
      <c r="A193" s="187"/>
      <c r="B193" s="187"/>
      <c r="C193" s="187"/>
      <c r="D193" s="190"/>
      <c r="E193" s="155"/>
      <c r="F193" s="180"/>
      <c r="G193" s="175"/>
    </row>
    <row r="194">
      <c r="A194" s="187"/>
      <c r="B194" s="187"/>
      <c r="C194" s="187"/>
      <c r="D194" s="190"/>
      <c r="E194" s="155"/>
      <c r="F194" s="180"/>
      <c r="G194" s="175"/>
    </row>
    <row r="195">
      <c r="A195" s="187"/>
      <c r="B195" s="187"/>
      <c r="C195" s="187"/>
      <c r="D195" s="190"/>
      <c r="E195" s="155"/>
      <c r="F195" s="180"/>
      <c r="G195" s="175"/>
    </row>
    <row r="196">
      <c r="A196" s="187"/>
      <c r="B196" s="187"/>
      <c r="C196" s="187"/>
      <c r="D196" s="190"/>
      <c r="E196" s="155"/>
      <c r="F196" s="180"/>
      <c r="G196" s="175"/>
    </row>
    <row r="197">
      <c r="A197" s="187"/>
      <c r="B197" s="187"/>
      <c r="C197" s="187"/>
      <c r="D197" s="190"/>
      <c r="E197" s="155"/>
      <c r="F197" s="180"/>
      <c r="G197" s="175"/>
    </row>
    <row r="198">
      <c r="A198" s="187"/>
      <c r="B198" s="187"/>
      <c r="C198" s="187"/>
      <c r="D198" s="190"/>
      <c r="E198" s="155"/>
      <c r="F198" s="180"/>
      <c r="G198" s="175"/>
    </row>
    <row r="199">
      <c r="A199" s="187"/>
      <c r="B199" s="187"/>
      <c r="C199" s="187"/>
      <c r="D199" s="190"/>
      <c r="E199" s="155"/>
      <c r="F199" s="180"/>
      <c r="G199" s="175"/>
    </row>
    <row r="200">
      <c r="A200" s="187"/>
      <c r="B200" s="187"/>
      <c r="C200" s="187"/>
      <c r="D200" s="190"/>
      <c r="E200" s="155"/>
      <c r="F200" s="180"/>
      <c r="G200" s="175"/>
    </row>
    <row r="201">
      <c r="A201" s="187"/>
      <c r="B201" s="187"/>
      <c r="C201" s="187"/>
      <c r="D201" s="190"/>
      <c r="E201" s="155"/>
      <c r="F201" s="180"/>
      <c r="G201" s="175"/>
    </row>
    <row r="202">
      <c r="A202" s="187"/>
      <c r="B202" s="187"/>
      <c r="C202" s="187"/>
      <c r="D202" s="190"/>
      <c r="E202" s="155"/>
      <c r="F202" s="180"/>
      <c r="G202" s="175"/>
    </row>
    <row r="203">
      <c r="A203" s="187"/>
      <c r="B203" s="187"/>
      <c r="C203" s="187"/>
      <c r="D203" s="190"/>
      <c r="E203" s="155"/>
      <c r="F203" s="180"/>
      <c r="G203" s="175"/>
    </row>
    <row r="204">
      <c r="A204" s="187"/>
      <c r="B204" s="187"/>
      <c r="C204" s="187"/>
      <c r="D204" s="190"/>
      <c r="E204" s="155"/>
      <c r="F204" s="180"/>
      <c r="G204" s="175"/>
    </row>
    <row r="205">
      <c r="A205" s="187"/>
      <c r="B205" s="187"/>
      <c r="C205" s="187"/>
      <c r="D205" s="190"/>
      <c r="E205" s="155"/>
      <c r="F205" s="180"/>
      <c r="G205" s="175"/>
    </row>
    <row r="206">
      <c r="A206" s="187"/>
      <c r="B206" s="187"/>
      <c r="C206" s="187"/>
      <c r="D206" s="190"/>
      <c r="E206" s="155"/>
      <c r="F206" s="180"/>
      <c r="G206" s="175"/>
    </row>
    <row r="207">
      <c r="A207" s="187"/>
      <c r="B207" s="187"/>
      <c r="C207" s="187"/>
      <c r="D207" s="190"/>
      <c r="E207" s="155"/>
      <c r="F207" s="180"/>
      <c r="G207" s="175"/>
    </row>
    <row r="208">
      <c r="A208" s="187"/>
      <c r="B208" s="187"/>
      <c r="C208" s="187"/>
      <c r="D208" s="190"/>
      <c r="E208" s="155"/>
      <c r="F208" s="180"/>
      <c r="G208" s="175"/>
    </row>
    <row r="209">
      <c r="A209" s="187"/>
      <c r="B209" s="187"/>
      <c r="C209" s="187"/>
      <c r="D209" s="190"/>
      <c r="E209" s="155"/>
      <c r="F209" s="180"/>
      <c r="G209" s="175"/>
    </row>
    <row r="210">
      <c r="A210" s="187"/>
      <c r="B210" s="187"/>
      <c r="C210" s="187"/>
      <c r="D210" s="190"/>
      <c r="E210" s="155"/>
      <c r="F210" s="180"/>
      <c r="G210" s="175"/>
    </row>
    <row r="211">
      <c r="A211" s="187"/>
      <c r="B211" s="187"/>
      <c r="C211" s="187"/>
      <c r="D211" s="190"/>
      <c r="E211" s="155"/>
      <c r="F211" s="180"/>
      <c r="G211" s="175"/>
    </row>
    <row r="212">
      <c r="A212" s="187"/>
      <c r="B212" s="187"/>
      <c r="C212" s="187"/>
      <c r="D212" s="190"/>
      <c r="E212" s="155"/>
      <c r="F212" s="180"/>
      <c r="G212" s="175"/>
    </row>
    <row r="213">
      <c r="A213" s="187"/>
      <c r="B213" s="187"/>
      <c r="C213" s="187"/>
      <c r="D213" s="190"/>
      <c r="E213" s="155"/>
      <c r="F213" s="180"/>
      <c r="G213" s="175"/>
    </row>
    <row r="214">
      <c r="A214" s="187"/>
      <c r="B214" s="187"/>
      <c r="C214" s="187"/>
      <c r="D214" s="190"/>
      <c r="E214" s="155"/>
      <c r="F214" s="180"/>
      <c r="G214" s="175"/>
    </row>
    <row r="215">
      <c r="A215" s="187"/>
      <c r="B215" s="187"/>
      <c r="C215" s="187"/>
      <c r="D215" s="190"/>
      <c r="E215" s="155"/>
      <c r="F215" s="180"/>
      <c r="G215" s="175"/>
    </row>
    <row r="216">
      <c r="A216" s="187"/>
      <c r="B216" s="187"/>
      <c r="C216" s="187"/>
      <c r="D216" s="190"/>
      <c r="E216" s="155"/>
      <c r="F216" s="180"/>
      <c r="G216" s="175"/>
    </row>
    <row r="217">
      <c r="A217" s="187"/>
      <c r="B217" s="187"/>
      <c r="C217" s="187"/>
      <c r="D217" s="190"/>
      <c r="E217" s="155"/>
      <c r="F217" s="180"/>
      <c r="G217" s="175"/>
    </row>
    <row r="218">
      <c r="A218" s="187"/>
      <c r="B218" s="187"/>
      <c r="C218" s="187"/>
      <c r="D218" s="190"/>
      <c r="E218" s="155"/>
      <c r="F218" s="180"/>
      <c r="G218" s="175"/>
    </row>
    <row r="219">
      <c r="A219" s="187"/>
      <c r="B219" s="187"/>
      <c r="C219" s="187"/>
      <c r="D219" s="190"/>
      <c r="E219" s="155"/>
      <c r="F219" s="180"/>
      <c r="G219" s="175"/>
    </row>
    <row r="220">
      <c r="A220" s="187"/>
      <c r="B220" s="187"/>
      <c r="C220" s="187"/>
      <c r="D220" s="190"/>
      <c r="E220" s="155"/>
      <c r="F220" s="180"/>
      <c r="G220" s="175"/>
    </row>
    <row r="221">
      <c r="A221" s="187"/>
      <c r="B221" s="187"/>
      <c r="C221" s="187"/>
      <c r="D221" s="190"/>
      <c r="E221" s="155"/>
      <c r="F221" s="180"/>
      <c r="G221" s="175"/>
    </row>
    <row r="222">
      <c r="A222" s="187"/>
      <c r="B222" s="187"/>
      <c r="C222" s="187"/>
      <c r="D222" s="190"/>
      <c r="E222" s="155"/>
      <c r="F222" s="180"/>
      <c r="G222" s="175"/>
    </row>
    <row r="223">
      <c r="A223" s="187"/>
      <c r="B223" s="187"/>
      <c r="C223" s="187"/>
      <c r="D223" s="190"/>
      <c r="E223" s="155"/>
      <c r="F223" s="180"/>
      <c r="G223" s="175"/>
    </row>
    <row r="224">
      <c r="A224" s="187"/>
      <c r="B224" s="187"/>
      <c r="C224" s="187"/>
      <c r="D224" s="190"/>
      <c r="E224" s="155"/>
      <c r="F224" s="180"/>
      <c r="G224" s="175"/>
    </row>
    <row r="225">
      <c r="A225" s="187"/>
      <c r="B225" s="187"/>
      <c r="C225" s="187"/>
      <c r="D225" s="190"/>
      <c r="E225" s="155"/>
      <c r="F225" s="180"/>
      <c r="G225" s="175"/>
    </row>
    <row r="226">
      <c r="A226" s="187"/>
      <c r="B226" s="187"/>
      <c r="C226" s="187"/>
      <c r="D226" s="190"/>
      <c r="E226" s="155"/>
      <c r="F226" s="180"/>
      <c r="G226" s="175"/>
    </row>
    <row r="227">
      <c r="A227" s="187"/>
      <c r="B227" s="187"/>
      <c r="C227" s="187"/>
      <c r="D227" s="190"/>
      <c r="E227" s="155"/>
      <c r="F227" s="180"/>
      <c r="G227" s="175"/>
    </row>
    <row r="228">
      <c r="A228" s="187"/>
      <c r="B228" s="187"/>
      <c r="C228" s="187"/>
      <c r="D228" s="190"/>
      <c r="E228" s="155"/>
      <c r="F228" s="180"/>
      <c r="G228" s="175"/>
    </row>
    <row r="229">
      <c r="A229" s="187"/>
      <c r="B229" s="187"/>
      <c r="C229" s="187"/>
      <c r="D229" s="190"/>
      <c r="E229" s="155"/>
      <c r="F229" s="180"/>
      <c r="G229" s="175"/>
    </row>
    <row r="230">
      <c r="A230" s="187"/>
      <c r="B230" s="187"/>
      <c r="C230" s="187"/>
      <c r="D230" s="190"/>
      <c r="E230" s="155"/>
      <c r="F230" s="180"/>
      <c r="G230" s="175"/>
    </row>
    <row r="231">
      <c r="A231" s="187"/>
      <c r="B231" s="187"/>
      <c r="C231" s="187"/>
      <c r="D231" s="190"/>
      <c r="E231" s="155"/>
      <c r="F231" s="180"/>
      <c r="G231" s="175"/>
    </row>
    <row r="232">
      <c r="A232" s="187"/>
      <c r="B232" s="187"/>
      <c r="C232" s="187"/>
      <c r="D232" s="190"/>
      <c r="E232" s="155"/>
      <c r="F232" s="180"/>
      <c r="G232" s="175"/>
    </row>
    <row r="233">
      <c r="A233" s="187"/>
      <c r="B233" s="187"/>
      <c r="C233" s="187"/>
      <c r="D233" s="190"/>
      <c r="E233" s="155"/>
      <c r="F233" s="180"/>
      <c r="G233" s="175"/>
    </row>
    <row r="234">
      <c r="A234" s="187"/>
      <c r="B234" s="187"/>
      <c r="C234" s="187"/>
      <c r="D234" s="190"/>
      <c r="E234" s="155"/>
      <c r="F234" s="180"/>
      <c r="G234" s="175"/>
    </row>
    <row r="235">
      <c r="A235" s="187"/>
      <c r="B235" s="187"/>
      <c r="C235" s="187"/>
      <c r="D235" s="190"/>
      <c r="E235" s="155"/>
      <c r="F235" s="180"/>
      <c r="G235" s="175"/>
    </row>
    <row r="236">
      <c r="A236" s="187"/>
      <c r="B236" s="187"/>
      <c r="C236" s="187"/>
      <c r="D236" s="190"/>
      <c r="E236" s="155"/>
      <c r="F236" s="180"/>
      <c r="G236" s="175"/>
    </row>
    <row r="237">
      <c r="A237" s="187"/>
      <c r="B237" s="187"/>
      <c r="C237" s="187"/>
      <c r="D237" s="190"/>
      <c r="E237" s="155"/>
      <c r="F237" s="180"/>
      <c r="G237" s="175"/>
    </row>
    <row r="238">
      <c r="A238" s="187"/>
      <c r="B238" s="187"/>
      <c r="C238" s="187"/>
      <c r="D238" s="190"/>
      <c r="E238" s="155"/>
      <c r="F238" s="180"/>
      <c r="G238" s="175"/>
    </row>
    <row r="239">
      <c r="A239" s="187"/>
      <c r="B239" s="187"/>
      <c r="C239" s="187"/>
      <c r="D239" s="190"/>
      <c r="E239" s="155"/>
      <c r="F239" s="180"/>
      <c r="G239" s="175"/>
    </row>
    <row r="240">
      <c r="A240" s="187"/>
      <c r="B240" s="187"/>
      <c r="C240" s="187"/>
      <c r="D240" s="190"/>
      <c r="E240" s="155"/>
      <c r="F240" s="180"/>
      <c r="G240" s="175"/>
    </row>
    <row r="241">
      <c r="A241" s="187"/>
      <c r="B241" s="187"/>
      <c r="C241" s="187"/>
      <c r="D241" s="190"/>
      <c r="E241" s="155"/>
      <c r="F241" s="180"/>
      <c r="G241" s="175"/>
    </row>
    <row r="242">
      <c r="A242" s="187"/>
      <c r="B242" s="187"/>
      <c r="C242" s="187"/>
      <c r="D242" s="190"/>
      <c r="E242" s="155"/>
      <c r="F242" s="180"/>
      <c r="G242" s="175"/>
    </row>
    <row r="243">
      <c r="A243" s="187"/>
      <c r="B243" s="187"/>
      <c r="C243" s="187"/>
      <c r="D243" s="190"/>
      <c r="E243" s="155"/>
      <c r="F243" s="180"/>
      <c r="G243" s="175"/>
    </row>
    <row r="244">
      <c r="A244" s="187"/>
      <c r="B244" s="187"/>
      <c r="C244" s="187"/>
      <c r="D244" s="190"/>
      <c r="E244" s="155"/>
      <c r="F244" s="180"/>
      <c r="G244" s="175"/>
    </row>
    <row r="245">
      <c r="A245" s="187"/>
      <c r="B245" s="187"/>
      <c r="C245" s="187"/>
      <c r="D245" s="190"/>
      <c r="E245" s="155"/>
      <c r="F245" s="180"/>
      <c r="G245" s="175"/>
    </row>
    <row r="246">
      <c r="A246" s="187"/>
      <c r="B246" s="187"/>
      <c r="C246" s="187"/>
      <c r="D246" s="190"/>
      <c r="E246" s="155"/>
      <c r="F246" s="180"/>
      <c r="G246" s="175"/>
    </row>
    <row r="247">
      <c r="A247" s="187"/>
      <c r="B247" s="187"/>
      <c r="C247" s="187"/>
      <c r="D247" s="190"/>
      <c r="E247" s="155"/>
      <c r="F247" s="180"/>
      <c r="G247" s="175"/>
    </row>
    <row r="248">
      <c r="A248" s="187"/>
      <c r="B248" s="187"/>
      <c r="C248" s="187"/>
      <c r="D248" s="190"/>
      <c r="E248" s="155"/>
      <c r="F248" s="180"/>
      <c r="G248" s="175"/>
    </row>
    <row r="249">
      <c r="A249" s="187"/>
      <c r="B249" s="187"/>
      <c r="C249" s="187"/>
      <c r="D249" s="190"/>
      <c r="E249" s="155"/>
      <c r="F249" s="180"/>
      <c r="G249" s="175"/>
    </row>
    <row r="250">
      <c r="A250" s="187"/>
      <c r="B250" s="187"/>
      <c r="C250" s="187"/>
      <c r="D250" s="190"/>
      <c r="E250" s="155"/>
      <c r="F250" s="180"/>
      <c r="G250" s="175"/>
    </row>
    <row r="251">
      <c r="A251" s="187"/>
      <c r="B251" s="187"/>
      <c r="C251" s="187"/>
      <c r="D251" s="190"/>
      <c r="E251" s="155"/>
      <c r="F251" s="180"/>
      <c r="G251" s="175"/>
    </row>
    <row r="252">
      <c r="A252" s="187"/>
      <c r="B252" s="187"/>
      <c r="C252" s="187"/>
      <c r="D252" s="190"/>
      <c r="E252" s="155"/>
      <c r="F252" s="180"/>
      <c r="G252" s="175"/>
    </row>
    <row r="253">
      <c r="A253" s="187"/>
      <c r="B253" s="187"/>
      <c r="C253" s="187"/>
      <c r="D253" s="190"/>
      <c r="E253" s="155"/>
      <c r="F253" s="180"/>
      <c r="G253" s="175"/>
    </row>
    <row r="254">
      <c r="A254" s="187"/>
      <c r="B254" s="187"/>
      <c r="C254" s="187"/>
      <c r="D254" s="190"/>
      <c r="E254" s="155"/>
      <c r="F254" s="180"/>
      <c r="G254" s="175"/>
    </row>
    <row r="255">
      <c r="A255" s="187"/>
      <c r="B255" s="187"/>
      <c r="C255" s="187"/>
      <c r="D255" s="190"/>
      <c r="E255" s="155"/>
      <c r="F255" s="180"/>
      <c r="G255" s="175"/>
    </row>
    <row r="256">
      <c r="A256" s="187"/>
      <c r="B256" s="187"/>
      <c r="C256" s="187"/>
      <c r="D256" s="190"/>
      <c r="E256" s="155"/>
      <c r="F256" s="180"/>
      <c r="G256" s="175"/>
    </row>
    <row r="257">
      <c r="A257" s="187"/>
      <c r="B257" s="187"/>
      <c r="C257" s="187"/>
      <c r="D257" s="190"/>
      <c r="E257" s="155"/>
      <c r="F257" s="180"/>
      <c r="G257" s="175"/>
    </row>
    <row r="258">
      <c r="A258" s="187"/>
      <c r="B258" s="187"/>
      <c r="C258" s="187"/>
      <c r="D258" s="190"/>
      <c r="E258" s="155"/>
      <c r="F258" s="180"/>
      <c r="G258" s="175"/>
    </row>
    <row r="259">
      <c r="A259" s="187"/>
      <c r="B259" s="187"/>
      <c r="C259" s="187"/>
      <c r="D259" s="190"/>
      <c r="E259" s="155"/>
      <c r="F259" s="180"/>
      <c r="G259" s="175"/>
    </row>
    <row r="260">
      <c r="A260" s="187"/>
      <c r="B260" s="187"/>
      <c r="C260" s="187"/>
      <c r="D260" s="190"/>
      <c r="E260" s="155"/>
      <c r="F260" s="180"/>
      <c r="G260" s="175"/>
    </row>
    <row r="261">
      <c r="A261" s="187"/>
      <c r="B261" s="187"/>
      <c r="C261" s="187"/>
      <c r="D261" s="190"/>
      <c r="E261" s="155"/>
      <c r="F261" s="180"/>
      <c r="G261" s="175"/>
    </row>
    <row r="262">
      <c r="A262" s="187"/>
      <c r="B262" s="187"/>
      <c r="C262" s="187"/>
      <c r="D262" s="190"/>
      <c r="E262" s="155"/>
      <c r="F262" s="180"/>
      <c r="G262" s="175"/>
    </row>
    <row r="263">
      <c r="A263" s="187"/>
      <c r="B263" s="187"/>
      <c r="C263" s="187"/>
      <c r="D263" s="190"/>
      <c r="E263" s="155"/>
      <c r="F263" s="180"/>
      <c r="G263" s="175"/>
    </row>
    <row r="264">
      <c r="A264" s="187"/>
      <c r="B264" s="187"/>
      <c r="C264" s="187"/>
      <c r="D264" s="190"/>
      <c r="E264" s="155"/>
      <c r="F264" s="180"/>
      <c r="G264" s="175"/>
    </row>
    <row r="265">
      <c r="A265" s="187"/>
      <c r="B265" s="187"/>
      <c r="C265" s="187"/>
      <c r="D265" s="190"/>
      <c r="E265" s="155"/>
      <c r="F265" s="180"/>
      <c r="G265" s="175"/>
    </row>
    <row r="266">
      <c r="A266" s="187"/>
      <c r="B266" s="187"/>
      <c r="C266" s="187"/>
      <c r="D266" s="190"/>
      <c r="E266" s="155"/>
      <c r="F266" s="180"/>
      <c r="G266" s="175"/>
    </row>
    <row r="267">
      <c r="A267" s="187"/>
      <c r="B267" s="187"/>
      <c r="C267" s="187"/>
      <c r="D267" s="190"/>
      <c r="E267" s="155"/>
      <c r="F267" s="180"/>
      <c r="G267" s="175"/>
    </row>
    <row r="268">
      <c r="A268" s="187"/>
      <c r="B268" s="187"/>
      <c r="C268" s="187"/>
      <c r="D268" s="190"/>
      <c r="E268" s="155"/>
      <c r="F268" s="180"/>
      <c r="G268" s="175"/>
    </row>
    <row r="269">
      <c r="A269" s="187"/>
      <c r="B269" s="187"/>
      <c r="C269" s="187"/>
      <c r="D269" s="190"/>
      <c r="E269" s="155"/>
      <c r="F269" s="180"/>
      <c r="G269" s="175"/>
    </row>
    <row r="270">
      <c r="A270" s="187"/>
      <c r="B270" s="187"/>
      <c r="C270" s="187"/>
      <c r="D270" s="190"/>
      <c r="E270" s="155"/>
      <c r="F270" s="180"/>
      <c r="G270" s="175"/>
    </row>
    <row r="271">
      <c r="A271" s="187"/>
      <c r="B271" s="187"/>
      <c r="C271" s="187"/>
      <c r="D271" s="190"/>
      <c r="E271" s="155"/>
      <c r="F271" s="180"/>
      <c r="G271" s="175"/>
    </row>
    <row r="272">
      <c r="A272" s="187"/>
      <c r="B272" s="187"/>
      <c r="C272" s="187"/>
      <c r="D272" s="190"/>
      <c r="E272" s="155"/>
      <c r="F272" s="180"/>
      <c r="G272" s="175"/>
    </row>
    <row r="273">
      <c r="A273" s="187"/>
      <c r="B273" s="187"/>
      <c r="C273" s="187"/>
      <c r="D273" s="190"/>
      <c r="E273" s="155"/>
      <c r="F273" s="180"/>
      <c r="G273" s="175"/>
    </row>
    <row r="274">
      <c r="A274" s="187"/>
      <c r="B274" s="187"/>
      <c r="C274" s="187"/>
      <c r="D274" s="190"/>
      <c r="E274" s="155"/>
      <c r="F274" s="180"/>
      <c r="G274" s="175"/>
    </row>
    <row r="275">
      <c r="A275" s="187"/>
      <c r="B275" s="187"/>
      <c r="C275" s="187"/>
      <c r="D275" s="190"/>
      <c r="E275" s="155"/>
      <c r="F275" s="180"/>
      <c r="G275" s="175"/>
    </row>
    <row r="276">
      <c r="A276" s="187"/>
      <c r="B276" s="187"/>
      <c r="C276" s="187"/>
      <c r="D276" s="190"/>
      <c r="E276" s="155"/>
      <c r="F276" s="180"/>
      <c r="G276" s="175"/>
    </row>
    <row r="277">
      <c r="A277" s="187"/>
      <c r="B277" s="187"/>
      <c r="C277" s="187"/>
      <c r="D277" s="190"/>
      <c r="E277" s="155"/>
      <c r="F277" s="180"/>
      <c r="G277" s="175"/>
    </row>
    <row r="278">
      <c r="A278" s="187"/>
      <c r="B278" s="187"/>
      <c r="C278" s="187"/>
      <c r="D278" s="190"/>
      <c r="E278" s="155"/>
      <c r="F278" s="180"/>
      <c r="G278" s="175"/>
    </row>
    <row r="279">
      <c r="A279" s="187"/>
      <c r="B279" s="187"/>
      <c r="C279" s="187"/>
      <c r="D279" s="190"/>
      <c r="E279" s="155"/>
      <c r="F279" s="180"/>
      <c r="G279" s="175"/>
    </row>
    <row r="280">
      <c r="A280" s="187"/>
      <c r="B280" s="187"/>
      <c r="C280" s="187"/>
      <c r="D280" s="190"/>
      <c r="E280" s="155"/>
      <c r="F280" s="180"/>
      <c r="G280" s="175"/>
    </row>
    <row r="281">
      <c r="A281" s="187"/>
      <c r="B281" s="187"/>
      <c r="C281" s="187"/>
      <c r="D281" s="190"/>
      <c r="E281" s="155"/>
      <c r="F281" s="180"/>
      <c r="G281" s="175"/>
    </row>
    <row r="282">
      <c r="A282" s="187"/>
      <c r="B282" s="187"/>
      <c r="C282" s="187"/>
      <c r="D282" s="190"/>
      <c r="E282" s="155"/>
      <c r="F282" s="180"/>
      <c r="G282" s="175"/>
    </row>
    <row r="283">
      <c r="A283" s="187"/>
      <c r="B283" s="187"/>
      <c r="C283" s="187"/>
      <c r="D283" s="190"/>
      <c r="E283" s="155"/>
      <c r="F283" s="180"/>
      <c r="G283" s="175"/>
    </row>
    <row r="284">
      <c r="A284" s="187"/>
      <c r="B284" s="187"/>
      <c r="C284" s="187"/>
      <c r="D284" s="190"/>
      <c r="E284" s="155"/>
      <c r="F284" s="180"/>
      <c r="G284" s="175"/>
    </row>
    <row r="285">
      <c r="A285" s="187"/>
      <c r="B285" s="187"/>
      <c r="C285" s="187"/>
      <c r="D285" s="190"/>
      <c r="E285" s="155"/>
      <c r="F285" s="180"/>
      <c r="G285" s="175"/>
    </row>
    <row r="286">
      <c r="A286" s="187"/>
      <c r="B286" s="187"/>
      <c r="C286" s="187"/>
      <c r="D286" s="190"/>
      <c r="E286" s="155"/>
      <c r="F286" s="180"/>
      <c r="G286" s="175"/>
    </row>
    <row r="287">
      <c r="A287" s="187"/>
      <c r="B287" s="187"/>
      <c r="C287" s="187"/>
      <c r="D287" s="190"/>
      <c r="E287" s="155"/>
      <c r="F287" s="180"/>
      <c r="G287" s="175"/>
    </row>
    <row r="288">
      <c r="A288" s="187"/>
      <c r="B288" s="187"/>
      <c r="C288" s="187"/>
      <c r="D288" s="190"/>
      <c r="E288" s="155"/>
      <c r="F288" s="180"/>
      <c r="G288" s="175"/>
    </row>
    <row r="289">
      <c r="A289" s="187"/>
      <c r="B289" s="187"/>
      <c r="C289" s="187"/>
      <c r="D289" s="190"/>
      <c r="E289" s="155"/>
      <c r="F289" s="180"/>
      <c r="G289" s="175"/>
    </row>
    <row r="290">
      <c r="A290" s="187"/>
      <c r="B290" s="187"/>
      <c r="C290" s="187"/>
      <c r="D290" s="190"/>
      <c r="E290" s="155"/>
      <c r="F290" s="180"/>
      <c r="G290" s="175"/>
    </row>
    <row r="291">
      <c r="A291" s="187"/>
      <c r="B291" s="187"/>
      <c r="C291" s="187"/>
      <c r="D291" s="190"/>
      <c r="E291" s="155"/>
      <c r="F291" s="180"/>
      <c r="G291" s="175"/>
    </row>
    <row r="292">
      <c r="A292" s="187"/>
      <c r="B292" s="187"/>
      <c r="C292" s="187"/>
      <c r="D292" s="190"/>
      <c r="E292" s="155"/>
      <c r="F292" s="180"/>
      <c r="G292" s="175"/>
    </row>
    <row r="293">
      <c r="A293" s="187"/>
      <c r="B293" s="187"/>
      <c r="C293" s="187"/>
      <c r="D293" s="190"/>
      <c r="E293" s="155"/>
      <c r="F293" s="180"/>
      <c r="G293" s="175"/>
    </row>
    <row r="294">
      <c r="A294" s="187"/>
      <c r="B294" s="187"/>
      <c r="C294" s="187"/>
      <c r="D294" s="190"/>
      <c r="E294" s="155"/>
      <c r="F294" s="180"/>
      <c r="G294" s="175"/>
    </row>
    <row r="295">
      <c r="A295" s="187"/>
      <c r="B295" s="187"/>
      <c r="C295" s="187"/>
      <c r="D295" s="190"/>
      <c r="E295" s="155"/>
      <c r="F295" s="180"/>
      <c r="G295" s="175"/>
    </row>
    <row r="296">
      <c r="A296" s="187"/>
      <c r="B296" s="187"/>
      <c r="C296" s="187"/>
      <c r="D296" s="190"/>
      <c r="E296" s="155"/>
      <c r="F296" s="180"/>
      <c r="G296" s="175"/>
    </row>
    <row r="297">
      <c r="A297" s="187"/>
      <c r="B297" s="187"/>
      <c r="C297" s="187"/>
      <c r="D297" s="190"/>
      <c r="E297" s="155"/>
      <c r="F297" s="180"/>
      <c r="G297" s="175"/>
    </row>
    <row r="298">
      <c r="A298" s="187"/>
      <c r="B298" s="187"/>
      <c r="C298" s="187"/>
      <c r="D298" s="190"/>
      <c r="E298" s="155"/>
      <c r="F298" s="180"/>
      <c r="G298" s="175"/>
    </row>
    <row r="299">
      <c r="A299" s="187"/>
      <c r="B299" s="187"/>
      <c r="C299" s="187"/>
      <c r="D299" s="190"/>
      <c r="E299" s="155"/>
      <c r="F299" s="180"/>
      <c r="G299" s="175"/>
    </row>
    <row r="300">
      <c r="A300" s="187"/>
      <c r="B300" s="187"/>
      <c r="C300" s="187"/>
      <c r="D300" s="190"/>
      <c r="E300" s="155"/>
      <c r="F300" s="180"/>
      <c r="G300" s="175"/>
    </row>
    <row r="301">
      <c r="A301" s="187"/>
      <c r="B301" s="187"/>
      <c r="C301" s="187"/>
      <c r="D301" s="190"/>
      <c r="E301" s="155"/>
      <c r="F301" s="180"/>
      <c r="G301" s="175"/>
    </row>
    <row r="302">
      <c r="A302" s="187"/>
      <c r="B302" s="187"/>
      <c r="C302" s="187"/>
      <c r="D302" s="190"/>
      <c r="E302" s="155"/>
      <c r="F302" s="180"/>
      <c r="G302" s="175"/>
    </row>
    <row r="303">
      <c r="A303" s="187"/>
      <c r="B303" s="187"/>
      <c r="C303" s="187"/>
      <c r="D303" s="190"/>
      <c r="E303" s="155"/>
      <c r="F303" s="180"/>
      <c r="G303" s="175"/>
    </row>
    <row r="304">
      <c r="A304" s="187"/>
      <c r="B304" s="187"/>
      <c r="C304" s="187"/>
      <c r="D304" s="190"/>
      <c r="E304" s="155"/>
      <c r="F304" s="180"/>
      <c r="G304" s="175"/>
    </row>
    <row r="305">
      <c r="A305" s="187"/>
      <c r="B305" s="187"/>
      <c r="C305" s="187"/>
      <c r="D305" s="190"/>
      <c r="E305" s="155"/>
      <c r="F305" s="180"/>
      <c r="G305" s="175"/>
    </row>
    <row r="306">
      <c r="A306" s="187"/>
      <c r="B306" s="187"/>
      <c r="C306" s="187"/>
      <c r="D306" s="190"/>
      <c r="E306" s="155"/>
      <c r="F306" s="180"/>
      <c r="G306" s="175"/>
    </row>
    <row r="307">
      <c r="A307" s="187"/>
      <c r="B307" s="187"/>
      <c r="C307" s="187"/>
      <c r="D307" s="190"/>
      <c r="E307" s="155"/>
      <c r="F307" s="180"/>
      <c r="G307" s="175"/>
    </row>
    <row r="308">
      <c r="A308" s="187"/>
      <c r="B308" s="187"/>
      <c r="C308" s="187"/>
      <c r="D308" s="190"/>
      <c r="E308" s="155"/>
      <c r="F308" s="180"/>
      <c r="G308" s="175"/>
    </row>
    <row r="309">
      <c r="A309" s="187"/>
      <c r="B309" s="187"/>
      <c r="C309" s="187"/>
      <c r="D309" s="190"/>
      <c r="E309" s="155"/>
      <c r="F309" s="180"/>
      <c r="G309" s="175"/>
    </row>
    <row r="310">
      <c r="A310" s="187"/>
      <c r="B310" s="187"/>
      <c r="C310" s="187"/>
      <c r="D310" s="190"/>
      <c r="E310" s="155"/>
      <c r="F310" s="180"/>
      <c r="G310" s="175"/>
    </row>
    <row r="311">
      <c r="A311" s="187"/>
      <c r="B311" s="187"/>
      <c r="C311" s="187"/>
      <c r="D311" s="190"/>
      <c r="E311" s="155"/>
      <c r="F311" s="180"/>
      <c r="G311" s="175"/>
    </row>
    <row r="312">
      <c r="A312" s="187"/>
      <c r="B312" s="187"/>
      <c r="C312" s="187"/>
      <c r="D312" s="190"/>
      <c r="E312" s="155"/>
      <c r="F312" s="180"/>
      <c r="G312" s="175"/>
    </row>
    <row r="313">
      <c r="A313" s="187"/>
      <c r="B313" s="187"/>
      <c r="C313" s="187"/>
      <c r="D313" s="190"/>
      <c r="E313" s="155"/>
      <c r="F313" s="180"/>
      <c r="G313" s="175"/>
    </row>
    <row r="314">
      <c r="A314" s="187"/>
      <c r="B314" s="187"/>
      <c r="C314" s="187"/>
      <c r="D314" s="190"/>
      <c r="E314" s="155"/>
      <c r="F314" s="180"/>
      <c r="G314" s="175"/>
    </row>
    <row r="315">
      <c r="A315" s="187"/>
      <c r="B315" s="187"/>
      <c r="C315" s="187"/>
      <c r="D315" s="190"/>
      <c r="E315" s="155"/>
      <c r="F315" s="180"/>
      <c r="G315" s="175"/>
    </row>
    <row r="316">
      <c r="A316" s="187"/>
      <c r="B316" s="187"/>
      <c r="C316" s="187"/>
      <c r="D316" s="190"/>
      <c r="E316" s="155"/>
      <c r="F316" s="180"/>
      <c r="G316" s="175"/>
    </row>
    <row r="317">
      <c r="A317" s="187"/>
      <c r="B317" s="187"/>
      <c r="C317" s="187"/>
      <c r="D317" s="190"/>
      <c r="E317" s="155"/>
      <c r="F317" s="180"/>
      <c r="G317" s="175"/>
    </row>
    <row r="318">
      <c r="A318" s="187"/>
      <c r="B318" s="187"/>
      <c r="C318" s="187"/>
      <c r="D318" s="190"/>
      <c r="E318" s="155"/>
      <c r="F318" s="180"/>
      <c r="G318" s="175"/>
    </row>
    <row r="319">
      <c r="A319" s="187"/>
      <c r="B319" s="187"/>
      <c r="C319" s="187"/>
      <c r="D319" s="190"/>
      <c r="E319" s="155"/>
      <c r="F319" s="180"/>
      <c r="G319" s="175"/>
    </row>
    <row r="320">
      <c r="A320" s="187"/>
      <c r="B320" s="187"/>
      <c r="C320" s="187"/>
      <c r="D320" s="190"/>
      <c r="E320" s="155"/>
      <c r="F320" s="180"/>
      <c r="G320" s="175"/>
    </row>
    <row r="321">
      <c r="A321" s="187"/>
      <c r="B321" s="187"/>
      <c r="C321" s="187"/>
      <c r="D321" s="190"/>
      <c r="E321" s="155"/>
      <c r="F321" s="180"/>
      <c r="G321" s="175"/>
    </row>
    <row r="322">
      <c r="A322" s="187"/>
      <c r="B322" s="187"/>
      <c r="C322" s="187"/>
      <c r="D322" s="190"/>
      <c r="E322" s="155"/>
      <c r="F322" s="180"/>
      <c r="G322" s="175"/>
    </row>
    <row r="323">
      <c r="A323" s="187"/>
      <c r="B323" s="187"/>
      <c r="C323" s="187"/>
      <c r="D323" s="190"/>
      <c r="E323" s="155"/>
      <c r="F323" s="180"/>
      <c r="G323" s="175"/>
    </row>
    <row r="324">
      <c r="A324" s="187"/>
      <c r="B324" s="187"/>
      <c r="C324" s="187"/>
      <c r="D324" s="190"/>
      <c r="E324" s="155"/>
      <c r="F324" s="180"/>
      <c r="G324" s="175"/>
    </row>
    <row r="325">
      <c r="A325" s="187"/>
      <c r="B325" s="187"/>
      <c r="C325" s="187"/>
      <c r="D325" s="190"/>
      <c r="E325" s="155"/>
      <c r="F325" s="180"/>
      <c r="G325" s="175"/>
    </row>
    <row r="326">
      <c r="A326" s="187"/>
      <c r="B326" s="187"/>
      <c r="C326" s="187"/>
      <c r="D326" s="190"/>
      <c r="E326" s="155"/>
      <c r="F326" s="180"/>
      <c r="G326" s="175"/>
    </row>
    <row r="327">
      <c r="A327" s="187"/>
      <c r="B327" s="187"/>
      <c r="C327" s="187"/>
      <c r="D327" s="190"/>
      <c r="E327" s="155"/>
      <c r="F327" s="180"/>
      <c r="G327" s="175"/>
    </row>
    <row r="328">
      <c r="A328" s="187"/>
      <c r="B328" s="187"/>
      <c r="C328" s="187"/>
      <c r="D328" s="190"/>
      <c r="E328" s="155"/>
      <c r="F328" s="180"/>
      <c r="G328" s="175"/>
    </row>
    <row r="329">
      <c r="A329" s="187"/>
      <c r="B329" s="187"/>
      <c r="C329" s="187"/>
      <c r="D329" s="190"/>
      <c r="E329" s="155"/>
      <c r="F329" s="180"/>
      <c r="G329" s="175"/>
    </row>
    <row r="330">
      <c r="A330" s="187"/>
      <c r="B330" s="187"/>
      <c r="C330" s="187"/>
      <c r="D330" s="190"/>
      <c r="E330" s="155"/>
      <c r="F330" s="180"/>
      <c r="G330" s="175"/>
    </row>
    <row r="331">
      <c r="A331" s="187"/>
      <c r="B331" s="187"/>
      <c r="C331" s="187"/>
      <c r="D331" s="190"/>
      <c r="E331" s="155"/>
      <c r="F331" s="180"/>
      <c r="G331" s="175"/>
    </row>
    <row r="332">
      <c r="A332" s="187"/>
      <c r="B332" s="187"/>
      <c r="C332" s="187"/>
      <c r="D332" s="190"/>
      <c r="E332" s="155"/>
      <c r="F332" s="180"/>
      <c r="G332" s="175"/>
    </row>
    <row r="333">
      <c r="A333" s="187"/>
      <c r="B333" s="187"/>
      <c r="C333" s="187"/>
      <c r="D333" s="190"/>
      <c r="E333" s="155"/>
      <c r="F333" s="180"/>
      <c r="G333" s="175"/>
    </row>
    <row r="334">
      <c r="A334" s="187"/>
      <c r="B334" s="187"/>
      <c r="C334" s="187"/>
      <c r="D334" s="190"/>
      <c r="E334" s="155"/>
      <c r="F334" s="180"/>
      <c r="G334" s="175"/>
    </row>
    <row r="335">
      <c r="A335" s="187"/>
      <c r="B335" s="187"/>
      <c r="C335" s="187"/>
      <c r="D335" s="190"/>
      <c r="E335" s="155"/>
      <c r="F335" s="180"/>
      <c r="G335" s="175"/>
    </row>
    <row r="336">
      <c r="A336" s="187"/>
      <c r="B336" s="187"/>
      <c r="C336" s="187"/>
      <c r="D336" s="190"/>
      <c r="E336" s="155"/>
      <c r="F336" s="180"/>
      <c r="G336" s="175"/>
    </row>
    <row r="337">
      <c r="A337" s="187"/>
      <c r="B337" s="187"/>
      <c r="C337" s="187"/>
      <c r="D337" s="190"/>
      <c r="E337" s="155"/>
      <c r="F337" s="180"/>
      <c r="G337" s="175"/>
    </row>
    <row r="338">
      <c r="A338" s="187"/>
      <c r="B338" s="187"/>
      <c r="C338" s="187"/>
      <c r="D338" s="190"/>
      <c r="E338" s="155"/>
      <c r="F338" s="180"/>
      <c r="G338" s="175"/>
    </row>
    <row r="339">
      <c r="A339" s="187"/>
      <c r="B339" s="187"/>
      <c r="C339" s="187"/>
      <c r="D339" s="190"/>
      <c r="E339" s="155"/>
      <c r="F339" s="180"/>
      <c r="G339" s="175"/>
    </row>
    <row r="340">
      <c r="A340" s="187"/>
      <c r="B340" s="187"/>
      <c r="C340" s="187"/>
      <c r="D340" s="190"/>
      <c r="E340" s="155"/>
      <c r="F340" s="180"/>
      <c r="G340" s="175"/>
    </row>
    <row r="341">
      <c r="A341" s="187"/>
      <c r="B341" s="187"/>
      <c r="C341" s="187"/>
      <c r="D341" s="190"/>
      <c r="E341" s="155"/>
      <c r="F341" s="180"/>
      <c r="G341" s="175"/>
    </row>
    <row r="342">
      <c r="A342" s="187"/>
      <c r="B342" s="187"/>
      <c r="C342" s="187"/>
      <c r="D342" s="190"/>
      <c r="E342" s="155"/>
      <c r="F342" s="180"/>
      <c r="G342" s="175"/>
    </row>
    <row r="343">
      <c r="A343" s="187"/>
      <c r="B343" s="187"/>
      <c r="C343" s="187"/>
      <c r="D343" s="190"/>
      <c r="E343" s="155"/>
      <c r="F343" s="180"/>
      <c r="G343" s="175"/>
    </row>
    <row r="344">
      <c r="A344" s="187"/>
      <c r="B344" s="187"/>
      <c r="C344" s="187"/>
      <c r="D344" s="190"/>
      <c r="E344" s="155"/>
      <c r="F344" s="180"/>
      <c r="G344" s="175"/>
    </row>
    <row r="345">
      <c r="A345" s="187"/>
      <c r="B345" s="187"/>
      <c r="C345" s="187"/>
      <c r="D345" s="190"/>
      <c r="E345" s="155"/>
      <c r="F345" s="180"/>
      <c r="G345" s="175"/>
    </row>
    <row r="346">
      <c r="A346" s="187"/>
      <c r="B346" s="187"/>
      <c r="C346" s="187"/>
      <c r="D346" s="190"/>
      <c r="E346" s="155"/>
      <c r="F346" s="180"/>
      <c r="G346" s="175"/>
    </row>
    <row r="347">
      <c r="A347" s="187"/>
      <c r="B347" s="187"/>
      <c r="C347" s="187"/>
      <c r="D347" s="190"/>
      <c r="E347" s="155"/>
      <c r="F347" s="180"/>
      <c r="G347" s="175"/>
    </row>
    <row r="348">
      <c r="A348" s="187"/>
      <c r="B348" s="187"/>
      <c r="C348" s="187"/>
      <c r="D348" s="190"/>
      <c r="E348" s="155"/>
      <c r="F348" s="180"/>
      <c r="G348" s="175"/>
    </row>
    <row r="349">
      <c r="A349" s="187"/>
      <c r="B349" s="187"/>
      <c r="C349" s="187"/>
      <c r="D349" s="190"/>
      <c r="E349" s="155"/>
      <c r="F349" s="180"/>
      <c r="G349" s="175"/>
    </row>
    <row r="350">
      <c r="A350" s="187"/>
      <c r="B350" s="187"/>
      <c r="C350" s="187"/>
      <c r="D350" s="190"/>
      <c r="E350" s="155"/>
      <c r="F350" s="180"/>
      <c r="G350" s="175"/>
    </row>
    <row r="351">
      <c r="A351" s="187"/>
      <c r="B351" s="187"/>
      <c r="C351" s="187"/>
      <c r="D351" s="190"/>
      <c r="E351" s="155"/>
      <c r="F351" s="180"/>
      <c r="G351" s="175"/>
    </row>
    <row r="352">
      <c r="A352" s="187"/>
      <c r="B352" s="187"/>
      <c r="C352" s="187"/>
      <c r="D352" s="190"/>
      <c r="E352" s="155"/>
      <c r="F352" s="180"/>
      <c r="G352" s="175"/>
    </row>
    <row r="353">
      <c r="A353" s="187"/>
      <c r="B353" s="187"/>
      <c r="C353" s="187"/>
      <c r="D353" s="190"/>
      <c r="E353" s="155"/>
      <c r="F353" s="180"/>
      <c r="G353" s="175"/>
    </row>
    <row r="354">
      <c r="A354" s="187"/>
      <c r="B354" s="187"/>
      <c r="C354" s="187"/>
      <c r="D354" s="190"/>
      <c r="E354" s="155"/>
      <c r="F354" s="180"/>
      <c r="G354" s="175"/>
    </row>
    <row r="355">
      <c r="A355" s="187"/>
      <c r="B355" s="187"/>
      <c r="C355" s="187"/>
      <c r="D355" s="190"/>
      <c r="E355" s="155"/>
      <c r="F355" s="180"/>
      <c r="G355" s="175"/>
    </row>
    <row r="356">
      <c r="A356" s="187"/>
      <c r="B356" s="187"/>
      <c r="C356" s="187"/>
      <c r="D356" s="190"/>
      <c r="E356" s="155"/>
      <c r="F356" s="180"/>
      <c r="G356" s="175"/>
    </row>
    <row r="357">
      <c r="A357" s="187"/>
      <c r="B357" s="187"/>
      <c r="C357" s="187"/>
      <c r="D357" s="190"/>
      <c r="E357" s="155"/>
      <c r="F357" s="180"/>
      <c r="G357" s="175"/>
    </row>
    <row r="358">
      <c r="A358" s="187"/>
      <c r="B358" s="187"/>
      <c r="C358" s="187"/>
      <c r="D358" s="190"/>
      <c r="E358" s="155"/>
      <c r="F358" s="180"/>
      <c r="G358" s="175"/>
    </row>
    <row r="359">
      <c r="A359" s="187"/>
      <c r="B359" s="187"/>
      <c r="C359" s="187"/>
      <c r="D359" s="190"/>
      <c r="E359" s="155"/>
      <c r="F359" s="180"/>
      <c r="G359" s="175"/>
    </row>
    <row r="360">
      <c r="A360" s="187"/>
      <c r="B360" s="187"/>
      <c r="C360" s="187"/>
      <c r="D360" s="190"/>
      <c r="E360" s="155"/>
      <c r="F360" s="180"/>
      <c r="G360" s="175"/>
    </row>
    <row r="361">
      <c r="A361" s="187"/>
      <c r="B361" s="187"/>
      <c r="C361" s="187"/>
      <c r="D361" s="190"/>
      <c r="E361" s="155"/>
      <c r="F361" s="180"/>
      <c r="G361" s="175"/>
    </row>
    <row r="362">
      <c r="A362" s="187"/>
      <c r="B362" s="187"/>
      <c r="C362" s="187"/>
      <c r="D362" s="190"/>
      <c r="E362" s="155"/>
      <c r="F362" s="180"/>
      <c r="G362" s="175"/>
    </row>
    <row r="363">
      <c r="A363" s="187"/>
      <c r="B363" s="187"/>
      <c r="C363" s="187"/>
      <c r="D363" s="190"/>
      <c r="E363" s="155"/>
      <c r="F363" s="180"/>
      <c r="G363" s="175"/>
    </row>
    <row r="364">
      <c r="A364" s="187"/>
      <c r="B364" s="187"/>
      <c r="C364" s="187"/>
      <c r="D364" s="190"/>
      <c r="E364" s="155"/>
      <c r="F364" s="180"/>
      <c r="G364" s="175"/>
    </row>
    <row r="365">
      <c r="A365" s="187"/>
      <c r="B365" s="187"/>
      <c r="C365" s="187"/>
      <c r="D365" s="190"/>
      <c r="E365" s="155"/>
      <c r="F365" s="180"/>
      <c r="G365" s="175"/>
    </row>
    <row r="366">
      <c r="A366" s="187"/>
      <c r="B366" s="187"/>
      <c r="C366" s="187"/>
      <c r="D366" s="190"/>
      <c r="E366" s="155"/>
      <c r="F366" s="180"/>
      <c r="G366" s="175"/>
    </row>
    <row r="367">
      <c r="A367" s="187"/>
      <c r="B367" s="187"/>
      <c r="C367" s="187"/>
      <c r="D367" s="190"/>
      <c r="E367" s="155"/>
      <c r="F367" s="180"/>
      <c r="G367" s="175"/>
    </row>
    <row r="368">
      <c r="A368" s="187"/>
      <c r="B368" s="187"/>
      <c r="C368" s="187"/>
      <c r="D368" s="190"/>
      <c r="E368" s="155"/>
      <c r="F368" s="180"/>
      <c r="G368" s="175"/>
    </row>
    <row r="369">
      <c r="A369" s="187"/>
      <c r="B369" s="187"/>
      <c r="C369" s="187"/>
      <c r="D369" s="190"/>
      <c r="E369" s="155"/>
      <c r="F369" s="180"/>
      <c r="G369" s="175"/>
    </row>
    <row r="370">
      <c r="A370" s="187"/>
      <c r="B370" s="187"/>
      <c r="C370" s="187"/>
      <c r="D370" s="190"/>
      <c r="E370" s="155"/>
      <c r="F370" s="180"/>
      <c r="G370" s="175"/>
    </row>
    <row r="371">
      <c r="A371" s="187"/>
      <c r="B371" s="187"/>
      <c r="C371" s="187"/>
      <c r="D371" s="190"/>
      <c r="E371" s="155"/>
      <c r="F371" s="180"/>
      <c r="G371" s="175"/>
    </row>
    <row r="372">
      <c r="A372" s="187"/>
      <c r="B372" s="187"/>
      <c r="C372" s="187"/>
      <c r="D372" s="190"/>
      <c r="E372" s="155"/>
      <c r="F372" s="180"/>
      <c r="G372" s="175"/>
    </row>
    <row r="373">
      <c r="A373" s="187"/>
      <c r="B373" s="187"/>
      <c r="C373" s="187"/>
      <c r="D373" s="190"/>
      <c r="E373" s="155"/>
      <c r="F373" s="180"/>
      <c r="G373" s="175"/>
    </row>
    <row r="374">
      <c r="A374" s="187"/>
      <c r="B374" s="187"/>
      <c r="C374" s="187"/>
      <c r="D374" s="190"/>
      <c r="E374" s="155"/>
      <c r="F374" s="180"/>
      <c r="G374" s="175"/>
    </row>
    <row r="375">
      <c r="A375" s="187"/>
      <c r="B375" s="187"/>
      <c r="C375" s="187"/>
      <c r="D375" s="190"/>
      <c r="E375" s="155"/>
      <c r="F375" s="180"/>
      <c r="G375" s="175"/>
    </row>
    <row r="376">
      <c r="A376" s="187"/>
      <c r="B376" s="187"/>
      <c r="C376" s="187"/>
      <c r="D376" s="190"/>
      <c r="E376" s="155"/>
      <c r="F376" s="180"/>
      <c r="G376" s="175"/>
    </row>
    <row r="377">
      <c r="A377" s="187"/>
      <c r="B377" s="187"/>
      <c r="C377" s="187"/>
      <c r="D377" s="190"/>
      <c r="E377" s="155"/>
      <c r="F377" s="180"/>
      <c r="G377" s="175"/>
    </row>
    <row r="378">
      <c r="A378" s="187"/>
      <c r="B378" s="187"/>
      <c r="C378" s="187"/>
      <c r="D378" s="190"/>
      <c r="E378" s="155"/>
      <c r="F378" s="180"/>
      <c r="G378" s="175"/>
    </row>
    <row r="379">
      <c r="A379" s="187"/>
      <c r="B379" s="187"/>
      <c r="C379" s="187"/>
      <c r="D379" s="190"/>
      <c r="E379" s="155"/>
      <c r="F379" s="180"/>
      <c r="G379" s="175"/>
    </row>
    <row r="380">
      <c r="A380" s="187"/>
      <c r="B380" s="187"/>
      <c r="C380" s="187"/>
      <c r="D380" s="190"/>
      <c r="E380" s="155"/>
      <c r="F380" s="180"/>
      <c r="G380" s="175"/>
    </row>
    <row r="381">
      <c r="A381" s="187"/>
      <c r="B381" s="187"/>
      <c r="C381" s="187"/>
      <c r="D381" s="190"/>
      <c r="E381" s="155"/>
      <c r="F381" s="180"/>
      <c r="G381" s="175"/>
    </row>
    <row r="382">
      <c r="A382" s="187"/>
      <c r="B382" s="187"/>
      <c r="C382" s="187"/>
      <c r="D382" s="190"/>
      <c r="E382" s="155"/>
      <c r="F382" s="180"/>
      <c r="G382" s="175"/>
    </row>
    <row r="383">
      <c r="A383" s="187"/>
      <c r="B383" s="187"/>
      <c r="C383" s="187"/>
      <c r="D383" s="190"/>
      <c r="E383" s="155"/>
      <c r="F383" s="180"/>
      <c r="G383" s="175"/>
    </row>
    <row r="384">
      <c r="A384" s="187"/>
      <c r="B384" s="187"/>
      <c r="C384" s="187"/>
      <c r="D384" s="190"/>
      <c r="E384" s="155"/>
      <c r="F384" s="180"/>
      <c r="G384" s="175"/>
    </row>
    <row r="385">
      <c r="A385" s="187"/>
      <c r="B385" s="187"/>
      <c r="C385" s="187"/>
      <c r="D385" s="190"/>
      <c r="E385" s="155"/>
      <c r="F385" s="180"/>
      <c r="G385" s="175"/>
    </row>
    <row r="386">
      <c r="A386" s="187"/>
      <c r="B386" s="187"/>
      <c r="C386" s="187"/>
      <c r="D386" s="190"/>
      <c r="E386" s="155"/>
      <c r="F386" s="180"/>
      <c r="G386" s="175"/>
    </row>
    <row r="387">
      <c r="A387" s="187"/>
      <c r="B387" s="187"/>
      <c r="C387" s="187"/>
      <c r="D387" s="190"/>
      <c r="E387" s="155"/>
      <c r="F387" s="180"/>
      <c r="G387" s="175"/>
    </row>
    <row r="388">
      <c r="A388" s="187"/>
      <c r="B388" s="187"/>
      <c r="C388" s="187"/>
      <c r="D388" s="190"/>
      <c r="E388" s="155"/>
      <c r="F388" s="180"/>
      <c r="G388" s="175"/>
    </row>
    <row r="389">
      <c r="A389" s="187"/>
      <c r="B389" s="187"/>
      <c r="C389" s="187"/>
      <c r="D389" s="190"/>
      <c r="E389" s="155"/>
      <c r="F389" s="180"/>
      <c r="G389" s="175"/>
    </row>
    <row r="390">
      <c r="A390" s="187"/>
      <c r="B390" s="187"/>
      <c r="C390" s="187"/>
      <c r="D390" s="190"/>
      <c r="E390" s="155"/>
      <c r="F390" s="180"/>
      <c r="G390" s="175"/>
    </row>
    <row r="391">
      <c r="A391" s="187"/>
      <c r="B391" s="187"/>
      <c r="C391" s="187"/>
      <c r="D391" s="190"/>
      <c r="E391" s="155"/>
      <c r="F391" s="180"/>
      <c r="G391" s="175"/>
    </row>
    <row r="392">
      <c r="A392" s="187"/>
      <c r="B392" s="187"/>
      <c r="C392" s="187"/>
      <c r="D392" s="190"/>
      <c r="E392" s="155"/>
      <c r="F392" s="180"/>
      <c r="G392" s="175"/>
    </row>
    <row r="393">
      <c r="A393" s="187"/>
      <c r="B393" s="187"/>
      <c r="C393" s="187"/>
      <c r="D393" s="190"/>
      <c r="E393" s="155"/>
      <c r="F393" s="180"/>
      <c r="G393" s="175"/>
    </row>
    <row r="394">
      <c r="A394" s="187"/>
      <c r="B394" s="187"/>
      <c r="C394" s="187"/>
      <c r="D394" s="190"/>
      <c r="E394" s="155"/>
      <c r="F394" s="180"/>
      <c r="G394" s="175"/>
    </row>
    <row r="395">
      <c r="A395" s="187"/>
      <c r="B395" s="187"/>
      <c r="C395" s="187"/>
      <c r="D395" s="190"/>
      <c r="E395" s="155"/>
      <c r="F395" s="180"/>
      <c r="G395" s="175"/>
    </row>
    <row r="396">
      <c r="A396" s="187"/>
      <c r="B396" s="187"/>
      <c r="C396" s="187"/>
      <c r="D396" s="190"/>
      <c r="E396" s="155"/>
      <c r="F396" s="180"/>
      <c r="G396" s="175"/>
    </row>
    <row r="397">
      <c r="A397" s="187"/>
      <c r="B397" s="187"/>
      <c r="C397" s="187"/>
      <c r="D397" s="190"/>
      <c r="E397" s="155"/>
      <c r="F397" s="180"/>
      <c r="G397" s="175"/>
    </row>
    <row r="398">
      <c r="A398" s="187"/>
      <c r="B398" s="187"/>
      <c r="C398" s="187"/>
      <c r="D398" s="190"/>
      <c r="E398" s="155"/>
      <c r="F398" s="180"/>
      <c r="G398" s="175"/>
    </row>
    <row r="399">
      <c r="A399" s="187"/>
      <c r="B399" s="187"/>
      <c r="C399" s="187"/>
      <c r="D399" s="190"/>
      <c r="E399" s="155"/>
      <c r="F399" s="180"/>
      <c r="G399" s="175"/>
    </row>
    <row r="400">
      <c r="A400" s="187"/>
      <c r="B400" s="187"/>
      <c r="C400" s="187"/>
      <c r="D400" s="190"/>
      <c r="E400" s="155"/>
      <c r="F400" s="180"/>
      <c r="G400" s="175"/>
    </row>
    <row r="401">
      <c r="A401" s="187"/>
      <c r="B401" s="187"/>
      <c r="C401" s="187"/>
      <c r="D401" s="190"/>
      <c r="E401" s="155"/>
      <c r="F401" s="180"/>
      <c r="G401" s="175"/>
    </row>
    <row r="402">
      <c r="A402" s="187"/>
      <c r="B402" s="187"/>
      <c r="C402" s="187"/>
      <c r="D402" s="190"/>
      <c r="E402" s="155"/>
      <c r="F402" s="180"/>
      <c r="G402" s="175"/>
    </row>
    <row r="403">
      <c r="A403" s="187"/>
      <c r="B403" s="187"/>
      <c r="C403" s="187"/>
      <c r="D403" s="190"/>
      <c r="E403" s="155"/>
      <c r="F403" s="180"/>
      <c r="G403" s="175"/>
    </row>
    <row r="404">
      <c r="A404" s="187"/>
      <c r="B404" s="187"/>
      <c r="C404" s="187"/>
      <c r="D404" s="190"/>
      <c r="E404" s="155"/>
      <c r="F404" s="180"/>
      <c r="G404" s="175"/>
    </row>
    <row r="405">
      <c r="A405" s="187"/>
      <c r="B405" s="187"/>
      <c r="C405" s="187"/>
      <c r="D405" s="190"/>
      <c r="E405" s="155"/>
      <c r="F405" s="180"/>
      <c r="G405" s="175"/>
    </row>
    <row r="406">
      <c r="A406" s="187"/>
      <c r="B406" s="187"/>
      <c r="C406" s="187"/>
      <c r="D406" s="190"/>
      <c r="E406" s="155"/>
      <c r="F406" s="180"/>
      <c r="G406" s="175"/>
    </row>
    <row r="407">
      <c r="A407" s="187"/>
      <c r="B407" s="187"/>
      <c r="C407" s="187"/>
      <c r="D407" s="190"/>
      <c r="E407" s="155"/>
      <c r="F407" s="180"/>
      <c r="G407" s="175"/>
    </row>
    <row r="408">
      <c r="A408" s="187"/>
      <c r="B408" s="187"/>
      <c r="C408" s="187"/>
      <c r="D408" s="190"/>
      <c r="E408" s="155"/>
      <c r="F408" s="180"/>
      <c r="G408" s="175"/>
    </row>
    <row r="409">
      <c r="A409" s="187"/>
      <c r="B409" s="187"/>
      <c r="C409" s="187"/>
      <c r="D409" s="190"/>
      <c r="E409" s="155"/>
      <c r="F409" s="180"/>
      <c r="G409" s="175"/>
    </row>
    <row r="410">
      <c r="A410" s="187"/>
      <c r="B410" s="187"/>
      <c r="C410" s="187"/>
      <c r="D410" s="190"/>
      <c r="E410" s="155"/>
      <c r="F410" s="180"/>
      <c r="G410" s="175"/>
    </row>
    <row r="411">
      <c r="A411" s="187"/>
      <c r="B411" s="187"/>
      <c r="C411" s="187"/>
      <c r="D411" s="190"/>
      <c r="E411" s="155"/>
      <c r="F411" s="180"/>
      <c r="G411" s="175"/>
    </row>
    <row r="412">
      <c r="A412" s="187"/>
      <c r="B412" s="187"/>
      <c r="C412" s="187"/>
      <c r="D412" s="190"/>
      <c r="E412" s="155"/>
      <c r="F412" s="180"/>
      <c r="G412" s="175"/>
    </row>
    <row r="413">
      <c r="A413" s="187"/>
      <c r="B413" s="187"/>
      <c r="C413" s="187"/>
      <c r="D413" s="190"/>
      <c r="E413" s="155"/>
      <c r="F413" s="180"/>
      <c r="G413" s="175"/>
    </row>
    <row r="414">
      <c r="A414" s="187"/>
      <c r="B414" s="187"/>
      <c r="C414" s="187"/>
      <c r="D414" s="190"/>
      <c r="E414" s="155"/>
      <c r="F414" s="180"/>
      <c r="G414" s="175"/>
    </row>
    <row r="415">
      <c r="A415" s="187"/>
      <c r="B415" s="187"/>
      <c r="C415" s="187"/>
      <c r="D415" s="190"/>
      <c r="E415" s="155"/>
      <c r="F415" s="180"/>
      <c r="G415" s="175"/>
    </row>
    <row r="416">
      <c r="A416" s="187"/>
      <c r="B416" s="187"/>
      <c r="C416" s="187"/>
      <c r="D416" s="190"/>
      <c r="E416" s="155"/>
      <c r="F416" s="180"/>
      <c r="G416" s="175"/>
    </row>
    <row r="417">
      <c r="A417" s="187"/>
      <c r="B417" s="187"/>
      <c r="C417" s="187"/>
      <c r="D417" s="190"/>
      <c r="E417" s="155"/>
      <c r="F417" s="180"/>
      <c r="G417" s="175"/>
    </row>
    <row r="418">
      <c r="A418" s="187"/>
      <c r="B418" s="187"/>
      <c r="C418" s="187"/>
      <c r="D418" s="190"/>
      <c r="E418" s="155"/>
      <c r="F418" s="180"/>
      <c r="G418" s="175"/>
    </row>
    <row r="419">
      <c r="A419" s="187"/>
      <c r="B419" s="187"/>
      <c r="C419" s="187"/>
      <c r="D419" s="190"/>
      <c r="E419" s="155"/>
      <c r="F419" s="180"/>
      <c r="G419" s="175"/>
    </row>
    <row r="420">
      <c r="A420" s="187"/>
      <c r="B420" s="187"/>
      <c r="C420" s="187"/>
      <c r="D420" s="190"/>
      <c r="E420" s="155"/>
      <c r="F420" s="180"/>
      <c r="G420" s="175"/>
    </row>
    <row r="421">
      <c r="A421" s="187"/>
      <c r="B421" s="187"/>
      <c r="C421" s="187"/>
      <c r="D421" s="190"/>
      <c r="E421" s="155"/>
      <c r="F421" s="180"/>
      <c r="G421" s="175"/>
    </row>
    <row r="422">
      <c r="A422" s="187"/>
      <c r="B422" s="187"/>
      <c r="C422" s="187"/>
      <c r="D422" s="190"/>
      <c r="E422" s="155"/>
      <c r="F422" s="180"/>
      <c r="G422" s="175"/>
    </row>
    <row r="423">
      <c r="A423" s="187"/>
      <c r="B423" s="187"/>
      <c r="C423" s="187"/>
      <c r="D423" s="190"/>
      <c r="E423" s="155"/>
      <c r="F423" s="180"/>
      <c r="G423" s="175"/>
    </row>
    <row r="424">
      <c r="A424" s="187"/>
      <c r="B424" s="187"/>
      <c r="C424" s="187"/>
      <c r="D424" s="190"/>
      <c r="E424" s="155"/>
      <c r="F424" s="180"/>
      <c r="G424" s="175"/>
    </row>
    <row r="425">
      <c r="A425" s="187"/>
      <c r="B425" s="187"/>
      <c r="C425" s="187"/>
      <c r="D425" s="190"/>
      <c r="E425" s="155"/>
      <c r="F425" s="180"/>
      <c r="G425" s="175"/>
    </row>
    <row r="426">
      <c r="A426" s="187"/>
      <c r="B426" s="187"/>
      <c r="C426" s="187"/>
      <c r="D426" s="190"/>
      <c r="E426" s="155"/>
      <c r="F426" s="180"/>
      <c r="G426" s="175"/>
    </row>
    <row r="427">
      <c r="A427" s="187"/>
      <c r="B427" s="187"/>
      <c r="C427" s="187"/>
      <c r="D427" s="190"/>
      <c r="E427" s="155"/>
      <c r="F427" s="180"/>
      <c r="G427" s="175"/>
    </row>
    <row r="428">
      <c r="A428" s="187"/>
      <c r="B428" s="187"/>
      <c r="C428" s="187"/>
      <c r="D428" s="190"/>
      <c r="E428" s="155"/>
      <c r="F428" s="180"/>
      <c r="G428" s="175"/>
    </row>
    <row r="429">
      <c r="A429" s="187"/>
      <c r="B429" s="187"/>
      <c r="C429" s="187"/>
      <c r="D429" s="190"/>
      <c r="E429" s="155"/>
      <c r="F429" s="180"/>
      <c r="G429" s="175"/>
    </row>
    <row r="430">
      <c r="A430" s="187"/>
      <c r="B430" s="187"/>
      <c r="C430" s="187"/>
      <c r="D430" s="190"/>
      <c r="E430" s="155"/>
      <c r="F430" s="180"/>
      <c r="G430" s="175"/>
    </row>
    <row r="431">
      <c r="A431" s="187"/>
      <c r="B431" s="187"/>
      <c r="C431" s="187"/>
      <c r="D431" s="190"/>
      <c r="E431" s="155"/>
      <c r="F431" s="180"/>
      <c r="G431" s="175"/>
    </row>
    <row r="432">
      <c r="A432" s="187"/>
      <c r="B432" s="187"/>
      <c r="C432" s="187"/>
      <c r="D432" s="190"/>
      <c r="E432" s="155"/>
      <c r="F432" s="180"/>
      <c r="G432" s="175"/>
    </row>
    <row r="433">
      <c r="A433" s="187"/>
      <c r="B433" s="187"/>
      <c r="C433" s="187"/>
      <c r="D433" s="190"/>
      <c r="E433" s="155"/>
      <c r="F433" s="180"/>
      <c r="G433" s="175"/>
    </row>
    <row r="434">
      <c r="A434" s="187"/>
      <c r="B434" s="187"/>
      <c r="C434" s="187"/>
      <c r="D434" s="190"/>
      <c r="E434" s="155"/>
      <c r="F434" s="180"/>
      <c r="G434" s="175"/>
    </row>
    <row r="435">
      <c r="A435" s="187"/>
      <c r="B435" s="187"/>
      <c r="C435" s="187"/>
      <c r="D435" s="190"/>
      <c r="E435" s="155"/>
      <c r="F435" s="180"/>
      <c r="G435" s="175"/>
    </row>
    <row r="436">
      <c r="A436" s="187"/>
      <c r="B436" s="187"/>
      <c r="C436" s="187"/>
      <c r="D436" s="190"/>
      <c r="E436" s="155"/>
      <c r="F436" s="180"/>
      <c r="G436" s="175"/>
    </row>
    <row r="437">
      <c r="A437" s="187"/>
      <c r="B437" s="187"/>
      <c r="C437" s="187"/>
      <c r="D437" s="190"/>
      <c r="E437" s="155"/>
      <c r="F437" s="180"/>
      <c r="G437" s="175"/>
    </row>
    <row r="438">
      <c r="A438" s="187"/>
      <c r="B438" s="187"/>
      <c r="C438" s="187"/>
      <c r="D438" s="190"/>
      <c r="E438" s="155"/>
      <c r="F438" s="180"/>
      <c r="G438" s="175"/>
    </row>
    <row r="439">
      <c r="A439" s="187"/>
      <c r="B439" s="187"/>
      <c r="C439" s="187"/>
      <c r="D439" s="190"/>
      <c r="E439" s="155"/>
      <c r="F439" s="180"/>
      <c r="G439" s="175"/>
    </row>
    <row r="440">
      <c r="A440" s="187"/>
      <c r="B440" s="187"/>
      <c r="C440" s="187"/>
      <c r="D440" s="190"/>
      <c r="E440" s="155"/>
      <c r="F440" s="180"/>
      <c r="G440" s="175"/>
    </row>
    <row r="441">
      <c r="A441" s="187"/>
      <c r="B441" s="187"/>
      <c r="C441" s="187"/>
      <c r="D441" s="190"/>
      <c r="E441" s="155"/>
      <c r="F441" s="180"/>
      <c r="G441" s="175"/>
    </row>
    <row r="442">
      <c r="A442" s="187"/>
      <c r="B442" s="187"/>
      <c r="C442" s="187"/>
      <c r="D442" s="190"/>
      <c r="E442" s="155"/>
      <c r="F442" s="180"/>
      <c r="G442" s="175"/>
    </row>
    <row r="443">
      <c r="A443" s="187"/>
      <c r="B443" s="187"/>
      <c r="C443" s="187"/>
      <c r="D443" s="190"/>
      <c r="E443" s="155"/>
      <c r="F443" s="180"/>
      <c r="G443" s="175"/>
    </row>
    <row r="444">
      <c r="A444" s="187"/>
      <c r="B444" s="187"/>
      <c r="C444" s="187"/>
      <c r="D444" s="190"/>
      <c r="E444" s="155"/>
      <c r="F444" s="180"/>
      <c r="G444" s="175"/>
    </row>
    <row r="445">
      <c r="A445" s="187"/>
      <c r="B445" s="187"/>
      <c r="C445" s="187"/>
      <c r="D445" s="190"/>
      <c r="E445" s="155"/>
      <c r="F445" s="180"/>
      <c r="G445" s="175"/>
    </row>
    <row r="446">
      <c r="A446" s="187"/>
      <c r="B446" s="187"/>
      <c r="C446" s="187"/>
      <c r="D446" s="190"/>
      <c r="E446" s="155"/>
      <c r="F446" s="180"/>
      <c r="G446" s="175"/>
    </row>
    <row r="447">
      <c r="A447" s="187"/>
      <c r="B447" s="187"/>
      <c r="C447" s="187"/>
      <c r="D447" s="190"/>
      <c r="E447" s="155"/>
      <c r="F447" s="180"/>
      <c r="G447" s="175"/>
    </row>
    <row r="448">
      <c r="A448" s="187"/>
      <c r="B448" s="187"/>
      <c r="C448" s="187"/>
      <c r="D448" s="190"/>
      <c r="E448" s="155"/>
      <c r="F448" s="180"/>
      <c r="G448" s="175"/>
    </row>
    <row r="449">
      <c r="A449" s="187"/>
      <c r="B449" s="187"/>
      <c r="C449" s="187"/>
      <c r="D449" s="190"/>
      <c r="E449" s="155"/>
      <c r="F449" s="180"/>
      <c r="G449" s="175"/>
    </row>
    <row r="450">
      <c r="A450" s="187"/>
      <c r="B450" s="187"/>
      <c r="C450" s="187"/>
      <c r="D450" s="190"/>
      <c r="E450" s="155"/>
      <c r="F450" s="180"/>
      <c r="G450" s="175"/>
    </row>
    <row r="451">
      <c r="A451" s="187"/>
      <c r="B451" s="187"/>
      <c r="C451" s="187"/>
      <c r="D451" s="190"/>
      <c r="E451" s="155"/>
      <c r="F451" s="180"/>
      <c r="G451" s="175"/>
    </row>
    <row r="452">
      <c r="A452" s="187"/>
      <c r="B452" s="187"/>
      <c r="C452" s="187"/>
      <c r="D452" s="190"/>
      <c r="E452" s="155"/>
      <c r="F452" s="180"/>
      <c r="G452" s="175"/>
    </row>
    <row r="453">
      <c r="A453" s="187"/>
      <c r="B453" s="187"/>
      <c r="C453" s="187"/>
      <c r="D453" s="190"/>
      <c r="E453" s="155"/>
      <c r="F453" s="180"/>
      <c r="G453" s="175"/>
    </row>
    <row r="454">
      <c r="A454" s="187"/>
      <c r="B454" s="187"/>
      <c r="C454" s="187"/>
      <c r="D454" s="190"/>
      <c r="E454" s="155"/>
      <c r="F454" s="180"/>
      <c r="G454" s="175"/>
    </row>
    <row r="455">
      <c r="A455" s="187"/>
      <c r="B455" s="187"/>
      <c r="C455" s="187"/>
      <c r="D455" s="190"/>
      <c r="E455" s="155"/>
      <c r="F455" s="180"/>
      <c r="G455" s="175"/>
    </row>
    <row r="456">
      <c r="A456" s="187"/>
      <c r="B456" s="187"/>
      <c r="C456" s="187"/>
      <c r="D456" s="190"/>
      <c r="E456" s="155"/>
      <c r="F456" s="180"/>
      <c r="G456" s="175"/>
    </row>
    <row r="457">
      <c r="A457" s="187"/>
      <c r="B457" s="187"/>
      <c r="C457" s="187"/>
      <c r="D457" s="190"/>
      <c r="E457" s="155"/>
      <c r="F457" s="180"/>
      <c r="G457" s="175"/>
    </row>
    <row r="458">
      <c r="A458" s="187"/>
      <c r="B458" s="187"/>
      <c r="C458" s="187"/>
      <c r="D458" s="190"/>
      <c r="E458" s="155"/>
      <c r="F458" s="180"/>
      <c r="G458" s="175"/>
    </row>
    <row r="459">
      <c r="A459" s="187"/>
      <c r="B459" s="187"/>
      <c r="C459" s="187"/>
      <c r="D459" s="190"/>
      <c r="E459" s="155"/>
      <c r="F459" s="180"/>
      <c r="G459" s="175"/>
    </row>
    <row r="460">
      <c r="A460" s="187"/>
      <c r="B460" s="187"/>
      <c r="C460" s="187"/>
      <c r="D460" s="190"/>
      <c r="E460" s="155"/>
      <c r="F460" s="180"/>
      <c r="G460" s="175"/>
    </row>
    <row r="461">
      <c r="A461" s="187"/>
      <c r="B461" s="187"/>
      <c r="C461" s="187"/>
      <c r="D461" s="190"/>
      <c r="E461" s="155"/>
      <c r="F461" s="180"/>
      <c r="G461" s="175"/>
    </row>
    <row r="462">
      <c r="A462" s="187"/>
      <c r="B462" s="187"/>
      <c r="C462" s="187"/>
      <c r="D462" s="190"/>
      <c r="E462" s="155"/>
      <c r="F462" s="180"/>
      <c r="G462" s="175"/>
    </row>
    <row r="463">
      <c r="A463" s="187"/>
      <c r="B463" s="187"/>
      <c r="C463" s="187"/>
      <c r="D463" s="190"/>
      <c r="E463" s="155"/>
      <c r="F463" s="180"/>
      <c r="G463" s="175"/>
    </row>
    <row r="464">
      <c r="A464" s="187"/>
      <c r="B464" s="187"/>
      <c r="C464" s="187"/>
      <c r="D464" s="190"/>
      <c r="E464" s="155"/>
      <c r="F464" s="180"/>
      <c r="G464" s="175"/>
    </row>
    <row r="465">
      <c r="A465" s="187"/>
      <c r="B465" s="187"/>
      <c r="C465" s="187"/>
      <c r="D465" s="190"/>
      <c r="E465" s="155"/>
      <c r="F465" s="180"/>
      <c r="G465" s="175"/>
    </row>
    <row r="466">
      <c r="A466" s="187"/>
      <c r="B466" s="187"/>
      <c r="C466" s="187"/>
      <c r="D466" s="190"/>
      <c r="E466" s="155"/>
      <c r="F466" s="180"/>
      <c r="G466" s="175"/>
    </row>
    <row r="467">
      <c r="A467" s="187"/>
      <c r="B467" s="187"/>
      <c r="C467" s="187"/>
      <c r="D467" s="190"/>
      <c r="E467" s="155"/>
      <c r="F467" s="180"/>
      <c r="G467" s="175"/>
    </row>
    <row r="468">
      <c r="A468" s="187"/>
      <c r="B468" s="187"/>
      <c r="C468" s="187"/>
      <c r="D468" s="190"/>
      <c r="E468" s="155"/>
      <c r="F468" s="180"/>
      <c r="G468" s="175"/>
    </row>
    <row r="469">
      <c r="A469" s="187"/>
      <c r="B469" s="187"/>
      <c r="C469" s="187"/>
      <c r="D469" s="190"/>
      <c r="E469" s="155"/>
      <c r="F469" s="180"/>
      <c r="G469" s="175"/>
    </row>
    <row r="470">
      <c r="A470" s="187"/>
      <c r="B470" s="187"/>
      <c r="C470" s="187"/>
      <c r="D470" s="190"/>
      <c r="E470" s="155"/>
      <c r="F470" s="180"/>
      <c r="G470" s="175"/>
    </row>
    <row r="471">
      <c r="A471" s="187"/>
      <c r="B471" s="187"/>
      <c r="C471" s="187"/>
      <c r="D471" s="190"/>
      <c r="E471" s="155"/>
      <c r="F471" s="180"/>
      <c r="G471" s="175"/>
    </row>
    <row r="472">
      <c r="A472" s="187"/>
      <c r="B472" s="187"/>
      <c r="C472" s="187"/>
      <c r="D472" s="190"/>
      <c r="E472" s="155"/>
      <c r="F472" s="180"/>
      <c r="G472" s="175"/>
    </row>
    <row r="473">
      <c r="A473" s="187"/>
      <c r="B473" s="187"/>
      <c r="C473" s="187"/>
      <c r="D473" s="190"/>
      <c r="E473" s="155"/>
      <c r="F473" s="180"/>
      <c r="G473" s="175"/>
    </row>
    <row r="474">
      <c r="A474" s="187"/>
      <c r="B474" s="187"/>
      <c r="C474" s="187"/>
      <c r="D474" s="190"/>
      <c r="E474" s="155"/>
      <c r="F474" s="180"/>
      <c r="G474" s="175"/>
    </row>
    <row r="475">
      <c r="A475" s="187"/>
      <c r="B475" s="187"/>
      <c r="C475" s="187"/>
      <c r="D475" s="190"/>
      <c r="E475" s="155"/>
      <c r="F475" s="180"/>
      <c r="G475" s="175"/>
    </row>
    <row r="476">
      <c r="A476" s="187"/>
      <c r="B476" s="187"/>
      <c r="C476" s="187"/>
      <c r="D476" s="190"/>
      <c r="E476" s="155"/>
      <c r="F476" s="180"/>
      <c r="G476" s="175"/>
    </row>
    <row r="477">
      <c r="A477" s="187"/>
      <c r="B477" s="187"/>
      <c r="C477" s="187"/>
      <c r="D477" s="190"/>
      <c r="E477" s="155"/>
      <c r="F477" s="180"/>
      <c r="G477" s="175"/>
    </row>
    <row r="478">
      <c r="A478" s="187"/>
      <c r="B478" s="187"/>
      <c r="C478" s="187"/>
      <c r="D478" s="190"/>
      <c r="E478" s="155"/>
      <c r="F478" s="180"/>
      <c r="G478" s="175"/>
    </row>
    <row r="479">
      <c r="A479" s="187"/>
      <c r="B479" s="187"/>
      <c r="C479" s="187"/>
      <c r="D479" s="190"/>
      <c r="E479" s="155"/>
      <c r="F479" s="180"/>
      <c r="G479" s="175"/>
    </row>
    <row r="480">
      <c r="A480" s="187"/>
      <c r="B480" s="187"/>
      <c r="C480" s="187"/>
      <c r="D480" s="190"/>
      <c r="E480" s="155"/>
      <c r="F480" s="180"/>
      <c r="G480" s="175"/>
    </row>
    <row r="481">
      <c r="A481" s="187"/>
      <c r="B481" s="187"/>
      <c r="C481" s="187"/>
      <c r="D481" s="190"/>
      <c r="E481" s="155"/>
      <c r="F481" s="180"/>
      <c r="G481" s="175"/>
    </row>
    <row r="482">
      <c r="A482" s="187"/>
      <c r="B482" s="187"/>
      <c r="C482" s="187"/>
      <c r="D482" s="190"/>
      <c r="E482" s="155"/>
      <c r="F482" s="180"/>
      <c r="G482" s="175"/>
    </row>
    <row r="483">
      <c r="A483" s="187"/>
      <c r="B483" s="187"/>
      <c r="C483" s="187"/>
      <c r="D483" s="190"/>
      <c r="E483" s="155"/>
      <c r="F483" s="180"/>
      <c r="G483" s="175"/>
    </row>
    <row r="484">
      <c r="A484" s="187"/>
      <c r="B484" s="187"/>
      <c r="C484" s="187"/>
      <c r="D484" s="190"/>
      <c r="E484" s="155"/>
      <c r="F484" s="180"/>
      <c r="G484" s="175"/>
    </row>
    <row r="485">
      <c r="A485" s="187"/>
      <c r="B485" s="187"/>
      <c r="C485" s="187"/>
      <c r="D485" s="190"/>
      <c r="E485" s="155"/>
      <c r="F485" s="180"/>
      <c r="G485" s="175"/>
    </row>
    <row r="486">
      <c r="A486" s="187"/>
      <c r="B486" s="187"/>
      <c r="C486" s="187"/>
      <c r="D486" s="190"/>
      <c r="E486" s="155"/>
      <c r="F486" s="180"/>
      <c r="G486" s="175"/>
    </row>
    <row r="487">
      <c r="A487" s="187"/>
      <c r="B487" s="187"/>
      <c r="C487" s="187"/>
      <c r="D487" s="190"/>
      <c r="E487" s="155"/>
      <c r="F487" s="180"/>
      <c r="G487" s="175"/>
    </row>
    <row r="488">
      <c r="A488" s="187"/>
      <c r="B488" s="187"/>
      <c r="C488" s="187"/>
      <c r="D488" s="190"/>
      <c r="E488" s="155"/>
      <c r="F488" s="180"/>
      <c r="G488" s="175"/>
    </row>
    <row r="489">
      <c r="A489" s="187"/>
      <c r="B489" s="187"/>
      <c r="C489" s="187"/>
      <c r="D489" s="190"/>
      <c r="E489" s="155"/>
      <c r="F489" s="180"/>
      <c r="G489" s="175"/>
    </row>
    <row r="490">
      <c r="A490" s="187"/>
      <c r="B490" s="187"/>
      <c r="C490" s="187"/>
      <c r="D490" s="190"/>
      <c r="E490" s="155"/>
      <c r="F490" s="180"/>
      <c r="G490" s="175"/>
    </row>
    <row r="491">
      <c r="A491" s="187"/>
      <c r="B491" s="187"/>
      <c r="C491" s="187"/>
      <c r="D491" s="190"/>
      <c r="E491" s="155"/>
      <c r="F491" s="180"/>
      <c r="G491" s="175"/>
    </row>
    <row r="492">
      <c r="A492" s="187"/>
      <c r="B492" s="187"/>
      <c r="C492" s="187"/>
      <c r="D492" s="190"/>
      <c r="E492" s="155"/>
      <c r="F492" s="180"/>
      <c r="G492" s="175"/>
    </row>
    <row r="493">
      <c r="A493" s="187"/>
      <c r="B493" s="187"/>
      <c r="C493" s="187"/>
      <c r="D493" s="190"/>
      <c r="E493" s="155"/>
      <c r="F493" s="180"/>
      <c r="G493" s="175"/>
    </row>
    <row r="494">
      <c r="A494" s="187"/>
      <c r="B494" s="187"/>
      <c r="C494" s="187"/>
      <c r="D494" s="190"/>
      <c r="E494" s="155"/>
      <c r="F494" s="180"/>
      <c r="G494" s="175"/>
    </row>
    <row r="495">
      <c r="A495" s="187"/>
      <c r="B495" s="187"/>
      <c r="C495" s="187"/>
      <c r="D495" s="190"/>
      <c r="E495" s="155"/>
      <c r="F495" s="180"/>
      <c r="G495" s="175"/>
    </row>
    <row r="496">
      <c r="A496" s="187"/>
      <c r="B496" s="187"/>
      <c r="C496" s="187"/>
      <c r="D496" s="190"/>
      <c r="E496" s="155"/>
      <c r="F496" s="180"/>
      <c r="G496" s="175"/>
    </row>
    <row r="497">
      <c r="A497" s="187"/>
      <c r="B497" s="187"/>
      <c r="C497" s="187"/>
      <c r="D497" s="190"/>
      <c r="E497" s="155"/>
      <c r="F497" s="180"/>
      <c r="G497" s="175"/>
    </row>
    <row r="498">
      <c r="A498" s="187"/>
      <c r="B498" s="187"/>
      <c r="C498" s="187"/>
      <c r="D498" s="190"/>
      <c r="E498" s="155"/>
      <c r="F498" s="180"/>
      <c r="G498" s="175"/>
    </row>
    <row r="499">
      <c r="A499" s="187"/>
      <c r="B499" s="187"/>
      <c r="C499" s="187"/>
      <c r="D499" s="190"/>
      <c r="E499" s="155"/>
      <c r="F499" s="180"/>
      <c r="G499" s="175"/>
    </row>
    <row r="500">
      <c r="A500" s="187"/>
      <c r="B500" s="187"/>
      <c r="C500" s="187"/>
      <c r="D500" s="190"/>
      <c r="E500" s="155"/>
      <c r="F500" s="180"/>
      <c r="G500" s="175"/>
    </row>
    <row r="501">
      <c r="A501" s="187"/>
      <c r="B501" s="187"/>
      <c r="C501" s="187"/>
      <c r="D501" s="190"/>
      <c r="E501" s="155"/>
      <c r="F501" s="180"/>
      <c r="G501" s="175"/>
    </row>
    <row r="502">
      <c r="A502" s="187"/>
      <c r="B502" s="187"/>
      <c r="C502" s="187"/>
      <c r="D502" s="190"/>
      <c r="E502" s="155"/>
      <c r="F502" s="180"/>
      <c r="G502" s="175"/>
    </row>
    <row r="503">
      <c r="A503" s="187"/>
      <c r="B503" s="187"/>
      <c r="C503" s="187"/>
      <c r="D503" s="190"/>
      <c r="E503" s="155"/>
      <c r="F503" s="180"/>
      <c r="G503" s="175"/>
    </row>
    <row r="504">
      <c r="A504" s="187"/>
      <c r="B504" s="187"/>
      <c r="C504" s="187"/>
      <c r="D504" s="190"/>
      <c r="E504" s="155"/>
      <c r="F504" s="180"/>
      <c r="G504" s="175"/>
    </row>
    <row r="505">
      <c r="A505" s="187"/>
      <c r="B505" s="187"/>
      <c r="C505" s="187"/>
      <c r="D505" s="190"/>
      <c r="E505" s="155"/>
      <c r="F505" s="180"/>
      <c r="G505" s="175"/>
    </row>
    <row r="506">
      <c r="A506" s="187"/>
      <c r="B506" s="187"/>
      <c r="C506" s="187"/>
      <c r="D506" s="190"/>
      <c r="E506" s="155"/>
      <c r="F506" s="180"/>
      <c r="G506" s="175"/>
    </row>
    <row r="507">
      <c r="A507" s="187"/>
      <c r="B507" s="187"/>
      <c r="C507" s="187"/>
      <c r="D507" s="190"/>
      <c r="E507" s="155"/>
      <c r="F507" s="180"/>
      <c r="G507" s="175"/>
    </row>
    <row r="508">
      <c r="A508" s="187"/>
      <c r="B508" s="187"/>
      <c r="C508" s="187"/>
      <c r="D508" s="190"/>
      <c r="E508" s="155"/>
      <c r="F508" s="180"/>
      <c r="G508" s="175"/>
    </row>
    <row r="509">
      <c r="A509" s="187"/>
      <c r="B509" s="187"/>
      <c r="C509" s="187"/>
      <c r="D509" s="190"/>
      <c r="E509" s="155"/>
      <c r="F509" s="180"/>
      <c r="G509" s="175"/>
    </row>
    <row r="510">
      <c r="A510" s="187"/>
      <c r="B510" s="187"/>
      <c r="C510" s="187"/>
      <c r="D510" s="190"/>
      <c r="E510" s="155"/>
      <c r="F510" s="180"/>
      <c r="G510" s="175"/>
    </row>
    <row r="511">
      <c r="A511" s="187"/>
      <c r="B511" s="187"/>
      <c r="C511" s="187"/>
      <c r="D511" s="190"/>
      <c r="E511" s="155"/>
      <c r="F511" s="180"/>
      <c r="G511" s="175"/>
    </row>
    <row r="512">
      <c r="A512" s="187"/>
      <c r="B512" s="187"/>
      <c r="C512" s="187"/>
      <c r="D512" s="190"/>
      <c r="E512" s="155"/>
      <c r="F512" s="180"/>
      <c r="G512" s="175"/>
    </row>
    <row r="513">
      <c r="A513" s="187"/>
      <c r="B513" s="187"/>
      <c r="C513" s="187"/>
      <c r="D513" s="190"/>
      <c r="E513" s="155"/>
      <c r="F513" s="180"/>
      <c r="G513" s="175"/>
    </row>
    <row r="514">
      <c r="A514" s="187"/>
      <c r="B514" s="187"/>
      <c r="C514" s="187"/>
      <c r="D514" s="190"/>
      <c r="E514" s="155"/>
      <c r="F514" s="180"/>
      <c r="G514" s="175"/>
    </row>
    <row r="515">
      <c r="A515" s="187"/>
      <c r="B515" s="187"/>
      <c r="C515" s="187"/>
      <c r="D515" s="190"/>
      <c r="E515" s="155"/>
      <c r="F515" s="180"/>
      <c r="G515" s="175"/>
    </row>
    <row r="516">
      <c r="A516" s="187"/>
      <c r="B516" s="187"/>
      <c r="C516" s="187"/>
      <c r="D516" s="190"/>
      <c r="E516" s="155"/>
      <c r="F516" s="180"/>
      <c r="G516" s="175"/>
    </row>
    <row r="517">
      <c r="A517" s="187"/>
      <c r="B517" s="187"/>
      <c r="C517" s="187"/>
      <c r="D517" s="190"/>
      <c r="E517" s="155"/>
      <c r="F517" s="180"/>
      <c r="G517" s="175"/>
    </row>
    <row r="518">
      <c r="A518" s="187"/>
      <c r="B518" s="187"/>
      <c r="C518" s="187"/>
      <c r="D518" s="190"/>
      <c r="E518" s="155"/>
      <c r="F518" s="180"/>
      <c r="G518" s="175"/>
    </row>
    <row r="519">
      <c r="A519" s="187"/>
      <c r="B519" s="187"/>
      <c r="C519" s="187"/>
      <c r="D519" s="190"/>
      <c r="E519" s="155"/>
      <c r="F519" s="180"/>
      <c r="G519" s="175"/>
    </row>
    <row r="520">
      <c r="A520" s="187"/>
      <c r="B520" s="187"/>
      <c r="C520" s="187"/>
      <c r="D520" s="190"/>
      <c r="E520" s="155"/>
      <c r="F520" s="180"/>
      <c r="G520" s="175"/>
    </row>
    <row r="521">
      <c r="A521" s="187"/>
      <c r="B521" s="187"/>
      <c r="C521" s="187"/>
      <c r="D521" s="190"/>
      <c r="E521" s="155"/>
      <c r="F521" s="180"/>
      <c r="G521" s="175"/>
    </row>
    <row r="522">
      <c r="A522" s="187"/>
      <c r="B522" s="187"/>
      <c r="C522" s="187"/>
      <c r="D522" s="190"/>
      <c r="E522" s="155"/>
      <c r="F522" s="180"/>
      <c r="G522" s="175"/>
    </row>
    <row r="523">
      <c r="A523" s="187"/>
      <c r="B523" s="187"/>
      <c r="C523" s="187"/>
      <c r="D523" s="190"/>
      <c r="E523" s="155"/>
      <c r="F523" s="180"/>
      <c r="G523" s="175"/>
    </row>
    <row r="524">
      <c r="A524" s="187"/>
      <c r="B524" s="187"/>
      <c r="C524" s="187"/>
      <c r="D524" s="190"/>
      <c r="E524" s="155"/>
      <c r="F524" s="180"/>
      <c r="G524" s="175"/>
    </row>
    <row r="525">
      <c r="A525" s="187"/>
      <c r="B525" s="187"/>
      <c r="C525" s="187"/>
      <c r="D525" s="190"/>
      <c r="E525" s="155"/>
      <c r="F525" s="180"/>
      <c r="G525" s="175"/>
    </row>
    <row r="526">
      <c r="A526" s="187"/>
      <c r="B526" s="187"/>
      <c r="C526" s="187"/>
      <c r="D526" s="190"/>
      <c r="E526" s="155"/>
      <c r="F526" s="180"/>
      <c r="G526" s="175"/>
    </row>
    <row r="527">
      <c r="A527" s="187"/>
      <c r="B527" s="187"/>
      <c r="C527" s="187"/>
      <c r="D527" s="190"/>
      <c r="E527" s="155"/>
      <c r="F527" s="180"/>
      <c r="G527" s="175"/>
    </row>
    <row r="528">
      <c r="A528" s="187"/>
      <c r="B528" s="187"/>
      <c r="C528" s="187"/>
      <c r="D528" s="190"/>
      <c r="E528" s="155"/>
      <c r="F528" s="180"/>
      <c r="G528" s="175"/>
    </row>
    <row r="529">
      <c r="A529" s="187"/>
      <c r="B529" s="187"/>
      <c r="C529" s="187"/>
      <c r="D529" s="190"/>
      <c r="E529" s="155"/>
      <c r="F529" s="180"/>
      <c r="G529" s="175"/>
    </row>
    <row r="530">
      <c r="A530" s="187"/>
      <c r="B530" s="187"/>
      <c r="C530" s="187"/>
      <c r="D530" s="190"/>
      <c r="E530" s="155"/>
      <c r="F530" s="180"/>
      <c r="G530" s="175"/>
    </row>
    <row r="531">
      <c r="A531" s="187"/>
      <c r="B531" s="187"/>
      <c r="C531" s="187"/>
      <c r="D531" s="190"/>
      <c r="E531" s="155"/>
      <c r="F531" s="180"/>
      <c r="G531" s="175"/>
    </row>
    <row r="532">
      <c r="A532" s="187"/>
      <c r="B532" s="187"/>
      <c r="C532" s="187"/>
      <c r="D532" s="190"/>
      <c r="E532" s="155"/>
      <c r="F532" s="180"/>
      <c r="G532" s="175"/>
    </row>
    <row r="533">
      <c r="A533" s="187"/>
      <c r="B533" s="187"/>
      <c r="C533" s="187"/>
      <c r="D533" s="190"/>
      <c r="E533" s="155"/>
      <c r="F533" s="180"/>
      <c r="G533" s="175"/>
    </row>
    <row r="534">
      <c r="A534" s="187"/>
      <c r="B534" s="187"/>
      <c r="C534" s="187"/>
      <c r="D534" s="190"/>
      <c r="E534" s="155"/>
      <c r="F534" s="180"/>
      <c r="G534" s="175"/>
    </row>
    <row r="535">
      <c r="A535" s="187"/>
      <c r="B535" s="187"/>
      <c r="C535" s="187"/>
      <c r="D535" s="190"/>
      <c r="E535" s="155"/>
      <c r="F535" s="180"/>
      <c r="G535" s="175"/>
    </row>
    <row r="536">
      <c r="A536" s="187"/>
      <c r="B536" s="187"/>
      <c r="C536" s="187"/>
      <c r="D536" s="190"/>
      <c r="E536" s="155"/>
      <c r="F536" s="180"/>
      <c r="G536" s="175"/>
    </row>
    <row r="537">
      <c r="A537" s="187"/>
      <c r="B537" s="187"/>
      <c r="C537" s="187"/>
      <c r="D537" s="190"/>
      <c r="E537" s="155"/>
      <c r="F537" s="180"/>
      <c r="G537" s="175"/>
    </row>
    <row r="538">
      <c r="A538" s="187"/>
      <c r="B538" s="187"/>
      <c r="C538" s="187"/>
      <c r="D538" s="190"/>
      <c r="E538" s="155"/>
      <c r="F538" s="180"/>
      <c r="G538" s="175"/>
    </row>
    <row r="539">
      <c r="A539" s="187"/>
      <c r="B539" s="187"/>
      <c r="C539" s="187"/>
      <c r="D539" s="190"/>
      <c r="E539" s="155"/>
      <c r="F539" s="180"/>
      <c r="G539" s="175"/>
    </row>
    <row r="540">
      <c r="A540" s="187"/>
      <c r="B540" s="187"/>
      <c r="C540" s="187"/>
      <c r="D540" s="190"/>
      <c r="E540" s="155"/>
      <c r="F540" s="180"/>
      <c r="G540" s="175"/>
    </row>
    <row r="541">
      <c r="A541" s="187"/>
      <c r="B541" s="187"/>
      <c r="C541" s="187"/>
      <c r="D541" s="190"/>
      <c r="E541" s="155"/>
      <c r="F541" s="180"/>
      <c r="G541" s="175"/>
    </row>
    <row r="542">
      <c r="A542" s="187"/>
      <c r="B542" s="187"/>
      <c r="C542" s="187"/>
      <c r="D542" s="190"/>
      <c r="E542" s="155"/>
      <c r="F542" s="180"/>
      <c r="G542" s="175"/>
    </row>
    <row r="543">
      <c r="A543" s="187"/>
      <c r="B543" s="187"/>
      <c r="C543" s="187"/>
      <c r="D543" s="190"/>
      <c r="E543" s="155"/>
      <c r="F543" s="180"/>
      <c r="G543" s="175"/>
    </row>
    <row r="544">
      <c r="A544" s="187"/>
      <c r="B544" s="187"/>
      <c r="C544" s="187"/>
      <c r="D544" s="190"/>
      <c r="E544" s="155"/>
      <c r="F544" s="180"/>
      <c r="G544" s="175"/>
    </row>
    <row r="545">
      <c r="A545" s="187"/>
      <c r="B545" s="187"/>
      <c r="C545" s="187"/>
      <c r="D545" s="190"/>
      <c r="E545" s="155"/>
      <c r="F545" s="180"/>
      <c r="G545" s="175"/>
    </row>
    <row r="546">
      <c r="A546" s="187"/>
      <c r="B546" s="187"/>
      <c r="C546" s="187"/>
      <c r="D546" s="190"/>
      <c r="E546" s="155"/>
      <c r="F546" s="180"/>
      <c r="G546" s="175"/>
    </row>
    <row r="547">
      <c r="A547" s="187"/>
      <c r="B547" s="187"/>
      <c r="C547" s="187"/>
      <c r="D547" s="190"/>
      <c r="E547" s="155"/>
      <c r="F547" s="180"/>
      <c r="G547" s="175"/>
    </row>
    <row r="548">
      <c r="A548" s="187"/>
      <c r="B548" s="187"/>
      <c r="C548" s="187"/>
      <c r="D548" s="190"/>
      <c r="E548" s="155"/>
      <c r="F548" s="180"/>
      <c r="G548" s="175"/>
    </row>
    <row r="549">
      <c r="A549" s="187"/>
      <c r="B549" s="187"/>
      <c r="C549" s="187"/>
      <c r="D549" s="190"/>
      <c r="E549" s="155"/>
      <c r="F549" s="180"/>
      <c r="G549" s="175"/>
    </row>
    <row r="550">
      <c r="A550" s="187"/>
      <c r="B550" s="187"/>
      <c r="C550" s="187"/>
      <c r="D550" s="190"/>
      <c r="E550" s="155"/>
      <c r="F550" s="180"/>
      <c r="G550" s="175"/>
    </row>
    <row r="551">
      <c r="A551" s="187"/>
      <c r="B551" s="187"/>
      <c r="C551" s="187"/>
      <c r="D551" s="190"/>
      <c r="E551" s="155"/>
      <c r="F551" s="180"/>
      <c r="G551" s="175"/>
    </row>
    <row r="552">
      <c r="A552" s="187"/>
      <c r="B552" s="187"/>
      <c r="C552" s="187"/>
      <c r="D552" s="190"/>
      <c r="E552" s="155"/>
      <c r="F552" s="180"/>
      <c r="G552" s="175"/>
    </row>
    <row r="553">
      <c r="A553" s="187"/>
      <c r="B553" s="187"/>
      <c r="C553" s="187"/>
      <c r="D553" s="190"/>
      <c r="E553" s="155"/>
      <c r="F553" s="180"/>
      <c r="G553" s="175"/>
    </row>
    <row r="554">
      <c r="A554" s="187"/>
      <c r="B554" s="187"/>
      <c r="C554" s="187"/>
      <c r="D554" s="190"/>
      <c r="E554" s="155"/>
      <c r="F554" s="180"/>
      <c r="G554" s="175"/>
    </row>
    <row r="555">
      <c r="A555" s="187"/>
      <c r="B555" s="187"/>
      <c r="C555" s="187"/>
      <c r="D555" s="190"/>
      <c r="E555" s="155"/>
      <c r="F555" s="180"/>
      <c r="G555" s="175"/>
    </row>
    <row r="556">
      <c r="A556" s="187"/>
      <c r="B556" s="187"/>
      <c r="C556" s="187"/>
      <c r="D556" s="190"/>
      <c r="E556" s="155"/>
      <c r="F556" s="180"/>
      <c r="G556" s="175"/>
    </row>
    <row r="557">
      <c r="A557" s="187"/>
      <c r="B557" s="187"/>
      <c r="C557" s="187"/>
      <c r="D557" s="190"/>
      <c r="E557" s="155"/>
      <c r="F557" s="180"/>
      <c r="G557" s="175"/>
    </row>
    <row r="558">
      <c r="A558" s="187"/>
      <c r="B558" s="187"/>
      <c r="C558" s="187"/>
      <c r="D558" s="190"/>
      <c r="E558" s="155"/>
      <c r="F558" s="180"/>
      <c r="G558" s="175"/>
    </row>
    <row r="559">
      <c r="A559" s="187"/>
      <c r="B559" s="187"/>
      <c r="C559" s="187"/>
      <c r="D559" s="190"/>
      <c r="E559" s="155"/>
      <c r="F559" s="180"/>
      <c r="G559" s="175"/>
    </row>
    <row r="560">
      <c r="A560" s="187"/>
      <c r="B560" s="187"/>
      <c r="C560" s="187"/>
      <c r="D560" s="190"/>
      <c r="E560" s="155"/>
      <c r="F560" s="180"/>
      <c r="G560" s="175"/>
    </row>
    <row r="561">
      <c r="A561" s="187"/>
      <c r="B561" s="187"/>
      <c r="C561" s="187"/>
      <c r="D561" s="190"/>
      <c r="E561" s="155"/>
      <c r="F561" s="180"/>
      <c r="G561" s="175"/>
    </row>
    <row r="562">
      <c r="A562" s="187"/>
      <c r="B562" s="187"/>
      <c r="C562" s="187"/>
      <c r="D562" s="190"/>
      <c r="E562" s="155"/>
      <c r="F562" s="180"/>
      <c r="G562" s="175"/>
    </row>
    <row r="563">
      <c r="A563" s="187"/>
      <c r="B563" s="187"/>
      <c r="C563" s="187"/>
      <c r="D563" s="190"/>
      <c r="E563" s="155"/>
      <c r="F563" s="180"/>
      <c r="G563" s="175"/>
    </row>
    <row r="564">
      <c r="A564" s="187"/>
      <c r="B564" s="187"/>
      <c r="C564" s="187"/>
      <c r="D564" s="190"/>
      <c r="E564" s="155"/>
      <c r="F564" s="180"/>
      <c r="G564" s="175"/>
    </row>
    <row r="565">
      <c r="A565" s="187"/>
      <c r="B565" s="187"/>
      <c r="C565" s="187"/>
      <c r="D565" s="190"/>
      <c r="E565" s="155"/>
      <c r="F565" s="180"/>
      <c r="G565" s="175"/>
    </row>
    <row r="566">
      <c r="A566" s="187"/>
      <c r="B566" s="187"/>
      <c r="C566" s="187"/>
      <c r="D566" s="190"/>
      <c r="E566" s="155"/>
      <c r="F566" s="180"/>
      <c r="G566" s="175"/>
    </row>
    <row r="567">
      <c r="A567" s="187"/>
      <c r="B567" s="187"/>
      <c r="C567" s="187"/>
      <c r="D567" s="190"/>
      <c r="E567" s="155"/>
      <c r="F567" s="180"/>
      <c r="G567" s="175"/>
    </row>
    <row r="568">
      <c r="A568" s="187"/>
      <c r="B568" s="187"/>
      <c r="C568" s="187"/>
      <c r="D568" s="190"/>
      <c r="E568" s="155"/>
      <c r="F568" s="180"/>
      <c r="G568" s="175"/>
    </row>
    <row r="569">
      <c r="A569" s="187"/>
      <c r="B569" s="187"/>
      <c r="C569" s="187"/>
      <c r="D569" s="190"/>
      <c r="E569" s="155"/>
      <c r="F569" s="180"/>
      <c r="G569" s="175"/>
    </row>
    <row r="570">
      <c r="A570" s="187"/>
      <c r="B570" s="187"/>
      <c r="C570" s="187"/>
      <c r="D570" s="190"/>
      <c r="E570" s="155"/>
      <c r="F570" s="180"/>
      <c r="G570" s="175"/>
    </row>
    <row r="571">
      <c r="A571" s="187"/>
      <c r="B571" s="187"/>
      <c r="C571" s="187"/>
      <c r="D571" s="190"/>
      <c r="E571" s="155"/>
      <c r="F571" s="180"/>
      <c r="G571" s="175"/>
    </row>
    <row r="572">
      <c r="A572" s="187"/>
      <c r="B572" s="187"/>
      <c r="C572" s="187"/>
      <c r="D572" s="190"/>
      <c r="E572" s="155"/>
      <c r="F572" s="180"/>
      <c r="G572" s="175"/>
    </row>
    <row r="573">
      <c r="A573" s="187"/>
      <c r="B573" s="187"/>
      <c r="C573" s="187"/>
      <c r="D573" s="190"/>
      <c r="E573" s="155"/>
      <c r="F573" s="180"/>
      <c r="G573" s="175"/>
    </row>
    <row r="574">
      <c r="A574" s="187"/>
      <c r="B574" s="187"/>
      <c r="C574" s="187"/>
      <c r="D574" s="190"/>
      <c r="E574" s="155"/>
      <c r="F574" s="180"/>
      <c r="G574" s="175"/>
    </row>
    <row r="575">
      <c r="A575" s="187"/>
      <c r="B575" s="187"/>
      <c r="C575" s="187"/>
      <c r="D575" s="190"/>
      <c r="E575" s="155"/>
      <c r="F575" s="180"/>
      <c r="G575" s="175"/>
    </row>
    <row r="576">
      <c r="A576" s="187"/>
      <c r="B576" s="187"/>
      <c r="C576" s="187"/>
      <c r="D576" s="190"/>
      <c r="E576" s="155"/>
      <c r="F576" s="180"/>
      <c r="G576" s="175"/>
    </row>
    <row r="577">
      <c r="A577" s="187"/>
      <c r="B577" s="187"/>
      <c r="C577" s="187"/>
      <c r="D577" s="190"/>
      <c r="E577" s="155"/>
      <c r="F577" s="180"/>
      <c r="G577" s="175"/>
    </row>
    <row r="578">
      <c r="A578" s="187"/>
      <c r="B578" s="187"/>
      <c r="C578" s="187"/>
      <c r="D578" s="190"/>
      <c r="E578" s="155"/>
      <c r="F578" s="180"/>
      <c r="G578" s="175"/>
    </row>
    <row r="579">
      <c r="A579" s="187"/>
      <c r="B579" s="187"/>
      <c r="C579" s="187"/>
      <c r="D579" s="190"/>
      <c r="E579" s="155"/>
      <c r="F579" s="180"/>
      <c r="G579" s="175"/>
    </row>
    <row r="580">
      <c r="A580" s="187"/>
      <c r="B580" s="187"/>
      <c r="C580" s="187"/>
      <c r="D580" s="190"/>
      <c r="E580" s="155"/>
      <c r="F580" s="180"/>
      <c r="G580" s="175"/>
    </row>
    <row r="581">
      <c r="A581" s="187"/>
      <c r="B581" s="187"/>
      <c r="C581" s="187"/>
      <c r="D581" s="190"/>
      <c r="E581" s="155"/>
      <c r="F581" s="180"/>
      <c r="G581" s="175"/>
    </row>
    <row r="582">
      <c r="A582" s="187"/>
      <c r="B582" s="187"/>
      <c r="C582" s="187"/>
      <c r="D582" s="190"/>
      <c r="E582" s="155"/>
      <c r="F582" s="180"/>
      <c r="G582" s="175"/>
    </row>
    <row r="583">
      <c r="A583" s="187"/>
      <c r="B583" s="187"/>
      <c r="C583" s="187"/>
      <c r="D583" s="190"/>
      <c r="E583" s="155"/>
      <c r="F583" s="180"/>
      <c r="G583" s="175"/>
    </row>
    <row r="584">
      <c r="A584" s="187"/>
      <c r="B584" s="187"/>
      <c r="C584" s="187"/>
      <c r="D584" s="190"/>
      <c r="E584" s="155"/>
      <c r="F584" s="180"/>
      <c r="G584" s="175"/>
    </row>
    <row r="585">
      <c r="A585" s="187"/>
      <c r="B585" s="187"/>
      <c r="C585" s="187"/>
      <c r="D585" s="190"/>
      <c r="E585" s="155"/>
      <c r="F585" s="180"/>
      <c r="G585" s="175"/>
    </row>
    <row r="586">
      <c r="A586" s="187"/>
      <c r="B586" s="187"/>
      <c r="C586" s="187"/>
      <c r="D586" s="190"/>
      <c r="E586" s="155"/>
      <c r="F586" s="180"/>
      <c r="G586" s="175"/>
    </row>
    <row r="587">
      <c r="A587" s="187"/>
      <c r="B587" s="187"/>
      <c r="C587" s="187"/>
      <c r="D587" s="190"/>
      <c r="E587" s="155"/>
      <c r="F587" s="180"/>
      <c r="G587" s="175"/>
    </row>
    <row r="588">
      <c r="A588" s="187"/>
      <c r="B588" s="187"/>
      <c r="C588" s="187"/>
      <c r="D588" s="190"/>
      <c r="E588" s="155"/>
      <c r="F588" s="180"/>
      <c r="G588" s="175"/>
    </row>
    <row r="589">
      <c r="A589" s="187"/>
      <c r="B589" s="187"/>
      <c r="C589" s="187"/>
      <c r="D589" s="190"/>
      <c r="E589" s="155"/>
      <c r="F589" s="180"/>
      <c r="G589" s="175"/>
    </row>
    <row r="590">
      <c r="A590" s="187"/>
      <c r="B590" s="187"/>
      <c r="C590" s="187"/>
      <c r="D590" s="190"/>
      <c r="E590" s="155"/>
      <c r="F590" s="180"/>
      <c r="G590" s="175"/>
    </row>
    <row r="591">
      <c r="A591" s="187"/>
      <c r="B591" s="187"/>
      <c r="C591" s="187"/>
      <c r="D591" s="190"/>
      <c r="E591" s="155"/>
      <c r="F591" s="180"/>
      <c r="G591" s="175"/>
    </row>
    <row r="592">
      <c r="A592" s="187"/>
      <c r="B592" s="187"/>
      <c r="C592" s="187"/>
      <c r="D592" s="190"/>
      <c r="E592" s="155"/>
      <c r="F592" s="180"/>
      <c r="G592" s="175"/>
    </row>
    <row r="593">
      <c r="A593" s="187"/>
      <c r="B593" s="187"/>
      <c r="C593" s="187"/>
      <c r="D593" s="190"/>
      <c r="E593" s="155"/>
      <c r="F593" s="180"/>
      <c r="G593" s="175"/>
    </row>
    <row r="594">
      <c r="A594" s="187"/>
      <c r="B594" s="187"/>
      <c r="C594" s="187"/>
      <c r="D594" s="190"/>
      <c r="E594" s="155"/>
      <c r="F594" s="180"/>
      <c r="G594" s="175"/>
    </row>
    <row r="595">
      <c r="A595" s="187"/>
      <c r="B595" s="187"/>
      <c r="C595" s="187"/>
      <c r="D595" s="190"/>
      <c r="E595" s="155"/>
      <c r="F595" s="180"/>
      <c r="G595" s="175"/>
    </row>
    <row r="596">
      <c r="A596" s="187"/>
      <c r="B596" s="187"/>
      <c r="C596" s="187"/>
      <c r="D596" s="190"/>
      <c r="E596" s="155"/>
      <c r="F596" s="180"/>
      <c r="G596" s="175"/>
    </row>
    <row r="597">
      <c r="A597" s="187"/>
      <c r="B597" s="187"/>
      <c r="C597" s="187"/>
      <c r="D597" s="190"/>
      <c r="E597" s="155"/>
      <c r="F597" s="180"/>
      <c r="G597" s="175"/>
    </row>
    <row r="598">
      <c r="A598" s="187"/>
      <c r="B598" s="187"/>
      <c r="C598" s="187"/>
      <c r="D598" s="190"/>
      <c r="E598" s="155"/>
      <c r="F598" s="180"/>
      <c r="G598" s="175"/>
    </row>
    <row r="599">
      <c r="A599" s="187"/>
      <c r="B599" s="187"/>
      <c r="C599" s="187"/>
      <c r="D599" s="190"/>
      <c r="E599" s="155"/>
      <c r="F599" s="180"/>
      <c r="G599" s="175"/>
    </row>
    <row r="600">
      <c r="A600" s="187"/>
      <c r="B600" s="187"/>
      <c r="C600" s="187"/>
      <c r="D600" s="190"/>
      <c r="E600" s="155"/>
      <c r="F600" s="180"/>
      <c r="G600" s="175"/>
    </row>
    <row r="601">
      <c r="A601" s="187"/>
      <c r="B601" s="187"/>
      <c r="C601" s="187"/>
      <c r="D601" s="190"/>
      <c r="E601" s="155"/>
      <c r="F601" s="180"/>
      <c r="G601" s="175"/>
    </row>
    <row r="602">
      <c r="A602" s="187"/>
      <c r="B602" s="187"/>
      <c r="C602" s="187"/>
      <c r="D602" s="190"/>
      <c r="E602" s="155"/>
      <c r="F602" s="180"/>
      <c r="G602" s="175"/>
    </row>
    <row r="603">
      <c r="A603" s="187"/>
      <c r="B603" s="187"/>
      <c r="C603" s="187"/>
      <c r="D603" s="190"/>
      <c r="E603" s="155"/>
      <c r="F603" s="180"/>
      <c r="G603" s="175"/>
    </row>
    <row r="604">
      <c r="A604" s="187"/>
      <c r="B604" s="187"/>
      <c r="C604" s="187"/>
      <c r="D604" s="190"/>
      <c r="E604" s="155"/>
      <c r="F604" s="180"/>
      <c r="G604" s="175"/>
    </row>
    <row r="605">
      <c r="A605" s="187"/>
      <c r="B605" s="187"/>
      <c r="C605" s="187"/>
      <c r="D605" s="190"/>
      <c r="E605" s="155"/>
      <c r="F605" s="180"/>
      <c r="G605" s="175"/>
    </row>
    <row r="606">
      <c r="A606" s="187"/>
      <c r="B606" s="187"/>
      <c r="C606" s="187"/>
      <c r="D606" s="190"/>
      <c r="E606" s="155"/>
      <c r="F606" s="180"/>
      <c r="G606" s="175"/>
    </row>
    <row r="607">
      <c r="A607" s="187"/>
      <c r="B607" s="187"/>
      <c r="C607" s="187"/>
      <c r="D607" s="190"/>
      <c r="E607" s="155"/>
      <c r="F607" s="180"/>
      <c r="G607" s="175"/>
    </row>
    <row r="608">
      <c r="A608" s="187"/>
      <c r="B608" s="187"/>
      <c r="C608" s="187"/>
      <c r="D608" s="190"/>
      <c r="E608" s="155"/>
      <c r="F608" s="180"/>
      <c r="G608" s="175"/>
    </row>
    <row r="609">
      <c r="A609" s="187"/>
      <c r="B609" s="187"/>
      <c r="C609" s="187"/>
      <c r="D609" s="190"/>
      <c r="E609" s="155"/>
      <c r="F609" s="180"/>
      <c r="G609" s="175"/>
    </row>
    <row r="610">
      <c r="A610" s="187"/>
      <c r="B610" s="187"/>
      <c r="C610" s="187"/>
      <c r="D610" s="190"/>
      <c r="E610" s="155"/>
      <c r="F610" s="180"/>
      <c r="G610" s="175"/>
    </row>
    <row r="611">
      <c r="A611" s="187"/>
      <c r="B611" s="187"/>
      <c r="C611" s="187"/>
      <c r="D611" s="190"/>
      <c r="E611" s="155"/>
      <c r="F611" s="180"/>
      <c r="G611" s="175"/>
    </row>
    <row r="612">
      <c r="A612" s="187"/>
      <c r="B612" s="187"/>
      <c r="C612" s="187"/>
      <c r="D612" s="190"/>
      <c r="E612" s="155"/>
      <c r="F612" s="180"/>
      <c r="G612" s="175"/>
    </row>
    <row r="613">
      <c r="A613" s="187"/>
      <c r="B613" s="187"/>
      <c r="C613" s="187"/>
      <c r="D613" s="190"/>
      <c r="E613" s="155"/>
      <c r="F613" s="180"/>
      <c r="G613" s="175"/>
    </row>
    <row r="614">
      <c r="A614" s="187"/>
      <c r="B614" s="187"/>
      <c r="C614" s="187"/>
      <c r="D614" s="190"/>
      <c r="E614" s="155"/>
      <c r="F614" s="180"/>
      <c r="G614" s="175"/>
    </row>
    <row r="615">
      <c r="A615" s="187"/>
      <c r="B615" s="187"/>
      <c r="C615" s="187"/>
      <c r="D615" s="190"/>
      <c r="E615" s="155"/>
      <c r="F615" s="180"/>
      <c r="G615" s="175"/>
    </row>
    <row r="616">
      <c r="A616" s="187"/>
      <c r="B616" s="187"/>
      <c r="C616" s="187"/>
      <c r="D616" s="190"/>
      <c r="E616" s="155"/>
      <c r="F616" s="180"/>
      <c r="G616" s="175"/>
    </row>
    <row r="617">
      <c r="A617" s="187"/>
      <c r="B617" s="187"/>
      <c r="C617" s="187"/>
      <c r="D617" s="190"/>
      <c r="E617" s="155"/>
      <c r="F617" s="180"/>
      <c r="G617" s="175"/>
    </row>
    <row r="618">
      <c r="A618" s="187"/>
      <c r="B618" s="187"/>
      <c r="C618" s="187"/>
      <c r="D618" s="190"/>
      <c r="E618" s="155"/>
      <c r="F618" s="180"/>
      <c r="G618" s="175"/>
    </row>
    <row r="619">
      <c r="A619" s="187"/>
      <c r="B619" s="187"/>
      <c r="C619" s="187"/>
      <c r="D619" s="190"/>
      <c r="E619" s="155"/>
      <c r="F619" s="180"/>
      <c r="G619" s="175"/>
    </row>
    <row r="620">
      <c r="A620" s="187"/>
      <c r="B620" s="187"/>
      <c r="C620" s="187"/>
      <c r="D620" s="190"/>
      <c r="E620" s="155"/>
      <c r="F620" s="180"/>
      <c r="G620" s="175"/>
    </row>
    <row r="621">
      <c r="A621" s="187"/>
      <c r="B621" s="187"/>
      <c r="C621" s="187"/>
      <c r="D621" s="190"/>
      <c r="E621" s="155"/>
      <c r="F621" s="180"/>
      <c r="G621" s="175"/>
    </row>
    <row r="622">
      <c r="A622" s="187"/>
      <c r="B622" s="187"/>
      <c r="C622" s="187"/>
      <c r="D622" s="190"/>
      <c r="E622" s="155"/>
      <c r="F622" s="180"/>
      <c r="G622" s="175"/>
    </row>
    <row r="623">
      <c r="A623" s="187"/>
      <c r="B623" s="187"/>
      <c r="C623" s="187"/>
      <c r="D623" s="190"/>
      <c r="E623" s="155"/>
      <c r="F623" s="180"/>
      <c r="G623" s="175"/>
    </row>
    <row r="624">
      <c r="A624" s="187"/>
      <c r="B624" s="187"/>
      <c r="C624" s="187"/>
      <c r="D624" s="190"/>
      <c r="E624" s="155"/>
      <c r="F624" s="180"/>
      <c r="G624" s="175"/>
    </row>
    <row r="625">
      <c r="A625" s="187"/>
      <c r="B625" s="187"/>
      <c r="C625" s="187"/>
      <c r="D625" s="190"/>
      <c r="E625" s="155"/>
      <c r="F625" s="180"/>
      <c r="G625" s="175"/>
    </row>
    <row r="626">
      <c r="A626" s="187"/>
      <c r="B626" s="187"/>
      <c r="C626" s="187"/>
      <c r="D626" s="190"/>
      <c r="E626" s="155"/>
      <c r="F626" s="180"/>
      <c r="G626" s="175"/>
    </row>
    <row r="627">
      <c r="A627" s="187"/>
      <c r="B627" s="187"/>
      <c r="C627" s="187"/>
      <c r="D627" s="190"/>
      <c r="E627" s="155"/>
      <c r="F627" s="180"/>
      <c r="G627" s="175"/>
    </row>
    <row r="628">
      <c r="A628" s="187"/>
      <c r="B628" s="187"/>
      <c r="C628" s="187"/>
      <c r="D628" s="190"/>
      <c r="E628" s="155"/>
      <c r="F628" s="180"/>
      <c r="G628" s="175"/>
    </row>
    <row r="629">
      <c r="A629" s="187"/>
      <c r="B629" s="187"/>
      <c r="C629" s="187"/>
      <c r="D629" s="190"/>
      <c r="E629" s="155"/>
      <c r="F629" s="180"/>
      <c r="G629" s="175"/>
    </row>
    <row r="630">
      <c r="A630" s="187"/>
      <c r="B630" s="187"/>
      <c r="C630" s="187"/>
      <c r="D630" s="190"/>
      <c r="E630" s="155"/>
      <c r="F630" s="180"/>
      <c r="G630" s="175"/>
    </row>
    <row r="631">
      <c r="A631" s="187"/>
      <c r="B631" s="187"/>
      <c r="C631" s="187"/>
      <c r="D631" s="190"/>
      <c r="E631" s="155"/>
      <c r="F631" s="180"/>
      <c r="G631" s="175"/>
    </row>
    <row r="632">
      <c r="A632" s="187"/>
      <c r="B632" s="187"/>
      <c r="C632" s="187"/>
      <c r="D632" s="190"/>
      <c r="E632" s="155"/>
      <c r="F632" s="180"/>
      <c r="G632" s="175"/>
    </row>
    <row r="633">
      <c r="A633" s="187"/>
      <c r="B633" s="187"/>
      <c r="C633" s="187"/>
      <c r="D633" s="190"/>
      <c r="E633" s="155"/>
      <c r="F633" s="180"/>
      <c r="G633" s="175"/>
    </row>
    <row r="634">
      <c r="A634" s="187"/>
      <c r="B634" s="187"/>
      <c r="C634" s="187"/>
      <c r="D634" s="190"/>
      <c r="E634" s="155"/>
      <c r="F634" s="180"/>
      <c r="G634" s="175"/>
    </row>
    <row r="635">
      <c r="A635" s="187"/>
      <c r="B635" s="187"/>
      <c r="C635" s="187"/>
      <c r="D635" s="190"/>
      <c r="E635" s="155"/>
      <c r="F635" s="180"/>
      <c r="G635" s="175"/>
    </row>
    <row r="636">
      <c r="A636" s="187"/>
      <c r="B636" s="187"/>
      <c r="C636" s="187"/>
      <c r="D636" s="190"/>
      <c r="E636" s="155"/>
      <c r="F636" s="180"/>
      <c r="G636" s="175"/>
    </row>
    <row r="637">
      <c r="A637" s="187"/>
      <c r="B637" s="187"/>
      <c r="C637" s="187"/>
      <c r="D637" s="190"/>
      <c r="E637" s="155"/>
      <c r="F637" s="180"/>
      <c r="G637" s="175"/>
    </row>
    <row r="638">
      <c r="A638" s="187"/>
      <c r="B638" s="187"/>
      <c r="C638" s="187"/>
      <c r="D638" s="190"/>
      <c r="E638" s="155"/>
      <c r="F638" s="180"/>
      <c r="G638" s="175"/>
    </row>
    <row r="639">
      <c r="A639" s="187"/>
      <c r="B639" s="187"/>
      <c r="C639" s="187"/>
      <c r="D639" s="190"/>
      <c r="E639" s="155"/>
      <c r="F639" s="180"/>
      <c r="G639" s="175"/>
    </row>
    <row r="640">
      <c r="A640" s="187"/>
      <c r="B640" s="187"/>
      <c r="C640" s="187"/>
      <c r="D640" s="190"/>
      <c r="E640" s="155"/>
      <c r="F640" s="180"/>
      <c r="G640" s="175"/>
    </row>
    <row r="641">
      <c r="A641" s="187"/>
      <c r="B641" s="187"/>
      <c r="C641" s="187"/>
      <c r="D641" s="190"/>
      <c r="E641" s="155"/>
      <c r="F641" s="180"/>
      <c r="G641" s="175"/>
    </row>
    <row r="642">
      <c r="A642" s="187"/>
      <c r="B642" s="187"/>
      <c r="C642" s="187"/>
      <c r="D642" s="190"/>
      <c r="E642" s="155"/>
      <c r="F642" s="180"/>
      <c r="G642" s="175"/>
    </row>
    <row r="643">
      <c r="A643" s="187"/>
      <c r="B643" s="187"/>
      <c r="C643" s="187"/>
      <c r="D643" s="190"/>
      <c r="E643" s="155"/>
      <c r="F643" s="180"/>
      <c r="G643" s="175"/>
    </row>
    <row r="644">
      <c r="A644" s="187"/>
      <c r="B644" s="187"/>
      <c r="C644" s="187"/>
      <c r="D644" s="190"/>
      <c r="E644" s="155"/>
      <c r="F644" s="180"/>
      <c r="G644" s="175"/>
    </row>
    <row r="645">
      <c r="A645" s="187"/>
      <c r="B645" s="187"/>
      <c r="C645" s="187"/>
      <c r="D645" s="190"/>
      <c r="E645" s="155"/>
      <c r="F645" s="180"/>
      <c r="G645" s="175"/>
    </row>
    <row r="646">
      <c r="A646" s="187"/>
      <c r="B646" s="187"/>
      <c r="C646" s="187"/>
      <c r="D646" s="190"/>
      <c r="E646" s="155"/>
      <c r="F646" s="180"/>
      <c r="G646" s="175"/>
    </row>
    <row r="647">
      <c r="A647" s="187"/>
      <c r="B647" s="187"/>
      <c r="C647" s="187"/>
      <c r="D647" s="190"/>
      <c r="E647" s="155"/>
      <c r="F647" s="180"/>
      <c r="G647" s="175"/>
    </row>
    <row r="648">
      <c r="A648" s="187"/>
      <c r="B648" s="187"/>
      <c r="C648" s="187"/>
      <c r="D648" s="190"/>
      <c r="E648" s="155"/>
      <c r="F648" s="180"/>
      <c r="G648" s="175"/>
    </row>
    <row r="649">
      <c r="A649" s="187"/>
      <c r="B649" s="187"/>
      <c r="C649" s="187"/>
      <c r="D649" s="190"/>
      <c r="E649" s="155"/>
      <c r="F649" s="180"/>
      <c r="G649" s="175"/>
    </row>
    <row r="650">
      <c r="A650" s="187"/>
      <c r="B650" s="187"/>
      <c r="C650" s="187"/>
      <c r="D650" s="190"/>
      <c r="E650" s="155"/>
      <c r="F650" s="180"/>
      <c r="G650" s="175"/>
    </row>
    <row r="651">
      <c r="A651" s="187"/>
      <c r="B651" s="187"/>
      <c r="C651" s="187"/>
      <c r="D651" s="190"/>
      <c r="E651" s="155"/>
      <c r="F651" s="180"/>
      <c r="G651" s="175"/>
    </row>
    <row r="652">
      <c r="A652" s="187"/>
      <c r="B652" s="187"/>
      <c r="C652" s="187"/>
      <c r="D652" s="190"/>
      <c r="E652" s="155"/>
      <c r="F652" s="180"/>
      <c r="G652" s="175"/>
    </row>
    <row r="653">
      <c r="A653" s="187"/>
      <c r="B653" s="187"/>
      <c r="C653" s="187"/>
      <c r="D653" s="190"/>
      <c r="E653" s="155"/>
      <c r="F653" s="180"/>
      <c r="G653" s="175"/>
    </row>
    <row r="654">
      <c r="A654" s="187"/>
      <c r="B654" s="187"/>
      <c r="C654" s="187"/>
      <c r="D654" s="190"/>
      <c r="E654" s="155"/>
      <c r="F654" s="180"/>
      <c r="G654" s="175"/>
    </row>
    <row r="655">
      <c r="A655" s="187"/>
      <c r="B655" s="187"/>
      <c r="C655" s="187"/>
      <c r="D655" s="190"/>
      <c r="E655" s="155"/>
      <c r="F655" s="180"/>
      <c r="G655" s="175"/>
    </row>
    <row r="656">
      <c r="A656" s="187"/>
      <c r="B656" s="187"/>
      <c r="C656" s="187"/>
      <c r="D656" s="190"/>
      <c r="E656" s="155"/>
      <c r="F656" s="180"/>
      <c r="G656" s="175"/>
    </row>
    <row r="657">
      <c r="A657" s="187"/>
      <c r="B657" s="187"/>
      <c r="C657" s="187"/>
      <c r="D657" s="190"/>
      <c r="E657" s="155"/>
      <c r="F657" s="180"/>
      <c r="G657" s="175"/>
    </row>
    <row r="658">
      <c r="A658" s="187"/>
      <c r="B658" s="187"/>
      <c r="C658" s="187"/>
      <c r="D658" s="190"/>
      <c r="E658" s="155"/>
      <c r="F658" s="180"/>
      <c r="G658" s="175"/>
    </row>
    <row r="659">
      <c r="A659" s="187"/>
      <c r="B659" s="187"/>
      <c r="C659" s="187"/>
      <c r="D659" s="190"/>
      <c r="E659" s="155"/>
      <c r="F659" s="180"/>
      <c r="G659" s="175"/>
    </row>
    <row r="660">
      <c r="A660" s="187"/>
      <c r="B660" s="187"/>
      <c r="C660" s="187"/>
      <c r="D660" s="190"/>
      <c r="E660" s="155"/>
      <c r="F660" s="180"/>
      <c r="G660" s="175"/>
    </row>
    <row r="661">
      <c r="A661" s="187"/>
      <c r="B661" s="187"/>
      <c r="C661" s="187"/>
      <c r="D661" s="190"/>
      <c r="E661" s="155"/>
      <c r="F661" s="180"/>
      <c r="G661" s="175"/>
    </row>
    <row r="662">
      <c r="A662" s="187"/>
      <c r="B662" s="187"/>
      <c r="C662" s="187"/>
      <c r="D662" s="190"/>
      <c r="E662" s="155"/>
      <c r="F662" s="180"/>
      <c r="G662" s="175"/>
    </row>
    <row r="663">
      <c r="A663" s="187"/>
      <c r="B663" s="187"/>
      <c r="C663" s="187"/>
      <c r="D663" s="190"/>
      <c r="E663" s="155"/>
      <c r="F663" s="180"/>
      <c r="G663" s="175"/>
    </row>
    <row r="664">
      <c r="A664" s="187"/>
      <c r="B664" s="187"/>
      <c r="C664" s="187"/>
      <c r="D664" s="190"/>
      <c r="E664" s="155"/>
      <c r="F664" s="180"/>
      <c r="G664" s="175"/>
    </row>
    <row r="665">
      <c r="A665" s="187"/>
      <c r="B665" s="187"/>
      <c r="C665" s="187"/>
      <c r="D665" s="190"/>
      <c r="E665" s="155"/>
      <c r="F665" s="180"/>
      <c r="G665" s="175"/>
    </row>
    <row r="666">
      <c r="A666" s="187"/>
      <c r="B666" s="187"/>
      <c r="C666" s="187"/>
      <c r="D666" s="190"/>
      <c r="E666" s="155"/>
      <c r="F666" s="180"/>
      <c r="G666" s="175"/>
    </row>
    <row r="667">
      <c r="A667" s="187"/>
      <c r="B667" s="187"/>
      <c r="C667" s="187"/>
      <c r="D667" s="190"/>
      <c r="E667" s="155"/>
      <c r="F667" s="180"/>
      <c r="G667" s="175"/>
    </row>
    <row r="668">
      <c r="A668" s="187"/>
      <c r="B668" s="187"/>
      <c r="C668" s="187"/>
      <c r="D668" s="190"/>
      <c r="E668" s="155"/>
      <c r="F668" s="180"/>
      <c r="G668" s="175"/>
    </row>
    <row r="669">
      <c r="A669" s="187"/>
      <c r="B669" s="187"/>
      <c r="C669" s="187"/>
      <c r="D669" s="190"/>
      <c r="E669" s="155"/>
      <c r="F669" s="180"/>
      <c r="G669" s="175"/>
    </row>
    <row r="670">
      <c r="A670" s="187"/>
      <c r="B670" s="187"/>
      <c r="C670" s="187"/>
      <c r="D670" s="190"/>
      <c r="E670" s="155"/>
      <c r="F670" s="180"/>
      <c r="G670" s="175"/>
    </row>
    <row r="671">
      <c r="A671" s="187"/>
      <c r="B671" s="187"/>
      <c r="C671" s="187"/>
      <c r="D671" s="190"/>
      <c r="E671" s="155"/>
      <c r="F671" s="180"/>
      <c r="G671" s="175"/>
    </row>
    <row r="672">
      <c r="A672" s="187"/>
      <c r="B672" s="187"/>
      <c r="C672" s="187"/>
      <c r="D672" s="190"/>
      <c r="E672" s="155"/>
      <c r="F672" s="180"/>
      <c r="G672" s="175"/>
    </row>
    <row r="673">
      <c r="A673" s="187"/>
      <c r="B673" s="187"/>
      <c r="C673" s="187"/>
      <c r="D673" s="190"/>
      <c r="E673" s="155"/>
      <c r="F673" s="180"/>
      <c r="G673" s="175"/>
    </row>
    <row r="674">
      <c r="A674" s="187"/>
      <c r="B674" s="187"/>
      <c r="C674" s="187"/>
      <c r="D674" s="190"/>
      <c r="E674" s="155"/>
      <c r="F674" s="180"/>
      <c r="G674" s="175"/>
    </row>
    <row r="675">
      <c r="A675" s="187"/>
      <c r="B675" s="187"/>
      <c r="C675" s="187"/>
      <c r="D675" s="190"/>
      <c r="E675" s="155"/>
      <c r="F675" s="180"/>
      <c r="G675" s="175"/>
    </row>
    <row r="676">
      <c r="A676" s="187"/>
      <c r="B676" s="187"/>
      <c r="C676" s="187"/>
      <c r="D676" s="190"/>
      <c r="E676" s="155"/>
      <c r="F676" s="180"/>
      <c r="G676" s="175"/>
    </row>
    <row r="677">
      <c r="A677" s="187"/>
      <c r="B677" s="187"/>
      <c r="C677" s="187"/>
      <c r="D677" s="190"/>
      <c r="E677" s="155"/>
      <c r="F677" s="180"/>
      <c r="G677" s="175"/>
    </row>
    <row r="678">
      <c r="A678" s="187"/>
      <c r="B678" s="187"/>
      <c r="C678" s="187"/>
      <c r="D678" s="190"/>
      <c r="E678" s="155"/>
      <c r="F678" s="180"/>
      <c r="G678" s="175"/>
    </row>
    <row r="679">
      <c r="A679" s="187"/>
      <c r="B679" s="187"/>
      <c r="C679" s="187"/>
      <c r="D679" s="190"/>
      <c r="E679" s="155"/>
      <c r="F679" s="180"/>
      <c r="G679" s="175"/>
    </row>
    <row r="680">
      <c r="A680" s="187"/>
      <c r="B680" s="187"/>
      <c r="C680" s="187"/>
      <c r="D680" s="190"/>
      <c r="E680" s="155"/>
      <c r="F680" s="180"/>
      <c r="G680" s="175"/>
    </row>
    <row r="681">
      <c r="A681" s="187"/>
      <c r="B681" s="187"/>
      <c r="C681" s="187"/>
      <c r="D681" s="190"/>
      <c r="E681" s="155"/>
      <c r="F681" s="180"/>
      <c r="G681" s="175"/>
    </row>
    <row r="682">
      <c r="A682" s="187"/>
      <c r="B682" s="187"/>
      <c r="C682" s="187"/>
      <c r="D682" s="190"/>
      <c r="E682" s="155"/>
      <c r="F682" s="180"/>
      <c r="G682" s="175"/>
    </row>
    <row r="683">
      <c r="A683" s="187"/>
      <c r="B683" s="187"/>
      <c r="C683" s="187"/>
      <c r="D683" s="190"/>
      <c r="E683" s="155"/>
      <c r="F683" s="180"/>
      <c r="G683" s="175"/>
    </row>
    <row r="684">
      <c r="A684" s="187"/>
      <c r="B684" s="187"/>
      <c r="C684" s="187"/>
      <c r="D684" s="190"/>
      <c r="E684" s="155"/>
      <c r="F684" s="180"/>
      <c r="G684" s="175"/>
    </row>
    <row r="685">
      <c r="A685" s="187"/>
      <c r="B685" s="187"/>
      <c r="C685" s="187"/>
      <c r="D685" s="190"/>
      <c r="E685" s="155"/>
      <c r="F685" s="180"/>
      <c r="G685" s="175"/>
    </row>
    <row r="686">
      <c r="A686" s="187"/>
      <c r="B686" s="187"/>
      <c r="C686" s="187"/>
      <c r="D686" s="190"/>
      <c r="E686" s="155"/>
      <c r="F686" s="180"/>
      <c r="G686" s="175"/>
    </row>
    <row r="687">
      <c r="A687" s="187"/>
      <c r="B687" s="187"/>
      <c r="C687" s="187"/>
      <c r="D687" s="190"/>
      <c r="E687" s="155"/>
      <c r="F687" s="180"/>
      <c r="G687" s="175"/>
    </row>
    <row r="688">
      <c r="A688" s="187"/>
      <c r="B688" s="187"/>
      <c r="C688" s="187"/>
      <c r="D688" s="190"/>
      <c r="E688" s="155"/>
      <c r="F688" s="180"/>
      <c r="G688" s="175"/>
    </row>
    <row r="689">
      <c r="A689" s="187"/>
      <c r="B689" s="187"/>
      <c r="C689" s="187"/>
      <c r="D689" s="190"/>
      <c r="E689" s="155"/>
      <c r="F689" s="180"/>
      <c r="G689" s="175"/>
    </row>
    <row r="690">
      <c r="A690" s="187"/>
      <c r="B690" s="187"/>
      <c r="C690" s="187"/>
      <c r="D690" s="190"/>
      <c r="E690" s="155"/>
      <c r="F690" s="180"/>
      <c r="G690" s="175"/>
    </row>
    <row r="691">
      <c r="A691" s="187"/>
      <c r="B691" s="187"/>
      <c r="C691" s="187"/>
      <c r="D691" s="190"/>
      <c r="E691" s="155"/>
      <c r="F691" s="180"/>
      <c r="G691" s="175"/>
    </row>
    <row r="692">
      <c r="A692" s="187"/>
      <c r="B692" s="187"/>
      <c r="C692" s="187"/>
      <c r="D692" s="190"/>
      <c r="E692" s="155"/>
      <c r="F692" s="180"/>
      <c r="G692" s="175"/>
    </row>
    <row r="693">
      <c r="A693" s="187"/>
      <c r="B693" s="187"/>
      <c r="C693" s="187"/>
      <c r="D693" s="190"/>
      <c r="E693" s="155"/>
      <c r="F693" s="180"/>
      <c r="G693" s="175"/>
    </row>
    <row r="694">
      <c r="A694" s="187"/>
      <c r="B694" s="187"/>
      <c r="C694" s="187"/>
      <c r="D694" s="190"/>
      <c r="E694" s="155"/>
      <c r="F694" s="180"/>
      <c r="G694" s="175"/>
    </row>
    <row r="695">
      <c r="A695" s="187"/>
      <c r="B695" s="187"/>
      <c r="C695" s="187"/>
      <c r="D695" s="190"/>
      <c r="E695" s="155"/>
      <c r="F695" s="180"/>
      <c r="G695" s="175"/>
    </row>
    <row r="696">
      <c r="A696" s="187"/>
      <c r="B696" s="187"/>
      <c r="C696" s="187"/>
      <c r="D696" s="190"/>
      <c r="E696" s="155"/>
      <c r="F696" s="180"/>
      <c r="G696" s="175"/>
    </row>
    <row r="697">
      <c r="A697" s="187"/>
      <c r="B697" s="187"/>
      <c r="C697" s="187"/>
      <c r="D697" s="190"/>
      <c r="E697" s="155"/>
      <c r="F697" s="180"/>
      <c r="G697" s="175"/>
    </row>
    <row r="698">
      <c r="A698" s="187"/>
      <c r="B698" s="187"/>
      <c r="C698" s="187"/>
      <c r="D698" s="190"/>
      <c r="E698" s="155"/>
      <c r="F698" s="180"/>
      <c r="G698" s="175"/>
    </row>
    <row r="699">
      <c r="A699" s="187"/>
      <c r="B699" s="187"/>
      <c r="C699" s="187"/>
      <c r="D699" s="190"/>
      <c r="E699" s="155"/>
      <c r="F699" s="180"/>
      <c r="G699" s="175"/>
    </row>
    <row r="700">
      <c r="A700" s="187"/>
      <c r="B700" s="187"/>
      <c r="C700" s="187"/>
      <c r="D700" s="190"/>
      <c r="E700" s="155"/>
      <c r="F700" s="180"/>
      <c r="G700" s="175"/>
    </row>
    <row r="701">
      <c r="A701" s="187"/>
      <c r="B701" s="187"/>
      <c r="C701" s="187"/>
      <c r="D701" s="190"/>
      <c r="E701" s="155"/>
      <c r="F701" s="180"/>
      <c r="G701" s="175"/>
    </row>
    <row r="702">
      <c r="A702" s="187"/>
      <c r="B702" s="187"/>
      <c r="C702" s="187"/>
      <c r="D702" s="190"/>
      <c r="E702" s="155"/>
      <c r="F702" s="180"/>
      <c r="G702" s="175"/>
    </row>
    <row r="703">
      <c r="A703" s="187"/>
      <c r="B703" s="187"/>
      <c r="C703" s="187"/>
      <c r="D703" s="190"/>
      <c r="E703" s="155"/>
      <c r="F703" s="180"/>
      <c r="G703" s="175"/>
    </row>
    <row r="704">
      <c r="A704" s="187"/>
      <c r="B704" s="187"/>
      <c r="C704" s="187"/>
      <c r="D704" s="190"/>
      <c r="E704" s="155"/>
      <c r="F704" s="180"/>
      <c r="G704" s="175"/>
    </row>
    <row r="705">
      <c r="A705" s="187"/>
      <c r="B705" s="187"/>
      <c r="C705" s="187"/>
      <c r="D705" s="190"/>
      <c r="E705" s="155"/>
      <c r="F705" s="180"/>
      <c r="G705" s="175"/>
    </row>
    <row r="706">
      <c r="A706" s="187"/>
      <c r="B706" s="187"/>
      <c r="C706" s="187"/>
      <c r="D706" s="190"/>
      <c r="E706" s="155"/>
      <c r="F706" s="180"/>
      <c r="G706" s="175"/>
    </row>
    <row r="707">
      <c r="A707" s="187"/>
      <c r="B707" s="187"/>
      <c r="C707" s="187"/>
      <c r="D707" s="190"/>
      <c r="E707" s="155"/>
      <c r="F707" s="180"/>
      <c r="G707" s="175"/>
    </row>
    <row r="708">
      <c r="A708" s="187"/>
      <c r="B708" s="187"/>
      <c r="C708" s="187"/>
      <c r="D708" s="190"/>
      <c r="E708" s="155"/>
      <c r="F708" s="180"/>
      <c r="G708" s="175"/>
    </row>
    <row r="709">
      <c r="A709" s="187"/>
      <c r="B709" s="187"/>
      <c r="C709" s="187"/>
      <c r="D709" s="190"/>
      <c r="E709" s="155"/>
      <c r="F709" s="180"/>
      <c r="G709" s="175"/>
    </row>
    <row r="710">
      <c r="A710" s="187"/>
      <c r="B710" s="187"/>
      <c r="C710" s="187"/>
      <c r="D710" s="190"/>
      <c r="E710" s="155"/>
      <c r="F710" s="180"/>
      <c r="G710" s="175"/>
    </row>
    <row r="711">
      <c r="A711" s="187"/>
      <c r="B711" s="187"/>
      <c r="C711" s="187"/>
      <c r="D711" s="190"/>
      <c r="E711" s="155"/>
      <c r="F711" s="180"/>
      <c r="G711" s="175"/>
    </row>
    <row r="712">
      <c r="A712" s="187"/>
      <c r="B712" s="187"/>
      <c r="C712" s="187"/>
      <c r="D712" s="190"/>
      <c r="E712" s="155"/>
      <c r="F712" s="180"/>
      <c r="G712" s="175"/>
    </row>
    <row r="713">
      <c r="A713" s="187"/>
      <c r="B713" s="187"/>
      <c r="C713" s="187"/>
      <c r="D713" s="190"/>
      <c r="E713" s="155"/>
      <c r="F713" s="180"/>
      <c r="G713" s="175"/>
    </row>
    <row r="714">
      <c r="A714" s="187"/>
      <c r="B714" s="187"/>
      <c r="C714" s="187"/>
      <c r="D714" s="190"/>
      <c r="E714" s="155"/>
      <c r="F714" s="180"/>
      <c r="G714" s="175"/>
    </row>
    <row r="715">
      <c r="A715" s="187"/>
      <c r="B715" s="187"/>
      <c r="C715" s="187"/>
      <c r="D715" s="190"/>
      <c r="E715" s="155"/>
      <c r="F715" s="180"/>
      <c r="G715" s="175"/>
    </row>
    <row r="716">
      <c r="A716" s="187"/>
      <c r="B716" s="187"/>
      <c r="C716" s="187"/>
      <c r="D716" s="190"/>
      <c r="E716" s="155"/>
      <c r="F716" s="180"/>
      <c r="G716" s="175"/>
    </row>
    <row r="717">
      <c r="A717" s="187"/>
      <c r="B717" s="187"/>
      <c r="C717" s="187"/>
      <c r="D717" s="190"/>
      <c r="E717" s="155"/>
      <c r="F717" s="180"/>
      <c r="G717" s="175"/>
    </row>
    <row r="718">
      <c r="A718" s="187"/>
      <c r="B718" s="187"/>
      <c r="C718" s="187"/>
      <c r="D718" s="190"/>
      <c r="E718" s="155"/>
      <c r="F718" s="180"/>
      <c r="G718" s="175"/>
    </row>
    <row r="719">
      <c r="A719" s="187"/>
      <c r="B719" s="187"/>
      <c r="C719" s="187"/>
      <c r="D719" s="190"/>
      <c r="E719" s="155"/>
      <c r="F719" s="180"/>
      <c r="G719" s="175"/>
    </row>
    <row r="720">
      <c r="A720" s="187"/>
      <c r="B720" s="187"/>
      <c r="C720" s="187"/>
      <c r="D720" s="190"/>
      <c r="E720" s="155"/>
      <c r="F720" s="180"/>
      <c r="G720" s="175"/>
    </row>
    <row r="721">
      <c r="A721" s="187"/>
      <c r="B721" s="187"/>
      <c r="C721" s="187"/>
      <c r="D721" s="190"/>
      <c r="E721" s="155"/>
      <c r="F721" s="180"/>
      <c r="G721" s="175"/>
    </row>
    <row r="722">
      <c r="A722" s="187"/>
      <c r="B722" s="187"/>
      <c r="C722" s="187"/>
      <c r="D722" s="190"/>
      <c r="E722" s="155"/>
      <c r="F722" s="180"/>
      <c r="G722" s="175"/>
    </row>
    <row r="723">
      <c r="A723" s="187"/>
      <c r="B723" s="187"/>
      <c r="C723" s="187"/>
      <c r="D723" s="190"/>
      <c r="E723" s="155"/>
      <c r="F723" s="180"/>
      <c r="G723" s="175"/>
    </row>
    <row r="724">
      <c r="A724" s="187"/>
      <c r="B724" s="187"/>
      <c r="C724" s="187"/>
      <c r="D724" s="190"/>
      <c r="E724" s="155"/>
      <c r="F724" s="180"/>
      <c r="G724" s="175"/>
    </row>
    <row r="725">
      <c r="A725" s="187"/>
      <c r="B725" s="187"/>
      <c r="C725" s="187"/>
      <c r="D725" s="190"/>
      <c r="E725" s="155"/>
      <c r="F725" s="180"/>
      <c r="G725" s="175"/>
    </row>
    <row r="726">
      <c r="A726" s="187"/>
      <c r="B726" s="187"/>
      <c r="C726" s="187"/>
      <c r="D726" s="190"/>
      <c r="E726" s="155"/>
      <c r="F726" s="180"/>
      <c r="G726" s="175"/>
    </row>
    <row r="727">
      <c r="A727" s="187"/>
      <c r="B727" s="187"/>
      <c r="C727" s="187"/>
      <c r="D727" s="190"/>
      <c r="E727" s="155"/>
      <c r="F727" s="180"/>
      <c r="G727" s="175"/>
    </row>
    <row r="728">
      <c r="A728" s="187"/>
      <c r="B728" s="187"/>
      <c r="C728" s="187"/>
      <c r="D728" s="190"/>
      <c r="E728" s="155"/>
      <c r="F728" s="180"/>
      <c r="G728" s="175"/>
    </row>
    <row r="729">
      <c r="A729" s="187"/>
      <c r="B729" s="187"/>
      <c r="C729" s="187"/>
      <c r="D729" s="190"/>
      <c r="E729" s="155"/>
      <c r="F729" s="180"/>
      <c r="G729" s="175"/>
    </row>
    <row r="730">
      <c r="A730" s="187"/>
      <c r="B730" s="187"/>
      <c r="C730" s="187"/>
      <c r="D730" s="190"/>
      <c r="E730" s="155"/>
      <c r="F730" s="180"/>
      <c r="G730" s="175"/>
    </row>
    <row r="731">
      <c r="A731" s="187"/>
      <c r="B731" s="187"/>
      <c r="C731" s="187"/>
      <c r="D731" s="190"/>
      <c r="E731" s="155"/>
      <c r="F731" s="180"/>
      <c r="G731" s="175"/>
    </row>
    <row r="732">
      <c r="A732" s="187"/>
      <c r="B732" s="187"/>
      <c r="C732" s="187"/>
      <c r="D732" s="190"/>
      <c r="E732" s="155"/>
      <c r="F732" s="180"/>
      <c r="G732" s="175"/>
    </row>
    <row r="733">
      <c r="A733" s="187"/>
      <c r="B733" s="187"/>
      <c r="C733" s="187"/>
      <c r="D733" s="190"/>
      <c r="E733" s="155"/>
      <c r="F733" s="180"/>
      <c r="G733" s="175"/>
    </row>
    <row r="734">
      <c r="A734" s="187"/>
      <c r="B734" s="187"/>
      <c r="C734" s="187"/>
      <c r="D734" s="190"/>
      <c r="E734" s="155"/>
      <c r="F734" s="180"/>
      <c r="G734" s="175"/>
    </row>
    <row r="735">
      <c r="A735" s="187"/>
      <c r="B735" s="187"/>
      <c r="C735" s="187"/>
      <c r="D735" s="190"/>
      <c r="E735" s="155"/>
      <c r="F735" s="180"/>
      <c r="G735" s="175"/>
    </row>
    <row r="736">
      <c r="A736" s="187"/>
      <c r="B736" s="187"/>
      <c r="C736" s="187"/>
      <c r="D736" s="190"/>
      <c r="E736" s="155"/>
      <c r="F736" s="180"/>
      <c r="G736" s="175"/>
    </row>
    <row r="737">
      <c r="A737" s="187"/>
      <c r="B737" s="187"/>
      <c r="C737" s="187"/>
      <c r="D737" s="190"/>
      <c r="E737" s="155"/>
      <c r="F737" s="180"/>
      <c r="G737" s="175"/>
    </row>
    <row r="738">
      <c r="A738" s="187"/>
      <c r="B738" s="187"/>
      <c r="C738" s="187"/>
      <c r="D738" s="190"/>
      <c r="E738" s="155"/>
      <c r="F738" s="180"/>
      <c r="G738" s="175"/>
    </row>
    <row r="739">
      <c r="A739" s="187"/>
      <c r="B739" s="187"/>
      <c r="C739" s="187"/>
      <c r="D739" s="190"/>
      <c r="E739" s="155"/>
      <c r="F739" s="180"/>
      <c r="G739" s="175"/>
    </row>
    <row r="740">
      <c r="A740" s="187"/>
      <c r="B740" s="187"/>
      <c r="C740" s="187"/>
      <c r="D740" s="190"/>
      <c r="E740" s="155"/>
      <c r="F740" s="180"/>
      <c r="G740" s="175"/>
    </row>
    <row r="741">
      <c r="A741" s="187"/>
      <c r="B741" s="187"/>
      <c r="C741" s="187"/>
      <c r="D741" s="190"/>
      <c r="E741" s="155"/>
      <c r="F741" s="180"/>
      <c r="G741" s="175"/>
    </row>
    <row r="742">
      <c r="A742" s="187"/>
      <c r="B742" s="187"/>
      <c r="C742" s="187"/>
      <c r="D742" s="190"/>
      <c r="E742" s="155"/>
      <c r="F742" s="180"/>
      <c r="G742" s="175"/>
    </row>
    <row r="743">
      <c r="A743" s="187"/>
      <c r="B743" s="187"/>
      <c r="C743" s="187"/>
      <c r="D743" s="190"/>
      <c r="E743" s="155"/>
      <c r="F743" s="180"/>
      <c r="G743" s="175"/>
    </row>
    <row r="744">
      <c r="A744" s="187"/>
      <c r="B744" s="187"/>
      <c r="C744" s="187"/>
      <c r="D744" s="190"/>
      <c r="E744" s="155"/>
      <c r="F744" s="180"/>
      <c r="G744" s="175"/>
    </row>
    <row r="745">
      <c r="A745" s="187"/>
      <c r="B745" s="187"/>
      <c r="C745" s="187"/>
      <c r="D745" s="190"/>
      <c r="E745" s="155"/>
      <c r="F745" s="180"/>
      <c r="G745" s="175"/>
    </row>
    <row r="746">
      <c r="A746" s="187"/>
      <c r="B746" s="187"/>
      <c r="C746" s="187"/>
      <c r="D746" s="190"/>
      <c r="E746" s="155"/>
      <c r="F746" s="180"/>
      <c r="G746" s="175"/>
    </row>
    <row r="747">
      <c r="A747" s="187"/>
      <c r="B747" s="187"/>
      <c r="C747" s="187"/>
      <c r="D747" s="190"/>
      <c r="E747" s="155"/>
      <c r="F747" s="180"/>
      <c r="G747" s="175"/>
    </row>
    <row r="748">
      <c r="A748" s="187"/>
      <c r="B748" s="187"/>
      <c r="C748" s="187"/>
      <c r="D748" s="190"/>
      <c r="E748" s="155"/>
      <c r="F748" s="180"/>
      <c r="G748" s="175"/>
    </row>
    <row r="749">
      <c r="A749" s="187"/>
      <c r="B749" s="187"/>
      <c r="C749" s="187"/>
      <c r="D749" s="190"/>
      <c r="E749" s="155"/>
      <c r="F749" s="180"/>
      <c r="G749" s="175"/>
    </row>
    <row r="750">
      <c r="A750" s="187"/>
      <c r="B750" s="187"/>
      <c r="C750" s="187"/>
      <c r="D750" s="190"/>
      <c r="E750" s="155"/>
      <c r="F750" s="180"/>
      <c r="G750" s="175"/>
    </row>
    <row r="751">
      <c r="A751" s="187"/>
      <c r="B751" s="187"/>
      <c r="C751" s="187"/>
      <c r="D751" s="190"/>
      <c r="E751" s="155"/>
      <c r="F751" s="180"/>
      <c r="G751" s="175"/>
    </row>
    <row r="752">
      <c r="A752" s="187"/>
      <c r="B752" s="187"/>
      <c r="C752" s="187"/>
      <c r="D752" s="190"/>
      <c r="E752" s="155"/>
      <c r="F752" s="180"/>
      <c r="G752" s="175"/>
    </row>
    <row r="753">
      <c r="A753" s="187"/>
      <c r="B753" s="187"/>
      <c r="C753" s="187"/>
      <c r="D753" s="190"/>
      <c r="E753" s="155"/>
      <c r="F753" s="180"/>
      <c r="G753" s="175"/>
    </row>
    <row r="754">
      <c r="A754" s="187"/>
      <c r="B754" s="187"/>
      <c r="C754" s="187"/>
      <c r="D754" s="190"/>
      <c r="E754" s="155"/>
      <c r="F754" s="180"/>
      <c r="G754" s="175"/>
    </row>
    <row r="755">
      <c r="A755" s="187"/>
      <c r="B755" s="187"/>
      <c r="C755" s="187"/>
      <c r="D755" s="190"/>
      <c r="E755" s="155"/>
      <c r="F755" s="180"/>
      <c r="G755" s="175"/>
    </row>
    <row r="756">
      <c r="A756" s="187"/>
      <c r="B756" s="187"/>
      <c r="C756" s="187"/>
      <c r="D756" s="190"/>
      <c r="E756" s="155"/>
      <c r="F756" s="180"/>
      <c r="G756" s="175"/>
    </row>
    <row r="757">
      <c r="A757" s="187"/>
      <c r="B757" s="187"/>
      <c r="C757" s="187"/>
      <c r="D757" s="190"/>
      <c r="E757" s="155"/>
      <c r="F757" s="180"/>
      <c r="G757" s="175"/>
    </row>
    <row r="758">
      <c r="A758" s="187"/>
      <c r="B758" s="187"/>
      <c r="C758" s="187"/>
      <c r="D758" s="190"/>
      <c r="E758" s="155"/>
      <c r="F758" s="180"/>
      <c r="G758" s="175"/>
    </row>
    <row r="759">
      <c r="A759" s="187"/>
      <c r="B759" s="187"/>
      <c r="C759" s="187"/>
      <c r="D759" s="190"/>
      <c r="E759" s="155"/>
      <c r="F759" s="180"/>
      <c r="G759" s="175"/>
    </row>
    <row r="760">
      <c r="A760" s="187"/>
      <c r="B760" s="187"/>
      <c r="C760" s="187"/>
      <c r="D760" s="190"/>
      <c r="E760" s="155"/>
      <c r="F760" s="180"/>
      <c r="G760" s="175"/>
    </row>
    <row r="761">
      <c r="A761" s="187"/>
      <c r="B761" s="187"/>
      <c r="C761" s="187"/>
      <c r="D761" s="190"/>
      <c r="E761" s="155"/>
      <c r="F761" s="180"/>
      <c r="G761" s="175"/>
    </row>
    <row r="762">
      <c r="A762" s="187"/>
      <c r="B762" s="187"/>
      <c r="C762" s="187"/>
      <c r="D762" s="190"/>
      <c r="E762" s="155"/>
      <c r="F762" s="180"/>
      <c r="G762" s="175"/>
    </row>
    <row r="763">
      <c r="A763" s="187"/>
      <c r="B763" s="187"/>
      <c r="C763" s="187"/>
      <c r="D763" s="190"/>
      <c r="E763" s="155"/>
      <c r="F763" s="180"/>
      <c r="G763" s="175"/>
    </row>
    <row r="764">
      <c r="A764" s="187"/>
      <c r="B764" s="187"/>
      <c r="C764" s="187"/>
      <c r="D764" s="190"/>
      <c r="E764" s="155"/>
      <c r="F764" s="180"/>
      <c r="G764" s="175"/>
    </row>
    <row r="765">
      <c r="A765" s="187"/>
      <c r="B765" s="187"/>
      <c r="C765" s="187"/>
      <c r="D765" s="190"/>
      <c r="E765" s="155"/>
      <c r="F765" s="180"/>
      <c r="G765" s="175"/>
    </row>
    <row r="766">
      <c r="A766" s="187"/>
      <c r="B766" s="187"/>
      <c r="C766" s="187"/>
      <c r="D766" s="190"/>
      <c r="E766" s="155"/>
      <c r="F766" s="180"/>
      <c r="G766" s="175"/>
    </row>
    <row r="767">
      <c r="A767" s="187"/>
      <c r="B767" s="187"/>
      <c r="C767" s="187"/>
      <c r="D767" s="190"/>
      <c r="E767" s="155"/>
      <c r="F767" s="180"/>
      <c r="G767" s="175"/>
    </row>
    <row r="768">
      <c r="A768" s="187"/>
      <c r="B768" s="187"/>
      <c r="C768" s="187"/>
      <c r="D768" s="190"/>
      <c r="E768" s="155"/>
      <c r="F768" s="180"/>
      <c r="G768" s="175"/>
    </row>
    <row r="769">
      <c r="A769" s="187"/>
      <c r="B769" s="187"/>
      <c r="C769" s="187"/>
      <c r="D769" s="190"/>
      <c r="E769" s="155"/>
      <c r="F769" s="180"/>
      <c r="G769" s="175"/>
    </row>
    <row r="770">
      <c r="A770" s="187"/>
      <c r="B770" s="187"/>
      <c r="C770" s="187"/>
      <c r="D770" s="190"/>
      <c r="E770" s="155"/>
      <c r="F770" s="180"/>
      <c r="G770" s="175"/>
    </row>
    <row r="771">
      <c r="A771" s="187"/>
      <c r="B771" s="187"/>
      <c r="C771" s="187"/>
      <c r="D771" s="190"/>
      <c r="E771" s="155"/>
      <c r="F771" s="180"/>
      <c r="G771" s="175"/>
    </row>
    <row r="772">
      <c r="A772" s="187"/>
      <c r="B772" s="187"/>
      <c r="C772" s="187"/>
      <c r="D772" s="190"/>
      <c r="E772" s="155"/>
      <c r="F772" s="180"/>
      <c r="G772" s="175"/>
    </row>
    <row r="773">
      <c r="A773" s="187"/>
      <c r="B773" s="187"/>
      <c r="C773" s="187"/>
      <c r="D773" s="190"/>
      <c r="E773" s="155"/>
      <c r="F773" s="180"/>
      <c r="G773" s="175"/>
    </row>
    <row r="774">
      <c r="A774" s="187"/>
      <c r="B774" s="187"/>
      <c r="C774" s="187"/>
      <c r="D774" s="190"/>
      <c r="E774" s="155"/>
      <c r="F774" s="180"/>
      <c r="G774" s="175"/>
    </row>
    <row r="775">
      <c r="A775" s="187"/>
      <c r="B775" s="187"/>
      <c r="C775" s="187"/>
      <c r="D775" s="190"/>
      <c r="E775" s="155"/>
      <c r="F775" s="180"/>
      <c r="G775" s="175"/>
    </row>
    <row r="776">
      <c r="A776" s="187"/>
      <c r="B776" s="187"/>
      <c r="C776" s="187"/>
      <c r="D776" s="190"/>
      <c r="E776" s="155"/>
      <c r="F776" s="180"/>
      <c r="G776" s="175"/>
    </row>
    <row r="777">
      <c r="A777" s="187"/>
      <c r="B777" s="187"/>
      <c r="C777" s="187"/>
      <c r="D777" s="190"/>
      <c r="E777" s="155"/>
      <c r="F777" s="180"/>
      <c r="G777" s="175"/>
    </row>
    <row r="778">
      <c r="A778" s="187"/>
      <c r="B778" s="187"/>
      <c r="C778" s="187"/>
      <c r="D778" s="190"/>
      <c r="E778" s="155"/>
      <c r="F778" s="180"/>
      <c r="G778" s="175"/>
    </row>
    <row r="779">
      <c r="A779" s="187"/>
      <c r="B779" s="187"/>
      <c r="C779" s="187"/>
      <c r="D779" s="190"/>
      <c r="E779" s="155"/>
      <c r="F779" s="180"/>
      <c r="G779" s="175"/>
    </row>
    <row r="780">
      <c r="A780" s="187"/>
      <c r="B780" s="187"/>
      <c r="C780" s="187"/>
      <c r="D780" s="190"/>
      <c r="E780" s="155"/>
      <c r="F780" s="180"/>
      <c r="G780" s="175"/>
    </row>
    <row r="781">
      <c r="A781" s="187"/>
      <c r="B781" s="187"/>
      <c r="C781" s="187"/>
      <c r="D781" s="190"/>
      <c r="E781" s="155"/>
      <c r="F781" s="180"/>
      <c r="G781" s="175"/>
    </row>
    <row r="782">
      <c r="A782" s="187"/>
      <c r="B782" s="187"/>
      <c r="C782" s="187"/>
      <c r="D782" s="190"/>
      <c r="E782" s="155"/>
      <c r="F782" s="180"/>
      <c r="G782" s="175"/>
    </row>
    <row r="783">
      <c r="A783" s="187"/>
      <c r="B783" s="187"/>
      <c r="C783" s="187"/>
      <c r="D783" s="190"/>
      <c r="E783" s="155"/>
      <c r="F783" s="180"/>
      <c r="G783" s="175"/>
    </row>
    <row r="784">
      <c r="A784" s="187"/>
      <c r="B784" s="187"/>
      <c r="C784" s="187"/>
      <c r="D784" s="190"/>
      <c r="E784" s="155"/>
      <c r="F784" s="180"/>
      <c r="G784" s="175"/>
    </row>
    <row r="785">
      <c r="A785" s="187"/>
      <c r="B785" s="187"/>
      <c r="C785" s="187"/>
      <c r="D785" s="190"/>
      <c r="E785" s="155"/>
      <c r="F785" s="180"/>
      <c r="G785" s="175"/>
    </row>
    <row r="786">
      <c r="A786" s="187"/>
      <c r="B786" s="187"/>
      <c r="C786" s="187"/>
      <c r="D786" s="190"/>
      <c r="E786" s="155"/>
      <c r="F786" s="180"/>
      <c r="G786" s="175"/>
    </row>
    <row r="787">
      <c r="A787" s="187"/>
      <c r="B787" s="187"/>
      <c r="C787" s="187"/>
      <c r="D787" s="190"/>
      <c r="E787" s="155"/>
      <c r="F787" s="180"/>
      <c r="G787" s="175"/>
    </row>
    <row r="788">
      <c r="A788" s="187"/>
      <c r="B788" s="187"/>
      <c r="C788" s="187"/>
      <c r="D788" s="190"/>
      <c r="E788" s="155"/>
      <c r="F788" s="180"/>
      <c r="G788" s="175"/>
    </row>
    <row r="789">
      <c r="A789" s="187"/>
      <c r="B789" s="187"/>
      <c r="C789" s="187"/>
      <c r="D789" s="190"/>
      <c r="E789" s="155"/>
      <c r="F789" s="180"/>
      <c r="G789" s="175"/>
    </row>
    <row r="790">
      <c r="A790" s="187"/>
      <c r="B790" s="187"/>
      <c r="C790" s="187"/>
      <c r="D790" s="190"/>
      <c r="E790" s="155"/>
      <c r="F790" s="180"/>
      <c r="G790" s="175"/>
    </row>
    <row r="791">
      <c r="A791" s="187"/>
      <c r="B791" s="187"/>
      <c r="C791" s="187"/>
      <c r="D791" s="190"/>
      <c r="E791" s="155"/>
      <c r="F791" s="180"/>
      <c r="G791" s="175"/>
    </row>
    <row r="792">
      <c r="A792" s="187"/>
      <c r="B792" s="187"/>
      <c r="C792" s="187"/>
      <c r="D792" s="190"/>
      <c r="E792" s="155"/>
      <c r="F792" s="180"/>
      <c r="G792" s="175"/>
    </row>
    <row r="793">
      <c r="A793" s="187"/>
      <c r="B793" s="187"/>
      <c r="C793" s="187"/>
      <c r="D793" s="190"/>
      <c r="E793" s="155"/>
      <c r="F793" s="180"/>
      <c r="G793" s="175"/>
    </row>
    <row r="794">
      <c r="A794" s="187"/>
      <c r="B794" s="187"/>
      <c r="C794" s="187"/>
      <c r="D794" s="190"/>
      <c r="E794" s="155"/>
      <c r="F794" s="180"/>
      <c r="G794" s="175"/>
    </row>
    <row r="795">
      <c r="A795" s="187"/>
      <c r="B795" s="187"/>
      <c r="C795" s="187"/>
      <c r="D795" s="190"/>
      <c r="E795" s="155"/>
      <c r="F795" s="180"/>
      <c r="G795" s="175"/>
    </row>
    <row r="796">
      <c r="A796" s="187"/>
      <c r="B796" s="187"/>
      <c r="C796" s="187"/>
      <c r="D796" s="190"/>
      <c r="E796" s="155"/>
      <c r="F796" s="180"/>
      <c r="G796" s="175"/>
    </row>
    <row r="797">
      <c r="A797" s="187"/>
      <c r="B797" s="187"/>
      <c r="C797" s="187"/>
      <c r="D797" s="190"/>
      <c r="E797" s="155"/>
      <c r="F797" s="180"/>
      <c r="G797" s="175"/>
    </row>
    <row r="798">
      <c r="A798" s="187"/>
      <c r="B798" s="187"/>
      <c r="C798" s="187"/>
      <c r="D798" s="190"/>
      <c r="E798" s="155"/>
      <c r="F798" s="180"/>
      <c r="G798" s="175"/>
    </row>
    <row r="799">
      <c r="A799" s="187"/>
      <c r="B799" s="187"/>
      <c r="C799" s="187"/>
      <c r="D799" s="190"/>
      <c r="E799" s="155"/>
      <c r="F799" s="180"/>
      <c r="G799" s="175"/>
    </row>
    <row r="800">
      <c r="A800" s="187"/>
      <c r="B800" s="187"/>
      <c r="C800" s="187"/>
      <c r="D800" s="190"/>
      <c r="E800" s="155"/>
      <c r="F800" s="180"/>
      <c r="G800" s="175"/>
    </row>
    <row r="801">
      <c r="A801" s="187"/>
      <c r="B801" s="187"/>
      <c r="C801" s="187"/>
      <c r="D801" s="190"/>
      <c r="E801" s="155"/>
      <c r="F801" s="180"/>
      <c r="G801" s="175"/>
    </row>
    <row r="802">
      <c r="A802" s="187"/>
      <c r="B802" s="187"/>
      <c r="C802" s="187"/>
      <c r="D802" s="190"/>
      <c r="E802" s="155"/>
      <c r="F802" s="180"/>
      <c r="G802" s="175"/>
    </row>
    <row r="803">
      <c r="A803" s="187"/>
      <c r="B803" s="187"/>
      <c r="C803" s="187"/>
      <c r="D803" s="190"/>
      <c r="E803" s="155"/>
      <c r="F803" s="180"/>
      <c r="G803" s="175"/>
    </row>
    <row r="804">
      <c r="A804" s="187"/>
      <c r="B804" s="187"/>
      <c r="C804" s="187"/>
      <c r="D804" s="190"/>
      <c r="E804" s="155"/>
      <c r="F804" s="180"/>
      <c r="G804" s="175"/>
    </row>
    <row r="805">
      <c r="A805" s="187"/>
      <c r="B805" s="187"/>
      <c r="C805" s="187"/>
      <c r="D805" s="190"/>
      <c r="E805" s="155"/>
      <c r="F805" s="180"/>
      <c r="G805" s="175"/>
    </row>
    <row r="806">
      <c r="A806" s="187"/>
      <c r="B806" s="187"/>
      <c r="C806" s="187"/>
      <c r="D806" s="190"/>
      <c r="E806" s="155"/>
      <c r="F806" s="180"/>
      <c r="G806" s="175"/>
    </row>
    <row r="807">
      <c r="A807" s="187"/>
      <c r="B807" s="187"/>
      <c r="C807" s="187"/>
      <c r="D807" s="190"/>
      <c r="E807" s="155"/>
      <c r="F807" s="180"/>
      <c r="G807" s="175"/>
    </row>
    <row r="808">
      <c r="A808" s="187"/>
      <c r="B808" s="187"/>
      <c r="C808" s="187"/>
      <c r="D808" s="190"/>
      <c r="E808" s="155"/>
      <c r="F808" s="180"/>
      <c r="G808" s="175"/>
    </row>
    <row r="809">
      <c r="A809" s="187"/>
      <c r="B809" s="187"/>
      <c r="C809" s="187"/>
      <c r="D809" s="190"/>
      <c r="E809" s="155"/>
      <c r="F809" s="180"/>
      <c r="G809" s="175"/>
    </row>
    <row r="810">
      <c r="A810" s="187"/>
      <c r="B810" s="187"/>
      <c r="C810" s="187"/>
      <c r="D810" s="190"/>
      <c r="E810" s="155"/>
      <c r="F810" s="180"/>
      <c r="G810" s="175"/>
    </row>
    <row r="811">
      <c r="A811" s="187"/>
      <c r="B811" s="187"/>
      <c r="C811" s="187"/>
      <c r="D811" s="190"/>
      <c r="E811" s="155"/>
      <c r="F811" s="180"/>
      <c r="G811" s="175"/>
    </row>
    <row r="812">
      <c r="A812" s="187"/>
      <c r="B812" s="187"/>
      <c r="C812" s="187"/>
      <c r="D812" s="190"/>
      <c r="E812" s="155"/>
      <c r="F812" s="180"/>
      <c r="G812" s="175"/>
    </row>
    <row r="813">
      <c r="A813" s="187"/>
      <c r="B813" s="187"/>
      <c r="C813" s="187"/>
      <c r="D813" s="190"/>
      <c r="E813" s="155"/>
      <c r="F813" s="180"/>
      <c r="G813" s="175"/>
    </row>
    <row r="814">
      <c r="A814" s="187"/>
      <c r="B814" s="187"/>
      <c r="C814" s="187"/>
      <c r="D814" s="190"/>
      <c r="E814" s="155"/>
      <c r="F814" s="180"/>
      <c r="G814" s="175"/>
    </row>
    <row r="815">
      <c r="A815" s="187"/>
      <c r="B815" s="187"/>
      <c r="C815" s="187"/>
      <c r="D815" s="190"/>
      <c r="E815" s="155"/>
      <c r="F815" s="180"/>
      <c r="G815" s="175"/>
    </row>
    <row r="816">
      <c r="A816" s="187"/>
      <c r="B816" s="187"/>
      <c r="C816" s="187"/>
      <c r="D816" s="190"/>
      <c r="E816" s="155"/>
      <c r="F816" s="180"/>
      <c r="G816" s="175"/>
    </row>
    <row r="817">
      <c r="A817" s="187"/>
      <c r="B817" s="187"/>
      <c r="C817" s="187"/>
      <c r="D817" s="190"/>
      <c r="E817" s="155"/>
      <c r="F817" s="180"/>
      <c r="G817" s="175"/>
    </row>
    <row r="818">
      <c r="A818" s="187"/>
      <c r="B818" s="187"/>
      <c r="C818" s="187"/>
      <c r="D818" s="190"/>
      <c r="E818" s="155"/>
      <c r="F818" s="180"/>
      <c r="G818" s="175"/>
    </row>
    <row r="819">
      <c r="A819" s="187"/>
      <c r="B819" s="187"/>
      <c r="C819" s="187"/>
      <c r="D819" s="190"/>
      <c r="E819" s="155"/>
      <c r="F819" s="180"/>
      <c r="G819" s="175"/>
    </row>
    <row r="820">
      <c r="A820" s="187"/>
      <c r="B820" s="187"/>
      <c r="C820" s="187"/>
      <c r="D820" s="190"/>
      <c r="E820" s="155"/>
      <c r="F820" s="180"/>
      <c r="G820" s="175"/>
    </row>
    <row r="821">
      <c r="A821" s="187"/>
      <c r="B821" s="187"/>
      <c r="C821" s="187"/>
      <c r="D821" s="190"/>
      <c r="E821" s="155"/>
      <c r="F821" s="180"/>
      <c r="G821" s="175"/>
    </row>
    <row r="822">
      <c r="A822" s="187"/>
      <c r="B822" s="187"/>
      <c r="C822" s="187"/>
      <c r="D822" s="190"/>
      <c r="E822" s="155"/>
      <c r="F822" s="180"/>
      <c r="G822" s="175"/>
    </row>
    <row r="823">
      <c r="A823" s="187"/>
      <c r="B823" s="187"/>
      <c r="C823" s="187"/>
      <c r="D823" s="190"/>
      <c r="E823" s="155"/>
      <c r="F823" s="180"/>
      <c r="G823" s="175"/>
    </row>
    <row r="824">
      <c r="A824" s="187"/>
      <c r="B824" s="187"/>
      <c r="C824" s="187"/>
      <c r="D824" s="190"/>
      <c r="E824" s="155"/>
      <c r="F824" s="180"/>
      <c r="G824" s="175"/>
    </row>
    <row r="825">
      <c r="A825" s="187"/>
      <c r="B825" s="187"/>
      <c r="C825" s="187"/>
      <c r="D825" s="190"/>
      <c r="E825" s="155"/>
      <c r="F825" s="180"/>
      <c r="G825" s="175"/>
    </row>
    <row r="826">
      <c r="A826" s="187"/>
      <c r="B826" s="187"/>
      <c r="C826" s="187"/>
      <c r="D826" s="190"/>
      <c r="E826" s="155"/>
      <c r="F826" s="180"/>
      <c r="G826" s="175"/>
    </row>
    <row r="827">
      <c r="A827" s="187"/>
      <c r="B827" s="187"/>
      <c r="C827" s="187"/>
      <c r="D827" s="190"/>
      <c r="E827" s="155"/>
      <c r="F827" s="180"/>
      <c r="G827" s="175"/>
    </row>
    <row r="828">
      <c r="A828" s="187"/>
      <c r="B828" s="187"/>
      <c r="C828" s="187"/>
      <c r="D828" s="190"/>
      <c r="E828" s="155"/>
      <c r="F828" s="180"/>
      <c r="G828" s="175"/>
    </row>
    <row r="829">
      <c r="A829" s="187"/>
      <c r="B829" s="187"/>
      <c r="C829" s="187"/>
      <c r="D829" s="190"/>
      <c r="E829" s="155"/>
      <c r="F829" s="180"/>
      <c r="G829" s="175"/>
    </row>
    <row r="830">
      <c r="A830" s="187"/>
      <c r="B830" s="187"/>
      <c r="C830" s="187"/>
      <c r="D830" s="190"/>
      <c r="E830" s="155"/>
      <c r="F830" s="180"/>
      <c r="G830" s="175"/>
    </row>
    <row r="831">
      <c r="A831" s="187"/>
      <c r="B831" s="187"/>
      <c r="C831" s="187"/>
      <c r="D831" s="190"/>
      <c r="E831" s="155"/>
      <c r="F831" s="180"/>
      <c r="G831" s="175"/>
    </row>
    <row r="832">
      <c r="A832" s="187"/>
      <c r="B832" s="187"/>
      <c r="C832" s="187"/>
      <c r="D832" s="190"/>
      <c r="E832" s="155"/>
      <c r="F832" s="180"/>
      <c r="G832" s="175"/>
    </row>
    <row r="833">
      <c r="A833" s="187"/>
      <c r="B833" s="187"/>
      <c r="C833" s="187"/>
      <c r="D833" s="190"/>
      <c r="E833" s="155"/>
      <c r="F833" s="180"/>
      <c r="G833" s="175"/>
    </row>
    <row r="834">
      <c r="A834" s="187"/>
      <c r="B834" s="187"/>
      <c r="C834" s="187"/>
      <c r="D834" s="190"/>
      <c r="E834" s="155"/>
      <c r="F834" s="180"/>
      <c r="G834" s="175"/>
    </row>
    <row r="835">
      <c r="A835" s="187"/>
      <c r="B835" s="187"/>
      <c r="C835" s="187"/>
      <c r="D835" s="190"/>
      <c r="E835" s="155"/>
      <c r="F835" s="180"/>
      <c r="G835" s="175"/>
    </row>
    <row r="836">
      <c r="A836" s="187"/>
      <c r="B836" s="187"/>
      <c r="C836" s="187"/>
      <c r="D836" s="190"/>
      <c r="E836" s="155"/>
      <c r="F836" s="180"/>
      <c r="G836" s="175"/>
    </row>
    <row r="837">
      <c r="A837" s="187"/>
      <c r="B837" s="187"/>
      <c r="C837" s="187"/>
      <c r="D837" s="190"/>
      <c r="E837" s="155"/>
      <c r="F837" s="180"/>
      <c r="G837" s="175"/>
    </row>
    <row r="838">
      <c r="A838" s="187"/>
      <c r="B838" s="187"/>
      <c r="C838" s="187"/>
      <c r="D838" s="190"/>
      <c r="E838" s="155"/>
      <c r="F838" s="180"/>
      <c r="G838" s="175"/>
    </row>
    <row r="839">
      <c r="A839" s="187"/>
      <c r="B839" s="187"/>
      <c r="C839" s="187"/>
      <c r="D839" s="190"/>
      <c r="E839" s="155"/>
      <c r="F839" s="180"/>
      <c r="G839" s="175"/>
    </row>
    <row r="840">
      <c r="A840" s="187"/>
      <c r="B840" s="187"/>
      <c r="C840" s="187"/>
      <c r="D840" s="190"/>
      <c r="E840" s="155"/>
      <c r="F840" s="180"/>
      <c r="G840" s="175"/>
    </row>
    <row r="841">
      <c r="A841" s="187"/>
      <c r="B841" s="187"/>
      <c r="C841" s="187"/>
      <c r="D841" s="190"/>
      <c r="E841" s="155"/>
      <c r="F841" s="180"/>
      <c r="G841" s="175"/>
    </row>
    <row r="842">
      <c r="A842" s="187"/>
      <c r="B842" s="187"/>
      <c r="C842" s="187"/>
      <c r="D842" s="190"/>
      <c r="E842" s="155"/>
      <c r="F842" s="180"/>
      <c r="G842" s="175"/>
    </row>
    <row r="843">
      <c r="A843" s="187"/>
      <c r="B843" s="187"/>
      <c r="C843" s="187"/>
      <c r="D843" s="190"/>
      <c r="E843" s="155"/>
      <c r="F843" s="180"/>
      <c r="G843" s="175"/>
    </row>
    <row r="844">
      <c r="A844" s="187"/>
      <c r="B844" s="187"/>
      <c r="C844" s="187"/>
      <c r="D844" s="190"/>
      <c r="E844" s="155"/>
      <c r="F844" s="180"/>
      <c r="G844" s="175"/>
    </row>
    <row r="845">
      <c r="A845" s="187"/>
      <c r="B845" s="187"/>
      <c r="C845" s="187"/>
      <c r="D845" s="190"/>
      <c r="E845" s="155"/>
      <c r="F845" s="180"/>
      <c r="G845" s="175"/>
    </row>
    <row r="846">
      <c r="A846" s="187"/>
      <c r="B846" s="187"/>
      <c r="C846" s="187"/>
      <c r="D846" s="190"/>
      <c r="E846" s="155"/>
      <c r="F846" s="180"/>
      <c r="G846" s="175"/>
    </row>
    <row r="847">
      <c r="A847" s="187"/>
      <c r="B847" s="187"/>
      <c r="C847" s="187"/>
      <c r="D847" s="190"/>
      <c r="E847" s="155"/>
      <c r="F847" s="180"/>
      <c r="G847" s="175"/>
    </row>
    <row r="848">
      <c r="A848" s="187"/>
      <c r="B848" s="187"/>
      <c r="C848" s="187"/>
      <c r="D848" s="190"/>
      <c r="E848" s="155"/>
      <c r="F848" s="180"/>
      <c r="G848" s="175"/>
    </row>
    <row r="849">
      <c r="A849" s="187"/>
      <c r="B849" s="187"/>
      <c r="C849" s="187"/>
      <c r="D849" s="190"/>
      <c r="E849" s="155"/>
      <c r="F849" s="180"/>
      <c r="G849" s="175"/>
    </row>
    <row r="850">
      <c r="A850" s="187"/>
      <c r="B850" s="187"/>
      <c r="C850" s="187"/>
      <c r="D850" s="190"/>
      <c r="E850" s="155"/>
      <c r="F850" s="180"/>
      <c r="G850" s="175"/>
    </row>
    <row r="851">
      <c r="A851" s="187"/>
      <c r="B851" s="187"/>
      <c r="C851" s="187"/>
      <c r="D851" s="190"/>
      <c r="E851" s="155"/>
      <c r="F851" s="180"/>
      <c r="G851" s="175"/>
    </row>
    <row r="852">
      <c r="A852" s="187"/>
      <c r="B852" s="187"/>
      <c r="C852" s="187"/>
      <c r="D852" s="190"/>
      <c r="E852" s="155"/>
      <c r="F852" s="180"/>
      <c r="G852" s="175"/>
    </row>
    <row r="853">
      <c r="A853" s="187"/>
      <c r="B853" s="187"/>
      <c r="C853" s="187"/>
      <c r="D853" s="190"/>
      <c r="E853" s="155"/>
      <c r="F853" s="180"/>
      <c r="G853" s="175"/>
    </row>
    <row r="854">
      <c r="A854" s="187"/>
      <c r="B854" s="187"/>
      <c r="C854" s="187"/>
      <c r="D854" s="190"/>
      <c r="E854" s="155"/>
      <c r="F854" s="180"/>
      <c r="G854" s="175"/>
    </row>
    <row r="855">
      <c r="A855" s="187"/>
      <c r="B855" s="187"/>
      <c r="C855" s="187"/>
      <c r="D855" s="190"/>
      <c r="E855" s="155"/>
      <c r="F855" s="180"/>
      <c r="G855" s="175"/>
    </row>
    <row r="856">
      <c r="A856" s="187"/>
      <c r="B856" s="187"/>
      <c r="C856" s="187"/>
      <c r="D856" s="190"/>
      <c r="E856" s="155"/>
      <c r="F856" s="180"/>
      <c r="G856" s="175"/>
    </row>
    <row r="857">
      <c r="A857" s="187"/>
      <c r="B857" s="187"/>
      <c r="C857" s="187"/>
      <c r="D857" s="190"/>
      <c r="E857" s="155"/>
      <c r="F857" s="180"/>
      <c r="G857" s="175"/>
    </row>
    <row r="858">
      <c r="A858" s="187"/>
      <c r="B858" s="187"/>
      <c r="C858" s="187"/>
      <c r="D858" s="190"/>
      <c r="E858" s="155"/>
      <c r="F858" s="180"/>
      <c r="G858" s="175"/>
    </row>
    <row r="859">
      <c r="A859" s="187"/>
      <c r="B859" s="187"/>
      <c r="C859" s="187"/>
      <c r="D859" s="190"/>
      <c r="E859" s="155"/>
      <c r="F859" s="180"/>
      <c r="G859" s="175"/>
    </row>
    <row r="860">
      <c r="A860" s="187"/>
      <c r="B860" s="187"/>
      <c r="C860" s="187"/>
      <c r="D860" s="190"/>
      <c r="E860" s="155"/>
      <c r="F860" s="180"/>
      <c r="G860" s="175"/>
    </row>
    <row r="861">
      <c r="A861" s="187"/>
      <c r="B861" s="187"/>
      <c r="C861" s="187"/>
      <c r="D861" s="190"/>
      <c r="E861" s="155"/>
      <c r="F861" s="180"/>
      <c r="G861" s="175"/>
    </row>
    <row r="862">
      <c r="A862" s="187"/>
      <c r="B862" s="187"/>
      <c r="C862" s="187"/>
      <c r="D862" s="190"/>
      <c r="E862" s="155"/>
      <c r="F862" s="180"/>
      <c r="G862" s="175"/>
    </row>
    <row r="863">
      <c r="A863" s="187"/>
      <c r="B863" s="187"/>
      <c r="C863" s="187"/>
      <c r="D863" s="190"/>
      <c r="E863" s="155"/>
      <c r="F863" s="180"/>
      <c r="G863" s="175"/>
    </row>
    <row r="864">
      <c r="A864" s="187"/>
      <c r="B864" s="187"/>
      <c r="C864" s="187"/>
      <c r="D864" s="190"/>
      <c r="E864" s="155"/>
      <c r="F864" s="180"/>
      <c r="G864" s="175"/>
    </row>
    <row r="865">
      <c r="A865" s="187"/>
      <c r="B865" s="187"/>
      <c r="C865" s="187"/>
      <c r="D865" s="190"/>
      <c r="E865" s="155"/>
      <c r="F865" s="180"/>
      <c r="G865" s="175"/>
    </row>
    <row r="866">
      <c r="A866" s="187"/>
      <c r="B866" s="187"/>
      <c r="C866" s="187"/>
      <c r="D866" s="190"/>
      <c r="E866" s="155"/>
      <c r="F866" s="180"/>
      <c r="G866" s="175"/>
    </row>
    <row r="867">
      <c r="A867" s="187"/>
      <c r="B867" s="187"/>
      <c r="C867" s="187"/>
      <c r="D867" s="190"/>
      <c r="E867" s="155"/>
      <c r="F867" s="180"/>
      <c r="G867" s="175"/>
    </row>
    <row r="868">
      <c r="A868" s="187"/>
      <c r="B868" s="187"/>
      <c r="C868" s="187"/>
      <c r="D868" s="190"/>
      <c r="E868" s="155"/>
      <c r="F868" s="180"/>
      <c r="G868" s="175"/>
    </row>
    <row r="869">
      <c r="A869" s="187"/>
      <c r="B869" s="187"/>
      <c r="C869" s="187"/>
      <c r="D869" s="190"/>
      <c r="E869" s="155"/>
      <c r="F869" s="180"/>
      <c r="G869" s="175"/>
    </row>
    <row r="870">
      <c r="A870" s="187"/>
      <c r="B870" s="187"/>
      <c r="C870" s="187"/>
      <c r="D870" s="190"/>
      <c r="E870" s="155"/>
      <c r="F870" s="180"/>
      <c r="G870" s="175"/>
    </row>
    <row r="871">
      <c r="A871" s="187"/>
      <c r="B871" s="187"/>
      <c r="C871" s="187"/>
      <c r="D871" s="190"/>
      <c r="E871" s="155"/>
      <c r="F871" s="180"/>
      <c r="G871" s="175"/>
    </row>
    <row r="872">
      <c r="A872" s="187"/>
      <c r="B872" s="187"/>
      <c r="C872" s="187"/>
      <c r="D872" s="190"/>
      <c r="E872" s="155"/>
      <c r="F872" s="180"/>
      <c r="G872" s="175"/>
    </row>
    <row r="873">
      <c r="A873" s="187"/>
      <c r="B873" s="187"/>
      <c r="C873" s="187"/>
      <c r="D873" s="190"/>
      <c r="E873" s="155"/>
      <c r="F873" s="180"/>
      <c r="G873" s="175"/>
    </row>
    <row r="874">
      <c r="A874" s="187"/>
      <c r="B874" s="187"/>
      <c r="C874" s="187"/>
      <c r="D874" s="190"/>
      <c r="E874" s="155"/>
      <c r="F874" s="180"/>
      <c r="G874" s="175"/>
    </row>
    <row r="875">
      <c r="A875" s="187"/>
      <c r="B875" s="187"/>
      <c r="C875" s="187"/>
      <c r="D875" s="190"/>
      <c r="E875" s="155"/>
      <c r="F875" s="180"/>
      <c r="G875" s="175"/>
    </row>
    <row r="876">
      <c r="A876" s="187"/>
      <c r="B876" s="187"/>
      <c r="C876" s="187"/>
      <c r="D876" s="190"/>
      <c r="E876" s="155"/>
      <c r="F876" s="180"/>
      <c r="G876" s="175"/>
    </row>
    <row r="877">
      <c r="A877" s="187"/>
      <c r="B877" s="187"/>
      <c r="C877" s="187"/>
      <c r="D877" s="190"/>
      <c r="E877" s="155"/>
      <c r="F877" s="180"/>
      <c r="G877" s="175"/>
    </row>
    <row r="878">
      <c r="A878" s="187"/>
      <c r="B878" s="187"/>
      <c r="C878" s="187"/>
      <c r="D878" s="190"/>
      <c r="E878" s="155"/>
      <c r="F878" s="180"/>
      <c r="G878" s="175"/>
    </row>
    <row r="879">
      <c r="A879" s="187"/>
      <c r="B879" s="187"/>
      <c r="C879" s="187"/>
      <c r="D879" s="190"/>
      <c r="E879" s="155"/>
      <c r="F879" s="180"/>
      <c r="G879" s="175"/>
    </row>
    <row r="880">
      <c r="A880" s="187"/>
      <c r="B880" s="187"/>
      <c r="C880" s="187"/>
      <c r="D880" s="190"/>
      <c r="E880" s="155"/>
      <c r="F880" s="180"/>
      <c r="G880" s="175"/>
    </row>
    <row r="881">
      <c r="A881" s="187"/>
      <c r="B881" s="187"/>
      <c r="C881" s="187"/>
      <c r="D881" s="190"/>
      <c r="E881" s="155"/>
      <c r="F881" s="180"/>
      <c r="G881" s="175"/>
    </row>
    <row r="882">
      <c r="A882" s="187"/>
      <c r="B882" s="187"/>
      <c r="C882" s="187"/>
      <c r="D882" s="190"/>
      <c r="E882" s="155"/>
      <c r="F882" s="180"/>
      <c r="G882" s="175"/>
    </row>
    <row r="883">
      <c r="A883" s="187"/>
      <c r="B883" s="187"/>
      <c r="C883" s="187"/>
      <c r="D883" s="190"/>
      <c r="E883" s="155"/>
      <c r="F883" s="180"/>
      <c r="G883" s="175"/>
    </row>
    <row r="884">
      <c r="A884" s="187"/>
      <c r="B884" s="187"/>
      <c r="C884" s="187"/>
      <c r="D884" s="190"/>
      <c r="E884" s="155"/>
      <c r="F884" s="180"/>
      <c r="G884" s="175"/>
    </row>
    <row r="885">
      <c r="A885" s="187"/>
      <c r="B885" s="187"/>
      <c r="C885" s="187"/>
      <c r="D885" s="190"/>
      <c r="E885" s="155"/>
      <c r="F885" s="180"/>
      <c r="G885" s="175"/>
    </row>
    <row r="886">
      <c r="A886" s="187"/>
      <c r="B886" s="187"/>
      <c r="C886" s="187"/>
      <c r="D886" s="190"/>
      <c r="E886" s="155"/>
      <c r="F886" s="180"/>
      <c r="G886" s="175"/>
    </row>
    <row r="887">
      <c r="A887" s="187"/>
      <c r="B887" s="187"/>
      <c r="C887" s="187"/>
      <c r="D887" s="190"/>
      <c r="E887" s="155"/>
      <c r="F887" s="180"/>
      <c r="G887" s="175"/>
    </row>
    <row r="888">
      <c r="A888" s="187"/>
      <c r="B888" s="187"/>
      <c r="C888" s="187"/>
      <c r="D888" s="190"/>
      <c r="E888" s="155"/>
      <c r="F888" s="180"/>
      <c r="G888" s="175"/>
    </row>
    <row r="889">
      <c r="A889" s="187"/>
      <c r="B889" s="187"/>
      <c r="C889" s="187"/>
      <c r="D889" s="190"/>
      <c r="E889" s="155"/>
      <c r="F889" s="180"/>
      <c r="G889" s="175"/>
    </row>
    <row r="890">
      <c r="A890" s="187"/>
      <c r="B890" s="187"/>
      <c r="C890" s="187"/>
      <c r="D890" s="190"/>
      <c r="E890" s="155"/>
      <c r="F890" s="180"/>
      <c r="G890" s="175"/>
    </row>
    <row r="891">
      <c r="A891" s="187"/>
      <c r="B891" s="187"/>
      <c r="C891" s="187"/>
      <c r="D891" s="190"/>
      <c r="E891" s="155"/>
      <c r="F891" s="180"/>
      <c r="G891" s="175"/>
    </row>
    <row r="892">
      <c r="A892" s="187"/>
      <c r="B892" s="187"/>
      <c r="C892" s="187"/>
      <c r="D892" s="190"/>
      <c r="E892" s="155"/>
      <c r="F892" s="180"/>
      <c r="G892" s="175"/>
    </row>
    <row r="893">
      <c r="A893" s="187"/>
      <c r="B893" s="187"/>
      <c r="C893" s="187"/>
      <c r="D893" s="190"/>
      <c r="E893" s="155"/>
      <c r="F893" s="180"/>
      <c r="G893" s="175"/>
    </row>
    <row r="894">
      <c r="A894" s="187"/>
      <c r="B894" s="187"/>
      <c r="C894" s="187"/>
      <c r="D894" s="190"/>
      <c r="E894" s="155"/>
      <c r="F894" s="180"/>
      <c r="G894" s="175"/>
    </row>
    <row r="895">
      <c r="A895" s="187"/>
      <c r="B895" s="187"/>
      <c r="C895" s="187"/>
      <c r="D895" s="190"/>
      <c r="E895" s="155"/>
      <c r="F895" s="180"/>
      <c r="G895" s="175"/>
    </row>
    <row r="896">
      <c r="A896" s="187"/>
      <c r="B896" s="187"/>
      <c r="C896" s="187"/>
      <c r="D896" s="190"/>
      <c r="E896" s="155"/>
      <c r="F896" s="180"/>
      <c r="G896" s="175"/>
    </row>
    <row r="897">
      <c r="A897" s="187"/>
      <c r="B897" s="187"/>
      <c r="C897" s="187"/>
      <c r="D897" s="190"/>
      <c r="E897" s="155"/>
      <c r="F897" s="180"/>
      <c r="G897" s="175"/>
    </row>
    <row r="898">
      <c r="A898" s="187"/>
      <c r="B898" s="187"/>
      <c r="C898" s="187"/>
      <c r="D898" s="190"/>
      <c r="E898" s="155"/>
      <c r="F898" s="180"/>
      <c r="G898" s="175"/>
    </row>
    <row r="899">
      <c r="A899" s="187"/>
      <c r="B899" s="187"/>
      <c r="C899" s="187"/>
      <c r="D899" s="190"/>
      <c r="E899" s="155"/>
      <c r="F899" s="180"/>
      <c r="G899" s="175"/>
    </row>
    <row r="900">
      <c r="A900" s="187"/>
      <c r="B900" s="187"/>
      <c r="C900" s="187"/>
      <c r="D900" s="190"/>
      <c r="E900" s="155"/>
      <c r="F900" s="180"/>
      <c r="G900" s="175"/>
    </row>
    <row r="901">
      <c r="A901" s="187"/>
      <c r="B901" s="187"/>
      <c r="C901" s="187"/>
      <c r="D901" s="190"/>
      <c r="E901" s="155"/>
      <c r="F901" s="180"/>
      <c r="G901" s="175"/>
    </row>
    <row r="902">
      <c r="A902" s="187"/>
      <c r="B902" s="187"/>
      <c r="C902" s="187"/>
      <c r="D902" s="190"/>
      <c r="E902" s="155"/>
      <c r="F902" s="180"/>
      <c r="G902" s="175"/>
    </row>
    <row r="903">
      <c r="A903" s="187"/>
      <c r="B903" s="187"/>
      <c r="C903" s="187"/>
      <c r="D903" s="190"/>
      <c r="E903" s="155"/>
      <c r="F903" s="180"/>
      <c r="G903" s="175"/>
    </row>
    <row r="904">
      <c r="A904" s="187"/>
      <c r="B904" s="187"/>
      <c r="C904" s="187"/>
      <c r="D904" s="190"/>
      <c r="E904" s="155"/>
      <c r="F904" s="180"/>
      <c r="G904" s="175"/>
    </row>
    <row r="905">
      <c r="A905" s="187"/>
      <c r="B905" s="187"/>
      <c r="C905" s="187"/>
      <c r="D905" s="190"/>
      <c r="E905" s="155"/>
      <c r="F905" s="180"/>
      <c r="G905" s="175"/>
    </row>
    <row r="906">
      <c r="A906" s="187"/>
      <c r="B906" s="187"/>
      <c r="C906" s="187"/>
      <c r="D906" s="190"/>
      <c r="E906" s="155"/>
      <c r="F906" s="180"/>
      <c r="G906" s="175"/>
    </row>
    <row r="907">
      <c r="A907" s="187"/>
      <c r="B907" s="187"/>
      <c r="C907" s="187"/>
      <c r="D907" s="190"/>
      <c r="E907" s="155"/>
      <c r="F907" s="180"/>
      <c r="G907" s="175"/>
    </row>
    <row r="908">
      <c r="A908" s="187"/>
      <c r="B908" s="187"/>
      <c r="C908" s="187"/>
      <c r="D908" s="190"/>
      <c r="E908" s="155"/>
      <c r="F908" s="180"/>
      <c r="G908" s="175"/>
    </row>
    <row r="909">
      <c r="A909" s="187"/>
      <c r="B909" s="187"/>
      <c r="C909" s="187"/>
      <c r="D909" s="190"/>
      <c r="E909" s="155"/>
      <c r="F909" s="180"/>
      <c r="G909" s="175"/>
    </row>
    <row r="910">
      <c r="A910" s="187"/>
      <c r="B910" s="187"/>
      <c r="C910" s="187"/>
      <c r="D910" s="190"/>
      <c r="E910" s="155"/>
      <c r="F910" s="180"/>
      <c r="G910" s="175"/>
    </row>
    <row r="911">
      <c r="A911" s="187"/>
      <c r="B911" s="187"/>
      <c r="C911" s="187"/>
      <c r="D911" s="190"/>
      <c r="E911" s="155"/>
      <c r="F911" s="180"/>
      <c r="G911" s="175"/>
    </row>
    <row r="912">
      <c r="A912" s="187"/>
      <c r="B912" s="187"/>
      <c r="C912" s="187"/>
      <c r="D912" s="190"/>
      <c r="E912" s="155"/>
      <c r="F912" s="180"/>
      <c r="G912" s="175"/>
    </row>
    <row r="913">
      <c r="A913" s="187"/>
      <c r="B913" s="187"/>
      <c r="C913" s="187"/>
      <c r="D913" s="190"/>
      <c r="E913" s="155"/>
      <c r="F913" s="180"/>
      <c r="G913" s="175"/>
    </row>
    <row r="914">
      <c r="A914" s="187"/>
      <c r="B914" s="187"/>
      <c r="C914" s="187"/>
      <c r="D914" s="190"/>
      <c r="E914" s="155"/>
      <c r="F914" s="180"/>
      <c r="G914" s="175"/>
    </row>
    <row r="915">
      <c r="A915" s="187"/>
      <c r="B915" s="187"/>
      <c r="C915" s="187"/>
      <c r="D915" s="190"/>
      <c r="E915" s="155"/>
      <c r="F915" s="180"/>
      <c r="G915" s="175"/>
    </row>
    <row r="916">
      <c r="A916" s="187"/>
      <c r="B916" s="187"/>
      <c r="C916" s="187"/>
      <c r="D916" s="190"/>
      <c r="E916" s="155"/>
      <c r="F916" s="180"/>
      <c r="G916" s="175"/>
    </row>
    <row r="917">
      <c r="A917" s="187"/>
      <c r="B917" s="187"/>
      <c r="C917" s="187"/>
      <c r="D917" s="190"/>
      <c r="E917" s="155"/>
      <c r="F917" s="180"/>
      <c r="G917" s="175"/>
    </row>
    <row r="918">
      <c r="A918" s="187"/>
      <c r="B918" s="187"/>
      <c r="C918" s="187"/>
      <c r="D918" s="190"/>
      <c r="E918" s="155"/>
      <c r="F918" s="180"/>
      <c r="G918" s="175"/>
    </row>
    <row r="919">
      <c r="A919" s="187"/>
      <c r="B919" s="187"/>
      <c r="C919" s="187"/>
      <c r="D919" s="190"/>
      <c r="E919" s="155"/>
      <c r="F919" s="180"/>
      <c r="G919" s="175"/>
    </row>
    <row r="920">
      <c r="A920" s="187"/>
      <c r="B920" s="187"/>
      <c r="C920" s="187"/>
      <c r="D920" s="190"/>
      <c r="E920" s="155"/>
      <c r="F920" s="180"/>
      <c r="G920" s="175"/>
    </row>
    <row r="921">
      <c r="A921" s="187"/>
      <c r="B921" s="187"/>
      <c r="C921" s="187"/>
      <c r="D921" s="190"/>
      <c r="E921" s="155"/>
      <c r="F921" s="180"/>
      <c r="G921" s="175"/>
    </row>
    <row r="922">
      <c r="A922" s="187"/>
      <c r="B922" s="187"/>
      <c r="C922" s="187"/>
      <c r="D922" s="190"/>
      <c r="E922" s="155"/>
      <c r="F922" s="180"/>
      <c r="G922" s="175"/>
    </row>
    <row r="923">
      <c r="A923" s="187"/>
      <c r="B923" s="187"/>
      <c r="C923" s="187"/>
      <c r="D923" s="190"/>
      <c r="E923" s="155"/>
      <c r="F923" s="180"/>
      <c r="G923" s="175"/>
    </row>
    <row r="924">
      <c r="A924" s="187"/>
      <c r="B924" s="187"/>
      <c r="C924" s="187"/>
      <c r="D924" s="190"/>
      <c r="E924" s="155"/>
      <c r="F924" s="180"/>
      <c r="G924" s="175"/>
    </row>
    <row r="925">
      <c r="A925" s="187"/>
      <c r="B925" s="187"/>
      <c r="C925" s="187"/>
      <c r="D925" s="190"/>
      <c r="E925" s="155"/>
      <c r="F925" s="180"/>
      <c r="G925" s="175"/>
    </row>
    <row r="926">
      <c r="A926" s="187"/>
      <c r="B926" s="187"/>
      <c r="C926" s="187"/>
      <c r="D926" s="190"/>
      <c r="E926" s="155"/>
      <c r="F926" s="180"/>
      <c r="G926" s="175"/>
    </row>
    <row r="927">
      <c r="A927" s="187"/>
      <c r="B927" s="187"/>
      <c r="C927" s="187"/>
      <c r="D927" s="190"/>
      <c r="E927" s="155"/>
      <c r="F927" s="180"/>
      <c r="G927" s="175"/>
    </row>
    <row r="928">
      <c r="A928" s="187"/>
      <c r="B928" s="187"/>
      <c r="C928" s="187"/>
      <c r="D928" s="190"/>
      <c r="E928" s="155"/>
      <c r="F928" s="180"/>
      <c r="G928" s="175"/>
    </row>
    <row r="929">
      <c r="A929" s="187"/>
      <c r="B929" s="187"/>
      <c r="C929" s="187"/>
      <c r="D929" s="190"/>
      <c r="E929" s="155"/>
      <c r="F929" s="180"/>
      <c r="G929" s="175"/>
    </row>
    <row r="930">
      <c r="A930" s="187"/>
      <c r="B930" s="187"/>
      <c r="C930" s="187"/>
      <c r="D930" s="190"/>
      <c r="E930" s="155"/>
      <c r="F930" s="180"/>
      <c r="G930" s="175"/>
    </row>
    <row r="931">
      <c r="A931" s="187"/>
      <c r="B931" s="187"/>
      <c r="C931" s="187"/>
      <c r="D931" s="190"/>
      <c r="E931" s="155"/>
      <c r="F931" s="180"/>
      <c r="G931" s="175"/>
    </row>
    <row r="932">
      <c r="A932" s="187"/>
      <c r="B932" s="187"/>
      <c r="C932" s="187"/>
      <c r="D932" s="190"/>
      <c r="E932" s="155"/>
      <c r="F932" s="180"/>
      <c r="G932" s="175"/>
    </row>
    <row r="933">
      <c r="A933" s="187"/>
      <c r="B933" s="187"/>
      <c r="C933" s="187"/>
      <c r="D933" s="190"/>
      <c r="E933" s="155"/>
      <c r="F933" s="180"/>
      <c r="G933" s="175"/>
    </row>
    <row r="934">
      <c r="A934" s="187"/>
      <c r="B934" s="187"/>
      <c r="C934" s="187"/>
      <c r="D934" s="190"/>
      <c r="E934" s="155"/>
      <c r="F934" s="180"/>
      <c r="G934" s="175"/>
    </row>
    <row r="935">
      <c r="A935" s="187"/>
      <c r="B935" s="187"/>
      <c r="C935" s="187"/>
      <c r="D935" s="190"/>
      <c r="E935" s="155"/>
      <c r="F935" s="180"/>
      <c r="G935" s="175"/>
    </row>
    <row r="936">
      <c r="A936" s="187"/>
      <c r="B936" s="187"/>
      <c r="C936" s="187"/>
      <c r="D936" s="190"/>
      <c r="E936" s="155"/>
      <c r="F936" s="180"/>
      <c r="G936" s="175"/>
    </row>
    <row r="937">
      <c r="A937" s="187"/>
      <c r="B937" s="187"/>
      <c r="C937" s="187"/>
      <c r="D937" s="190"/>
      <c r="E937" s="155"/>
      <c r="F937" s="180"/>
      <c r="G937" s="175"/>
    </row>
    <row r="938">
      <c r="A938" s="187"/>
      <c r="B938" s="187"/>
      <c r="C938" s="187"/>
      <c r="D938" s="190"/>
      <c r="E938" s="155"/>
      <c r="F938" s="180"/>
      <c r="G938" s="175"/>
    </row>
    <row r="939">
      <c r="A939" s="187"/>
      <c r="B939" s="187"/>
      <c r="C939" s="187"/>
      <c r="D939" s="190"/>
      <c r="E939" s="155"/>
      <c r="F939" s="180"/>
      <c r="G939" s="175"/>
    </row>
    <row r="940">
      <c r="A940" s="187"/>
      <c r="B940" s="187"/>
      <c r="C940" s="187"/>
      <c r="D940" s="190"/>
      <c r="E940" s="155"/>
      <c r="F940" s="180"/>
      <c r="G940" s="175"/>
    </row>
    <row r="941">
      <c r="A941" s="187"/>
      <c r="B941" s="187"/>
      <c r="C941" s="187"/>
      <c r="D941" s="190"/>
      <c r="E941" s="155"/>
      <c r="F941" s="180"/>
      <c r="G941" s="175"/>
    </row>
    <row r="942">
      <c r="A942" s="187"/>
      <c r="B942" s="187"/>
      <c r="C942" s="187"/>
      <c r="D942" s="190"/>
      <c r="E942" s="155"/>
      <c r="F942" s="180"/>
      <c r="G942" s="175"/>
    </row>
    <row r="943">
      <c r="A943" s="187"/>
      <c r="B943" s="187"/>
      <c r="C943" s="187"/>
      <c r="D943" s="190"/>
      <c r="E943" s="155"/>
      <c r="F943" s="180"/>
      <c r="G943" s="175"/>
    </row>
    <row r="944">
      <c r="A944" s="187"/>
      <c r="B944" s="187"/>
      <c r="C944" s="187"/>
      <c r="D944" s="190"/>
      <c r="E944" s="155"/>
      <c r="F944" s="180"/>
      <c r="G944" s="175"/>
    </row>
    <row r="945">
      <c r="A945" s="187"/>
      <c r="B945" s="187"/>
      <c r="C945" s="187"/>
      <c r="D945" s="190"/>
      <c r="E945" s="155"/>
      <c r="F945" s="180"/>
      <c r="G945" s="175"/>
    </row>
    <row r="946">
      <c r="A946" s="187"/>
      <c r="B946" s="187"/>
      <c r="C946" s="187"/>
      <c r="D946" s="190"/>
      <c r="E946" s="155"/>
      <c r="F946" s="180"/>
      <c r="G946" s="175"/>
    </row>
    <row r="947">
      <c r="A947" s="187"/>
      <c r="B947" s="187"/>
      <c r="C947" s="187"/>
      <c r="D947" s="190"/>
      <c r="E947" s="155"/>
      <c r="F947" s="180"/>
      <c r="G947" s="175"/>
    </row>
    <row r="948">
      <c r="A948" s="187"/>
      <c r="B948" s="187"/>
      <c r="C948" s="187"/>
      <c r="D948" s="190"/>
      <c r="E948" s="155"/>
      <c r="F948" s="180"/>
      <c r="G948" s="175"/>
    </row>
    <row r="949">
      <c r="A949" s="187"/>
      <c r="B949" s="187"/>
      <c r="C949" s="187"/>
      <c r="D949" s="190"/>
      <c r="E949" s="155"/>
      <c r="F949" s="180"/>
      <c r="G949" s="175"/>
    </row>
    <row r="950">
      <c r="A950" s="187"/>
      <c r="B950" s="187"/>
      <c r="C950" s="187"/>
      <c r="D950" s="190"/>
      <c r="E950" s="155"/>
      <c r="F950" s="180"/>
      <c r="G950" s="175"/>
    </row>
    <row r="951">
      <c r="A951" s="187"/>
      <c r="B951" s="187"/>
      <c r="C951" s="187"/>
      <c r="D951" s="190"/>
      <c r="E951" s="155"/>
      <c r="F951" s="180"/>
      <c r="G951" s="175"/>
    </row>
    <row r="952">
      <c r="A952" s="187"/>
      <c r="B952" s="187"/>
      <c r="C952" s="187"/>
      <c r="D952" s="190"/>
      <c r="E952" s="155"/>
      <c r="F952" s="180"/>
      <c r="G952" s="175"/>
    </row>
    <row r="953">
      <c r="A953" s="187"/>
      <c r="B953" s="187"/>
      <c r="C953" s="187"/>
      <c r="D953" s="190"/>
      <c r="E953" s="155"/>
      <c r="F953" s="180"/>
      <c r="G953" s="175"/>
    </row>
    <row r="954">
      <c r="A954" s="187"/>
      <c r="B954" s="187"/>
      <c r="C954" s="187"/>
      <c r="D954" s="190"/>
      <c r="E954" s="155"/>
      <c r="F954" s="180"/>
      <c r="G954" s="175"/>
    </row>
    <row r="955">
      <c r="A955" s="187"/>
      <c r="B955" s="187"/>
      <c r="C955" s="187"/>
      <c r="D955" s="190"/>
      <c r="E955" s="155"/>
      <c r="F955" s="180"/>
      <c r="G955" s="175"/>
    </row>
    <row r="956">
      <c r="A956" s="187"/>
      <c r="B956" s="187"/>
      <c r="C956" s="187"/>
      <c r="D956" s="190"/>
      <c r="E956" s="155"/>
      <c r="F956" s="180"/>
      <c r="G956" s="175"/>
    </row>
    <row r="957">
      <c r="A957" s="187"/>
      <c r="B957" s="187"/>
      <c r="C957" s="187"/>
      <c r="D957" s="190"/>
      <c r="E957" s="155"/>
      <c r="F957" s="180"/>
      <c r="G957" s="175"/>
    </row>
    <row r="958">
      <c r="A958" s="187"/>
      <c r="B958" s="187"/>
      <c r="C958" s="187"/>
      <c r="D958" s="190"/>
      <c r="E958" s="155"/>
      <c r="F958" s="180"/>
      <c r="G958" s="175"/>
    </row>
    <row r="959">
      <c r="A959" s="187"/>
      <c r="B959" s="187"/>
      <c r="C959" s="187"/>
      <c r="D959" s="190"/>
      <c r="E959" s="155"/>
      <c r="F959" s="180"/>
      <c r="G959" s="175"/>
    </row>
    <row r="960">
      <c r="A960" s="187"/>
      <c r="B960" s="187"/>
      <c r="C960" s="187"/>
      <c r="D960" s="190"/>
      <c r="E960" s="155"/>
      <c r="F960" s="180"/>
      <c r="G960" s="175"/>
    </row>
    <row r="961">
      <c r="A961" s="187"/>
      <c r="B961" s="187"/>
      <c r="C961" s="187"/>
      <c r="D961" s="190"/>
      <c r="E961" s="155"/>
      <c r="F961" s="180"/>
      <c r="G961" s="175"/>
    </row>
    <row r="962">
      <c r="A962" s="187"/>
      <c r="B962" s="187"/>
      <c r="C962" s="187"/>
      <c r="D962" s="190"/>
      <c r="E962" s="155"/>
      <c r="F962" s="180"/>
      <c r="G962" s="175"/>
    </row>
    <row r="963">
      <c r="A963" s="187"/>
      <c r="B963" s="187"/>
      <c r="C963" s="187"/>
      <c r="D963" s="190"/>
      <c r="E963" s="155"/>
      <c r="F963" s="180"/>
      <c r="G963" s="175"/>
    </row>
    <row r="964">
      <c r="A964" s="187"/>
      <c r="B964" s="187"/>
      <c r="C964" s="187"/>
      <c r="D964" s="190"/>
      <c r="E964" s="155"/>
      <c r="F964" s="180"/>
      <c r="G964" s="175"/>
    </row>
    <row r="965">
      <c r="A965" s="187"/>
      <c r="B965" s="187"/>
      <c r="C965" s="187"/>
      <c r="D965" s="190"/>
      <c r="E965" s="155"/>
      <c r="F965" s="180"/>
      <c r="G965" s="175"/>
    </row>
    <row r="966">
      <c r="A966" s="187"/>
      <c r="B966" s="187"/>
      <c r="C966" s="187"/>
      <c r="D966" s="190"/>
      <c r="E966" s="155"/>
      <c r="F966" s="180"/>
      <c r="G966" s="175"/>
    </row>
    <row r="967">
      <c r="A967" s="187"/>
      <c r="B967" s="187"/>
      <c r="C967" s="187"/>
      <c r="D967" s="190"/>
      <c r="E967" s="155"/>
      <c r="F967" s="180"/>
      <c r="G967" s="175"/>
    </row>
    <row r="968">
      <c r="A968" s="187"/>
      <c r="B968" s="187"/>
      <c r="C968" s="187"/>
      <c r="D968" s="190"/>
      <c r="E968" s="155"/>
      <c r="F968" s="180"/>
      <c r="G968" s="175"/>
    </row>
    <row r="969">
      <c r="A969" s="187"/>
      <c r="B969" s="187"/>
      <c r="C969" s="187"/>
      <c r="D969" s="190"/>
      <c r="E969" s="155"/>
      <c r="F969" s="180"/>
      <c r="G969" s="175"/>
    </row>
    <row r="970">
      <c r="A970" s="187"/>
      <c r="B970" s="187"/>
      <c r="C970" s="187"/>
      <c r="D970" s="190"/>
      <c r="E970" s="155"/>
      <c r="F970" s="180"/>
      <c r="G970" s="175"/>
    </row>
    <row r="971">
      <c r="A971" s="187"/>
      <c r="B971" s="187"/>
      <c r="C971" s="187"/>
      <c r="D971" s="190"/>
      <c r="E971" s="155"/>
      <c r="F971" s="180"/>
      <c r="G971" s="175"/>
    </row>
    <row r="972">
      <c r="A972" s="187"/>
      <c r="B972" s="187"/>
      <c r="C972" s="187"/>
      <c r="D972" s="190"/>
      <c r="E972" s="155"/>
      <c r="F972" s="180"/>
      <c r="G972" s="175"/>
    </row>
    <row r="973">
      <c r="A973" s="187"/>
      <c r="B973" s="187"/>
      <c r="C973" s="187"/>
      <c r="D973" s="190"/>
      <c r="E973" s="155"/>
      <c r="F973" s="180"/>
      <c r="G973" s="175"/>
    </row>
    <row r="974">
      <c r="A974" s="187"/>
      <c r="B974" s="187"/>
      <c r="C974" s="187"/>
      <c r="D974" s="190"/>
      <c r="E974" s="155"/>
      <c r="F974" s="180"/>
      <c r="G974" s="175"/>
    </row>
    <row r="975">
      <c r="A975" s="187"/>
      <c r="B975" s="187"/>
      <c r="C975" s="187"/>
      <c r="D975" s="190"/>
      <c r="E975" s="155"/>
      <c r="F975" s="180"/>
      <c r="G975" s="175"/>
    </row>
    <row r="976">
      <c r="A976" s="187"/>
      <c r="B976" s="187"/>
      <c r="C976" s="187"/>
      <c r="D976" s="190"/>
      <c r="E976" s="155"/>
      <c r="F976" s="180"/>
      <c r="G976" s="175"/>
    </row>
    <row r="977">
      <c r="A977" s="187"/>
      <c r="B977" s="187"/>
      <c r="C977" s="187"/>
      <c r="D977" s="190"/>
      <c r="E977" s="155"/>
      <c r="F977" s="180"/>
      <c r="G977" s="175"/>
    </row>
    <row r="978">
      <c r="A978" s="187"/>
      <c r="B978" s="187"/>
      <c r="C978" s="187"/>
      <c r="D978" s="190"/>
      <c r="E978" s="155"/>
      <c r="F978" s="180"/>
      <c r="G978" s="175"/>
    </row>
    <row r="979">
      <c r="A979" s="187"/>
      <c r="B979" s="187"/>
      <c r="C979" s="187"/>
      <c r="D979" s="190"/>
      <c r="E979" s="155"/>
      <c r="F979" s="180"/>
      <c r="G979" s="175"/>
    </row>
    <row r="980">
      <c r="A980" s="187"/>
      <c r="B980" s="187"/>
      <c r="C980" s="187"/>
      <c r="D980" s="190"/>
      <c r="E980" s="155"/>
      <c r="F980" s="180"/>
      <c r="G980" s="175"/>
    </row>
    <row r="981">
      <c r="A981" s="187"/>
      <c r="B981" s="187"/>
      <c r="C981" s="187"/>
      <c r="D981" s="190"/>
      <c r="E981" s="155"/>
      <c r="F981" s="180"/>
      <c r="G981" s="175"/>
    </row>
    <row r="982">
      <c r="A982" s="187"/>
      <c r="B982" s="187"/>
      <c r="C982" s="187"/>
      <c r="D982" s="190"/>
      <c r="E982" s="155"/>
      <c r="F982" s="180"/>
      <c r="G982" s="175"/>
    </row>
    <row r="983">
      <c r="A983" s="187"/>
      <c r="B983" s="187"/>
      <c r="C983" s="187"/>
      <c r="D983" s="190"/>
      <c r="E983" s="155"/>
      <c r="F983" s="180"/>
      <c r="G983" s="175"/>
    </row>
    <row r="984">
      <c r="A984" s="187"/>
      <c r="B984" s="187"/>
      <c r="C984" s="187"/>
      <c r="D984" s="190"/>
      <c r="E984" s="155"/>
      <c r="F984" s="180"/>
      <c r="G984" s="175"/>
    </row>
    <row r="985">
      <c r="A985" s="187"/>
      <c r="B985" s="187"/>
      <c r="C985" s="187"/>
      <c r="D985" s="190"/>
      <c r="E985" s="155"/>
      <c r="F985" s="180"/>
      <c r="G985" s="175"/>
    </row>
    <row r="986">
      <c r="A986" s="187"/>
      <c r="B986" s="187"/>
      <c r="C986" s="187"/>
      <c r="D986" s="190"/>
      <c r="E986" s="155"/>
      <c r="F986" s="180"/>
      <c r="G986" s="175"/>
    </row>
    <row r="987">
      <c r="A987" s="187"/>
      <c r="B987" s="187"/>
      <c r="C987" s="187"/>
      <c r="D987" s="190"/>
      <c r="E987" s="155"/>
      <c r="F987" s="180"/>
      <c r="G987" s="175"/>
    </row>
    <row r="988">
      <c r="A988" s="187"/>
      <c r="B988" s="187"/>
      <c r="C988" s="187"/>
      <c r="D988" s="190"/>
      <c r="E988" s="155"/>
      <c r="F988" s="180"/>
      <c r="G988" s="175"/>
    </row>
    <row r="989">
      <c r="A989" s="187"/>
      <c r="B989" s="187"/>
      <c r="C989" s="187"/>
      <c r="D989" s="190"/>
      <c r="E989" s="155"/>
      <c r="F989" s="180"/>
      <c r="G989" s="175"/>
    </row>
    <row r="990">
      <c r="A990" s="187"/>
      <c r="B990" s="187"/>
      <c r="C990" s="187"/>
      <c r="D990" s="190"/>
      <c r="E990" s="155"/>
      <c r="F990" s="180"/>
      <c r="G990" s="175"/>
    </row>
    <row r="991">
      <c r="A991" s="187"/>
      <c r="B991" s="187"/>
      <c r="C991" s="187"/>
      <c r="D991" s="190"/>
      <c r="E991" s="155"/>
      <c r="F991" s="180"/>
      <c r="G991" s="175"/>
    </row>
    <row r="992">
      <c r="A992" s="187"/>
      <c r="B992" s="187"/>
      <c r="C992" s="187"/>
      <c r="D992" s="190"/>
      <c r="E992" s="155"/>
      <c r="F992" s="180"/>
      <c r="G992" s="175"/>
    </row>
    <row r="993">
      <c r="A993" s="187"/>
      <c r="B993" s="187"/>
      <c r="C993" s="187"/>
      <c r="D993" s="190"/>
      <c r="E993" s="155"/>
      <c r="F993" s="180"/>
      <c r="G993" s="175"/>
    </row>
    <row r="994">
      <c r="A994" s="187"/>
      <c r="B994" s="187"/>
      <c r="C994" s="187"/>
      <c r="D994" s="190"/>
      <c r="E994" s="155"/>
      <c r="F994" s="180"/>
      <c r="G994" s="175"/>
    </row>
    <row r="995">
      <c r="A995" s="187"/>
      <c r="B995" s="187"/>
      <c r="C995" s="187"/>
      <c r="D995" s="190"/>
      <c r="E995" s="155"/>
      <c r="F995" s="180"/>
      <c r="G995" s="175"/>
    </row>
    <row r="996">
      <c r="A996" s="187"/>
      <c r="B996" s="187"/>
      <c r="C996" s="187"/>
      <c r="D996" s="190"/>
      <c r="E996" s="155"/>
      <c r="F996" s="180"/>
      <c r="G996" s="175"/>
    </row>
    <row r="997">
      <c r="A997" s="187"/>
      <c r="B997" s="187"/>
      <c r="C997" s="187"/>
      <c r="D997" s="190"/>
      <c r="E997" s="155"/>
      <c r="F997" s="180"/>
      <c r="G997" s="175"/>
    </row>
    <row r="998">
      <c r="A998" s="187"/>
      <c r="B998" s="187"/>
      <c r="C998" s="187"/>
      <c r="D998" s="190"/>
      <c r="E998" s="155"/>
      <c r="F998" s="180"/>
      <c r="G998" s="175"/>
    </row>
    <row r="999">
      <c r="A999" s="187"/>
      <c r="B999" s="187"/>
      <c r="C999" s="187"/>
      <c r="D999" s="190"/>
      <c r="E999" s="155"/>
      <c r="F999" s="180"/>
      <c r="G999" s="175"/>
    </row>
    <row r="1000">
      <c r="A1000" s="187"/>
      <c r="B1000" s="187"/>
      <c r="C1000" s="187"/>
      <c r="D1000" s="190"/>
      <c r="E1000" s="155"/>
      <c r="F1000" s="180"/>
      <c r="G1000" s="175"/>
    </row>
    <row r="1001">
      <c r="A1001" s="187"/>
      <c r="B1001" s="187"/>
      <c r="C1001" s="187"/>
      <c r="D1001" s="190"/>
      <c r="E1001" s="155"/>
      <c r="F1001" s="180"/>
      <c r="G1001" s="175"/>
    </row>
    <row r="1002">
      <c r="A1002" s="187"/>
      <c r="B1002" s="187"/>
      <c r="C1002" s="187"/>
      <c r="D1002" s="190"/>
      <c r="E1002" s="155"/>
      <c r="F1002" s="180"/>
      <c r="G1002" s="175"/>
    </row>
    <row r="1003">
      <c r="A1003" s="187"/>
      <c r="B1003" s="187"/>
      <c r="C1003" s="187"/>
      <c r="D1003" s="190"/>
      <c r="E1003" s="155"/>
      <c r="F1003" s="180"/>
      <c r="G1003" s="175"/>
    </row>
    <row r="1004">
      <c r="A1004" s="187"/>
      <c r="B1004" s="187"/>
      <c r="C1004" s="187"/>
      <c r="D1004" s="190"/>
      <c r="E1004" s="155"/>
      <c r="F1004" s="180"/>
      <c r="G1004" s="175"/>
    </row>
    <row r="1005">
      <c r="A1005" s="187"/>
      <c r="B1005" s="187"/>
      <c r="C1005" s="187"/>
      <c r="D1005" s="190"/>
      <c r="E1005" s="155"/>
      <c r="F1005" s="180"/>
      <c r="G1005" s="175"/>
    </row>
    <row r="1006">
      <c r="A1006" s="187"/>
      <c r="B1006" s="187"/>
      <c r="C1006" s="187"/>
      <c r="D1006" s="190"/>
      <c r="E1006" s="155"/>
      <c r="F1006" s="180"/>
      <c r="G1006" s="175"/>
    </row>
    <row r="1007">
      <c r="A1007" s="187"/>
      <c r="B1007" s="187"/>
      <c r="C1007" s="187"/>
      <c r="D1007" s="190"/>
      <c r="E1007" s="155"/>
      <c r="F1007" s="180"/>
      <c r="G1007" s="175"/>
    </row>
    <row r="1008">
      <c r="A1008" s="187"/>
      <c r="B1008" s="187"/>
      <c r="C1008" s="187"/>
      <c r="D1008" s="190"/>
      <c r="E1008" s="155"/>
      <c r="F1008" s="180"/>
      <c r="G1008" s="175"/>
    </row>
    <row r="1009">
      <c r="A1009" s="187"/>
      <c r="B1009" s="187"/>
      <c r="C1009" s="187"/>
      <c r="D1009" s="190"/>
      <c r="E1009" s="155"/>
      <c r="F1009" s="180"/>
      <c r="G1009" s="175"/>
    </row>
    <row r="1010">
      <c r="A1010" s="187"/>
      <c r="B1010" s="187"/>
      <c r="C1010" s="187"/>
      <c r="D1010" s="190"/>
      <c r="E1010" s="155"/>
      <c r="F1010" s="180"/>
      <c r="G1010" s="175"/>
    </row>
    <row r="1011">
      <c r="A1011" s="187"/>
      <c r="B1011" s="187"/>
      <c r="C1011" s="187"/>
      <c r="D1011" s="190"/>
      <c r="E1011" s="155"/>
      <c r="F1011" s="180"/>
      <c r="G1011" s="175"/>
    </row>
    <row r="1012">
      <c r="A1012" s="187"/>
      <c r="B1012" s="187"/>
      <c r="C1012" s="187"/>
      <c r="D1012" s="190"/>
      <c r="E1012" s="155"/>
      <c r="F1012" s="180"/>
      <c r="G1012" s="175"/>
    </row>
    <row r="1013">
      <c r="A1013" s="187"/>
      <c r="B1013" s="187"/>
      <c r="C1013" s="187"/>
      <c r="D1013" s="190"/>
      <c r="E1013" s="155"/>
      <c r="F1013" s="180"/>
      <c r="G1013" s="175"/>
    </row>
    <row r="1014">
      <c r="A1014" s="187"/>
      <c r="B1014" s="187"/>
      <c r="C1014" s="187"/>
      <c r="D1014" s="190"/>
      <c r="E1014" s="155"/>
      <c r="F1014" s="180"/>
      <c r="G1014" s="175"/>
    </row>
    <row r="1015">
      <c r="A1015" s="187"/>
      <c r="B1015" s="187"/>
      <c r="C1015" s="187"/>
      <c r="D1015" s="190"/>
      <c r="E1015" s="155"/>
      <c r="F1015" s="180"/>
      <c r="G1015" s="175"/>
    </row>
    <row r="1016">
      <c r="A1016" s="187"/>
      <c r="B1016" s="187"/>
      <c r="C1016" s="187"/>
      <c r="D1016" s="190"/>
      <c r="E1016" s="155"/>
      <c r="F1016" s="180"/>
      <c r="G1016" s="175"/>
    </row>
    <row r="1017">
      <c r="A1017" s="187"/>
      <c r="B1017" s="187"/>
      <c r="C1017" s="187"/>
      <c r="D1017" s="190"/>
      <c r="E1017" s="155"/>
      <c r="F1017" s="180"/>
      <c r="G1017" s="175"/>
    </row>
    <row r="1018">
      <c r="A1018" s="187"/>
      <c r="B1018" s="187"/>
      <c r="C1018" s="187"/>
      <c r="D1018" s="190"/>
      <c r="E1018" s="155"/>
      <c r="F1018" s="180"/>
      <c r="G1018" s="175"/>
    </row>
    <row r="1019">
      <c r="A1019" s="187"/>
      <c r="B1019" s="187"/>
      <c r="C1019" s="187"/>
      <c r="D1019" s="190"/>
      <c r="E1019" s="155"/>
      <c r="F1019" s="180"/>
      <c r="G1019" s="175"/>
    </row>
    <row r="1020">
      <c r="A1020" s="187"/>
      <c r="B1020" s="187"/>
      <c r="C1020" s="187"/>
      <c r="D1020" s="190"/>
      <c r="E1020" s="155"/>
      <c r="F1020" s="180"/>
      <c r="G1020" s="175"/>
    </row>
    <row r="1021">
      <c r="A1021" s="187"/>
      <c r="B1021" s="187"/>
      <c r="C1021" s="187"/>
      <c r="D1021" s="190"/>
      <c r="E1021" s="155"/>
      <c r="F1021" s="180"/>
      <c r="G1021" s="175"/>
    </row>
    <row r="1022">
      <c r="A1022" s="187"/>
      <c r="B1022" s="187"/>
      <c r="C1022" s="187"/>
      <c r="D1022" s="190"/>
      <c r="E1022" s="155"/>
      <c r="F1022" s="180"/>
      <c r="G1022" s="175"/>
    </row>
    <row r="1023">
      <c r="A1023" s="187"/>
      <c r="B1023" s="187"/>
      <c r="C1023" s="187"/>
      <c r="D1023" s="190"/>
      <c r="E1023" s="155"/>
      <c r="F1023" s="180"/>
      <c r="G1023" s="175"/>
    </row>
    <row r="1024">
      <c r="A1024" s="187"/>
      <c r="B1024" s="187"/>
      <c r="C1024" s="187"/>
      <c r="D1024" s="190"/>
      <c r="E1024" s="155"/>
      <c r="F1024" s="180"/>
      <c r="G1024" s="175"/>
    </row>
    <row r="1025">
      <c r="A1025" s="187"/>
      <c r="B1025" s="187"/>
      <c r="C1025" s="187"/>
      <c r="D1025" s="190"/>
      <c r="E1025" s="155"/>
      <c r="F1025" s="180"/>
      <c r="G1025" s="175"/>
    </row>
    <row r="1026">
      <c r="A1026" s="187"/>
      <c r="B1026" s="187"/>
      <c r="C1026" s="187"/>
      <c r="D1026" s="190"/>
      <c r="E1026" s="155"/>
      <c r="F1026" s="180"/>
      <c r="G1026" s="175"/>
    </row>
    <row r="1027">
      <c r="A1027" s="187"/>
      <c r="B1027" s="187"/>
      <c r="C1027" s="187"/>
      <c r="D1027" s="190"/>
      <c r="E1027" s="155"/>
      <c r="F1027" s="180"/>
      <c r="G1027" s="175"/>
    </row>
    <row r="1028">
      <c r="A1028" s="187"/>
      <c r="B1028" s="187"/>
      <c r="C1028" s="187"/>
      <c r="D1028" s="190"/>
      <c r="E1028" s="155"/>
      <c r="F1028" s="180"/>
      <c r="G1028" s="175"/>
    </row>
    <row r="1029">
      <c r="A1029" s="187"/>
      <c r="B1029" s="187"/>
      <c r="C1029" s="187"/>
      <c r="D1029" s="190"/>
      <c r="E1029" s="155"/>
      <c r="F1029" s="180"/>
      <c r="G1029" s="175"/>
    </row>
    <row r="1030">
      <c r="A1030" s="187"/>
      <c r="B1030" s="187"/>
      <c r="C1030" s="187"/>
      <c r="D1030" s="190"/>
      <c r="E1030" s="155"/>
      <c r="F1030" s="180"/>
      <c r="G1030" s="175"/>
    </row>
    <row r="1031">
      <c r="A1031" s="187"/>
      <c r="B1031" s="187"/>
      <c r="C1031" s="187"/>
      <c r="D1031" s="190"/>
      <c r="E1031" s="155"/>
      <c r="F1031" s="180"/>
      <c r="G1031" s="175"/>
    </row>
    <row r="1032">
      <c r="A1032" s="187"/>
      <c r="B1032" s="187"/>
      <c r="C1032" s="187"/>
      <c r="D1032" s="190"/>
      <c r="E1032" s="155"/>
      <c r="F1032" s="180"/>
      <c r="G1032" s="175"/>
    </row>
    <row r="1033">
      <c r="A1033" s="187"/>
      <c r="B1033" s="187"/>
      <c r="C1033" s="187"/>
      <c r="D1033" s="190"/>
      <c r="E1033" s="155"/>
      <c r="F1033" s="180"/>
      <c r="G1033" s="175"/>
    </row>
    <row r="1034">
      <c r="A1034" s="187"/>
      <c r="B1034" s="187"/>
      <c r="C1034" s="187"/>
      <c r="D1034" s="190"/>
      <c r="E1034" s="155"/>
      <c r="F1034" s="180"/>
      <c r="G1034" s="175"/>
    </row>
    <row r="1035">
      <c r="A1035" s="187"/>
      <c r="B1035" s="187"/>
      <c r="C1035" s="187"/>
      <c r="D1035" s="190"/>
      <c r="E1035" s="155"/>
      <c r="F1035" s="180"/>
      <c r="G1035" s="175"/>
    </row>
    <row r="1036">
      <c r="A1036" s="187"/>
      <c r="B1036" s="187"/>
      <c r="C1036" s="187"/>
      <c r="D1036" s="190"/>
      <c r="E1036" s="155"/>
      <c r="F1036" s="180"/>
      <c r="G1036" s="175"/>
    </row>
    <row r="1037">
      <c r="A1037" s="187"/>
      <c r="B1037" s="187"/>
      <c r="C1037" s="187"/>
      <c r="D1037" s="190"/>
      <c r="E1037" s="155"/>
      <c r="F1037" s="180"/>
      <c r="G1037" s="175"/>
    </row>
    <row r="1038">
      <c r="A1038" s="187"/>
      <c r="B1038" s="187"/>
      <c r="C1038" s="187"/>
      <c r="D1038" s="190"/>
      <c r="E1038" s="155"/>
      <c r="F1038" s="180"/>
      <c r="G1038" s="175"/>
    </row>
    <row r="1039">
      <c r="A1039" s="187"/>
      <c r="B1039" s="187"/>
      <c r="C1039" s="187"/>
      <c r="D1039" s="190"/>
      <c r="E1039" s="155"/>
      <c r="F1039" s="180"/>
      <c r="G1039" s="175"/>
    </row>
    <row r="1040">
      <c r="A1040" s="187"/>
      <c r="B1040" s="187"/>
      <c r="C1040" s="187"/>
      <c r="D1040" s="190"/>
      <c r="E1040" s="155"/>
      <c r="F1040" s="180"/>
      <c r="G1040" s="175"/>
    </row>
    <row r="1041">
      <c r="A1041" s="187"/>
      <c r="B1041" s="187"/>
      <c r="C1041" s="187"/>
      <c r="D1041" s="190"/>
      <c r="E1041" s="155"/>
      <c r="F1041" s="180"/>
      <c r="G1041" s="175"/>
    </row>
  </sheetData>
  <conditionalFormatting sqref="A1:A1041">
    <cfRule type="colorScale" priority="1">
      <colorScale>
        <cfvo type="min"/>
        <cfvo type="max"/>
        <color rgb="FF57BB8A"/>
        <color rgb="FFFFFFFF"/>
      </colorScale>
    </cfRule>
  </conditionalFormatting>
  <hyperlinks>
    <hyperlink r:id="rId1" ref="F2"/>
    <hyperlink r:id="rId2" ref="G2"/>
    <hyperlink r:id="rId3" ref="F3"/>
    <hyperlink r:id="rId4" ref="G3"/>
    <hyperlink r:id="rId5" ref="F4"/>
    <hyperlink r:id="rId6" ref="G4"/>
    <hyperlink r:id="rId7" ref="F5"/>
    <hyperlink r:id="rId8" ref="G5"/>
    <hyperlink r:id="rId9" ref="F6"/>
    <hyperlink r:id="rId10" ref="G6"/>
    <hyperlink r:id="rId11" ref="F7"/>
    <hyperlink r:id="rId12" ref="G7"/>
    <hyperlink r:id="rId13" ref="F8"/>
    <hyperlink r:id="rId14" ref="G8"/>
    <hyperlink r:id="rId15" ref="F9"/>
    <hyperlink r:id="rId16" ref="G9"/>
    <hyperlink r:id="rId17" ref="F10"/>
    <hyperlink r:id="rId18" ref="G10"/>
    <hyperlink r:id="rId19" ref="F11"/>
    <hyperlink r:id="rId20" ref="G11"/>
    <hyperlink r:id="rId21" ref="F12"/>
    <hyperlink r:id="rId22" ref="G12"/>
    <hyperlink r:id="rId23" ref="F13"/>
    <hyperlink r:id="rId24" ref="G13"/>
    <hyperlink r:id="rId25" ref="F14"/>
    <hyperlink r:id="rId26" ref="G14"/>
    <hyperlink r:id="rId27" ref="F15"/>
    <hyperlink r:id="rId28" ref="G15"/>
    <hyperlink r:id="rId29" ref="F16"/>
    <hyperlink r:id="rId30" ref="F17"/>
    <hyperlink r:id="rId31" ref="F18"/>
    <hyperlink r:id="rId32" ref="G18"/>
    <hyperlink r:id="rId33" ref="F19"/>
    <hyperlink r:id="rId34" ref="G19"/>
    <hyperlink r:id="rId35" ref="F20"/>
    <hyperlink r:id="rId36" ref="G20"/>
    <hyperlink r:id="rId37" ref="K20"/>
    <hyperlink r:id="rId38" ref="F21"/>
    <hyperlink r:id="rId39" ref="G21"/>
    <hyperlink r:id="rId40" ref="F22"/>
    <hyperlink r:id="rId41" ref="G22"/>
    <hyperlink r:id="rId42" ref="F23"/>
    <hyperlink r:id="rId43" ref="G23"/>
    <hyperlink r:id="rId44" ref="F24"/>
    <hyperlink r:id="rId45" ref="G24"/>
    <hyperlink r:id="rId46" ref="F25"/>
    <hyperlink r:id="rId47" ref="G25"/>
    <hyperlink r:id="rId48" ref="F26"/>
    <hyperlink r:id="rId49" ref="G26"/>
    <hyperlink r:id="rId50" ref="R26"/>
    <hyperlink r:id="rId51" ref="F27"/>
    <hyperlink r:id="rId52" ref="G27"/>
    <hyperlink r:id="rId53" ref="F28"/>
    <hyperlink r:id="rId54" ref="G28"/>
    <hyperlink r:id="rId55" ref="F29"/>
    <hyperlink r:id="rId56" ref="G29"/>
    <hyperlink r:id="rId57" ref="F30"/>
    <hyperlink r:id="rId58" ref="G30"/>
    <hyperlink r:id="rId59" ref="F31"/>
    <hyperlink r:id="rId60" ref="G31"/>
    <hyperlink r:id="rId61" ref="F32"/>
    <hyperlink r:id="rId62" ref="G32"/>
    <hyperlink r:id="rId63" ref="F33"/>
    <hyperlink r:id="rId64" ref="G33"/>
    <hyperlink r:id="rId65" ref="F34"/>
    <hyperlink r:id="rId66" ref="G34"/>
    <hyperlink r:id="rId67" ref="F35"/>
    <hyperlink r:id="rId68" ref="G35"/>
    <hyperlink r:id="rId69" ref="F36"/>
    <hyperlink r:id="rId70" ref="G36"/>
    <hyperlink r:id="rId71" ref="K36"/>
    <hyperlink r:id="rId72" ref="F37"/>
    <hyperlink r:id="rId73" ref="G37"/>
    <hyperlink r:id="rId74" ref="F38"/>
    <hyperlink r:id="rId75" ref="G38"/>
    <hyperlink r:id="rId76" ref="F39"/>
  </hyperlinks>
  <drawing r:id="rId77"/>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BFCA"/>
    <outlinePr summaryBelow="0" summaryRight="0"/>
  </sheetPr>
  <sheetViews>
    <sheetView workbookViewId="0"/>
  </sheetViews>
  <sheetFormatPr customHeight="1" defaultColWidth="12.63" defaultRowHeight="15.75" outlineLevelRow="1"/>
  <cols>
    <col customWidth="1" min="1" max="1" width="14.0"/>
    <col customWidth="1" min="2" max="2" width="17.13"/>
    <col customWidth="1" min="3" max="3" width="8.25"/>
    <col customWidth="1" min="4" max="4" width="32.75"/>
    <col customWidth="1" min="5" max="5" width="18.38"/>
  </cols>
  <sheetData>
    <row r="1">
      <c r="A1" s="143" t="s">
        <v>59</v>
      </c>
      <c r="B1" s="143" t="s">
        <v>60</v>
      </c>
      <c r="C1" s="143" t="s">
        <v>61</v>
      </c>
      <c r="D1" s="143" t="s">
        <v>62</v>
      </c>
      <c r="E1" s="143" t="s">
        <v>144</v>
      </c>
      <c r="F1" s="143" t="s">
        <v>65</v>
      </c>
      <c r="H1" s="150"/>
      <c r="I1" s="150"/>
      <c r="J1" s="150"/>
      <c r="K1" s="150"/>
      <c r="L1" s="150"/>
      <c r="M1" s="150"/>
      <c r="N1" s="150"/>
      <c r="O1" s="150"/>
      <c r="P1" s="150"/>
      <c r="Q1" s="150"/>
      <c r="R1" s="150"/>
      <c r="S1" s="150"/>
      <c r="T1" s="150"/>
      <c r="U1" s="150"/>
      <c r="V1" s="150"/>
      <c r="W1" s="150"/>
      <c r="X1" s="150"/>
      <c r="Y1" s="150"/>
      <c r="Z1" s="150"/>
    </row>
    <row r="2">
      <c r="A2" s="153" t="s">
        <v>57</v>
      </c>
      <c r="B2" s="153" t="s">
        <v>147</v>
      </c>
      <c r="C2" s="153" t="s">
        <v>66</v>
      </c>
      <c r="D2" s="154" t="s">
        <v>148</v>
      </c>
      <c r="E2" s="157" t="s">
        <v>149</v>
      </c>
      <c r="F2" s="174" t="s">
        <v>154</v>
      </c>
    </row>
    <row r="3">
      <c r="A3" s="153" t="s">
        <v>57</v>
      </c>
      <c r="B3" s="153" t="s">
        <v>156</v>
      </c>
      <c r="C3" s="153" t="s">
        <v>72</v>
      </c>
      <c r="D3" s="154" t="s">
        <v>158</v>
      </c>
      <c r="E3" s="157" t="s">
        <v>159</v>
      </c>
      <c r="F3" s="174" t="s">
        <v>160</v>
      </c>
    </row>
    <row r="4">
      <c r="A4" s="153" t="s">
        <v>57</v>
      </c>
      <c r="B4" s="153" t="s">
        <v>167</v>
      </c>
      <c r="C4" s="153" t="s">
        <v>68</v>
      </c>
      <c r="D4" s="154" t="s">
        <v>168</v>
      </c>
      <c r="E4" s="157" t="s">
        <v>169</v>
      </c>
      <c r="F4" s="174" t="s">
        <v>173</v>
      </c>
    </row>
    <row r="5">
      <c r="A5" s="153" t="s">
        <v>57</v>
      </c>
      <c r="B5" s="153" t="s">
        <v>178</v>
      </c>
      <c r="C5" s="153" t="s">
        <v>86</v>
      </c>
      <c r="D5" s="154" t="s">
        <v>179</v>
      </c>
      <c r="E5" s="157" t="s">
        <v>180</v>
      </c>
      <c r="F5" s="174" t="s">
        <v>183</v>
      </c>
    </row>
    <row r="6">
      <c r="A6" s="159" t="s">
        <v>103</v>
      </c>
      <c r="B6" s="159" t="s">
        <v>187</v>
      </c>
      <c r="C6" s="159" t="s">
        <v>181</v>
      </c>
      <c r="D6" s="160" t="s">
        <v>188</v>
      </c>
      <c r="E6" s="176" t="s">
        <v>189</v>
      </c>
      <c r="F6" s="177" t="s">
        <v>194</v>
      </c>
      <c r="G6" s="167"/>
      <c r="H6" s="167"/>
      <c r="I6" s="167"/>
      <c r="J6" s="167"/>
      <c r="K6" s="167"/>
      <c r="L6" s="167"/>
      <c r="M6" s="167"/>
      <c r="N6" s="167"/>
      <c r="O6" s="167"/>
      <c r="P6" s="167"/>
      <c r="Q6" s="167"/>
      <c r="R6" s="167"/>
      <c r="S6" s="167"/>
      <c r="T6" s="167"/>
      <c r="U6" s="167"/>
      <c r="V6" s="167"/>
      <c r="W6" s="167"/>
      <c r="X6" s="167"/>
      <c r="Y6" s="167"/>
      <c r="Z6" s="167"/>
    </row>
    <row r="7">
      <c r="A7" s="153" t="s">
        <v>103</v>
      </c>
      <c r="B7" s="153" t="s">
        <v>201</v>
      </c>
      <c r="C7" s="153" t="s">
        <v>172</v>
      </c>
      <c r="D7" s="154" t="s">
        <v>202</v>
      </c>
      <c r="E7" s="178" t="s">
        <v>203</v>
      </c>
      <c r="F7" s="174" t="s">
        <v>205</v>
      </c>
    </row>
    <row r="8">
      <c r="A8" s="153" t="s">
        <v>103</v>
      </c>
      <c r="B8" s="153" t="s">
        <v>210</v>
      </c>
      <c r="C8" s="153" t="s">
        <v>170</v>
      </c>
      <c r="D8" s="154" t="s">
        <v>211</v>
      </c>
      <c r="E8" s="178" t="s">
        <v>212</v>
      </c>
      <c r="F8" s="174" t="s">
        <v>215</v>
      </c>
    </row>
    <row r="9">
      <c r="A9" s="153" t="s">
        <v>103</v>
      </c>
      <c r="B9" s="153" t="s">
        <v>223</v>
      </c>
      <c r="C9" s="153" t="s">
        <v>166</v>
      </c>
      <c r="D9" s="154" t="s">
        <v>224</v>
      </c>
      <c r="E9" s="178" t="s">
        <v>225</v>
      </c>
      <c r="F9" s="174" t="s">
        <v>233</v>
      </c>
    </row>
    <row r="10">
      <c r="A10" s="153" t="s">
        <v>103</v>
      </c>
      <c r="B10" s="153" t="s">
        <v>238</v>
      </c>
      <c r="C10" s="153" t="s">
        <v>239</v>
      </c>
      <c r="D10" s="154" t="s">
        <v>240</v>
      </c>
      <c r="E10" s="178" t="s">
        <v>241</v>
      </c>
      <c r="F10" s="174" t="s">
        <v>243</v>
      </c>
    </row>
    <row r="11">
      <c r="A11" s="153" t="s">
        <v>103</v>
      </c>
      <c r="B11" s="153" t="s">
        <v>247</v>
      </c>
      <c r="C11" s="153" t="s">
        <v>249</v>
      </c>
      <c r="D11" s="154" t="s">
        <v>250</v>
      </c>
      <c r="E11" s="178" t="s">
        <v>251</v>
      </c>
      <c r="F11" s="174" t="s">
        <v>255</v>
      </c>
    </row>
    <row r="12">
      <c r="A12" s="153" t="s">
        <v>103</v>
      </c>
      <c r="B12" s="153" t="s">
        <v>259</v>
      </c>
      <c r="C12" s="153" t="s">
        <v>260</v>
      </c>
      <c r="D12" s="154" t="s">
        <v>262</v>
      </c>
      <c r="E12" s="178" t="s">
        <v>263</v>
      </c>
      <c r="F12" s="174" t="s">
        <v>265</v>
      </c>
    </row>
    <row r="13">
      <c r="A13" s="153" t="s">
        <v>103</v>
      </c>
      <c r="B13" s="153" t="s">
        <v>269</v>
      </c>
      <c r="C13" s="153" t="s">
        <v>271</v>
      </c>
      <c r="D13" s="154" t="s">
        <v>272</v>
      </c>
      <c r="E13" s="178" t="s">
        <v>273</v>
      </c>
      <c r="F13" s="174" t="s">
        <v>277</v>
      </c>
    </row>
    <row r="14">
      <c r="A14" s="153" t="s">
        <v>103</v>
      </c>
      <c r="B14" s="153" t="s">
        <v>279</v>
      </c>
      <c r="C14" s="153" t="s">
        <v>280</v>
      </c>
      <c r="D14" s="154"/>
      <c r="E14" s="178" t="s">
        <v>281</v>
      </c>
      <c r="F14" s="145"/>
    </row>
    <row r="15">
      <c r="A15" s="153" t="s">
        <v>103</v>
      </c>
      <c r="B15" s="153" t="s">
        <v>284</v>
      </c>
      <c r="C15" s="153" t="s">
        <v>286</v>
      </c>
      <c r="D15" s="154"/>
      <c r="E15" s="178" t="s">
        <v>288</v>
      </c>
    </row>
    <row r="16">
      <c r="A16" s="153" t="s">
        <v>103</v>
      </c>
      <c r="B16" s="153" t="s">
        <v>289</v>
      </c>
      <c r="C16" s="153" t="s">
        <v>290</v>
      </c>
      <c r="D16" s="154"/>
      <c r="E16" s="178" t="s">
        <v>291</v>
      </c>
    </row>
    <row r="17">
      <c r="A17" s="153" t="s">
        <v>103</v>
      </c>
      <c r="B17" s="153" t="s">
        <v>297</v>
      </c>
      <c r="C17" s="153" t="s">
        <v>298</v>
      </c>
      <c r="D17" s="154"/>
      <c r="E17" s="178" t="s">
        <v>299</v>
      </c>
    </row>
    <row r="18">
      <c r="A18" s="159" t="s">
        <v>303</v>
      </c>
      <c r="B18" s="159" t="s">
        <v>293</v>
      </c>
      <c r="C18" s="159" t="s">
        <v>294</v>
      </c>
      <c r="D18" s="160" t="s">
        <v>295</v>
      </c>
      <c r="E18" s="162" t="s">
        <v>296</v>
      </c>
      <c r="F18" s="177" t="s">
        <v>302</v>
      </c>
    </row>
    <row r="19">
      <c r="A19" s="153" t="s">
        <v>303</v>
      </c>
      <c r="B19" s="153" t="s">
        <v>310</v>
      </c>
      <c r="C19" s="153" t="s">
        <v>307</v>
      </c>
      <c r="D19" s="154" t="s">
        <v>308</v>
      </c>
      <c r="E19" s="178" t="s">
        <v>309</v>
      </c>
      <c r="F19" s="145"/>
    </row>
    <row r="20">
      <c r="A20" s="153" t="s">
        <v>303</v>
      </c>
      <c r="B20" s="153" t="s">
        <v>313</v>
      </c>
      <c r="C20" s="153" t="s">
        <v>314</v>
      </c>
      <c r="D20" s="154" t="s">
        <v>316</v>
      </c>
      <c r="E20" s="178" t="s">
        <v>319</v>
      </c>
      <c r="F20" s="145"/>
    </row>
    <row r="21">
      <c r="A21" s="153" t="s">
        <v>303</v>
      </c>
      <c r="B21" s="153" t="s">
        <v>323</v>
      </c>
      <c r="C21" s="153" t="s">
        <v>324</v>
      </c>
      <c r="D21" s="154" t="s">
        <v>325</v>
      </c>
      <c r="E21" s="178" t="s">
        <v>326</v>
      </c>
      <c r="F21" s="145"/>
    </row>
    <row r="22">
      <c r="A22" s="153"/>
      <c r="B22" s="153"/>
      <c r="C22" s="153"/>
      <c r="D22" s="154"/>
      <c r="E22" s="186"/>
      <c r="F22" s="145"/>
    </row>
    <row r="23">
      <c r="A23" s="153"/>
      <c r="B23" s="153"/>
      <c r="C23" s="153"/>
      <c r="D23" s="154"/>
      <c r="E23" s="186"/>
      <c r="F23" s="145"/>
    </row>
    <row r="24">
      <c r="A24" s="153"/>
      <c r="B24" s="153"/>
      <c r="C24" s="153"/>
      <c r="D24" s="154"/>
      <c r="E24" s="186"/>
      <c r="F24" s="145"/>
    </row>
    <row r="25">
      <c r="A25" s="153"/>
      <c r="B25" s="153"/>
      <c r="C25" s="153"/>
      <c r="D25" s="154"/>
      <c r="E25" s="186"/>
      <c r="F25" s="145"/>
    </row>
    <row r="26">
      <c r="A26" s="153"/>
      <c r="B26" s="153"/>
      <c r="C26" s="153"/>
      <c r="D26" s="154"/>
      <c r="E26" s="186"/>
    </row>
    <row r="27">
      <c r="A27" s="153"/>
      <c r="B27" s="153"/>
      <c r="C27" s="153"/>
      <c r="D27" s="154"/>
      <c r="E27" s="186"/>
    </row>
    <row r="28">
      <c r="A28" s="153"/>
      <c r="B28" s="153"/>
      <c r="C28" s="153"/>
      <c r="D28" s="154"/>
      <c r="E28" s="186"/>
    </row>
    <row r="29">
      <c r="A29" s="153"/>
      <c r="B29" s="153"/>
      <c r="C29" s="153"/>
      <c r="D29" s="154"/>
      <c r="E29" s="186"/>
    </row>
    <row r="30">
      <c r="A30" s="153"/>
      <c r="B30" s="153"/>
      <c r="C30" s="153"/>
      <c r="D30" s="154"/>
      <c r="E30" s="186"/>
    </row>
    <row r="31">
      <c r="A31" s="153"/>
      <c r="B31" s="153"/>
      <c r="C31" s="153"/>
      <c r="D31" s="154"/>
      <c r="E31" s="186"/>
    </row>
    <row r="32">
      <c r="A32" s="153"/>
      <c r="B32" s="153"/>
      <c r="C32" s="153"/>
      <c r="D32" s="154"/>
      <c r="E32" s="186"/>
    </row>
    <row r="33">
      <c r="A33" s="153"/>
      <c r="B33" s="153"/>
      <c r="C33" s="153"/>
      <c r="D33" s="154"/>
      <c r="E33" s="186"/>
    </row>
    <row r="34">
      <c r="A34" s="153"/>
      <c r="B34" s="153"/>
      <c r="C34" s="153"/>
      <c r="D34" s="154"/>
      <c r="E34" s="186"/>
      <c r="F34" s="145"/>
    </row>
    <row r="35">
      <c r="A35" s="153"/>
      <c r="B35" s="153"/>
      <c r="C35" s="153"/>
      <c r="D35" s="154"/>
      <c r="E35" s="186"/>
      <c r="F35" s="145"/>
    </row>
    <row r="36">
      <c r="A36" s="153"/>
      <c r="B36" s="153"/>
      <c r="C36" s="153"/>
      <c r="D36" s="154"/>
      <c r="E36" s="186"/>
      <c r="F36" s="145"/>
    </row>
    <row r="37">
      <c r="A37" s="153"/>
      <c r="B37" s="153"/>
      <c r="C37" s="153"/>
      <c r="D37" s="154"/>
      <c r="E37" s="186"/>
      <c r="F37" s="145"/>
    </row>
    <row r="38">
      <c r="A38" s="153"/>
      <c r="B38" s="153"/>
      <c r="C38" s="153"/>
      <c r="D38" s="154"/>
      <c r="E38" s="186"/>
      <c r="F38" s="145"/>
    </row>
    <row r="39">
      <c r="A39" s="153"/>
      <c r="B39" s="153"/>
      <c r="C39" s="153"/>
      <c r="D39" s="154"/>
      <c r="E39" s="186"/>
      <c r="F39" s="145"/>
    </row>
    <row r="40">
      <c r="A40" s="153"/>
      <c r="B40" s="153"/>
      <c r="C40" s="153"/>
      <c r="D40" s="154"/>
      <c r="E40" s="186"/>
      <c r="F40" s="145"/>
    </row>
    <row r="41">
      <c r="A41" s="153"/>
      <c r="B41" s="153"/>
      <c r="C41" s="153"/>
      <c r="D41" s="154"/>
      <c r="E41" s="186"/>
      <c r="F41" s="145"/>
    </row>
    <row r="42">
      <c r="A42" s="153"/>
      <c r="B42" s="153"/>
      <c r="C42" s="153"/>
      <c r="D42" s="154"/>
      <c r="E42" s="186"/>
      <c r="F42" s="145"/>
    </row>
    <row r="43">
      <c r="A43" s="153"/>
      <c r="B43" s="153"/>
      <c r="C43" s="153"/>
      <c r="D43" s="154"/>
      <c r="E43" s="186"/>
      <c r="F43" s="145"/>
    </row>
    <row r="44">
      <c r="A44" s="187"/>
      <c r="B44" s="187"/>
      <c r="C44" s="153"/>
      <c r="D44" s="154"/>
      <c r="E44" s="180"/>
    </row>
    <row r="45">
      <c r="A45" s="187"/>
      <c r="B45" s="187"/>
      <c r="C45" s="153"/>
      <c r="D45" s="154"/>
      <c r="E45" s="180"/>
    </row>
    <row r="46">
      <c r="A46" s="187"/>
      <c r="B46" s="187"/>
      <c r="C46" s="153"/>
      <c r="D46" s="154"/>
      <c r="E46" s="180"/>
    </row>
    <row r="47">
      <c r="A47" s="187"/>
      <c r="B47" s="187"/>
      <c r="C47" s="153"/>
      <c r="D47" s="154"/>
      <c r="E47" s="180"/>
    </row>
    <row r="48">
      <c r="A48" s="153"/>
      <c r="B48" s="155"/>
      <c r="C48" s="153"/>
      <c r="D48" s="154"/>
      <c r="E48" s="180"/>
    </row>
    <row r="49">
      <c r="A49" s="153"/>
      <c r="B49" s="155"/>
      <c r="C49" s="153"/>
      <c r="D49" s="188"/>
      <c r="E49" s="180"/>
    </row>
    <row r="50">
      <c r="A50" s="153"/>
      <c r="B50" s="155"/>
      <c r="C50" s="153"/>
      <c r="D50" s="188"/>
      <c r="E50" s="180"/>
    </row>
    <row r="51">
      <c r="A51" s="153"/>
      <c r="B51" s="155"/>
      <c r="C51" s="153"/>
      <c r="D51" s="188"/>
      <c r="E51" s="180"/>
    </row>
    <row r="52">
      <c r="A52" s="153"/>
      <c r="B52" s="155"/>
      <c r="C52" s="153"/>
      <c r="D52" s="188"/>
      <c r="E52" s="180"/>
    </row>
    <row r="53">
      <c r="A53" s="153"/>
      <c r="B53" s="155"/>
      <c r="C53" s="153"/>
      <c r="D53" s="188"/>
      <c r="E53" s="180"/>
    </row>
    <row r="54">
      <c r="A54" s="153"/>
      <c r="B54" s="155"/>
      <c r="C54" s="153"/>
      <c r="D54" s="188"/>
      <c r="E54" s="180"/>
    </row>
    <row r="55">
      <c r="A55" s="153"/>
      <c r="B55" s="155"/>
      <c r="C55" s="153"/>
      <c r="D55" s="188"/>
      <c r="E55" s="180"/>
    </row>
    <row r="56">
      <c r="A56" s="153"/>
      <c r="B56" s="155"/>
      <c r="C56" s="155"/>
      <c r="D56" s="189"/>
      <c r="E56" s="180"/>
    </row>
    <row r="57">
      <c r="A57" s="153"/>
      <c r="B57" s="155"/>
      <c r="C57" s="155"/>
      <c r="D57" s="189"/>
      <c r="E57" s="180"/>
    </row>
    <row r="58">
      <c r="A58" s="153"/>
      <c r="B58" s="155"/>
      <c r="C58" s="155"/>
      <c r="D58" s="189"/>
      <c r="E58" s="180"/>
    </row>
    <row r="59">
      <c r="A59" s="153"/>
      <c r="B59" s="155"/>
      <c r="C59" s="155"/>
      <c r="D59" s="189"/>
      <c r="E59" s="180"/>
    </row>
    <row r="60">
      <c r="A60" s="153"/>
      <c r="B60" s="155"/>
      <c r="C60" s="155"/>
      <c r="D60" s="189"/>
      <c r="E60" s="180"/>
    </row>
    <row r="61">
      <c r="A61" s="153"/>
      <c r="B61" s="155"/>
      <c r="C61" s="155"/>
      <c r="D61" s="189"/>
      <c r="E61" s="180"/>
    </row>
    <row r="62">
      <c r="A62" s="153"/>
      <c r="B62" s="155"/>
      <c r="C62" s="155"/>
      <c r="D62" s="189"/>
      <c r="E62" s="180"/>
    </row>
    <row r="63">
      <c r="A63" s="153"/>
      <c r="B63" s="155"/>
      <c r="C63" s="155"/>
      <c r="D63" s="189"/>
      <c r="E63" s="180"/>
    </row>
    <row r="64">
      <c r="A64" s="153"/>
      <c r="B64" s="155"/>
      <c r="C64" s="155"/>
      <c r="D64" s="189"/>
      <c r="E64" s="180"/>
    </row>
    <row r="65">
      <c r="A65" s="187"/>
      <c r="B65" s="187"/>
      <c r="C65" s="187"/>
      <c r="D65" s="190"/>
      <c r="E65" s="180"/>
    </row>
    <row r="66">
      <c r="A66" s="187"/>
      <c r="B66" s="187"/>
      <c r="C66" s="187"/>
      <c r="D66" s="190"/>
      <c r="E66" s="180"/>
    </row>
    <row r="67">
      <c r="A67" s="187"/>
      <c r="B67" s="187"/>
      <c r="C67" s="187"/>
      <c r="D67" s="190"/>
      <c r="E67" s="180"/>
    </row>
    <row r="68">
      <c r="A68" s="187"/>
      <c r="B68" s="187"/>
      <c r="C68" s="187"/>
      <c r="D68" s="190"/>
      <c r="E68" s="180"/>
    </row>
    <row r="69">
      <c r="A69" s="187"/>
      <c r="B69" s="187"/>
      <c r="C69" s="187"/>
      <c r="D69" s="190"/>
      <c r="E69" s="180"/>
    </row>
    <row r="70">
      <c r="A70" s="187"/>
      <c r="B70" s="187"/>
      <c r="C70" s="187"/>
      <c r="D70" s="190"/>
      <c r="E70" s="180"/>
    </row>
    <row r="71">
      <c r="A71" s="187"/>
      <c r="B71" s="187"/>
      <c r="C71" s="187"/>
      <c r="D71" s="190"/>
      <c r="E71" s="180"/>
    </row>
    <row r="72">
      <c r="A72" s="187"/>
      <c r="B72" s="187"/>
      <c r="C72" s="187"/>
      <c r="D72" s="190"/>
      <c r="E72" s="180"/>
    </row>
    <row r="73">
      <c r="A73" s="187"/>
      <c r="B73" s="187"/>
      <c r="C73" s="187"/>
      <c r="D73" s="190"/>
      <c r="E73" s="180"/>
    </row>
    <row r="74">
      <c r="A74" s="187"/>
      <c r="B74" s="187"/>
      <c r="C74" s="187"/>
      <c r="D74" s="190"/>
      <c r="E74" s="180"/>
    </row>
    <row r="75">
      <c r="A75" s="187"/>
      <c r="B75" s="187"/>
      <c r="C75" s="187"/>
      <c r="D75" s="190"/>
      <c r="E75" s="180"/>
    </row>
    <row r="76">
      <c r="A76" s="187"/>
      <c r="B76" s="187"/>
      <c r="C76" s="187"/>
      <c r="D76" s="190"/>
      <c r="E76" s="180"/>
    </row>
    <row r="77">
      <c r="A77" s="187"/>
      <c r="B77" s="187"/>
      <c r="C77" s="187"/>
      <c r="D77" s="190"/>
      <c r="E77" s="180"/>
    </row>
    <row r="78">
      <c r="A78" s="187"/>
      <c r="B78" s="187"/>
      <c r="C78" s="187"/>
      <c r="D78" s="190"/>
      <c r="E78" s="180"/>
    </row>
    <row r="79">
      <c r="A79" s="187"/>
      <c r="B79" s="187"/>
      <c r="C79" s="187"/>
      <c r="D79" s="190"/>
      <c r="E79" s="180"/>
    </row>
    <row r="80">
      <c r="A80" s="187"/>
      <c r="B80" s="187"/>
      <c r="C80" s="187"/>
      <c r="D80" s="190"/>
      <c r="E80" s="180"/>
    </row>
    <row r="81">
      <c r="A81" s="187"/>
      <c r="B81" s="187"/>
      <c r="C81" s="187"/>
      <c r="D81" s="190"/>
      <c r="E81" s="180"/>
    </row>
    <row r="82">
      <c r="A82" s="187"/>
      <c r="B82" s="187"/>
      <c r="C82" s="187"/>
      <c r="D82" s="190"/>
      <c r="E82" s="180"/>
    </row>
    <row r="83">
      <c r="A83" s="187"/>
      <c r="B83" s="187"/>
      <c r="C83" s="187"/>
      <c r="D83" s="190"/>
      <c r="E83" s="180"/>
    </row>
    <row r="84">
      <c r="A84" s="187"/>
      <c r="B84" s="187"/>
      <c r="C84" s="187"/>
      <c r="D84" s="190"/>
      <c r="E84" s="180"/>
    </row>
    <row r="85">
      <c r="A85" s="187"/>
      <c r="B85" s="187"/>
      <c r="C85" s="187"/>
      <c r="D85" s="190"/>
      <c r="E85" s="180"/>
    </row>
    <row r="86">
      <c r="A86" s="187"/>
      <c r="B86" s="187"/>
      <c r="C86" s="187"/>
      <c r="D86" s="190"/>
      <c r="E86" s="180"/>
    </row>
    <row r="87">
      <c r="A87" s="187"/>
      <c r="B87" s="187"/>
      <c r="C87" s="187"/>
      <c r="D87" s="190"/>
      <c r="E87" s="180"/>
    </row>
    <row r="88">
      <c r="A88" s="187"/>
      <c r="B88" s="187"/>
      <c r="C88" s="187"/>
      <c r="D88" s="190"/>
      <c r="E88" s="180"/>
    </row>
    <row r="89">
      <c r="A89" s="187"/>
      <c r="B89" s="187"/>
      <c r="C89" s="187"/>
      <c r="D89" s="190"/>
      <c r="E89" s="180"/>
    </row>
    <row r="90">
      <c r="A90" s="187"/>
      <c r="B90" s="187"/>
      <c r="C90" s="187"/>
      <c r="D90" s="190"/>
      <c r="E90" s="180"/>
    </row>
    <row r="91">
      <c r="A91" s="187"/>
      <c r="B91" s="187"/>
      <c r="C91" s="187"/>
      <c r="D91" s="190"/>
      <c r="E91" s="180"/>
    </row>
    <row r="92">
      <c r="A92" s="187"/>
      <c r="B92" s="187"/>
      <c r="C92" s="187"/>
      <c r="D92" s="190"/>
      <c r="E92" s="180"/>
    </row>
    <row r="93">
      <c r="A93" s="187"/>
      <c r="B93" s="187"/>
      <c r="C93" s="187"/>
      <c r="D93" s="190"/>
      <c r="E93" s="180"/>
    </row>
    <row r="94">
      <c r="A94" s="187"/>
      <c r="B94" s="187"/>
      <c r="C94" s="187"/>
      <c r="D94" s="190"/>
      <c r="E94" s="180"/>
    </row>
    <row r="95">
      <c r="A95" s="187"/>
      <c r="B95" s="187"/>
      <c r="C95" s="187"/>
      <c r="D95" s="190"/>
      <c r="E95" s="180"/>
    </row>
    <row r="96">
      <c r="A96" s="187"/>
      <c r="B96" s="187"/>
      <c r="C96" s="187"/>
      <c r="D96" s="190"/>
      <c r="E96" s="180"/>
    </row>
    <row r="97">
      <c r="A97" s="187"/>
      <c r="B97" s="187"/>
      <c r="C97" s="187"/>
      <c r="D97" s="190"/>
      <c r="E97" s="180"/>
    </row>
    <row r="98">
      <c r="A98" s="187"/>
      <c r="B98" s="187"/>
      <c r="C98" s="187"/>
      <c r="D98" s="190"/>
      <c r="E98" s="180"/>
    </row>
    <row r="99">
      <c r="A99" s="187"/>
      <c r="B99" s="187"/>
      <c r="C99" s="187"/>
      <c r="D99" s="190"/>
      <c r="E99" s="180"/>
    </row>
    <row r="100">
      <c r="A100" s="187"/>
      <c r="B100" s="187"/>
      <c r="C100" s="187"/>
      <c r="D100" s="190"/>
      <c r="E100" s="180"/>
    </row>
    <row r="101">
      <c r="A101" s="187"/>
      <c r="B101" s="187"/>
      <c r="C101" s="187"/>
      <c r="D101" s="190"/>
      <c r="E101" s="180"/>
    </row>
    <row r="102">
      <c r="A102" s="187"/>
      <c r="B102" s="187"/>
      <c r="C102" s="187"/>
      <c r="D102" s="190"/>
      <c r="E102" s="180"/>
    </row>
    <row r="103">
      <c r="A103" s="187"/>
      <c r="B103" s="187"/>
      <c r="C103" s="187"/>
      <c r="D103" s="190"/>
      <c r="E103" s="180"/>
    </row>
    <row r="104">
      <c r="A104" s="187"/>
      <c r="B104" s="187"/>
      <c r="C104" s="187"/>
      <c r="D104" s="190"/>
      <c r="E104" s="180"/>
    </row>
    <row r="105">
      <c r="A105" s="187"/>
      <c r="B105" s="187"/>
      <c r="C105" s="187"/>
      <c r="D105" s="190"/>
      <c r="E105" s="180"/>
    </row>
    <row r="106">
      <c r="A106" s="187"/>
      <c r="B106" s="187"/>
      <c r="C106" s="187"/>
      <c r="D106" s="190"/>
      <c r="E106" s="180"/>
    </row>
    <row r="107">
      <c r="A107" s="187"/>
      <c r="B107" s="187"/>
      <c r="C107" s="187"/>
      <c r="D107" s="190"/>
      <c r="E107" s="180"/>
    </row>
    <row r="108">
      <c r="A108" s="187"/>
      <c r="B108" s="187"/>
      <c r="C108" s="187"/>
      <c r="D108" s="190"/>
      <c r="E108" s="180"/>
    </row>
    <row r="109">
      <c r="A109" s="187"/>
      <c r="B109" s="187"/>
      <c r="C109" s="187"/>
      <c r="D109" s="190"/>
      <c r="E109" s="180"/>
    </row>
    <row r="110">
      <c r="A110" s="187"/>
      <c r="B110" s="187"/>
      <c r="C110" s="187"/>
      <c r="D110" s="190"/>
      <c r="E110" s="180"/>
    </row>
    <row r="111">
      <c r="A111" s="187"/>
      <c r="B111" s="187"/>
      <c r="C111" s="187"/>
      <c r="D111" s="190"/>
      <c r="E111" s="180"/>
    </row>
    <row r="112">
      <c r="A112" s="187"/>
      <c r="B112" s="187"/>
      <c r="C112" s="187"/>
      <c r="D112" s="190"/>
      <c r="E112" s="180"/>
    </row>
    <row r="113">
      <c r="A113" s="187"/>
      <c r="B113" s="187"/>
      <c r="C113" s="187"/>
      <c r="D113" s="190"/>
      <c r="E113" s="180"/>
    </row>
    <row r="114">
      <c r="A114" s="187"/>
      <c r="B114" s="187"/>
      <c r="C114" s="187"/>
      <c r="D114" s="190"/>
      <c r="E114" s="180"/>
    </row>
    <row r="115">
      <c r="A115" s="187"/>
      <c r="B115" s="187"/>
      <c r="C115" s="187"/>
      <c r="D115" s="190"/>
      <c r="E115" s="180"/>
    </row>
    <row r="116">
      <c r="A116" s="187"/>
      <c r="B116" s="187"/>
      <c r="C116" s="187"/>
      <c r="D116" s="190"/>
      <c r="E116" s="180"/>
    </row>
    <row r="117">
      <c r="A117" s="187"/>
      <c r="B117" s="187"/>
      <c r="C117" s="187"/>
      <c r="D117" s="190"/>
      <c r="E117" s="180"/>
    </row>
    <row r="118">
      <c r="A118" s="187"/>
      <c r="B118" s="187"/>
      <c r="C118" s="187"/>
      <c r="D118" s="190"/>
      <c r="E118" s="180"/>
    </row>
    <row r="119">
      <c r="A119" s="187"/>
      <c r="B119" s="187"/>
      <c r="C119" s="187"/>
      <c r="D119" s="190"/>
      <c r="E119" s="180"/>
    </row>
    <row r="120">
      <c r="A120" s="187"/>
      <c r="B120" s="187"/>
      <c r="C120" s="187"/>
      <c r="D120" s="190"/>
      <c r="E120" s="180"/>
    </row>
    <row r="121">
      <c r="A121" s="187"/>
      <c r="B121" s="187"/>
      <c r="C121" s="187"/>
      <c r="D121" s="190"/>
      <c r="E121" s="180"/>
    </row>
    <row r="122">
      <c r="A122" s="187"/>
      <c r="B122" s="187"/>
      <c r="C122" s="187"/>
      <c r="D122" s="190"/>
      <c r="E122" s="180"/>
    </row>
    <row r="123">
      <c r="A123" s="187"/>
      <c r="B123" s="187"/>
      <c r="C123" s="187"/>
      <c r="D123" s="190"/>
      <c r="E123" s="180"/>
    </row>
    <row r="124">
      <c r="A124" s="187"/>
      <c r="B124" s="187"/>
      <c r="C124" s="187"/>
      <c r="D124" s="190"/>
      <c r="E124" s="180"/>
    </row>
    <row r="125">
      <c r="A125" s="187"/>
      <c r="B125" s="187"/>
      <c r="C125" s="187"/>
      <c r="D125" s="190"/>
      <c r="E125" s="180"/>
    </row>
    <row r="126">
      <c r="A126" s="187"/>
      <c r="B126" s="187"/>
      <c r="C126" s="187"/>
      <c r="D126" s="190"/>
      <c r="E126" s="180"/>
    </row>
    <row r="127">
      <c r="A127" s="187"/>
      <c r="B127" s="187"/>
      <c r="C127" s="187"/>
      <c r="D127" s="190"/>
      <c r="E127" s="180"/>
    </row>
    <row r="128">
      <c r="A128" s="187"/>
      <c r="B128" s="187"/>
      <c r="C128" s="187"/>
      <c r="D128" s="190"/>
      <c r="E128" s="180"/>
    </row>
    <row r="129">
      <c r="A129" s="187"/>
      <c r="B129" s="187"/>
      <c r="C129" s="187"/>
      <c r="D129" s="190"/>
      <c r="E129" s="180"/>
    </row>
    <row r="130">
      <c r="A130" s="187"/>
      <c r="B130" s="187"/>
      <c r="C130" s="187"/>
      <c r="D130" s="190"/>
      <c r="E130" s="180"/>
    </row>
    <row r="131">
      <c r="A131" s="187"/>
      <c r="B131" s="187"/>
      <c r="C131" s="187"/>
      <c r="D131" s="190"/>
      <c r="E131" s="180"/>
    </row>
    <row r="132">
      <c r="A132" s="187"/>
      <c r="B132" s="187"/>
      <c r="C132" s="187"/>
      <c r="D132" s="190"/>
      <c r="E132" s="180"/>
    </row>
    <row r="133">
      <c r="A133" s="187"/>
      <c r="B133" s="187"/>
      <c r="C133" s="187"/>
      <c r="D133" s="190"/>
      <c r="E133" s="180"/>
    </row>
    <row r="134">
      <c r="A134" s="187"/>
      <c r="B134" s="187"/>
      <c r="C134" s="187"/>
      <c r="D134" s="190"/>
      <c r="E134" s="180"/>
    </row>
    <row r="135">
      <c r="A135" s="187"/>
      <c r="B135" s="187"/>
      <c r="C135" s="187"/>
      <c r="D135" s="190"/>
      <c r="E135" s="180"/>
    </row>
    <row r="136">
      <c r="A136" s="187"/>
      <c r="B136" s="187"/>
      <c r="C136" s="187"/>
      <c r="D136" s="190"/>
      <c r="E136" s="180"/>
    </row>
    <row r="137">
      <c r="A137" s="187"/>
      <c r="B137" s="187"/>
      <c r="C137" s="187"/>
      <c r="D137" s="190"/>
      <c r="E137" s="180"/>
    </row>
    <row r="138">
      <c r="A138" s="187"/>
      <c r="B138" s="187"/>
      <c r="C138" s="187"/>
      <c r="D138" s="190"/>
      <c r="E138" s="180"/>
    </row>
    <row r="139">
      <c r="A139" s="187"/>
      <c r="B139" s="187"/>
      <c r="C139" s="187"/>
      <c r="D139" s="190"/>
      <c r="E139" s="180"/>
    </row>
    <row r="140">
      <c r="A140" s="187"/>
      <c r="B140" s="187"/>
      <c r="C140" s="187"/>
      <c r="D140" s="190"/>
      <c r="E140" s="180"/>
    </row>
    <row r="141">
      <c r="A141" s="187"/>
      <c r="B141" s="187"/>
      <c r="C141" s="187"/>
      <c r="D141" s="190"/>
      <c r="E141" s="180"/>
    </row>
    <row r="142">
      <c r="A142" s="187"/>
      <c r="B142" s="187"/>
      <c r="C142" s="187"/>
      <c r="D142" s="190"/>
      <c r="E142" s="180"/>
    </row>
    <row r="143">
      <c r="A143" s="187"/>
      <c r="B143" s="187"/>
      <c r="C143" s="187"/>
      <c r="D143" s="190"/>
      <c r="E143" s="180"/>
    </row>
    <row r="144">
      <c r="A144" s="187"/>
      <c r="B144" s="187"/>
      <c r="C144" s="187"/>
      <c r="D144" s="190"/>
      <c r="E144" s="180"/>
    </row>
    <row r="145">
      <c r="A145" s="187"/>
      <c r="B145" s="187"/>
      <c r="C145" s="187"/>
      <c r="D145" s="190"/>
      <c r="E145" s="180"/>
    </row>
    <row r="146">
      <c r="A146" s="187"/>
      <c r="B146" s="187"/>
      <c r="C146" s="187"/>
      <c r="D146" s="190"/>
      <c r="E146" s="180"/>
    </row>
    <row r="147">
      <c r="A147" s="187"/>
      <c r="B147" s="187"/>
      <c r="C147" s="187"/>
      <c r="D147" s="190"/>
      <c r="E147" s="180"/>
    </row>
    <row r="148">
      <c r="A148" s="187"/>
      <c r="B148" s="187"/>
      <c r="C148" s="187"/>
      <c r="D148" s="190"/>
      <c r="E148" s="180"/>
    </row>
    <row r="149">
      <c r="A149" s="187"/>
      <c r="B149" s="187"/>
      <c r="C149" s="187"/>
      <c r="D149" s="190"/>
      <c r="E149" s="180"/>
    </row>
    <row r="150">
      <c r="A150" s="187"/>
      <c r="B150" s="187"/>
      <c r="C150" s="187"/>
      <c r="D150" s="190"/>
      <c r="E150" s="180"/>
    </row>
    <row r="151">
      <c r="A151" s="187"/>
      <c r="B151" s="187"/>
      <c r="C151" s="187"/>
      <c r="D151" s="190"/>
      <c r="E151" s="180"/>
    </row>
    <row r="152">
      <c r="A152" s="187"/>
      <c r="B152" s="187"/>
      <c r="C152" s="187"/>
      <c r="D152" s="190"/>
      <c r="E152" s="180"/>
    </row>
    <row r="153">
      <c r="A153" s="187"/>
      <c r="B153" s="187"/>
      <c r="C153" s="187"/>
      <c r="D153" s="190"/>
      <c r="E153" s="180"/>
    </row>
    <row r="154">
      <c r="A154" s="187"/>
      <c r="B154" s="187"/>
      <c r="C154" s="187"/>
      <c r="D154" s="190"/>
      <c r="E154" s="180"/>
    </row>
    <row r="155">
      <c r="A155" s="187"/>
      <c r="B155" s="187"/>
      <c r="C155" s="187"/>
      <c r="D155" s="190"/>
      <c r="E155" s="180"/>
    </row>
    <row r="156">
      <c r="A156" s="187"/>
      <c r="B156" s="187"/>
      <c r="C156" s="187"/>
      <c r="D156" s="190"/>
      <c r="E156" s="180"/>
    </row>
    <row r="157">
      <c r="A157" s="187"/>
      <c r="B157" s="187"/>
      <c r="C157" s="187"/>
      <c r="D157" s="190"/>
      <c r="E157" s="180"/>
    </row>
    <row r="158">
      <c r="A158" s="187"/>
      <c r="B158" s="187"/>
      <c r="C158" s="187"/>
      <c r="D158" s="190"/>
      <c r="E158" s="180"/>
    </row>
    <row r="159">
      <c r="A159" s="187"/>
      <c r="B159" s="187"/>
      <c r="C159" s="187"/>
      <c r="D159" s="190"/>
      <c r="E159" s="180"/>
    </row>
    <row r="160">
      <c r="A160" s="187"/>
      <c r="B160" s="187"/>
      <c r="C160" s="187"/>
      <c r="D160" s="190"/>
      <c r="E160" s="180"/>
    </row>
    <row r="161">
      <c r="A161" s="187"/>
      <c r="B161" s="187"/>
      <c r="C161" s="187"/>
      <c r="D161" s="190"/>
      <c r="E161" s="180"/>
    </row>
    <row r="162">
      <c r="A162" s="187"/>
      <c r="B162" s="187"/>
      <c r="C162" s="187"/>
      <c r="D162" s="190"/>
      <c r="E162" s="180"/>
    </row>
    <row r="163">
      <c r="A163" s="187"/>
      <c r="B163" s="187"/>
      <c r="C163" s="187"/>
      <c r="D163" s="190"/>
      <c r="E163" s="180"/>
    </row>
    <row r="164">
      <c r="A164" s="187"/>
      <c r="B164" s="187"/>
      <c r="C164" s="187"/>
      <c r="D164" s="190"/>
      <c r="E164" s="180"/>
    </row>
    <row r="165">
      <c r="A165" s="187"/>
      <c r="B165" s="187"/>
      <c r="C165" s="187"/>
      <c r="D165" s="190"/>
      <c r="E165" s="180"/>
    </row>
    <row r="166">
      <c r="A166" s="187"/>
      <c r="B166" s="187"/>
      <c r="C166" s="187"/>
      <c r="D166" s="190"/>
      <c r="E166" s="180"/>
    </row>
    <row r="167">
      <c r="A167" s="187"/>
      <c r="B167" s="187"/>
      <c r="C167" s="187"/>
      <c r="D167" s="190"/>
      <c r="E167" s="180"/>
    </row>
    <row r="168">
      <c r="A168" s="187"/>
      <c r="B168" s="187"/>
      <c r="C168" s="187"/>
      <c r="D168" s="190"/>
      <c r="E168" s="180"/>
    </row>
    <row r="169">
      <c r="A169" s="187"/>
      <c r="B169" s="187"/>
      <c r="C169" s="187"/>
      <c r="D169" s="190"/>
      <c r="E169" s="180"/>
    </row>
    <row r="170">
      <c r="A170" s="187"/>
      <c r="B170" s="187"/>
      <c r="C170" s="187"/>
      <c r="D170" s="190"/>
      <c r="E170" s="180"/>
    </row>
    <row r="171">
      <c r="A171" s="187"/>
      <c r="B171" s="187"/>
      <c r="C171" s="187"/>
      <c r="D171" s="190"/>
      <c r="E171" s="180"/>
    </row>
    <row r="172">
      <c r="A172" s="187"/>
      <c r="B172" s="187"/>
      <c r="C172" s="187"/>
      <c r="D172" s="190"/>
      <c r="E172" s="180"/>
    </row>
    <row r="173">
      <c r="A173" s="187"/>
      <c r="B173" s="187"/>
      <c r="C173" s="187"/>
      <c r="D173" s="190"/>
      <c r="E173" s="180"/>
    </row>
    <row r="174">
      <c r="A174" s="187"/>
      <c r="B174" s="187"/>
      <c r="C174" s="187"/>
      <c r="D174" s="190"/>
      <c r="E174" s="180"/>
    </row>
    <row r="175">
      <c r="A175" s="187"/>
      <c r="B175" s="187"/>
      <c r="C175" s="187"/>
      <c r="D175" s="190"/>
      <c r="E175" s="180"/>
    </row>
    <row r="176">
      <c r="A176" s="187"/>
      <c r="B176" s="187"/>
      <c r="C176" s="187"/>
      <c r="D176" s="190"/>
      <c r="E176" s="180"/>
    </row>
    <row r="177">
      <c r="A177" s="187"/>
      <c r="B177" s="187"/>
      <c r="C177" s="187"/>
      <c r="D177" s="190"/>
      <c r="E177" s="180"/>
    </row>
    <row r="178">
      <c r="A178" s="187"/>
      <c r="B178" s="187"/>
      <c r="C178" s="187"/>
      <c r="D178" s="190"/>
      <c r="E178" s="180"/>
    </row>
    <row r="179">
      <c r="A179" s="187"/>
      <c r="B179" s="187"/>
      <c r="C179" s="187"/>
      <c r="D179" s="190"/>
      <c r="E179" s="180"/>
    </row>
    <row r="180">
      <c r="A180" s="187"/>
      <c r="B180" s="187"/>
      <c r="C180" s="187"/>
      <c r="D180" s="190"/>
      <c r="E180" s="180"/>
    </row>
    <row r="181">
      <c r="A181" s="187"/>
      <c r="B181" s="187"/>
      <c r="C181" s="187"/>
      <c r="D181" s="190"/>
      <c r="E181" s="180"/>
    </row>
    <row r="182">
      <c r="A182" s="187"/>
      <c r="B182" s="187"/>
      <c r="C182" s="187"/>
      <c r="D182" s="190"/>
      <c r="E182" s="180"/>
    </row>
    <row r="183">
      <c r="A183" s="187"/>
      <c r="B183" s="187"/>
      <c r="C183" s="187"/>
      <c r="D183" s="190"/>
      <c r="E183" s="180"/>
    </row>
    <row r="184">
      <c r="A184" s="187"/>
      <c r="B184" s="187"/>
      <c r="C184" s="187"/>
      <c r="D184" s="190"/>
      <c r="E184" s="180"/>
    </row>
    <row r="185">
      <c r="A185" s="187"/>
      <c r="B185" s="187"/>
      <c r="C185" s="187"/>
      <c r="D185" s="190"/>
      <c r="E185" s="180"/>
    </row>
    <row r="186">
      <c r="A186" s="187"/>
      <c r="B186" s="187"/>
      <c r="C186" s="187"/>
      <c r="D186" s="190"/>
      <c r="E186" s="180"/>
    </row>
    <row r="187">
      <c r="A187" s="187"/>
      <c r="B187" s="187"/>
      <c r="C187" s="187"/>
      <c r="D187" s="190"/>
      <c r="E187" s="180"/>
    </row>
    <row r="188">
      <c r="A188" s="187"/>
      <c r="B188" s="187"/>
      <c r="C188" s="187"/>
      <c r="D188" s="190"/>
      <c r="E188" s="180"/>
    </row>
    <row r="189">
      <c r="A189" s="187"/>
      <c r="B189" s="187"/>
      <c r="C189" s="187"/>
      <c r="D189" s="190"/>
      <c r="E189" s="180"/>
    </row>
    <row r="190">
      <c r="A190" s="187"/>
      <c r="B190" s="187"/>
      <c r="C190" s="187"/>
      <c r="D190" s="190"/>
      <c r="E190" s="180"/>
    </row>
    <row r="191">
      <c r="A191" s="187"/>
      <c r="B191" s="187"/>
      <c r="C191" s="187"/>
      <c r="D191" s="190"/>
      <c r="E191" s="180"/>
    </row>
    <row r="192">
      <c r="A192" s="187"/>
      <c r="B192" s="187"/>
      <c r="C192" s="187"/>
      <c r="D192" s="190"/>
      <c r="E192" s="180"/>
    </row>
    <row r="193">
      <c r="A193" s="187"/>
      <c r="B193" s="187"/>
      <c r="C193" s="187"/>
      <c r="D193" s="190"/>
      <c r="E193" s="180"/>
    </row>
    <row r="194">
      <c r="A194" s="187"/>
      <c r="B194" s="187"/>
      <c r="C194" s="187"/>
      <c r="D194" s="190"/>
      <c r="E194" s="180"/>
    </row>
    <row r="195">
      <c r="A195" s="187"/>
      <c r="B195" s="187"/>
      <c r="C195" s="187"/>
      <c r="D195" s="190"/>
      <c r="E195" s="180"/>
    </row>
    <row r="196">
      <c r="A196" s="187"/>
      <c r="B196" s="187"/>
      <c r="C196" s="187"/>
      <c r="D196" s="190"/>
      <c r="E196" s="180"/>
    </row>
    <row r="197">
      <c r="A197" s="187"/>
      <c r="B197" s="187"/>
      <c r="C197" s="187"/>
      <c r="D197" s="190"/>
      <c r="E197" s="180"/>
    </row>
    <row r="198">
      <c r="A198" s="187"/>
      <c r="B198" s="187"/>
      <c r="C198" s="187"/>
      <c r="D198" s="190"/>
      <c r="E198" s="180"/>
    </row>
    <row r="199">
      <c r="A199" s="187"/>
      <c r="B199" s="187"/>
      <c r="C199" s="187"/>
      <c r="D199" s="190"/>
      <c r="E199" s="180"/>
    </row>
    <row r="200">
      <c r="A200" s="187"/>
      <c r="B200" s="187"/>
      <c r="C200" s="187"/>
      <c r="D200" s="190"/>
      <c r="E200" s="180"/>
    </row>
    <row r="201">
      <c r="A201" s="187"/>
      <c r="B201" s="187"/>
      <c r="C201" s="187"/>
      <c r="D201" s="190"/>
      <c r="E201" s="180"/>
    </row>
    <row r="202">
      <c r="A202" s="187"/>
      <c r="B202" s="187"/>
      <c r="C202" s="187"/>
      <c r="D202" s="190"/>
      <c r="E202" s="180"/>
    </row>
    <row r="203">
      <c r="A203" s="187"/>
      <c r="B203" s="187"/>
      <c r="C203" s="187"/>
      <c r="D203" s="190"/>
      <c r="E203" s="180"/>
    </row>
    <row r="204">
      <c r="A204" s="187"/>
      <c r="B204" s="187"/>
      <c r="C204" s="187"/>
      <c r="D204" s="190"/>
      <c r="E204" s="180"/>
    </row>
    <row r="205">
      <c r="A205" s="187"/>
      <c r="B205" s="187"/>
      <c r="C205" s="187"/>
      <c r="D205" s="190"/>
      <c r="E205" s="180"/>
    </row>
    <row r="206">
      <c r="A206" s="187"/>
      <c r="B206" s="187"/>
      <c r="C206" s="187"/>
      <c r="D206" s="190"/>
      <c r="E206" s="180"/>
    </row>
    <row r="207">
      <c r="A207" s="187"/>
      <c r="B207" s="187"/>
      <c r="C207" s="187"/>
      <c r="D207" s="190"/>
      <c r="E207" s="180"/>
    </row>
    <row r="208">
      <c r="A208" s="187"/>
      <c r="B208" s="187"/>
      <c r="C208" s="187"/>
      <c r="D208" s="190"/>
      <c r="E208" s="180"/>
    </row>
    <row r="209">
      <c r="A209" s="187"/>
      <c r="B209" s="187"/>
      <c r="C209" s="187"/>
      <c r="D209" s="190"/>
      <c r="E209" s="180"/>
    </row>
    <row r="210">
      <c r="A210" s="187"/>
      <c r="B210" s="187"/>
      <c r="C210" s="187"/>
      <c r="D210" s="190"/>
      <c r="E210" s="180"/>
    </row>
    <row r="211">
      <c r="A211" s="187"/>
      <c r="B211" s="187"/>
      <c r="C211" s="187"/>
      <c r="D211" s="190"/>
      <c r="E211" s="180"/>
    </row>
    <row r="212">
      <c r="A212" s="187"/>
      <c r="B212" s="187"/>
      <c r="C212" s="187"/>
      <c r="D212" s="190"/>
      <c r="E212" s="180"/>
    </row>
    <row r="213">
      <c r="A213" s="187"/>
      <c r="B213" s="187"/>
      <c r="C213" s="187"/>
      <c r="D213" s="190"/>
      <c r="E213" s="180"/>
    </row>
    <row r="214">
      <c r="A214" s="187"/>
      <c r="B214" s="187"/>
      <c r="C214" s="187"/>
      <c r="D214" s="190"/>
      <c r="E214" s="180"/>
    </row>
    <row r="215">
      <c r="A215" s="187"/>
      <c r="B215" s="187"/>
      <c r="C215" s="187"/>
      <c r="D215" s="190"/>
      <c r="E215" s="180"/>
    </row>
    <row r="216">
      <c r="A216" s="187"/>
      <c r="B216" s="187"/>
      <c r="C216" s="187"/>
      <c r="D216" s="190"/>
      <c r="E216" s="180"/>
    </row>
    <row r="217">
      <c r="A217" s="187"/>
      <c r="B217" s="187"/>
      <c r="C217" s="187"/>
      <c r="D217" s="190"/>
      <c r="E217" s="180"/>
    </row>
    <row r="218">
      <c r="A218" s="187"/>
      <c r="B218" s="187"/>
      <c r="C218" s="187"/>
      <c r="D218" s="190"/>
      <c r="E218" s="180"/>
    </row>
    <row r="219">
      <c r="A219" s="187"/>
      <c r="B219" s="187"/>
      <c r="C219" s="187"/>
      <c r="D219" s="190"/>
      <c r="E219" s="180"/>
    </row>
    <row r="220">
      <c r="A220" s="187"/>
      <c r="B220" s="187"/>
      <c r="C220" s="187"/>
      <c r="D220" s="190"/>
      <c r="E220" s="180"/>
    </row>
    <row r="221">
      <c r="A221" s="187"/>
      <c r="B221" s="187"/>
      <c r="C221" s="187"/>
      <c r="D221" s="190"/>
      <c r="E221" s="180"/>
    </row>
    <row r="222">
      <c r="A222" s="187"/>
      <c r="B222" s="187"/>
      <c r="C222" s="187"/>
      <c r="D222" s="190"/>
      <c r="E222" s="180"/>
    </row>
    <row r="223">
      <c r="A223" s="187"/>
      <c r="B223" s="187"/>
      <c r="C223" s="187"/>
      <c r="D223" s="190"/>
      <c r="E223" s="180"/>
    </row>
    <row r="224">
      <c r="A224" s="187"/>
      <c r="B224" s="187"/>
      <c r="C224" s="187"/>
      <c r="D224" s="190"/>
      <c r="E224" s="180"/>
    </row>
    <row r="225">
      <c r="A225" s="187"/>
      <c r="B225" s="187"/>
      <c r="C225" s="187"/>
      <c r="D225" s="190"/>
      <c r="E225" s="180"/>
    </row>
    <row r="226">
      <c r="A226" s="187"/>
      <c r="B226" s="187"/>
      <c r="C226" s="187"/>
      <c r="D226" s="190"/>
      <c r="E226" s="180"/>
    </row>
    <row r="227">
      <c r="A227" s="187"/>
      <c r="B227" s="187"/>
      <c r="C227" s="187"/>
      <c r="D227" s="190"/>
      <c r="E227" s="180"/>
    </row>
    <row r="228">
      <c r="A228" s="187"/>
      <c r="B228" s="187"/>
      <c r="C228" s="187"/>
      <c r="D228" s="190"/>
      <c r="E228" s="180"/>
    </row>
    <row r="229">
      <c r="A229" s="187"/>
      <c r="B229" s="187"/>
      <c r="C229" s="187"/>
      <c r="D229" s="190"/>
      <c r="E229" s="180"/>
    </row>
    <row r="230">
      <c r="A230" s="187"/>
      <c r="B230" s="187"/>
      <c r="C230" s="187"/>
      <c r="D230" s="190"/>
      <c r="E230" s="180"/>
    </row>
    <row r="231">
      <c r="A231" s="187"/>
      <c r="B231" s="187"/>
      <c r="C231" s="187"/>
      <c r="D231" s="190"/>
      <c r="E231" s="180"/>
    </row>
    <row r="232">
      <c r="A232" s="187"/>
      <c r="B232" s="187"/>
      <c r="C232" s="187"/>
      <c r="D232" s="190"/>
      <c r="E232" s="180"/>
    </row>
    <row r="233">
      <c r="A233" s="187"/>
      <c r="B233" s="187"/>
      <c r="C233" s="187"/>
      <c r="D233" s="190"/>
      <c r="E233" s="180"/>
    </row>
    <row r="234">
      <c r="A234" s="187"/>
      <c r="B234" s="187"/>
      <c r="C234" s="187"/>
      <c r="D234" s="190"/>
      <c r="E234" s="180"/>
    </row>
    <row r="235">
      <c r="A235" s="187"/>
      <c r="B235" s="187"/>
      <c r="C235" s="187"/>
      <c r="D235" s="190"/>
      <c r="E235" s="180"/>
    </row>
    <row r="236">
      <c r="A236" s="187"/>
      <c r="B236" s="187"/>
      <c r="C236" s="187"/>
      <c r="D236" s="190"/>
      <c r="E236" s="180"/>
    </row>
    <row r="237">
      <c r="A237" s="187"/>
      <c r="B237" s="187"/>
      <c r="C237" s="187"/>
      <c r="D237" s="190"/>
      <c r="E237" s="180"/>
    </row>
    <row r="238">
      <c r="A238" s="187"/>
      <c r="B238" s="187"/>
      <c r="C238" s="187"/>
      <c r="D238" s="190"/>
      <c r="E238" s="180"/>
    </row>
    <row r="239">
      <c r="A239" s="187"/>
      <c r="B239" s="187"/>
      <c r="C239" s="187"/>
      <c r="D239" s="190"/>
      <c r="E239" s="180"/>
    </row>
    <row r="240">
      <c r="A240" s="187"/>
      <c r="B240" s="187"/>
      <c r="C240" s="187"/>
      <c r="D240" s="190"/>
      <c r="E240" s="180"/>
    </row>
    <row r="241">
      <c r="A241" s="187"/>
      <c r="B241" s="187"/>
      <c r="C241" s="187"/>
      <c r="D241" s="190"/>
      <c r="E241" s="180"/>
    </row>
    <row r="242">
      <c r="A242" s="187"/>
      <c r="B242" s="187"/>
      <c r="C242" s="187"/>
      <c r="D242" s="190"/>
      <c r="E242" s="180"/>
    </row>
    <row r="243">
      <c r="A243" s="187"/>
      <c r="B243" s="187"/>
      <c r="C243" s="187"/>
      <c r="D243" s="190"/>
      <c r="E243" s="180"/>
    </row>
    <row r="244">
      <c r="A244" s="187"/>
      <c r="B244" s="187"/>
      <c r="C244" s="187"/>
      <c r="D244" s="190"/>
      <c r="E244" s="180"/>
    </row>
    <row r="245">
      <c r="A245" s="187"/>
      <c r="B245" s="187"/>
      <c r="C245" s="187"/>
      <c r="D245" s="190"/>
      <c r="E245" s="180"/>
    </row>
    <row r="246">
      <c r="A246" s="187"/>
      <c r="B246" s="187"/>
      <c r="C246" s="187"/>
      <c r="D246" s="190"/>
      <c r="E246" s="180"/>
    </row>
    <row r="247">
      <c r="A247" s="187"/>
      <c r="B247" s="187"/>
      <c r="C247" s="187"/>
      <c r="D247" s="190"/>
      <c r="E247" s="180"/>
    </row>
    <row r="248">
      <c r="A248" s="187"/>
      <c r="B248" s="187"/>
      <c r="C248" s="187"/>
      <c r="D248" s="190"/>
      <c r="E248" s="180"/>
    </row>
    <row r="249">
      <c r="A249" s="187"/>
      <c r="B249" s="187"/>
      <c r="C249" s="187"/>
      <c r="D249" s="190"/>
      <c r="E249" s="180"/>
    </row>
    <row r="250">
      <c r="A250" s="187"/>
      <c r="B250" s="187"/>
      <c r="C250" s="187"/>
      <c r="D250" s="190"/>
      <c r="E250" s="180"/>
    </row>
    <row r="251">
      <c r="A251" s="187"/>
      <c r="B251" s="187"/>
      <c r="C251" s="187"/>
      <c r="D251" s="190"/>
      <c r="E251" s="180"/>
    </row>
    <row r="252">
      <c r="A252" s="187"/>
      <c r="B252" s="187"/>
      <c r="C252" s="187"/>
      <c r="D252" s="190"/>
      <c r="E252" s="180"/>
    </row>
    <row r="253">
      <c r="A253" s="187"/>
      <c r="B253" s="187"/>
      <c r="C253" s="187"/>
      <c r="D253" s="190"/>
      <c r="E253" s="180"/>
    </row>
    <row r="254">
      <c r="A254" s="187"/>
      <c r="B254" s="187"/>
      <c r="C254" s="187"/>
      <c r="D254" s="190"/>
      <c r="E254" s="180"/>
    </row>
    <row r="255">
      <c r="A255" s="187"/>
      <c r="B255" s="187"/>
      <c r="C255" s="187"/>
      <c r="D255" s="190"/>
      <c r="E255" s="180"/>
    </row>
    <row r="256">
      <c r="A256" s="187"/>
      <c r="B256" s="187"/>
      <c r="C256" s="187"/>
      <c r="D256" s="190"/>
      <c r="E256" s="180"/>
    </row>
    <row r="257">
      <c r="A257" s="187"/>
      <c r="B257" s="187"/>
      <c r="C257" s="187"/>
      <c r="D257" s="190"/>
      <c r="E257" s="180"/>
    </row>
    <row r="258">
      <c r="A258" s="187"/>
      <c r="B258" s="187"/>
      <c r="C258" s="187"/>
      <c r="D258" s="190"/>
      <c r="E258" s="180"/>
    </row>
    <row r="259">
      <c r="A259" s="187"/>
      <c r="B259" s="187"/>
      <c r="C259" s="187"/>
      <c r="D259" s="190"/>
      <c r="E259" s="180"/>
    </row>
    <row r="260">
      <c r="A260" s="187"/>
      <c r="B260" s="187"/>
      <c r="C260" s="187"/>
      <c r="D260" s="190"/>
      <c r="E260" s="180"/>
    </row>
    <row r="261">
      <c r="A261" s="187"/>
      <c r="B261" s="187"/>
      <c r="C261" s="187"/>
      <c r="D261" s="190"/>
      <c r="E261" s="180"/>
    </row>
    <row r="262">
      <c r="A262" s="187"/>
      <c r="B262" s="187"/>
      <c r="C262" s="187"/>
      <c r="D262" s="190"/>
      <c r="E262" s="180"/>
    </row>
    <row r="263">
      <c r="A263" s="187"/>
      <c r="B263" s="187"/>
      <c r="C263" s="187"/>
      <c r="D263" s="190"/>
      <c r="E263" s="180"/>
    </row>
    <row r="264">
      <c r="A264" s="187"/>
      <c r="B264" s="187"/>
      <c r="C264" s="187"/>
      <c r="D264" s="190"/>
      <c r="E264" s="180"/>
    </row>
    <row r="265">
      <c r="A265" s="187"/>
      <c r="B265" s="187"/>
      <c r="C265" s="187"/>
      <c r="D265" s="190"/>
      <c r="E265" s="180"/>
    </row>
    <row r="266">
      <c r="A266" s="187"/>
      <c r="B266" s="187"/>
      <c r="C266" s="187"/>
      <c r="D266" s="190"/>
      <c r="E266" s="180"/>
    </row>
    <row r="267">
      <c r="A267" s="187"/>
      <c r="B267" s="187"/>
      <c r="C267" s="187"/>
      <c r="D267" s="190"/>
      <c r="E267" s="180"/>
    </row>
    <row r="268">
      <c r="A268" s="187"/>
      <c r="B268" s="187"/>
      <c r="C268" s="187"/>
      <c r="D268" s="190"/>
      <c r="E268" s="180"/>
    </row>
    <row r="269">
      <c r="A269" s="187"/>
      <c r="B269" s="187"/>
      <c r="C269" s="187"/>
      <c r="D269" s="190"/>
      <c r="E269" s="180"/>
    </row>
    <row r="270">
      <c r="A270" s="187"/>
      <c r="B270" s="187"/>
      <c r="C270" s="187"/>
      <c r="D270" s="190"/>
      <c r="E270" s="180"/>
    </row>
    <row r="271">
      <c r="A271" s="187"/>
      <c r="B271" s="187"/>
      <c r="C271" s="187"/>
      <c r="D271" s="190"/>
      <c r="E271" s="180"/>
    </row>
    <row r="272">
      <c r="A272" s="187"/>
      <c r="B272" s="187"/>
      <c r="C272" s="187"/>
      <c r="D272" s="190"/>
      <c r="E272" s="180"/>
    </row>
    <row r="273">
      <c r="A273" s="187"/>
      <c r="B273" s="187"/>
      <c r="C273" s="187"/>
      <c r="D273" s="190"/>
      <c r="E273" s="180"/>
    </row>
    <row r="274">
      <c r="A274" s="187"/>
      <c r="B274" s="187"/>
      <c r="C274" s="187"/>
      <c r="D274" s="190"/>
      <c r="E274" s="180"/>
    </row>
    <row r="275">
      <c r="A275" s="187"/>
      <c r="B275" s="187"/>
      <c r="C275" s="187"/>
      <c r="D275" s="190"/>
      <c r="E275" s="180"/>
    </row>
    <row r="276">
      <c r="A276" s="187"/>
      <c r="B276" s="187"/>
      <c r="C276" s="187"/>
      <c r="D276" s="190"/>
      <c r="E276" s="180"/>
    </row>
    <row r="277">
      <c r="A277" s="187"/>
      <c r="B277" s="187"/>
      <c r="C277" s="187"/>
      <c r="D277" s="190"/>
      <c r="E277" s="180"/>
    </row>
    <row r="278">
      <c r="A278" s="187"/>
      <c r="B278" s="187"/>
      <c r="C278" s="187"/>
      <c r="D278" s="190"/>
      <c r="E278" s="180"/>
    </row>
    <row r="279">
      <c r="A279" s="187"/>
      <c r="B279" s="187"/>
      <c r="C279" s="187"/>
      <c r="D279" s="190"/>
      <c r="E279" s="180"/>
    </row>
    <row r="280">
      <c r="A280" s="187"/>
      <c r="B280" s="187"/>
      <c r="C280" s="187"/>
      <c r="D280" s="190"/>
      <c r="E280" s="180"/>
    </row>
    <row r="281">
      <c r="A281" s="187"/>
      <c r="B281" s="187"/>
      <c r="C281" s="187"/>
      <c r="D281" s="190"/>
      <c r="E281" s="180"/>
    </row>
    <row r="282">
      <c r="A282" s="187"/>
      <c r="B282" s="187"/>
      <c r="C282" s="187"/>
      <c r="D282" s="190"/>
      <c r="E282" s="180"/>
    </row>
    <row r="283">
      <c r="A283" s="187"/>
      <c r="B283" s="187"/>
      <c r="C283" s="187"/>
      <c r="D283" s="190"/>
      <c r="E283" s="180"/>
    </row>
    <row r="284">
      <c r="A284" s="187"/>
      <c r="B284" s="187"/>
      <c r="C284" s="187"/>
      <c r="D284" s="190"/>
      <c r="E284" s="180"/>
    </row>
    <row r="285">
      <c r="A285" s="187"/>
      <c r="B285" s="187"/>
      <c r="C285" s="187"/>
      <c r="D285" s="190"/>
      <c r="E285" s="180"/>
    </row>
    <row r="286">
      <c r="A286" s="187"/>
      <c r="B286" s="187"/>
      <c r="C286" s="187"/>
      <c r="D286" s="190"/>
      <c r="E286" s="180"/>
    </row>
    <row r="287">
      <c r="A287" s="187"/>
      <c r="B287" s="187"/>
      <c r="C287" s="187"/>
      <c r="D287" s="190"/>
      <c r="E287" s="180"/>
    </row>
    <row r="288">
      <c r="A288" s="187"/>
      <c r="B288" s="187"/>
      <c r="C288" s="187"/>
      <c r="D288" s="190"/>
      <c r="E288" s="180"/>
    </row>
    <row r="289">
      <c r="A289" s="187"/>
      <c r="B289" s="187"/>
      <c r="C289" s="187"/>
      <c r="D289" s="190"/>
      <c r="E289" s="180"/>
    </row>
    <row r="290">
      <c r="A290" s="187"/>
      <c r="B290" s="187"/>
      <c r="C290" s="187"/>
      <c r="D290" s="190"/>
      <c r="E290" s="180"/>
    </row>
    <row r="291">
      <c r="A291" s="187"/>
      <c r="B291" s="187"/>
      <c r="C291" s="187"/>
      <c r="D291" s="190"/>
      <c r="E291" s="180"/>
    </row>
    <row r="292">
      <c r="A292" s="187"/>
      <c r="B292" s="187"/>
      <c r="C292" s="187"/>
      <c r="D292" s="190"/>
      <c r="E292" s="180"/>
    </row>
    <row r="293">
      <c r="A293" s="187"/>
      <c r="B293" s="187"/>
      <c r="C293" s="187"/>
      <c r="D293" s="190"/>
      <c r="E293" s="180"/>
    </row>
    <row r="294">
      <c r="A294" s="187"/>
      <c r="B294" s="187"/>
      <c r="C294" s="187"/>
      <c r="D294" s="190"/>
      <c r="E294" s="180"/>
    </row>
    <row r="295">
      <c r="A295" s="187"/>
      <c r="B295" s="187"/>
      <c r="C295" s="187"/>
      <c r="D295" s="190"/>
      <c r="E295" s="180"/>
    </row>
    <row r="296">
      <c r="A296" s="187"/>
      <c r="B296" s="187"/>
      <c r="C296" s="187"/>
      <c r="D296" s="190"/>
      <c r="E296" s="180"/>
    </row>
    <row r="297">
      <c r="A297" s="187"/>
      <c r="B297" s="187"/>
      <c r="C297" s="187"/>
      <c r="D297" s="190"/>
      <c r="E297" s="180"/>
    </row>
    <row r="298">
      <c r="A298" s="187"/>
      <c r="B298" s="187"/>
      <c r="C298" s="187"/>
      <c r="D298" s="190"/>
      <c r="E298" s="180"/>
    </row>
    <row r="299">
      <c r="A299" s="187"/>
      <c r="B299" s="187"/>
      <c r="C299" s="187"/>
      <c r="D299" s="190"/>
      <c r="E299" s="180"/>
    </row>
    <row r="300">
      <c r="A300" s="187"/>
      <c r="B300" s="187"/>
      <c r="C300" s="187"/>
      <c r="D300" s="190"/>
      <c r="E300" s="180"/>
    </row>
    <row r="301">
      <c r="A301" s="187"/>
      <c r="B301" s="187"/>
      <c r="C301" s="187"/>
      <c r="D301" s="190"/>
      <c r="E301" s="180"/>
    </row>
    <row r="302">
      <c r="A302" s="187"/>
      <c r="B302" s="187"/>
      <c r="C302" s="187"/>
      <c r="D302" s="190"/>
      <c r="E302" s="180"/>
    </row>
    <row r="303">
      <c r="A303" s="187"/>
      <c r="B303" s="187"/>
      <c r="C303" s="187"/>
      <c r="D303" s="190"/>
      <c r="E303" s="180"/>
    </row>
    <row r="304">
      <c r="A304" s="187"/>
      <c r="B304" s="187"/>
      <c r="C304" s="187"/>
      <c r="D304" s="190"/>
      <c r="E304" s="180"/>
    </row>
    <row r="305">
      <c r="A305" s="187"/>
      <c r="B305" s="187"/>
      <c r="C305" s="187"/>
      <c r="D305" s="190"/>
      <c r="E305" s="180"/>
    </row>
    <row r="306">
      <c r="A306" s="187"/>
      <c r="B306" s="187"/>
      <c r="C306" s="187"/>
      <c r="D306" s="190"/>
      <c r="E306" s="180"/>
    </row>
    <row r="307">
      <c r="A307" s="187"/>
      <c r="B307" s="187"/>
      <c r="C307" s="187"/>
      <c r="D307" s="190"/>
      <c r="E307" s="180"/>
    </row>
    <row r="308">
      <c r="A308" s="187"/>
      <c r="B308" s="187"/>
      <c r="C308" s="187"/>
      <c r="D308" s="190"/>
      <c r="E308" s="180"/>
    </row>
    <row r="309">
      <c r="A309" s="187"/>
      <c r="B309" s="187"/>
      <c r="C309" s="187"/>
      <c r="D309" s="190"/>
      <c r="E309" s="180"/>
    </row>
    <row r="310">
      <c r="A310" s="187"/>
      <c r="B310" s="187"/>
      <c r="C310" s="187"/>
      <c r="D310" s="190"/>
      <c r="E310" s="180"/>
    </row>
    <row r="311">
      <c r="A311" s="187"/>
      <c r="B311" s="187"/>
      <c r="C311" s="187"/>
      <c r="D311" s="190"/>
      <c r="E311" s="180"/>
    </row>
    <row r="312">
      <c r="A312" s="187"/>
      <c r="B312" s="187"/>
      <c r="C312" s="187"/>
      <c r="D312" s="190"/>
      <c r="E312" s="180"/>
    </row>
    <row r="313">
      <c r="A313" s="187"/>
      <c r="B313" s="187"/>
      <c r="C313" s="187"/>
      <c r="D313" s="190"/>
      <c r="E313" s="180"/>
    </row>
    <row r="314">
      <c r="A314" s="187"/>
      <c r="B314" s="187"/>
      <c r="C314" s="187"/>
      <c r="D314" s="190"/>
      <c r="E314" s="180"/>
    </row>
    <row r="315">
      <c r="A315" s="187"/>
      <c r="B315" s="187"/>
      <c r="C315" s="187"/>
      <c r="D315" s="190"/>
      <c r="E315" s="180"/>
    </row>
    <row r="316">
      <c r="A316" s="187"/>
      <c r="B316" s="187"/>
      <c r="C316" s="187"/>
      <c r="D316" s="190"/>
      <c r="E316" s="180"/>
    </row>
    <row r="317">
      <c r="A317" s="187"/>
      <c r="B317" s="187"/>
      <c r="C317" s="187"/>
      <c r="D317" s="190"/>
      <c r="E317" s="180"/>
    </row>
    <row r="318">
      <c r="A318" s="187"/>
      <c r="B318" s="187"/>
      <c r="C318" s="187"/>
      <c r="D318" s="190"/>
      <c r="E318" s="180"/>
    </row>
    <row r="319">
      <c r="A319" s="187"/>
      <c r="B319" s="187"/>
      <c r="C319" s="187"/>
      <c r="D319" s="190"/>
      <c r="E319" s="180"/>
    </row>
    <row r="320">
      <c r="A320" s="187"/>
      <c r="B320" s="187"/>
      <c r="C320" s="187"/>
      <c r="D320" s="190"/>
      <c r="E320" s="180"/>
    </row>
    <row r="321">
      <c r="A321" s="187"/>
      <c r="B321" s="187"/>
      <c r="C321" s="187"/>
      <c r="D321" s="190"/>
      <c r="E321" s="180"/>
    </row>
    <row r="322">
      <c r="A322" s="187"/>
      <c r="B322" s="187"/>
      <c r="C322" s="187"/>
      <c r="D322" s="190"/>
      <c r="E322" s="180"/>
    </row>
    <row r="323">
      <c r="A323" s="187"/>
      <c r="B323" s="187"/>
      <c r="C323" s="187"/>
      <c r="D323" s="190"/>
      <c r="E323" s="180"/>
    </row>
    <row r="324">
      <c r="A324" s="187"/>
      <c r="B324" s="187"/>
      <c r="C324" s="187"/>
      <c r="D324" s="190"/>
      <c r="E324" s="180"/>
    </row>
    <row r="325">
      <c r="A325" s="187"/>
      <c r="B325" s="187"/>
      <c r="C325" s="187"/>
      <c r="D325" s="190"/>
      <c r="E325" s="180"/>
    </row>
    <row r="326">
      <c r="A326" s="187"/>
      <c r="B326" s="187"/>
      <c r="C326" s="187"/>
      <c r="D326" s="190"/>
      <c r="E326" s="180"/>
    </row>
    <row r="327">
      <c r="A327" s="187"/>
      <c r="B327" s="187"/>
      <c r="C327" s="187"/>
      <c r="D327" s="190"/>
      <c r="E327" s="180"/>
    </row>
    <row r="328">
      <c r="A328" s="187"/>
      <c r="B328" s="187"/>
      <c r="C328" s="187"/>
      <c r="D328" s="190"/>
      <c r="E328" s="180"/>
    </row>
    <row r="329">
      <c r="A329" s="187"/>
      <c r="B329" s="187"/>
      <c r="C329" s="187"/>
      <c r="D329" s="190"/>
      <c r="E329" s="180"/>
    </row>
    <row r="330">
      <c r="A330" s="187"/>
      <c r="B330" s="187"/>
      <c r="C330" s="187"/>
      <c r="D330" s="190"/>
      <c r="E330" s="180"/>
    </row>
    <row r="331">
      <c r="A331" s="187"/>
      <c r="B331" s="187"/>
      <c r="C331" s="187"/>
      <c r="D331" s="190"/>
      <c r="E331" s="180"/>
    </row>
    <row r="332">
      <c r="A332" s="187"/>
      <c r="B332" s="187"/>
      <c r="C332" s="187"/>
      <c r="D332" s="190"/>
      <c r="E332" s="180"/>
    </row>
    <row r="333">
      <c r="A333" s="187"/>
      <c r="B333" s="187"/>
      <c r="C333" s="187"/>
      <c r="D333" s="190"/>
      <c r="E333" s="180"/>
    </row>
    <row r="334">
      <c r="A334" s="187"/>
      <c r="B334" s="187"/>
      <c r="C334" s="187"/>
      <c r="D334" s="190"/>
      <c r="E334" s="180"/>
    </row>
    <row r="335">
      <c r="A335" s="187"/>
      <c r="B335" s="187"/>
      <c r="C335" s="187"/>
      <c r="D335" s="190"/>
      <c r="E335" s="180"/>
    </row>
    <row r="336">
      <c r="A336" s="187"/>
      <c r="B336" s="187"/>
      <c r="C336" s="187"/>
      <c r="D336" s="190"/>
      <c r="E336" s="180"/>
    </row>
    <row r="337">
      <c r="A337" s="187"/>
      <c r="B337" s="187"/>
      <c r="C337" s="187"/>
      <c r="D337" s="190"/>
      <c r="E337" s="180"/>
    </row>
    <row r="338">
      <c r="A338" s="187"/>
      <c r="B338" s="187"/>
      <c r="C338" s="187"/>
      <c r="D338" s="190"/>
      <c r="E338" s="180"/>
    </row>
    <row r="339">
      <c r="A339" s="187"/>
      <c r="B339" s="187"/>
      <c r="C339" s="187"/>
      <c r="D339" s="190"/>
      <c r="E339" s="180"/>
    </row>
    <row r="340">
      <c r="A340" s="187"/>
      <c r="B340" s="187"/>
      <c r="C340" s="187"/>
      <c r="D340" s="190"/>
      <c r="E340" s="180"/>
    </row>
    <row r="341">
      <c r="A341" s="187"/>
      <c r="B341" s="187"/>
      <c r="C341" s="187"/>
      <c r="D341" s="190"/>
      <c r="E341" s="180"/>
    </row>
    <row r="342">
      <c r="A342" s="187"/>
      <c r="B342" s="187"/>
      <c r="C342" s="187"/>
      <c r="D342" s="190"/>
      <c r="E342" s="180"/>
    </row>
    <row r="343">
      <c r="A343" s="187"/>
      <c r="B343" s="187"/>
      <c r="C343" s="187"/>
      <c r="D343" s="190"/>
      <c r="E343" s="180"/>
    </row>
    <row r="344">
      <c r="A344" s="187"/>
      <c r="B344" s="187"/>
      <c r="C344" s="187"/>
      <c r="D344" s="190"/>
      <c r="E344" s="180"/>
    </row>
    <row r="345">
      <c r="A345" s="187"/>
      <c r="B345" s="187"/>
      <c r="C345" s="187"/>
      <c r="D345" s="190"/>
      <c r="E345" s="180"/>
    </row>
    <row r="346">
      <c r="A346" s="187"/>
      <c r="B346" s="187"/>
      <c r="C346" s="187"/>
      <c r="D346" s="190"/>
      <c r="E346" s="180"/>
    </row>
    <row r="347">
      <c r="A347" s="187"/>
      <c r="B347" s="187"/>
      <c r="C347" s="187"/>
      <c r="D347" s="190"/>
      <c r="E347" s="180"/>
    </row>
    <row r="348">
      <c r="A348" s="187"/>
      <c r="B348" s="187"/>
      <c r="C348" s="187"/>
      <c r="D348" s="190"/>
      <c r="E348" s="180"/>
    </row>
    <row r="349">
      <c r="A349" s="187"/>
      <c r="B349" s="187"/>
      <c r="C349" s="187"/>
      <c r="D349" s="190"/>
      <c r="E349" s="180"/>
    </row>
    <row r="350">
      <c r="A350" s="187"/>
      <c r="B350" s="187"/>
      <c r="C350" s="187"/>
      <c r="D350" s="190"/>
      <c r="E350" s="180"/>
    </row>
    <row r="351">
      <c r="A351" s="187"/>
      <c r="B351" s="187"/>
      <c r="C351" s="187"/>
      <c r="D351" s="190"/>
      <c r="E351" s="180"/>
    </row>
    <row r="352">
      <c r="A352" s="187"/>
      <c r="B352" s="187"/>
      <c r="C352" s="187"/>
      <c r="D352" s="190"/>
      <c r="E352" s="180"/>
    </row>
    <row r="353">
      <c r="A353" s="187"/>
      <c r="B353" s="187"/>
      <c r="C353" s="187"/>
      <c r="D353" s="190"/>
      <c r="E353" s="180"/>
    </row>
    <row r="354">
      <c r="A354" s="187"/>
      <c r="B354" s="187"/>
      <c r="C354" s="187"/>
      <c r="D354" s="190"/>
      <c r="E354" s="180"/>
    </row>
    <row r="355">
      <c r="A355" s="187"/>
      <c r="B355" s="187"/>
      <c r="C355" s="187"/>
      <c r="D355" s="190"/>
      <c r="E355" s="180"/>
    </row>
    <row r="356">
      <c r="A356" s="187"/>
      <c r="B356" s="187"/>
      <c r="C356" s="187"/>
      <c r="D356" s="190"/>
      <c r="E356" s="180"/>
    </row>
    <row r="357">
      <c r="A357" s="187"/>
      <c r="B357" s="187"/>
      <c r="C357" s="187"/>
      <c r="D357" s="190"/>
      <c r="E357" s="180"/>
    </row>
    <row r="358">
      <c r="A358" s="187"/>
      <c r="B358" s="187"/>
      <c r="C358" s="187"/>
      <c r="D358" s="190"/>
      <c r="E358" s="180"/>
    </row>
    <row r="359">
      <c r="A359" s="187"/>
      <c r="B359" s="187"/>
      <c r="C359" s="187"/>
      <c r="D359" s="190"/>
      <c r="E359" s="180"/>
    </row>
    <row r="360">
      <c r="A360" s="187"/>
      <c r="B360" s="187"/>
      <c r="C360" s="187"/>
      <c r="D360" s="190"/>
      <c r="E360" s="180"/>
    </row>
    <row r="361">
      <c r="A361" s="187"/>
      <c r="B361" s="187"/>
      <c r="C361" s="187"/>
      <c r="D361" s="190"/>
      <c r="E361" s="180"/>
    </row>
    <row r="362">
      <c r="A362" s="187"/>
      <c r="B362" s="187"/>
      <c r="C362" s="187"/>
      <c r="D362" s="190"/>
      <c r="E362" s="180"/>
    </row>
    <row r="363">
      <c r="A363" s="187"/>
      <c r="B363" s="187"/>
      <c r="C363" s="187"/>
      <c r="D363" s="190"/>
      <c r="E363" s="180"/>
    </row>
    <row r="364">
      <c r="A364" s="187"/>
      <c r="B364" s="187"/>
      <c r="C364" s="187"/>
      <c r="D364" s="190"/>
      <c r="E364" s="180"/>
    </row>
    <row r="365">
      <c r="A365" s="187"/>
      <c r="B365" s="187"/>
      <c r="C365" s="187"/>
      <c r="D365" s="190"/>
      <c r="E365" s="180"/>
    </row>
    <row r="366">
      <c r="A366" s="187"/>
      <c r="B366" s="187"/>
      <c r="C366" s="187"/>
      <c r="D366" s="190"/>
      <c r="E366" s="180"/>
    </row>
    <row r="367">
      <c r="A367" s="187"/>
      <c r="B367" s="187"/>
      <c r="C367" s="187"/>
      <c r="D367" s="190"/>
      <c r="E367" s="180"/>
    </row>
    <row r="368">
      <c r="A368" s="187"/>
      <c r="B368" s="187"/>
      <c r="C368" s="187"/>
      <c r="D368" s="190"/>
      <c r="E368" s="180"/>
    </row>
    <row r="369">
      <c r="A369" s="187"/>
      <c r="B369" s="187"/>
      <c r="C369" s="187"/>
      <c r="D369" s="190"/>
      <c r="E369" s="180"/>
    </row>
    <row r="370">
      <c r="A370" s="187"/>
      <c r="B370" s="187"/>
      <c r="C370" s="187"/>
      <c r="D370" s="190"/>
      <c r="E370" s="180"/>
    </row>
    <row r="371">
      <c r="A371" s="187"/>
      <c r="B371" s="187"/>
      <c r="C371" s="187"/>
      <c r="D371" s="190"/>
      <c r="E371" s="180"/>
    </row>
    <row r="372">
      <c r="A372" s="187"/>
      <c r="B372" s="187"/>
      <c r="C372" s="187"/>
      <c r="D372" s="190"/>
      <c r="E372" s="180"/>
    </row>
    <row r="373">
      <c r="A373" s="187"/>
      <c r="B373" s="187"/>
      <c r="C373" s="187"/>
      <c r="D373" s="190"/>
      <c r="E373" s="180"/>
    </row>
    <row r="374">
      <c r="A374" s="187"/>
      <c r="B374" s="187"/>
      <c r="C374" s="187"/>
      <c r="D374" s="190"/>
      <c r="E374" s="180"/>
    </row>
    <row r="375">
      <c r="A375" s="187"/>
      <c r="B375" s="187"/>
      <c r="C375" s="187"/>
      <c r="D375" s="190"/>
      <c r="E375" s="180"/>
    </row>
    <row r="376">
      <c r="A376" s="187"/>
      <c r="B376" s="187"/>
      <c r="C376" s="187"/>
      <c r="D376" s="190"/>
      <c r="E376" s="180"/>
    </row>
    <row r="377">
      <c r="A377" s="187"/>
      <c r="B377" s="187"/>
      <c r="C377" s="187"/>
      <c r="D377" s="190"/>
      <c r="E377" s="180"/>
    </row>
    <row r="378">
      <c r="A378" s="187"/>
      <c r="B378" s="187"/>
      <c r="C378" s="187"/>
      <c r="D378" s="190"/>
      <c r="E378" s="180"/>
    </row>
    <row r="379">
      <c r="A379" s="187"/>
      <c r="B379" s="187"/>
      <c r="C379" s="187"/>
      <c r="D379" s="190"/>
      <c r="E379" s="180"/>
    </row>
    <row r="380">
      <c r="A380" s="187"/>
      <c r="B380" s="187"/>
      <c r="C380" s="187"/>
      <c r="D380" s="190"/>
      <c r="E380" s="180"/>
    </row>
    <row r="381">
      <c r="A381" s="187"/>
      <c r="B381" s="187"/>
      <c r="C381" s="187"/>
      <c r="D381" s="190"/>
      <c r="E381" s="180"/>
    </row>
    <row r="382">
      <c r="A382" s="187"/>
      <c r="B382" s="187"/>
      <c r="C382" s="187"/>
      <c r="D382" s="190"/>
      <c r="E382" s="180"/>
    </row>
    <row r="383">
      <c r="A383" s="187"/>
      <c r="B383" s="187"/>
      <c r="C383" s="187"/>
      <c r="D383" s="190"/>
      <c r="E383" s="180"/>
    </row>
    <row r="384">
      <c r="A384" s="187"/>
      <c r="B384" s="187"/>
      <c r="C384" s="187"/>
      <c r="D384" s="190"/>
      <c r="E384" s="180"/>
    </row>
    <row r="385">
      <c r="A385" s="187"/>
      <c r="B385" s="187"/>
      <c r="C385" s="187"/>
      <c r="D385" s="190"/>
      <c r="E385" s="180"/>
    </row>
    <row r="386">
      <c r="A386" s="187"/>
      <c r="B386" s="187"/>
      <c r="C386" s="187"/>
      <c r="D386" s="190"/>
      <c r="E386" s="180"/>
    </row>
    <row r="387">
      <c r="A387" s="187"/>
      <c r="B387" s="187"/>
      <c r="C387" s="187"/>
      <c r="D387" s="190"/>
      <c r="E387" s="180"/>
    </row>
    <row r="388">
      <c r="A388" s="187"/>
      <c r="B388" s="187"/>
      <c r="C388" s="187"/>
      <c r="D388" s="190"/>
      <c r="E388" s="180"/>
    </row>
    <row r="389">
      <c r="A389" s="187"/>
      <c r="B389" s="187"/>
      <c r="C389" s="187"/>
      <c r="D389" s="190"/>
      <c r="E389" s="180"/>
    </row>
    <row r="390">
      <c r="A390" s="187"/>
      <c r="B390" s="187"/>
      <c r="C390" s="187"/>
      <c r="D390" s="190"/>
      <c r="E390" s="180"/>
    </row>
    <row r="391">
      <c r="A391" s="187"/>
      <c r="B391" s="187"/>
      <c r="C391" s="187"/>
      <c r="D391" s="190"/>
      <c r="E391" s="180"/>
    </row>
    <row r="392">
      <c r="A392" s="187"/>
      <c r="B392" s="187"/>
      <c r="C392" s="187"/>
      <c r="D392" s="190"/>
      <c r="E392" s="180"/>
    </row>
    <row r="393">
      <c r="A393" s="187"/>
      <c r="B393" s="187"/>
      <c r="C393" s="187"/>
      <c r="D393" s="190"/>
      <c r="E393" s="180"/>
    </row>
    <row r="394">
      <c r="A394" s="187"/>
      <c r="B394" s="187"/>
      <c r="C394" s="187"/>
      <c r="D394" s="190"/>
      <c r="E394" s="180"/>
    </row>
    <row r="395">
      <c r="A395" s="187"/>
      <c r="B395" s="187"/>
      <c r="C395" s="187"/>
      <c r="D395" s="190"/>
      <c r="E395" s="180"/>
    </row>
    <row r="396">
      <c r="A396" s="187"/>
      <c r="B396" s="187"/>
      <c r="C396" s="187"/>
      <c r="D396" s="190"/>
      <c r="E396" s="180"/>
    </row>
    <row r="397">
      <c r="A397" s="187"/>
      <c r="B397" s="187"/>
      <c r="C397" s="187"/>
      <c r="D397" s="190"/>
      <c r="E397" s="180"/>
    </row>
    <row r="398">
      <c r="A398" s="187"/>
      <c r="B398" s="187"/>
      <c r="C398" s="187"/>
      <c r="D398" s="190"/>
      <c r="E398" s="180"/>
    </row>
    <row r="399">
      <c r="A399" s="187"/>
      <c r="B399" s="187"/>
      <c r="C399" s="187"/>
      <c r="D399" s="190"/>
      <c r="E399" s="180"/>
    </row>
    <row r="400">
      <c r="A400" s="187"/>
      <c r="B400" s="187"/>
      <c r="C400" s="187"/>
      <c r="D400" s="190"/>
      <c r="E400" s="180"/>
    </row>
    <row r="401">
      <c r="A401" s="187"/>
      <c r="B401" s="187"/>
      <c r="C401" s="187"/>
      <c r="D401" s="190"/>
      <c r="E401" s="180"/>
    </row>
    <row r="402">
      <c r="A402" s="187"/>
      <c r="B402" s="187"/>
      <c r="C402" s="187"/>
      <c r="D402" s="190"/>
      <c r="E402" s="180"/>
    </row>
    <row r="403">
      <c r="A403" s="187"/>
      <c r="B403" s="187"/>
      <c r="C403" s="187"/>
      <c r="D403" s="190"/>
      <c r="E403" s="180"/>
    </row>
    <row r="404">
      <c r="A404" s="187"/>
      <c r="B404" s="187"/>
      <c r="C404" s="187"/>
      <c r="D404" s="190"/>
      <c r="E404" s="180"/>
    </row>
    <row r="405">
      <c r="A405" s="187"/>
      <c r="B405" s="187"/>
      <c r="C405" s="187"/>
      <c r="D405" s="190"/>
      <c r="E405" s="180"/>
    </row>
    <row r="406">
      <c r="A406" s="187"/>
      <c r="B406" s="187"/>
      <c r="C406" s="187"/>
      <c r="D406" s="190"/>
      <c r="E406" s="180"/>
    </row>
    <row r="407">
      <c r="A407" s="187"/>
      <c r="B407" s="187"/>
      <c r="C407" s="187"/>
      <c r="D407" s="190"/>
      <c r="E407" s="180"/>
    </row>
    <row r="408">
      <c r="A408" s="187"/>
      <c r="B408" s="187"/>
      <c r="C408" s="187"/>
      <c r="D408" s="190"/>
      <c r="E408" s="180"/>
    </row>
    <row r="409">
      <c r="A409" s="187"/>
      <c r="B409" s="187"/>
      <c r="C409" s="187"/>
      <c r="D409" s="190"/>
      <c r="E409" s="180"/>
    </row>
    <row r="410">
      <c r="A410" s="187"/>
      <c r="B410" s="187"/>
      <c r="C410" s="187"/>
      <c r="D410" s="190"/>
      <c r="E410" s="180"/>
    </row>
    <row r="411">
      <c r="A411" s="187"/>
      <c r="B411" s="187"/>
      <c r="C411" s="187"/>
      <c r="D411" s="190"/>
      <c r="E411" s="180"/>
    </row>
    <row r="412">
      <c r="A412" s="187"/>
      <c r="B412" s="187"/>
      <c r="C412" s="187"/>
      <c r="D412" s="190"/>
      <c r="E412" s="180"/>
    </row>
    <row r="413">
      <c r="A413" s="187"/>
      <c r="B413" s="187"/>
      <c r="C413" s="187"/>
      <c r="D413" s="190"/>
      <c r="E413" s="180"/>
    </row>
    <row r="414">
      <c r="A414" s="187"/>
      <c r="B414" s="187"/>
      <c r="C414" s="187"/>
      <c r="D414" s="190"/>
      <c r="E414" s="180"/>
    </row>
    <row r="415">
      <c r="A415" s="187"/>
      <c r="B415" s="187"/>
      <c r="C415" s="187"/>
      <c r="D415" s="190"/>
      <c r="E415" s="180"/>
    </row>
    <row r="416">
      <c r="A416" s="187"/>
      <c r="B416" s="187"/>
      <c r="C416" s="187"/>
      <c r="D416" s="190"/>
      <c r="E416" s="180"/>
    </row>
    <row r="417">
      <c r="A417" s="187"/>
      <c r="B417" s="187"/>
      <c r="C417" s="187"/>
      <c r="D417" s="190"/>
      <c r="E417" s="180"/>
    </row>
    <row r="418">
      <c r="A418" s="187"/>
      <c r="B418" s="187"/>
      <c r="C418" s="187"/>
      <c r="D418" s="190"/>
      <c r="E418" s="180"/>
    </row>
    <row r="419">
      <c r="A419" s="187"/>
      <c r="B419" s="187"/>
      <c r="C419" s="187"/>
      <c r="D419" s="190"/>
      <c r="E419" s="180"/>
    </row>
    <row r="420">
      <c r="A420" s="187"/>
      <c r="B420" s="187"/>
      <c r="C420" s="187"/>
      <c r="D420" s="190"/>
      <c r="E420" s="180"/>
    </row>
    <row r="421">
      <c r="A421" s="187"/>
      <c r="B421" s="187"/>
      <c r="C421" s="187"/>
      <c r="D421" s="190"/>
      <c r="E421" s="180"/>
    </row>
    <row r="422">
      <c r="A422" s="187"/>
      <c r="B422" s="187"/>
      <c r="C422" s="187"/>
      <c r="D422" s="190"/>
      <c r="E422" s="180"/>
    </row>
    <row r="423">
      <c r="A423" s="187"/>
      <c r="B423" s="187"/>
      <c r="C423" s="187"/>
      <c r="D423" s="190"/>
      <c r="E423" s="180"/>
    </row>
    <row r="424">
      <c r="A424" s="187"/>
      <c r="B424" s="187"/>
      <c r="C424" s="187"/>
      <c r="D424" s="190"/>
      <c r="E424" s="180"/>
    </row>
    <row r="425">
      <c r="A425" s="187"/>
      <c r="B425" s="187"/>
      <c r="C425" s="187"/>
      <c r="D425" s="190"/>
      <c r="E425" s="180"/>
    </row>
    <row r="426">
      <c r="A426" s="187"/>
      <c r="B426" s="187"/>
      <c r="C426" s="187"/>
      <c r="D426" s="190"/>
      <c r="E426" s="180"/>
    </row>
    <row r="427">
      <c r="A427" s="187"/>
      <c r="B427" s="187"/>
      <c r="C427" s="187"/>
      <c r="D427" s="190"/>
      <c r="E427" s="180"/>
    </row>
    <row r="428">
      <c r="A428" s="187"/>
      <c r="B428" s="187"/>
      <c r="C428" s="187"/>
      <c r="D428" s="190"/>
      <c r="E428" s="180"/>
    </row>
    <row r="429">
      <c r="A429" s="187"/>
      <c r="B429" s="187"/>
      <c r="C429" s="187"/>
      <c r="D429" s="190"/>
      <c r="E429" s="180"/>
    </row>
    <row r="430">
      <c r="A430" s="187"/>
      <c r="B430" s="187"/>
      <c r="C430" s="187"/>
      <c r="D430" s="190"/>
      <c r="E430" s="180"/>
    </row>
    <row r="431">
      <c r="A431" s="187"/>
      <c r="B431" s="187"/>
      <c r="C431" s="187"/>
      <c r="D431" s="190"/>
      <c r="E431" s="180"/>
    </row>
    <row r="432">
      <c r="A432" s="187"/>
      <c r="B432" s="187"/>
      <c r="C432" s="187"/>
      <c r="D432" s="190"/>
      <c r="E432" s="180"/>
    </row>
    <row r="433">
      <c r="A433" s="187"/>
      <c r="B433" s="187"/>
      <c r="C433" s="187"/>
      <c r="D433" s="190"/>
      <c r="E433" s="180"/>
    </row>
    <row r="434">
      <c r="A434" s="187"/>
      <c r="B434" s="187"/>
      <c r="C434" s="187"/>
      <c r="D434" s="190"/>
      <c r="E434" s="180"/>
    </row>
    <row r="435">
      <c r="A435" s="187"/>
      <c r="B435" s="187"/>
      <c r="C435" s="187"/>
      <c r="D435" s="190"/>
      <c r="E435" s="180"/>
    </row>
    <row r="436">
      <c r="A436" s="187"/>
      <c r="B436" s="187"/>
      <c r="C436" s="187"/>
      <c r="D436" s="190"/>
      <c r="E436" s="180"/>
    </row>
    <row r="437">
      <c r="A437" s="187"/>
      <c r="B437" s="187"/>
      <c r="C437" s="187"/>
      <c r="D437" s="190"/>
      <c r="E437" s="180"/>
    </row>
    <row r="438">
      <c r="A438" s="187"/>
      <c r="B438" s="187"/>
      <c r="C438" s="187"/>
      <c r="D438" s="190"/>
      <c r="E438" s="180"/>
    </row>
    <row r="439">
      <c r="A439" s="187"/>
      <c r="B439" s="187"/>
      <c r="C439" s="187"/>
      <c r="D439" s="190"/>
      <c r="E439" s="180"/>
    </row>
    <row r="440">
      <c r="A440" s="187"/>
      <c r="B440" s="187"/>
      <c r="C440" s="187"/>
      <c r="D440" s="190"/>
      <c r="E440" s="180"/>
    </row>
    <row r="441">
      <c r="A441" s="187"/>
      <c r="B441" s="187"/>
      <c r="C441" s="187"/>
      <c r="D441" s="190"/>
      <c r="E441" s="180"/>
    </row>
    <row r="442">
      <c r="A442" s="187"/>
      <c r="B442" s="187"/>
      <c r="C442" s="187"/>
      <c r="D442" s="190"/>
      <c r="E442" s="180"/>
    </row>
    <row r="443">
      <c r="A443" s="187"/>
      <c r="B443" s="187"/>
      <c r="C443" s="187"/>
      <c r="D443" s="190"/>
      <c r="E443" s="180"/>
    </row>
    <row r="444">
      <c r="A444" s="187"/>
      <c r="B444" s="187"/>
      <c r="C444" s="187"/>
      <c r="D444" s="190"/>
      <c r="E444" s="180"/>
    </row>
    <row r="445">
      <c r="A445" s="187"/>
      <c r="B445" s="187"/>
      <c r="C445" s="187"/>
      <c r="D445" s="190"/>
      <c r="E445" s="180"/>
    </row>
    <row r="446">
      <c r="A446" s="187"/>
      <c r="B446" s="187"/>
      <c r="C446" s="187"/>
      <c r="D446" s="190"/>
      <c r="E446" s="180"/>
    </row>
    <row r="447">
      <c r="A447" s="187"/>
      <c r="B447" s="187"/>
      <c r="C447" s="187"/>
      <c r="D447" s="190"/>
      <c r="E447" s="180"/>
    </row>
    <row r="448">
      <c r="A448" s="187"/>
      <c r="B448" s="187"/>
      <c r="C448" s="187"/>
      <c r="D448" s="190"/>
      <c r="E448" s="180"/>
    </row>
    <row r="449">
      <c r="A449" s="187"/>
      <c r="B449" s="187"/>
      <c r="C449" s="187"/>
      <c r="D449" s="190"/>
      <c r="E449" s="180"/>
    </row>
    <row r="450">
      <c r="A450" s="187"/>
      <c r="B450" s="187"/>
      <c r="C450" s="187"/>
      <c r="D450" s="190"/>
      <c r="E450" s="180"/>
    </row>
    <row r="451">
      <c r="A451" s="187"/>
      <c r="B451" s="187"/>
      <c r="C451" s="187"/>
      <c r="D451" s="190"/>
      <c r="E451" s="180"/>
    </row>
    <row r="452">
      <c r="A452" s="187"/>
      <c r="B452" s="187"/>
      <c r="C452" s="187"/>
      <c r="D452" s="190"/>
      <c r="E452" s="180"/>
    </row>
    <row r="453">
      <c r="A453" s="187"/>
      <c r="B453" s="187"/>
      <c r="C453" s="187"/>
      <c r="D453" s="190"/>
      <c r="E453" s="180"/>
    </row>
    <row r="454">
      <c r="A454" s="187"/>
      <c r="B454" s="187"/>
      <c r="C454" s="187"/>
      <c r="D454" s="190"/>
      <c r="E454" s="180"/>
    </row>
    <row r="455">
      <c r="A455" s="187"/>
      <c r="B455" s="187"/>
      <c r="C455" s="187"/>
      <c r="D455" s="190"/>
      <c r="E455" s="180"/>
    </row>
    <row r="456">
      <c r="A456" s="187"/>
      <c r="B456" s="187"/>
      <c r="C456" s="187"/>
      <c r="D456" s="190"/>
      <c r="E456" s="180"/>
    </row>
    <row r="457">
      <c r="A457" s="187"/>
      <c r="B457" s="187"/>
      <c r="C457" s="187"/>
      <c r="D457" s="190"/>
      <c r="E457" s="180"/>
    </row>
    <row r="458">
      <c r="A458" s="187"/>
      <c r="B458" s="187"/>
      <c r="C458" s="187"/>
      <c r="D458" s="190"/>
      <c r="E458" s="180"/>
    </row>
    <row r="459">
      <c r="A459" s="187"/>
      <c r="B459" s="187"/>
      <c r="C459" s="187"/>
      <c r="D459" s="190"/>
      <c r="E459" s="180"/>
    </row>
    <row r="460">
      <c r="A460" s="187"/>
      <c r="B460" s="187"/>
      <c r="C460" s="187"/>
      <c r="D460" s="190"/>
      <c r="E460" s="180"/>
    </row>
    <row r="461">
      <c r="A461" s="187"/>
      <c r="B461" s="187"/>
      <c r="C461" s="187"/>
      <c r="D461" s="190"/>
      <c r="E461" s="180"/>
    </row>
    <row r="462">
      <c r="A462" s="187"/>
      <c r="B462" s="187"/>
      <c r="C462" s="187"/>
      <c r="D462" s="190"/>
      <c r="E462" s="180"/>
    </row>
    <row r="463">
      <c r="A463" s="187"/>
      <c r="B463" s="187"/>
      <c r="C463" s="187"/>
      <c r="D463" s="190"/>
      <c r="E463" s="180"/>
    </row>
    <row r="464">
      <c r="A464" s="187"/>
      <c r="B464" s="187"/>
      <c r="C464" s="187"/>
      <c r="D464" s="190"/>
      <c r="E464" s="180"/>
    </row>
    <row r="465">
      <c r="A465" s="187"/>
      <c r="B465" s="187"/>
      <c r="C465" s="187"/>
      <c r="D465" s="190"/>
      <c r="E465" s="180"/>
    </row>
    <row r="466">
      <c r="A466" s="187"/>
      <c r="B466" s="187"/>
      <c r="C466" s="187"/>
      <c r="D466" s="190"/>
      <c r="E466" s="180"/>
    </row>
    <row r="467">
      <c r="A467" s="187"/>
      <c r="B467" s="187"/>
      <c r="C467" s="187"/>
      <c r="D467" s="190"/>
      <c r="E467" s="180"/>
    </row>
    <row r="468">
      <c r="A468" s="187"/>
      <c r="B468" s="187"/>
      <c r="C468" s="187"/>
      <c r="D468" s="190"/>
      <c r="E468" s="180"/>
    </row>
    <row r="469">
      <c r="A469" s="187"/>
      <c r="B469" s="187"/>
      <c r="C469" s="187"/>
      <c r="D469" s="190"/>
      <c r="E469" s="180"/>
    </row>
    <row r="470">
      <c r="A470" s="187"/>
      <c r="B470" s="187"/>
      <c r="C470" s="187"/>
      <c r="D470" s="190"/>
      <c r="E470" s="180"/>
    </row>
    <row r="471">
      <c r="A471" s="187"/>
      <c r="B471" s="187"/>
      <c r="C471" s="187"/>
      <c r="D471" s="190"/>
      <c r="E471" s="180"/>
    </row>
    <row r="472">
      <c r="A472" s="187"/>
      <c r="B472" s="187"/>
      <c r="C472" s="187"/>
      <c r="D472" s="190"/>
      <c r="E472" s="180"/>
    </row>
    <row r="473">
      <c r="A473" s="187"/>
      <c r="B473" s="187"/>
      <c r="C473" s="187"/>
      <c r="D473" s="190"/>
      <c r="E473" s="180"/>
    </row>
    <row r="474">
      <c r="A474" s="187"/>
      <c r="B474" s="187"/>
      <c r="C474" s="187"/>
      <c r="D474" s="190"/>
      <c r="E474" s="180"/>
    </row>
    <row r="475">
      <c r="A475" s="187"/>
      <c r="B475" s="187"/>
      <c r="C475" s="187"/>
      <c r="D475" s="190"/>
      <c r="E475" s="180"/>
    </row>
    <row r="476">
      <c r="A476" s="187"/>
      <c r="B476" s="187"/>
      <c r="C476" s="187"/>
      <c r="D476" s="190"/>
      <c r="E476" s="180"/>
    </row>
    <row r="477">
      <c r="A477" s="187"/>
      <c r="B477" s="187"/>
      <c r="C477" s="187"/>
      <c r="D477" s="190"/>
      <c r="E477" s="180"/>
    </row>
    <row r="478">
      <c r="A478" s="187"/>
      <c r="B478" s="187"/>
      <c r="C478" s="187"/>
      <c r="D478" s="190"/>
      <c r="E478" s="180"/>
    </row>
    <row r="479">
      <c r="A479" s="187"/>
      <c r="B479" s="187"/>
      <c r="C479" s="187"/>
      <c r="D479" s="190"/>
      <c r="E479" s="180"/>
    </row>
    <row r="480">
      <c r="A480" s="187"/>
      <c r="B480" s="187"/>
      <c r="C480" s="187"/>
      <c r="D480" s="190"/>
      <c r="E480" s="180"/>
    </row>
    <row r="481">
      <c r="A481" s="187"/>
      <c r="B481" s="187"/>
      <c r="C481" s="187"/>
      <c r="D481" s="190"/>
      <c r="E481" s="180"/>
    </row>
    <row r="482">
      <c r="A482" s="187"/>
      <c r="B482" s="187"/>
      <c r="C482" s="187"/>
      <c r="D482" s="190"/>
      <c r="E482" s="180"/>
    </row>
    <row r="483">
      <c r="A483" s="187"/>
      <c r="B483" s="187"/>
      <c r="C483" s="187"/>
      <c r="D483" s="190"/>
      <c r="E483" s="180"/>
    </row>
    <row r="484">
      <c r="A484" s="187"/>
      <c r="B484" s="187"/>
      <c r="C484" s="187"/>
      <c r="D484" s="190"/>
      <c r="E484" s="180"/>
    </row>
    <row r="485">
      <c r="A485" s="187"/>
      <c r="B485" s="187"/>
      <c r="C485" s="187"/>
      <c r="D485" s="190"/>
      <c r="E485" s="180"/>
    </row>
    <row r="486">
      <c r="A486" s="187"/>
      <c r="B486" s="187"/>
      <c r="C486" s="187"/>
      <c r="D486" s="190"/>
      <c r="E486" s="180"/>
    </row>
    <row r="487">
      <c r="A487" s="187"/>
      <c r="B487" s="187"/>
      <c r="C487" s="187"/>
      <c r="D487" s="190"/>
      <c r="E487" s="180"/>
    </row>
    <row r="488">
      <c r="A488" s="187"/>
      <c r="B488" s="187"/>
      <c r="C488" s="187"/>
      <c r="D488" s="190"/>
      <c r="E488" s="180"/>
    </row>
    <row r="489">
      <c r="A489" s="187"/>
      <c r="B489" s="187"/>
      <c r="C489" s="187"/>
      <c r="D489" s="190"/>
      <c r="E489" s="180"/>
    </row>
    <row r="490">
      <c r="A490" s="187"/>
      <c r="B490" s="187"/>
      <c r="C490" s="187"/>
      <c r="D490" s="190"/>
      <c r="E490" s="180"/>
    </row>
    <row r="491">
      <c r="A491" s="187"/>
      <c r="B491" s="187"/>
      <c r="C491" s="187"/>
      <c r="D491" s="190"/>
      <c r="E491" s="180"/>
    </row>
    <row r="492">
      <c r="A492" s="187"/>
      <c r="B492" s="187"/>
      <c r="C492" s="187"/>
      <c r="D492" s="190"/>
      <c r="E492" s="180"/>
    </row>
    <row r="493">
      <c r="A493" s="187"/>
      <c r="B493" s="187"/>
      <c r="C493" s="187"/>
      <c r="D493" s="190"/>
      <c r="E493" s="180"/>
    </row>
    <row r="494">
      <c r="A494" s="187"/>
      <c r="B494" s="187"/>
      <c r="C494" s="187"/>
      <c r="D494" s="190"/>
      <c r="E494" s="180"/>
    </row>
    <row r="495">
      <c r="A495" s="187"/>
      <c r="B495" s="187"/>
      <c r="C495" s="187"/>
      <c r="D495" s="190"/>
      <c r="E495" s="180"/>
    </row>
    <row r="496">
      <c r="A496" s="187"/>
      <c r="B496" s="187"/>
      <c r="C496" s="187"/>
      <c r="D496" s="190"/>
      <c r="E496" s="180"/>
    </row>
    <row r="497">
      <c r="A497" s="187"/>
      <c r="B497" s="187"/>
      <c r="C497" s="187"/>
      <c r="D497" s="190"/>
      <c r="E497" s="180"/>
    </row>
    <row r="498">
      <c r="A498" s="187"/>
      <c r="B498" s="187"/>
      <c r="C498" s="187"/>
      <c r="D498" s="190"/>
      <c r="E498" s="180"/>
    </row>
    <row r="499">
      <c r="A499" s="187"/>
      <c r="B499" s="187"/>
      <c r="C499" s="187"/>
      <c r="D499" s="190"/>
      <c r="E499" s="180"/>
    </row>
    <row r="500">
      <c r="A500" s="187"/>
      <c r="B500" s="187"/>
      <c r="C500" s="187"/>
      <c r="D500" s="190"/>
      <c r="E500" s="180"/>
    </row>
    <row r="501">
      <c r="A501" s="187"/>
      <c r="B501" s="187"/>
      <c r="C501" s="187"/>
      <c r="D501" s="190"/>
      <c r="E501" s="180"/>
    </row>
    <row r="502">
      <c r="A502" s="187"/>
      <c r="B502" s="187"/>
      <c r="C502" s="187"/>
      <c r="D502" s="190"/>
      <c r="E502" s="180"/>
    </row>
    <row r="503">
      <c r="A503" s="187"/>
      <c r="B503" s="187"/>
      <c r="C503" s="187"/>
      <c r="D503" s="190"/>
      <c r="E503" s="180"/>
    </row>
    <row r="504">
      <c r="A504" s="187"/>
      <c r="B504" s="187"/>
      <c r="C504" s="187"/>
      <c r="D504" s="190"/>
      <c r="E504" s="180"/>
    </row>
    <row r="505">
      <c r="A505" s="187"/>
      <c r="B505" s="187"/>
      <c r="C505" s="187"/>
      <c r="D505" s="190"/>
      <c r="E505" s="180"/>
    </row>
    <row r="506">
      <c r="A506" s="187"/>
      <c r="B506" s="187"/>
      <c r="C506" s="187"/>
      <c r="D506" s="190"/>
      <c r="E506" s="180"/>
    </row>
    <row r="507">
      <c r="A507" s="187"/>
      <c r="B507" s="187"/>
      <c r="C507" s="187"/>
      <c r="D507" s="190"/>
      <c r="E507" s="180"/>
    </row>
    <row r="508">
      <c r="A508" s="187"/>
      <c r="B508" s="187"/>
      <c r="C508" s="187"/>
      <c r="D508" s="190"/>
      <c r="E508" s="180"/>
    </row>
    <row r="509">
      <c r="A509" s="187"/>
      <c r="B509" s="187"/>
      <c r="C509" s="187"/>
      <c r="D509" s="190"/>
      <c r="E509" s="180"/>
    </row>
    <row r="510">
      <c r="A510" s="187"/>
      <c r="B510" s="187"/>
      <c r="C510" s="187"/>
      <c r="D510" s="190"/>
      <c r="E510" s="180"/>
    </row>
    <row r="511">
      <c r="A511" s="187"/>
      <c r="B511" s="187"/>
      <c r="C511" s="187"/>
      <c r="D511" s="190"/>
      <c r="E511" s="180"/>
    </row>
    <row r="512">
      <c r="A512" s="187"/>
      <c r="B512" s="187"/>
      <c r="C512" s="187"/>
      <c r="D512" s="190"/>
      <c r="E512" s="180"/>
    </row>
    <row r="513">
      <c r="A513" s="187"/>
      <c r="B513" s="187"/>
      <c r="C513" s="187"/>
      <c r="D513" s="190"/>
      <c r="E513" s="180"/>
    </row>
    <row r="514">
      <c r="A514" s="187"/>
      <c r="B514" s="187"/>
      <c r="C514" s="187"/>
      <c r="D514" s="190"/>
      <c r="E514" s="180"/>
    </row>
    <row r="515">
      <c r="A515" s="187"/>
      <c r="B515" s="187"/>
      <c r="C515" s="187"/>
      <c r="D515" s="190"/>
      <c r="E515" s="180"/>
    </row>
    <row r="516">
      <c r="A516" s="187"/>
      <c r="B516" s="187"/>
      <c r="C516" s="187"/>
      <c r="D516" s="190"/>
      <c r="E516" s="180"/>
    </row>
    <row r="517">
      <c r="A517" s="187"/>
      <c r="B517" s="187"/>
      <c r="C517" s="187"/>
      <c r="D517" s="190"/>
      <c r="E517" s="180"/>
    </row>
    <row r="518">
      <c r="A518" s="187"/>
      <c r="B518" s="187"/>
      <c r="C518" s="187"/>
      <c r="D518" s="190"/>
      <c r="E518" s="180"/>
    </row>
    <row r="519">
      <c r="A519" s="187"/>
      <c r="B519" s="187"/>
      <c r="C519" s="187"/>
      <c r="D519" s="190"/>
      <c r="E519" s="180"/>
    </row>
    <row r="520">
      <c r="A520" s="187"/>
      <c r="B520" s="187"/>
      <c r="C520" s="187"/>
      <c r="D520" s="190"/>
      <c r="E520" s="180"/>
    </row>
    <row r="521">
      <c r="A521" s="187"/>
      <c r="B521" s="187"/>
      <c r="C521" s="187"/>
      <c r="D521" s="190"/>
      <c r="E521" s="180"/>
    </row>
    <row r="522">
      <c r="A522" s="187"/>
      <c r="B522" s="187"/>
      <c r="C522" s="187"/>
      <c r="D522" s="190"/>
      <c r="E522" s="180"/>
    </row>
    <row r="523">
      <c r="A523" s="187"/>
      <c r="B523" s="187"/>
      <c r="C523" s="187"/>
      <c r="D523" s="190"/>
      <c r="E523" s="180"/>
    </row>
    <row r="524">
      <c r="A524" s="187"/>
      <c r="B524" s="187"/>
      <c r="C524" s="187"/>
      <c r="D524" s="190"/>
      <c r="E524" s="180"/>
    </row>
    <row r="525">
      <c r="A525" s="187"/>
      <c r="B525" s="187"/>
      <c r="C525" s="187"/>
      <c r="D525" s="190"/>
      <c r="E525" s="180"/>
    </row>
    <row r="526">
      <c r="A526" s="187"/>
      <c r="B526" s="187"/>
      <c r="C526" s="187"/>
      <c r="D526" s="190"/>
      <c r="E526" s="180"/>
    </row>
    <row r="527">
      <c r="A527" s="187"/>
      <c r="B527" s="187"/>
      <c r="C527" s="187"/>
      <c r="D527" s="190"/>
      <c r="E527" s="180"/>
    </row>
    <row r="528">
      <c r="A528" s="187"/>
      <c r="B528" s="187"/>
      <c r="C528" s="187"/>
      <c r="D528" s="190"/>
      <c r="E528" s="180"/>
    </row>
    <row r="529">
      <c r="A529" s="187"/>
      <c r="B529" s="187"/>
      <c r="C529" s="187"/>
      <c r="D529" s="190"/>
      <c r="E529" s="180"/>
    </row>
    <row r="530">
      <c r="A530" s="187"/>
      <c r="B530" s="187"/>
      <c r="C530" s="187"/>
      <c r="D530" s="190"/>
      <c r="E530" s="180"/>
    </row>
    <row r="531">
      <c r="A531" s="187"/>
      <c r="B531" s="187"/>
      <c r="C531" s="187"/>
      <c r="D531" s="190"/>
      <c r="E531" s="180"/>
    </row>
    <row r="532">
      <c r="A532" s="187"/>
      <c r="B532" s="187"/>
      <c r="C532" s="187"/>
      <c r="D532" s="190"/>
      <c r="E532" s="180"/>
    </row>
    <row r="533">
      <c r="A533" s="187"/>
      <c r="B533" s="187"/>
      <c r="C533" s="187"/>
      <c r="D533" s="190"/>
      <c r="E533" s="180"/>
    </row>
    <row r="534">
      <c r="A534" s="187"/>
      <c r="B534" s="187"/>
      <c r="C534" s="187"/>
      <c r="D534" s="190"/>
      <c r="E534" s="180"/>
    </row>
    <row r="535">
      <c r="A535" s="187"/>
      <c r="B535" s="187"/>
      <c r="C535" s="187"/>
      <c r="D535" s="190"/>
      <c r="E535" s="180"/>
    </row>
    <row r="536">
      <c r="A536" s="187"/>
      <c r="B536" s="187"/>
      <c r="C536" s="187"/>
      <c r="D536" s="190"/>
      <c r="E536" s="180"/>
    </row>
    <row r="537">
      <c r="A537" s="187"/>
      <c r="B537" s="187"/>
      <c r="C537" s="187"/>
      <c r="D537" s="190"/>
      <c r="E537" s="180"/>
    </row>
    <row r="538">
      <c r="A538" s="187"/>
      <c r="B538" s="187"/>
      <c r="C538" s="187"/>
      <c r="D538" s="190"/>
      <c r="E538" s="180"/>
    </row>
    <row r="539">
      <c r="A539" s="187"/>
      <c r="B539" s="187"/>
      <c r="C539" s="187"/>
      <c r="D539" s="190"/>
      <c r="E539" s="180"/>
    </row>
    <row r="540">
      <c r="A540" s="187"/>
      <c r="B540" s="187"/>
      <c r="C540" s="187"/>
      <c r="D540" s="190"/>
      <c r="E540" s="180"/>
    </row>
    <row r="541">
      <c r="A541" s="187"/>
      <c r="B541" s="187"/>
      <c r="C541" s="187"/>
      <c r="D541" s="190"/>
      <c r="E541" s="180"/>
    </row>
    <row r="542">
      <c r="A542" s="187"/>
      <c r="B542" s="187"/>
      <c r="C542" s="187"/>
      <c r="D542" s="190"/>
      <c r="E542" s="180"/>
    </row>
    <row r="543">
      <c r="A543" s="187"/>
      <c r="B543" s="187"/>
      <c r="C543" s="187"/>
      <c r="D543" s="190"/>
      <c r="E543" s="180"/>
    </row>
    <row r="544">
      <c r="A544" s="187"/>
      <c r="B544" s="187"/>
      <c r="C544" s="187"/>
      <c r="D544" s="190"/>
      <c r="E544" s="180"/>
    </row>
    <row r="545">
      <c r="A545" s="187"/>
      <c r="B545" s="187"/>
      <c r="C545" s="187"/>
      <c r="D545" s="190"/>
      <c r="E545" s="180"/>
    </row>
    <row r="546">
      <c r="A546" s="187"/>
      <c r="B546" s="187"/>
      <c r="C546" s="187"/>
      <c r="D546" s="190"/>
      <c r="E546" s="180"/>
    </row>
    <row r="547">
      <c r="A547" s="187"/>
      <c r="B547" s="187"/>
      <c r="C547" s="187"/>
      <c r="D547" s="190"/>
      <c r="E547" s="180"/>
    </row>
    <row r="548">
      <c r="A548" s="187"/>
      <c r="B548" s="187"/>
      <c r="C548" s="187"/>
      <c r="D548" s="190"/>
      <c r="E548" s="180"/>
    </row>
    <row r="549">
      <c r="A549" s="187"/>
      <c r="B549" s="187"/>
      <c r="C549" s="187"/>
      <c r="D549" s="190"/>
      <c r="E549" s="180"/>
    </row>
    <row r="550">
      <c r="A550" s="187"/>
      <c r="B550" s="187"/>
      <c r="C550" s="187"/>
      <c r="D550" s="190"/>
      <c r="E550" s="180"/>
    </row>
    <row r="551">
      <c r="A551" s="187"/>
      <c r="B551" s="187"/>
      <c r="C551" s="187"/>
      <c r="D551" s="190"/>
      <c r="E551" s="180"/>
    </row>
    <row r="552">
      <c r="A552" s="187"/>
      <c r="B552" s="187"/>
      <c r="C552" s="187"/>
      <c r="D552" s="190"/>
      <c r="E552" s="180"/>
    </row>
    <row r="553">
      <c r="A553" s="187"/>
      <c r="B553" s="187"/>
      <c r="C553" s="187"/>
      <c r="D553" s="190"/>
      <c r="E553" s="180"/>
    </row>
    <row r="554">
      <c r="A554" s="187"/>
      <c r="B554" s="187"/>
      <c r="C554" s="187"/>
      <c r="D554" s="190"/>
      <c r="E554" s="180"/>
    </row>
    <row r="555">
      <c r="A555" s="187"/>
      <c r="B555" s="187"/>
      <c r="C555" s="187"/>
      <c r="D555" s="190"/>
      <c r="E555" s="180"/>
    </row>
    <row r="556">
      <c r="A556" s="187"/>
      <c r="B556" s="187"/>
      <c r="C556" s="187"/>
      <c r="D556" s="190"/>
      <c r="E556" s="180"/>
    </row>
    <row r="557">
      <c r="A557" s="187"/>
      <c r="B557" s="187"/>
      <c r="C557" s="187"/>
      <c r="D557" s="190"/>
      <c r="E557" s="180"/>
    </row>
    <row r="558">
      <c r="A558" s="187"/>
      <c r="B558" s="187"/>
      <c r="C558" s="187"/>
      <c r="D558" s="190"/>
      <c r="E558" s="180"/>
    </row>
    <row r="559">
      <c r="A559" s="187"/>
      <c r="B559" s="187"/>
      <c r="C559" s="187"/>
      <c r="D559" s="190"/>
      <c r="E559" s="180"/>
    </row>
    <row r="560">
      <c r="A560" s="187"/>
      <c r="B560" s="187"/>
      <c r="C560" s="187"/>
      <c r="D560" s="190"/>
      <c r="E560" s="180"/>
    </row>
    <row r="561">
      <c r="A561" s="187"/>
      <c r="B561" s="187"/>
      <c r="C561" s="187"/>
      <c r="D561" s="190"/>
      <c r="E561" s="180"/>
    </row>
    <row r="562">
      <c r="A562" s="187"/>
      <c r="B562" s="187"/>
      <c r="C562" s="187"/>
      <c r="D562" s="190"/>
      <c r="E562" s="180"/>
    </row>
    <row r="563">
      <c r="A563" s="187"/>
      <c r="B563" s="187"/>
      <c r="C563" s="187"/>
      <c r="D563" s="190"/>
      <c r="E563" s="180"/>
    </row>
    <row r="564">
      <c r="A564" s="187"/>
      <c r="B564" s="187"/>
      <c r="C564" s="187"/>
      <c r="D564" s="190"/>
      <c r="E564" s="180"/>
    </row>
    <row r="565">
      <c r="A565" s="187"/>
      <c r="B565" s="187"/>
      <c r="C565" s="187"/>
      <c r="D565" s="190"/>
      <c r="E565" s="180"/>
    </row>
    <row r="566">
      <c r="A566" s="187"/>
      <c r="B566" s="187"/>
      <c r="C566" s="187"/>
      <c r="D566" s="190"/>
      <c r="E566" s="180"/>
    </row>
    <row r="567">
      <c r="A567" s="187"/>
      <c r="B567" s="187"/>
      <c r="C567" s="187"/>
      <c r="D567" s="190"/>
      <c r="E567" s="180"/>
    </row>
    <row r="568">
      <c r="A568" s="187"/>
      <c r="B568" s="187"/>
      <c r="C568" s="187"/>
      <c r="D568" s="190"/>
      <c r="E568" s="180"/>
    </row>
    <row r="569">
      <c r="A569" s="187"/>
      <c r="B569" s="187"/>
      <c r="C569" s="187"/>
      <c r="D569" s="190"/>
      <c r="E569" s="180"/>
    </row>
    <row r="570">
      <c r="A570" s="187"/>
      <c r="B570" s="187"/>
      <c r="C570" s="187"/>
      <c r="D570" s="190"/>
      <c r="E570" s="180"/>
    </row>
    <row r="571">
      <c r="A571" s="187"/>
      <c r="B571" s="187"/>
      <c r="C571" s="187"/>
      <c r="D571" s="190"/>
      <c r="E571" s="180"/>
    </row>
    <row r="572">
      <c r="A572" s="187"/>
      <c r="B572" s="187"/>
      <c r="C572" s="187"/>
      <c r="D572" s="190"/>
      <c r="E572" s="180"/>
    </row>
    <row r="573">
      <c r="A573" s="187"/>
      <c r="B573" s="187"/>
      <c r="C573" s="187"/>
      <c r="D573" s="190"/>
      <c r="E573" s="180"/>
    </row>
    <row r="574">
      <c r="A574" s="187"/>
      <c r="B574" s="187"/>
      <c r="C574" s="187"/>
      <c r="D574" s="190"/>
      <c r="E574" s="180"/>
    </row>
    <row r="575">
      <c r="A575" s="187"/>
      <c r="B575" s="187"/>
      <c r="C575" s="187"/>
      <c r="D575" s="190"/>
      <c r="E575" s="180"/>
    </row>
    <row r="576">
      <c r="A576" s="187"/>
      <c r="B576" s="187"/>
      <c r="C576" s="187"/>
      <c r="D576" s="190"/>
      <c r="E576" s="180"/>
    </row>
    <row r="577">
      <c r="A577" s="187"/>
      <c r="B577" s="187"/>
      <c r="C577" s="187"/>
      <c r="D577" s="190"/>
      <c r="E577" s="180"/>
    </row>
    <row r="578">
      <c r="A578" s="187"/>
      <c r="B578" s="187"/>
      <c r="C578" s="187"/>
      <c r="D578" s="190"/>
      <c r="E578" s="180"/>
    </row>
    <row r="579">
      <c r="A579" s="187"/>
      <c r="B579" s="187"/>
      <c r="C579" s="187"/>
      <c r="D579" s="190"/>
      <c r="E579" s="180"/>
    </row>
    <row r="580">
      <c r="A580" s="187"/>
      <c r="B580" s="187"/>
      <c r="C580" s="187"/>
      <c r="D580" s="190"/>
      <c r="E580" s="180"/>
    </row>
    <row r="581">
      <c r="A581" s="187"/>
      <c r="B581" s="187"/>
      <c r="C581" s="187"/>
      <c r="D581" s="190"/>
      <c r="E581" s="180"/>
    </row>
    <row r="582">
      <c r="A582" s="187"/>
      <c r="B582" s="187"/>
      <c r="C582" s="187"/>
      <c r="D582" s="190"/>
      <c r="E582" s="180"/>
    </row>
    <row r="583">
      <c r="A583" s="187"/>
      <c r="B583" s="187"/>
      <c r="C583" s="187"/>
      <c r="D583" s="190"/>
      <c r="E583" s="180"/>
    </row>
    <row r="584">
      <c r="A584" s="187"/>
      <c r="B584" s="187"/>
      <c r="C584" s="187"/>
      <c r="D584" s="190"/>
      <c r="E584" s="180"/>
    </row>
    <row r="585">
      <c r="A585" s="187"/>
      <c r="B585" s="187"/>
      <c r="C585" s="187"/>
      <c r="D585" s="190"/>
      <c r="E585" s="180"/>
    </row>
    <row r="586">
      <c r="A586" s="187"/>
      <c r="B586" s="187"/>
      <c r="C586" s="187"/>
      <c r="D586" s="190"/>
      <c r="E586" s="180"/>
    </row>
    <row r="587">
      <c r="A587" s="187"/>
      <c r="B587" s="187"/>
      <c r="C587" s="187"/>
      <c r="D587" s="190"/>
      <c r="E587" s="180"/>
    </row>
    <row r="588">
      <c r="A588" s="187"/>
      <c r="B588" s="187"/>
      <c r="C588" s="187"/>
      <c r="D588" s="190"/>
      <c r="E588" s="180"/>
    </row>
    <row r="589">
      <c r="A589" s="187"/>
      <c r="B589" s="187"/>
      <c r="C589" s="187"/>
      <c r="D589" s="190"/>
      <c r="E589" s="180"/>
    </row>
    <row r="590">
      <c r="A590" s="187"/>
      <c r="B590" s="187"/>
      <c r="C590" s="187"/>
      <c r="D590" s="190"/>
      <c r="E590" s="180"/>
    </row>
    <row r="591">
      <c r="A591" s="187"/>
      <c r="B591" s="187"/>
      <c r="C591" s="187"/>
      <c r="D591" s="190"/>
      <c r="E591" s="180"/>
    </row>
    <row r="592">
      <c r="A592" s="187"/>
      <c r="B592" s="187"/>
      <c r="C592" s="187"/>
      <c r="D592" s="190"/>
      <c r="E592" s="180"/>
    </row>
    <row r="593">
      <c r="A593" s="187"/>
      <c r="B593" s="187"/>
      <c r="C593" s="187"/>
      <c r="D593" s="190"/>
      <c r="E593" s="180"/>
    </row>
    <row r="594">
      <c r="A594" s="187"/>
      <c r="B594" s="187"/>
      <c r="C594" s="187"/>
      <c r="D594" s="190"/>
      <c r="E594" s="180"/>
    </row>
    <row r="595">
      <c r="A595" s="187"/>
      <c r="B595" s="187"/>
      <c r="C595" s="187"/>
      <c r="D595" s="190"/>
      <c r="E595" s="180"/>
    </row>
    <row r="596">
      <c r="A596" s="187"/>
      <c r="B596" s="187"/>
      <c r="C596" s="187"/>
      <c r="D596" s="190"/>
      <c r="E596" s="180"/>
    </row>
    <row r="597">
      <c r="A597" s="187"/>
      <c r="B597" s="187"/>
      <c r="C597" s="187"/>
      <c r="D597" s="190"/>
      <c r="E597" s="180"/>
    </row>
    <row r="598">
      <c r="A598" s="187"/>
      <c r="B598" s="187"/>
      <c r="C598" s="187"/>
      <c r="D598" s="190"/>
      <c r="E598" s="180"/>
    </row>
    <row r="599">
      <c r="A599" s="187"/>
      <c r="B599" s="187"/>
      <c r="C599" s="187"/>
      <c r="D599" s="190"/>
      <c r="E599" s="180"/>
    </row>
    <row r="600">
      <c r="A600" s="187"/>
      <c r="B600" s="187"/>
      <c r="C600" s="187"/>
      <c r="D600" s="190"/>
      <c r="E600" s="180"/>
    </row>
    <row r="601">
      <c r="A601" s="187"/>
      <c r="B601" s="187"/>
      <c r="C601" s="187"/>
      <c r="D601" s="190"/>
      <c r="E601" s="180"/>
    </row>
    <row r="602">
      <c r="A602" s="187"/>
      <c r="B602" s="187"/>
      <c r="C602" s="187"/>
      <c r="D602" s="190"/>
      <c r="E602" s="180"/>
    </row>
    <row r="603">
      <c r="A603" s="187"/>
      <c r="B603" s="187"/>
      <c r="C603" s="187"/>
      <c r="D603" s="190"/>
      <c r="E603" s="180"/>
    </row>
    <row r="604">
      <c r="A604" s="187"/>
      <c r="B604" s="187"/>
      <c r="C604" s="187"/>
      <c r="D604" s="190"/>
      <c r="E604" s="180"/>
    </row>
    <row r="605">
      <c r="A605" s="187"/>
      <c r="B605" s="187"/>
      <c r="C605" s="187"/>
      <c r="D605" s="190"/>
      <c r="E605" s="180"/>
    </row>
    <row r="606">
      <c r="A606" s="187"/>
      <c r="B606" s="187"/>
      <c r="C606" s="187"/>
      <c r="D606" s="190"/>
      <c r="E606" s="180"/>
    </row>
    <row r="607">
      <c r="A607" s="187"/>
      <c r="B607" s="187"/>
      <c r="C607" s="187"/>
      <c r="D607" s="190"/>
      <c r="E607" s="180"/>
    </row>
    <row r="608">
      <c r="A608" s="187"/>
      <c r="B608" s="187"/>
      <c r="C608" s="187"/>
      <c r="D608" s="190"/>
      <c r="E608" s="180"/>
    </row>
    <row r="609">
      <c r="A609" s="187"/>
      <c r="B609" s="187"/>
      <c r="C609" s="187"/>
      <c r="D609" s="190"/>
      <c r="E609" s="180"/>
    </row>
    <row r="610">
      <c r="A610" s="187"/>
      <c r="B610" s="187"/>
      <c r="C610" s="187"/>
      <c r="D610" s="190"/>
      <c r="E610" s="180"/>
    </row>
    <row r="611">
      <c r="A611" s="187"/>
      <c r="B611" s="187"/>
      <c r="C611" s="187"/>
      <c r="D611" s="190"/>
      <c r="E611" s="180"/>
    </row>
    <row r="612">
      <c r="A612" s="187"/>
      <c r="B612" s="187"/>
      <c r="C612" s="187"/>
      <c r="D612" s="190"/>
      <c r="E612" s="180"/>
    </row>
    <row r="613">
      <c r="A613" s="187"/>
      <c r="B613" s="187"/>
      <c r="C613" s="187"/>
      <c r="D613" s="190"/>
      <c r="E613" s="180"/>
    </row>
    <row r="614">
      <c r="A614" s="187"/>
      <c r="B614" s="187"/>
      <c r="C614" s="187"/>
      <c r="D614" s="190"/>
      <c r="E614" s="180"/>
    </row>
    <row r="615">
      <c r="A615" s="187"/>
      <c r="B615" s="187"/>
      <c r="C615" s="187"/>
      <c r="D615" s="190"/>
      <c r="E615" s="180"/>
    </row>
    <row r="616">
      <c r="A616" s="187"/>
      <c r="B616" s="187"/>
      <c r="C616" s="187"/>
      <c r="D616" s="190"/>
      <c r="E616" s="180"/>
    </row>
    <row r="617">
      <c r="A617" s="187"/>
      <c r="B617" s="187"/>
      <c r="C617" s="187"/>
      <c r="D617" s="190"/>
      <c r="E617" s="180"/>
    </row>
    <row r="618">
      <c r="A618" s="187"/>
      <c r="B618" s="187"/>
      <c r="C618" s="187"/>
      <c r="D618" s="190"/>
      <c r="E618" s="180"/>
    </row>
    <row r="619">
      <c r="A619" s="187"/>
      <c r="B619" s="187"/>
      <c r="C619" s="187"/>
      <c r="D619" s="190"/>
      <c r="E619" s="180"/>
    </row>
    <row r="620">
      <c r="A620" s="187"/>
      <c r="B620" s="187"/>
      <c r="C620" s="187"/>
      <c r="D620" s="190"/>
      <c r="E620" s="180"/>
    </row>
    <row r="621">
      <c r="A621" s="187"/>
      <c r="B621" s="187"/>
      <c r="C621" s="187"/>
      <c r="D621" s="190"/>
      <c r="E621" s="180"/>
    </row>
    <row r="622">
      <c r="A622" s="187"/>
      <c r="B622" s="187"/>
      <c r="C622" s="187"/>
      <c r="D622" s="190"/>
      <c r="E622" s="180"/>
    </row>
    <row r="623">
      <c r="A623" s="187"/>
      <c r="B623" s="187"/>
      <c r="C623" s="187"/>
      <c r="D623" s="190"/>
      <c r="E623" s="180"/>
    </row>
    <row r="624">
      <c r="A624" s="187"/>
      <c r="B624" s="187"/>
      <c r="C624" s="187"/>
      <c r="D624" s="190"/>
      <c r="E624" s="180"/>
    </row>
    <row r="625">
      <c r="A625" s="187"/>
      <c r="B625" s="187"/>
      <c r="C625" s="187"/>
      <c r="D625" s="190"/>
      <c r="E625" s="180"/>
    </row>
    <row r="626">
      <c r="A626" s="187"/>
      <c r="B626" s="187"/>
      <c r="C626" s="187"/>
      <c r="D626" s="190"/>
      <c r="E626" s="180"/>
    </row>
    <row r="627">
      <c r="A627" s="187"/>
      <c r="B627" s="187"/>
      <c r="C627" s="187"/>
      <c r="D627" s="190"/>
      <c r="E627" s="180"/>
    </row>
    <row r="628">
      <c r="A628" s="187"/>
      <c r="B628" s="187"/>
      <c r="C628" s="187"/>
      <c r="D628" s="190"/>
      <c r="E628" s="180"/>
    </row>
    <row r="629">
      <c r="A629" s="187"/>
      <c r="B629" s="187"/>
      <c r="C629" s="187"/>
      <c r="D629" s="190"/>
      <c r="E629" s="180"/>
    </row>
    <row r="630">
      <c r="A630" s="187"/>
      <c r="B630" s="187"/>
      <c r="C630" s="187"/>
      <c r="D630" s="190"/>
      <c r="E630" s="180"/>
    </row>
    <row r="631">
      <c r="A631" s="187"/>
      <c r="B631" s="187"/>
      <c r="C631" s="187"/>
      <c r="D631" s="190"/>
      <c r="E631" s="180"/>
    </row>
    <row r="632">
      <c r="A632" s="187"/>
      <c r="B632" s="187"/>
      <c r="C632" s="187"/>
      <c r="D632" s="190"/>
      <c r="E632" s="180"/>
    </row>
    <row r="633">
      <c r="A633" s="187"/>
      <c r="B633" s="187"/>
      <c r="C633" s="187"/>
      <c r="D633" s="190"/>
      <c r="E633" s="180"/>
    </row>
    <row r="634">
      <c r="A634" s="187"/>
      <c r="B634" s="187"/>
      <c r="C634" s="187"/>
      <c r="D634" s="190"/>
      <c r="E634" s="180"/>
    </row>
    <row r="635">
      <c r="A635" s="187"/>
      <c r="B635" s="187"/>
      <c r="C635" s="187"/>
      <c r="D635" s="190"/>
      <c r="E635" s="180"/>
    </row>
    <row r="636">
      <c r="A636" s="187"/>
      <c r="B636" s="187"/>
      <c r="C636" s="187"/>
      <c r="D636" s="190"/>
      <c r="E636" s="180"/>
    </row>
    <row r="637">
      <c r="A637" s="187"/>
      <c r="B637" s="187"/>
      <c r="C637" s="187"/>
      <c r="D637" s="190"/>
      <c r="E637" s="180"/>
    </row>
    <row r="638">
      <c r="A638" s="187"/>
      <c r="B638" s="187"/>
      <c r="C638" s="187"/>
      <c r="D638" s="190"/>
      <c r="E638" s="180"/>
    </row>
    <row r="639">
      <c r="A639" s="187"/>
      <c r="B639" s="187"/>
      <c r="C639" s="187"/>
      <c r="D639" s="190"/>
      <c r="E639" s="180"/>
    </row>
    <row r="640">
      <c r="A640" s="187"/>
      <c r="B640" s="187"/>
      <c r="C640" s="187"/>
      <c r="D640" s="190"/>
      <c r="E640" s="180"/>
    </row>
    <row r="641">
      <c r="A641" s="187"/>
      <c r="B641" s="187"/>
      <c r="C641" s="187"/>
      <c r="D641" s="190"/>
      <c r="E641" s="180"/>
    </row>
    <row r="642">
      <c r="A642" s="187"/>
      <c r="B642" s="187"/>
      <c r="C642" s="187"/>
      <c r="D642" s="190"/>
      <c r="E642" s="180"/>
    </row>
    <row r="643">
      <c r="A643" s="187"/>
      <c r="B643" s="187"/>
      <c r="C643" s="187"/>
      <c r="D643" s="190"/>
      <c r="E643" s="180"/>
    </row>
    <row r="644">
      <c r="A644" s="187"/>
      <c r="B644" s="187"/>
      <c r="C644" s="187"/>
      <c r="D644" s="190"/>
      <c r="E644" s="180"/>
    </row>
    <row r="645">
      <c r="A645" s="187"/>
      <c r="B645" s="187"/>
      <c r="C645" s="187"/>
      <c r="D645" s="190"/>
      <c r="E645" s="180"/>
    </row>
    <row r="646">
      <c r="A646" s="187"/>
      <c r="B646" s="187"/>
      <c r="C646" s="187"/>
      <c r="D646" s="190"/>
      <c r="E646" s="180"/>
    </row>
    <row r="647">
      <c r="A647" s="187"/>
      <c r="B647" s="187"/>
      <c r="C647" s="187"/>
      <c r="D647" s="190"/>
      <c r="E647" s="180"/>
    </row>
    <row r="648">
      <c r="A648" s="187"/>
      <c r="B648" s="187"/>
      <c r="C648" s="187"/>
      <c r="D648" s="190"/>
      <c r="E648" s="180"/>
    </row>
    <row r="649">
      <c r="A649" s="187"/>
      <c r="B649" s="187"/>
      <c r="C649" s="187"/>
      <c r="D649" s="190"/>
      <c r="E649" s="180"/>
    </row>
    <row r="650">
      <c r="A650" s="187"/>
      <c r="B650" s="187"/>
      <c r="C650" s="187"/>
      <c r="D650" s="190"/>
      <c r="E650" s="180"/>
    </row>
    <row r="651">
      <c r="A651" s="187"/>
      <c r="B651" s="187"/>
      <c r="C651" s="187"/>
      <c r="D651" s="190"/>
      <c r="E651" s="180"/>
    </row>
    <row r="652">
      <c r="A652" s="187"/>
      <c r="B652" s="187"/>
      <c r="C652" s="187"/>
      <c r="D652" s="190"/>
      <c r="E652" s="180"/>
    </row>
    <row r="653">
      <c r="A653" s="187"/>
      <c r="B653" s="187"/>
      <c r="C653" s="187"/>
      <c r="D653" s="190"/>
      <c r="E653" s="180"/>
    </row>
    <row r="654">
      <c r="A654" s="187"/>
      <c r="B654" s="187"/>
      <c r="C654" s="187"/>
      <c r="D654" s="190"/>
      <c r="E654" s="180"/>
    </row>
    <row r="655">
      <c r="A655" s="187"/>
      <c r="B655" s="187"/>
      <c r="C655" s="187"/>
      <c r="D655" s="190"/>
      <c r="E655" s="180"/>
    </row>
    <row r="656">
      <c r="A656" s="187"/>
      <c r="B656" s="187"/>
      <c r="C656" s="187"/>
      <c r="D656" s="190"/>
      <c r="E656" s="180"/>
    </row>
    <row r="657">
      <c r="A657" s="187"/>
      <c r="B657" s="187"/>
      <c r="C657" s="187"/>
      <c r="D657" s="190"/>
      <c r="E657" s="180"/>
    </row>
    <row r="658">
      <c r="A658" s="187"/>
      <c r="B658" s="187"/>
      <c r="C658" s="187"/>
      <c r="D658" s="190"/>
      <c r="E658" s="180"/>
    </row>
    <row r="659">
      <c r="A659" s="187"/>
      <c r="B659" s="187"/>
      <c r="C659" s="187"/>
      <c r="D659" s="190"/>
      <c r="E659" s="180"/>
    </row>
    <row r="660">
      <c r="A660" s="187"/>
      <c r="B660" s="187"/>
      <c r="C660" s="187"/>
      <c r="D660" s="190"/>
      <c r="E660" s="180"/>
    </row>
    <row r="661">
      <c r="A661" s="187"/>
      <c r="B661" s="187"/>
      <c r="C661" s="187"/>
      <c r="D661" s="190"/>
      <c r="E661" s="180"/>
    </row>
    <row r="662">
      <c r="A662" s="187"/>
      <c r="B662" s="187"/>
      <c r="C662" s="187"/>
      <c r="D662" s="190"/>
      <c r="E662" s="180"/>
    </row>
    <row r="663">
      <c r="A663" s="187"/>
      <c r="B663" s="187"/>
      <c r="C663" s="187"/>
      <c r="D663" s="190"/>
      <c r="E663" s="180"/>
    </row>
    <row r="664">
      <c r="A664" s="187"/>
      <c r="B664" s="187"/>
      <c r="C664" s="187"/>
      <c r="D664" s="190"/>
      <c r="E664" s="180"/>
    </row>
    <row r="665">
      <c r="A665" s="187"/>
      <c r="B665" s="187"/>
      <c r="C665" s="187"/>
      <c r="D665" s="190"/>
      <c r="E665" s="180"/>
    </row>
    <row r="666">
      <c r="A666" s="187"/>
      <c r="B666" s="187"/>
      <c r="C666" s="187"/>
      <c r="D666" s="190"/>
      <c r="E666" s="180"/>
    </row>
    <row r="667">
      <c r="A667" s="187"/>
      <c r="B667" s="187"/>
      <c r="C667" s="187"/>
      <c r="D667" s="190"/>
      <c r="E667" s="180"/>
    </row>
    <row r="668">
      <c r="A668" s="187"/>
      <c r="B668" s="187"/>
      <c r="C668" s="187"/>
      <c r="D668" s="190"/>
      <c r="E668" s="180"/>
    </row>
    <row r="669">
      <c r="A669" s="187"/>
      <c r="B669" s="187"/>
      <c r="C669" s="187"/>
      <c r="D669" s="190"/>
      <c r="E669" s="180"/>
    </row>
    <row r="670">
      <c r="A670" s="187"/>
      <c r="B670" s="187"/>
      <c r="C670" s="187"/>
      <c r="D670" s="190"/>
      <c r="E670" s="180"/>
    </row>
    <row r="671">
      <c r="A671" s="187"/>
      <c r="B671" s="187"/>
      <c r="C671" s="187"/>
      <c r="D671" s="190"/>
      <c r="E671" s="180"/>
    </row>
    <row r="672">
      <c r="A672" s="187"/>
      <c r="B672" s="187"/>
      <c r="C672" s="187"/>
      <c r="D672" s="190"/>
      <c r="E672" s="180"/>
    </row>
    <row r="673">
      <c r="A673" s="187"/>
      <c r="B673" s="187"/>
      <c r="C673" s="187"/>
      <c r="D673" s="190"/>
      <c r="E673" s="180"/>
    </row>
    <row r="674">
      <c r="A674" s="187"/>
      <c r="B674" s="187"/>
      <c r="C674" s="187"/>
      <c r="D674" s="190"/>
      <c r="E674" s="180"/>
    </row>
    <row r="675">
      <c r="A675" s="187"/>
      <c r="B675" s="187"/>
      <c r="C675" s="187"/>
      <c r="D675" s="190"/>
      <c r="E675" s="180"/>
    </row>
    <row r="676">
      <c r="A676" s="187"/>
      <c r="B676" s="187"/>
      <c r="C676" s="187"/>
      <c r="D676" s="190"/>
      <c r="E676" s="180"/>
    </row>
    <row r="677">
      <c r="A677" s="187"/>
      <c r="B677" s="187"/>
      <c r="C677" s="187"/>
      <c r="D677" s="190"/>
      <c r="E677" s="180"/>
    </row>
    <row r="678">
      <c r="A678" s="187"/>
      <c r="B678" s="187"/>
      <c r="C678" s="187"/>
      <c r="D678" s="190"/>
      <c r="E678" s="180"/>
    </row>
    <row r="679">
      <c r="A679" s="187"/>
      <c r="B679" s="187"/>
      <c r="C679" s="187"/>
      <c r="D679" s="190"/>
      <c r="E679" s="180"/>
    </row>
    <row r="680">
      <c r="A680" s="187"/>
      <c r="B680" s="187"/>
      <c r="C680" s="187"/>
      <c r="D680" s="190"/>
      <c r="E680" s="180"/>
    </row>
    <row r="681">
      <c r="A681" s="187"/>
      <c r="B681" s="187"/>
      <c r="C681" s="187"/>
      <c r="D681" s="190"/>
      <c r="E681" s="180"/>
    </row>
    <row r="682">
      <c r="A682" s="187"/>
      <c r="B682" s="187"/>
      <c r="C682" s="187"/>
      <c r="D682" s="190"/>
      <c r="E682" s="180"/>
    </row>
    <row r="683">
      <c r="A683" s="187"/>
      <c r="B683" s="187"/>
      <c r="C683" s="187"/>
      <c r="D683" s="190"/>
      <c r="E683" s="180"/>
    </row>
    <row r="684">
      <c r="A684" s="187"/>
      <c r="B684" s="187"/>
      <c r="C684" s="187"/>
      <c r="D684" s="190"/>
      <c r="E684" s="180"/>
    </row>
    <row r="685">
      <c r="A685" s="187"/>
      <c r="B685" s="187"/>
      <c r="C685" s="187"/>
      <c r="D685" s="190"/>
      <c r="E685" s="180"/>
    </row>
    <row r="686">
      <c r="A686" s="187"/>
      <c r="B686" s="187"/>
      <c r="C686" s="187"/>
      <c r="D686" s="190"/>
      <c r="E686" s="180"/>
    </row>
    <row r="687">
      <c r="A687" s="187"/>
      <c r="B687" s="187"/>
      <c r="C687" s="187"/>
      <c r="D687" s="190"/>
      <c r="E687" s="180"/>
    </row>
    <row r="688">
      <c r="A688" s="187"/>
      <c r="B688" s="187"/>
      <c r="C688" s="187"/>
      <c r="D688" s="190"/>
      <c r="E688" s="180"/>
    </row>
    <row r="689">
      <c r="A689" s="187"/>
      <c r="B689" s="187"/>
      <c r="C689" s="187"/>
      <c r="D689" s="190"/>
      <c r="E689" s="180"/>
    </row>
    <row r="690">
      <c r="A690" s="187"/>
      <c r="B690" s="187"/>
      <c r="C690" s="187"/>
      <c r="D690" s="190"/>
      <c r="E690" s="180"/>
    </row>
    <row r="691">
      <c r="A691" s="187"/>
      <c r="B691" s="187"/>
      <c r="C691" s="187"/>
      <c r="D691" s="190"/>
      <c r="E691" s="180"/>
    </row>
    <row r="692">
      <c r="A692" s="187"/>
      <c r="B692" s="187"/>
      <c r="C692" s="187"/>
      <c r="D692" s="190"/>
      <c r="E692" s="180"/>
    </row>
    <row r="693">
      <c r="A693" s="187"/>
      <c r="B693" s="187"/>
      <c r="C693" s="187"/>
      <c r="D693" s="190"/>
      <c r="E693" s="180"/>
    </row>
    <row r="694">
      <c r="A694" s="187"/>
      <c r="B694" s="187"/>
      <c r="C694" s="187"/>
      <c r="D694" s="190"/>
      <c r="E694" s="180"/>
    </row>
    <row r="695">
      <c r="A695" s="187"/>
      <c r="B695" s="187"/>
      <c r="C695" s="187"/>
      <c r="D695" s="190"/>
      <c r="E695" s="180"/>
    </row>
    <row r="696">
      <c r="A696" s="187"/>
      <c r="B696" s="187"/>
      <c r="C696" s="187"/>
      <c r="D696" s="190"/>
      <c r="E696" s="180"/>
    </row>
    <row r="697">
      <c r="A697" s="187"/>
      <c r="B697" s="187"/>
      <c r="C697" s="187"/>
      <c r="D697" s="190"/>
      <c r="E697" s="180"/>
    </row>
    <row r="698">
      <c r="A698" s="187"/>
      <c r="B698" s="187"/>
      <c r="C698" s="187"/>
      <c r="D698" s="190"/>
      <c r="E698" s="180"/>
    </row>
    <row r="699">
      <c r="A699" s="187"/>
      <c r="B699" s="187"/>
      <c r="C699" s="187"/>
      <c r="D699" s="190"/>
      <c r="E699" s="180"/>
    </row>
    <row r="700">
      <c r="A700" s="187"/>
      <c r="B700" s="187"/>
      <c r="C700" s="187"/>
      <c r="D700" s="190"/>
      <c r="E700" s="180"/>
    </row>
    <row r="701">
      <c r="A701" s="187"/>
      <c r="B701" s="187"/>
      <c r="C701" s="187"/>
      <c r="D701" s="190"/>
      <c r="E701" s="180"/>
    </row>
    <row r="702">
      <c r="A702" s="187"/>
      <c r="B702" s="187"/>
      <c r="C702" s="187"/>
      <c r="D702" s="190"/>
      <c r="E702" s="180"/>
    </row>
    <row r="703">
      <c r="A703" s="187"/>
      <c r="B703" s="187"/>
      <c r="C703" s="187"/>
      <c r="D703" s="190"/>
      <c r="E703" s="180"/>
    </row>
    <row r="704">
      <c r="A704" s="187"/>
      <c r="B704" s="187"/>
      <c r="C704" s="187"/>
      <c r="D704" s="190"/>
      <c r="E704" s="180"/>
    </row>
    <row r="705">
      <c r="A705" s="187"/>
      <c r="B705" s="187"/>
      <c r="C705" s="187"/>
      <c r="D705" s="190"/>
      <c r="E705" s="180"/>
    </row>
    <row r="706">
      <c r="A706" s="187"/>
      <c r="B706" s="187"/>
      <c r="C706" s="187"/>
      <c r="D706" s="190"/>
      <c r="E706" s="180"/>
    </row>
    <row r="707">
      <c r="A707" s="187"/>
      <c r="B707" s="187"/>
      <c r="C707" s="187"/>
      <c r="D707" s="190"/>
      <c r="E707" s="180"/>
    </row>
    <row r="708">
      <c r="A708" s="187"/>
      <c r="B708" s="187"/>
      <c r="C708" s="187"/>
      <c r="D708" s="190"/>
      <c r="E708" s="180"/>
    </row>
    <row r="709">
      <c r="A709" s="187"/>
      <c r="B709" s="187"/>
      <c r="C709" s="187"/>
      <c r="D709" s="190"/>
      <c r="E709" s="180"/>
    </row>
    <row r="710">
      <c r="A710" s="187"/>
      <c r="B710" s="187"/>
      <c r="C710" s="187"/>
      <c r="D710" s="190"/>
      <c r="E710" s="180"/>
    </row>
    <row r="711">
      <c r="A711" s="187"/>
      <c r="B711" s="187"/>
      <c r="C711" s="187"/>
      <c r="D711" s="190"/>
      <c r="E711" s="180"/>
    </row>
    <row r="712">
      <c r="A712" s="187"/>
      <c r="B712" s="187"/>
      <c r="C712" s="187"/>
      <c r="D712" s="190"/>
      <c r="E712" s="180"/>
    </row>
    <row r="713">
      <c r="A713" s="187"/>
      <c r="B713" s="187"/>
      <c r="C713" s="187"/>
      <c r="D713" s="190"/>
      <c r="E713" s="180"/>
    </row>
    <row r="714">
      <c r="A714" s="187"/>
      <c r="B714" s="187"/>
      <c r="C714" s="187"/>
      <c r="D714" s="190"/>
      <c r="E714" s="180"/>
    </row>
    <row r="715">
      <c r="A715" s="187"/>
      <c r="B715" s="187"/>
      <c r="C715" s="187"/>
      <c r="D715" s="190"/>
      <c r="E715" s="180"/>
    </row>
    <row r="716">
      <c r="A716" s="187"/>
      <c r="B716" s="187"/>
      <c r="C716" s="187"/>
      <c r="D716" s="190"/>
      <c r="E716" s="180"/>
    </row>
    <row r="717">
      <c r="A717" s="187"/>
      <c r="B717" s="187"/>
      <c r="C717" s="187"/>
      <c r="D717" s="190"/>
      <c r="E717" s="180"/>
    </row>
    <row r="718">
      <c r="A718" s="187"/>
      <c r="B718" s="187"/>
      <c r="C718" s="187"/>
      <c r="D718" s="190"/>
      <c r="E718" s="180"/>
    </row>
    <row r="719">
      <c r="A719" s="187"/>
      <c r="B719" s="187"/>
      <c r="C719" s="187"/>
      <c r="D719" s="190"/>
      <c r="E719" s="180"/>
    </row>
    <row r="720">
      <c r="A720" s="187"/>
      <c r="B720" s="187"/>
      <c r="C720" s="187"/>
      <c r="D720" s="190"/>
      <c r="E720" s="180"/>
    </row>
    <row r="721">
      <c r="A721" s="187"/>
      <c r="B721" s="187"/>
      <c r="C721" s="187"/>
      <c r="D721" s="190"/>
      <c r="E721" s="180"/>
    </row>
    <row r="722">
      <c r="A722" s="187"/>
      <c r="B722" s="187"/>
      <c r="C722" s="187"/>
      <c r="D722" s="190"/>
      <c r="E722" s="180"/>
    </row>
    <row r="723">
      <c r="A723" s="187"/>
      <c r="B723" s="187"/>
      <c r="C723" s="187"/>
      <c r="D723" s="190"/>
      <c r="E723" s="180"/>
    </row>
    <row r="724">
      <c r="A724" s="187"/>
      <c r="B724" s="187"/>
      <c r="C724" s="187"/>
      <c r="D724" s="190"/>
      <c r="E724" s="180"/>
    </row>
    <row r="725">
      <c r="A725" s="187"/>
      <c r="B725" s="187"/>
      <c r="C725" s="187"/>
      <c r="D725" s="190"/>
      <c r="E725" s="180"/>
    </row>
    <row r="726">
      <c r="A726" s="187"/>
      <c r="B726" s="187"/>
      <c r="C726" s="187"/>
      <c r="D726" s="190"/>
      <c r="E726" s="180"/>
    </row>
    <row r="727">
      <c r="A727" s="187"/>
      <c r="B727" s="187"/>
      <c r="C727" s="187"/>
      <c r="D727" s="190"/>
      <c r="E727" s="180"/>
    </row>
    <row r="728">
      <c r="A728" s="187"/>
      <c r="B728" s="187"/>
      <c r="C728" s="187"/>
      <c r="D728" s="190"/>
      <c r="E728" s="180"/>
    </row>
    <row r="729">
      <c r="A729" s="187"/>
      <c r="B729" s="187"/>
      <c r="C729" s="187"/>
      <c r="D729" s="190"/>
      <c r="E729" s="180"/>
    </row>
    <row r="730">
      <c r="A730" s="187"/>
      <c r="B730" s="187"/>
      <c r="C730" s="187"/>
      <c r="D730" s="190"/>
      <c r="E730" s="180"/>
    </row>
    <row r="731">
      <c r="A731" s="187"/>
      <c r="B731" s="187"/>
      <c r="C731" s="187"/>
      <c r="D731" s="190"/>
      <c r="E731" s="180"/>
    </row>
    <row r="732">
      <c r="A732" s="187"/>
      <c r="B732" s="187"/>
      <c r="C732" s="187"/>
      <c r="D732" s="190"/>
      <c r="E732" s="180"/>
    </row>
    <row r="733">
      <c r="A733" s="187"/>
      <c r="B733" s="187"/>
      <c r="C733" s="187"/>
      <c r="D733" s="190"/>
      <c r="E733" s="180"/>
    </row>
    <row r="734">
      <c r="A734" s="187"/>
      <c r="B734" s="187"/>
      <c r="C734" s="187"/>
      <c r="D734" s="190"/>
      <c r="E734" s="180"/>
    </row>
    <row r="735">
      <c r="A735" s="187"/>
      <c r="B735" s="187"/>
      <c r="C735" s="187"/>
      <c r="D735" s="190"/>
      <c r="E735" s="180"/>
    </row>
    <row r="736">
      <c r="A736" s="187"/>
      <c r="B736" s="187"/>
      <c r="C736" s="187"/>
      <c r="D736" s="190"/>
      <c r="E736" s="180"/>
    </row>
    <row r="737">
      <c r="A737" s="187"/>
      <c r="B737" s="187"/>
      <c r="C737" s="187"/>
      <c r="D737" s="190"/>
      <c r="E737" s="180"/>
    </row>
    <row r="738">
      <c r="A738" s="187"/>
      <c r="B738" s="187"/>
      <c r="C738" s="187"/>
      <c r="D738" s="190"/>
      <c r="E738" s="180"/>
    </row>
    <row r="739">
      <c r="A739" s="187"/>
      <c r="B739" s="187"/>
      <c r="C739" s="187"/>
      <c r="D739" s="190"/>
      <c r="E739" s="180"/>
    </row>
    <row r="740">
      <c r="A740" s="187"/>
      <c r="B740" s="187"/>
      <c r="C740" s="187"/>
      <c r="D740" s="190"/>
      <c r="E740" s="180"/>
    </row>
    <row r="741">
      <c r="A741" s="187"/>
      <c r="B741" s="187"/>
      <c r="C741" s="187"/>
      <c r="D741" s="190"/>
      <c r="E741" s="180"/>
    </row>
    <row r="742">
      <c r="A742" s="187"/>
      <c r="B742" s="187"/>
      <c r="C742" s="187"/>
      <c r="D742" s="190"/>
      <c r="E742" s="180"/>
    </row>
    <row r="743">
      <c r="A743" s="187"/>
      <c r="B743" s="187"/>
      <c r="C743" s="187"/>
      <c r="D743" s="190"/>
      <c r="E743" s="180"/>
    </row>
    <row r="744">
      <c r="A744" s="187"/>
      <c r="B744" s="187"/>
      <c r="C744" s="187"/>
      <c r="D744" s="190"/>
      <c r="E744" s="180"/>
    </row>
    <row r="745">
      <c r="A745" s="187"/>
      <c r="B745" s="187"/>
      <c r="C745" s="187"/>
      <c r="D745" s="190"/>
      <c r="E745" s="180"/>
    </row>
    <row r="746">
      <c r="A746" s="187"/>
      <c r="B746" s="187"/>
      <c r="C746" s="187"/>
      <c r="D746" s="190"/>
      <c r="E746" s="180"/>
    </row>
    <row r="747">
      <c r="A747" s="187"/>
      <c r="B747" s="187"/>
      <c r="C747" s="187"/>
      <c r="D747" s="190"/>
      <c r="E747" s="180"/>
    </row>
    <row r="748">
      <c r="A748" s="187"/>
      <c r="B748" s="187"/>
      <c r="C748" s="187"/>
      <c r="D748" s="190"/>
      <c r="E748" s="180"/>
    </row>
    <row r="749">
      <c r="A749" s="187"/>
      <c r="B749" s="187"/>
      <c r="C749" s="187"/>
      <c r="D749" s="190"/>
      <c r="E749" s="180"/>
    </row>
    <row r="750">
      <c r="A750" s="187"/>
      <c r="B750" s="187"/>
      <c r="C750" s="187"/>
      <c r="D750" s="190"/>
      <c r="E750" s="180"/>
    </row>
    <row r="751">
      <c r="A751" s="187"/>
      <c r="B751" s="187"/>
      <c r="C751" s="187"/>
      <c r="D751" s="190"/>
      <c r="E751" s="180"/>
    </row>
    <row r="752">
      <c r="A752" s="187"/>
      <c r="B752" s="187"/>
      <c r="C752" s="187"/>
      <c r="D752" s="190"/>
      <c r="E752" s="180"/>
    </row>
    <row r="753">
      <c r="A753" s="187"/>
      <c r="B753" s="187"/>
      <c r="C753" s="187"/>
      <c r="D753" s="190"/>
      <c r="E753" s="180"/>
    </row>
    <row r="754">
      <c r="A754" s="187"/>
      <c r="B754" s="187"/>
      <c r="C754" s="187"/>
      <c r="D754" s="190"/>
      <c r="E754" s="180"/>
    </row>
    <row r="755">
      <c r="A755" s="187"/>
      <c r="B755" s="187"/>
      <c r="C755" s="187"/>
      <c r="D755" s="190"/>
      <c r="E755" s="180"/>
    </row>
    <row r="756">
      <c r="A756" s="187"/>
      <c r="B756" s="187"/>
      <c r="C756" s="187"/>
      <c r="D756" s="190"/>
      <c r="E756" s="180"/>
    </row>
    <row r="757">
      <c r="A757" s="187"/>
      <c r="B757" s="187"/>
      <c r="C757" s="187"/>
      <c r="D757" s="190"/>
      <c r="E757" s="180"/>
    </row>
    <row r="758">
      <c r="A758" s="187"/>
      <c r="B758" s="187"/>
      <c r="C758" s="187"/>
      <c r="D758" s="190"/>
      <c r="E758" s="180"/>
    </row>
    <row r="759">
      <c r="A759" s="187"/>
      <c r="B759" s="187"/>
      <c r="C759" s="187"/>
      <c r="D759" s="190"/>
      <c r="E759" s="180"/>
    </row>
    <row r="760">
      <c r="A760" s="187"/>
      <c r="B760" s="187"/>
      <c r="C760" s="187"/>
      <c r="D760" s="190"/>
      <c r="E760" s="180"/>
    </row>
    <row r="761">
      <c r="A761" s="187"/>
      <c r="B761" s="187"/>
      <c r="C761" s="187"/>
      <c r="D761" s="190"/>
      <c r="E761" s="180"/>
    </row>
    <row r="762">
      <c r="A762" s="187"/>
      <c r="B762" s="187"/>
      <c r="C762" s="187"/>
      <c r="D762" s="190"/>
      <c r="E762" s="180"/>
    </row>
    <row r="763">
      <c r="A763" s="187"/>
      <c r="B763" s="187"/>
      <c r="C763" s="187"/>
      <c r="D763" s="190"/>
      <c r="E763" s="180"/>
    </row>
    <row r="764">
      <c r="A764" s="187"/>
      <c r="B764" s="187"/>
      <c r="C764" s="187"/>
      <c r="D764" s="190"/>
      <c r="E764" s="180"/>
    </row>
    <row r="765">
      <c r="A765" s="187"/>
      <c r="B765" s="187"/>
      <c r="C765" s="187"/>
      <c r="D765" s="190"/>
      <c r="E765" s="180"/>
    </row>
    <row r="766">
      <c r="A766" s="187"/>
      <c r="B766" s="187"/>
      <c r="C766" s="187"/>
      <c r="D766" s="190"/>
      <c r="E766" s="180"/>
    </row>
    <row r="767">
      <c r="A767" s="187"/>
      <c r="B767" s="187"/>
      <c r="C767" s="187"/>
      <c r="D767" s="190"/>
      <c r="E767" s="180"/>
    </row>
    <row r="768">
      <c r="A768" s="187"/>
      <c r="B768" s="187"/>
      <c r="C768" s="187"/>
      <c r="D768" s="190"/>
      <c r="E768" s="180"/>
    </row>
    <row r="769">
      <c r="A769" s="187"/>
      <c r="B769" s="187"/>
      <c r="C769" s="187"/>
      <c r="D769" s="190"/>
      <c r="E769" s="180"/>
    </row>
    <row r="770">
      <c r="A770" s="187"/>
      <c r="B770" s="187"/>
      <c r="C770" s="187"/>
      <c r="D770" s="190"/>
      <c r="E770" s="180"/>
    </row>
    <row r="771">
      <c r="A771" s="187"/>
      <c r="B771" s="187"/>
      <c r="C771" s="187"/>
      <c r="D771" s="190"/>
      <c r="E771" s="180"/>
    </row>
    <row r="772">
      <c r="A772" s="187"/>
      <c r="B772" s="187"/>
      <c r="C772" s="187"/>
      <c r="D772" s="190"/>
      <c r="E772" s="180"/>
    </row>
    <row r="773">
      <c r="A773" s="187"/>
      <c r="B773" s="187"/>
      <c r="C773" s="187"/>
      <c r="D773" s="190"/>
      <c r="E773" s="180"/>
    </row>
    <row r="774">
      <c r="A774" s="187"/>
      <c r="B774" s="187"/>
      <c r="C774" s="187"/>
      <c r="D774" s="190"/>
      <c r="E774" s="180"/>
    </row>
    <row r="775">
      <c r="A775" s="187"/>
      <c r="B775" s="187"/>
      <c r="C775" s="187"/>
      <c r="D775" s="190"/>
      <c r="E775" s="180"/>
    </row>
    <row r="776">
      <c r="A776" s="187"/>
      <c r="B776" s="187"/>
      <c r="C776" s="187"/>
      <c r="D776" s="190"/>
      <c r="E776" s="180"/>
    </row>
    <row r="777">
      <c r="A777" s="187"/>
      <c r="B777" s="187"/>
      <c r="C777" s="187"/>
      <c r="D777" s="190"/>
      <c r="E777" s="180"/>
    </row>
    <row r="778">
      <c r="A778" s="187"/>
      <c r="B778" s="187"/>
      <c r="C778" s="187"/>
      <c r="D778" s="190"/>
      <c r="E778" s="180"/>
    </row>
    <row r="779">
      <c r="A779" s="187"/>
      <c r="B779" s="187"/>
      <c r="C779" s="187"/>
      <c r="D779" s="190"/>
      <c r="E779" s="180"/>
    </row>
    <row r="780">
      <c r="A780" s="187"/>
      <c r="B780" s="187"/>
      <c r="C780" s="187"/>
      <c r="D780" s="190"/>
      <c r="E780" s="180"/>
    </row>
    <row r="781">
      <c r="A781" s="187"/>
      <c r="B781" s="187"/>
      <c r="C781" s="187"/>
      <c r="D781" s="190"/>
      <c r="E781" s="180"/>
    </row>
    <row r="782">
      <c r="A782" s="187"/>
      <c r="B782" s="187"/>
      <c r="C782" s="187"/>
      <c r="D782" s="190"/>
      <c r="E782" s="180"/>
    </row>
    <row r="783">
      <c r="A783" s="187"/>
      <c r="B783" s="187"/>
      <c r="C783" s="187"/>
      <c r="D783" s="190"/>
      <c r="E783" s="180"/>
    </row>
    <row r="784">
      <c r="A784" s="187"/>
      <c r="B784" s="187"/>
      <c r="C784" s="187"/>
      <c r="D784" s="190"/>
      <c r="E784" s="180"/>
    </row>
    <row r="785">
      <c r="A785" s="187"/>
      <c r="B785" s="187"/>
      <c r="C785" s="187"/>
      <c r="D785" s="190"/>
      <c r="E785" s="180"/>
    </row>
    <row r="786">
      <c r="A786" s="187"/>
      <c r="B786" s="187"/>
      <c r="C786" s="187"/>
      <c r="D786" s="190"/>
      <c r="E786" s="180"/>
    </row>
    <row r="787">
      <c r="A787" s="187"/>
      <c r="B787" s="187"/>
      <c r="C787" s="187"/>
      <c r="D787" s="190"/>
      <c r="E787" s="180"/>
    </row>
    <row r="788">
      <c r="A788" s="187"/>
      <c r="B788" s="187"/>
      <c r="C788" s="187"/>
      <c r="D788" s="190"/>
      <c r="E788" s="180"/>
    </row>
    <row r="789">
      <c r="A789" s="187"/>
      <c r="B789" s="187"/>
      <c r="C789" s="187"/>
      <c r="D789" s="190"/>
      <c r="E789" s="180"/>
    </row>
    <row r="790">
      <c r="A790" s="187"/>
      <c r="B790" s="187"/>
      <c r="C790" s="187"/>
      <c r="D790" s="190"/>
      <c r="E790" s="180"/>
    </row>
    <row r="791">
      <c r="A791" s="187"/>
      <c r="B791" s="187"/>
      <c r="C791" s="187"/>
      <c r="D791" s="190"/>
      <c r="E791" s="180"/>
    </row>
    <row r="792">
      <c r="A792" s="187"/>
      <c r="B792" s="187"/>
      <c r="C792" s="187"/>
      <c r="D792" s="190"/>
      <c r="E792" s="180"/>
    </row>
    <row r="793">
      <c r="A793" s="187"/>
      <c r="B793" s="187"/>
      <c r="C793" s="187"/>
      <c r="D793" s="190"/>
      <c r="E793" s="180"/>
    </row>
    <row r="794">
      <c r="A794" s="187"/>
      <c r="B794" s="187"/>
      <c r="C794" s="187"/>
      <c r="D794" s="190"/>
      <c r="E794" s="180"/>
    </row>
    <row r="795">
      <c r="A795" s="187"/>
      <c r="B795" s="187"/>
      <c r="C795" s="187"/>
      <c r="D795" s="190"/>
      <c r="E795" s="180"/>
    </row>
    <row r="796">
      <c r="A796" s="187"/>
      <c r="B796" s="187"/>
      <c r="C796" s="187"/>
      <c r="D796" s="190"/>
      <c r="E796" s="180"/>
    </row>
    <row r="797">
      <c r="A797" s="187"/>
      <c r="B797" s="187"/>
      <c r="C797" s="187"/>
      <c r="D797" s="190"/>
      <c r="E797" s="180"/>
    </row>
    <row r="798">
      <c r="A798" s="187"/>
      <c r="B798" s="187"/>
      <c r="C798" s="187"/>
      <c r="D798" s="190"/>
      <c r="E798" s="180"/>
    </row>
    <row r="799">
      <c r="A799" s="187"/>
      <c r="B799" s="187"/>
      <c r="C799" s="187"/>
      <c r="D799" s="190"/>
      <c r="E799" s="180"/>
    </row>
    <row r="800">
      <c r="A800" s="187"/>
      <c r="B800" s="187"/>
      <c r="C800" s="187"/>
      <c r="D800" s="190"/>
      <c r="E800" s="180"/>
    </row>
    <row r="801">
      <c r="A801" s="187"/>
      <c r="B801" s="187"/>
      <c r="C801" s="187"/>
      <c r="D801" s="190"/>
      <c r="E801" s="180"/>
    </row>
    <row r="802">
      <c r="A802" s="187"/>
      <c r="B802" s="187"/>
      <c r="C802" s="187"/>
      <c r="D802" s="190"/>
      <c r="E802" s="180"/>
    </row>
    <row r="803">
      <c r="A803" s="187"/>
      <c r="B803" s="187"/>
      <c r="C803" s="187"/>
      <c r="D803" s="190"/>
      <c r="E803" s="180"/>
    </row>
    <row r="804">
      <c r="A804" s="187"/>
      <c r="B804" s="187"/>
      <c r="C804" s="187"/>
      <c r="D804" s="190"/>
      <c r="E804" s="180"/>
    </row>
    <row r="805">
      <c r="A805" s="187"/>
      <c r="B805" s="187"/>
      <c r="C805" s="187"/>
      <c r="D805" s="190"/>
      <c r="E805" s="180"/>
    </row>
    <row r="806">
      <c r="A806" s="187"/>
      <c r="B806" s="187"/>
      <c r="C806" s="187"/>
      <c r="D806" s="190"/>
      <c r="E806" s="180"/>
    </row>
    <row r="807">
      <c r="A807" s="187"/>
      <c r="B807" s="187"/>
      <c r="C807" s="187"/>
      <c r="D807" s="190"/>
      <c r="E807" s="180"/>
    </row>
    <row r="808">
      <c r="A808" s="187"/>
      <c r="B808" s="187"/>
      <c r="C808" s="187"/>
      <c r="D808" s="190"/>
      <c r="E808" s="180"/>
    </row>
    <row r="809">
      <c r="A809" s="187"/>
      <c r="B809" s="187"/>
      <c r="C809" s="187"/>
      <c r="D809" s="190"/>
      <c r="E809" s="180"/>
    </row>
    <row r="810">
      <c r="A810" s="187"/>
      <c r="B810" s="187"/>
      <c r="C810" s="187"/>
      <c r="D810" s="190"/>
      <c r="E810" s="180"/>
    </row>
    <row r="811">
      <c r="A811" s="187"/>
      <c r="B811" s="187"/>
      <c r="C811" s="187"/>
      <c r="D811" s="190"/>
      <c r="E811" s="180"/>
    </row>
    <row r="812">
      <c r="A812" s="187"/>
      <c r="B812" s="187"/>
      <c r="C812" s="187"/>
      <c r="D812" s="190"/>
      <c r="E812" s="180"/>
    </row>
    <row r="813">
      <c r="A813" s="187"/>
      <c r="B813" s="187"/>
      <c r="C813" s="187"/>
      <c r="D813" s="190"/>
      <c r="E813" s="180"/>
    </row>
    <row r="814">
      <c r="A814" s="187"/>
      <c r="B814" s="187"/>
      <c r="C814" s="187"/>
      <c r="D814" s="190"/>
      <c r="E814" s="180"/>
    </row>
    <row r="815">
      <c r="A815" s="187"/>
      <c r="B815" s="187"/>
      <c r="C815" s="187"/>
      <c r="D815" s="190"/>
      <c r="E815" s="180"/>
    </row>
    <row r="816">
      <c r="A816" s="187"/>
      <c r="B816" s="187"/>
      <c r="C816" s="187"/>
      <c r="D816" s="190"/>
      <c r="E816" s="180"/>
    </row>
    <row r="817">
      <c r="A817" s="187"/>
      <c r="B817" s="187"/>
      <c r="C817" s="187"/>
      <c r="D817" s="190"/>
      <c r="E817" s="180"/>
    </row>
    <row r="818">
      <c r="A818" s="187"/>
      <c r="B818" s="187"/>
      <c r="C818" s="187"/>
      <c r="D818" s="190"/>
      <c r="E818" s="180"/>
    </row>
    <row r="819">
      <c r="A819" s="187"/>
      <c r="B819" s="187"/>
      <c r="C819" s="187"/>
      <c r="D819" s="190"/>
      <c r="E819" s="180"/>
    </row>
    <row r="820">
      <c r="A820" s="187"/>
      <c r="B820" s="187"/>
      <c r="C820" s="187"/>
      <c r="D820" s="190"/>
      <c r="E820" s="180"/>
    </row>
    <row r="821">
      <c r="A821" s="187"/>
      <c r="B821" s="187"/>
      <c r="C821" s="187"/>
      <c r="D821" s="190"/>
      <c r="E821" s="180"/>
    </row>
    <row r="822">
      <c r="A822" s="187"/>
      <c r="B822" s="187"/>
      <c r="C822" s="187"/>
      <c r="D822" s="190"/>
      <c r="E822" s="180"/>
    </row>
    <row r="823">
      <c r="A823" s="187"/>
      <c r="B823" s="187"/>
      <c r="C823" s="187"/>
      <c r="D823" s="190"/>
      <c r="E823" s="180"/>
    </row>
    <row r="824">
      <c r="A824" s="187"/>
      <c r="B824" s="187"/>
      <c r="C824" s="187"/>
      <c r="D824" s="190"/>
      <c r="E824" s="180"/>
    </row>
    <row r="825">
      <c r="A825" s="187"/>
      <c r="B825" s="187"/>
      <c r="C825" s="187"/>
      <c r="D825" s="190"/>
      <c r="E825" s="180"/>
    </row>
    <row r="826">
      <c r="A826" s="187"/>
      <c r="B826" s="187"/>
      <c r="C826" s="187"/>
      <c r="D826" s="190"/>
      <c r="E826" s="180"/>
    </row>
    <row r="827">
      <c r="A827" s="187"/>
      <c r="B827" s="187"/>
      <c r="C827" s="187"/>
      <c r="D827" s="190"/>
      <c r="E827" s="180"/>
    </row>
    <row r="828">
      <c r="A828" s="187"/>
      <c r="B828" s="187"/>
      <c r="C828" s="187"/>
      <c r="D828" s="190"/>
      <c r="E828" s="180"/>
    </row>
    <row r="829">
      <c r="A829" s="187"/>
      <c r="B829" s="187"/>
      <c r="C829" s="187"/>
      <c r="D829" s="190"/>
      <c r="E829" s="180"/>
    </row>
    <row r="830">
      <c r="A830" s="187"/>
      <c r="B830" s="187"/>
      <c r="C830" s="187"/>
      <c r="D830" s="190"/>
      <c r="E830" s="180"/>
    </row>
    <row r="831">
      <c r="A831" s="187"/>
      <c r="B831" s="187"/>
      <c r="C831" s="187"/>
      <c r="D831" s="190"/>
      <c r="E831" s="180"/>
    </row>
    <row r="832">
      <c r="A832" s="187"/>
      <c r="B832" s="187"/>
      <c r="C832" s="187"/>
      <c r="D832" s="190"/>
      <c r="E832" s="180"/>
    </row>
    <row r="833">
      <c r="A833" s="187"/>
      <c r="B833" s="187"/>
      <c r="C833" s="187"/>
      <c r="D833" s="190"/>
      <c r="E833" s="180"/>
    </row>
    <row r="834">
      <c r="A834" s="187"/>
      <c r="B834" s="187"/>
      <c r="C834" s="187"/>
      <c r="D834" s="190"/>
      <c r="E834" s="180"/>
    </row>
    <row r="835">
      <c r="A835" s="187"/>
      <c r="B835" s="187"/>
      <c r="C835" s="187"/>
      <c r="D835" s="190"/>
      <c r="E835" s="180"/>
    </row>
    <row r="836">
      <c r="A836" s="187"/>
      <c r="B836" s="187"/>
      <c r="C836" s="187"/>
      <c r="D836" s="190"/>
      <c r="E836" s="180"/>
    </row>
    <row r="837">
      <c r="A837" s="187"/>
      <c r="B837" s="187"/>
      <c r="C837" s="187"/>
      <c r="D837" s="190"/>
      <c r="E837" s="180"/>
    </row>
    <row r="838">
      <c r="A838" s="187"/>
      <c r="B838" s="187"/>
      <c r="C838" s="187"/>
      <c r="D838" s="190"/>
      <c r="E838" s="180"/>
    </row>
    <row r="839">
      <c r="A839" s="187"/>
      <c r="B839" s="187"/>
      <c r="C839" s="187"/>
      <c r="D839" s="190"/>
      <c r="E839" s="180"/>
    </row>
    <row r="840">
      <c r="A840" s="187"/>
      <c r="B840" s="187"/>
      <c r="C840" s="187"/>
      <c r="D840" s="190"/>
      <c r="E840" s="180"/>
    </row>
    <row r="841">
      <c r="A841" s="187"/>
      <c r="B841" s="187"/>
      <c r="C841" s="187"/>
      <c r="D841" s="190"/>
      <c r="E841" s="180"/>
    </row>
    <row r="842">
      <c r="A842" s="187"/>
      <c r="B842" s="187"/>
      <c r="C842" s="187"/>
      <c r="D842" s="190"/>
      <c r="E842" s="180"/>
    </row>
    <row r="843">
      <c r="A843" s="187"/>
      <c r="B843" s="187"/>
      <c r="C843" s="187"/>
      <c r="D843" s="190"/>
      <c r="E843" s="180"/>
    </row>
    <row r="844">
      <c r="A844" s="187"/>
      <c r="B844" s="187"/>
      <c r="C844" s="187"/>
      <c r="D844" s="190"/>
      <c r="E844" s="180"/>
    </row>
    <row r="845">
      <c r="A845" s="187"/>
      <c r="B845" s="187"/>
      <c r="C845" s="187"/>
      <c r="D845" s="190"/>
      <c r="E845" s="180"/>
    </row>
    <row r="846">
      <c r="A846" s="187"/>
      <c r="B846" s="187"/>
      <c r="C846" s="187"/>
      <c r="D846" s="190"/>
      <c r="E846" s="180"/>
    </row>
    <row r="847">
      <c r="A847" s="187"/>
      <c r="B847" s="187"/>
      <c r="C847" s="187"/>
      <c r="D847" s="190"/>
      <c r="E847" s="180"/>
    </row>
    <row r="848">
      <c r="A848" s="187"/>
      <c r="B848" s="187"/>
      <c r="C848" s="187"/>
      <c r="D848" s="190"/>
      <c r="E848" s="180"/>
    </row>
    <row r="849">
      <c r="A849" s="187"/>
      <c r="B849" s="187"/>
      <c r="C849" s="187"/>
      <c r="D849" s="190"/>
      <c r="E849" s="180"/>
    </row>
    <row r="850">
      <c r="A850" s="187"/>
      <c r="B850" s="187"/>
      <c r="C850" s="187"/>
      <c r="D850" s="190"/>
      <c r="E850" s="180"/>
    </row>
    <row r="851">
      <c r="A851" s="187"/>
      <c r="B851" s="187"/>
      <c r="C851" s="187"/>
      <c r="D851" s="190"/>
      <c r="E851" s="180"/>
    </row>
    <row r="852">
      <c r="A852" s="187"/>
      <c r="B852" s="187"/>
      <c r="C852" s="187"/>
      <c r="D852" s="190"/>
      <c r="E852" s="180"/>
    </row>
    <row r="853">
      <c r="A853" s="187"/>
      <c r="B853" s="187"/>
      <c r="C853" s="187"/>
      <c r="D853" s="190"/>
      <c r="E853" s="180"/>
    </row>
    <row r="854">
      <c r="A854" s="187"/>
      <c r="B854" s="187"/>
      <c r="C854" s="187"/>
      <c r="D854" s="190"/>
      <c r="E854" s="180"/>
    </row>
    <row r="855">
      <c r="A855" s="187"/>
      <c r="B855" s="187"/>
      <c r="C855" s="187"/>
      <c r="D855" s="190"/>
      <c r="E855" s="180"/>
    </row>
    <row r="856">
      <c r="A856" s="187"/>
      <c r="B856" s="187"/>
      <c r="C856" s="187"/>
      <c r="D856" s="190"/>
      <c r="E856" s="180"/>
    </row>
    <row r="857">
      <c r="A857" s="187"/>
      <c r="B857" s="187"/>
      <c r="C857" s="187"/>
      <c r="D857" s="190"/>
      <c r="E857" s="180"/>
    </row>
    <row r="858">
      <c r="A858" s="187"/>
      <c r="B858" s="187"/>
      <c r="C858" s="187"/>
      <c r="D858" s="190"/>
      <c r="E858" s="180"/>
    </row>
    <row r="859">
      <c r="A859" s="187"/>
      <c r="B859" s="187"/>
      <c r="C859" s="187"/>
      <c r="D859" s="190"/>
      <c r="E859" s="180"/>
    </row>
    <row r="860">
      <c r="A860" s="187"/>
      <c r="B860" s="187"/>
      <c r="C860" s="187"/>
      <c r="D860" s="190"/>
      <c r="E860" s="180"/>
    </row>
    <row r="861">
      <c r="A861" s="187"/>
      <c r="B861" s="187"/>
      <c r="C861" s="187"/>
      <c r="D861" s="190"/>
      <c r="E861" s="180"/>
    </row>
    <row r="862">
      <c r="A862" s="187"/>
      <c r="B862" s="187"/>
      <c r="C862" s="187"/>
      <c r="D862" s="190"/>
      <c r="E862" s="180"/>
    </row>
    <row r="863">
      <c r="A863" s="187"/>
      <c r="B863" s="187"/>
      <c r="C863" s="187"/>
      <c r="D863" s="190"/>
      <c r="E863" s="180"/>
    </row>
    <row r="864">
      <c r="A864" s="187"/>
      <c r="B864" s="187"/>
      <c r="C864" s="187"/>
      <c r="D864" s="190"/>
      <c r="E864" s="180"/>
    </row>
    <row r="865">
      <c r="A865" s="187"/>
      <c r="B865" s="187"/>
      <c r="C865" s="187"/>
      <c r="D865" s="190"/>
      <c r="E865" s="180"/>
    </row>
    <row r="866">
      <c r="A866" s="187"/>
      <c r="B866" s="187"/>
      <c r="C866" s="187"/>
      <c r="D866" s="190"/>
      <c r="E866" s="180"/>
    </row>
    <row r="867">
      <c r="A867" s="187"/>
      <c r="B867" s="187"/>
      <c r="C867" s="187"/>
      <c r="D867" s="190"/>
      <c r="E867" s="180"/>
    </row>
    <row r="868">
      <c r="A868" s="187"/>
      <c r="B868" s="187"/>
      <c r="C868" s="187"/>
      <c r="D868" s="190"/>
      <c r="E868" s="180"/>
    </row>
    <row r="869">
      <c r="A869" s="187"/>
      <c r="B869" s="187"/>
      <c r="C869" s="187"/>
      <c r="D869" s="190"/>
      <c r="E869" s="180"/>
    </row>
    <row r="870">
      <c r="A870" s="187"/>
      <c r="B870" s="187"/>
      <c r="C870" s="187"/>
      <c r="D870" s="190"/>
      <c r="E870" s="180"/>
    </row>
    <row r="871">
      <c r="A871" s="187"/>
      <c r="B871" s="187"/>
      <c r="C871" s="187"/>
      <c r="D871" s="190"/>
      <c r="E871" s="180"/>
    </row>
    <row r="872">
      <c r="A872" s="187"/>
      <c r="B872" s="187"/>
      <c r="C872" s="187"/>
      <c r="D872" s="190"/>
      <c r="E872" s="180"/>
    </row>
    <row r="873">
      <c r="A873" s="187"/>
      <c r="B873" s="187"/>
      <c r="C873" s="187"/>
      <c r="D873" s="190"/>
      <c r="E873" s="180"/>
    </row>
    <row r="874">
      <c r="A874" s="187"/>
      <c r="B874" s="187"/>
      <c r="C874" s="187"/>
      <c r="D874" s="190"/>
      <c r="E874" s="180"/>
    </row>
    <row r="875">
      <c r="A875" s="187"/>
      <c r="B875" s="187"/>
      <c r="C875" s="187"/>
      <c r="D875" s="190"/>
      <c r="E875" s="180"/>
    </row>
    <row r="876">
      <c r="A876" s="187"/>
      <c r="B876" s="187"/>
      <c r="C876" s="187"/>
      <c r="D876" s="190"/>
      <c r="E876" s="180"/>
    </row>
    <row r="877">
      <c r="A877" s="187"/>
      <c r="B877" s="187"/>
      <c r="C877" s="187"/>
      <c r="D877" s="190"/>
      <c r="E877" s="180"/>
    </row>
    <row r="878">
      <c r="A878" s="187"/>
      <c r="B878" s="187"/>
      <c r="C878" s="187"/>
      <c r="D878" s="190"/>
      <c r="E878" s="180"/>
    </row>
    <row r="879">
      <c r="A879" s="187"/>
      <c r="B879" s="187"/>
      <c r="C879" s="187"/>
      <c r="D879" s="190"/>
      <c r="E879" s="180"/>
    </row>
    <row r="880">
      <c r="A880" s="187"/>
      <c r="B880" s="187"/>
      <c r="C880" s="187"/>
      <c r="D880" s="190"/>
      <c r="E880" s="180"/>
    </row>
    <row r="881">
      <c r="A881" s="187"/>
      <c r="B881" s="187"/>
      <c r="C881" s="187"/>
      <c r="D881" s="190"/>
      <c r="E881" s="180"/>
    </row>
    <row r="882">
      <c r="A882" s="187"/>
      <c r="B882" s="187"/>
      <c r="C882" s="187"/>
      <c r="D882" s="190"/>
      <c r="E882" s="180"/>
    </row>
    <row r="883">
      <c r="A883" s="187"/>
      <c r="B883" s="187"/>
      <c r="C883" s="187"/>
      <c r="D883" s="190"/>
      <c r="E883" s="180"/>
    </row>
    <row r="884">
      <c r="A884" s="187"/>
      <c r="B884" s="187"/>
      <c r="C884" s="187"/>
      <c r="D884" s="190"/>
      <c r="E884" s="180"/>
    </row>
    <row r="885">
      <c r="A885" s="187"/>
      <c r="B885" s="187"/>
      <c r="C885" s="187"/>
      <c r="D885" s="190"/>
      <c r="E885" s="180"/>
    </row>
    <row r="886">
      <c r="A886" s="187"/>
      <c r="B886" s="187"/>
      <c r="C886" s="187"/>
      <c r="D886" s="190"/>
      <c r="E886" s="180"/>
    </row>
    <row r="887">
      <c r="A887" s="187"/>
      <c r="B887" s="187"/>
      <c r="C887" s="187"/>
      <c r="D887" s="190"/>
      <c r="E887" s="180"/>
    </row>
    <row r="888">
      <c r="A888" s="187"/>
      <c r="B888" s="187"/>
      <c r="C888" s="187"/>
      <c r="D888" s="190"/>
      <c r="E888" s="180"/>
    </row>
    <row r="889">
      <c r="A889" s="187"/>
      <c r="B889" s="187"/>
      <c r="C889" s="187"/>
      <c r="D889" s="190"/>
      <c r="E889" s="180"/>
    </row>
    <row r="890">
      <c r="A890" s="187"/>
      <c r="B890" s="187"/>
      <c r="C890" s="187"/>
      <c r="D890" s="190"/>
      <c r="E890" s="180"/>
    </row>
    <row r="891">
      <c r="A891" s="187"/>
      <c r="B891" s="187"/>
      <c r="C891" s="187"/>
      <c r="D891" s="190"/>
      <c r="E891" s="180"/>
    </row>
    <row r="892">
      <c r="A892" s="187"/>
      <c r="B892" s="187"/>
      <c r="C892" s="187"/>
      <c r="D892" s="190"/>
      <c r="E892" s="180"/>
    </row>
    <row r="893">
      <c r="A893" s="187"/>
      <c r="B893" s="187"/>
      <c r="C893" s="187"/>
      <c r="D893" s="190"/>
      <c r="E893" s="180"/>
    </row>
    <row r="894">
      <c r="A894" s="187"/>
      <c r="B894" s="187"/>
      <c r="C894" s="187"/>
      <c r="D894" s="190"/>
      <c r="E894" s="180"/>
    </row>
    <row r="895">
      <c r="A895" s="187"/>
      <c r="B895" s="187"/>
      <c r="C895" s="187"/>
      <c r="D895" s="190"/>
      <c r="E895" s="180"/>
    </row>
    <row r="896">
      <c r="A896" s="187"/>
      <c r="B896" s="187"/>
      <c r="C896" s="187"/>
      <c r="D896" s="190"/>
      <c r="E896" s="180"/>
    </row>
    <row r="897">
      <c r="A897" s="187"/>
      <c r="B897" s="187"/>
      <c r="C897" s="187"/>
      <c r="D897" s="190"/>
      <c r="E897" s="180"/>
    </row>
    <row r="898">
      <c r="A898" s="187"/>
      <c r="B898" s="187"/>
      <c r="C898" s="187"/>
      <c r="D898" s="190"/>
      <c r="E898" s="180"/>
    </row>
    <row r="899">
      <c r="A899" s="187"/>
      <c r="B899" s="187"/>
      <c r="C899" s="187"/>
      <c r="D899" s="190"/>
      <c r="E899" s="180"/>
    </row>
    <row r="900">
      <c r="A900" s="187"/>
      <c r="B900" s="187"/>
      <c r="C900" s="187"/>
      <c r="D900" s="190"/>
      <c r="E900" s="180"/>
    </row>
    <row r="901">
      <c r="A901" s="187"/>
      <c r="B901" s="187"/>
      <c r="C901" s="187"/>
      <c r="D901" s="190"/>
      <c r="E901" s="180"/>
    </row>
    <row r="902">
      <c r="A902" s="187"/>
      <c r="B902" s="187"/>
      <c r="C902" s="187"/>
      <c r="D902" s="190"/>
      <c r="E902" s="180"/>
    </row>
    <row r="903">
      <c r="A903" s="187"/>
      <c r="B903" s="187"/>
      <c r="C903" s="187"/>
      <c r="D903" s="190"/>
      <c r="E903" s="180"/>
    </row>
    <row r="904">
      <c r="A904" s="187"/>
      <c r="B904" s="187"/>
      <c r="C904" s="187"/>
      <c r="D904" s="190"/>
      <c r="E904" s="180"/>
    </row>
    <row r="905">
      <c r="A905" s="187"/>
      <c r="B905" s="187"/>
      <c r="C905" s="187"/>
      <c r="D905" s="190"/>
      <c r="E905" s="180"/>
    </row>
    <row r="906">
      <c r="A906" s="187"/>
      <c r="B906" s="187"/>
      <c r="C906" s="187"/>
      <c r="D906" s="190"/>
      <c r="E906" s="180"/>
    </row>
    <row r="907">
      <c r="A907" s="187"/>
      <c r="B907" s="187"/>
      <c r="C907" s="187"/>
      <c r="D907" s="190"/>
      <c r="E907" s="180"/>
    </row>
    <row r="908">
      <c r="A908" s="187"/>
      <c r="B908" s="187"/>
      <c r="C908" s="187"/>
      <c r="D908" s="190"/>
      <c r="E908" s="180"/>
    </row>
    <row r="909">
      <c r="A909" s="187"/>
      <c r="B909" s="187"/>
      <c r="C909" s="187"/>
      <c r="D909" s="190"/>
      <c r="E909" s="180"/>
    </row>
    <row r="910">
      <c r="A910" s="187"/>
      <c r="B910" s="187"/>
      <c r="C910" s="187"/>
      <c r="D910" s="190"/>
      <c r="E910" s="180"/>
    </row>
    <row r="911">
      <c r="A911" s="187"/>
      <c r="B911" s="187"/>
      <c r="C911" s="187"/>
      <c r="D911" s="190"/>
      <c r="E911" s="180"/>
    </row>
    <row r="912">
      <c r="A912" s="187"/>
      <c r="B912" s="187"/>
      <c r="C912" s="187"/>
      <c r="D912" s="190"/>
      <c r="E912" s="180"/>
    </row>
    <row r="913">
      <c r="A913" s="187"/>
      <c r="B913" s="187"/>
      <c r="C913" s="187"/>
      <c r="D913" s="190"/>
      <c r="E913" s="180"/>
    </row>
    <row r="914">
      <c r="A914" s="187"/>
      <c r="B914" s="187"/>
      <c r="C914" s="187"/>
      <c r="D914" s="190"/>
      <c r="E914" s="180"/>
    </row>
    <row r="915">
      <c r="A915" s="187"/>
      <c r="B915" s="187"/>
      <c r="C915" s="187"/>
      <c r="D915" s="190"/>
      <c r="E915" s="180"/>
    </row>
    <row r="916">
      <c r="A916" s="187"/>
      <c r="B916" s="187"/>
      <c r="C916" s="187"/>
      <c r="D916" s="190"/>
      <c r="E916" s="180"/>
    </row>
    <row r="917">
      <c r="A917" s="187"/>
      <c r="B917" s="187"/>
      <c r="C917" s="187"/>
      <c r="D917" s="190"/>
      <c r="E917" s="180"/>
    </row>
    <row r="918">
      <c r="A918" s="187"/>
      <c r="B918" s="187"/>
      <c r="C918" s="187"/>
      <c r="D918" s="190"/>
      <c r="E918" s="180"/>
    </row>
    <row r="919">
      <c r="A919" s="187"/>
      <c r="B919" s="187"/>
      <c r="C919" s="187"/>
      <c r="D919" s="190"/>
      <c r="E919" s="180"/>
    </row>
    <row r="920">
      <c r="A920" s="187"/>
      <c r="B920" s="187"/>
      <c r="C920" s="187"/>
      <c r="D920" s="190"/>
      <c r="E920" s="180"/>
    </row>
    <row r="921">
      <c r="A921" s="187"/>
      <c r="B921" s="187"/>
      <c r="C921" s="187"/>
      <c r="D921" s="190"/>
      <c r="E921" s="180"/>
    </row>
    <row r="922">
      <c r="A922" s="187"/>
      <c r="B922" s="187"/>
      <c r="C922" s="187"/>
      <c r="D922" s="190"/>
      <c r="E922" s="180"/>
    </row>
    <row r="923">
      <c r="A923" s="187"/>
      <c r="B923" s="187"/>
      <c r="C923" s="187"/>
      <c r="D923" s="190"/>
      <c r="E923" s="180"/>
    </row>
    <row r="924">
      <c r="A924" s="187"/>
      <c r="B924" s="187"/>
      <c r="C924" s="187"/>
      <c r="D924" s="190"/>
      <c r="E924" s="180"/>
    </row>
    <row r="925">
      <c r="A925" s="187"/>
      <c r="B925" s="187"/>
      <c r="C925" s="187"/>
      <c r="D925" s="190"/>
      <c r="E925" s="180"/>
    </row>
    <row r="926">
      <c r="A926" s="187"/>
      <c r="B926" s="187"/>
      <c r="C926" s="187"/>
      <c r="D926" s="190"/>
      <c r="E926" s="180"/>
    </row>
    <row r="927">
      <c r="A927" s="187"/>
      <c r="B927" s="187"/>
      <c r="C927" s="187"/>
      <c r="D927" s="190"/>
      <c r="E927" s="180"/>
    </row>
    <row r="928">
      <c r="A928" s="187"/>
      <c r="B928" s="187"/>
      <c r="C928" s="187"/>
      <c r="D928" s="190"/>
      <c r="E928" s="180"/>
    </row>
    <row r="929">
      <c r="A929" s="187"/>
      <c r="B929" s="187"/>
      <c r="C929" s="187"/>
      <c r="D929" s="190"/>
      <c r="E929" s="180"/>
    </row>
    <row r="930">
      <c r="A930" s="187"/>
      <c r="B930" s="187"/>
      <c r="C930" s="187"/>
      <c r="D930" s="190"/>
      <c r="E930" s="180"/>
    </row>
    <row r="931">
      <c r="A931" s="187"/>
      <c r="B931" s="187"/>
      <c r="C931" s="187"/>
      <c r="D931" s="190"/>
      <c r="E931" s="180"/>
    </row>
    <row r="932">
      <c r="A932" s="187"/>
      <c r="B932" s="187"/>
      <c r="C932" s="187"/>
      <c r="D932" s="190"/>
      <c r="E932" s="180"/>
    </row>
    <row r="933">
      <c r="A933" s="187"/>
      <c r="B933" s="187"/>
      <c r="C933" s="187"/>
      <c r="D933" s="190"/>
      <c r="E933" s="180"/>
    </row>
    <row r="934">
      <c r="A934" s="187"/>
      <c r="B934" s="187"/>
      <c r="C934" s="187"/>
      <c r="D934" s="190"/>
      <c r="E934" s="180"/>
    </row>
    <row r="935">
      <c r="A935" s="187"/>
      <c r="B935" s="187"/>
      <c r="C935" s="187"/>
      <c r="D935" s="190"/>
      <c r="E935" s="180"/>
    </row>
    <row r="936">
      <c r="A936" s="187"/>
      <c r="B936" s="187"/>
      <c r="C936" s="187"/>
      <c r="D936" s="190"/>
      <c r="E936" s="180"/>
    </row>
    <row r="937">
      <c r="A937" s="187"/>
      <c r="B937" s="187"/>
      <c r="C937" s="187"/>
      <c r="D937" s="190"/>
      <c r="E937" s="180"/>
    </row>
    <row r="938">
      <c r="A938" s="187"/>
      <c r="B938" s="187"/>
      <c r="C938" s="187"/>
      <c r="D938" s="190"/>
      <c r="E938" s="180"/>
    </row>
    <row r="939">
      <c r="A939" s="187"/>
      <c r="B939" s="187"/>
      <c r="C939" s="187"/>
      <c r="D939" s="190"/>
      <c r="E939" s="180"/>
    </row>
    <row r="940">
      <c r="A940" s="187"/>
      <c r="B940" s="187"/>
      <c r="C940" s="187"/>
      <c r="D940" s="190"/>
      <c r="E940" s="180"/>
    </row>
    <row r="941">
      <c r="A941" s="187"/>
      <c r="B941" s="187"/>
      <c r="C941" s="187"/>
      <c r="D941" s="190"/>
      <c r="E941" s="180"/>
    </row>
    <row r="942">
      <c r="A942" s="187"/>
      <c r="B942" s="187"/>
      <c r="C942" s="187"/>
      <c r="D942" s="190"/>
      <c r="E942" s="180"/>
    </row>
    <row r="943">
      <c r="A943" s="187"/>
      <c r="B943" s="187"/>
      <c r="C943" s="187"/>
      <c r="D943" s="190"/>
      <c r="E943" s="180"/>
    </row>
    <row r="944">
      <c r="A944" s="187"/>
      <c r="B944" s="187"/>
      <c r="C944" s="187"/>
      <c r="D944" s="190"/>
      <c r="E944" s="180"/>
    </row>
    <row r="945">
      <c r="A945" s="187"/>
      <c r="B945" s="187"/>
      <c r="C945" s="187"/>
      <c r="D945" s="190"/>
      <c r="E945" s="180"/>
    </row>
    <row r="946">
      <c r="A946" s="187"/>
      <c r="B946" s="187"/>
      <c r="C946" s="187"/>
      <c r="D946" s="190"/>
      <c r="E946" s="180"/>
    </row>
    <row r="947">
      <c r="A947" s="187"/>
      <c r="B947" s="187"/>
      <c r="C947" s="187"/>
      <c r="D947" s="190"/>
      <c r="E947" s="180"/>
    </row>
    <row r="948">
      <c r="A948" s="187"/>
      <c r="B948" s="187"/>
      <c r="C948" s="187"/>
      <c r="D948" s="190"/>
      <c r="E948" s="180"/>
    </row>
    <row r="949">
      <c r="A949" s="187"/>
      <c r="B949" s="187"/>
      <c r="C949" s="187"/>
      <c r="D949" s="190"/>
      <c r="E949" s="180"/>
    </row>
    <row r="950">
      <c r="A950" s="187"/>
      <c r="B950" s="187"/>
      <c r="C950" s="187"/>
      <c r="D950" s="190"/>
      <c r="E950" s="180"/>
    </row>
    <row r="951">
      <c r="A951" s="187"/>
      <c r="B951" s="187"/>
      <c r="C951" s="187"/>
      <c r="D951" s="190"/>
      <c r="E951" s="180"/>
    </row>
    <row r="952">
      <c r="A952" s="187"/>
      <c r="B952" s="187"/>
      <c r="C952" s="187"/>
      <c r="D952" s="190"/>
      <c r="E952" s="180"/>
    </row>
    <row r="953">
      <c r="A953" s="187"/>
      <c r="B953" s="187"/>
      <c r="C953" s="187"/>
      <c r="D953" s="190"/>
      <c r="E953" s="180"/>
    </row>
    <row r="954">
      <c r="A954" s="187"/>
      <c r="B954" s="187"/>
      <c r="C954" s="187"/>
      <c r="D954" s="190"/>
      <c r="E954" s="180"/>
    </row>
    <row r="955">
      <c r="A955" s="187"/>
      <c r="B955" s="187"/>
      <c r="C955" s="187"/>
      <c r="D955" s="190"/>
      <c r="E955" s="180"/>
    </row>
    <row r="956">
      <c r="A956" s="187"/>
      <c r="B956" s="187"/>
      <c r="C956" s="187"/>
      <c r="D956" s="190"/>
      <c r="E956" s="180"/>
    </row>
    <row r="957">
      <c r="A957" s="187"/>
      <c r="B957" s="187"/>
      <c r="C957" s="187"/>
      <c r="D957" s="190"/>
      <c r="E957" s="180"/>
    </row>
    <row r="958">
      <c r="A958" s="187"/>
      <c r="B958" s="187"/>
      <c r="C958" s="187"/>
      <c r="D958" s="190"/>
      <c r="E958" s="180"/>
    </row>
    <row r="959">
      <c r="A959" s="187"/>
      <c r="B959" s="187"/>
      <c r="C959" s="187"/>
      <c r="D959" s="190"/>
      <c r="E959" s="180"/>
    </row>
    <row r="960">
      <c r="A960" s="187"/>
      <c r="B960" s="187"/>
      <c r="C960" s="187"/>
      <c r="D960" s="190"/>
      <c r="E960" s="180"/>
    </row>
    <row r="961">
      <c r="A961" s="187"/>
      <c r="B961" s="187"/>
      <c r="C961" s="187"/>
      <c r="D961" s="190"/>
      <c r="E961" s="180"/>
    </row>
    <row r="962">
      <c r="A962" s="187"/>
      <c r="B962" s="187"/>
      <c r="C962" s="187"/>
      <c r="D962" s="190"/>
      <c r="E962" s="180"/>
    </row>
    <row r="963">
      <c r="A963" s="187"/>
      <c r="B963" s="187"/>
      <c r="C963" s="187"/>
      <c r="D963" s="190"/>
      <c r="E963" s="180"/>
    </row>
    <row r="964">
      <c r="A964" s="187"/>
      <c r="B964" s="187"/>
      <c r="C964" s="187"/>
      <c r="D964" s="190"/>
      <c r="E964" s="180"/>
    </row>
    <row r="965">
      <c r="A965" s="187"/>
      <c r="B965" s="187"/>
      <c r="C965" s="187"/>
      <c r="D965" s="190"/>
      <c r="E965" s="180"/>
    </row>
    <row r="966">
      <c r="A966" s="187"/>
      <c r="B966" s="187"/>
      <c r="C966" s="187"/>
      <c r="D966" s="190"/>
      <c r="E966" s="180"/>
    </row>
    <row r="967">
      <c r="A967" s="187"/>
      <c r="B967" s="187"/>
      <c r="C967" s="187"/>
      <c r="D967" s="190"/>
      <c r="E967" s="180"/>
    </row>
    <row r="968">
      <c r="A968" s="187"/>
      <c r="B968" s="187"/>
      <c r="C968" s="187"/>
      <c r="D968" s="190"/>
      <c r="E968" s="180"/>
    </row>
    <row r="969">
      <c r="A969" s="187"/>
      <c r="B969" s="187"/>
      <c r="C969" s="187"/>
      <c r="D969" s="190"/>
      <c r="E969" s="180"/>
    </row>
    <row r="970">
      <c r="A970" s="187"/>
      <c r="B970" s="187"/>
      <c r="C970" s="187"/>
      <c r="D970" s="190"/>
      <c r="E970" s="180"/>
    </row>
    <row r="971">
      <c r="A971" s="187"/>
      <c r="B971" s="187"/>
      <c r="C971" s="187"/>
      <c r="D971" s="190"/>
      <c r="E971" s="180"/>
    </row>
    <row r="972">
      <c r="A972" s="187"/>
      <c r="B972" s="187"/>
      <c r="C972" s="187"/>
      <c r="D972" s="190"/>
      <c r="E972" s="180"/>
    </row>
    <row r="973">
      <c r="A973" s="187"/>
      <c r="B973" s="187"/>
      <c r="C973" s="187"/>
      <c r="D973" s="190"/>
      <c r="E973" s="180"/>
    </row>
    <row r="974">
      <c r="A974" s="187"/>
      <c r="B974" s="187"/>
      <c r="C974" s="187"/>
      <c r="D974" s="190"/>
      <c r="E974" s="180"/>
    </row>
    <row r="975">
      <c r="A975" s="187"/>
      <c r="B975" s="187"/>
      <c r="C975" s="187"/>
      <c r="D975" s="190"/>
      <c r="E975" s="180"/>
    </row>
    <row r="976">
      <c r="A976" s="187"/>
      <c r="B976" s="187"/>
      <c r="C976" s="187"/>
      <c r="D976" s="190"/>
      <c r="E976" s="180"/>
    </row>
    <row r="977">
      <c r="A977" s="187"/>
      <c r="B977" s="187"/>
      <c r="C977" s="187"/>
      <c r="D977" s="190"/>
      <c r="E977" s="180"/>
    </row>
    <row r="978">
      <c r="A978" s="187"/>
      <c r="B978" s="187"/>
      <c r="C978" s="187"/>
      <c r="D978" s="190"/>
      <c r="E978" s="180"/>
    </row>
    <row r="979">
      <c r="A979" s="187"/>
      <c r="B979" s="187"/>
      <c r="C979" s="187"/>
      <c r="D979" s="190"/>
      <c r="E979" s="180"/>
    </row>
    <row r="980">
      <c r="A980" s="187"/>
      <c r="B980" s="187"/>
      <c r="C980" s="187"/>
      <c r="D980" s="190"/>
      <c r="E980" s="180"/>
    </row>
    <row r="981">
      <c r="A981" s="187"/>
      <c r="B981" s="187"/>
      <c r="C981" s="187"/>
      <c r="D981" s="190"/>
      <c r="E981" s="180"/>
    </row>
    <row r="982">
      <c r="A982" s="187"/>
      <c r="B982" s="187"/>
      <c r="C982" s="187"/>
      <c r="D982" s="190"/>
      <c r="E982" s="180"/>
    </row>
    <row r="983">
      <c r="A983" s="187"/>
      <c r="B983" s="187"/>
      <c r="C983" s="187"/>
      <c r="D983" s="190"/>
      <c r="E983" s="180"/>
    </row>
    <row r="984">
      <c r="A984" s="187"/>
      <c r="B984" s="187"/>
      <c r="C984" s="187"/>
      <c r="D984" s="190"/>
      <c r="E984" s="180"/>
    </row>
    <row r="985">
      <c r="A985" s="187"/>
      <c r="B985" s="187"/>
      <c r="C985" s="187"/>
      <c r="D985" s="190"/>
      <c r="E985" s="180"/>
    </row>
    <row r="986">
      <c r="A986" s="187"/>
      <c r="B986" s="187"/>
      <c r="C986" s="187"/>
      <c r="D986" s="190"/>
      <c r="E986" s="180"/>
    </row>
    <row r="987">
      <c r="A987" s="187"/>
      <c r="B987" s="187"/>
      <c r="C987" s="187"/>
      <c r="D987" s="190"/>
      <c r="E987" s="180"/>
    </row>
    <row r="988">
      <c r="A988" s="187"/>
      <c r="B988" s="187"/>
      <c r="C988" s="187"/>
      <c r="D988" s="190"/>
      <c r="E988" s="180"/>
    </row>
    <row r="989">
      <c r="A989" s="187"/>
      <c r="B989" s="187"/>
      <c r="C989" s="187"/>
      <c r="D989" s="190"/>
      <c r="E989" s="180"/>
    </row>
    <row r="990">
      <c r="A990" s="187"/>
      <c r="B990" s="187"/>
      <c r="C990" s="187"/>
      <c r="D990" s="190"/>
      <c r="E990" s="180"/>
    </row>
    <row r="991">
      <c r="A991" s="187"/>
      <c r="B991" s="187"/>
      <c r="C991" s="187"/>
      <c r="D991" s="190"/>
      <c r="E991" s="180"/>
    </row>
    <row r="992">
      <c r="A992" s="187"/>
      <c r="B992" s="187"/>
      <c r="C992" s="187"/>
      <c r="D992" s="190"/>
      <c r="E992" s="180"/>
    </row>
    <row r="993">
      <c r="A993" s="187"/>
      <c r="B993" s="187"/>
      <c r="C993" s="187"/>
      <c r="D993" s="190"/>
      <c r="E993" s="180"/>
    </row>
    <row r="994">
      <c r="A994" s="187"/>
      <c r="B994" s="187"/>
      <c r="C994" s="187"/>
      <c r="D994" s="190"/>
      <c r="E994" s="180"/>
    </row>
    <row r="995">
      <c r="A995" s="187"/>
      <c r="B995" s="187"/>
      <c r="C995" s="187"/>
      <c r="D995" s="190"/>
      <c r="E995" s="180"/>
    </row>
    <row r="996">
      <c r="A996" s="187"/>
      <c r="B996" s="187"/>
      <c r="C996" s="187"/>
      <c r="D996" s="190"/>
      <c r="E996" s="180"/>
    </row>
    <row r="997">
      <c r="A997" s="187"/>
      <c r="B997" s="187"/>
      <c r="C997" s="187"/>
      <c r="D997" s="190"/>
      <c r="E997" s="180"/>
    </row>
    <row r="998">
      <c r="A998" s="187"/>
      <c r="B998" s="187"/>
      <c r="C998" s="187"/>
      <c r="D998" s="190"/>
      <c r="E998" s="180"/>
    </row>
    <row r="999">
      <c r="A999" s="187"/>
      <c r="B999" s="187"/>
      <c r="C999" s="187"/>
      <c r="D999" s="190"/>
      <c r="E999" s="180"/>
    </row>
    <row r="1000">
      <c r="A1000" s="187"/>
      <c r="B1000" s="187"/>
      <c r="C1000" s="187"/>
      <c r="D1000" s="190"/>
      <c r="E1000" s="180"/>
    </row>
    <row r="1001">
      <c r="A1001" s="187"/>
      <c r="B1001" s="187"/>
      <c r="C1001" s="187"/>
      <c r="D1001" s="190"/>
      <c r="E1001" s="180"/>
    </row>
    <row r="1002">
      <c r="A1002" s="187"/>
      <c r="B1002" s="187"/>
      <c r="C1002" s="187"/>
      <c r="D1002" s="190"/>
      <c r="E1002" s="180"/>
    </row>
    <row r="1003">
      <c r="A1003" s="187"/>
      <c r="B1003" s="187"/>
      <c r="C1003" s="187"/>
      <c r="D1003" s="190"/>
      <c r="E1003" s="180"/>
    </row>
    <row r="1004">
      <c r="A1004" s="187"/>
      <c r="B1004" s="187"/>
      <c r="C1004" s="187"/>
      <c r="D1004" s="190"/>
      <c r="E1004" s="180"/>
    </row>
    <row r="1005">
      <c r="A1005" s="187"/>
      <c r="B1005" s="187"/>
      <c r="C1005" s="187"/>
      <c r="D1005" s="190"/>
      <c r="E1005" s="180"/>
    </row>
    <row r="1006">
      <c r="A1006" s="187"/>
      <c r="B1006" s="187"/>
      <c r="C1006" s="187"/>
      <c r="D1006" s="190"/>
      <c r="E1006" s="180"/>
    </row>
    <row r="1007">
      <c r="A1007" s="187"/>
      <c r="B1007" s="187"/>
      <c r="C1007" s="187"/>
      <c r="D1007" s="190"/>
      <c r="E1007" s="180"/>
    </row>
    <row r="1008">
      <c r="A1008" s="187"/>
      <c r="B1008" s="187"/>
      <c r="C1008" s="187"/>
      <c r="D1008" s="190"/>
      <c r="E1008" s="180"/>
    </row>
    <row r="1009">
      <c r="A1009" s="187"/>
      <c r="B1009" s="187"/>
      <c r="C1009" s="187"/>
      <c r="D1009" s="190"/>
      <c r="E1009" s="180"/>
    </row>
    <row r="1010">
      <c r="A1010" s="187"/>
      <c r="B1010" s="187"/>
      <c r="C1010" s="187"/>
      <c r="D1010" s="190"/>
      <c r="E1010" s="180"/>
    </row>
    <row r="1011">
      <c r="A1011" s="187"/>
      <c r="B1011" s="187"/>
      <c r="C1011" s="187"/>
      <c r="D1011" s="190"/>
      <c r="E1011" s="180"/>
    </row>
    <row r="1012">
      <c r="A1012" s="187"/>
      <c r="B1012" s="187"/>
      <c r="C1012" s="187"/>
      <c r="D1012" s="190"/>
      <c r="E1012" s="180"/>
    </row>
    <row r="1013">
      <c r="A1013" s="187"/>
      <c r="B1013" s="187"/>
      <c r="C1013" s="187"/>
      <c r="D1013" s="190"/>
      <c r="E1013" s="180"/>
    </row>
    <row r="1014">
      <c r="A1014" s="187"/>
      <c r="B1014" s="187"/>
      <c r="C1014" s="187"/>
      <c r="D1014" s="190"/>
      <c r="E1014" s="180"/>
    </row>
    <row r="1015">
      <c r="A1015" s="187"/>
      <c r="B1015" s="187"/>
      <c r="C1015" s="187"/>
      <c r="D1015" s="190"/>
      <c r="E1015" s="180"/>
    </row>
    <row r="1016">
      <c r="A1016" s="187"/>
      <c r="B1016" s="187"/>
      <c r="C1016" s="187"/>
      <c r="D1016" s="190"/>
      <c r="E1016" s="180"/>
    </row>
    <row r="1017">
      <c r="A1017" s="187"/>
      <c r="B1017" s="187"/>
      <c r="C1017" s="187"/>
      <c r="D1017" s="190"/>
      <c r="E1017" s="180"/>
    </row>
    <row r="1018">
      <c r="A1018" s="187"/>
      <c r="B1018" s="187"/>
      <c r="C1018" s="187"/>
      <c r="D1018" s="190"/>
      <c r="E1018" s="180"/>
    </row>
    <row r="1019">
      <c r="A1019" s="187"/>
      <c r="B1019" s="187"/>
      <c r="C1019" s="187"/>
      <c r="D1019" s="190"/>
      <c r="E1019" s="180"/>
    </row>
    <row r="1020">
      <c r="A1020" s="187"/>
      <c r="B1020" s="187"/>
      <c r="C1020" s="187"/>
      <c r="D1020" s="190"/>
      <c r="E1020" s="180"/>
    </row>
    <row r="1021">
      <c r="A1021" s="187"/>
      <c r="B1021" s="187"/>
      <c r="C1021" s="187"/>
      <c r="D1021" s="190"/>
      <c r="E1021" s="180"/>
    </row>
    <row r="1022">
      <c r="A1022" s="187"/>
      <c r="B1022" s="187"/>
      <c r="C1022" s="187"/>
      <c r="D1022" s="190"/>
      <c r="E1022" s="180"/>
    </row>
    <row r="1023">
      <c r="A1023" s="187"/>
      <c r="B1023" s="187"/>
      <c r="C1023" s="187"/>
      <c r="D1023" s="190"/>
      <c r="E1023" s="180"/>
    </row>
    <row r="1024">
      <c r="A1024" s="187"/>
      <c r="B1024" s="187"/>
      <c r="C1024" s="187"/>
      <c r="D1024" s="190"/>
      <c r="E1024" s="180"/>
    </row>
    <row r="1025">
      <c r="A1025" s="187"/>
      <c r="B1025" s="187"/>
      <c r="C1025" s="187"/>
      <c r="D1025" s="190"/>
      <c r="E1025" s="180"/>
    </row>
    <row r="1026">
      <c r="A1026" s="187"/>
      <c r="B1026" s="187"/>
      <c r="C1026" s="187"/>
      <c r="D1026" s="190"/>
      <c r="E1026" s="180"/>
    </row>
    <row r="1027">
      <c r="A1027" s="187"/>
      <c r="B1027" s="187"/>
      <c r="C1027" s="187"/>
      <c r="D1027" s="190"/>
      <c r="E1027" s="180"/>
    </row>
    <row r="1028">
      <c r="A1028" s="187"/>
      <c r="B1028" s="187"/>
      <c r="C1028" s="187"/>
      <c r="D1028" s="190"/>
      <c r="E1028" s="180"/>
    </row>
    <row r="1029">
      <c r="A1029" s="187"/>
      <c r="B1029" s="187"/>
      <c r="C1029" s="187"/>
      <c r="D1029" s="190"/>
      <c r="E1029" s="180"/>
    </row>
    <row r="1030">
      <c r="A1030" s="187"/>
      <c r="B1030" s="187"/>
      <c r="C1030" s="187"/>
      <c r="D1030" s="190"/>
      <c r="E1030" s="180"/>
    </row>
    <row r="1031">
      <c r="A1031" s="187"/>
      <c r="B1031" s="187"/>
      <c r="C1031" s="187"/>
      <c r="D1031" s="190"/>
      <c r="E1031" s="180"/>
    </row>
    <row r="1032">
      <c r="A1032" s="187"/>
      <c r="B1032" s="187"/>
      <c r="C1032" s="187"/>
      <c r="D1032" s="190"/>
      <c r="E1032" s="180"/>
    </row>
    <row r="1033">
      <c r="A1033" s="187"/>
      <c r="B1033" s="187"/>
      <c r="C1033" s="187"/>
      <c r="D1033" s="190"/>
      <c r="E1033" s="180"/>
    </row>
    <row r="1034">
      <c r="A1034" s="187"/>
      <c r="B1034" s="187"/>
      <c r="C1034" s="187"/>
      <c r="D1034" s="190"/>
      <c r="E1034" s="180"/>
    </row>
    <row r="1035">
      <c r="A1035" s="187"/>
      <c r="B1035" s="187"/>
      <c r="C1035" s="187"/>
      <c r="D1035" s="190"/>
      <c r="E1035" s="180"/>
    </row>
  </sheetData>
  <conditionalFormatting sqref="A1:A1035">
    <cfRule type="colorScale" priority="1">
      <colorScale>
        <cfvo type="min"/>
        <cfvo type="max"/>
        <color rgb="FF57BB8A"/>
        <color rgb="FFFFFFFF"/>
      </colorScale>
    </cfRule>
  </conditionalFormatting>
  <hyperlinks>
    <hyperlink r:id="rId1" ref="E2"/>
    <hyperlink r:id="rId2" ref="F2"/>
    <hyperlink r:id="rId3" ref="E3"/>
    <hyperlink r:id="rId4" ref="F3"/>
    <hyperlink r:id="rId5" ref="E4"/>
    <hyperlink r:id="rId6" ref="F4"/>
    <hyperlink r:id="rId7" ref="E5"/>
    <hyperlink r:id="rId8" ref="F5"/>
    <hyperlink r:id="rId9" ref="E6"/>
    <hyperlink r:id="rId10" ref="F6"/>
    <hyperlink r:id="rId11" ref="E7"/>
    <hyperlink r:id="rId12" ref="F7"/>
    <hyperlink r:id="rId13" ref="E8"/>
    <hyperlink r:id="rId14" ref="F8"/>
    <hyperlink r:id="rId15" ref="E9"/>
    <hyperlink r:id="rId16" ref="F9"/>
    <hyperlink r:id="rId17" ref="E10"/>
    <hyperlink r:id="rId18" ref="F10"/>
    <hyperlink r:id="rId19" ref="E11"/>
    <hyperlink r:id="rId20" ref="F11"/>
    <hyperlink r:id="rId21" ref="E12"/>
    <hyperlink r:id="rId22" ref="F12"/>
    <hyperlink r:id="rId23" ref="E13"/>
    <hyperlink r:id="rId24" ref="F13"/>
    <hyperlink r:id="rId25" ref="E14"/>
    <hyperlink r:id="rId26" ref="E15"/>
    <hyperlink r:id="rId27" ref="E16"/>
    <hyperlink r:id="rId28" ref="E17"/>
    <hyperlink r:id="rId29" ref="E18"/>
    <hyperlink r:id="rId30" ref="F18"/>
    <hyperlink r:id="rId31" ref="E19"/>
    <hyperlink r:id="rId32" ref="E20"/>
    <hyperlink r:id="rId33" ref="E21"/>
  </hyperlinks>
  <drawing r:id="rId3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BDAB"/>
    <outlinePr summaryBelow="0" summaryRight="0"/>
  </sheetPr>
  <sheetViews>
    <sheetView workbookViewId="0"/>
  </sheetViews>
  <sheetFormatPr customHeight="1" defaultColWidth="12.63" defaultRowHeight="15.75" outlineLevelRow="1"/>
  <cols>
    <col customWidth="1" min="3" max="3" width="17.13"/>
    <col customWidth="1" min="4" max="4" width="8.25"/>
    <col customWidth="1" min="5" max="5" width="32.75"/>
    <col customWidth="1" min="6" max="6" width="18.38"/>
    <col customWidth="1" min="8" max="8" width="17.0"/>
    <col customWidth="1" min="9" max="9" width="7.38"/>
  </cols>
  <sheetData>
    <row r="1">
      <c r="A1" s="143" t="s">
        <v>214</v>
      </c>
      <c r="B1" s="143" t="s">
        <v>59</v>
      </c>
      <c r="C1" s="143" t="s">
        <v>60</v>
      </c>
      <c r="D1" s="143" t="s">
        <v>61</v>
      </c>
      <c r="E1" s="143" t="s">
        <v>62</v>
      </c>
      <c r="F1" s="143" t="s">
        <v>216</v>
      </c>
      <c r="G1" s="143" t="s">
        <v>65</v>
      </c>
      <c r="H1" s="143" t="s">
        <v>218</v>
      </c>
      <c r="I1" s="143" t="s">
        <v>219</v>
      </c>
      <c r="K1" s="150"/>
      <c r="L1" s="150"/>
      <c r="M1" s="150"/>
      <c r="N1" s="150"/>
      <c r="O1" s="150"/>
      <c r="P1" s="150"/>
      <c r="Q1" s="150"/>
      <c r="R1" s="150"/>
      <c r="S1" s="150"/>
      <c r="T1" s="150"/>
      <c r="U1" s="150"/>
      <c r="V1" s="150"/>
      <c r="W1" s="150"/>
      <c r="X1" s="150"/>
      <c r="Y1" s="150"/>
      <c r="Z1" s="150"/>
      <c r="AA1" s="150"/>
      <c r="AB1" s="150"/>
      <c r="AC1" s="150"/>
    </row>
    <row r="2">
      <c r="A2" s="153" t="s">
        <v>226</v>
      </c>
      <c r="B2" s="153" t="str">
        <f>Cats!$A$6:Cats!$F$6</f>
        <v>Basic</v>
      </c>
      <c r="C2" s="153" t="s">
        <v>187</v>
      </c>
      <c r="D2" s="153" t="s">
        <v>181</v>
      </c>
      <c r="E2" s="154" t="s">
        <v>188</v>
      </c>
      <c r="F2" s="157" t="s">
        <v>189</v>
      </c>
      <c r="G2" s="182" t="s">
        <v>194</v>
      </c>
      <c r="H2" s="155" t="b">
        <f>true</f>
        <v>1</v>
      </c>
      <c r="I2" s="183">
        <v>25.0</v>
      </c>
    </row>
    <row r="3">
      <c r="A3" s="153" t="s">
        <v>226</v>
      </c>
      <c r="B3" s="153" t="str">
        <f>Cats!$A$7:Cats!$F$7</f>
        <v>Basic</v>
      </c>
      <c r="C3" s="153" t="s">
        <v>201</v>
      </c>
      <c r="D3" s="153" t="s">
        <v>172</v>
      </c>
      <c r="E3" s="154" t="s">
        <v>202</v>
      </c>
      <c r="F3" s="157" t="s">
        <v>203</v>
      </c>
      <c r="G3" s="182" t="s">
        <v>205</v>
      </c>
      <c r="H3" s="155"/>
      <c r="I3" s="183">
        <v>25.0</v>
      </c>
    </row>
    <row r="4">
      <c r="A4" s="153" t="s">
        <v>226</v>
      </c>
      <c r="B4" s="153" t="str">
        <f>Cats!$A$8:Cats!$F$8</f>
        <v>Basic</v>
      </c>
      <c r="C4" s="153" t="s">
        <v>210</v>
      </c>
      <c r="D4" s="153" t="s">
        <v>170</v>
      </c>
      <c r="E4" s="154" t="s">
        <v>211</v>
      </c>
      <c r="F4" s="157" t="s">
        <v>212</v>
      </c>
      <c r="G4" s="182" t="s">
        <v>215</v>
      </c>
      <c r="H4" s="155"/>
      <c r="I4" s="183">
        <v>25.0</v>
      </c>
    </row>
    <row r="5">
      <c r="A5" s="153" t="s">
        <v>226</v>
      </c>
      <c r="B5" s="153" t="str">
        <f>Cats!$A$9:Cats!$F$9</f>
        <v>Basic</v>
      </c>
      <c r="C5" s="153" t="s">
        <v>223</v>
      </c>
      <c r="D5" s="153" t="s">
        <v>166</v>
      </c>
      <c r="E5" s="154" t="s">
        <v>224</v>
      </c>
      <c r="F5" s="157" t="s">
        <v>225</v>
      </c>
      <c r="G5" s="182" t="s">
        <v>233</v>
      </c>
      <c r="H5" s="155"/>
      <c r="I5" s="183">
        <v>25.0</v>
      </c>
    </row>
    <row r="6">
      <c r="A6" s="153" t="s">
        <v>226</v>
      </c>
      <c r="B6" s="153" t="str">
        <f>Cats!$A$18:Cats!$F$18</f>
        <v>Shop Exclusive</v>
      </c>
      <c r="C6" s="153" t="s">
        <v>293</v>
      </c>
      <c r="D6" s="153" t="s">
        <v>294</v>
      </c>
      <c r="E6" s="154" t="s">
        <v>295</v>
      </c>
      <c r="F6" s="184" t="s">
        <v>296</v>
      </c>
      <c r="G6" s="182" t="s">
        <v>302</v>
      </c>
      <c r="H6" s="155"/>
      <c r="I6" s="183">
        <v>200.0</v>
      </c>
    </row>
    <row r="7">
      <c r="A7" s="153" t="s">
        <v>226</v>
      </c>
      <c r="B7" s="153"/>
      <c r="C7" s="153" t="str">
        <f>Cats!$B$19:Cats!$F$19</f>
        <v>Glass</v>
      </c>
      <c r="D7" s="153" t="s">
        <v>307</v>
      </c>
      <c r="E7" s="154" t="s">
        <v>308</v>
      </c>
      <c r="F7" s="178" t="s">
        <v>309</v>
      </c>
      <c r="G7" s="185"/>
      <c r="H7" s="155"/>
      <c r="I7" s="183">
        <v>200.0</v>
      </c>
    </row>
    <row r="8">
      <c r="A8" s="153" t="s">
        <v>226</v>
      </c>
      <c r="B8" s="153"/>
      <c r="C8" s="153" t="str">
        <f>Cats!$B$20:Cats!$F$20</f>
        <v>Meadow</v>
      </c>
      <c r="D8" s="153" t="s">
        <v>314</v>
      </c>
      <c r="E8" s="154" t="s">
        <v>316</v>
      </c>
      <c r="F8" s="178" t="s">
        <v>319</v>
      </c>
      <c r="G8" s="145"/>
      <c r="H8" s="155"/>
      <c r="I8" s="183">
        <v>200.0</v>
      </c>
    </row>
    <row r="9">
      <c r="A9" s="153" t="s">
        <v>226</v>
      </c>
      <c r="B9" s="153"/>
      <c r="C9" s="153" t="str">
        <f>Cats!$B$21:Cats!$F$21</f>
        <v>Magma</v>
      </c>
      <c r="D9" s="153" t="s">
        <v>324</v>
      </c>
      <c r="E9" s="154" t="s">
        <v>325</v>
      </c>
      <c r="F9" s="178" t="s">
        <v>326</v>
      </c>
      <c r="G9" s="145"/>
      <c r="H9" s="155"/>
      <c r="I9" s="183">
        <v>200.0</v>
      </c>
    </row>
    <row r="10">
      <c r="A10" s="153"/>
      <c r="B10" s="153"/>
      <c r="C10" s="153"/>
      <c r="D10" s="153"/>
      <c r="E10" s="154"/>
      <c r="F10" s="186"/>
      <c r="G10" s="145"/>
      <c r="H10" s="155"/>
      <c r="I10" s="155"/>
    </row>
    <row r="11">
      <c r="A11" s="153"/>
      <c r="B11" s="153"/>
      <c r="C11" s="153"/>
      <c r="D11" s="153"/>
      <c r="E11" s="154"/>
      <c r="F11" s="186"/>
      <c r="G11" s="145"/>
      <c r="H11" s="155"/>
      <c r="I11" s="155"/>
    </row>
    <row r="12">
      <c r="A12" s="153"/>
      <c r="B12" s="153"/>
      <c r="C12" s="153"/>
      <c r="D12" s="153"/>
      <c r="E12" s="154"/>
      <c r="F12" s="186"/>
      <c r="G12" s="145"/>
      <c r="H12" s="155"/>
      <c r="I12" s="155"/>
    </row>
    <row r="13">
      <c r="A13" s="153"/>
      <c r="B13" s="153"/>
      <c r="C13" s="153"/>
      <c r="D13" s="153"/>
      <c r="E13" s="154"/>
      <c r="F13" s="186"/>
      <c r="G13" s="145"/>
      <c r="H13" s="155"/>
      <c r="I13" s="155"/>
    </row>
    <row r="14">
      <c r="A14" s="153"/>
      <c r="B14" s="153"/>
      <c r="C14" s="153"/>
      <c r="D14" s="153"/>
      <c r="E14" s="154"/>
      <c r="F14" s="186"/>
      <c r="G14" s="145"/>
      <c r="H14" s="155"/>
      <c r="I14" s="155"/>
    </row>
    <row r="15">
      <c r="A15" s="153"/>
      <c r="B15" s="153"/>
      <c r="C15" s="153"/>
      <c r="D15" s="153"/>
      <c r="E15" s="154"/>
      <c r="F15" s="186"/>
      <c r="G15" s="145"/>
      <c r="H15" s="155"/>
      <c r="I15" s="155"/>
    </row>
    <row r="16">
      <c r="A16" s="153"/>
      <c r="B16" s="153"/>
      <c r="C16" s="153"/>
      <c r="D16" s="153"/>
      <c r="E16" s="154"/>
      <c r="F16" s="186"/>
      <c r="G16" s="145"/>
      <c r="H16" s="155"/>
      <c r="I16" s="155"/>
    </row>
    <row r="17">
      <c r="A17" s="153"/>
      <c r="B17" s="153"/>
      <c r="C17" s="153"/>
      <c r="D17" s="153"/>
      <c r="E17" s="154"/>
      <c r="F17" s="186"/>
      <c r="G17" s="145"/>
      <c r="H17" s="155"/>
      <c r="I17" s="155"/>
    </row>
    <row r="18">
      <c r="A18" s="153"/>
      <c r="B18" s="153"/>
      <c r="C18" s="153"/>
      <c r="D18" s="153"/>
      <c r="E18" s="154"/>
      <c r="F18" s="186"/>
      <c r="G18" s="145"/>
      <c r="H18" s="155"/>
      <c r="I18" s="155"/>
    </row>
    <row r="19">
      <c r="A19" s="153"/>
      <c r="B19" s="153"/>
      <c r="C19" s="153"/>
      <c r="D19" s="153"/>
      <c r="E19" s="154"/>
      <c r="F19" s="186"/>
      <c r="G19" s="145"/>
      <c r="H19" s="155"/>
      <c r="I19" s="155"/>
    </row>
    <row r="20">
      <c r="A20" s="153"/>
      <c r="B20" s="153"/>
      <c r="C20" s="153"/>
      <c r="D20" s="153"/>
      <c r="E20" s="154"/>
      <c r="F20" s="186"/>
      <c r="G20" s="145"/>
      <c r="H20" s="155"/>
      <c r="I20" s="155"/>
    </row>
    <row r="21">
      <c r="A21" s="153"/>
      <c r="B21" s="153"/>
      <c r="C21" s="153"/>
      <c r="D21" s="153"/>
      <c r="E21" s="154"/>
      <c r="F21" s="186"/>
      <c r="G21" s="145"/>
      <c r="H21" s="155"/>
      <c r="I21" s="155"/>
    </row>
    <row r="22">
      <c r="A22" s="153"/>
      <c r="B22" s="153"/>
      <c r="C22" s="153"/>
      <c r="D22" s="153"/>
      <c r="E22" s="154"/>
      <c r="F22" s="186"/>
      <c r="G22" s="145"/>
      <c r="H22" s="155"/>
      <c r="I22" s="155"/>
    </row>
    <row r="23">
      <c r="A23" s="153"/>
      <c r="B23" s="153"/>
      <c r="C23" s="153"/>
      <c r="D23" s="153"/>
      <c r="E23" s="154"/>
      <c r="F23" s="186"/>
      <c r="G23" s="145"/>
      <c r="H23" s="155"/>
      <c r="I23" s="155"/>
    </row>
    <row r="24">
      <c r="A24" s="153"/>
      <c r="B24" s="153"/>
      <c r="C24" s="153"/>
      <c r="D24" s="153"/>
      <c r="E24" s="154"/>
      <c r="F24" s="186"/>
      <c r="G24" s="145"/>
      <c r="H24" s="155"/>
      <c r="I24" s="155"/>
    </row>
    <row r="25">
      <c r="A25" s="153"/>
      <c r="B25" s="153"/>
      <c r="C25" s="153"/>
      <c r="D25" s="153"/>
      <c r="E25" s="154"/>
      <c r="F25" s="186"/>
      <c r="G25" s="145"/>
      <c r="H25" s="155"/>
      <c r="I25" s="155"/>
    </row>
    <row r="26">
      <c r="A26" s="153"/>
      <c r="B26" s="153"/>
      <c r="C26" s="153"/>
      <c r="D26" s="153"/>
      <c r="E26" s="154"/>
      <c r="F26" s="186"/>
      <c r="G26" s="145"/>
      <c r="H26" s="155"/>
      <c r="I26" s="155"/>
    </row>
    <row r="27">
      <c r="A27" s="153"/>
      <c r="B27" s="153"/>
      <c r="C27" s="153"/>
      <c r="D27" s="153"/>
      <c r="E27" s="154"/>
      <c r="F27" s="186"/>
      <c r="G27" s="145"/>
      <c r="H27" s="155"/>
      <c r="I27" s="155"/>
    </row>
    <row r="28">
      <c r="A28" s="153"/>
      <c r="B28" s="153"/>
      <c r="C28" s="153"/>
      <c r="D28" s="153"/>
      <c r="E28" s="154"/>
      <c r="F28" s="186"/>
      <c r="G28" s="145"/>
      <c r="H28" s="155"/>
      <c r="I28" s="155"/>
    </row>
    <row r="29">
      <c r="A29" s="153"/>
      <c r="B29" s="153"/>
      <c r="C29" s="153"/>
      <c r="D29" s="153"/>
      <c r="E29" s="154"/>
      <c r="F29" s="186"/>
      <c r="G29" s="145"/>
      <c r="H29" s="155"/>
      <c r="I29" s="155"/>
    </row>
    <row r="30">
      <c r="A30" s="153"/>
      <c r="B30" s="153"/>
      <c r="C30" s="153"/>
      <c r="D30" s="153"/>
      <c r="E30" s="154"/>
      <c r="F30" s="186"/>
      <c r="G30" s="145"/>
      <c r="H30" s="155"/>
      <c r="I30" s="155"/>
    </row>
    <row r="31">
      <c r="A31" s="153"/>
      <c r="B31" s="153"/>
      <c r="C31" s="153"/>
      <c r="D31" s="153"/>
      <c r="E31" s="154"/>
      <c r="F31" s="186"/>
      <c r="G31" s="145"/>
      <c r="H31" s="155"/>
      <c r="I31" s="155"/>
    </row>
    <row r="32">
      <c r="A32" s="153"/>
      <c r="B32" s="153"/>
      <c r="C32" s="153"/>
      <c r="D32" s="153"/>
      <c r="E32" s="154"/>
      <c r="F32" s="186"/>
      <c r="G32" s="145"/>
      <c r="H32" s="155"/>
      <c r="I32" s="155"/>
    </row>
    <row r="33">
      <c r="A33" s="153"/>
      <c r="B33" s="153"/>
      <c r="C33" s="153"/>
      <c r="D33" s="153"/>
      <c r="E33" s="154"/>
      <c r="F33" s="186"/>
      <c r="G33" s="145"/>
      <c r="H33" s="155"/>
      <c r="I33" s="155"/>
    </row>
    <row r="34">
      <c r="A34" s="153"/>
      <c r="B34" s="153"/>
      <c r="C34" s="153"/>
      <c r="D34" s="153"/>
      <c r="E34" s="154"/>
      <c r="F34" s="186"/>
      <c r="G34" s="145"/>
      <c r="H34" s="155"/>
      <c r="I34" s="155"/>
    </row>
    <row r="35">
      <c r="A35" s="153"/>
      <c r="B35" s="153"/>
      <c r="C35" s="153"/>
      <c r="D35" s="153"/>
      <c r="E35" s="154"/>
      <c r="F35" s="186"/>
      <c r="G35" s="145"/>
      <c r="H35" s="155"/>
      <c r="I35" s="155"/>
    </row>
    <row r="36">
      <c r="A36" s="153"/>
      <c r="B36" s="153"/>
      <c r="C36" s="153"/>
      <c r="D36" s="153"/>
      <c r="E36" s="154"/>
      <c r="F36" s="186"/>
      <c r="G36" s="145"/>
      <c r="H36" s="155"/>
      <c r="I36" s="155"/>
    </row>
    <row r="37">
      <c r="A37" s="153"/>
      <c r="B37" s="153"/>
      <c r="C37" s="153"/>
      <c r="D37" s="153"/>
      <c r="E37" s="154"/>
      <c r="F37" s="186"/>
      <c r="G37" s="145"/>
      <c r="H37" s="155"/>
      <c r="I37" s="155"/>
    </row>
    <row r="38">
      <c r="A38" s="153"/>
      <c r="B38" s="153"/>
      <c r="C38" s="153"/>
      <c r="D38" s="153"/>
      <c r="E38" s="154"/>
      <c r="F38" s="186"/>
      <c r="G38" s="145"/>
      <c r="H38" s="155"/>
      <c r="I38" s="155"/>
    </row>
    <row r="39">
      <c r="A39" s="153"/>
      <c r="B39" s="153"/>
      <c r="C39" s="153"/>
      <c r="D39" s="153"/>
      <c r="E39" s="154"/>
      <c r="F39" s="186"/>
      <c r="G39" s="145"/>
      <c r="H39" s="155"/>
      <c r="I39" s="155"/>
    </row>
    <row r="40">
      <c r="A40" s="153"/>
      <c r="B40" s="153"/>
      <c r="C40" s="153"/>
      <c r="D40" s="153"/>
      <c r="E40" s="154"/>
      <c r="F40" s="186"/>
      <c r="G40" s="145"/>
      <c r="H40" s="155"/>
      <c r="I40" s="155"/>
    </row>
    <row r="41">
      <c r="A41" s="153"/>
      <c r="B41" s="153"/>
      <c r="C41" s="153"/>
      <c r="D41" s="153"/>
      <c r="E41" s="154"/>
      <c r="F41" s="186"/>
      <c r="G41" s="145"/>
      <c r="H41" s="155"/>
      <c r="I41" s="155"/>
    </row>
    <row r="42">
      <c r="A42" s="153"/>
      <c r="B42" s="153"/>
      <c r="C42" s="153"/>
      <c r="D42" s="153"/>
      <c r="E42" s="154"/>
      <c r="F42" s="186"/>
      <c r="G42" s="145"/>
      <c r="H42" s="155"/>
      <c r="I42" s="155"/>
    </row>
    <row r="43">
      <c r="A43" s="153"/>
      <c r="B43" s="153"/>
      <c r="C43" s="153"/>
      <c r="D43" s="153"/>
      <c r="E43" s="154"/>
      <c r="F43" s="186"/>
      <c r="G43" s="145"/>
      <c r="H43" s="155"/>
      <c r="I43" s="155"/>
    </row>
    <row r="44">
      <c r="A44" s="187"/>
      <c r="B44" s="187"/>
      <c r="C44" s="187"/>
      <c r="D44" s="153"/>
      <c r="E44" s="154"/>
      <c r="F44" s="180"/>
      <c r="H44" s="155"/>
      <c r="I44" s="155"/>
    </row>
    <row r="45">
      <c r="A45" s="187"/>
      <c r="B45" s="187"/>
      <c r="C45" s="187"/>
      <c r="D45" s="153"/>
      <c r="E45" s="154"/>
      <c r="F45" s="180"/>
      <c r="H45" s="155"/>
      <c r="I45" s="155"/>
    </row>
    <row r="46">
      <c r="A46" s="187"/>
      <c r="B46" s="187"/>
      <c r="C46" s="187"/>
      <c r="D46" s="153"/>
      <c r="E46" s="154"/>
      <c r="F46" s="180"/>
      <c r="H46" s="155"/>
      <c r="I46" s="155"/>
    </row>
    <row r="47">
      <c r="A47" s="187"/>
      <c r="B47" s="187"/>
      <c r="C47" s="187"/>
      <c r="D47" s="153"/>
      <c r="E47" s="154"/>
      <c r="F47" s="180"/>
      <c r="H47" s="155"/>
      <c r="I47" s="155"/>
    </row>
    <row r="48">
      <c r="A48" s="153"/>
      <c r="B48" s="153"/>
      <c r="C48" s="155"/>
      <c r="D48" s="153"/>
      <c r="E48" s="154"/>
      <c r="F48" s="180"/>
      <c r="H48" s="155"/>
      <c r="I48" s="155"/>
    </row>
    <row r="49">
      <c r="A49" s="153"/>
      <c r="B49" s="153"/>
      <c r="C49" s="155"/>
      <c r="D49" s="153"/>
      <c r="E49" s="188"/>
      <c r="F49" s="180"/>
      <c r="H49" s="155"/>
      <c r="I49" s="155"/>
    </row>
    <row r="50">
      <c r="A50" s="153"/>
      <c r="B50" s="153"/>
      <c r="C50" s="155"/>
      <c r="D50" s="153"/>
      <c r="E50" s="188"/>
      <c r="F50" s="180"/>
      <c r="H50" s="155"/>
      <c r="I50" s="155"/>
    </row>
    <row r="51">
      <c r="A51" s="153"/>
      <c r="B51" s="153"/>
      <c r="C51" s="155"/>
      <c r="D51" s="153"/>
      <c r="E51" s="188"/>
      <c r="F51" s="180"/>
      <c r="H51" s="155"/>
      <c r="I51" s="155"/>
    </row>
    <row r="52">
      <c r="A52" s="153"/>
      <c r="B52" s="153"/>
      <c r="C52" s="155"/>
      <c r="D52" s="153"/>
      <c r="E52" s="188"/>
      <c r="F52" s="180"/>
      <c r="H52" s="155"/>
      <c r="I52" s="155"/>
    </row>
    <row r="53">
      <c r="A53" s="153"/>
      <c r="B53" s="153"/>
      <c r="C53" s="155"/>
      <c r="D53" s="153"/>
      <c r="E53" s="188"/>
      <c r="F53" s="180"/>
      <c r="H53" s="155"/>
      <c r="I53" s="155"/>
    </row>
    <row r="54">
      <c r="A54" s="153"/>
      <c r="B54" s="153"/>
      <c r="C54" s="155"/>
      <c r="D54" s="153"/>
      <c r="E54" s="188"/>
      <c r="F54" s="180"/>
      <c r="H54" s="155"/>
      <c r="I54" s="155"/>
    </row>
    <row r="55">
      <c r="A55" s="153"/>
      <c r="B55" s="153"/>
      <c r="C55" s="155"/>
      <c r="D55" s="153"/>
      <c r="E55" s="188"/>
      <c r="F55" s="180"/>
      <c r="H55" s="155"/>
      <c r="I55" s="155"/>
    </row>
    <row r="56">
      <c r="A56" s="153"/>
      <c r="B56" s="153"/>
      <c r="C56" s="155"/>
      <c r="D56" s="155"/>
      <c r="E56" s="189"/>
      <c r="F56" s="180"/>
      <c r="H56" s="155"/>
      <c r="I56" s="155"/>
    </row>
    <row r="57">
      <c r="A57" s="153"/>
      <c r="B57" s="153"/>
      <c r="C57" s="155"/>
      <c r="D57" s="155"/>
      <c r="E57" s="189"/>
      <c r="F57" s="180"/>
      <c r="H57" s="155"/>
      <c r="I57" s="155"/>
    </row>
    <row r="58">
      <c r="A58" s="153"/>
      <c r="B58" s="153"/>
      <c r="C58" s="155"/>
      <c r="D58" s="155"/>
      <c r="E58" s="189"/>
      <c r="F58" s="180"/>
      <c r="H58" s="155"/>
      <c r="I58" s="155"/>
    </row>
    <row r="59">
      <c r="A59" s="153"/>
      <c r="B59" s="153"/>
      <c r="C59" s="155"/>
      <c r="D59" s="155"/>
      <c r="E59" s="189"/>
      <c r="F59" s="180"/>
      <c r="H59" s="155"/>
      <c r="I59" s="155"/>
    </row>
    <row r="60">
      <c r="A60" s="153"/>
      <c r="B60" s="153"/>
      <c r="C60" s="155"/>
      <c r="D60" s="155"/>
      <c r="E60" s="189"/>
      <c r="F60" s="180"/>
      <c r="H60" s="155"/>
      <c r="I60" s="155"/>
    </row>
    <row r="61">
      <c r="A61" s="153"/>
      <c r="B61" s="153"/>
      <c r="C61" s="155"/>
      <c r="D61" s="155"/>
      <c r="E61" s="189"/>
      <c r="F61" s="180"/>
      <c r="H61" s="155"/>
      <c r="I61" s="155"/>
    </row>
    <row r="62">
      <c r="A62" s="153"/>
      <c r="B62" s="153"/>
      <c r="C62" s="155"/>
      <c r="D62" s="155"/>
      <c r="E62" s="189"/>
      <c r="F62" s="180"/>
      <c r="H62" s="155"/>
      <c r="I62" s="155"/>
    </row>
    <row r="63">
      <c r="A63" s="153"/>
      <c r="B63" s="153"/>
      <c r="C63" s="155"/>
      <c r="D63" s="155"/>
      <c r="E63" s="189"/>
      <c r="F63" s="180"/>
      <c r="H63" s="155"/>
      <c r="I63" s="155"/>
    </row>
    <row r="64">
      <c r="A64" s="153"/>
      <c r="B64" s="153"/>
      <c r="C64" s="155"/>
      <c r="D64" s="155"/>
      <c r="E64" s="189"/>
      <c r="F64" s="180"/>
      <c r="H64" s="155"/>
      <c r="I64" s="155"/>
    </row>
    <row r="65">
      <c r="A65" s="187"/>
      <c r="B65" s="187"/>
      <c r="C65" s="187"/>
      <c r="D65" s="187"/>
      <c r="E65" s="190"/>
      <c r="F65" s="180"/>
      <c r="H65" s="155"/>
      <c r="I65" s="155"/>
    </row>
    <row r="66">
      <c r="A66" s="187"/>
      <c r="B66" s="187"/>
      <c r="C66" s="187"/>
      <c r="D66" s="187"/>
      <c r="E66" s="190"/>
      <c r="F66" s="180"/>
      <c r="H66" s="155"/>
      <c r="I66" s="155"/>
    </row>
    <row r="67">
      <c r="A67" s="187"/>
      <c r="B67" s="187"/>
      <c r="C67" s="187"/>
      <c r="D67" s="187"/>
      <c r="E67" s="190"/>
      <c r="F67" s="180"/>
      <c r="H67" s="155"/>
      <c r="I67" s="155"/>
    </row>
    <row r="68">
      <c r="A68" s="187"/>
      <c r="B68" s="187"/>
      <c r="C68" s="187"/>
      <c r="D68" s="187"/>
      <c r="E68" s="190"/>
      <c r="F68" s="180"/>
      <c r="H68" s="155"/>
      <c r="I68" s="155"/>
    </row>
    <row r="69">
      <c r="A69" s="187"/>
      <c r="B69" s="187"/>
      <c r="C69" s="187"/>
      <c r="D69" s="187"/>
      <c r="E69" s="190"/>
      <c r="F69" s="180"/>
      <c r="H69" s="155"/>
      <c r="I69" s="155"/>
    </row>
    <row r="70">
      <c r="A70" s="187"/>
      <c r="B70" s="187"/>
      <c r="C70" s="187"/>
      <c r="D70" s="187"/>
      <c r="E70" s="190"/>
      <c r="F70" s="180"/>
      <c r="H70" s="155"/>
      <c r="I70" s="155"/>
    </row>
    <row r="71">
      <c r="A71" s="187"/>
      <c r="B71" s="187"/>
      <c r="C71" s="187"/>
      <c r="D71" s="187"/>
      <c r="E71" s="190"/>
      <c r="F71" s="180"/>
      <c r="H71" s="155"/>
      <c r="I71" s="155"/>
    </row>
    <row r="72">
      <c r="A72" s="187"/>
      <c r="B72" s="187"/>
      <c r="C72" s="187"/>
      <c r="D72" s="187"/>
      <c r="E72" s="190"/>
      <c r="F72" s="180"/>
      <c r="H72" s="155"/>
      <c r="I72" s="155"/>
    </row>
    <row r="73">
      <c r="A73" s="187"/>
      <c r="B73" s="187"/>
      <c r="C73" s="187"/>
      <c r="D73" s="187"/>
      <c r="E73" s="190"/>
      <c r="F73" s="180"/>
      <c r="H73" s="155"/>
      <c r="I73" s="155"/>
    </row>
    <row r="74">
      <c r="A74" s="187"/>
      <c r="B74" s="187"/>
      <c r="C74" s="187"/>
      <c r="D74" s="187"/>
      <c r="E74" s="190"/>
      <c r="F74" s="180"/>
      <c r="H74" s="155"/>
      <c r="I74" s="155"/>
    </row>
    <row r="75">
      <c r="A75" s="187"/>
      <c r="B75" s="187"/>
      <c r="C75" s="187"/>
      <c r="D75" s="187"/>
      <c r="E75" s="190"/>
      <c r="F75" s="180"/>
      <c r="H75" s="155"/>
      <c r="I75" s="155"/>
    </row>
    <row r="76">
      <c r="A76" s="187"/>
      <c r="B76" s="187"/>
      <c r="C76" s="187"/>
      <c r="D76" s="187"/>
      <c r="E76" s="190"/>
      <c r="F76" s="180"/>
      <c r="H76" s="155"/>
      <c r="I76" s="155"/>
    </row>
    <row r="77">
      <c r="A77" s="187"/>
      <c r="B77" s="187"/>
      <c r="C77" s="187"/>
      <c r="D77" s="187"/>
      <c r="E77" s="190"/>
      <c r="F77" s="180"/>
      <c r="H77" s="155"/>
      <c r="I77" s="155"/>
    </row>
    <row r="78">
      <c r="A78" s="187"/>
      <c r="B78" s="187"/>
      <c r="C78" s="187"/>
      <c r="D78" s="187"/>
      <c r="E78" s="190"/>
      <c r="F78" s="180"/>
      <c r="H78" s="155"/>
      <c r="I78" s="155"/>
    </row>
    <row r="79">
      <c r="A79" s="187"/>
      <c r="B79" s="187"/>
      <c r="C79" s="187"/>
      <c r="D79" s="187"/>
      <c r="E79" s="190"/>
      <c r="F79" s="180"/>
      <c r="H79" s="155"/>
      <c r="I79" s="155"/>
    </row>
    <row r="80">
      <c r="A80" s="187"/>
      <c r="B80" s="187"/>
      <c r="C80" s="187"/>
      <c r="D80" s="187"/>
      <c r="E80" s="190"/>
      <c r="F80" s="180"/>
      <c r="H80" s="155"/>
      <c r="I80" s="155"/>
    </row>
    <row r="81">
      <c r="A81" s="187"/>
      <c r="B81" s="187"/>
      <c r="C81" s="187"/>
      <c r="D81" s="187"/>
      <c r="E81" s="190"/>
      <c r="F81" s="180"/>
      <c r="H81" s="155"/>
      <c r="I81" s="155"/>
    </row>
    <row r="82">
      <c r="A82" s="187"/>
      <c r="B82" s="187"/>
      <c r="C82" s="187"/>
      <c r="D82" s="187"/>
      <c r="E82" s="190"/>
      <c r="F82" s="180"/>
      <c r="H82" s="155"/>
      <c r="I82" s="155"/>
    </row>
    <row r="83">
      <c r="A83" s="187"/>
      <c r="B83" s="187"/>
      <c r="C83" s="187"/>
      <c r="D83" s="187"/>
      <c r="E83" s="190"/>
      <c r="F83" s="180"/>
      <c r="H83" s="155"/>
      <c r="I83" s="155"/>
    </row>
    <row r="84">
      <c r="A84" s="187"/>
      <c r="B84" s="187"/>
      <c r="C84" s="187"/>
      <c r="D84" s="187"/>
      <c r="E84" s="190"/>
      <c r="F84" s="180"/>
      <c r="H84" s="155"/>
      <c r="I84" s="155"/>
    </row>
    <row r="85">
      <c r="A85" s="187"/>
      <c r="B85" s="187"/>
      <c r="C85" s="187"/>
      <c r="D85" s="187"/>
      <c r="E85" s="190"/>
      <c r="F85" s="180"/>
      <c r="H85" s="155"/>
      <c r="I85" s="155"/>
    </row>
    <row r="86">
      <c r="A86" s="187"/>
      <c r="B86" s="187"/>
      <c r="C86" s="187"/>
      <c r="D86" s="187"/>
      <c r="E86" s="190"/>
      <c r="F86" s="180"/>
      <c r="H86" s="155"/>
      <c r="I86" s="155"/>
    </row>
    <row r="87">
      <c r="A87" s="187"/>
      <c r="B87" s="187"/>
      <c r="C87" s="187"/>
      <c r="D87" s="187"/>
      <c r="E87" s="190"/>
      <c r="F87" s="180"/>
      <c r="H87" s="155"/>
      <c r="I87" s="155"/>
    </row>
    <row r="88">
      <c r="A88" s="187"/>
      <c r="B88" s="187"/>
      <c r="C88" s="187"/>
      <c r="D88" s="187"/>
      <c r="E88" s="190"/>
      <c r="F88" s="180"/>
      <c r="H88" s="155"/>
      <c r="I88" s="155"/>
    </row>
    <row r="89">
      <c r="A89" s="187"/>
      <c r="B89" s="187"/>
      <c r="C89" s="187"/>
      <c r="D89" s="187"/>
      <c r="E89" s="190"/>
      <c r="F89" s="180"/>
      <c r="H89" s="155"/>
      <c r="I89" s="155"/>
    </row>
    <row r="90">
      <c r="A90" s="187"/>
      <c r="B90" s="187"/>
      <c r="C90" s="187"/>
      <c r="D90" s="187"/>
      <c r="E90" s="190"/>
      <c r="F90" s="180"/>
      <c r="H90" s="155"/>
      <c r="I90" s="155"/>
    </row>
    <row r="91">
      <c r="A91" s="187"/>
      <c r="B91" s="187"/>
      <c r="C91" s="187"/>
      <c r="D91" s="187"/>
      <c r="E91" s="190"/>
      <c r="F91" s="180"/>
      <c r="H91" s="155"/>
      <c r="I91" s="155"/>
    </row>
    <row r="92">
      <c r="A92" s="187"/>
      <c r="B92" s="187"/>
      <c r="C92" s="187"/>
      <c r="D92" s="187"/>
      <c r="E92" s="190"/>
      <c r="F92" s="180"/>
      <c r="H92" s="155"/>
      <c r="I92" s="155"/>
    </row>
    <row r="93">
      <c r="A93" s="187"/>
      <c r="B93" s="187"/>
      <c r="C93" s="187"/>
      <c r="D93" s="187"/>
      <c r="E93" s="190"/>
      <c r="F93" s="180"/>
      <c r="H93" s="155"/>
      <c r="I93" s="155"/>
    </row>
    <row r="94">
      <c r="A94" s="187"/>
      <c r="B94" s="187"/>
      <c r="C94" s="187"/>
      <c r="D94" s="187"/>
      <c r="E94" s="190"/>
      <c r="F94" s="180"/>
      <c r="H94" s="155"/>
      <c r="I94" s="155"/>
    </row>
    <row r="95">
      <c r="A95" s="187"/>
      <c r="B95" s="187"/>
      <c r="C95" s="187"/>
      <c r="D95" s="187"/>
      <c r="E95" s="190"/>
      <c r="F95" s="180"/>
      <c r="H95" s="155"/>
      <c r="I95" s="155"/>
    </row>
    <row r="96">
      <c r="A96" s="187"/>
      <c r="B96" s="187"/>
      <c r="C96" s="187"/>
      <c r="D96" s="187"/>
      <c r="E96" s="190"/>
      <c r="F96" s="180"/>
      <c r="H96" s="155"/>
      <c r="I96" s="155"/>
    </row>
    <row r="97">
      <c r="A97" s="187"/>
      <c r="B97" s="187"/>
      <c r="C97" s="187"/>
      <c r="D97" s="187"/>
      <c r="E97" s="190"/>
      <c r="F97" s="180"/>
      <c r="H97" s="155"/>
      <c r="I97" s="155"/>
    </row>
    <row r="98">
      <c r="A98" s="187"/>
      <c r="B98" s="187"/>
      <c r="C98" s="187"/>
      <c r="D98" s="187"/>
      <c r="E98" s="190"/>
      <c r="F98" s="180"/>
      <c r="H98" s="155"/>
      <c r="I98" s="155"/>
    </row>
    <row r="99">
      <c r="A99" s="187"/>
      <c r="B99" s="187"/>
      <c r="C99" s="187"/>
      <c r="D99" s="187"/>
      <c r="E99" s="190"/>
      <c r="F99" s="180"/>
      <c r="H99" s="155"/>
      <c r="I99" s="155"/>
    </row>
    <row r="100">
      <c r="A100" s="187"/>
      <c r="B100" s="187"/>
      <c r="C100" s="187"/>
      <c r="D100" s="187"/>
      <c r="E100" s="190"/>
      <c r="F100" s="180"/>
      <c r="H100" s="155"/>
      <c r="I100" s="155"/>
    </row>
    <row r="101">
      <c r="A101" s="187"/>
      <c r="B101" s="187"/>
      <c r="C101" s="187"/>
      <c r="D101" s="187"/>
      <c r="E101" s="190"/>
      <c r="F101" s="180"/>
      <c r="H101" s="155"/>
      <c r="I101" s="155"/>
    </row>
    <row r="102">
      <c r="A102" s="187"/>
      <c r="B102" s="187"/>
      <c r="C102" s="187"/>
      <c r="D102" s="187"/>
      <c r="E102" s="190"/>
      <c r="F102" s="180"/>
      <c r="H102" s="155"/>
      <c r="I102" s="155"/>
    </row>
    <row r="103">
      <c r="A103" s="187"/>
      <c r="B103" s="187"/>
      <c r="C103" s="187"/>
      <c r="D103" s="187"/>
      <c r="E103" s="190"/>
      <c r="F103" s="180"/>
      <c r="H103" s="155"/>
      <c r="I103" s="155"/>
    </row>
    <row r="104">
      <c r="A104" s="187"/>
      <c r="B104" s="187"/>
      <c r="C104" s="187"/>
      <c r="D104" s="187"/>
      <c r="E104" s="190"/>
      <c r="F104" s="180"/>
      <c r="H104" s="155"/>
      <c r="I104" s="155"/>
    </row>
    <row r="105">
      <c r="A105" s="187"/>
      <c r="B105" s="187"/>
      <c r="C105" s="187"/>
      <c r="D105" s="187"/>
      <c r="E105" s="190"/>
      <c r="F105" s="180"/>
      <c r="H105" s="155"/>
      <c r="I105" s="155"/>
    </row>
    <row r="106">
      <c r="A106" s="187"/>
      <c r="B106" s="187"/>
      <c r="C106" s="187"/>
      <c r="D106" s="187"/>
      <c r="E106" s="190"/>
      <c r="F106" s="180"/>
      <c r="H106" s="155"/>
      <c r="I106" s="155"/>
    </row>
    <row r="107">
      <c r="A107" s="187"/>
      <c r="B107" s="187"/>
      <c r="C107" s="187"/>
      <c r="D107" s="187"/>
      <c r="E107" s="190"/>
      <c r="F107" s="180"/>
      <c r="H107" s="155"/>
      <c r="I107" s="155"/>
    </row>
    <row r="108">
      <c r="A108" s="187"/>
      <c r="B108" s="187"/>
      <c r="C108" s="187"/>
      <c r="D108" s="187"/>
      <c r="E108" s="190"/>
      <c r="F108" s="180"/>
      <c r="H108" s="155"/>
      <c r="I108" s="155"/>
    </row>
    <row r="109">
      <c r="A109" s="187"/>
      <c r="B109" s="187"/>
      <c r="C109" s="187"/>
      <c r="D109" s="187"/>
      <c r="E109" s="190"/>
      <c r="F109" s="180"/>
      <c r="H109" s="155"/>
      <c r="I109" s="155"/>
    </row>
    <row r="110">
      <c r="A110" s="187"/>
      <c r="B110" s="187"/>
      <c r="C110" s="187"/>
      <c r="D110" s="187"/>
      <c r="E110" s="190"/>
      <c r="F110" s="180"/>
      <c r="H110" s="155"/>
      <c r="I110" s="155"/>
    </row>
    <row r="111">
      <c r="A111" s="187"/>
      <c r="B111" s="187"/>
      <c r="C111" s="187"/>
      <c r="D111" s="187"/>
      <c r="E111" s="190"/>
      <c r="F111" s="180"/>
      <c r="H111" s="155"/>
      <c r="I111" s="155"/>
    </row>
    <row r="112">
      <c r="A112" s="187"/>
      <c r="B112" s="187"/>
      <c r="C112" s="187"/>
      <c r="D112" s="187"/>
      <c r="E112" s="190"/>
      <c r="F112" s="180"/>
      <c r="H112" s="155"/>
      <c r="I112" s="155"/>
    </row>
    <row r="113">
      <c r="A113" s="187"/>
      <c r="B113" s="187"/>
      <c r="C113" s="187"/>
      <c r="D113" s="187"/>
      <c r="E113" s="190"/>
      <c r="F113" s="180"/>
      <c r="H113" s="155"/>
      <c r="I113" s="155"/>
    </row>
    <row r="114">
      <c r="A114" s="187"/>
      <c r="B114" s="187"/>
      <c r="C114" s="187"/>
      <c r="D114" s="187"/>
      <c r="E114" s="190"/>
      <c r="F114" s="180"/>
      <c r="H114" s="155"/>
      <c r="I114" s="155"/>
    </row>
    <row r="115">
      <c r="A115" s="187"/>
      <c r="B115" s="187"/>
      <c r="C115" s="187"/>
      <c r="D115" s="187"/>
      <c r="E115" s="190"/>
      <c r="F115" s="180"/>
      <c r="H115" s="155"/>
      <c r="I115" s="155"/>
    </row>
    <row r="116">
      <c r="A116" s="187"/>
      <c r="B116" s="187"/>
      <c r="C116" s="187"/>
      <c r="D116" s="187"/>
      <c r="E116" s="190"/>
      <c r="F116" s="180"/>
      <c r="H116" s="155"/>
      <c r="I116" s="155"/>
    </row>
    <row r="117">
      <c r="A117" s="187"/>
      <c r="B117" s="187"/>
      <c r="C117" s="187"/>
      <c r="D117" s="187"/>
      <c r="E117" s="190"/>
      <c r="F117" s="180"/>
      <c r="H117" s="155"/>
      <c r="I117" s="155"/>
    </row>
    <row r="118">
      <c r="A118" s="187"/>
      <c r="B118" s="187"/>
      <c r="C118" s="187"/>
      <c r="D118" s="187"/>
      <c r="E118" s="190"/>
      <c r="F118" s="180"/>
      <c r="H118" s="155"/>
      <c r="I118" s="155"/>
    </row>
    <row r="119">
      <c r="A119" s="187"/>
      <c r="B119" s="187"/>
      <c r="C119" s="187"/>
      <c r="D119" s="187"/>
      <c r="E119" s="190"/>
      <c r="F119" s="180"/>
      <c r="H119" s="155"/>
      <c r="I119" s="155"/>
    </row>
    <row r="120">
      <c r="A120" s="187"/>
      <c r="B120" s="187"/>
      <c r="C120" s="187"/>
      <c r="D120" s="187"/>
      <c r="E120" s="190"/>
      <c r="F120" s="180"/>
      <c r="H120" s="155"/>
      <c r="I120" s="155"/>
    </row>
    <row r="121">
      <c r="A121" s="187"/>
      <c r="B121" s="187"/>
      <c r="C121" s="187"/>
      <c r="D121" s="187"/>
      <c r="E121" s="190"/>
      <c r="F121" s="180"/>
      <c r="H121" s="155"/>
      <c r="I121" s="155"/>
    </row>
    <row r="122">
      <c r="A122" s="187"/>
      <c r="B122" s="187"/>
      <c r="C122" s="187"/>
      <c r="D122" s="187"/>
      <c r="E122" s="190"/>
      <c r="F122" s="180"/>
      <c r="H122" s="155"/>
      <c r="I122" s="155"/>
    </row>
    <row r="123">
      <c r="A123" s="187"/>
      <c r="B123" s="187"/>
      <c r="C123" s="187"/>
      <c r="D123" s="187"/>
      <c r="E123" s="190"/>
      <c r="F123" s="180"/>
      <c r="H123" s="155"/>
      <c r="I123" s="155"/>
    </row>
    <row r="124">
      <c r="A124" s="187"/>
      <c r="B124" s="187"/>
      <c r="C124" s="187"/>
      <c r="D124" s="187"/>
      <c r="E124" s="190"/>
      <c r="F124" s="180"/>
      <c r="H124" s="155"/>
      <c r="I124" s="155"/>
    </row>
    <row r="125">
      <c r="A125" s="187"/>
      <c r="B125" s="187"/>
      <c r="C125" s="187"/>
      <c r="D125" s="187"/>
      <c r="E125" s="190"/>
      <c r="F125" s="180"/>
      <c r="H125" s="155"/>
      <c r="I125" s="155"/>
    </row>
    <row r="126">
      <c r="A126" s="187"/>
      <c r="B126" s="187"/>
      <c r="C126" s="187"/>
      <c r="D126" s="187"/>
      <c r="E126" s="190"/>
      <c r="F126" s="180"/>
      <c r="H126" s="155"/>
      <c r="I126" s="155"/>
    </row>
    <row r="127">
      <c r="A127" s="187"/>
      <c r="B127" s="187"/>
      <c r="C127" s="187"/>
      <c r="D127" s="187"/>
      <c r="E127" s="190"/>
      <c r="F127" s="180"/>
      <c r="H127" s="155"/>
      <c r="I127" s="155"/>
    </row>
    <row r="128">
      <c r="A128" s="187"/>
      <c r="B128" s="187"/>
      <c r="C128" s="187"/>
      <c r="D128" s="187"/>
      <c r="E128" s="190"/>
      <c r="F128" s="180"/>
      <c r="H128" s="155"/>
      <c r="I128" s="155"/>
    </row>
    <row r="129">
      <c r="A129" s="187"/>
      <c r="B129" s="187"/>
      <c r="C129" s="187"/>
      <c r="D129" s="187"/>
      <c r="E129" s="190"/>
      <c r="F129" s="180"/>
      <c r="H129" s="155"/>
      <c r="I129" s="155"/>
    </row>
    <row r="130">
      <c r="A130" s="187"/>
      <c r="B130" s="187"/>
      <c r="C130" s="187"/>
      <c r="D130" s="187"/>
      <c r="E130" s="190"/>
      <c r="F130" s="180"/>
      <c r="H130" s="155"/>
      <c r="I130" s="155"/>
    </row>
    <row r="131">
      <c r="A131" s="187"/>
      <c r="B131" s="187"/>
      <c r="C131" s="187"/>
      <c r="D131" s="187"/>
      <c r="E131" s="190"/>
      <c r="F131" s="180"/>
      <c r="H131" s="155"/>
      <c r="I131" s="155"/>
    </row>
    <row r="132">
      <c r="A132" s="187"/>
      <c r="B132" s="187"/>
      <c r="C132" s="187"/>
      <c r="D132" s="187"/>
      <c r="E132" s="190"/>
      <c r="F132" s="180"/>
      <c r="H132" s="155"/>
      <c r="I132" s="155"/>
    </row>
    <row r="133">
      <c r="A133" s="187"/>
      <c r="B133" s="187"/>
      <c r="C133" s="187"/>
      <c r="D133" s="187"/>
      <c r="E133" s="190"/>
      <c r="F133" s="180"/>
      <c r="H133" s="155"/>
      <c r="I133" s="155"/>
    </row>
    <row r="134">
      <c r="A134" s="187"/>
      <c r="B134" s="187"/>
      <c r="C134" s="187"/>
      <c r="D134" s="187"/>
      <c r="E134" s="190"/>
      <c r="F134" s="180"/>
      <c r="H134" s="155"/>
      <c r="I134" s="155"/>
    </row>
    <row r="135">
      <c r="A135" s="187"/>
      <c r="B135" s="187"/>
      <c r="C135" s="187"/>
      <c r="D135" s="187"/>
      <c r="E135" s="190"/>
      <c r="F135" s="180"/>
      <c r="H135" s="155"/>
      <c r="I135" s="155"/>
    </row>
    <row r="136">
      <c r="A136" s="187"/>
      <c r="B136" s="187"/>
      <c r="C136" s="187"/>
      <c r="D136" s="187"/>
      <c r="E136" s="190"/>
      <c r="F136" s="180"/>
      <c r="H136" s="155"/>
      <c r="I136" s="155"/>
    </row>
    <row r="137">
      <c r="A137" s="187"/>
      <c r="B137" s="187"/>
      <c r="C137" s="187"/>
      <c r="D137" s="187"/>
      <c r="E137" s="190"/>
      <c r="F137" s="180"/>
      <c r="H137" s="155"/>
      <c r="I137" s="155"/>
    </row>
    <row r="138">
      <c r="A138" s="187"/>
      <c r="B138" s="187"/>
      <c r="C138" s="187"/>
      <c r="D138" s="187"/>
      <c r="E138" s="190"/>
      <c r="F138" s="180"/>
      <c r="H138" s="155"/>
      <c r="I138" s="155"/>
    </row>
    <row r="139">
      <c r="A139" s="187"/>
      <c r="B139" s="187"/>
      <c r="C139" s="187"/>
      <c r="D139" s="187"/>
      <c r="E139" s="190"/>
      <c r="F139" s="180"/>
      <c r="H139" s="155"/>
      <c r="I139" s="155"/>
    </row>
    <row r="140">
      <c r="A140" s="187"/>
      <c r="B140" s="187"/>
      <c r="C140" s="187"/>
      <c r="D140" s="187"/>
      <c r="E140" s="190"/>
      <c r="F140" s="180"/>
      <c r="H140" s="155"/>
      <c r="I140" s="155"/>
    </row>
    <row r="141">
      <c r="A141" s="187"/>
      <c r="B141" s="187"/>
      <c r="C141" s="187"/>
      <c r="D141" s="187"/>
      <c r="E141" s="190"/>
      <c r="F141" s="180"/>
      <c r="H141" s="155"/>
      <c r="I141" s="155"/>
    </row>
    <row r="142">
      <c r="A142" s="187"/>
      <c r="B142" s="187"/>
      <c r="C142" s="187"/>
      <c r="D142" s="187"/>
      <c r="E142" s="190"/>
      <c r="F142" s="180"/>
      <c r="H142" s="155"/>
      <c r="I142" s="155"/>
    </row>
    <row r="143">
      <c r="A143" s="187"/>
      <c r="B143" s="187"/>
      <c r="C143" s="187"/>
      <c r="D143" s="187"/>
      <c r="E143" s="190"/>
      <c r="F143" s="180"/>
      <c r="H143" s="155"/>
      <c r="I143" s="155"/>
    </row>
    <row r="144">
      <c r="A144" s="187"/>
      <c r="B144" s="187"/>
      <c r="C144" s="187"/>
      <c r="D144" s="187"/>
      <c r="E144" s="190"/>
      <c r="F144" s="180"/>
      <c r="H144" s="155"/>
      <c r="I144" s="155"/>
    </row>
    <row r="145">
      <c r="A145" s="187"/>
      <c r="B145" s="187"/>
      <c r="C145" s="187"/>
      <c r="D145" s="187"/>
      <c r="E145" s="190"/>
      <c r="F145" s="180"/>
      <c r="H145" s="155"/>
      <c r="I145" s="155"/>
    </row>
    <row r="146">
      <c r="A146" s="187"/>
      <c r="B146" s="187"/>
      <c r="C146" s="187"/>
      <c r="D146" s="187"/>
      <c r="E146" s="190"/>
      <c r="F146" s="180"/>
      <c r="H146" s="155"/>
      <c r="I146" s="155"/>
    </row>
    <row r="147">
      <c r="A147" s="187"/>
      <c r="B147" s="187"/>
      <c r="C147" s="187"/>
      <c r="D147" s="187"/>
      <c r="E147" s="190"/>
      <c r="F147" s="180"/>
      <c r="H147" s="155"/>
      <c r="I147" s="155"/>
    </row>
    <row r="148">
      <c r="A148" s="187"/>
      <c r="B148" s="187"/>
      <c r="C148" s="187"/>
      <c r="D148" s="187"/>
      <c r="E148" s="190"/>
      <c r="F148" s="180"/>
      <c r="H148" s="155"/>
      <c r="I148" s="155"/>
    </row>
    <row r="149">
      <c r="A149" s="187"/>
      <c r="B149" s="187"/>
      <c r="C149" s="187"/>
      <c r="D149" s="187"/>
      <c r="E149" s="190"/>
      <c r="F149" s="180"/>
      <c r="H149" s="155"/>
      <c r="I149" s="155"/>
    </row>
    <row r="150">
      <c r="A150" s="187"/>
      <c r="B150" s="187"/>
      <c r="C150" s="187"/>
      <c r="D150" s="187"/>
      <c r="E150" s="190"/>
      <c r="F150" s="180"/>
      <c r="H150" s="155"/>
      <c r="I150" s="155"/>
    </row>
    <row r="151">
      <c r="A151" s="187"/>
      <c r="B151" s="187"/>
      <c r="C151" s="187"/>
      <c r="D151" s="187"/>
      <c r="E151" s="190"/>
      <c r="F151" s="180"/>
      <c r="H151" s="155"/>
      <c r="I151" s="155"/>
    </row>
    <row r="152">
      <c r="A152" s="187"/>
      <c r="B152" s="187"/>
      <c r="C152" s="187"/>
      <c r="D152" s="187"/>
      <c r="E152" s="190"/>
      <c r="F152" s="180"/>
      <c r="H152" s="155"/>
      <c r="I152" s="155"/>
    </row>
    <row r="153">
      <c r="A153" s="187"/>
      <c r="B153" s="187"/>
      <c r="C153" s="187"/>
      <c r="D153" s="187"/>
      <c r="E153" s="190"/>
      <c r="F153" s="180"/>
      <c r="H153" s="155"/>
      <c r="I153" s="155"/>
    </row>
    <row r="154">
      <c r="A154" s="187"/>
      <c r="B154" s="187"/>
      <c r="C154" s="187"/>
      <c r="D154" s="187"/>
      <c r="E154" s="190"/>
      <c r="F154" s="180"/>
      <c r="H154" s="155"/>
      <c r="I154" s="155"/>
    </row>
    <row r="155">
      <c r="A155" s="187"/>
      <c r="B155" s="187"/>
      <c r="C155" s="187"/>
      <c r="D155" s="187"/>
      <c r="E155" s="190"/>
      <c r="F155" s="180"/>
      <c r="H155" s="155"/>
      <c r="I155" s="155"/>
    </row>
    <row r="156">
      <c r="A156" s="187"/>
      <c r="B156" s="187"/>
      <c r="C156" s="187"/>
      <c r="D156" s="187"/>
      <c r="E156" s="190"/>
      <c r="F156" s="180"/>
      <c r="H156" s="155"/>
      <c r="I156" s="155"/>
    </row>
    <row r="157">
      <c r="A157" s="187"/>
      <c r="B157" s="187"/>
      <c r="C157" s="187"/>
      <c r="D157" s="187"/>
      <c r="E157" s="190"/>
      <c r="F157" s="180"/>
      <c r="H157" s="155"/>
      <c r="I157" s="155"/>
    </row>
    <row r="158">
      <c r="A158" s="187"/>
      <c r="B158" s="187"/>
      <c r="C158" s="187"/>
      <c r="D158" s="187"/>
      <c r="E158" s="190"/>
      <c r="F158" s="180"/>
      <c r="H158" s="155"/>
      <c r="I158" s="155"/>
    </row>
    <row r="159">
      <c r="A159" s="187"/>
      <c r="B159" s="187"/>
      <c r="C159" s="187"/>
      <c r="D159" s="187"/>
      <c r="E159" s="190"/>
      <c r="F159" s="180"/>
      <c r="H159" s="155"/>
      <c r="I159" s="155"/>
    </row>
    <row r="160">
      <c r="A160" s="187"/>
      <c r="B160" s="187"/>
      <c r="C160" s="187"/>
      <c r="D160" s="187"/>
      <c r="E160" s="190"/>
      <c r="F160" s="180"/>
      <c r="H160" s="155"/>
      <c r="I160" s="155"/>
    </row>
    <row r="161">
      <c r="A161" s="187"/>
      <c r="B161" s="187"/>
      <c r="C161" s="187"/>
      <c r="D161" s="187"/>
      <c r="E161" s="190"/>
      <c r="F161" s="180"/>
      <c r="H161" s="155"/>
      <c r="I161" s="155"/>
    </row>
    <row r="162">
      <c r="A162" s="187"/>
      <c r="B162" s="187"/>
      <c r="C162" s="187"/>
      <c r="D162" s="187"/>
      <c r="E162" s="190"/>
      <c r="F162" s="180"/>
      <c r="H162" s="155"/>
      <c r="I162" s="155"/>
    </row>
    <row r="163">
      <c r="A163" s="187"/>
      <c r="B163" s="187"/>
      <c r="C163" s="187"/>
      <c r="D163" s="187"/>
      <c r="E163" s="190"/>
      <c r="F163" s="180"/>
      <c r="H163" s="155"/>
      <c r="I163" s="155"/>
    </row>
    <row r="164">
      <c r="A164" s="187"/>
      <c r="B164" s="187"/>
      <c r="C164" s="187"/>
      <c r="D164" s="187"/>
      <c r="E164" s="190"/>
      <c r="F164" s="180"/>
      <c r="H164" s="155"/>
      <c r="I164" s="155"/>
    </row>
    <row r="165">
      <c r="A165" s="187"/>
      <c r="B165" s="187"/>
      <c r="C165" s="187"/>
      <c r="D165" s="187"/>
      <c r="E165" s="190"/>
      <c r="F165" s="180"/>
      <c r="H165" s="155"/>
      <c r="I165" s="155"/>
    </row>
    <row r="166">
      <c r="A166" s="187"/>
      <c r="B166" s="187"/>
      <c r="C166" s="187"/>
      <c r="D166" s="187"/>
      <c r="E166" s="190"/>
      <c r="F166" s="180"/>
      <c r="H166" s="155"/>
      <c r="I166" s="155"/>
    </row>
    <row r="167">
      <c r="A167" s="187"/>
      <c r="B167" s="187"/>
      <c r="C167" s="187"/>
      <c r="D167" s="187"/>
      <c r="E167" s="190"/>
      <c r="F167" s="180"/>
      <c r="H167" s="155"/>
      <c r="I167" s="155"/>
    </row>
    <row r="168">
      <c r="A168" s="187"/>
      <c r="B168" s="187"/>
      <c r="C168" s="187"/>
      <c r="D168" s="187"/>
      <c r="E168" s="190"/>
      <c r="F168" s="180"/>
      <c r="H168" s="155"/>
      <c r="I168" s="155"/>
    </row>
    <row r="169">
      <c r="A169" s="187"/>
      <c r="B169" s="187"/>
      <c r="C169" s="187"/>
      <c r="D169" s="187"/>
      <c r="E169" s="190"/>
      <c r="F169" s="180"/>
      <c r="H169" s="155"/>
      <c r="I169" s="155"/>
    </row>
    <row r="170">
      <c r="A170" s="187"/>
      <c r="B170" s="187"/>
      <c r="C170" s="187"/>
      <c r="D170" s="187"/>
      <c r="E170" s="190"/>
      <c r="F170" s="180"/>
      <c r="H170" s="155"/>
      <c r="I170" s="155"/>
    </row>
    <row r="171">
      <c r="A171" s="187"/>
      <c r="B171" s="187"/>
      <c r="C171" s="187"/>
      <c r="D171" s="187"/>
      <c r="E171" s="190"/>
      <c r="F171" s="180"/>
      <c r="H171" s="155"/>
      <c r="I171" s="155"/>
    </row>
    <row r="172">
      <c r="A172" s="187"/>
      <c r="B172" s="187"/>
      <c r="C172" s="187"/>
      <c r="D172" s="187"/>
      <c r="E172" s="190"/>
      <c r="F172" s="180"/>
      <c r="H172" s="155"/>
      <c r="I172" s="155"/>
    </row>
    <row r="173">
      <c r="A173" s="187"/>
      <c r="B173" s="187"/>
      <c r="C173" s="187"/>
      <c r="D173" s="187"/>
      <c r="E173" s="190"/>
      <c r="F173" s="180"/>
      <c r="H173" s="155"/>
      <c r="I173" s="155"/>
    </row>
    <row r="174">
      <c r="A174" s="187"/>
      <c r="B174" s="187"/>
      <c r="C174" s="187"/>
      <c r="D174" s="187"/>
      <c r="E174" s="190"/>
      <c r="F174" s="180"/>
      <c r="H174" s="155"/>
      <c r="I174" s="155"/>
    </row>
    <row r="175">
      <c r="A175" s="187"/>
      <c r="B175" s="187"/>
      <c r="C175" s="187"/>
      <c r="D175" s="187"/>
      <c r="E175" s="190"/>
      <c r="F175" s="180"/>
      <c r="H175" s="155"/>
      <c r="I175" s="155"/>
    </row>
    <row r="176">
      <c r="A176" s="187"/>
      <c r="B176" s="187"/>
      <c r="C176" s="187"/>
      <c r="D176" s="187"/>
      <c r="E176" s="190"/>
      <c r="F176" s="180"/>
      <c r="H176" s="155"/>
      <c r="I176" s="155"/>
    </row>
    <row r="177">
      <c r="A177" s="187"/>
      <c r="B177" s="187"/>
      <c r="C177" s="187"/>
      <c r="D177" s="187"/>
      <c r="E177" s="190"/>
      <c r="F177" s="180"/>
      <c r="H177" s="155"/>
      <c r="I177" s="155"/>
    </row>
    <row r="178">
      <c r="A178" s="187"/>
      <c r="B178" s="187"/>
      <c r="C178" s="187"/>
      <c r="D178" s="187"/>
      <c r="E178" s="190"/>
      <c r="F178" s="180"/>
      <c r="H178" s="155"/>
      <c r="I178" s="155"/>
    </row>
    <row r="179">
      <c r="A179" s="187"/>
      <c r="B179" s="187"/>
      <c r="C179" s="187"/>
      <c r="D179" s="187"/>
      <c r="E179" s="190"/>
      <c r="F179" s="180"/>
      <c r="H179" s="155"/>
      <c r="I179" s="155"/>
    </row>
    <row r="180">
      <c r="A180" s="187"/>
      <c r="B180" s="187"/>
      <c r="C180" s="187"/>
      <c r="D180" s="187"/>
      <c r="E180" s="190"/>
      <c r="F180" s="180"/>
      <c r="H180" s="155"/>
      <c r="I180" s="155"/>
    </row>
    <row r="181">
      <c r="A181" s="187"/>
      <c r="B181" s="187"/>
      <c r="C181" s="187"/>
      <c r="D181" s="187"/>
      <c r="E181" s="190"/>
      <c r="F181" s="180"/>
      <c r="H181" s="155"/>
      <c r="I181" s="155"/>
    </row>
    <row r="182">
      <c r="A182" s="187"/>
      <c r="B182" s="187"/>
      <c r="C182" s="187"/>
      <c r="D182" s="187"/>
      <c r="E182" s="190"/>
      <c r="F182" s="180"/>
      <c r="H182" s="155"/>
      <c r="I182" s="155"/>
    </row>
    <row r="183">
      <c r="A183" s="187"/>
      <c r="B183" s="187"/>
      <c r="C183" s="187"/>
      <c r="D183" s="187"/>
      <c r="E183" s="190"/>
      <c r="F183" s="180"/>
      <c r="H183" s="155"/>
      <c r="I183" s="155"/>
    </row>
    <row r="184">
      <c r="A184" s="187"/>
      <c r="B184" s="187"/>
      <c r="C184" s="187"/>
      <c r="D184" s="187"/>
      <c r="E184" s="190"/>
      <c r="F184" s="180"/>
      <c r="H184" s="155"/>
      <c r="I184" s="155"/>
    </row>
    <row r="185">
      <c r="A185" s="187"/>
      <c r="B185" s="187"/>
      <c r="C185" s="187"/>
      <c r="D185" s="187"/>
      <c r="E185" s="190"/>
      <c r="F185" s="180"/>
      <c r="H185" s="155"/>
      <c r="I185" s="155"/>
    </row>
    <row r="186">
      <c r="A186" s="187"/>
      <c r="B186" s="187"/>
      <c r="C186" s="187"/>
      <c r="D186" s="187"/>
      <c r="E186" s="190"/>
      <c r="F186" s="180"/>
      <c r="H186" s="155"/>
      <c r="I186" s="155"/>
    </row>
    <row r="187">
      <c r="A187" s="187"/>
      <c r="B187" s="187"/>
      <c r="C187" s="187"/>
      <c r="D187" s="187"/>
      <c r="E187" s="190"/>
      <c r="F187" s="180"/>
      <c r="H187" s="155"/>
      <c r="I187" s="155"/>
    </row>
    <row r="188">
      <c r="A188" s="187"/>
      <c r="B188" s="187"/>
      <c r="C188" s="187"/>
      <c r="D188" s="187"/>
      <c r="E188" s="190"/>
      <c r="F188" s="180"/>
      <c r="H188" s="155"/>
      <c r="I188" s="155"/>
    </row>
    <row r="189">
      <c r="A189" s="187"/>
      <c r="B189" s="187"/>
      <c r="C189" s="187"/>
      <c r="D189" s="187"/>
      <c r="E189" s="190"/>
      <c r="F189" s="180"/>
      <c r="H189" s="155"/>
      <c r="I189" s="155"/>
    </row>
    <row r="190">
      <c r="A190" s="187"/>
      <c r="B190" s="187"/>
      <c r="C190" s="187"/>
      <c r="D190" s="187"/>
      <c r="E190" s="190"/>
      <c r="F190" s="180"/>
      <c r="H190" s="155"/>
      <c r="I190" s="155"/>
    </row>
    <row r="191">
      <c r="A191" s="187"/>
      <c r="B191" s="187"/>
      <c r="C191" s="187"/>
      <c r="D191" s="187"/>
      <c r="E191" s="190"/>
      <c r="F191" s="180"/>
      <c r="H191" s="155"/>
      <c r="I191" s="155"/>
    </row>
    <row r="192">
      <c r="A192" s="187"/>
      <c r="B192" s="187"/>
      <c r="C192" s="187"/>
      <c r="D192" s="187"/>
      <c r="E192" s="190"/>
      <c r="F192" s="180"/>
      <c r="H192" s="155"/>
      <c r="I192" s="155"/>
    </row>
    <row r="193">
      <c r="A193" s="187"/>
      <c r="B193" s="187"/>
      <c r="C193" s="187"/>
      <c r="D193" s="187"/>
      <c r="E193" s="190"/>
      <c r="F193" s="180"/>
      <c r="H193" s="155"/>
      <c r="I193" s="155"/>
    </row>
    <row r="194">
      <c r="A194" s="187"/>
      <c r="B194" s="187"/>
      <c r="C194" s="187"/>
      <c r="D194" s="187"/>
      <c r="E194" s="190"/>
      <c r="F194" s="180"/>
      <c r="H194" s="155"/>
      <c r="I194" s="155"/>
    </row>
    <row r="195">
      <c r="A195" s="187"/>
      <c r="B195" s="187"/>
      <c r="C195" s="187"/>
      <c r="D195" s="187"/>
      <c r="E195" s="190"/>
      <c r="F195" s="180"/>
      <c r="H195" s="155"/>
      <c r="I195" s="155"/>
    </row>
    <row r="196">
      <c r="A196" s="187"/>
      <c r="B196" s="187"/>
      <c r="C196" s="187"/>
      <c r="D196" s="187"/>
      <c r="E196" s="190"/>
      <c r="F196" s="180"/>
      <c r="H196" s="155"/>
      <c r="I196" s="155"/>
    </row>
    <row r="197">
      <c r="A197" s="187"/>
      <c r="B197" s="187"/>
      <c r="C197" s="187"/>
      <c r="D197" s="187"/>
      <c r="E197" s="190"/>
      <c r="F197" s="180"/>
      <c r="H197" s="155"/>
      <c r="I197" s="155"/>
    </row>
    <row r="198">
      <c r="A198" s="187"/>
      <c r="B198" s="187"/>
      <c r="C198" s="187"/>
      <c r="D198" s="187"/>
      <c r="E198" s="190"/>
      <c r="F198" s="180"/>
      <c r="H198" s="155"/>
      <c r="I198" s="155"/>
    </row>
    <row r="199">
      <c r="A199" s="187"/>
      <c r="B199" s="187"/>
      <c r="C199" s="187"/>
      <c r="D199" s="187"/>
      <c r="E199" s="190"/>
      <c r="F199" s="180"/>
      <c r="H199" s="155"/>
      <c r="I199" s="155"/>
    </row>
    <row r="200">
      <c r="A200" s="187"/>
      <c r="B200" s="187"/>
      <c r="C200" s="187"/>
      <c r="D200" s="187"/>
      <c r="E200" s="190"/>
      <c r="F200" s="180"/>
      <c r="H200" s="155"/>
      <c r="I200" s="155"/>
    </row>
    <row r="201">
      <c r="A201" s="187"/>
      <c r="B201" s="187"/>
      <c r="C201" s="187"/>
      <c r="D201" s="187"/>
      <c r="E201" s="190"/>
      <c r="F201" s="180"/>
      <c r="H201" s="155"/>
      <c r="I201" s="155"/>
    </row>
    <row r="202">
      <c r="A202" s="187"/>
      <c r="B202" s="187"/>
      <c r="C202" s="187"/>
      <c r="D202" s="187"/>
      <c r="E202" s="190"/>
      <c r="F202" s="180"/>
      <c r="H202" s="155"/>
      <c r="I202" s="155"/>
    </row>
    <row r="203">
      <c r="A203" s="187"/>
      <c r="B203" s="187"/>
      <c r="C203" s="187"/>
      <c r="D203" s="187"/>
      <c r="E203" s="190"/>
      <c r="F203" s="180"/>
      <c r="H203" s="155"/>
      <c r="I203" s="155"/>
    </row>
    <row r="204">
      <c r="A204" s="187"/>
      <c r="B204" s="187"/>
      <c r="C204" s="187"/>
      <c r="D204" s="187"/>
      <c r="E204" s="190"/>
      <c r="F204" s="180"/>
      <c r="H204" s="155"/>
      <c r="I204" s="155"/>
    </row>
    <row r="205">
      <c r="A205" s="187"/>
      <c r="B205" s="187"/>
      <c r="C205" s="187"/>
      <c r="D205" s="187"/>
      <c r="E205" s="190"/>
      <c r="F205" s="180"/>
      <c r="H205" s="155"/>
      <c r="I205" s="155"/>
    </row>
    <row r="206">
      <c r="A206" s="187"/>
      <c r="B206" s="187"/>
      <c r="C206" s="187"/>
      <c r="D206" s="187"/>
      <c r="E206" s="190"/>
      <c r="F206" s="180"/>
      <c r="H206" s="155"/>
      <c r="I206" s="155"/>
    </row>
    <row r="207">
      <c r="A207" s="187"/>
      <c r="B207" s="187"/>
      <c r="C207" s="187"/>
      <c r="D207" s="187"/>
      <c r="E207" s="190"/>
      <c r="F207" s="180"/>
      <c r="H207" s="155"/>
      <c r="I207" s="155"/>
    </row>
    <row r="208">
      <c r="A208" s="187"/>
      <c r="B208" s="187"/>
      <c r="C208" s="187"/>
      <c r="D208" s="187"/>
      <c r="E208" s="190"/>
      <c r="F208" s="180"/>
      <c r="H208" s="155"/>
      <c r="I208" s="155"/>
    </row>
    <row r="209">
      <c r="A209" s="187"/>
      <c r="B209" s="187"/>
      <c r="C209" s="187"/>
      <c r="D209" s="187"/>
      <c r="E209" s="190"/>
      <c r="F209" s="180"/>
      <c r="H209" s="155"/>
      <c r="I209" s="155"/>
    </row>
    <row r="210">
      <c r="A210" s="187"/>
      <c r="B210" s="187"/>
      <c r="C210" s="187"/>
      <c r="D210" s="187"/>
      <c r="E210" s="190"/>
      <c r="F210" s="180"/>
      <c r="H210" s="155"/>
      <c r="I210" s="155"/>
    </row>
    <row r="211">
      <c r="A211" s="187"/>
      <c r="B211" s="187"/>
      <c r="C211" s="187"/>
      <c r="D211" s="187"/>
      <c r="E211" s="190"/>
      <c r="F211" s="180"/>
      <c r="H211" s="155"/>
      <c r="I211" s="155"/>
    </row>
    <row r="212">
      <c r="A212" s="187"/>
      <c r="B212" s="187"/>
      <c r="C212" s="187"/>
      <c r="D212" s="187"/>
      <c r="E212" s="190"/>
      <c r="F212" s="180"/>
      <c r="H212" s="155"/>
      <c r="I212" s="155"/>
    </row>
    <row r="213">
      <c r="A213" s="187"/>
      <c r="B213" s="187"/>
      <c r="C213" s="187"/>
      <c r="D213" s="187"/>
      <c r="E213" s="190"/>
      <c r="F213" s="180"/>
      <c r="H213" s="155"/>
      <c r="I213" s="155"/>
    </row>
    <row r="214">
      <c r="A214" s="187"/>
      <c r="B214" s="187"/>
      <c r="C214" s="187"/>
      <c r="D214" s="187"/>
      <c r="E214" s="190"/>
      <c r="F214" s="180"/>
      <c r="H214" s="155"/>
      <c r="I214" s="155"/>
    </row>
    <row r="215">
      <c r="A215" s="187"/>
      <c r="B215" s="187"/>
      <c r="C215" s="187"/>
      <c r="D215" s="187"/>
      <c r="E215" s="190"/>
      <c r="F215" s="180"/>
      <c r="H215" s="155"/>
      <c r="I215" s="155"/>
    </row>
    <row r="216">
      <c r="A216" s="187"/>
      <c r="B216" s="187"/>
      <c r="C216" s="187"/>
      <c r="D216" s="187"/>
      <c r="E216" s="190"/>
      <c r="F216" s="180"/>
      <c r="H216" s="155"/>
      <c r="I216" s="155"/>
    </row>
    <row r="217">
      <c r="A217" s="187"/>
      <c r="B217" s="187"/>
      <c r="C217" s="187"/>
      <c r="D217" s="187"/>
      <c r="E217" s="190"/>
      <c r="F217" s="180"/>
      <c r="H217" s="155"/>
      <c r="I217" s="155"/>
    </row>
    <row r="218">
      <c r="A218" s="187"/>
      <c r="B218" s="187"/>
      <c r="C218" s="187"/>
      <c r="D218" s="187"/>
      <c r="E218" s="190"/>
      <c r="F218" s="180"/>
      <c r="H218" s="155"/>
      <c r="I218" s="155"/>
    </row>
    <row r="219">
      <c r="A219" s="187"/>
      <c r="B219" s="187"/>
      <c r="C219" s="187"/>
      <c r="D219" s="187"/>
      <c r="E219" s="190"/>
      <c r="F219" s="180"/>
      <c r="H219" s="155"/>
      <c r="I219" s="155"/>
    </row>
    <row r="220">
      <c r="A220" s="187"/>
      <c r="B220" s="187"/>
      <c r="C220" s="187"/>
      <c r="D220" s="187"/>
      <c r="E220" s="190"/>
      <c r="F220" s="180"/>
      <c r="H220" s="155"/>
      <c r="I220" s="155"/>
    </row>
    <row r="221">
      <c r="A221" s="187"/>
      <c r="B221" s="187"/>
      <c r="C221" s="187"/>
      <c r="D221" s="187"/>
      <c r="E221" s="190"/>
      <c r="F221" s="180"/>
      <c r="H221" s="155"/>
      <c r="I221" s="155"/>
    </row>
    <row r="222">
      <c r="A222" s="187"/>
      <c r="B222" s="187"/>
      <c r="C222" s="187"/>
      <c r="D222" s="187"/>
      <c r="E222" s="190"/>
      <c r="F222" s="180"/>
      <c r="H222" s="155"/>
      <c r="I222" s="155"/>
    </row>
    <row r="223">
      <c r="A223" s="187"/>
      <c r="B223" s="187"/>
      <c r="C223" s="187"/>
      <c r="D223" s="187"/>
      <c r="E223" s="190"/>
      <c r="F223" s="180"/>
      <c r="H223" s="155"/>
      <c r="I223" s="155"/>
    </row>
    <row r="224">
      <c r="A224" s="187"/>
      <c r="B224" s="187"/>
      <c r="C224" s="187"/>
      <c r="D224" s="187"/>
      <c r="E224" s="190"/>
      <c r="F224" s="180"/>
      <c r="H224" s="155"/>
      <c r="I224" s="155"/>
    </row>
    <row r="225">
      <c r="A225" s="187"/>
      <c r="B225" s="187"/>
      <c r="C225" s="187"/>
      <c r="D225" s="187"/>
      <c r="E225" s="190"/>
      <c r="F225" s="180"/>
      <c r="H225" s="155"/>
      <c r="I225" s="155"/>
    </row>
    <row r="226">
      <c r="A226" s="187"/>
      <c r="B226" s="187"/>
      <c r="C226" s="187"/>
      <c r="D226" s="187"/>
      <c r="E226" s="190"/>
      <c r="F226" s="180"/>
      <c r="H226" s="155"/>
      <c r="I226" s="155"/>
    </row>
    <row r="227">
      <c r="A227" s="187"/>
      <c r="B227" s="187"/>
      <c r="C227" s="187"/>
      <c r="D227" s="187"/>
      <c r="E227" s="190"/>
      <c r="F227" s="180"/>
      <c r="H227" s="155"/>
      <c r="I227" s="155"/>
    </row>
    <row r="228">
      <c r="A228" s="187"/>
      <c r="B228" s="187"/>
      <c r="C228" s="187"/>
      <c r="D228" s="187"/>
      <c r="E228" s="190"/>
      <c r="F228" s="180"/>
      <c r="H228" s="155"/>
      <c r="I228" s="155"/>
    </row>
    <row r="229">
      <c r="A229" s="187"/>
      <c r="B229" s="187"/>
      <c r="C229" s="187"/>
      <c r="D229" s="187"/>
      <c r="E229" s="190"/>
      <c r="F229" s="180"/>
      <c r="H229" s="155"/>
      <c r="I229" s="155"/>
    </row>
    <row r="230">
      <c r="A230" s="187"/>
      <c r="B230" s="187"/>
      <c r="C230" s="187"/>
      <c r="D230" s="187"/>
      <c r="E230" s="190"/>
      <c r="F230" s="180"/>
      <c r="H230" s="155"/>
      <c r="I230" s="155"/>
    </row>
    <row r="231">
      <c r="A231" s="187"/>
      <c r="B231" s="187"/>
      <c r="C231" s="187"/>
      <c r="D231" s="187"/>
      <c r="E231" s="190"/>
      <c r="F231" s="180"/>
      <c r="H231" s="155"/>
      <c r="I231" s="155"/>
    </row>
    <row r="232">
      <c r="A232" s="187"/>
      <c r="B232" s="187"/>
      <c r="C232" s="187"/>
      <c r="D232" s="187"/>
      <c r="E232" s="190"/>
      <c r="F232" s="180"/>
      <c r="H232" s="155"/>
      <c r="I232" s="155"/>
    </row>
    <row r="233">
      <c r="A233" s="187"/>
      <c r="B233" s="187"/>
      <c r="C233" s="187"/>
      <c r="D233" s="187"/>
      <c r="E233" s="190"/>
      <c r="F233" s="180"/>
      <c r="H233" s="155"/>
      <c r="I233" s="155"/>
    </row>
    <row r="234">
      <c r="A234" s="187"/>
      <c r="B234" s="187"/>
      <c r="C234" s="187"/>
      <c r="D234" s="187"/>
      <c r="E234" s="190"/>
      <c r="F234" s="180"/>
      <c r="H234" s="155"/>
      <c r="I234" s="155"/>
    </row>
    <row r="235">
      <c r="A235" s="187"/>
      <c r="B235" s="187"/>
      <c r="C235" s="187"/>
      <c r="D235" s="187"/>
      <c r="E235" s="190"/>
      <c r="F235" s="180"/>
      <c r="H235" s="155"/>
      <c r="I235" s="155"/>
    </row>
    <row r="236">
      <c r="A236" s="187"/>
      <c r="B236" s="187"/>
      <c r="C236" s="187"/>
      <c r="D236" s="187"/>
      <c r="E236" s="190"/>
      <c r="F236" s="180"/>
      <c r="H236" s="155"/>
      <c r="I236" s="155"/>
    </row>
    <row r="237">
      <c r="A237" s="187"/>
      <c r="B237" s="187"/>
      <c r="C237" s="187"/>
      <c r="D237" s="187"/>
      <c r="E237" s="190"/>
      <c r="F237" s="180"/>
      <c r="H237" s="155"/>
      <c r="I237" s="155"/>
    </row>
    <row r="238">
      <c r="A238" s="187"/>
      <c r="B238" s="187"/>
      <c r="C238" s="187"/>
      <c r="D238" s="187"/>
      <c r="E238" s="190"/>
      <c r="F238" s="180"/>
      <c r="H238" s="155"/>
      <c r="I238" s="155"/>
    </row>
    <row r="239">
      <c r="A239" s="187"/>
      <c r="B239" s="187"/>
      <c r="C239" s="187"/>
      <c r="D239" s="187"/>
      <c r="E239" s="190"/>
      <c r="F239" s="180"/>
      <c r="H239" s="155"/>
      <c r="I239" s="155"/>
    </row>
    <row r="240">
      <c r="A240" s="187"/>
      <c r="B240" s="187"/>
      <c r="C240" s="187"/>
      <c r="D240" s="187"/>
      <c r="E240" s="190"/>
      <c r="F240" s="180"/>
      <c r="H240" s="155"/>
      <c r="I240" s="155"/>
    </row>
    <row r="241">
      <c r="A241" s="187"/>
      <c r="B241" s="187"/>
      <c r="C241" s="187"/>
      <c r="D241" s="187"/>
      <c r="E241" s="190"/>
      <c r="F241" s="180"/>
      <c r="H241" s="155"/>
      <c r="I241" s="155"/>
    </row>
    <row r="242">
      <c r="A242" s="187"/>
      <c r="B242" s="187"/>
      <c r="C242" s="187"/>
      <c r="D242" s="187"/>
      <c r="E242" s="190"/>
      <c r="F242" s="180"/>
      <c r="H242" s="155"/>
      <c r="I242" s="155"/>
    </row>
    <row r="243">
      <c r="A243" s="187"/>
      <c r="B243" s="187"/>
      <c r="C243" s="187"/>
      <c r="D243" s="187"/>
      <c r="E243" s="190"/>
      <c r="F243" s="180"/>
      <c r="H243" s="155"/>
      <c r="I243" s="155"/>
    </row>
    <row r="244">
      <c r="A244" s="187"/>
      <c r="B244" s="187"/>
      <c r="C244" s="187"/>
      <c r="D244" s="187"/>
      <c r="E244" s="190"/>
      <c r="F244" s="180"/>
      <c r="H244" s="155"/>
      <c r="I244" s="155"/>
    </row>
    <row r="245">
      <c r="A245" s="187"/>
      <c r="B245" s="187"/>
      <c r="C245" s="187"/>
      <c r="D245" s="187"/>
      <c r="E245" s="190"/>
      <c r="F245" s="180"/>
      <c r="H245" s="155"/>
      <c r="I245" s="155"/>
    </row>
    <row r="246">
      <c r="A246" s="187"/>
      <c r="B246" s="187"/>
      <c r="C246" s="187"/>
      <c r="D246" s="187"/>
      <c r="E246" s="190"/>
      <c r="F246" s="180"/>
      <c r="H246" s="155"/>
      <c r="I246" s="155"/>
    </row>
    <row r="247">
      <c r="A247" s="187"/>
      <c r="B247" s="187"/>
      <c r="C247" s="187"/>
      <c r="D247" s="187"/>
      <c r="E247" s="190"/>
      <c r="F247" s="180"/>
      <c r="H247" s="155"/>
      <c r="I247" s="155"/>
    </row>
    <row r="248">
      <c r="A248" s="187"/>
      <c r="B248" s="187"/>
      <c r="C248" s="187"/>
      <c r="D248" s="187"/>
      <c r="E248" s="190"/>
      <c r="F248" s="180"/>
      <c r="H248" s="155"/>
      <c r="I248" s="155"/>
    </row>
    <row r="249">
      <c r="A249" s="187"/>
      <c r="B249" s="187"/>
      <c r="C249" s="187"/>
      <c r="D249" s="187"/>
      <c r="E249" s="190"/>
      <c r="F249" s="180"/>
      <c r="H249" s="155"/>
      <c r="I249" s="155"/>
    </row>
    <row r="250">
      <c r="A250" s="187"/>
      <c r="B250" s="187"/>
      <c r="C250" s="187"/>
      <c r="D250" s="187"/>
      <c r="E250" s="190"/>
      <c r="F250" s="180"/>
      <c r="H250" s="155"/>
      <c r="I250" s="155"/>
    </row>
    <row r="251">
      <c r="A251" s="187"/>
      <c r="B251" s="187"/>
      <c r="C251" s="187"/>
      <c r="D251" s="187"/>
      <c r="E251" s="190"/>
      <c r="F251" s="180"/>
      <c r="H251" s="155"/>
      <c r="I251" s="155"/>
    </row>
    <row r="252">
      <c r="A252" s="187"/>
      <c r="B252" s="187"/>
      <c r="C252" s="187"/>
      <c r="D252" s="187"/>
      <c r="E252" s="190"/>
      <c r="F252" s="180"/>
      <c r="H252" s="155"/>
      <c r="I252" s="155"/>
    </row>
    <row r="253">
      <c r="A253" s="187"/>
      <c r="B253" s="187"/>
      <c r="C253" s="187"/>
      <c r="D253" s="187"/>
      <c r="E253" s="190"/>
      <c r="F253" s="180"/>
      <c r="H253" s="155"/>
      <c r="I253" s="155"/>
    </row>
    <row r="254">
      <c r="A254" s="187"/>
      <c r="B254" s="187"/>
      <c r="C254" s="187"/>
      <c r="D254" s="187"/>
      <c r="E254" s="190"/>
      <c r="F254" s="180"/>
      <c r="H254" s="155"/>
      <c r="I254" s="155"/>
    </row>
    <row r="255">
      <c r="A255" s="187"/>
      <c r="B255" s="187"/>
      <c r="C255" s="187"/>
      <c r="D255" s="187"/>
      <c r="E255" s="190"/>
      <c r="F255" s="180"/>
      <c r="H255" s="155"/>
      <c r="I255" s="155"/>
    </row>
    <row r="256">
      <c r="A256" s="187"/>
      <c r="B256" s="187"/>
      <c r="C256" s="187"/>
      <c r="D256" s="187"/>
      <c r="E256" s="190"/>
      <c r="F256" s="180"/>
      <c r="H256" s="155"/>
      <c r="I256" s="155"/>
    </row>
    <row r="257">
      <c r="A257" s="187"/>
      <c r="B257" s="187"/>
      <c r="C257" s="187"/>
      <c r="D257" s="187"/>
      <c r="E257" s="190"/>
      <c r="F257" s="180"/>
      <c r="H257" s="155"/>
      <c r="I257" s="155"/>
    </row>
    <row r="258">
      <c r="A258" s="187"/>
      <c r="B258" s="187"/>
      <c r="C258" s="187"/>
      <c r="D258" s="187"/>
      <c r="E258" s="190"/>
      <c r="F258" s="180"/>
      <c r="H258" s="155"/>
      <c r="I258" s="155"/>
    </row>
    <row r="259">
      <c r="A259" s="187"/>
      <c r="B259" s="187"/>
      <c r="C259" s="187"/>
      <c r="D259" s="187"/>
      <c r="E259" s="190"/>
      <c r="F259" s="180"/>
      <c r="H259" s="155"/>
      <c r="I259" s="155"/>
    </row>
    <row r="260">
      <c r="A260" s="187"/>
      <c r="B260" s="187"/>
      <c r="C260" s="187"/>
      <c r="D260" s="187"/>
      <c r="E260" s="190"/>
      <c r="F260" s="180"/>
      <c r="H260" s="155"/>
      <c r="I260" s="155"/>
    </row>
    <row r="261">
      <c r="A261" s="187"/>
      <c r="B261" s="187"/>
      <c r="C261" s="187"/>
      <c r="D261" s="187"/>
      <c r="E261" s="190"/>
      <c r="F261" s="180"/>
      <c r="H261" s="155"/>
      <c r="I261" s="155"/>
    </row>
    <row r="262">
      <c r="A262" s="187"/>
      <c r="B262" s="187"/>
      <c r="C262" s="187"/>
      <c r="D262" s="187"/>
      <c r="E262" s="190"/>
      <c r="F262" s="180"/>
      <c r="H262" s="155"/>
      <c r="I262" s="155"/>
    </row>
    <row r="263">
      <c r="A263" s="187"/>
      <c r="B263" s="187"/>
      <c r="C263" s="187"/>
      <c r="D263" s="187"/>
      <c r="E263" s="190"/>
      <c r="F263" s="180"/>
      <c r="H263" s="155"/>
      <c r="I263" s="155"/>
    </row>
    <row r="264">
      <c r="A264" s="187"/>
      <c r="B264" s="187"/>
      <c r="C264" s="187"/>
      <c r="D264" s="187"/>
      <c r="E264" s="190"/>
      <c r="F264" s="180"/>
      <c r="H264" s="155"/>
      <c r="I264" s="155"/>
    </row>
    <row r="265">
      <c r="A265" s="187"/>
      <c r="B265" s="187"/>
      <c r="C265" s="187"/>
      <c r="D265" s="187"/>
      <c r="E265" s="190"/>
      <c r="F265" s="180"/>
      <c r="H265" s="155"/>
      <c r="I265" s="155"/>
    </row>
    <row r="266">
      <c r="A266" s="187"/>
      <c r="B266" s="187"/>
      <c r="C266" s="187"/>
      <c r="D266" s="187"/>
      <c r="E266" s="190"/>
      <c r="F266" s="180"/>
      <c r="H266" s="155"/>
      <c r="I266" s="155"/>
    </row>
    <row r="267">
      <c r="A267" s="187"/>
      <c r="B267" s="187"/>
      <c r="C267" s="187"/>
      <c r="D267" s="187"/>
      <c r="E267" s="190"/>
      <c r="F267" s="180"/>
      <c r="H267" s="155"/>
      <c r="I267" s="155"/>
    </row>
    <row r="268">
      <c r="A268" s="187"/>
      <c r="B268" s="187"/>
      <c r="C268" s="187"/>
      <c r="D268" s="187"/>
      <c r="E268" s="190"/>
      <c r="F268" s="180"/>
      <c r="H268" s="155"/>
      <c r="I268" s="155"/>
    </row>
    <row r="269">
      <c r="A269" s="187"/>
      <c r="B269" s="187"/>
      <c r="C269" s="187"/>
      <c r="D269" s="187"/>
      <c r="E269" s="190"/>
      <c r="F269" s="180"/>
      <c r="H269" s="155"/>
      <c r="I269" s="155"/>
    </row>
    <row r="270">
      <c r="A270" s="187"/>
      <c r="B270" s="187"/>
      <c r="C270" s="187"/>
      <c r="D270" s="187"/>
      <c r="E270" s="190"/>
      <c r="F270" s="180"/>
      <c r="H270" s="155"/>
      <c r="I270" s="155"/>
    </row>
    <row r="271">
      <c r="A271" s="187"/>
      <c r="B271" s="187"/>
      <c r="C271" s="187"/>
      <c r="D271" s="187"/>
      <c r="E271" s="190"/>
      <c r="F271" s="180"/>
      <c r="H271" s="155"/>
      <c r="I271" s="155"/>
    </row>
    <row r="272">
      <c r="A272" s="187"/>
      <c r="B272" s="187"/>
      <c r="C272" s="187"/>
      <c r="D272" s="187"/>
      <c r="E272" s="190"/>
      <c r="F272" s="180"/>
      <c r="H272" s="155"/>
      <c r="I272" s="155"/>
    </row>
    <row r="273">
      <c r="A273" s="187"/>
      <c r="B273" s="187"/>
      <c r="C273" s="187"/>
      <c r="D273" s="187"/>
      <c r="E273" s="190"/>
      <c r="F273" s="180"/>
      <c r="H273" s="155"/>
      <c r="I273" s="155"/>
    </row>
    <row r="274">
      <c r="A274" s="187"/>
      <c r="B274" s="187"/>
      <c r="C274" s="187"/>
      <c r="D274" s="187"/>
      <c r="E274" s="190"/>
      <c r="F274" s="180"/>
      <c r="H274" s="155"/>
      <c r="I274" s="155"/>
    </row>
    <row r="275">
      <c r="A275" s="187"/>
      <c r="B275" s="187"/>
      <c r="C275" s="187"/>
      <c r="D275" s="187"/>
      <c r="E275" s="190"/>
      <c r="F275" s="180"/>
      <c r="H275" s="155"/>
      <c r="I275" s="155"/>
    </row>
    <row r="276">
      <c r="A276" s="187"/>
      <c r="B276" s="187"/>
      <c r="C276" s="187"/>
      <c r="D276" s="187"/>
      <c r="E276" s="190"/>
      <c r="F276" s="180"/>
      <c r="H276" s="155"/>
      <c r="I276" s="155"/>
    </row>
    <row r="277">
      <c r="A277" s="187"/>
      <c r="B277" s="187"/>
      <c r="C277" s="187"/>
      <c r="D277" s="187"/>
      <c r="E277" s="190"/>
      <c r="F277" s="180"/>
      <c r="H277" s="155"/>
      <c r="I277" s="155"/>
    </row>
    <row r="278">
      <c r="A278" s="187"/>
      <c r="B278" s="187"/>
      <c r="C278" s="187"/>
      <c r="D278" s="187"/>
      <c r="E278" s="190"/>
      <c r="F278" s="180"/>
      <c r="H278" s="155"/>
      <c r="I278" s="155"/>
    </row>
    <row r="279">
      <c r="A279" s="187"/>
      <c r="B279" s="187"/>
      <c r="C279" s="187"/>
      <c r="D279" s="187"/>
      <c r="E279" s="190"/>
      <c r="F279" s="180"/>
      <c r="H279" s="155"/>
      <c r="I279" s="155"/>
    </row>
    <row r="280">
      <c r="A280" s="187"/>
      <c r="B280" s="187"/>
      <c r="C280" s="187"/>
      <c r="D280" s="187"/>
      <c r="E280" s="190"/>
      <c r="F280" s="180"/>
      <c r="H280" s="155"/>
      <c r="I280" s="155"/>
    </row>
    <row r="281">
      <c r="A281" s="187"/>
      <c r="B281" s="187"/>
      <c r="C281" s="187"/>
      <c r="D281" s="187"/>
      <c r="E281" s="190"/>
      <c r="F281" s="180"/>
      <c r="H281" s="155"/>
      <c r="I281" s="155"/>
    </row>
    <row r="282">
      <c r="A282" s="187"/>
      <c r="B282" s="187"/>
      <c r="C282" s="187"/>
      <c r="D282" s="187"/>
      <c r="E282" s="190"/>
      <c r="F282" s="180"/>
      <c r="H282" s="155"/>
      <c r="I282" s="155"/>
    </row>
    <row r="283">
      <c r="A283" s="187"/>
      <c r="B283" s="187"/>
      <c r="C283" s="187"/>
      <c r="D283" s="187"/>
      <c r="E283" s="190"/>
      <c r="F283" s="180"/>
      <c r="H283" s="155"/>
      <c r="I283" s="155"/>
    </row>
    <row r="284">
      <c r="A284" s="187"/>
      <c r="B284" s="187"/>
      <c r="C284" s="187"/>
      <c r="D284" s="187"/>
      <c r="E284" s="190"/>
      <c r="F284" s="180"/>
      <c r="H284" s="155"/>
      <c r="I284" s="155"/>
    </row>
    <row r="285">
      <c r="A285" s="187"/>
      <c r="B285" s="187"/>
      <c r="C285" s="187"/>
      <c r="D285" s="187"/>
      <c r="E285" s="190"/>
      <c r="F285" s="180"/>
      <c r="H285" s="155"/>
      <c r="I285" s="155"/>
    </row>
    <row r="286">
      <c r="A286" s="187"/>
      <c r="B286" s="187"/>
      <c r="C286" s="187"/>
      <c r="D286" s="187"/>
      <c r="E286" s="190"/>
      <c r="F286" s="180"/>
      <c r="H286" s="155"/>
      <c r="I286" s="155"/>
    </row>
    <row r="287">
      <c r="A287" s="187"/>
      <c r="B287" s="187"/>
      <c r="C287" s="187"/>
      <c r="D287" s="187"/>
      <c r="E287" s="190"/>
      <c r="F287" s="180"/>
      <c r="H287" s="155"/>
      <c r="I287" s="155"/>
    </row>
    <row r="288">
      <c r="A288" s="187"/>
      <c r="B288" s="187"/>
      <c r="C288" s="187"/>
      <c r="D288" s="187"/>
      <c r="E288" s="190"/>
      <c r="F288" s="180"/>
      <c r="H288" s="155"/>
      <c r="I288" s="155"/>
    </row>
    <row r="289">
      <c r="A289" s="187"/>
      <c r="B289" s="187"/>
      <c r="C289" s="187"/>
      <c r="D289" s="187"/>
      <c r="E289" s="190"/>
      <c r="F289" s="180"/>
      <c r="H289" s="155"/>
      <c r="I289" s="155"/>
    </row>
    <row r="290">
      <c r="A290" s="187"/>
      <c r="B290" s="187"/>
      <c r="C290" s="187"/>
      <c r="D290" s="187"/>
      <c r="E290" s="190"/>
      <c r="F290" s="180"/>
      <c r="H290" s="155"/>
      <c r="I290" s="155"/>
    </row>
    <row r="291">
      <c r="A291" s="187"/>
      <c r="B291" s="187"/>
      <c r="C291" s="187"/>
      <c r="D291" s="187"/>
      <c r="E291" s="190"/>
      <c r="F291" s="180"/>
      <c r="H291" s="155"/>
      <c r="I291" s="155"/>
    </row>
    <row r="292">
      <c r="A292" s="187"/>
      <c r="B292" s="187"/>
      <c r="C292" s="187"/>
      <c r="D292" s="187"/>
      <c r="E292" s="190"/>
      <c r="F292" s="180"/>
      <c r="H292" s="155"/>
      <c r="I292" s="155"/>
    </row>
    <row r="293">
      <c r="A293" s="187"/>
      <c r="B293" s="187"/>
      <c r="C293" s="187"/>
      <c r="D293" s="187"/>
      <c r="E293" s="190"/>
      <c r="F293" s="180"/>
      <c r="H293" s="155"/>
      <c r="I293" s="155"/>
    </row>
    <row r="294">
      <c r="A294" s="187"/>
      <c r="B294" s="187"/>
      <c r="C294" s="187"/>
      <c r="D294" s="187"/>
      <c r="E294" s="190"/>
      <c r="F294" s="180"/>
      <c r="H294" s="155"/>
      <c r="I294" s="155"/>
    </row>
    <row r="295">
      <c r="A295" s="187"/>
      <c r="B295" s="187"/>
      <c r="C295" s="187"/>
      <c r="D295" s="187"/>
      <c r="E295" s="190"/>
      <c r="F295" s="180"/>
      <c r="H295" s="155"/>
      <c r="I295" s="155"/>
    </row>
    <row r="296">
      <c r="A296" s="187"/>
      <c r="B296" s="187"/>
      <c r="C296" s="187"/>
      <c r="D296" s="187"/>
      <c r="E296" s="190"/>
      <c r="F296" s="180"/>
      <c r="H296" s="155"/>
      <c r="I296" s="155"/>
    </row>
    <row r="297">
      <c r="A297" s="187"/>
      <c r="B297" s="187"/>
      <c r="C297" s="187"/>
      <c r="D297" s="187"/>
      <c r="E297" s="190"/>
      <c r="F297" s="180"/>
      <c r="H297" s="155"/>
      <c r="I297" s="155"/>
    </row>
    <row r="298">
      <c r="A298" s="187"/>
      <c r="B298" s="187"/>
      <c r="C298" s="187"/>
      <c r="D298" s="187"/>
      <c r="E298" s="190"/>
      <c r="F298" s="180"/>
      <c r="H298" s="155"/>
      <c r="I298" s="155"/>
    </row>
    <row r="299">
      <c r="A299" s="187"/>
      <c r="B299" s="187"/>
      <c r="C299" s="187"/>
      <c r="D299" s="187"/>
      <c r="E299" s="190"/>
      <c r="F299" s="180"/>
      <c r="H299" s="155"/>
      <c r="I299" s="155"/>
    </row>
    <row r="300">
      <c r="A300" s="187"/>
      <c r="B300" s="187"/>
      <c r="C300" s="187"/>
      <c r="D300" s="187"/>
      <c r="E300" s="190"/>
      <c r="F300" s="180"/>
      <c r="H300" s="155"/>
      <c r="I300" s="155"/>
    </row>
    <row r="301">
      <c r="A301" s="187"/>
      <c r="B301" s="187"/>
      <c r="C301" s="187"/>
      <c r="D301" s="187"/>
      <c r="E301" s="190"/>
      <c r="F301" s="180"/>
      <c r="H301" s="155"/>
      <c r="I301" s="155"/>
    </row>
    <row r="302">
      <c r="A302" s="187"/>
      <c r="B302" s="187"/>
      <c r="C302" s="187"/>
      <c r="D302" s="187"/>
      <c r="E302" s="190"/>
      <c r="F302" s="180"/>
      <c r="H302" s="155"/>
      <c r="I302" s="155"/>
    </row>
    <row r="303">
      <c r="A303" s="187"/>
      <c r="B303" s="187"/>
      <c r="C303" s="187"/>
      <c r="D303" s="187"/>
      <c r="E303" s="190"/>
      <c r="F303" s="180"/>
      <c r="H303" s="155"/>
      <c r="I303" s="155"/>
    </row>
    <row r="304">
      <c r="A304" s="187"/>
      <c r="B304" s="187"/>
      <c r="C304" s="187"/>
      <c r="D304" s="187"/>
      <c r="E304" s="190"/>
      <c r="F304" s="180"/>
      <c r="H304" s="155"/>
      <c r="I304" s="155"/>
    </row>
    <row r="305">
      <c r="A305" s="187"/>
      <c r="B305" s="187"/>
      <c r="C305" s="187"/>
      <c r="D305" s="187"/>
      <c r="E305" s="190"/>
      <c r="F305" s="180"/>
      <c r="H305" s="155"/>
      <c r="I305" s="155"/>
    </row>
    <row r="306">
      <c r="A306" s="187"/>
      <c r="B306" s="187"/>
      <c r="C306" s="187"/>
      <c r="D306" s="187"/>
      <c r="E306" s="190"/>
      <c r="F306" s="180"/>
      <c r="H306" s="155"/>
      <c r="I306" s="155"/>
    </row>
    <row r="307">
      <c r="A307" s="187"/>
      <c r="B307" s="187"/>
      <c r="C307" s="187"/>
      <c r="D307" s="187"/>
      <c r="E307" s="190"/>
      <c r="F307" s="180"/>
      <c r="H307" s="155"/>
      <c r="I307" s="155"/>
    </row>
    <row r="308">
      <c r="A308" s="187"/>
      <c r="B308" s="187"/>
      <c r="C308" s="187"/>
      <c r="D308" s="187"/>
      <c r="E308" s="190"/>
      <c r="F308" s="180"/>
      <c r="H308" s="155"/>
      <c r="I308" s="155"/>
    </row>
    <row r="309">
      <c r="A309" s="187"/>
      <c r="B309" s="187"/>
      <c r="C309" s="187"/>
      <c r="D309" s="187"/>
      <c r="E309" s="190"/>
      <c r="F309" s="180"/>
      <c r="H309" s="155"/>
      <c r="I309" s="155"/>
    </row>
    <row r="310">
      <c r="A310" s="187"/>
      <c r="B310" s="187"/>
      <c r="C310" s="187"/>
      <c r="D310" s="187"/>
      <c r="E310" s="190"/>
      <c r="F310" s="180"/>
      <c r="H310" s="155"/>
      <c r="I310" s="155"/>
    </row>
    <row r="311">
      <c r="A311" s="187"/>
      <c r="B311" s="187"/>
      <c r="C311" s="187"/>
      <c r="D311" s="187"/>
      <c r="E311" s="190"/>
      <c r="F311" s="180"/>
      <c r="H311" s="155"/>
      <c r="I311" s="155"/>
    </row>
    <row r="312">
      <c r="A312" s="187"/>
      <c r="B312" s="187"/>
      <c r="C312" s="187"/>
      <c r="D312" s="187"/>
      <c r="E312" s="190"/>
      <c r="F312" s="180"/>
      <c r="H312" s="155"/>
      <c r="I312" s="155"/>
    </row>
    <row r="313">
      <c r="A313" s="187"/>
      <c r="B313" s="187"/>
      <c r="C313" s="187"/>
      <c r="D313" s="187"/>
      <c r="E313" s="190"/>
      <c r="F313" s="180"/>
      <c r="H313" s="155"/>
      <c r="I313" s="155"/>
    </row>
    <row r="314">
      <c r="A314" s="187"/>
      <c r="B314" s="187"/>
      <c r="C314" s="187"/>
      <c r="D314" s="187"/>
      <c r="E314" s="190"/>
      <c r="F314" s="180"/>
      <c r="H314" s="155"/>
      <c r="I314" s="155"/>
    </row>
    <row r="315">
      <c r="A315" s="187"/>
      <c r="B315" s="187"/>
      <c r="C315" s="187"/>
      <c r="D315" s="187"/>
      <c r="E315" s="190"/>
      <c r="F315" s="180"/>
      <c r="H315" s="155"/>
      <c r="I315" s="155"/>
    </row>
    <row r="316">
      <c r="A316" s="187"/>
      <c r="B316" s="187"/>
      <c r="C316" s="187"/>
      <c r="D316" s="187"/>
      <c r="E316" s="190"/>
      <c r="F316" s="180"/>
      <c r="H316" s="155"/>
      <c r="I316" s="155"/>
    </row>
    <row r="317">
      <c r="A317" s="187"/>
      <c r="B317" s="187"/>
      <c r="C317" s="187"/>
      <c r="D317" s="187"/>
      <c r="E317" s="190"/>
      <c r="F317" s="180"/>
      <c r="H317" s="155"/>
      <c r="I317" s="155"/>
    </row>
    <row r="318">
      <c r="A318" s="187"/>
      <c r="B318" s="187"/>
      <c r="C318" s="187"/>
      <c r="D318" s="187"/>
      <c r="E318" s="190"/>
      <c r="F318" s="180"/>
      <c r="H318" s="155"/>
      <c r="I318" s="155"/>
    </row>
    <row r="319">
      <c r="A319" s="187"/>
      <c r="B319" s="187"/>
      <c r="C319" s="187"/>
      <c r="D319" s="187"/>
      <c r="E319" s="190"/>
      <c r="F319" s="180"/>
      <c r="H319" s="155"/>
      <c r="I319" s="155"/>
    </row>
    <row r="320">
      <c r="A320" s="187"/>
      <c r="B320" s="187"/>
      <c r="C320" s="187"/>
      <c r="D320" s="187"/>
      <c r="E320" s="190"/>
      <c r="F320" s="180"/>
      <c r="H320" s="155"/>
      <c r="I320" s="155"/>
    </row>
    <row r="321">
      <c r="A321" s="187"/>
      <c r="B321" s="187"/>
      <c r="C321" s="187"/>
      <c r="D321" s="187"/>
      <c r="E321" s="190"/>
      <c r="F321" s="180"/>
      <c r="H321" s="155"/>
      <c r="I321" s="155"/>
    </row>
    <row r="322">
      <c r="A322" s="187"/>
      <c r="B322" s="187"/>
      <c r="C322" s="187"/>
      <c r="D322" s="187"/>
      <c r="E322" s="190"/>
      <c r="F322" s="180"/>
      <c r="H322" s="155"/>
      <c r="I322" s="155"/>
    </row>
    <row r="323">
      <c r="A323" s="187"/>
      <c r="B323" s="187"/>
      <c r="C323" s="187"/>
      <c r="D323" s="187"/>
      <c r="E323" s="190"/>
      <c r="F323" s="180"/>
      <c r="H323" s="155"/>
      <c r="I323" s="155"/>
    </row>
    <row r="324">
      <c r="A324" s="187"/>
      <c r="B324" s="187"/>
      <c r="C324" s="187"/>
      <c r="D324" s="187"/>
      <c r="E324" s="190"/>
      <c r="F324" s="180"/>
      <c r="H324" s="155"/>
      <c r="I324" s="155"/>
    </row>
    <row r="325">
      <c r="A325" s="187"/>
      <c r="B325" s="187"/>
      <c r="C325" s="187"/>
      <c r="D325" s="187"/>
      <c r="E325" s="190"/>
      <c r="F325" s="180"/>
      <c r="H325" s="155"/>
      <c r="I325" s="155"/>
    </row>
    <row r="326">
      <c r="A326" s="187"/>
      <c r="B326" s="187"/>
      <c r="C326" s="187"/>
      <c r="D326" s="187"/>
      <c r="E326" s="190"/>
      <c r="F326" s="180"/>
      <c r="H326" s="155"/>
      <c r="I326" s="155"/>
    </row>
    <row r="327">
      <c r="A327" s="187"/>
      <c r="B327" s="187"/>
      <c r="C327" s="187"/>
      <c r="D327" s="187"/>
      <c r="E327" s="190"/>
      <c r="F327" s="180"/>
      <c r="H327" s="155"/>
      <c r="I327" s="155"/>
    </row>
    <row r="328">
      <c r="A328" s="187"/>
      <c r="B328" s="187"/>
      <c r="C328" s="187"/>
      <c r="D328" s="187"/>
      <c r="E328" s="190"/>
      <c r="F328" s="180"/>
      <c r="H328" s="155"/>
      <c r="I328" s="155"/>
    </row>
    <row r="329">
      <c r="A329" s="187"/>
      <c r="B329" s="187"/>
      <c r="C329" s="187"/>
      <c r="D329" s="187"/>
      <c r="E329" s="190"/>
      <c r="F329" s="180"/>
      <c r="H329" s="155"/>
      <c r="I329" s="155"/>
    </row>
    <row r="330">
      <c r="A330" s="187"/>
      <c r="B330" s="187"/>
      <c r="C330" s="187"/>
      <c r="D330" s="187"/>
      <c r="E330" s="190"/>
      <c r="F330" s="180"/>
      <c r="H330" s="155"/>
      <c r="I330" s="155"/>
    </row>
    <row r="331">
      <c r="A331" s="187"/>
      <c r="B331" s="187"/>
      <c r="C331" s="187"/>
      <c r="D331" s="187"/>
      <c r="E331" s="190"/>
      <c r="F331" s="180"/>
      <c r="H331" s="155"/>
      <c r="I331" s="155"/>
    </row>
    <row r="332">
      <c r="A332" s="187"/>
      <c r="B332" s="187"/>
      <c r="C332" s="187"/>
      <c r="D332" s="187"/>
      <c r="E332" s="190"/>
      <c r="F332" s="180"/>
      <c r="H332" s="155"/>
      <c r="I332" s="155"/>
    </row>
    <row r="333">
      <c r="A333" s="187"/>
      <c r="B333" s="187"/>
      <c r="C333" s="187"/>
      <c r="D333" s="187"/>
      <c r="E333" s="190"/>
      <c r="F333" s="180"/>
      <c r="H333" s="155"/>
      <c r="I333" s="155"/>
    </row>
    <row r="334">
      <c r="A334" s="187"/>
      <c r="B334" s="187"/>
      <c r="C334" s="187"/>
      <c r="D334" s="187"/>
      <c r="E334" s="190"/>
      <c r="F334" s="180"/>
      <c r="H334" s="155"/>
      <c r="I334" s="155"/>
    </row>
    <row r="335">
      <c r="A335" s="187"/>
      <c r="B335" s="187"/>
      <c r="C335" s="187"/>
      <c r="D335" s="187"/>
      <c r="E335" s="190"/>
      <c r="F335" s="180"/>
      <c r="H335" s="155"/>
      <c r="I335" s="155"/>
    </row>
    <row r="336">
      <c r="A336" s="187"/>
      <c r="B336" s="187"/>
      <c r="C336" s="187"/>
      <c r="D336" s="187"/>
      <c r="E336" s="190"/>
      <c r="F336" s="180"/>
      <c r="H336" s="155"/>
      <c r="I336" s="155"/>
    </row>
    <row r="337">
      <c r="A337" s="187"/>
      <c r="B337" s="187"/>
      <c r="C337" s="187"/>
      <c r="D337" s="187"/>
      <c r="E337" s="190"/>
      <c r="F337" s="180"/>
      <c r="H337" s="155"/>
      <c r="I337" s="155"/>
    </row>
    <row r="338">
      <c r="A338" s="187"/>
      <c r="B338" s="187"/>
      <c r="C338" s="187"/>
      <c r="D338" s="187"/>
      <c r="E338" s="190"/>
      <c r="F338" s="180"/>
      <c r="H338" s="155"/>
      <c r="I338" s="155"/>
    </row>
    <row r="339">
      <c r="A339" s="187"/>
      <c r="B339" s="187"/>
      <c r="C339" s="187"/>
      <c r="D339" s="187"/>
      <c r="E339" s="190"/>
      <c r="F339" s="180"/>
      <c r="H339" s="155"/>
      <c r="I339" s="155"/>
    </row>
    <row r="340">
      <c r="A340" s="187"/>
      <c r="B340" s="187"/>
      <c r="C340" s="187"/>
      <c r="D340" s="187"/>
      <c r="E340" s="190"/>
      <c r="F340" s="180"/>
      <c r="H340" s="155"/>
      <c r="I340" s="155"/>
    </row>
    <row r="341">
      <c r="A341" s="187"/>
      <c r="B341" s="187"/>
      <c r="C341" s="187"/>
      <c r="D341" s="187"/>
      <c r="E341" s="190"/>
      <c r="F341" s="180"/>
      <c r="H341" s="155"/>
      <c r="I341" s="155"/>
    </row>
    <row r="342">
      <c r="A342" s="187"/>
      <c r="B342" s="187"/>
      <c r="C342" s="187"/>
      <c r="D342" s="187"/>
      <c r="E342" s="190"/>
      <c r="F342" s="180"/>
      <c r="H342" s="155"/>
      <c r="I342" s="155"/>
    </row>
    <row r="343">
      <c r="A343" s="187"/>
      <c r="B343" s="187"/>
      <c r="C343" s="187"/>
      <c r="D343" s="187"/>
      <c r="E343" s="190"/>
      <c r="F343" s="180"/>
      <c r="H343" s="155"/>
      <c r="I343" s="155"/>
    </row>
    <row r="344">
      <c r="A344" s="187"/>
      <c r="B344" s="187"/>
      <c r="C344" s="187"/>
      <c r="D344" s="187"/>
      <c r="E344" s="190"/>
      <c r="F344" s="180"/>
      <c r="H344" s="155"/>
      <c r="I344" s="155"/>
    </row>
    <row r="345">
      <c r="A345" s="187"/>
      <c r="B345" s="187"/>
      <c r="C345" s="187"/>
      <c r="D345" s="187"/>
      <c r="E345" s="190"/>
      <c r="F345" s="180"/>
      <c r="H345" s="155"/>
      <c r="I345" s="155"/>
    </row>
    <row r="346">
      <c r="A346" s="187"/>
      <c r="B346" s="187"/>
      <c r="C346" s="187"/>
      <c r="D346" s="187"/>
      <c r="E346" s="190"/>
      <c r="F346" s="180"/>
      <c r="H346" s="155"/>
      <c r="I346" s="155"/>
    </row>
    <row r="347">
      <c r="A347" s="187"/>
      <c r="B347" s="187"/>
      <c r="C347" s="187"/>
      <c r="D347" s="187"/>
      <c r="E347" s="190"/>
      <c r="F347" s="180"/>
      <c r="H347" s="155"/>
      <c r="I347" s="155"/>
    </row>
    <row r="348">
      <c r="A348" s="187"/>
      <c r="B348" s="187"/>
      <c r="C348" s="187"/>
      <c r="D348" s="187"/>
      <c r="E348" s="190"/>
      <c r="F348" s="180"/>
      <c r="H348" s="155"/>
      <c r="I348" s="155"/>
    </row>
    <row r="349">
      <c r="A349" s="187"/>
      <c r="B349" s="187"/>
      <c r="C349" s="187"/>
      <c r="D349" s="187"/>
      <c r="E349" s="190"/>
      <c r="F349" s="180"/>
      <c r="H349" s="155"/>
      <c r="I349" s="155"/>
    </row>
    <row r="350">
      <c r="A350" s="187"/>
      <c r="B350" s="187"/>
      <c r="C350" s="187"/>
      <c r="D350" s="187"/>
      <c r="E350" s="190"/>
      <c r="F350" s="180"/>
      <c r="H350" s="155"/>
      <c r="I350" s="155"/>
    </row>
    <row r="351">
      <c r="A351" s="187"/>
      <c r="B351" s="187"/>
      <c r="C351" s="187"/>
      <c r="D351" s="187"/>
      <c r="E351" s="190"/>
      <c r="F351" s="180"/>
      <c r="H351" s="155"/>
      <c r="I351" s="155"/>
    </row>
    <row r="352">
      <c r="A352" s="187"/>
      <c r="B352" s="187"/>
      <c r="C352" s="187"/>
      <c r="D352" s="187"/>
      <c r="E352" s="190"/>
      <c r="F352" s="180"/>
      <c r="H352" s="155"/>
      <c r="I352" s="155"/>
    </row>
    <row r="353">
      <c r="A353" s="187"/>
      <c r="B353" s="187"/>
      <c r="C353" s="187"/>
      <c r="D353" s="187"/>
      <c r="E353" s="190"/>
      <c r="F353" s="180"/>
      <c r="H353" s="155"/>
      <c r="I353" s="155"/>
    </row>
    <row r="354">
      <c r="A354" s="187"/>
      <c r="B354" s="187"/>
      <c r="C354" s="187"/>
      <c r="D354" s="187"/>
      <c r="E354" s="190"/>
      <c r="F354" s="180"/>
      <c r="H354" s="155"/>
      <c r="I354" s="155"/>
    </row>
    <row r="355">
      <c r="A355" s="187"/>
      <c r="B355" s="187"/>
      <c r="C355" s="187"/>
      <c r="D355" s="187"/>
      <c r="E355" s="190"/>
      <c r="F355" s="180"/>
      <c r="H355" s="155"/>
      <c r="I355" s="155"/>
    </row>
    <row r="356">
      <c r="A356" s="187"/>
      <c r="B356" s="187"/>
      <c r="C356" s="187"/>
      <c r="D356" s="187"/>
      <c r="E356" s="190"/>
      <c r="F356" s="180"/>
      <c r="H356" s="155"/>
      <c r="I356" s="155"/>
    </row>
    <row r="357">
      <c r="A357" s="187"/>
      <c r="B357" s="187"/>
      <c r="C357" s="187"/>
      <c r="D357" s="187"/>
      <c r="E357" s="190"/>
      <c r="F357" s="180"/>
      <c r="H357" s="155"/>
      <c r="I357" s="155"/>
    </row>
    <row r="358">
      <c r="A358" s="187"/>
      <c r="B358" s="187"/>
      <c r="C358" s="187"/>
      <c r="D358" s="187"/>
      <c r="E358" s="190"/>
      <c r="F358" s="180"/>
      <c r="H358" s="155"/>
      <c r="I358" s="155"/>
    </row>
    <row r="359">
      <c r="A359" s="187"/>
      <c r="B359" s="187"/>
      <c r="C359" s="187"/>
      <c r="D359" s="187"/>
      <c r="E359" s="190"/>
      <c r="F359" s="180"/>
      <c r="H359" s="155"/>
      <c r="I359" s="155"/>
    </row>
    <row r="360">
      <c r="A360" s="187"/>
      <c r="B360" s="187"/>
      <c r="C360" s="187"/>
      <c r="D360" s="187"/>
      <c r="E360" s="190"/>
      <c r="F360" s="180"/>
      <c r="H360" s="155"/>
      <c r="I360" s="155"/>
    </row>
    <row r="361">
      <c r="A361" s="187"/>
      <c r="B361" s="187"/>
      <c r="C361" s="187"/>
      <c r="D361" s="187"/>
      <c r="E361" s="190"/>
      <c r="F361" s="180"/>
      <c r="H361" s="155"/>
      <c r="I361" s="155"/>
    </row>
    <row r="362">
      <c r="A362" s="187"/>
      <c r="B362" s="187"/>
      <c r="C362" s="187"/>
      <c r="D362" s="187"/>
      <c r="E362" s="190"/>
      <c r="F362" s="180"/>
      <c r="H362" s="155"/>
      <c r="I362" s="155"/>
    </row>
    <row r="363">
      <c r="A363" s="187"/>
      <c r="B363" s="187"/>
      <c r="C363" s="187"/>
      <c r="D363" s="187"/>
      <c r="E363" s="190"/>
      <c r="F363" s="180"/>
      <c r="H363" s="155"/>
      <c r="I363" s="155"/>
    </row>
    <row r="364">
      <c r="A364" s="187"/>
      <c r="B364" s="187"/>
      <c r="C364" s="187"/>
      <c r="D364" s="187"/>
      <c r="E364" s="190"/>
      <c r="F364" s="180"/>
      <c r="H364" s="155"/>
      <c r="I364" s="155"/>
    </row>
    <row r="365">
      <c r="A365" s="187"/>
      <c r="B365" s="187"/>
      <c r="C365" s="187"/>
      <c r="D365" s="187"/>
      <c r="E365" s="190"/>
      <c r="F365" s="180"/>
      <c r="H365" s="155"/>
      <c r="I365" s="155"/>
    </row>
    <row r="366">
      <c r="A366" s="187"/>
      <c r="B366" s="187"/>
      <c r="C366" s="187"/>
      <c r="D366" s="187"/>
      <c r="E366" s="190"/>
      <c r="F366" s="180"/>
      <c r="H366" s="155"/>
      <c r="I366" s="155"/>
    </row>
    <row r="367">
      <c r="A367" s="187"/>
      <c r="B367" s="187"/>
      <c r="C367" s="187"/>
      <c r="D367" s="187"/>
      <c r="E367" s="190"/>
      <c r="F367" s="180"/>
      <c r="H367" s="155"/>
      <c r="I367" s="155"/>
    </row>
    <row r="368">
      <c r="A368" s="187"/>
      <c r="B368" s="187"/>
      <c r="C368" s="187"/>
      <c r="D368" s="187"/>
      <c r="E368" s="190"/>
      <c r="F368" s="180"/>
      <c r="H368" s="155"/>
      <c r="I368" s="155"/>
    </row>
    <row r="369">
      <c r="A369" s="187"/>
      <c r="B369" s="187"/>
      <c r="C369" s="187"/>
      <c r="D369" s="187"/>
      <c r="E369" s="190"/>
      <c r="F369" s="180"/>
      <c r="H369" s="155"/>
      <c r="I369" s="155"/>
    </row>
    <row r="370">
      <c r="A370" s="187"/>
      <c r="B370" s="187"/>
      <c r="C370" s="187"/>
      <c r="D370" s="187"/>
      <c r="E370" s="190"/>
      <c r="F370" s="180"/>
      <c r="H370" s="155"/>
      <c r="I370" s="155"/>
    </row>
    <row r="371">
      <c r="A371" s="187"/>
      <c r="B371" s="187"/>
      <c r="C371" s="187"/>
      <c r="D371" s="187"/>
      <c r="E371" s="190"/>
      <c r="F371" s="180"/>
      <c r="H371" s="155"/>
      <c r="I371" s="155"/>
    </row>
    <row r="372">
      <c r="A372" s="187"/>
      <c r="B372" s="187"/>
      <c r="C372" s="187"/>
      <c r="D372" s="187"/>
      <c r="E372" s="190"/>
      <c r="F372" s="180"/>
      <c r="H372" s="155"/>
      <c r="I372" s="155"/>
    </row>
    <row r="373">
      <c r="A373" s="187"/>
      <c r="B373" s="187"/>
      <c r="C373" s="187"/>
      <c r="D373" s="187"/>
      <c r="E373" s="190"/>
      <c r="F373" s="180"/>
      <c r="H373" s="155"/>
      <c r="I373" s="155"/>
    </row>
    <row r="374">
      <c r="A374" s="187"/>
      <c r="B374" s="187"/>
      <c r="C374" s="187"/>
      <c r="D374" s="187"/>
      <c r="E374" s="190"/>
      <c r="F374" s="180"/>
      <c r="H374" s="155"/>
      <c r="I374" s="155"/>
    </row>
    <row r="375">
      <c r="A375" s="187"/>
      <c r="B375" s="187"/>
      <c r="C375" s="187"/>
      <c r="D375" s="187"/>
      <c r="E375" s="190"/>
      <c r="F375" s="180"/>
      <c r="H375" s="155"/>
      <c r="I375" s="155"/>
    </row>
    <row r="376">
      <c r="A376" s="187"/>
      <c r="B376" s="187"/>
      <c r="C376" s="187"/>
      <c r="D376" s="187"/>
      <c r="E376" s="190"/>
      <c r="F376" s="180"/>
      <c r="H376" s="155"/>
      <c r="I376" s="155"/>
    </row>
    <row r="377">
      <c r="A377" s="187"/>
      <c r="B377" s="187"/>
      <c r="C377" s="187"/>
      <c r="D377" s="187"/>
      <c r="E377" s="190"/>
      <c r="F377" s="180"/>
      <c r="H377" s="155"/>
      <c r="I377" s="155"/>
    </row>
    <row r="378">
      <c r="A378" s="187"/>
      <c r="B378" s="187"/>
      <c r="C378" s="187"/>
      <c r="D378" s="187"/>
      <c r="E378" s="190"/>
      <c r="F378" s="180"/>
      <c r="H378" s="155"/>
      <c r="I378" s="155"/>
    </row>
    <row r="379">
      <c r="A379" s="187"/>
      <c r="B379" s="187"/>
      <c r="C379" s="187"/>
      <c r="D379" s="187"/>
      <c r="E379" s="190"/>
      <c r="F379" s="180"/>
      <c r="H379" s="155"/>
      <c r="I379" s="155"/>
    </row>
    <row r="380">
      <c r="A380" s="187"/>
      <c r="B380" s="187"/>
      <c r="C380" s="187"/>
      <c r="D380" s="187"/>
      <c r="E380" s="190"/>
      <c r="F380" s="180"/>
      <c r="H380" s="155"/>
      <c r="I380" s="155"/>
    </row>
    <row r="381">
      <c r="A381" s="187"/>
      <c r="B381" s="187"/>
      <c r="C381" s="187"/>
      <c r="D381" s="187"/>
      <c r="E381" s="190"/>
      <c r="F381" s="180"/>
      <c r="H381" s="155"/>
      <c r="I381" s="155"/>
    </row>
    <row r="382">
      <c r="A382" s="187"/>
      <c r="B382" s="187"/>
      <c r="C382" s="187"/>
      <c r="D382" s="187"/>
      <c r="E382" s="190"/>
      <c r="F382" s="180"/>
      <c r="H382" s="155"/>
      <c r="I382" s="155"/>
    </row>
    <row r="383">
      <c r="A383" s="187"/>
      <c r="B383" s="187"/>
      <c r="C383" s="187"/>
      <c r="D383" s="187"/>
      <c r="E383" s="190"/>
      <c r="F383" s="180"/>
      <c r="H383" s="155"/>
      <c r="I383" s="155"/>
    </row>
    <row r="384">
      <c r="A384" s="187"/>
      <c r="B384" s="187"/>
      <c r="C384" s="187"/>
      <c r="D384" s="187"/>
      <c r="E384" s="190"/>
      <c r="F384" s="180"/>
      <c r="H384" s="155"/>
      <c r="I384" s="155"/>
    </row>
    <row r="385">
      <c r="A385" s="187"/>
      <c r="B385" s="187"/>
      <c r="C385" s="187"/>
      <c r="D385" s="187"/>
      <c r="E385" s="190"/>
      <c r="F385" s="180"/>
      <c r="H385" s="155"/>
      <c r="I385" s="155"/>
    </row>
    <row r="386">
      <c r="A386" s="187"/>
      <c r="B386" s="187"/>
      <c r="C386" s="187"/>
      <c r="D386" s="187"/>
      <c r="E386" s="190"/>
      <c r="F386" s="180"/>
      <c r="H386" s="155"/>
      <c r="I386" s="155"/>
    </row>
    <row r="387">
      <c r="A387" s="187"/>
      <c r="B387" s="187"/>
      <c r="C387" s="187"/>
      <c r="D387" s="187"/>
      <c r="E387" s="190"/>
      <c r="F387" s="180"/>
      <c r="H387" s="155"/>
      <c r="I387" s="155"/>
    </row>
    <row r="388">
      <c r="A388" s="187"/>
      <c r="B388" s="187"/>
      <c r="C388" s="187"/>
      <c r="D388" s="187"/>
      <c r="E388" s="190"/>
      <c r="F388" s="180"/>
      <c r="H388" s="155"/>
      <c r="I388" s="155"/>
    </row>
    <row r="389">
      <c r="A389" s="187"/>
      <c r="B389" s="187"/>
      <c r="C389" s="187"/>
      <c r="D389" s="187"/>
      <c r="E389" s="190"/>
      <c r="F389" s="180"/>
      <c r="H389" s="155"/>
      <c r="I389" s="155"/>
    </row>
    <row r="390">
      <c r="A390" s="187"/>
      <c r="B390" s="187"/>
      <c r="C390" s="187"/>
      <c r="D390" s="187"/>
      <c r="E390" s="190"/>
      <c r="F390" s="180"/>
      <c r="H390" s="155"/>
      <c r="I390" s="155"/>
    </row>
    <row r="391">
      <c r="A391" s="187"/>
      <c r="B391" s="187"/>
      <c r="C391" s="187"/>
      <c r="D391" s="187"/>
      <c r="E391" s="190"/>
      <c r="F391" s="180"/>
      <c r="H391" s="155"/>
      <c r="I391" s="155"/>
    </row>
    <row r="392">
      <c r="A392" s="187"/>
      <c r="B392" s="187"/>
      <c r="C392" s="187"/>
      <c r="D392" s="187"/>
      <c r="E392" s="190"/>
      <c r="F392" s="180"/>
      <c r="H392" s="155"/>
      <c r="I392" s="155"/>
    </row>
    <row r="393">
      <c r="A393" s="187"/>
      <c r="B393" s="187"/>
      <c r="C393" s="187"/>
      <c r="D393" s="187"/>
      <c r="E393" s="190"/>
      <c r="F393" s="180"/>
      <c r="H393" s="155"/>
      <c r="I393" s="155"/>
    </row>
    <row r="394">
      <c r="A394" s="187"/>
      <c r="B394" s="187"/>
      <c r="C394" s="187"/>
      <c r="D394" s="187"/>
      <c r="E394" s="190"/>
      <c r="F394" s="180"/>
      <c r="H394" s="155"/>
      <c r="I394" s="155"/>
    </row>
    <row r="395">
      <c r="A395" s="187"/>
      <c r="B395" s="187"/>
      <c r="C395" s="187"/>
      <c r="D395" s="187"/>
      <c r="E395" s="190"/>
      <c r="F395" s="180"/>
      <c r="H395" s="155"/>
      <c r="I395" s="155"/>
    </row>
    <row r="396">
      <c r="A396" s="187"/>
      <c r="B396" s="187"/>
      <c r="C396" s="187"/>
      <c r="D396" s="187"/>
      <c r="E396" s="190"/>
      <c r="F396" s="180"/>
      <c r="H396" s="155"/>
      <c r="I396" s="155"/>
    </row>
    <row r="397">
      <c r="A397" s="187"/>
      <c r="B397" s="187"/>
      <c r="C397" s="187"/>
      <c r="D397" s="187"/>
      <c r="E397" s="190"/>
      <c r="F397" s="180"/>
      <c r="H397" s="155"/>
      <c r="I397" s="155"/>
    </row>
    <row r="398">
      <c r="A398" s="187"/>
      <c r="B398" s="187"/>
      <c r="C398" s="187"/>
      <c r="D398" s="187"/>
      <c r="E398" s="190"/>
      <c r="F398" s="180"/>
      <c r="H398" s="155"/>
      <c r="I398" s="155"/>
    </row>
    <row r="399">
      <c r="A399" s="187"/>
      <c r="B399" s="187"/>
      <c r="C399" s="187"/>
      <c r="D399" s="187"/>
      <c r="E399" s="190"/>
      <c r="F399" s="180"/>
      <c r="H399" s="155"/>
      <c r="I399" s="155"/>
    </row>
    <row r="400">
      <c r="A400" s="187"/>
      <c r="B400" s="187"/>
      <c r="C400" s="187"/>
      <c r="D400" s="187"/>
      <c r="E400" s="190"/>
      <c r="F400" s="180"/>
      <c r="H400" s="155"/>
      <c r="I400" s="155"/>
    </row>
    <row r="401">
      <c r="A401" s="187"/>
      <c r="B401" s="187"/>
      <c r="C401" s="187"/>
      <c r="D401" s="187"/>
      <c r="E401" s="190"/>
      <c r="F401" s="180"/>
      <c r="H401" s="155"/>
      <c r="I401" s="155"/>
    </row>
    <row r="402">
      <c r="A402" s="187"/>
      <c r="B402" s="187"/>
      <c r="C402" s="187"/>
      <c r="D402" s="187"/>
      <c r="E402" s="190"/>
      <c r="F402" s="180"/>
      <c r="H402" s="155"/>
      <c r="I402" s="155"/>
    </row>
    <row r="403">
      <c r="A403" s="187"/>
      <c r="B403" s="187"/>
      <c r="C403" s="187"/>
      <c r="D403" s="187"/>
      <c r="E403" s="190"/>
      <c r="F403" s="180"/>
      <c r="H403" s="155"/>
      <c r="I403" s="155"/>
    </row>
    <row r="404">
      <c r="A404" s="187"/>
      <c r="B404" s="187"/>
      <c r="C404" s="187"/>
      <c r="D404" s="187"/>
      <c r="E404" s="190"/>
      <c r="F404" s="180"/>
      <c r="H404" s="155"/>
      <c r="I404" s="155"/>
    </row>
    <row r="405">
      <c r="A405" s="187"/>
      <c r="B405" s="187"/>
      <c r="C405" s="187"/>
      <c r="D405" s="187"/>
      <c r="E405" s="190"/>
      <c r="F405" s="180"/>
      <c r="H405" s="155"/>
      <c r="I405" s="155"/>
    </row>
    <row r="406">
      <c r="A406" s="187"/>
      <c r="B406" s="187"/>
      <c r="C406" s="187"/>
      <c r="D406" s="187"/>
      <c r="E406" s="190"/>
      <c r="F406" s="180"/>
      <c r="H406" s="155"/>
      <c r="I406" s="155"/>
    </row>
    <row r="407">
      <c r="A407" s="187"/>
      <c r="B407" s="187"/>
      <c r="C407" s="187"/>
      <c r="D407" s="187"/>
      <c r="E407" s="190"/>
      <c r="F407" s="180"/>
      <c r="H407" s="155"/>
      <c r="I407" s="155"/>
    </row>
    <row r="408">
      <c r="A408" s="187"/>
      <c r="B408" s="187"/>
      <c r="C408" s="187"/>
      <c r="D408" s="187"/>
      <c r="E408" s="190"/>
      <c r="F408" s="180"/>
      <c r="H408" s="155"/>
      <c r="I408" s="155"/>
    </row>
    <row r="409">
      <c r="A409" s="187"/>
      <c r="B409" s="187"/>
      <c r="C409" s="187"/>
      <c r="D409" s="187"/>
      <c r="E409" s="190"/>
      <c r="F409" s="180"/>
      <c r="H409" s="155"/>
      <c r="I409" s="155"/>
    </row>
    <row r="410">
      <c r="A410" s="187"/>
      <c r="B410" s="187"/>
      <c r="C410" s="187"/>
      <c r="D410" s="187"/>
      <c r="E410" s="190"/>
      <c r="F410" s="180"/>
      <c r="H410" s="155"/>
      <c r="I410" s="155"/>
    </row>
    <row r="411">
      <c r="A411" s="187"/>
      <c r="B411" s="187"/>
      <c r="C411" s="187"/>
      <c r="D411" s="187"/>
      <c r="E411" s="190"/>
      <c r="F411" s="180"/>
      <c r="H411" s="155"/>
      <c r="I411" s="155"/>
    </row>
    <row r="412">
      <c r="A412" s="187"/>
      <c r="B412" s="187"/>
      <c r="C412" s="187"/>
      <c r="D412" s="187"/>
      <c r="E412" s="190"/>
      <c r="F412" s="180"/>
      <c r="H412" s="155"/>
      <c r="I412" s="155"/>
    </row>
    <row r="413">
      <c r="A413" s="187"/>
      <c r="B413" s="187"/>
      <c r="C413" s="187"/>
      <c r="D413" s="187"/>
      <c r="E413" s="190"/>
      <c r="F413" s="180"/>
      <c r="H413" s="155"/>
      <c r="I413" s="155"/>
    </row>
    <row r="414">
      <c r="A414" s="187"/>
      <c r="B414" s="187"/>
      <c r="C414" s="187"/>
      <c r="D414" s="187"/>
      <c r="E414" s="190"/>
      <c r="F414" s="180"/>
      <c r="H414" s="155"/>
      <c r="I414" s="155"/>
    </row>
    <row r="415">
      <c r="A415" s="187"/>
      <c r="B415" s="187"/>
      <c r="C415" s="187"/>
      <c r="D415" s="187"/>
      <c r="E415" s="190"/>
      <c r="F415" s="180"/>
      <c r="H415" s="155"/>
      <c r="I415" s="155"/>
    </row>
    <row r="416">
      <c r="A416" s="187"/>
      <c r="B416" s="187"/>
      <c r="C416" s="187"/>
      <c r="D416" s="187"/>
      <c r="E416" s="190"/>
      <c r="F416" s="180"/>
      <c r="H416" s="155"/>
      <c r="I416" s="155"/>
    </row>
    <row r="417">
      <c r="A417" s="187"/>
      <c r="B417" s="187"/>
      <c r="C417" s="187"/>
      <c r="D417" s="187"/>
      <c r="E417" s="190"/>
      <c r="F417" s="180"/>
      <c r="H417" s="155"/>
      <c r="I417" s="155"/>
    </row>
    <row r="418">
      <c r="A418" s="187"/>
      <c r="B418" s="187"/>
      <c r="C418" s="187"/>
      <c r="D418" s="187"/>
      <c r="E418" s="190"/>
      <c r="F418" s="180"/>
      <c r="H418" s="155"/>
      <c r="I418" s="155"/>
    </row>
    <row r="419">
      <c r="A419" s="187"/>
      <c r="B419" s="187"/>
      <c r="C419" s="187"/>
      <c r="D419" s="187"/>
      <c r="E419" s="190"/>
      <c r="F419" s="180"/>
      <c r="H419" s="155"/>
      <c r="I419" s="155"/>
    </row>
    <row r="420">
      <c r="A420" s="187"/>
      <c r="B420" s="187"/>
      <c r="C420" s="187"/>
      <c r="D420" s="187"/>
      <c r="E420" s="190"/>
      <c r="F420" s="180"/>
      <c r="H420" s="155"/>
      <c r="I420" s="155"/>
    </row>
    <row r="421">
      <c r="A421" s="187"/>
      <c r="B421" s="187"/>
      <c r="C421" s="187"/>
      <c r="D421" s="187"/>
      <c r="E421" s="190"/>
      <c r="F421" s="180"/>
      <c r="H421" s="155"/>
      <c r="I421" s="155"/>
    </row>
    <row r="422">
      <c r="A422" s="187"/>
      <c r="B422" s="187"/>
      <c r="C422" s="187"/>
      <c r="D422" s="187"/>
      <c r="E422" s="190"/>
      <c r="F422" s="180"/>
      <c r="H422" s="155"/>
      <c r="I422" s="155"/>
    </row>
    <row r="423">
      <c r="A423" s="187"/>
      <c r="B423" s="187"/>
      <c r="C423" s="187"/>
      <c r="D423" s="187"/>
      <c r="E423" s="190"/>
      <c r="F423" s="180"/>
      <c r="H423" s="155"/>
      <c r="I423" s="155"/>
    </row>
    <row r="424">
      <c r="A424" s="187"/>
      <c r="B424" s="187"/>
      <c r="C424" s="187"/>
      <c r="D424" s="187"/>
      <c r="E424" s="190"/>
      <c r="F424" s="180"/>
      <c r="H424" s="155"/>
      <c r="I424" s="155"/>
    </row>
    <row r="425">
      <c r="A425" s="187"/>
      <c r="B425" s="187"/>
      <c r="C425" s="187"/>
      <c r="D425" s="187"/>
      <c r="E425" s="190"/>
      <c r="F425" s="180"/>
      <c r="H425" s="155"/>
      <c r="I425" s="155"/>
    </row>
    <row r="426">
      <c r="A426" s="187"/>
      <c r="B426" s="187"/>
      <c r="C426" s="187"/>
      <c r="D426" s="187"/>
      <c r="E426" s="190"/>
      <c r="F426" s="180"/>
      <c r="H426" s="155"/>
      <c r="I426" s="155"/>
    </row>
    <row r="427">
      <c r="A427" s="187"/>
      <c r="B427" s="187"/>
      <c r="C427" s="187"/>
      <c r="D427" s="187"/>
      <c r="E427" s="190"/>
      <c r="F427" s="180"/>
      <c r="H427" s="155"/>
      <c r="I427" s="155"/>
    </row>
    <row r="428">
      <c r="A428" s="187"/>
      <c r="B428" s="187"/>
      <c r="C428" s="187"/>
      <c r="D428" s="187"/>
      <c r="E428" s="190"/>
      <c r="F428" s="180"/>
      <c r="H428" s="155"/>
      <c r="I428" s="155"/>
    </row>
    <row r="429">
      <c r="A429" s="187"/>
      <c r="B429" s="187"/>
      <c r="C429" s="187"/>
      <c r="D429" s="187"/>
      <c r="E429" s="190"/>
      <c r="F429" s="180"/>
      <c r="H429" s="155"/>
      <c r="I429" s="155"/>
    </row>
    <row r="430">
      <c r="A430" s="187"/>
      <c r="B430" s="187"/>
      <c r="C430" s="187"/>
      <c r="D430" s="187"/>
      <c r="E430" s="190"/>
      <c r="F430" s="180"/>
      <c r="H430" s="155"/>
      <c r="I430" s="155"/>
    </row>
    <row r="431">
      <c r="A431" s="187"/>
      <c r="B431" s="187"/>
      <c r="C431" s="187"/>
      <c r="D431" s="187"/>
      <c r="E431" s="190"/>
      <c r="F431" s="180"/>
      <c r="H431" s="155"/>
      <c r="I431" s="155"/>
    </row>
    <row r="432">
      <c r="A432" s="187"/>
      <c r="B432" s="187"/>
      <c r="C432" s="187"/>
      <c r="D432" s="187"/>
      <c r="E432" s="190"/>
      <c r="F432" s="180"/>
      <c r="H432" s="155"/>
      <c r="I432" s="155"/>
    </row>
    <row r="433">
      <c r="A433" s="187"/>
      <c r="B433" s="187"/>
      <c r="C433" s="187"/>
      <c r="D433" s="187"/>
      <c r="E433" s="190"/>
      <c r="F433" s="180"/>
      <c r="H433" s="155"/>
      <c r="I433" s="155"/>
    </row>
    <row r="434">
      <c r="A434" s="187"/>
      <c r="B434" s="187"/>
      <c r="C434" s="187"/>
      <c r="D434" s="187"/>
      <c r="E434" s="190"/>
      <c r="F434" s="180"/>
      <c r="H434" s="155"/>
      <c r="I434" s="155"/>
    </row>
    <row r="435">
      <c r="A435" s="187"/>
      <c r="B435" s="187"/>
      <c r="C435" s="187"/>
      <c r="D435" s="187"/>
      <c r="E435" s="190"/>
      <c r="F435" s="180"/>
      <c r="H435" s="155"/>
      <c r="I435" s="155"/>
    </row>
    <row r="436">
      <c r="A436" s="187"/>
      <c r="B436" s="187"/>
      <c r="C436" s="187"/>
      <c r="D436" s="187"/>
      <c r="E436" s="190"/>
      <c r="F436" s="180"/>
      <c r="H436" s="155"/>
      <c r="I436" s="155"/>
    </row>
    <row r="437">
      <c r="A437" s="187"/>
      <c r="B437" s="187"/>
      <c r="C437" s="187"/>
      <c r="D437" s="187"/>
      <c r="E437" s="190"/>
      <c r="F437" s="180"/>
      <c r="H437" s="155"/>
      <c r="I437" s="155"/>
    </row>
    <row r="438">
      <c r="A438" s="187"/>
      <c r="B438" s="187"/>
      <c r="C438" s="187"/>
      <c r="D438" s="187"/>
      <c r="E438" s="190"/>
      <c r="F438" s="180"/>
      <c r="H438" s="155"/>
      <c r="I438" s="155"/>
    </row>
    <row r="439">
      <c r="A439" s="187"/>
      <c r="B439" s="187"/>
      <c r="C439" s="187"/>
      <c r="D439" s="187"/>
      <c r="E439" s="190"/>
      <c r="F439" s="180"/>
      <c r="H439" s="155"/>
      <c r="I439" s="155"/>
    </row>
    <row r="440">
      <c r="A440" s="187"/>
      <c r="B440" s="187"/>
      <c r="C440" s="187"/>
      <c r="D440" s="187"/>
      <c r="E440" s="190"/>
      <c r="F440" s="180"/>
      <c r="H440" s="155"/>
      <c r="I440" s="155"/>
    </row>
    <row r="441">
      <c r="A441" s="187"/>
      <c r="B441" s="187"/>
      <c r="C441" s="187"/>
      <c r="D441" s="187"/>
      <c r="E441" s="190"/>
      <c r="F441" s="180"/>
      <c r="H441" s="155"/>
      <c r="I441" s="155"/>
    </row>
    <row r="442">
      <c r="A442" s="187"/>
      <c r="B442" s="187"/>
      <c r="C442" s="187"/>
      <c r="D442" s="187"/>
      <c r="E442" s="190"/>
      <c r="F442" s="180"/>
      <c r="H442" s="155"/>
      <c r="I442" s="155"/>
    </row>
    <row r="443">
      <c r="A443" s="187"/>
      <c r="B443" s="187"/>
      <c r="C443" s="187"/>
      <c r="D443" s="187"/>
      <c r="E443" s="190"/>
      <c r="F443" s="180"/>
      <c r="H443" s="155"/>
      <c r="I443" s="155"/>
    </row>
    <row r="444">
      <c r="A444" s="187"/>
      <c r="B444" s="187"/>
      <c r="C444" s="187"/>
      <c r="D444" s="187"/>
      <c r="E444" s="190"/>
      <c r="F444" s="180"/>
      <c r="H444" s="155"/>
      <c r="I444" s="155"/>
    </row>
    <row r="445">
      <c r="A445" s="187"/>
      <c r="B445" s="187"/>
      <c r="C445" s="187"/>
      <c r="D445" s="187"/>
      <c r="E445" s="190"/>
      <c r="F445" s="180"/>
      <c r="H445" s="155"/>
      <c r="I445" s="155"/>
    </row>
    <row r="446">
      <c r="A446" s="187"/>
      <c r="B446" s="187"/>
      <c r="C446" s="187"/>
      <c r="D446" s="187"/>
      <c r="E446" s="190"/>
      <c r="F446" s="180"/>
      <c r="H446" s="155"/>
      <c r="I446" s="155"/>
    </row>
    <row r="447">
      <c r="A447" s="187"/>
      <c r="B447" s="187"/>
      <c r="C447" s="187"/>
      <c r="D447" s="187"/>
      <c r="E447" s="190"/>
      <c r="F447" s="180"/>
      <c r="H447" s="155"/>
      <c r="I447" s="155"/>
    </row>
    <row r="448">
      <c r="A448" s="187"/>
      <c r="B448" s="187"/>
      <c r="C448" s="187"/>
      <c r="D448" s="187"/>
      <c r="E448" s="190"/>
      <c r="F448" s="180"/>
      <c r="H448" s="155"/>
      <c r="I448" s="155"/>
    </row>
    <row r="449">
      <c r="A449" s="187"/>
      <c r="B449" s="187"/>
      <c r="C449" s="187"/>
      <c r="D449" s="187"/>
      <c r="E449" s="190"/>
      <c r="F449" s="180"/>
      <c r="H449" s="155"/>
      <c r="I449" s="155"/>
    </row>
    <row r="450">
      <c r="A450" s="187"/>
      <c r="B450" s="187"/>
      <c r="C450" s="187"/>
      <c r="D450" s="187"/>
      <c r="E450" s="190"/>
      <c r="F450" s="180"/>
      <c r="H450" s="155"/>
      <c r="I450" s="155"/>
    </row>
    <row r="451">
      <c r="A451" s="187"/>
      <c r="B451" s="187"/>
      <c r="C451" s="187"/>
      <c r="D451" s="187"/>
      <c r="E451" s="190"/>
      <c r="F451" s="180"/>
      <c r="H451" s="155"/>
      <c r="I451" s="155"/>
    </row>
    <row r="452">
      <c r="A452" s="187"/>
      <c r="B452" s="187"/>
      <c r="C452" s="187"/>
      <c r="D452" s="187"/>
      <c r="E452" s="190"/>
      <c r="F452" s="180"/>
      <c r="H452" s="155"/>
      <c r="I452" s="155"/>
    </row>
    <row r="453">
      <c r="A453" s="187"/>
      <c r="B453" s="187"/>
      <c r="C453" s="187"/>
      <c r="D453" s="187"/>
      <c r="E453" s="190"/>
      <c r="F453" s="180"/>
      <c r="H453" s="155"/>
      <c r="I453" s="155"/>
    </row>
    <row r="454">
      <c r="A454" s="187"/>
      <c r="B454" s="187"/>
      <c r="C454" s="187"/>
      <c r="D454" s="187"/>
      <c r="E454" s="190"/>
      <c r="F454" s="180"/>
      <c r="H454" s="155"/>
      <c r="I454" s="155"/>
    </row>
    <row r="455">
      <c r="A455" s="187"/>
      <c r="B455" s="187"/>
      <c r="C455" s="187"/>
      <c r="D455" s="187"/>
      <c r="E455" s="190"/>
      <c r="F455" s="180"/>
      <c r="H455" s="155"/>
      <c r="I455" s="155"/>
    </row>
    <row r="456">
      <c r="A456" s="187"/>
      <c r="B456" s="187"/>
      <c r="C456" s="187"/>
      <c r="D456" s="187"/>
      <c r="E456" s="190"/>
      <c r="F456" s="180"/>
      <c r="H456" s="155"/>
      <c r="I456" s="155"/>
    </row>
    <row r="457">
      <c r="A457" s="187"/>
      <c r="B457" s="187"/>
      <c r="C457" s="187"/>
      <c r="D457" s="187"/>
      <c r="E457" s="190"/>
      <c r="F457" s="180"/>
      <c r="H457" s="155"/>
      <c r="I457" s="155"/>
    </row>
    <row r="458">
      <c r="A458" s="187"/>
      <c r="B458" s="187"/>
      <c r="C458" s="187"/>
      <c r="D458" s="187"/>
      <c r="E458" s="190"/>
      <c r="F458" s="180"/>
      <c r="H458" s="155"/>
      <c r="I458" s="155"/>
    </row>
    <row r="459">
      <c r="A459" s="187"/>
      <c r="B459" s="187"/>
      <c r="C459" s="187"/>
      <c r="D459" s="187"/>
      <c r="E459" s="190"/>
      <c r="F459" s="180"/>
      <c r="H459" s="155"/>
      <c r="I459" s="155"/>
    </row>
    <row r="460">
      <c r="A460" s="187"/>
      <c r="B460" s="187"/>
      <c r="C460" s="187"/>
      <c r="D460" s="187"/>
      <c r="E460" s="190"/>
      <c r="F460" s="180"/>
      <c r="H460" s="155"/>
      <c r="I460" s="155"/>
    </row>
    <row r="461">
      <c r="A461" s="187"/>
      <c r="B461" s="187"/>
      <c r="C461" s="187"/>
      <c r="D461" s="187"/>
      <c r="E461" s="190"/>
      <c r="F461" s="180"/>
      <c r="H461" s="155"/>
      <c r="I461" s="155"/>
    </row>
    <row r="462">
      <c r="A462" s="187"/>
      <c r="B462" s="187"/>
      <c r="C462" s="187"/>
      <c r="D462" s="187"/>
      <c r="E462" s="190"/>
      <c r="F462" s="180"/>
      <c r="H462" s="155"/>
      <c r="I462" s="155"/>
    </row>
    <row r="463">
      <c r="A463" s="187"/>
      <c r="B463" s="187"/>
      <c r="C463" s="187"/>
      <c r="D463" s="187"/>
      <c r="E463" s="190"/>
      <c r="F463" s="180"/>
      <c r="H463" s="155"/>
      <c r="I463" s="155"/>
    </row>
    <row r="464">
      <c r="A464" s="187"/>
      <c r="B464" s="187"/>
      <c r="C464" s="187"/>
      <c r="D464" s="187"/>
      <c r="E464" s="190"/>
      <c r="F464" s="180"/>
      <c r="H464" s="155"/>
      <c r="I464" s="155"/>
    </row>
    <row r="465">
      <c r="A465" s="187"/>
      <c r="B465" s="187"/>
      <c r="C465" s="187"/>
      <c r="D465" s="187"/>
      <c r="E465" s="190"/>
      <c r="F465" s="180"/>
      <c r="H465" s="155"/>
      <c r="I465" s="155"/>
    </row>
    <row r="466">
      <c r="A466" s="187"/>
      <c r="B466" s="187"/>
      <c r="C466" s="187"/>
      <c r="D466" s="187"/>
      <c r="E466" s="190"/>
      <c r="F466" s="180"/>
      <c r="H466" s="155"/>
      <c r="I466" s="155"/>
    </row>
    <row r="467">
      <c r="A467" s="187"/>
      <c r="B467" s="187"/>
      <c r="C467" s="187"/>
      <c r="D467" s="187"/>
      <c r="E467" s="190"/>
      <c r="F467" s="180"/>
      <c r="H467" s="155"/>
      <c r="I467" s="155"/>
    </row>
    <row r="468">
      <c r="A468" s="187"/>
      <c r="B468" s="187"/>
      <c r="C468" s="187"/>
      <c r="D468" s="187"/>
      <c r="E468" s="190"/>
      <c r="F468" s="180"/>
      <c r="H468" s="155"/>
      <c r="I468" s="155"/>
    </row>
    <row r="469">
      <c r="A469" s="187"/>
      <c r="B469" s="187"/>
      <c r="C469" s="187"/>
      <c r="D469" s="187"/>
      <c r="E469" s="190"/>
      <c r="F469" s="180"/>
      <c r="H469" s="155"/>
      <c r="I469" s="155"/>
    </row>
    <row r="470">
      <c r="A470" s="187"/>
      <c r="B470" s="187"/>
      <c r="C470" s="187"/>
      <c r="D470" s="187"/>
      <c r="E470" s="190"/>
      <c r="F470" s="180"/>
      <c r="H470" s="155"/>
      <c r="I470" s="155"/>
    </row>
    <row r="471">
      <c r="A471" s="187"/>
      <c r="B471" s="187"/>
      <c r="C471" s="187"/>
      <c r="D471" s="187"/>
      <c r="E471" s="190"/>
      <c r="F471" s="180"/>
      <c r="H471" s="155"/>
      <c r="I471" s="155"/>
    </row>
    <row r="472">
      <c r="A472" s="187"/>
      <c r="B472" s="187"/>
      <c r="C472" s="187"/>
      <c r="D472" s="187"/>
      <c r="E472" s="190"/>
      <c r="F472" s="180"/>
      <c r="H472" s="155"/>
      <c r="I472" s="155"/>
    </row>
    <row r="473">
      <c r="A473" s="187"/>
      <c r="B473" s="187"/>
      <c r="C473" s="187"/>
      <c r="D473" s="187"/>
      <c r="E473" s="190"/>
      <c r="F473" s="180"/>
      <c r="H473" s="155"/>
      <c r="I473" s="155"/>
    </row>
    <row r="474">
      <c r="A474" s="187"/>
      <c r="B474" s="187"/>
      <c r="C474" s="187"/>
      <c r="D474" s="187"/>
      <c r="E474" s="190"/>
      <c r="F474" s="180"/>
      <c r="H474" s="155"/>
      <c r="I474" s="155"/>
    </row>
    <row r="475">
      <c r="A475" s="187"/>
      <c r="B475" s="187"/>
      <c r="C475" s="187"/>
      <c r="D475" s="187"/>
      <c r="E475" s="190"/>
      <c r="F475" s="180"/>
      <c r="H475" s="155"/>
      <c r="I475" s="155"/>
    </row>
    <row r="476">
      <c r="A476" s="187"/>
      <c r="B476" s="187"/>
      <c r="C476" s="187"/>
      <c r="D476" s="187"/>
      <c r="E476" s="190"/>
      <c r="F476" s="180"/>
      <c r="H476" s="155"/>
      <c r="I476" s="155"/>
    </row>
    <row r="477">
      <c r="A477" s="187"/>
      <c r="B477" s="187"/>
      <c r="C477" s="187"/>
      <c r="D477" s="187"/>
      <c r="E477" s="190"/>
      <c r="F477" s="180"/>
      <c r="H477" s="155"/>
      <c r="I477" s="155"/>
    </row>
    <row r="478">
      <c r="A478" s="187"/>
      <c r="B478" s="187"/>
      <c r="C478" s="187"/>
      <c r="D478" s="187"/>
      <c r="E478" s="190"/>
      <c r="F478" s="180"/>
      <c r="H478" s="155"/>
      <c r="I478" s="155"/>
    </row>
    <row r="479">
      <c r="A479" s="187"/>
      <c r="B479" s="187"/>
      <c r="C479" s="187"/>
      <c r="D479" s="187"/>
      <c r="E479" s="190"/>
      <c r="F479" s="180"/>
      <c r="H479" s="155"/>
      <c r="I479" s="155"/>
    </row>
    <row r="480">
      <c r="A480" s="187"/>
      <c r="B480" s="187"/>
      <c r="C480" s="187"/>
      <c r="D480" s="187"/>
      <c r="E480" s="190"/>
      <c r="F480" s="180"/>
      <c r="H480" s="155"/>
      <c r="I480" s="155"/>
    </row>
    <row r="481">
      <c r="A481" s="187"/>
      <c r="B481" s="187"/>
      <c r="C481" s="187"/>
      <c r="D481" s="187"/>
      <c r="E481" s="190"/>
      <c r="F481" s="180"/>
      <c r="H481" s="155"/>
      <c r="I481" s="155"/>
    </row>
    <row r="482">
      <c r="A482" s="187"/>
      <c r="B482" s="187"/>
      <c r="C482" s="187"/>
      <c r="D482" s="187"/>
      <c r="E482" s="190"/>
      <c r="F482" s="180"/>
      <c r="H482" s="155"/>
      <c r="I482" s="155"/>
    </row>
    <row r="483">
      <c r="A483" s="187"/>
      <c r="B483" s="187"/>
      <c r="C483" s="187"/>
      <c r="D483" s="187"/>
      <c r="E483" s="190"/>
      <c r="F483" s="180"/>
      <c r="H483" s="155"/>
      <c r="I483" s="155"/>
    </row>
    <row r="484">
      <c r="A484" s="187"/>
      <c r="B484" s="187"/>
      <c r="C484" s="187"/>
      <c r="D484" s="187"/>
      <c r="E484" s="190"/>
      <c r="F484" s="180"/>
      <c r="H484" s="155"/>
      <c r="I484" s="155"/>
    </row>
    <row r="485">
      <c r="A485" s="187"/>
      <c r="B485" s="187"/>
      <c r="C485" s="187"/>
      <c r="D485" s="187"/>
      <c r="E485" s="190"/>
      <c r="F485" s="180"/>
      <c r="H485" s="155"/>
      <c r="I485" s="155"/>
    </row>
    <row r="486">
      <c r="A486" s="187"/>
      <c r="B486" s="187"/>
      <c r="C486" s="187"/>
      <c r="D486" s="187"/>
      <c r="E486" s="190"/>
      <c r="F486" s="180"/>
      <c r="H486" s="155"/>
      <c r="I486" s="155"/>
    </row>
    <row r="487">
      <c r="A487" s="187"/>
      <c r="B487" s="187"/>
      <c r="C487" s="187"/>
      <c r="D487" s="187"/>
      <c r="E487" s="190"/>
      <c r="F487" s="180"/>
      <c r="H487" s="155"/>
      <c r="I487" s="155"/>
    </row>
    <row r="488">
      <c r="A488" s="187"/>
      <c r="B488" s="187"/>
      <c r="C488" s="187"/>
      <c r="D488" s="187"/>
      <c r="E488" s="190"/>
      <c r="F488" s="180"/>
      <c r="H488" s="155"/>
      <c r="I488" s="155"/>
    </row>
    <row r="489">
      <c r="A489" s="187"/>
      <c r="B489" s="187"/>
      <c r="C489" s="187"/>
      <c r="D489" s="187"/>
      <c r="E489" s="190"/>
      <c r="F489" s="180"/>
      <c r="H489" s="155"/>
      <c r="I489" s="155"/>
    </row>
    <row r="490">
      <c r="A490" s="187"/>
      <c r="B490" s="187"/>
      <c r="C490" s="187"/>
      <c r="D490" s="187"/>
      <c r="E490" s="190"/>
      <c r="F490" s="180"/>
      <c r="H490" s="155"/>
      <c r="I490" s="155"/>
    </row>
    <row r="491">
      <c r="A491" s="187"/>
      <c r="B491" s="187"/>
      <c r="C491" s="187"/>
      <c r="D491" s="187"/>
      <c r="E491" s="190"/>
      <c r="F491" s="180"/>
      <c r="H491" s="155"/>
      <c r="I491" s="155"/>
    </row>
    <row r="492">
      <c r="A492" s="187"/>
      <c r="B492" s="187"/>
      <c r="C492" s="187"/>
      <c r="D492" s="187"/>
      <c r="E492" s="190"/>
      <c r="F492" s="180"/>
      <c r="H492" s="155"/>
      <c r="I492" s="155"/>
    </row>
    <row r="493">
      <c r="A493" s="187"/>
      <c r="B493" s="187"/>
      <c r="C493" s="187"/>
      <c r="D493" s="187"/>
      <c r="E493" s="190"/>
      <c r="F493" s="180"/>
      <c r="H493" s="155"/>
      <c r="I493" s="155"/>
    </row>
    <row r="494">
      <c r="A494" s="187"/>
      <c r="B494" s="187"/>
      <c r="C494" s="187"/>
      <c r="D494" s="187"/>
      <c r="E494" s="190"/>
      <c r="F494" s="180"/>
      <c r="H494" s="155"/>
      <c r="I494" s="155"/>
    </row>
    <row r="495">
      <c r="A495" s="187"/>
      <c r="B495" s="187"/>
      <c r="C495" s="187"/>
      <c r="D495" s="187"/>
      <c r="E495" s="190"/>
      <c r="F495" s="180"/>
      <c r="H495" s="155"/>
      <c r="I495" s="155"/>
    </row>
    <row r="496">
      <c r="A496" s="187"/>
      <c r="B496" s="187"/>
      <c r="C496" s="187"/>
      <c r="D496" s="187"/>
      <c r="E496" s="190"/>
      <c r="F496" s="180"/>
      <c r="H496" s="155"/>
      <c r="I496" s="155"/>
    </row>
    <row r="497">
      <c r="A497" s="187"/>
      <c r="B497" s="187"/>
      <c r="C497" s="187"/>
      <c r="D497" s="187"/>
      <c r="E497" s="190"/>
      <c r="F497" s="180"/>
      <c r="H497" s="155"/>
      <c r="I497" s="155"/>
    </row>
    <row r="498">
      <c r="A498" s="187"/>
      <c r="B498" s="187"/>
      <c r="C498" s="187"/>
      <c r="D498" s="187"/>
      <c r="E498" s="190"/>
      <c r="F498" s="180"/>
      <c r="H498" s="155"/>
      <c r="I498" s="155"/>
    </row>
    <row r="499">
      <c r="A499" s="187"/>
      <c r="B499" s="187"/>
      <c r="C499" s="187"/>
      <c r="D499" s="187"/>
      <c r="E499" s="190"/>
      <c r="F499" s="180"/>
      <c r="H499" s="155"/>
      <c r="I499" s="155"/>
    </row>
    <row r="500">
      <c r="A500" s="187"/>
      <c r="B500" s="187"/>
      <c r="C500" s="187"/>
      <c r="D500" s="187"/>
      <c r="E500" s="190"/>
      <c r="F500" s="180"/>
      <c r="H500" s="155"/>
      <c r="I500" s="155"/>
    </row>
    <row r="501">
      <c r="A501" s="187"/>
      <c r="B501" s="187"/>
      <c r="C501" s="187"/>
      <c r="D501" s="187"/>
      <c r="E501" s="190"/>
      <c r="F501" s="180"/>
      <c r="H501" s="155"/>
      <c r="I501" s="155"/>
    </row>
    <row r="502">
      <c r="A502" s="187"/>
      <c r="B502" s="187"/>
      <c r="C502" s="187"/>
      <c r="D502" s="187"/>
      <c r="E502" s="190"/>
      <c r="F502" s="180"/>
      <c r="H502" s="155"/>
      <c r="I502" s="155"/>
    </row>
    <row r="503">
      <c r="A503" s="187"/>
      <c r="B503" s="187"/>
      <c r="C503" s="187"/>
      <c r="D503" s="187"/>
      <c r="E503" s="190"/>
      <c r="F503" s="180"/>
      <c r="H503" s="155"/>
      <c r="I503" s="155"/>
    </row>
    <row r="504">
      <c r="A504" s="187"/>
      <c r="B504" s="187"/>
      <c r="C504" s="187"/>
      <c r="D504" s="187"/>
      <c r="E504" s="190"/>
      <c r="F504" s="180"/>
      <c r="H504" s="155"/>
      <c r="I504" s="155"/>
    </row>
    <row r="505">
      <c r="A505" s="187"/>
      <c r="B505" s="187"/>
      <c r="C505" s="187"/>
      <c r="D505" s="187"/>
      <c r="E505" s="190"/>
      <c r="F505" s="180"/>
      <c r="H505" s="155"/>
      <c r="I505" s="155"/>
    </row>
    <row r="506">
      <c r="A506" s="187"/>
      <c r="B506" s="187"/>
      <c r="C506" s="187"/>
      <c r="D506" s="187"/>
      <c r="E506" s="190"/>
      <c r="F506" s="180"/>
      <c r="H506" s="155"/>
      <c r="I506" s="155"/>
    </row>
    <row r="507">
      <c r="A507" s="187"/>
      <c r="B507" s="187"/>
      <c r="C507" s="187"/>
      <c r="D507" s="187"/>
      <c r="E507" s="190"/>
      <c r="F507" s="180"/>
      <c r="H507" s="155"/>
      <c r="I507" s="155"/>
    </row>
    <row r="508">
      <c r="A508" s="187"/>
      <c r="B508" s="187"/>
      <c r="C508" s="187"/>
      <c r="D508" s="187"/>
      <c r="E508" s="190"/>
      <c r="F508" s="180"/>
      <c r="H508" s="155"/>
      <c r="I508" s="155"/>
    </row>
    <row r="509">
      <c r="A509" s="187"/>
      <c r="B509" s="187"/>
      <c r="C509" s="187"/>
      <c r="D509" s="187"/>
      <c r="E509" s="190"/>
      <c r="F509" s="180"/>
      <c r="H509" s="155"/>
      <c r="I509" s="155"/>
    </row>
    <row r="510">
      <c r="A510" s="187"/>
      <c r="B510" s="187"/>
      <c r="C510" s="187"/>
      <c r="D510" s="187"/>
      <c r="E510" s="190"/>
      <c r="F510" s="180"/>
      <c r="H510" s="155"/>
      <c r="I510" s="155"/>
    </row>
    <row r="511">
      <c r="A511" s="187"/>
      <c r="B511" s="187"/>
      <c r="C511" s="187"/>
      <c r="D511" s="187"/>
      <c r="E511" s="190"/>
      <c r="F511" s="180"/>
      <c r="H511" s="155"/>
      <c r="I511" s="155"/>
    </row>
    <row r="512">
      <c r="A512" s="187"/>
      <c r="B512" s="187"/>
      <c r="C512" s="187"/>
      <c r="D512" s="187"/>
      <c r="E512" s="190"/>
      <c r="F512" s="180"/>
      <c r="H512" s="155"/>
      <c r="I512" s="155"/>
    </row>
    <row r="513">
      <c r="A513" s="187"/>
      <c r="B513" s="187"/>
      <c r="C513" s="187"/>
      <c r="D513" s="187"/>
      <c r="E513" s="190"/>
      <c r="F513" s="180"/>
      <c r="H513" s="155"/>
      <c r="I513" s="155"/>
    </row>
    <row r="514">
      <c r="A514" s="187"/>
      <c r="B514" s="187"/>
      <c r="C514" s="187"/>
      <c r="D514" s="187"/>
      <c r="E514" s="190"/>
      <c r="F514" s="180"/>
      <c r="H514" s="155"/>
      <c r="I514" s="155"/>
    </row>
    <row r="515">
      <c r="A515" s="187"/>
      <c r="B515" s="187"/>
      <c r="C515" s="187"/>
      <c r="D515" s="187"/>
      <c r="E515" s="190"/>
      <c r="F515" s="180"/>
      <c r="H515" s="155"/>
      <c r="I515" s="155"/>
    </row>
    <row r="516">
      <c r="A516" s="187"/>
      <c r="B516" s="187"/>
      <c r="C516" s="187"/>
      <c r="D516" s="187"/>
      <c r="E516" s="190"/>
      <c r="F516" s="180"/>
      <c r="H516" s="155"/>
      <c r="I516" s="155"/>
    </row>
    <row r="517">
      <c r="A517" s="187"/>
      <c r="B517" s="187"/>
      <c r="C517" s="187"/>
      <c r="D517" s="187"/>
      <c r="E517" s="190"/>
      <c r="F517" s="180"/>
      <c r="H517" s="155"/>
      <c r="I517" s="155"/>
    </row>
    <row r="518">
      <c r="A518" s="187"/>
      <c r="B518" s="187"/>
      <c r="C518" s="187"/>
      <c r="D518" s="187"/>
      <c r="E518" s="190"/>
      <c r="F518" s="180"/>
      <c r="H518" s="155"/>
      <c r="I518" s="155"/>
    </row>
    <row r="519">
      <c r="A519" s="187"/>
      <c r="B519" s="187"/>
      <c r="C519" s="187"/>
      <c r="D519" s="187"/>
      <c r="E519" s="190"/>
      <c r="F519" s="180"/>
      <c r="H519" s="155"/>
      <c r="I519" s="155"/>
    </row>
    <row r="520">
      <c r="A520" s="187"/>
      <c r="B520" s="187"/>
      <c r="C520" s="187"/>
      <c r="D520" s="187"/>
      <c r="E520" s="190"/>
      <c r="F520" s="180"/>
      <c r="H520" s="155"/>
      <c r="I520" s="155"/>
    </row>
    <row r="521">
      <c r="A521" s="187"/>
      <c r="B521" s="187"/>
      <c r="C521" s="187"/>
      <c r="D521" s="187"/>
      <c r="E521" s="190"/>
      <c r="F521" s="180"/>
      <c r="H521" s="155"/>
      <c r="I521" s="155"/>
    </row>
    <row r="522">
      <c r="A522" s="187"/>
      <c r="B522" s="187"/>
      <c r="C522" s="187"/>
      <c r="D522" s="187"/>
      <c r="E522" s="190"/>
      <c r="F522" s="180"/>
      <c r="H522" s="155"/>
      <c r="I522" s="155"/>
    </row>
    <row r="523">
      <c r="A523" s="187"/>
      <c r="B523" s="187"/>
      <c r="C523" s="187"/>
      <c r="D523" s="187"/>
      <c r="E523" s="190"/>
      <c r="F523" s="180"/>
      <c r="H523" s="155"/>
      <c r="I523" s="155"/>
    </row>
    <row r="524">
      <c r="A524" s="187"/>
      <c r="B524" s="187"/>
      <c r="C524" s="187"/>
      <c r="D524" s="187"/>
      <c r="E524" s="190"/>
      <c r="F524" s="180"/>
      <c r="H524" s="155"/>
      <c r="I524" s="155"/>
    </row>
    <row r="525">
      <c r="A525" s="187"/>
      <c r="B525" s="187"/>
      <c r="C525" s="187"/>
      <c r="D525" s="187"/>
      <c r="E525" s="190"/>
      <c r="F525" s="180"/>
      <c r="H525" s="155"/>
      <c r="I525" s="155"/>
    </row>
    <row r="526">
      <c r="A526" s="187"/>
      <c r="B526" s="187"/>
      <c r="C526" s="187"/>
      <c r="D526" s="187"/>
      <c r="E526" s="190"/>
      <c r="F526" s="180"/>
      <c r="H526" s="155"/>
      <c r="I526" s="155"/>
    </row>
    <row r="527">
      <c r="A527" s="187"/>
      <c r="B527" s="187"/>
      <c r="C527" s="187"/>
      <c r="D527" s="187"/>
      <c r="E527" s="190"/>
      <c r="F527" s="180"/>
      <c r="H527" s="155"/>
      <c r="I527" s="155"/>
    </row>
    <row r="528">
      <c r="A528" s="187"/>
      <c r="B528" s="187"/>
      <c r="C528" s="187"/>
      <c r="D528" s="187"/>
      <c r="E528" s="190"/>
      <c r="F528" s="180"/>
      <c r="H528" s="155"/>
      <c r="I528" s="155"/>
    </row>
    <row r="529">
      <c r="A529" s="187"/>
      <c r="B529" s="187"/>
      <c r="C529" s="187"/>
      <c r="D529" s="187"/>
      <c r="E529" s="190"/>
      <c r="F529" s="180"/>
      <c r="H529" s="155"/>
      <c r="I529" s="155"/>
    </row>
    <row r="530">
      <c r="A530" s="187"/>
      <c r="B530" s="187"/>
      <c r="C530" s="187"/>
      <c r="D530" s="187"/>
      <c r="E530" s="190"/>
      <c r="F530" s="180"/>
      <c r="H530" s="155"/>
      <c r="I530" s="155"/>
    </row>
    <row r="531">
      <c r="A531" s="187"/>
      <c r="B531" s="187"/>
      <c r="C531" s="187"/>
      <c r="D531" s="187"/>
      <c r="E531" s="190"/>
      <c r="F531" s="180"/>
      <c r="H531" s="155"/>
      <c r="I531" s="155"/>
    </row>
    <row r="532">
      <c r="A532" s="187"/>
      <c r="B532" s="187"/>
      <c r="C532" s="187"/>
      <c r="D532" s="187"/>
      <c r="E532" s="190"/>
      <c r="F532" s="180"/>
      <c r="H532" s="155"/>
      <c r="I532" s="155"/>
    </row>
    <row r="533">
      <c r="A533" s="187"/>
      <c r="B533" s="187"/>
      <c r="C533" s="187"/>
      <c r="D533" s="187"/>
      <c r="E533" s="190"/>
      <c r="F533" s="180"/>
      <c r="H533" s="155"/>
      <c r="I533" s="155"/>
    </row>
    <row r="534">
      <c r="A534" s="187"/>
      <c r="B534" s="187"/>
      <c r="C534" s="187"/>
      <c r="D534" s="187"/>
      <c r="E534" s="190"/>
      <c r="F534" s="180"/>
      <c r="H534" s="155"/>
      <c r="I534" s="155"/>
    </row>
    <row r="535">
      <c r="A535" s="187"/>
      <c r="B535" s="187"/>
      <c r="C535" s="187"/>
      <c r="D535" s="187"/>
      <c r="E535" s="190"/>
      <c r="F535" s="180"/>
      <c r="H535" s="155"/>
      <c r="I535" s="155"/>
    </row>
    <row r="536">
      <c r="A536" s="187"/>
      <c r="B536" s="187"/>
      <c r="C536" s="187"/>
      <c r="D536" s="187"/>
      <c r="E536" s="190"/>
      <c r="F536" s="180"/>
      <c r="H536" s="155"/>
      <c r="I536" s="155"/>
    </row>
    <row r="537">
      <c r="A537" s="187"/>
      <c r="B537" s="187"/>
      <c r="C537" s="187"/>
      <c r="D537" s="187"/>
      <c r="E537" s="190"/>
      <c r="F537" s="180"/>
      <c r="H537" s="155"/>
      <c r="I537" s="155"/>
    </row>
    <row r="538">
      <c r="A538" s="187"/>
      <c r="B538" s="187"/>
      <c r="C538" s="187"/>
      <c r="D538" s="187"/>
      <c r="E538" s="190"/>
      <c r="F538" s="180"/>
      <c r="H538" s="155"/>
      <c r="I538" s="155"/>
    </row>
    <row r="539">
      <c r="A539" s="187"/>
      <c r="B539" s="187"/>
      <c r="C539" s="187"/>
      <c r="D539" s="187"/>
      <c r="E539" s="190"/>
      <c r="F539" s="180"/>
      <c r="H539" s="155"/>
      <c r="I539" s="155"/>
    </row>
    <row r="540">
      <c r="A540" s="187"/>
      <c r="B540" s="187"/>
      <c r="C540" s="187"/>
      <c r="D540" s="187"/>
      <c r="E540" s="190"/>
      <c r="F540" s="180"/>
      <c r="H540" s="155"/>
      <c r="I540" s="155"/>
    </row>
    <row r="541">
      <c r="A541" s="187"/>
      <c r="B541" s="187"/>
      <c r="C541" s="187"/>
      <c r="D541" s="187"/>
      <c r="E541" s="190"/>
      <c r="F541" s="180"/>
      <c r="H541" s="155"/>
      <c r="I541" s="155"/>
    </row>
    <row r="542">
      <c r="A542" s="187"/>
      <c r="B542" s="187"/>
      <c r="C542" s="187"/>
      <c r="D542" s="187"/>
      <c r="E542" s="190"/>
      <c r="F542" s="180"/>
      <c r="H542" s="155"/>
      <c r="I542" s="155"/>
    </row>
    <row r="543">
      <c r="A543" s="187"/>
      <c r="B543" s="187"/>
      <c r="C543" s="187"/>
      <c r="D543" s="187"/>
      <c r="E543" s="190"/>
      <c r="F543" s="180"/>
      <c r="H543" s="155"/>
      <c r="I543" s="155"/>
    </row>
    <row r="544">
      <c r="A544" s="187"/>
      <c r="B544" s="187"/>
      <c r="C544" s="187"/>
      <c r="D544" s="187"/>
      <c r="E544" s="190"/>
      <c r="F544" s="180"/>
      <c r="H544" s="155"/>
      <c r="I544" s="155"/>
    </row>
    <row r="545">
      <c r="A545" s="187"/>
      <c r="B545" s="187"/>
      <c r="C545" s="187"/>
      <c r="D545" s="187"/>
      <c r="E545" s="190"/>
      <c r="F545" s="180"/>
      <c r="H545" s="155"/>
      <c r="I545" s="155"/>
    </row>
    <row r="546">
      <c r="A546" s="187"/>
      <c r="B546" s="187"/>
      <c r="C546" s="187"/>
      <c r="D546" s="187"/>
      <c r="E546" s="190"/>
      <c r="F546" s="180"/>
      <c r="H546" s="155"/>
      <c r="I546" s="155"/>
    </row>
    <row r="547">
      <c r="A547" s="187"/>
      <c r="B547" s="187"/>
      <c r="C547" s="187"/>
      <c r="D547" s="187"/>
      <c r="E547" s="190"/>
      <c r="F547" s="180"/>
      <c r="H547" s="155"/>
      <c r="I547" s="155"/>
    </row>
    <row r="548">
      <c r="A548" s="187"/>
      <c r="B548" s="187"/>
      <c r="C548" s="187"/>
      <c r="D548" s="187"/>
      <c r="E548" s="190"/>
      <c r="F548" s="180"/>
      <c r="H548" s="155"/>
      <c r="I548" s="155"/>
    </row>
    <row r="549">
      <c r="A549" s="187"/>
      <c r="B549" s="187"/>
      <c r="C549" s="187"/>
      <c r="D549" s="187"/>
      <c r="E549" s="190"/>
      <c r="F549" s="180"/>
      <c r="H549" s="155"/>
      <c r="I549" s="155"/>
    </row>
    <row r="550">
      <c r="A550" s="187"/>
      <c r="B550" s="187"/>
      <c r="C550" s="187"/>
      <c r="D550" s="187"/>
      <c r="E550" s="190"/>
      <c r="F550" s="180"/>
      <c r="H550" s="155"/>
      <c r="I550" s="155"/>
    </row>
    <row r="551">
      <c r="A551" s="187"/>
      <c r="B551" s="187"/>
      <c r="C551" s="187"/>
      <c r="D551" s="187"/>
      <c r="E551" s="190"/>
      <c r="F551" s="180"/>
      <c r="H551" s="155"/>
      <c r="I551" s="155"/>
    </row>
    <row r="552">
      <c r="A552" s="187"/>
      <c r="B552" s="187"/>
      <c r="C552" s="187"/>
      <c r="D552" s="187"/>
      <c r="E552" s="190"/>
      <c r="F552" s="180"/>
      <c r="H552" s="155"/>
      <c r="I552" s="155"/>
    </row>
    <row r="553">
      <c r="A553" s="187"/>
      <c r="B553" s="187"/>
      <c r="C553" s="187"/>
      <c r="D553" s="187"/>
      <c r="E553" s="190"/>
      <c r="F553" s="180"/>
      <c r="H553" s="155"/>
      <c r="I553" s="155"/>
    </row>
    <row r="554">
      <c r="A554" s="187"/>
      <c r="B554" s="187"/>
      <c r="C554" s="187"/>
      <c r="D554" s="187"/>
      <c r="E554" s="190"/>
      <c r="F554" s="180"/>
      <c r="H554" s="155"/>
      <c r="I554" s="155"/>
    </row>
    <row r="555">
      <c r="A555" s="187"/>
      <c r="B555" s="187"/>
      <c r="C555" s="187"/>
      <c r="D555" s="187"/>
      <c r="E555" s="190"/>
      <c r="F555" s="180"/>
      <c r="H555" s="155"/>
      <c r="I555" s="155"/>
    </row>
    <row r="556">
      <c r="A556" s="187"/>
      <c r="B556" s="187"/>
      <c r="C556" s="187"/>
      <c r="D556" s="187"/>
      <c r="E556" s="190"/>
      <c r="F556" s="180"/>
      <c r="H556" s="155"/>
      <c r="I556" s="155"/>
    </row>
    <row r="557">
      <c r="A557" s="187"/>
      <c r="B557" s="187"/>
      <c r="C557" s="187"/>
      <c r="D557" s="187"/>
      <c r="E557" s="190"/>
      <c r="F557" s="180"/>
      <c r="H557" s="155"/>
      <c r="I557" s="155"/>
    </row>
    <row r="558">
      <c r="A558" s="187"/>
      <c r="B558" s="187"/>
      <c r="C558" s="187"/>
      <c r="D558" s="187"/>
      <c r="E558" s="190"/>
      <c r="F558" s="180"/>
      <c r="H558" s="155"/>
      <c r="I558" s="155"/>
    </row>
    <row r="559">
      <c r="A559" s="187"/>
      <c r="B559" s="187"/>
      <c r="C559" s="187"/>
      <c r="D559" s="187"/>
      <c r="E559" s="190"/>
      <c r="F559" s="180"/>
      <c r="H559" s="155"/>
      <c r="I559" s="155"/>
    </row>
    <row r="560">
      <c r="A560" s="187"/>
      <c r="B560" s="187"/>
      <c r="C560" s="187"/>
      <c r="D560" s="187"/>
      <c r="E560" s="190"/>
      <c r="F560" s="180"/>
      <c r="H560" s="155"/>
      <c r="I560" s="155"/>
    </row>
    <row r="561">
      <c r="A561" s="187"/>
      <c r="B561" s="187"/>
      <c r="C561" s="187"/>
      <c r="D561" s="187"/>
      <c r="E561" s="190"/>
      <c r="F561" s="180"/>
      <c r="H561" s="155"/>
      <c r="I561" s="155"/>
    </row>
    <row r="562">
      <c r="A562" s="187"/>
      <c r="B562" s="187"/>
      <c r="C562" s="187"/>
      <c r="D562" s="187"/>
      <c r="E562" s="190"/>
      <c r="F562" s="180"/>
      <c r="H562" s="155"/>
      <c r="I562" s="155"/>
    </row>
    <row r="563">
      <c r="A563" s="187"/>
      <c r="B563" s="187"/>
      <c r="C563" s="187"/>
      <c r="D563" s="187"/>
      <c r="E563" s="190"/>
      <c r="F563" s="180"/>
      <c r="H563" s="155"/>
      <c r="I563" s="155"/>
    </row>
    <row r="564">
      <c r="A564" s="187"/>
      <c r="B564" s="187"/>
      <c r="C564" s="187"/>
      <c r="D564" s="187"/>
      <c r="E564" s="190"/>
      <c r="F564" s="180"/>
      <c r="H564" s="155"/>
      <c r="I564" s="155"/>
    </row>
    <row r="565">
      <c r="A565" s="187"/>
      <c r="B565" s="187"/>
      <c r="C565" s="187"/>
      <c r="D565" s="187"/>
      <c r="E565" s="190"/>
      <c r="F565" s="180"/>
      <c r="H565" s="155"/>
      <c r="I565" s="155"/>
    </row>
    <row r="566">
      <c r="A566" s="187"/>
      <c r="B566" s="187"/>
      <c r="C566" s="187"/>
      <c r="D566" s="187"/>
      <c r="E566" s="190"/>
      <c r="F566" s="180"/>
      <c r="H566" s="155"/>
      <c r="I566" s="155"/>
    </row>
    <row r="567">
      <c r="A567" s="187"/>
      <c r="B567" s="187"/>
      <c r="C567" s="187"/>
      <c r="D567" s="187"/>
      <c r="E567" s="190"/>
      <c r="F567" s="180"/>
      <c r="H567" s="155"/>
      <c r="I567" s="155"/>
    </row>
    <row r="568">
      <c r="A568" s="187"/>
      <c r="B568" s="187"/>
      <c r="C568" s="187"/>
      <c r="D568" s="187"/>
      <c r="E568" s="190"/>
      <c r="F568" s="180"/>
      <c r="H568" s="155"/>
      <c r="I568" s="155"/>
    </row>
    <row r="569">
      <c r="A569" s="187"/>
      <c r="B569" s="187"/>
      <c r="C569" s="187"/>
      <c r="D569" s="187"/>
      <c r="E569" s="190"/>
      <c r="F569" s="180"/>
      <c r="H569" s="155"/>
      <c r="I569" s="155"/>
    </row>
    <row r="570">
      <c r="A570" s="187"/>
      <c r="B570" s="187"/>
      <c r="C570" s="187"/>
      <c r="D570" s="187"/>
      <c r="E570" s="190"/>
      <c r="F570" s="180"/>
      <c r="H570" s="155"/>
      <c r="I570" s="155"/>
    </row>
    <row r="571">
      <c r="A571" s="187"/>
      <c r="B571" s="187"/>
      <c r="C571" s="187"/>
      <c r="D571" s="187"/>
      <c r="E571" s="190"/>
      <c r="F571" s="180"/>
      <c r="H571" s="155"/>
      <c r="I571" s="155"/>
    </row>
    <row r="572">
      <c r="A572" s="187"/>
      <c r="B572" s="187"/>
      <c r="C572" s="187"/>
      <c r="D572" s="187"/>
      <c r="E572" s="190"/>
      <c r="F572" s="180"/>
      <c r="H572" s="155"/>
      <c r="I572" s="155"/>
    </row>
    <row r="573">
      <c r="A573" s="187"/>
      <c r="B573" s="187"/>
      <c r="C573" s="187"/>
      <c r="D573" s="187"/>
      <c r="E573" s="190"/>
      <c r="F573" s="180"/>
      <c r="H573" s="155"/>
      <c r="I573" s="155"/>
    </row>
    <row r="574">
      <c r="A574" s="187"/>
      <c r="B574" s="187"/>
      <c r="C574" s="187"/>
      <c r="D574" s="187"/>
      <c r="E574" s="190"/>
      <c r="F574" s="180"/>
      <c r="H574" s="155"/>
      <c r="I574" s="155"/>
    </row>
    <row r="575">
      <c r="A575" s="187"/>
      <c r="B575" s="187"/>
      <c r="C575" s="187"/>
      <c r="D575" s="187"/>
      <c r="E575" s="190"/>
      <c r="F575" s="180"/>
      <c r="H575" s="155"/>
      <c r="I575" s="155"/>
    </row>
    <row r="576">
      <c r="A576" s="187"/>
      <c r="B576" s="187"/>
      <c r="C576" s="187"/>
      <c r="D576" s="187"/>
      <c r="E576" s="190"/>
      <c r="F576" s="180"/>
      <c r="H576" s="155"/>
      <c r="I576" s="155"/>
    </row>
    <row r="577">
      <c r="A577" s="187"/>
      <c r="B577" s="187"/>
      <c r="C577" s="187"/>
      <c r="D577" s="187"/>
      <c r="E577" s="190"/>
      <c r="F577" s="180"/>
      <c r="H577" s="155"/>
      <c r="I577" s="155"/>
    </row>
    <row r="578">
      <c r="A578" s="187"/>
      <c r="B578" s="187"/>
      <c r="C578" s="187"/>
      <c r="D578" s="187"/>
      <c r="E578" s="190"/>
      <c r="F578" s="180"/>
      <c r="H578" s="155"/>
      <c r="I578" s="155"/>
    </row>
    <row r="579">
      <c r="A579" s="187"/>
      <c r="B579" s="187"/>
      <c r="C579" s="187"/>
      <c r="D579" s="187"/>
      <c r="E579" s="190"/>
      <c r="F579" s="180"/>
      <c r="H579" s="155"/>
      <c r="I579" s="155"/>
    </row>
    <row r="580">
      <c r="A580" s="187"/>
      <c r="B580" s="187"/>
      <c r="C580" s="187"/>
      <c r="D580" s="187"/>
      <c r="E580" s="190"/>
      <c r="F580" s="180"/>
      <c r="H580" s="155"/>
      <c r="I580" s="155"/>
    </row>
    <row r="581">
      <c r="A581" s="187"/>
      <c r="B581" s="187"/>
      <c r="C581" s="187"/>
      <c r="D581" s="187"/>
      <c r="E581" s="190"/>
      <c r="F581" s="180"/>
      <c r="H581" s="155"/>
      <c r="I581" s="155"/>
    </row>
    <row r="582">
      <c r="A582" s="187"/>
      <c r="B582" s="187"/>
      <c r="C582" s="187"/>
      <c r="D582" s="187"/>
      <c r="E582" s="190"/>
      <c r="F582" s="180"/>
      <c r="H582" s="155"/>
      <c r="I582" s="155"/>
    </row>
    <row r="583">
      <c r="A583" s="187"/>
      <c r="B583" s="187"/>
      <c r="C583" s="187"/>
      <c r="D583" s="187"/>
      <c r="E583" s="190"/>
      <c r="F583" s="180"/>
      <c r="H583" s="155"/>
      <c r="I583" s="155"/>
    </row>
    <row r="584">
      <c r="A584" s="187"/>
      <c r="B584" s="187"/>
      <c r="C584" s="187"/>
      <c r="D584" s="187"/>
      <c r="E584" s="190"/>
      <c r="F584" s="180"/>
      <c r="H584" s="155"/>
      <c r="I584" s="155"/>
    </row>
    <row r="585">
      <c r="A585" s="187"/>
      <c r="B585" s="187"/>
      <c r="C585" s="187"/>
      <c r="D585" s="187"/>
      <c r="E585" s="190"/>
      <c r="F585" s="180"/>
      <c r="H585" s="155"/>
      <c r="I585" s="155"/>
    </row>
    <row r="586">
      <c r="A586" s="187"/>
      <c r="B586" s="187"/>
      <c r="C586" s="187"/>
      <c r="D586" s="187"/>
      <c r="E586" s="190"/>
      <c r="F586" s="180"/>
      <c r="H586" s="155"/>
      <c r="I586" s="155"/>
    </row>
    <row r="587">
      <c r="A587" s="187"/>
      <c r="B587" s="187"/>
      <c r="C587" s="187"/>
      <c r="D587" s="187"/>
      <c r="E587" s="190"/>
      <c r="F587" s="180"/>
      <c r="H587" s="155"/>
      <c r="I587" s="155"/>
    </row>
    <row r="588">
      <c r="A588" s="187"/>
      <c r="B588" s="187"/>
      <c r="C588" s="187"/>
      <c r="D588" s="187"/>
      <c r="E588" s="190"/>
      <c r="F588" s="180"/>
      <c r="H588" s="155"/>
      <c r="I588" s="155"/>
    </row>
    <row r="589">
      <c r="A589" s="187"/>
      <c r="B589" s="187"/>
      <c r="C589" s="187"/>
      <c r="D589" s="187"/>
      <c r="E589" s="190"/>
      <c r="F589" s="180"/>
      <c r="H589" s="155"/>
      <c r="I589" s="155"/>
    </row>
    <row r="590">
      <c r="A590" s="187"/>
      <c r="B590" s="187"/>
      <c r="C590" s="187"/>
      <c r="D590" s="187"/>
      <c r="E590" s="190"/>
      <c r="F590" s="180"/>
      <c r="H590" s="155"/>
      <c r="I590" s="155"/>
    </row>
    <row r="591">
      <c r="A591" s="187"/>
      <c r="B591" s="187"/>
      <c r="C591" s="187"/>
      <c r="D591" s="187"/>
      <c r="E591" s="190"/>
      <c r="F591" s="180"/>
      <c r="H591" s="155"/>
      <c r="I591" s="155"/>
    </row>
    <row r="592">
      <c r="A592" s="187"/>
      <c r="B592" s="187"/>
      <c r="C592" s="187"/>
      <c r="D592" s="187"/>
      <c r="E592" s="190"/>
      <c r="F592" s="180"/>
      <c r="H592" s="155"/>
      <c r="I592" s="155"/>
    </row>
    <row r="593">
      <c r="A593" s="187"/>
      <c r="B593" s="187"/>
      <c r="C593" s="187"/>
      <c r="D593" s="187"/>
      <c r="E593" s="190"/>
      <c r="F593" s="180"/>
      <c r="H593" s="155"/>
      <c r="I593" s="155"/>
    </row>
    <row r="594">
      <c r="A594" s="187"/>
      <c r="B594" s="187"/>
      <c r="C594" s="187"/>
      <c r="D594" s="187"/>
      <c r="E594" s="190"/>
      <c r="F594" s="180"/>
      <c r="H594" s="155"/>
      <c r="I594" s="155"/>
    </row>
    <row r="595">
      <c r="A595" s="187"/>
      <c r="B595" s="187"/>
      <c r="C595" s="187"/>
      <c r="D595" s="187"/>
      <c r="E595" s="190"/>
      <c r="F595" s="180"/>
      <c r="H595" s="155"/>
      <c r="I595" s="155"/>
    </row>
    <row r="596">
      <c r="A596" s="187"/>
      <c r="B596" s="187"/>
      <c r="C596" s="187"/>
      <c r="D596" s="187"/>
      <c r="E596" s="190"/>
      <c r="F596" s="180"/>
      <c r="H596" s="155"/>
      <c r="I596" s="155"/>
    </row>
    <row r="597">
      <c r="A597" s="187"/>
      <c r="B597" s="187"/>
      <c r="C597" s="187"/>
      <c r="D597" s="187"/>
      <c r="E597" s="190"/>
      <c r="F597" s="180"/>
      <c r="H597" s="155"/>
      <c r="I597" s="155"/>
    </row>
    <row r="598">
      <c r="A598" s="187"/>
      <c r="B598" s="187"/>
      <c r="C598" s="187"/>
      <c r="D598" s="187"/>
      <c r="E598" s="190"/>
      <c r="F598" s="180"/>
      <c r="H598" s="155"/>
      <c r="I598" s="155"/>
    </row>
    <row r="599">
      <c r="A599" s="187"/>
      <c r="B599" s="187"/>
      <c r="C599" s="187"/>
      <c r="D599" s="187"/>
      <c r="E599" s="190"/>
      <c r="F599" s="180"/>
      <c r="H599" s="155"/>
      <c r="I599" s="155"/>
    </row>
    <row r="600">
      <c r="A600" s="187"/>
      <c r="B600" s="187"/>
      <c r="C600" s="187"/>
      <c r="D600" s="187"/>
      <c r="E600" s="190"/>
      <c r="F600" s="180"/>
      <c r="H600" s="155"/>
      <c r="I600" s="155"/>
    </row>
    <row r="601">
      <c r="A601" s="187"/>
      <c r="B601" s="187"/>
      <c r="C601" s="187"/>
      <c r="D601" s="187"/>
      <c r="E601" s="190"/>
      <c r="F601" s="180"/>
      <c r="H601" s="155"/>
      <c r="I601" s="155"/>
    </row>
    <row r="602">
      <c r="A602" s="187"/>
      <c r="B602" s="187"/>
      <c r="C602" s="187"/>
      <c r="D602" s="187"/>
      <c r="E602" s="190"/>
      <c r="F602" s="180"/>
      <c r="H602" s="155"/>
      <c r="I602" s="155"/>
    </row>
    <row r="603">
      <c r="A603" s="187"/>
      <c r="B603" s="187"/>
      <c r="C603" s="187"/>
      <c r="D603" s="187"/>
      <c r="E603" s="190"/>
      <c r="F603" s="180"/>
      <c r="H603" s="155"/>
      <c r="I603" s="155"/>
    </row>
    <row r="604">
      <c r="A604" s="187"/>
      <c r="B604" s="187"/>
      <c r="C604" s="187"/>
      <c r="D604" s="187"/>
      <c r="E604" s="190"/>
      <c r="F604" s="180"/>
      <c r="H604" s="155"/>
      <c r="I604" s="155"/>
    </row>
    <row r="605">
      <c r="A605" s="187"/>
      <c r="B605" s="187"/>
      <c r="C605" s="187"/>
      <c r="D605" s="187"/>
      <c r="E605" s="190"/>
      <c r="F605" s="180"/>
      <c r="H605" s="155"/>
      <c r="I605" s="155"/>
    </row>
    <row r="606">
      <c r="A606" s="187"/>
      <c r="B606" s="187"/>
      <c r="C606" s="187"/>
      <c r="D606" s="187"/>
      <c r="E606" s="190"/>
      <c r="F606" s="180"/>
      <c r="H606" s="155"/>
      <c r="I606" s="155"/>
    </row>
    <row r="607">
      <c r="A607" s="187"/>
      <c r="B607" s="187"/>
      <c r="C607" s="187"/>
      <c r="D607" s="187"/>
      <c r="E607" s="190"/>
      <c r="F607" s="180"/>
      <c r="H607" s="155"/>
      <c r="I607" s="155"/>
    </row>
    <row r="608">
      <c r="A608" s="187"/>
      <c r="B608" s="187"/>
      <c r="C608" s="187"/>
      <c r="D608" s="187"/>
      <c r="E608" s="190"/>
      <c r="F608" s="180"/>
      <c r="H608" s="155"/>
      <c r="I608" s="155"/>
    </row>
    <row r="609">
      <c r="A609" s="187"/>
      <c r="B609" s="187"/>
      <c r="C609" s="187"/>
      <c r="D609" s="187"/>
      <c r="E609" s="190"/>
      <c r="F609" s="180"/>
      <c r="H609" s="155"/>
      <c r="I609" s="155"/>
    </row>
    <row r="610">
      <c r="A610" s="187"/>
      <c r="B610" s="187"/>
      <c r="C610" s="187"/>
      <c r="D610" s="187"/>
      <c r="E610" s="190"/>
      <c r="F610" s="180"/>
      <c r="H610" s="155"/>
      <c r="I610" s="155"/>
    </row>
    <row r="611">
      <c r="A611" s="187"/>
      <c r="B611" s="187"/>
      <c r="C611" s="187"/>
      <c r="D611" s="187"/>
      <c r="E611" s="190"/>
      <c r="F611" s="180"/>
      <c r="H611" s="155"/>
      <c r="I611" s="155"/>
    </row>
    <row r="612">
      <c r="A612" s="187"/>
      <c r="B612" s="187"/>
      <c r="C612" s="187"/>
      <c r="D612" s="187"/>
      <c r="E612" s="190"/>
      <c r="F612" s="180"/>
      <c r="H612" s="155"/>
      <c r="I612" s="155"/>
    </row>
    <row r="613">
      <c r="A613" s="187"/>
      <c r="B613" s="187"/>
      <c r="C613" s="187"/>
      <c r="D613" s="187"/>
      <c r="E613" s="190"/>
      <c r="F613" s="180"/>
      <c r="H613" s="155"/>
      <c r="I613" s="155"/>
    </row>
    <row r="614">
      <c r="A614" s="187"/>
      <c r="B614" s="187"/>
      <c r="C614" s="187"/>
      <c r="D614" s="187"/>
      <c r="E614" s="190"/>
      <c r="F614" s="180"/>
      <c r="H614" s="155"/>
      <c r="I614" s="155"/>
    </row>
    <row r="615">
      <c r="A615" s="187"/>
      <c r="B615" s="187"/>
      <c r="C615" s="187"/>
      <c r="D615" s="187"/>
      <c r="E615" s="190"/>
      <c r="F615" s="180"/>
      <c r="H615" s="155"/>
      <c r="I615" s="155"/>
    </row>
    <row r="616">
      <c r="A616" s="187"/>
      <c r="B616" s="187"/>
      <c r="C616" s="187"/>
      <c r="D616" s="187"/>
      <c r="E616" s="190"/>
      <c r="F616" s="180"/>
      <c r="H616" s="155"/>
      <c r="I616" s="155"/>
    </row>
    <row r="617">
      <c r="A617" s="187"/>
      <c r="B617" s="187"/>
      <c r="C617" s="187"/>
      <c r="D617" s="187"/>
      <c r="E617" s="190"/>
      <c r="F617" s="180"/>
      <c r="H617" s="155"/>
      <c r="I617" s="155"/>
    </row>
    <row r="618">
      <c r="A618" s="187"/>
      <c r="B618" s="187"/>
      <c r="C618" s="187"/>
      <c r="D618" s="187"/>
      <c r="E618" s="190"/>
      <c r="F618" s="180"/>
      <c r="H618" s="155"/>
      <c r="I618" s="155"/>
    </row>
    <row r="619">
      <c r="A619" s="187"/>
      <c r="B619" s="187"/>
      <c r="C619" s="187"/>
      <c r="D619" s="187"/>
      <c r="E619" s="190"/>
      <c r="F619" s="180"/>
      <c r="H619" s="155"/>
      <c r="I619" s="155"/>
    </row>
    <row r="620">
      <c r="A620" s="187"/>
      <c r="B620" s="187"/>
      <c r="C620" s="187"/>
      <c r="D620" s="187"/>
      <c r="E620" s="190"/>
      <c r="F620" s="180"/>
      <c r="H620" s="155"/>
      <c r="I620" s="155"/>
    </row>
    <row r="621">
      <c r="A621" s="187"/>
      <c r="B621" s="187"/>
      <c r="C621" s="187"/>
      <c r="D621" s="187"/>
      <c r="E621" s="190"/>
      <c r="F621" s="180"/>
      <c r="H621" s="155"/>
      <c r="I621" s="155"/>
    </row>
    <row r="622">
      <c r="A622" s="187"/>
      <c r="B622" s="187"/>
      <c r="C622" s="187"/>
      <c r="D622" s="187"/>
      <c r="E622" s="190"/>
      <c r="F622" s="180"/>
      <c r="H622" s="155"/>
      <c r="I622" s="155"/>
    </row>
    <row r="623">
      <c r="A623" s="187"/>
      <c r="B623" s="187"/>
      <c r="C623" s="187"/>
      <c r="D623" s="187"/>
      <c r="E623" s="190"/>
      <c r="F623" s="180"/>
      <c r="H623" s="155"/>
      <c r="I623" s="155"/>
    </row>
    <row r="624">
      <c r="A624" s="187"/>
      <c r="B624" s="187"/>
      <c r="C624" s="187"/>
      <c r="D624" s="187"/>
      <c r="E624" s="190"/>
      <c r="F624" s="180"/>
      <c r="H624" s="155"/>
      <c r="I624" s="155"/>
    </row>
    <row r="625">
      <c r="A625" s="187"/>
      <c r="B625" s="187"/>
      <c r="C625" s="187"/>
      <c r="D625" s="187"/>
      <c r="E625" s="190"/>
      <c r="F625" s="180"/>
      <c r="H625" s="155"/>
      <c r="I625" s="155"/>
    </row>
    <row r="626">
      <c r="A626" s="187"/>
      <c r="B626" s="187"/>
      <c r="C626" s="187"/>
      <c r="D626" s="187"/>
      <c r="E626" s="190"/>
      <c r="F626" s="180"/>
      <c r="H626" s="155"/>
      <c r="I626" s="155"/>
    </row>
    <row r="627">
      <c r="A627" s="187"/>
      <c r="B627" s="187"/>
      <c r="C627" s="187"/>
      <c r="D627" s="187"/>
      <c r="E627" s="190"/>
      <c r="F627" s="180"/>
      <c r="H627" s="155"/>
      <c r="I627" s="155"/>
    </row>
    <row r="628">
      <c r="A628" s="187"/>
      <c r="B628" s="187"/>
      <c r="C628" s="187"/>
      <c r="D628" s="187"/>
      <c r="E628" s="190"/>
      <c r="F628" s="180"/>
      <c r="H628" s="155"/>
      <c r="I628" s="155"/>
    </row>
    <row r="629">
      <c r="A629" s="187"/>
      <c r="B629" s="187"/>
      <c r="C629" s="187"/>
      <c r="D629" s="187"/>
      <c r="E629" s="190"/>
      <c r="F629" s="180"/>
      <c r="H629" s="155"/>
      <c r="I629" s="155"/>
    </row>
    <row r="630">
      <c r="A630" s="187"/>
      <c r="B630" s="187"/>
      <c r="C630" s="187"/>
      <c r="D630" s="187"/>
      <c r="E630" s="190"/>
      <c r="F630" s="180"/>
      <c r="H630" s="155"/>
      <c r="I630" s="155"/>
    </row>
    <row r="631">
      <c r="A631" s="187"/>
      <c r="B631" s="187"/>
      <c r="C631" s="187"/>
      <c r="D631" s="187"/>
      <c r="E631" s="190"/>
      <c r="F631" s="180"/>
      <c r="H631" s="155"/>
      <c r="I631" s="155"/>
    </row>
    <row r="632">
      <c r="A632" s="187"/>
      <c r="B632" s="187"/>
      <c r="C632" s="187"/>
      <c r="D632" s="187"/>
      <c r="E632" s="190"/>
      <c r="F632" s="180"/>
      <c r="H632" s="155"/>
      <c r="I632" s="155"/>
    </row>
    <row r="633">
      <c r="A633" s="187"/>
      <c r="B633" s="187"/>
      <c r="C633" s="187"/>
      <c r="D633" s="187"/>
      <c r="E633" s="190"/>
      <c r="F633" s="180"/>
      <c r="H633" s="155"/>
      <c r="I633" s="155"/>
    </row>
    <row r="634">
      <c r="A634" s="187"/>
      <c r="B634" s="187"/>
      <c r="C634" s="187"/>
      <c r="D634" s="187"/>
      <c r="E634" s="190"/>
      <c r="F634" s="180"/>
      <c r="H634" s="155"/>
      <c r="I634" s="155"/>
    </row>
    <row r="635">
      <c r="A635" s="187"/>
      <c r="B635" s="187"/>
      <c r="C635" s="187"/>
      <c r="D635" s="187"/>
      <c r="E635" s="190"/>
      <c r="F635" s="180"/>
      <c r="H635" s="155"/>
      <c r="I635" s="155"/>
    </row>
    <row r="636">
      <c r="A636" s="187"/>
      <c r="B636" s="187"/>
      <c r="C636" s="187"/>
      <c r="D636" s="187"/>
      <c r="E636" s="190"/>
      <c r="F636" s="180"/>
      <c r="H636" s="155"/>
      <c r="I636" s="155"/>
    </row>
    <row r="637">
      <c r="A637" s="187"/>
      <c r="B637" s="187"/>
      <c r="C637" s="187"/>
      <c r="D637" s="187"/>
      <c r="E637" s="190"/>
      <c r="F637" s="180"/>
      <c r="H637" s="155"/>
      <c r="I637" s="155"/>
    </row>
    <row r="638">
      <c r="A638" s="187"/>
      <c r="B638" s="187"/>
      <c r="C638" s="187"/>
      <c r="D638" s="187"/>
      <c r="E638" s="190"/>
      <c r="F638" s="180"/>
      <c r="H638" s="155"/>
      <c r="I638" s="155"/>
    </row>
    <row r="639">
      <c r="A639" s="187"/>
      <c r="B639" s="187"/>
      <c r="C639" s="187"/>
      <c r="D639" s="187"/>
      <c r="E639" s="190"/>
      <c r="F639" s="180"/>
      <c r="H639" s="155"/>
      <c r="I639" s="155"/>
    </row>
    <row r="640">
      <c r="A640" s="187"/>
      <c r="B640" s="187"/>
      <c r="C640" s="187"/>
      <c r="D640" s="187"/>
      <c r="E640" s="190"/>
      <c r="F640" s="180"/>
      <c r="H640" s="155"/>
      <c r="I640" s="155"/>
    </row>
    <row r="641">
      <c r="A641" s="187"/>
      <c r="B641" s="187"/>
      <c r="C641" s="187"/>
      <c r="D641" s="187"/>
      <c r="E641" s="190"/>
      <c r="F641" s="180"/>
      <c r="H641" s="155"/>
      <c r="I641" s="155"/>
    </row>
    <row r="642">
      <c r="A642" s="187"/>
      <c r="B642" s="187"/>
      <c r="C642" s="187"/>
      <c r="D642" s="187"/>
      <c r="E642" s="190"/>
      <c r="F642" s="180"/>
      <c r="H642" s="155"/>
      <c r="I642" s="155"/>
    </row>
    <row r="643">
      <c r="A643" s="187"/>
      <c r="B643" s="187"/>
      <c r="C643" s="187"/>
      <c r="D643" s="187"/>
      <c r="E643" s="190"/>
      <c r="F643" s="180"/>
      <c r="H643" s="155"/>
      <c r="I643" s="155"/>
    </row>
    <row r="644">
      <c r="A644" s="187"/>
      <c r="B644" s="187"/>
      <c r="C644" s="187"/>
      <c r="D644" s="187"/>
      <c r="E644" s="190"/>
      <c r="F644" s="180"/>
      <c r="H644" s="155"/>
      <c r="I644" s="155"/>
    </row>
    <row r="645">
      <c r="A645" s="187"/>
      <c r="B645" s="187"/>
      <c r="C645" s="187"/>
      <c r="D645" s="187"/>
      <c r="E645" s="190"/>
      <c r="F645" s="180"/>
      <c r="H645" s="155"/>
      <c r="I645" s="155"/>
    </row>
    <row r="646">
      <c r="A646" s="187"/>
      <c r="B646" s="187"/>
      <c r="C646" s="187"/>
      <c r="D646" s="187"/>
      <c r="E646" s="190"/>
      <c r="F646" s="180"/>
      <c r="H646" s="155"/>
      <c r="I646" s="155"/>
    </row>
    <row r="647">
      <c r="A647" s="187"/>
      <c r="B647" s="187"/>
      <c r="C647" s="187"/>
      <c r="D647" s="187"/>
      <c r="E647" s="190"/>
      <c r="F647" s="180"/>
      <c r="H647" s="155"/>
      <c r="I647" s="155"/>
    </row>
    <row r="648">
      <c r="A648" s="187"/>
      <c r="B648" s="187"/>
      <c r="C648" s="187"/>
      <c r="D648" s="187"/>
      <c r="E648" s="190"/>
      <c r="F648" s="180"/>
      <c r="H648" s="155"/>
      <c r="I648" s="155"/>
    </row>
    <row r="649">
      <c r="A649" s="187"/>
      <c r="B649" s="187"/>
      <c r="C649" s="187"/>
      <c r="D649" s="187"/>
      <c r="E649" s="190"/>
      <c r="F649" s="180"/>
      <c r="H649" s="155"/>
      <c r="I649" s="155"/>
    </row>
    <row r="650">
      <c r="A650" s="187"/>
      <c r="B650" s="187"/>
      <c r="C650" s="187"/>
      <c r="D650" s="187"/>
      <c r="E650" s="190"/>
      <c r="F650" s="180"/>
      <c r="H650" s="155"/>
      <c r="I650" s="155"/>
    </row>
    <row r="651">
      <c r="A651" s="187"/>
      <c r="B651" s="187"/>
      <c r="C651" s="187"/>
      <c r="D651" s="187"/>
      <c r="E651" s="190"/>
      <c r="F651" s="180"/>
      <c r="H651" s="155"/>
      <c r="I651" s="155"/>
    </row>
    <row r="652">
      <c r="A652" s="187"/>
      <c r="B652" s="187"/>
      <c r="C652" s="187"/>
      <c r="D652" s="187"/>
      <c r="E652" s="190"/>
      <c r="F652" s="180"/>
      <c r="H652" s="155"/>
      <c r="I652" s="155"/>
    </row>
    <row r="653">
      <c r="A653" s="187"/>
      <c r="B653" s="187"/>
      <c r="C653" s="187"/>
      <c r="D653" s="187"/>
      <c r="E653" s="190"/>
      <c r="F653" s="180"/>
      <c r="H653" s="155"/>
      <c r="I653" s="155"/>
    </row>
    <row r="654">
      <c r="A654" s="187"/>
      <c r="B654" s="187"/>
      <c r="C654" s="187"/>
      <c r="D654" s="187"/>
      <c r="E654" s="190"/>
      <c r="F654" s="180"/>
      <c r="H654" s="155"/>
      <c r="I654" s="155"/>
    </row>
    <row r="655">
      <c r="A655" s="187"/>
      <c r="B655" s="187"/>
      <c r="C655" s="187"/>
      <c r="D655" s="187"/>
      <c r="E655" s="190"/>
      <c r="F655" s="180"/>
      <c r="H655" s="155"/>
      <c r="I655" s="155"/>
    </row>
    <row r="656">
      <c r="A656" s="187"/>
      <c r="B656" s="187"/>
      <c r="C656" s="187"/>
      <c r="D656" s="187"/>
      <c r="E656" s="190"/>
      <c r="F656" s="180"/>
      <c r="H656" s="155"/>
      <c r="I656" s="155"/>
    </row>
    <row r="657">
      <c r="A657" s="187"/>
      <c r="B657" s="187"/>
      <c r="C657" s="187"/>
      <c r="D657" s="187"/>
      <c r="E657" s="190"/>
      <c r="F657" s="180"/>
      <c r="H657" s="155"/>
      <c r="I657" s="155"/>
    </row>
    <row r="658">
      <c r="A658" s="187"/>
      <c r="B658" s="187"/>
      <c r="C658" s="187"/>
      <c r="D658" s="187"/>
      <c r="E658" s="190"/>
      <c r="F658" s="180"/>
      <c r="H658" s="155"/>
      <c r="I658" s="155"/>
    </row>
    <row r="659">
      <c r="A659" s="187"/>
      <c r="B659" s="187"/>
      <c r="C659" s="187"/>
      <c r="D659" s="187"/>
      <c r="E659" s="190"/>
      <c r="F659" s="180"/>
      <c r="H659" s="155"/>
      <c r="I659" s="155"/>
    </row>
    <row r="660">
      <c r="A660" s="187"/>
      <c r="B660" s="187"/>
      <c r="C660" s="187"/>
      <c r="D660" s="187"/>
      <c r="E660" s="190"/>
      <c r="F660" s="180"/>
      <c r="H660" s="155"/>
      <c r="I660" s="155"/>
    </row>
    <row r="661">
      <c r="A661" s="187"/>
      <c r="B661" s="187"/>
      <c r="C661" s="187"/>
      <c r="D661" s="187"/>
      <c r="E661" s="190"/>
      <c r="F661" s="180"/>
      <c r="H661" s="155"/>
      <c r="I661" s="155"/>
    </row>
    <row r="662">
      <c r="A662" s="187"/>
      <c r="B662" s="187"/>
      <c r="C662" s="187"/>
      <c r="D662" s="187"/>
      <c r="E662" s="190"/>
      <c r="F662" s="180"/>
      <c r="H662" s="155"/>
      <c r="I662" s="155"/>
    </row>
    <row r="663">
      <c r="A663" s="187"/>
      <c r="B663" s="187"/>
      <c r="C663" s="187"/>
      <c r="D663" s="187"/>
      <c r="E663" s="190"/>
      <c r="F663" s="180"/>
      <c r="H663" s="155"/>
      <c r="I663" s="155"/>
    </row>
    <row r="664">
      <c r="A664" s="187"/>
      <c r="B664" s="187"/>
      <c r="C664" s="187"/>
      <c r="D664" s="187"/>
      <c r="E664" s="190"/>
      <c r="F664" s="180"/>
      <c r="H664" s="155"/>
      <c r="I664" s="155"/>
    </row>
    <row r="665">
      <c r="A665" s="187"/>
      <c r="B665" s="187"/>
      <c r="C665" s="187"/>
      <c r="D665" s="187"/>
      <c r="E665" s="190"/>
      <c r="F665" s="180"/>
      <c r="H665" s="155"/>
      <c r="I665" s="155"/>
    </row>
    <row r="666">
      <c r="A666" s="187"/>
      <c r="B666" s="187"/>
      <c r="C666" s="187"/>
      <c r="D666" s="187"/>
      <c r="E666" s="190"/>
      <c r="F666" s="180"/>
      <c r="H666" s="155"/>
      <c r="I666" s="155"/>
    </row>
    <row r="667">
      <c r="A667" s="187"/>
      <c r="B667" s="187"/>
      <c r="C667" s="187"/>
      <c r="D667" s="187"/>
      <c r="E667" s="190"/>
      <c r="F667" s="180"/>
      <c r="H667" s="155"/>
      <c r="I667" s="155"/>
    </row>
    <row r="668">
      <c r="A668" s="187"/>
      <c r="B668" s="187"/>
      <c r="C668" s="187"/>
      <c r="D668" s="187"/>
      <c r="E668" s="190"/>
      <c r="F668" s="180"/>
      <c r="H668" s="155"/>
      <c r="I668" s="155"/>
    </row>
    <row r="669">
      <c r="A669" s="187"/>
      <c r="B669" s="187"/>
      <c r="C669" s="187"/>
      <c r="D669" s="187"/>
      <c r="E669" s="190"/>
      <c r="F669" s="180"/>
      <c r="H669" s="155"/>
      <c r="I669" s="155"/>
    </row>
    <row r="670">
      <c r="A670" s="187"/>
      <c r="B670" s="187"/>
      <c r="C670" s="187"/>
      <c r="D670" s="187"/>
      <c r="E670" s="190"/>
      <c r="F670" s="180"/>
      <c r="H670" s="155"/>
      <c r="I670" s="155"/>
    </row>
    <row r="671">
      <c r="A671" s="187"/>
      <c r="B671" s="187"/>
      <c r="C671" s="187"/>
      <c r="D671" s="187"/>
      <c r="E671" s="190"/>
      <c r="F671" s="180"/>
      <c r="H671" s="155"/>
      <c r="I671" s="155"/>
    </row>
    <row r="672">
      <c r="A672" s="187"/>
      <c r="B672" s="187"/>
      <c r="C672" s="187"/>
      <c r="D672" s="187"/>
      <c r="E672" s="190"/>
      <c r="F672" s="180"/>
      <c r="H672" s="155"/>
      <c r="I672" s="155"/>
    </row>
    <row r="673">
      <c r="A673" s="187"/>
      <c r="B673" s="187"/>
      <c r="C673" s="187"/>
      <c r="D673" s="187"/>
      <c r="E673" s="190"/>
      <c r="F673" s="180"/>
      <c r="H673" s="155"/>
      <c r="I673" s="155"/>
    </row>
    <row r="674">
      <c r="A674" s="187"/>
      <c r="B674" s="187"/>
      <c r="C674" s="187"/>
      <c r="D674" s="187"/>
      <c r="E674" s="190"/>
      <c r="F674" s="180"/>
      <c r="H674" s="155"/>
      <c r="I674" s="155"/>
    </row>
    <row r="675">
      <c r="A675" s="187"/>
      <c r="B675" s="187"/>
      <c r="C675" s="187"/>
      <c r="D675" s="187"/>
      <c r="E675" s="190"/>
      <c r="F675" s="180"/>
      <c r="H675" s="155"/>
      <c r="I675" s="155"/>
    </row>
    <row r="676">
      <c r="A676" s="187"/>
      <c r="B676" s="187"/>
      <c r="C676" s="187"/>
      <c r="D676" s="187"/>
      <c r="E676" s="190"/>
      <c r="F676" s="180"/>
      <c r="H676" s="155"/>
      <c r="I676" s="155"/>
    </row>
    <row r="677">
      <c r="A677" s="187"/>
      <c r="B677" s="187"/>
      <c r="C677" s="187"/>
      <c r="D677" s="187"/>
      <c r="E677" s="190"/>
      <c r="F677" s="180"/>
      <c r="H677" s="155"/>
      <c r="I677" s="155"/>
    </row>
    <row r="678">
      <c r="A678" s="187"/>
      <c r="B678" s="187"/>
      <c r="C678" s="187"/>
      <c r="D678" s="187"/>
      <c r="E678" s="190"/>
      <c r="F678" s="180"/>
      <c r="H678" s="155"/>
      <c r="I678" s="155"/>
    </row>
    <row r="679">
      <c r="A679" s="187"/>
      <c r="B679" s="187"/>
      <c r="C679" s="187"/>
      <c r="D679" s="187"/>
      <c r="E679" s="190"/>
      <c r="F679" s="180"/>
      <c r="H679" s="155"/>
      <c r="I679" s="155"/>
    </row>
    <row r="680">
      <c r="A680" s="187"/>
      <c r="B680" s="187"/>
      <c r="C680" s="187"/>
      <c r="D680" s="187"/>
      <c r="E680" s="190"/>
      <c r="F680" s="180"/>
      <c r="H680" s="155"/>
      <c r="I680" s="155"/>
    </row>
    <row r="681">
      <c r="A681" s="187"/>
      <c r="B681" s="187"/>
      <c r="C681" s="187"/>
      <c r="D681" s="187"/>
      <c r="E681" s="190"/>
      <c r="F681" s="180"/>
      <c r="H681" s="155"/>
      <c r="I681" s="155"/>
    </row>
    <row r="682">
      <c r="A682" s="187"/>
      <c r="B682" s="187"/>
      <c r="C682" s="187"/>
      <c r="D682" s="187"/>
      <c r="E682" s="190"/>
      <c r="F682" s="180"/>
      <c r="H682" s="155"/>
      <c r="I682" s="155"/>
    </row>
    <row r="683">
      <c r="A683" s="187"/>
      <c r="B683" s="187"/>
      <c r="C683" s="187"/>
      <c r="D683" s="187"/>
      <c r="E683" s="190"/>
      <c r="F683" s="180"/>
      <c r="H683" s="155"/>
      <c r="I683" s="155"/>
    </row>
    <row r="684">
      <c r="A684" s="187"/>
      <c r="B684" s="187"/>
      <c r="C684" s="187"/>
      <c r="D684" s="187"/>
      <c r="E684" s="190"/>
      <c r="F684" s="180"/>
      <c r="H684" s="155"/>
      <c r="I684" s="155"/>
    </row>
    <row r="685">
      <c r="A685" s="187"/>
      <c r="B685" s="187"/>
      <c r="C685" s="187"/>
      <c r="D685" s="187"/>
      <c r="E685" s="190"/>
      <c r="F685" s="180"/>
      <c r="H685" s="155"/>
      <c r="I685" s="155"/>
    </row>
    <row r="686">
      <c r="A686" s="187"/>
      <c r="B686" s="187"/>
      <c r="C686" s="187"/>
      <c r="D686" s="187"/>
      <c r="E686" s="190"/>
      <c r="F686" s="180"/>
      <c r="H686" s="155"/>
      <c r="I686" s="155"/>
    </row>
    <row r="687">
      <c r="A687" s="187"/>
      <c r="B687" s="187"/>
      <c r="C687" s="187"/>
      <c r="D687" s="187"/>
      <c r="E687" s="190"/>
      <c r="F687" s="180"/>
      <c r="H687" s="155"/>
      <c r="I687" s="155"/>
    </row>
    <row r="688">
      <c r="A688" s="187"/>
      <c r="B688" s="187"/>
      <c r="C688" s="187"/>
      <c r="D688" s="187"/>
      <c r="E688" s="190"/>
      <c r="F688" s="180"/>
      <c r="H688" s="155"/>
      <c r="I688" s="155"/>
    </row>
    <row r="689">
      <c r="A689" s="187"/>
      <c r="B689" s="187"/>
      <c r="C689" s="187"/>
      <c r="D689" s="187"/>
      <c r="E689" s="190"/>
      <c r="F689" s="180"/>
      <c r="H689" s="155"/>
      <c r="I689" s="155"/>
    </row>
    <row r="690">
      <c r="A690" s="187"/>
      <c r="B690" s="187"/>
      <c r="C690" s="187"/>
      <c r="D690" s="187"/>
      <c r="E690" s="190"/>
      <c r="F690" s="180"/>
      <c r="H690" s="155"/>
      <c r="I690" s="155"/>
    </row>
    <row r="691">
      <c r="A691" s="187"/>
      <c r="B691" s="187"/>
      <c r="C691" s="187"/>
      <c r="D691" s="187"/>
      <c r="E691" s="190"/>
      <c r="F691" s="180"/>
      <c r="H691" s="155"/>
      <c r="I691" s="155"/>
    </row>
    <row r="692">
      <c r="A692" s="187"/>
      <c r="B692" s="187"/>
      <c r="C692" s="187"/>
      <c r="D692" s="187"/>
      <c r="E692" s="190"/>
      <c r="F692" s="180"/>
      <c r="H692" s="155"/>
      <c r="I692" s="155"/>
    </row>
    <row r="693">
      <c r="A693" s="187"/>
      <c r="B693" s="187"/>
      <c r="C693" s="187"/>
      <c r="D693" s="187"/>
      <c r="E693" s="190"/>
      <c r="F693" s="180"/>
      <c r="H693" s="155"/>
      <c r="I693" s="155"/>
    </row>
    <row r="694">
      <c r="A694" s="187"/>
      <c r="B694" s="187"/>
      <c r="C694" s="187"/>
      <c r="D694" s="187"/>
      <c r="E694" s="190"/>
      <c r="F694" s="180"/>
      <c r="H694" s="155"/>
      <c r="I694" s="155"/>
    </row>
    <row r="695">
      <c r="A695" s="187"/>
      <c r="B695" s="187"/>
      <c r="C695" s="187"/>
      <c r="D695" s="187"/>
      <c r="E695" s="190"/>
      <c r="F695" s="180"/>
      <c r="H695" s="155"/>
      <c r="I695" s="155"/>
    </row>
    <row r="696">
      <c r="A696" s="187"/>
      <c r="B696" s="187"/>
      <c r="C696" s="187"/>
      <c r="D696" s="187"/>
      <c r="E696" s="190"/>
      <c r="F696" s="180"/>
      <c r="H696" s="155"/>
      <c r="I696" s="155"/>
    </row>
    <row r="697">
      <c r="A697" s="187"/>
      <c r="B697" s="187"/>
      <c r="C697" s="187"/>
      <c r="D697" s="187"/>
      <c r="E697" s="190"/>
      <c r="F697" s="180"/>
      <c r="H697" s="155"/>
      <c r="I697" s="155"/>
    </row>
    <row r="698">
      <c r="A698" s="187"/>
      <c r="B698" s="187"/>
      <c r="C698" s="187"/>
      <c r="D698" s="187"/>
      <c r="E698" s="190"/>
      <c r="F698" s="180"/>
      <c r="H698" s="155"/>
      <c r="I698" s="155"/>
    </row>
    <row r="699">
      <c r="A699" s="187"/>
      <c r="B699" s="187"/>
      <c r="C699" s="187"/>
      <c r="D699" s="187"/>
      <c r="E699" s="190"/>
      <c r="F699" s="180"/>
      <c r="H699" s="155"/>
      <c r="I699" s="155"/>
    </row>
    <row r="700">
      <c r="A700" s="187"/>
      <c r="B700" s="187"/>
      <c r="C700" s="187"/>
      <c r="D700" s="187"/>
      <c r="E700" s="190"/>
      <c r="F700" s="180"/>
      <c r="H700" s="155"/>
      <c r="I700" s="155"/>
    </row>
    <row r="701">
      <c r="A701" s="187"/>
      <c r="B701" s="187"/>
      <c r="C701" s="187"/>
      <c r="D701" s="187"/>
      <c r="E701" s="190"/>
      <c r="F701" s="180"/>
      <c r="H701" s="155"/>
      <c r="I701" s="155"/>
    </row>
    <row r="702">
      <c r="A702" s="187"/>
      <c r="B702" s="187"/>
      <c r="C702" s="187"/>
      <c r="D702" s="187"/>
      <c r="E702" s="190"/>
      <c r="F702" s="180"/>
      <c r="H702" s="155"/>
      <c r="I702" s="155"/>
    </row>
    <row r="703">
      <c r="A703" s="187"/>
      <c r="B703" s="187"/>
      <c r="C703" s="187"/>
      <c r="D703" s="187"/>
      <c r="E703" s="190"/>
      <c r="F703" s="180"/>
      <c r="H703" s="155"/>
      <c r="I703" s="155"/>
    </row>
    <row r="704">
      <c r="A704" s="187"/>
      <c r="B704" s="187"/>
      <c r="C704" s="187"/>
      <c r="D704" s="187"/>
      <c r="E704" s="190"/>
      <c r="F704" s="180"/>
      <c r="H704" s="155"/>
      <c r="I704" s="155"/>
    </row>
    <row r="705">
      <c r="A705" s="187"/>
      <c r="B705" s="187"/>
      <c r="C705" s="187"/>
      <c r="D705" s="187"/>
      <c r="E705" s="190"/>
      <c r="F705" s="180"/>
      <c r="H705" s="155"/>
      <c r="I705" s="155"/>
    </row>
    <row r="706">
      <c r="A706" s="187"/>
      <c r="B706" s="187"/>
      <c r="C706" s="187"/>
      <c r="D706" s="187"/>
      <c r="E706" s="190"/>
      <c r="F706" s="180"/>
      <c r="H706" s="155"/>
      <c r="I706" s="155"/>
    </row>
    <row r="707">
      <c r="A707" s="187"/>
      <c r="B707" s="187"/>
      <c r="C707" s="187"/>
      <c r="D707" s="187"/>
      <c r="E707" s="190"/>
      <c r="F707" s="180"/>
      <c r="H707" s="155"/>
      <c r="I707" s="155"/>
    </row>
    <row r="708">
      <c r="A708" s="187"/>
      <c r="B708" s="187"/>
      <c r="C708" s="187"/>
      <c r="D708" s="187"/>
      <c r="E708" s="190"/>
      <c r="F708" s="180"/>
      <c r="H708" s="155"/>
      <c r="I708" s="155"/>
    </row>
    <row r="709">
      <c r="A709" s="187"/>
      <c r="B709" s="187"/>
      <c r="C709" s="187"/>
      <c r="D709" s="187"/>
      <c r="E709" s="190"/>
      <c r="F709" s="180"/>
      <c r="H709" s="155"/>
      <c r="I709" s="155"/>
    </row>
    <row r="710">
      <c r="A710" s="187"/>
      <c r="B710" s="187"/>
      <c r="C710" s="187"/>
      <c r="D710" s="187"/>
      <c r="E710" s="190"/>
      <c r="F710" s="180"/>
      <c r="H710" s="155"/>
      <c r="I710" s="155"/>
    </row>
    <row r="711">
      <c r="A711" s="187"/>
      <c r="B711" s="187"/>
      <c r="C711" s="187"/>
      <c r="D711" s="187"/>
      <c r="E711" s="190"/>
      <c r="F711" s="180"/>
      <c r="H711" s="155"/>
      <c r="I711" s="155"/>
    </row>
    <row r="712">
      <c r="A712" s="187"/>
      <c r="B712" s="187"/>
      <c r="C712" s="187"/>
      <c r="D712" s="187"/>
      <c r="E712" s="190"/>
      <c r="F712" s="180"/>
      <c r="H712" s="155"/>
      <c r="I712" s="155"/>
    </row>
    <row r="713">
      <c r="A713" s="187"/>
      <c r="B713" s="187"/>
      <c r="C713" s="187"/>
      <c r="D713" s="187"/>
      <c r="E713" s="190"/>
      <c r="F713" s="180"/>
      <c r="H713" s="155"/>
      <c r="I713" s="155"/>
    </row>
    <row r="714">
      <c r="A714" s="187"/>
      <c r="B714" s="187"/>
      <c r="C714" s="187"/>
      <c r="D714" s="187"/>
      <c r="E714" s="190"/>
      <c r="F714" s="180"/>
      <c r="H714" s="155"/>
      <c r="I714" s="155"/>
    </row>
    <row r="715">
      <c r="A715" s="187"/>
      <c r="B715" s="187"/>
      <c r="C715" s="187"/>
      <c r="D715" s="187"/>
      <c r="E715" s="190"/>
      <c r="F715" s="180"/>
      <c r="H715" s="155"/>
      <c r="I715" s="155"/>
    </row>
    <row r="716">
      <c r="A716" s="187"/>
      <c r="B716" s="187"/>
      <c r="C716" s="187"/>
      <c r="D716" s="187"/>
      <c r="E716" s="190"/>
      <c r="F716" s="180"/>
      <c r="H716" s="155"/>
      <c r="I716" s="155"/>
    </row>
    <row r="717">
      <c r="A717" s="187"/>
      <c r="B717" s="187"/>
      <c r="C717" s="187"/>
      <c r="D717" s="187"/>
      <c r="E717" s="190"/>
      <c r="F717" s="180"/>
      <c r="H717" s="155"/>
      <c r="I717" s="155"/>
    </row>
    <row r="718">
      <c r="A718" s="187"/>
      <c r="B718" s="187"/>
      <c r="C718" s="187"/>
      <c r="D718" s="187"/>
      <c r="E718" s="190"/>
      <c r="F718" s="180"/>
      <c r="H718" s="155"/>
      <c r="I718" s="155"/>
    </row>
    <row r="719">
      <c r="A719" s="187"/>
      <c r="B719" s="187"/>
      <c r="C719" s="187"/>
      <c r="D719" s="187"/>
      <c r="E719" s="190"/>
      <c r="F719" s="180"/>
      <c r="H719" s="155"/>
      <c r="I719" s="155"/>
    </row>
    <row r="720">
      <c r="A720" s="187"/>
      <c r="B720" s="187"/>
      <c r="C720" s="187"/>
      <c r="D720" s="187"/>
      <c r="E720" s="190"/>
      <c r="F720" s="180"/>
      <c r="H720" s="155"/>
      <c r="I720" s="155"/>
    </row>
    <row r="721">
      <c r="A721" s="187"/>
      <c r="B721" s="187"/>
      <c r="C721" s="187"/>
      <c r="D721" s="187"/>
      <c r="E721" s="190"/>
      <c r="F721" s="180"/>
      <c r="H721" s="155"/>
      <c r="I721" s="155"/>
    </row>
    <row r="722">
      <c r="A722" s="187"/>
      <c r="B722" s="187"/>
      <c r="C722" s="187"/>
      <c r="D722" s="187"/>
      <c r="E722" s="190"/>
      <c r="F722" s="180"/>
      <c r="H722" s="155"/>
      <c r="I722" s="155"/>
    </row>
    <row r="723">
      <c r="A723" s="187"/>
      <c r="B723" s="187"/>
      <c r="C723" s="187"/>
      <c r="D723" s="187"/>
      <c r="E723" s="190"/>
      <c r="F723" s="180"/>
      <c r="H723" s="155"/>
      <c r="I723" s="155"/>
    </row>
    <row r="724">
      <c r="A724" s="187"/>
      <c r="B724" s="187"/>
      <c r="C724" s="187"/>
      <c r="D724" s="187"/>
      <c r="E724" s="190"/>
      <c r="F724" s="180"/>
      <c r="H724" s="155"/>
      <c r="I724" s="155"/>
    </row>
    <row r="725">
      <c r="A725" s="187"/>
      <c r="B725" s="187"/>
      <c r="C725" s="187"/>
      <c r="D725" s="187"/>
      <c r="E725" s="190"/>
      <c r="F725" s="180"/>
      <c r="H725" s="155"/>
      <c r="I725" s="155"/>
    </row>
    <row r="726">
      <c r="A726" s="187"/>
      <c r="B726" s="187"/>
      <c r="C726" s="187"/>
      <c r="D726" s="187"/>
      <c r="E726" s="190"/>
      <c r="F726" s="180"/>
      <c r="H726" s="155"/>
      <c r="I726" s="155"/>
    </row>
    <row r="727">
      <c r="A727" s="187"/>
      <c r="B727" s="187"/>
      <c r="C727" s="187"/>
      <c r="D727" s="187"/>
      <c r="E727" s="190"/>
      <c r="F727" s="180"/>
      <c r="H727" s="155"/>
      <c r="I727" s="155"/>
    </row>
    <row r="728">
      <c r="A728" s="187"/>
      <c r="B728" s="187"/>
      <c r="C728" s="187"/>
      <c r="D728" s="187"/>
      <c r="E728" s="190"/>
      <c r="F728" s="180"/>
      <c r="H728" s="155"/>
      <c r="I728" s="155"/>
    </row>
    <row r="729">
      <c r="A729" s="187"/>
      <c r="B729" s="187"/>
      <c r="C729" s="187"/>
      <c r="D729" s="187"/>
      <c r="E729" s="190"/>
      <c r="F729" s="180"/>
      <c r="H729" s="155"/>
      <c r="I729" s="155"/>
    </row>
    <row r="730">
      <c r="A730" s="187"/>
      <c r="B730" s="187"/>
      <c r="C730" s="187"/>
      <c r="D730" s="187"/>
      <c r="E730" s="190"/>
      <c r="F730" s="180"/>
      <c r="H730" s="155"/>
      <c r="I730" s="155"/>
    </row>
    <row r="731">
      <c r="A731" s="187"/>
      <c r="B731" s="187"/>
      <c r="C731" s="187"/>
      <c r="D731" s="187"/>
      <c r="E731" s="190"/>
      <c r="F731" s="180"/>
      <c r="H731" s="155"/>
      <c r="I731" s="155"/>
    </row>
    <row r="732">
      <c r="A732" s="187"/>
      <c r="B732" s="187"/>
      <c r="C732" s="187"/>
      <c r="D732" s="187"/>
      <c r="E732" s="190"/>
      <c r="F732" s="180"/>
      <c r="H732" s="155"/>
      <c r="I732" s="155"/>
    </row>
    <row r="733">
      <c r="A733" s="187"/>
      <c r="B733" s="187"/>
      <c r="C733" s="187"/>
      <c r="D733" s="187"/>
      <c r="E733" s="190"/>
      <c r="F733" s="180"/>
      <c r="H733" s="155"/>
      <c r="I733" s="155"/>
    </row>
    <row r="734">
      <c r="A734" s="187"/>
      <c r="B734" s="187"/>
      <c r="C734" s="187"/>
      <c r="D734" s="187"/>
      <c r="E734" s="190"/>
      <c r="F734" s="180"/>
      <c r="H734" s="155"/>
      <c r="I734" s="155"/>
    </row>
    <row r="735">
      <c r="A735" s="187"/>
      <c r="B735" s="187"/>
      <c r="C735" s="187"/>
      <c r="D735" s="187"/>
      <c r="E735" s="190"/>
      <c r="F735" s="180"/>
      <c r="H735" s="155"/>
      <c r="I735" s="155"/>
    </row>
    <row r="736">
      <c r="A736" s="187"/>
      <c r="B736" s="187"/>
      <c r="C736" s="187"/>
      <c r="D736" s="187"/>
      <c r="E736" s="190"/>
      <c r="F736" s="180"/>
      <c r="H736" s="155"/>
      <c r="I736" s="155"/>
    </row>
    <row r="737">
      <c r="A737" s="187"/>
      <c r="B737" s="187"/>
      <c r="C737" s="187"/>
      <c r="D737" s="187"/>
      <c r="E737" s="190"/>
      <c r="F737" s="180"/>
      <c r="H737" s="155"/>
      <c r="I737" s="155"/>
    </row>
    <row r="738">
      <c r="A738" s="187"/>
      <c r="B738" s="187"/>
      <c r="C738" s="187"/>
      <c r="D738" s="187"/>
      <c r="E738" s="190"/>
      <c r="F738" s="180"/>
      <c r="H738" s="155"/>
      <c r="I738" s="155"/>
    </row>
    <row r="739">
      <c r="A739" s="187"/>
      <c r="B739" s="187"/>
      <c r="C739" s="187"/>
      <c r="D739" s="187"/>
      <c r="E739" s="190"/>
      <c r="F739" s="180"/>
      <c r="H739" s="155"/>
      <c r="I739" s="155"/>
    </row>
    <row r="740">
      <c r="A740" s="187"/>
      <c r="B740" s="187"/>
      <c r="C740" s="187"/>
      <c r="D740" s="187"/>
      <c r="E740" s="190"/>
      <c r="F740" s="180"/>
      <c r="H740" s="155"/>
      <c r="I740" s="155"/>
    </row>
    <row r="741">
      <c r="A741" s="187"/>
      <c r="B741" s="187"/>
      <c r="C741" s="187"/>
      <c r="D741" s="187"/>
      <c r="E741" s="190"/>
      <c r="F741" s="180"/>
      <c r="H741" s="155"/>
      <c r="I741" s="155"/>
    </row>
    <row r="742">
      <c r="A742" s="187"/>
      <c r="B742" s="187"/>
      <c r="C742" s="187"/>
      <c r="D742" s="187"/>
      <c r="E742" s="190"/>
      <c r="F742" s="180"/>
      <c r="H742" s="155"/>
      <c r="I742" s="155"/>
    </row>
    <row r="743">
      <c r="A743" s="187"/>
      <c r="B743" s="187"/>
      <c r="C743" s="187"/>
      <c r="D743" s="187"/>
      <c r="E743" s="190"/>
      <c r="F743" s="180"/>
      <c r="H743" s="155"/>
      <c r="I743" s="155"/>
    </row>
    <row r="744">
      <c r="A744" s="187"/>
      <c r="B744" s="187"/>
      <c r="C744" s="187"/>
      <c r="D744" s="187"/>
      <c r="E744" s="190"/>
      <c r="F744" s="180"/>
      <c r="H744" s="155"/>
      <c r="I744" s="155"/>
    </row>
    <row r="745">
      <c r="A745" s="187"/>
      <c r="B745" s="187"/>
      <c r="C745" s="187"/>
      <c r="D745" s="187"/>
      <c r="E745" s="190"/>
      <c r="F745" s="180"/>
      <c r="H745" s="155"/>
      <c r="I745" s="155"/>
    </row>
    <row r="746">
      <c r="A746" s="187"/>
      <c r="B746" s="187"/>
      <c r="C746" s="187"/>
      <c r="D746" s="187"/>
      <c r="E746" s="190"/>
      <c r="F746" s="180"/>
      <c r="H746" s="155"/>
      <c r="I746" s="155"/>
    </row>
    <row r="747">
      <c r="A747" s="187"/>
      <c r="B747" s="187"/>
      <c r="C747" s="187"/>
      <c r="D747" s="187"/>
      <c r="E747" s="190"/>
      <c r="F747" s="180"/>
      <c r="H747" s="155"/>
      <c r="I747" s="155"/>
    </row>
    <row r="748">
      <c r="A748" s="187"/>
      <c r="B748" s="187"/>
      <c r="C748" s="187"/>
      <c r="D748" s="187"/>
      <c r="E748" s="190"/>
      <c r="F748" s="180"/>
      <c r="H748" s="155"/>
      <c r="I748" s="155"/>
    </row>
    <row r="749">
      <c r="A749" s="187"/>
      <c r="B749" s="187"/>
      <c r="C749" s="187"/>
      <c r="D749" s="187"/>
      <c r="E749" s="190"/>
      <c r="F749" s="180"/>
      <c r="H749" s="155"/>
      <c r="I749" s="155"/>
    </row>
    <row r="750">
      <c r="A750" s="187"/>
      <c r="B750" s="187"/>
      <c r="C750" s="187"/>
      <c r="D750" s="187"/>
      <c r="E750" s="190"/>
      <c r="F750" s="180"/>
      <c r="H750" s="155"/>
      <c r="I750" s="155"/>
    </row>
    <row r="751">
      <c r="A751" s="187"/>
      <c r="B751" s="187"/>
      <c r="C751" s="187"/>
      <c r="D751" s="187"/>
      <c r="E751" s="190"/>
      <c r="F751" s="180"/>
      <c r="H751" s="155"/>
      <c r="I751" s="155"/>
    </row>
    <row r="752">
      <c r="A752" s="187"/>
      <c r="B752" s="187"/>
      <c r="C752" s="187"/>
      <c r="D752" s="187"/>
      <c r="E752" s="190"/>
      <c r="F752" s="180"/>
      <c r="H752" s="155"/>
      <c r="I752" s="155"/>
    </row>
    <row r="753">
      <c r="A753" s="187"/>
      <c r="B753" s="187"/>
      <c r="C753" s="187"/>
      <c r="D753" s="187"/>
      <c r="E753" s="190"/>
      <c r="F753" s="180"/>
      <c r="H753" s="155"/>
      <c r="I753" s="155"/>
    </row>
    <row r="754">
      <c r="A754" s="187"/>
      <c r="B754" s="187"/>
      <c r="C754" s="187"/>
      <c r="D754" s="187"/>
      <c r="E754" s="190"/>
      <c r="F754" s="180"/>
      <c r="H754" s="155"/>
      <c r="I754" s="155"/>
    </row>
    <row r="755">
      <c r="A755" s="187"/>
      <c r="B755" s="187"/>
      <c r="C755" s="187"/>
      <c r="D755" s="187"/>
      <c r="E755" s="190"/>
      <c r="F755" s="180"/>
      <c r="H755" s="155"/>
      <c r="I755" s="155"/>
    </row>
    <row r="756">
      <c r="A756" s="187"/>
      <c r="B756" s="187"/>
      <c r="C756" s="187"/>
      <c r="D756" s="187"/>
      <c r="E756" s="190"/>
      <c r="F756" s="180"/>
      <c r="H756" s="155"/>
      <c r="I756" s="155"/>
    </row>
    <row r="757">
      <c r="A757" s="187"/>
      <c r="B757" s="187"/>
      <c r="C757" s="187"/>
      <c r="D757" s="187"/>
      <c r="E757" s="190"/>
      <c r="F757" s="180"/>
      <c r="H757" s="155"/>
      <c r="I757" s="155"/>
    </row>
    <row r="758">
      <c r="A758" s="187"/>
      <c r="B758" s="187"/>
      <c r="C758" s="187"/>
      <c r="D758" s="187"/>
      <c r="E758" s="190"/>
      <c r="F758" s="180"/>
      <c r="H758" s="155"/>
      <c r="I758" s="155"/>
    </row>
    <row r="759">
      <c r="A759" s="187"/>
      <c r="B759" s="187"/>
      <c r="C759" s="187"/>
      <c r="D759" s="187"/>
      <c r="E759" s="190"/>
      <c r="F759" s="180"/>
      <c r="H759" s="155"/>
      <c r="I759" s="155"/>
    </row>
    <row r="760">
      <c r="A760" s="187"/>
      <c r="B760" s="187"/>
      <c r="C760" s="187"/>
      <c r="D760" s="187"/>
      <c r="E760" s="190"/>
      <c r="F760" s="180"/>
      <c r="H760" s="155"/>
      <c r="I760" s="155"/>
    </row>
    <row r="761">
      <c r="A761" s="187"/>
      <c r="B761" s="187"/>
      <c r="C761" s="187"/>
      <c r="D761" s="187"/>
      <c r="E761" s="190"/>
      <c r="F761" s="180"/>
      <c r="H761" s="155"/>
      <c r="I761" s="155"/>
    </row>
    <row r="762">
      <c r="A762" s="187"/>
      <c r="B762" s="187"/>
      <c r="C762" s="187"/>
      <c r="D762" s="187"/>
      <c r="E762" s="190"/>
      <c r="F762" s="180"/>
      <c r="H762" s="155"/>
      <c r="I762" s="155"/>
    </row>
    <row r="763">
      <c r="A763" s="187"/>
      <c r="B763" s="187"/>
      <c r="C763" s="187"/>
      <c r="D763" s="187"/>
      <c r="E763" s="190"/>
      <c r="F763" s="180"/>
      <c r="H763" s="155"/>
      <c r="I763" s="155"/>
    </row>
    <row r="764">
      <c r="A764" s="187"/>
      <c r="B764" s="187"/>
      <c r="C764" s="187"/>
      <c r="D764" s="187"/>
      <c r="E764" s="190"/>
      <c r="F764" s="180"/>
      <c r="H764" s="155"/>
      <c r="I764" s="155"/>
    </row>
    <row r="765">
      <c r="A765" s="187"/>
      <c r="B765" s="187"/>
      <c r="C765" s="187"/>
      <c r="D765" s="187"/>
      <c r="E765" s="190"/>
      <c r="F765" s="180"/>
      <c r="H765" s="155"/>
      <c r="I765" s="155"/>
    </row>
    <row r="766">
      <c r="A766" s="187"/>
      <c r="B766" s="187"/>
      <c r="C766" s="187"/>
      <c r="D766" s="187"/>
      <c r="E766" s="190"/>
      <c r="F766" s="180"/>
      <c r="H766" s="155"/>
      <c r="I766" s="155"/>
    </row>
    <row r="767">
      <c r="A767" s="187"/>
      <c r="B767" s="187"/>
      <c r="C767" s="187"/>
      <c r="D767" s="187"/>
      <c r="E767" s="190"/>
      <c r="F767" s="180"/>
      <c r="H767" s="155"/>
      <c r="I767" s="155"/>
    </row>
    <row r="768">
      <c r="A768" s="187"/>
      <c r="B768" s="187"/>
      <c r="C768" s="187"/>
      <c r="D768" s="187"/>
      <c r="E768" s="190"/>
      <c r="F768" s="180"/>
      <c r="H768" s="155"/>
      <c r="I768" s="155"/>
    </row>
    <row r="769">
      <c r="A769" s="187"/>
      <c r="B769" s="187"/>
      <c r="C769" s="187"/>
      <c r="D769" s="187"/>
      <c r="E769" s="190"/>
      <c r="F769" s="180"/>
      <c r="H769" s="155"/>
      <c r="I769" s="155"/>
    </row>
    <row r="770">
      <c r="A770" s="187"/>
      <c r="B770" s="187"/>
      <c r="C770" s="187"/>
      <c r="D770" s="187"/>
      <c r="E770" s="190"/>
      <c r="F770" s="180"/>
      <c r="H770" s="155"/>
      <c r="I770" s="155"/>
    </row>
    <row r="771">
      <c r="A771" s="187"/>
      <c r="B771" s="187"/>
      <c r="C771" s="187"/>
      <c r="D771" s="187"/>
      <c r="E771" s="190"/>
      <c r="F771" s="180"/>
      <c r="H771" s="155"/>
      <c r="I771" s="155"/>
    </row>
    <row r="772">
      <c r="A772" s="187"/>
      <c r="B772" s="187"/>
      <c r="C772" s="187"/>
      <c r="D772" s="187"/>
      <c r="E772" s="190"/>
      <c r="F772" s="180"/>
      <c r="H772" s="155"/>
      <c r="I772" s="155"/>
    </row>
    <row r="773">
      <c r="A773" s="187"/>
      <c r="B773" s="187"/>
      <c r="C773" s="187"/>
      <c r="D773" s="187"/>
      <c r="E773" s="190"/>
      <c r="F773" s="180"/>
      <c r="H773" s="155"/>
      <c r="I773" s="155"/>
    </row>
    <row r="774">
      <c r="A774" s="187"/>
      <c r="B774" s="187"/>
      <c r="C774" s="187"/>
      <c r="D774" s="187"/>
      <c r="E774" s="190"/>
      <c r="F774" s="180"/>
      <c r="H774" s="155"/>
      <c r="I774" s="155"/>
    </row>
    <row r="775">
      <c r="A775" s="187"/>
      <c r="B775" s="187"/>
      <c r="C775" s="187"/>
      <c r="D775" s="187"/>
      <c r="E775" s="190"/>
      <c r="F775" s="180"/>
      <c r="H775" s="155"/>
      <c r="I775" s="155"/>
    </row>
    <row r="776">
      <c r="A776" s="187"/>
      <c r="B776" s="187"/>
      <c r="C776" s="187"/>
      <c r="D776" s="187"/>
      <c r="E776" s="190"/>
      <c r="F776" s="180"/>
      <c r="H776" s="155"/>
      <c r="I776" s="155"/>
    </row>
    <row r="777">
      <c r="A777" s="187"/>
      <c r="B777" s="187"/>
      <c r="C777" s="187"/>
      <c r="D777" s="187"/>
      <c r="E777" s="190"/>
      <c r="F777" s="180"/>
      <c r="H777" s="155"/>
      <c r="I777" s="155"/>
    </row>
    <row r="778">
      <c r="A778" s="187"/>
      <c r="B778" s="187"/>
      <c r="C778" s="187"/>
      <c r="D778" s="187"/>
      <c r="E778" s="190"/>
      <c r="F778" s="180"/>
      <c r="H778" s="155"/>
      <c r="I778" s="155"/>
    </row>
    <row r="779">
      <c r="A779" s="187"/>
      <c r="B779" s="187"/>
      <c r="C779" s="187"/>
      <c r="D779" s="187"/>
      <c r="E779" s="190"/>
      <c r="F779" s="180"/>
      <c r="H779" s="155"/>
      <c r="I779" s="155"/>
    </row>
    <row r="780">
      <c r="A780" s="187"/>
      <c r="B780" s="187"/>
      <c r="C780" s="187"/>
      <c r="D780" s="187"/>
      <c r="E780" s="190"/>
      <c r="F780" s="180"/>
      <c r="H780" s="155"/>
      <c r="I780" s="155"/>
    </row>
    <row r="781">
      <c r="A781" s="187"/>
      <c r="B781" s="187"/>
      <c r="C781" s="187"/>
      <c r="D781" s="187"/>
      <c r="E781" s="190"/>
      <c r="F781" s="180"/>
      <c r="H781" s="155"/>
      <c r="I781" s="155"/>
    </row>
    <row r="782">
      <c r="A782" s="187"/>
      <c r="B782" s="187"/>
      <c r="C782" s="187"/>
      <c r="D782" s="187"/>
      <c r="E782" s="190"/>
      <c r="F782" s="180"/>
      <c r="H782" s="155"/>
      <c r="I782" s="155"/>
    </row>
    <row r="783">
      <c r="A783" s="187"/>
      <c r="B783" s="187"/>
      <c r="C783" s="187"/>
      <c r="D783" s="187"/>
      <c r="E783" s="190"/>
      <c r="F783" s="180"/>
      <c r="H783" s="155"/>
      <c r="I783" s="155"/>
    </row>
    <row r="784">
      <c r="A784" s="187"/>
      <c r="B784" s="187"/>
      <c r="C784" s="187"/>
      <c r="D784" s="187"/>
      <c r="E784" s="190"/>
      <c r="F784" s="180"/>
      <c r="H784" s="155"/>
      <c r="I784" s="155"/>
    </row>
    <row r="785">
      <c r="A785" s="187"/>
      <c r="B785" s="187"/>
      <c r="C785" s="187"/>
      <c r="D785" s="187"/>
      <c r="E785" s="190"/>
      <c r="F785" s="180"/>
      <c r="H785" s="155"/>
      <c r="I785" s="155"/>
    </row>
    <row r="786">
      <c r="A786" s="187"/>
      <c r="B786" s="187"/>
      <c r="C786" s="187"/>
      <c r="D786" s="187"/>
      <c r="E786" s="190"/>
      <c r="F786" s="180"/>
      <c r="H786" s="155"/>
      <c r="I786" s="155"/>
    </row>
    <row r="787">
      <c r="A787" s="187"/>
      <c r="B787" s="187"/>
      <c r="C787" s="187"/>
      <c r="D787" s="187"/>
      <c r="E787" s="190"/>
      <c r="F787" s="180"/>
      <c r="H787" s="155"/>
      <c r="I787" s="155"/>
    </row>
    <row r="788">
      <c r="A788" s="187"/>
      <c r="B788" s="187"/>
      <c r="C788" s="187"/>
      <c r="D788" s="187"/>
      <c r="E788" s="190"/>
      <c r="F788" s="180"/>
      <c r="H788" s="155"/>
      <c r="I788" s="155"/>
    </row>
    <row r="789">
      <c r="A789" s="187"/>
      <c r="B789" s="187"/>
      <c r="C789" s="187"/>
      <c r="D789" s="187"/>
      <c r="E789" s="190"/>
      <c r="F789" s="180"/>
      <c r="H789" s="155"/>
      <c r="I789" s="155"/>
    </row>
    <row r="790">
      <c r="A790" s="187"/>
      <c r="B790" s="187"/>
      <c r="C790" s="187"/>
      <c r="D790" s="187"/>
      <c r="E790" s="190"/>
      <c r="F790" s="180"/>
      <c r="H790" s="155"/>
      <c r="I790" s="155"/>
    </row>
    <row r="791">
      <c r="A791" s="187"/>
      <c r="B791" s="187"/>
      <c r="C791" s="187"/>
      <c r="D791" s="187"/>
      <c r="E791" s="190"/>
      <c r="F791" s="180"/>
      <c r="H791" s="155"/>
      <c r="I791" s="155"/>
    </row>
    <row r="792">
      <c r="A792" s="187"/>
      <c r="B792" s="187"/>
      <c r="C792" s="187"/>
      <c r="D792" s="187"/>
      <c r="E792" s="190"/>
      <c r="F792" s="180"/>
      <c r="H792" s="155"/>
      <c r="I792" s="155"/>
    </row>
    <row r="793">
      <c r="A793" s="187"/>
      <c r="B793" s="187"/>
      <c r="C793" s="187"/>
      <c r="D793" s="187"/>
      <c r="E793" s="190"/>
      <c r="F793" s="180"/>
      <c r="H793" s="155"/>
      <c r="I793" s="155"/>
    </row>
    <row r="794">
      <c r="A794" s="187"/>
      <c r="B794" s="187"/>
      <c r="C794" s="187"/>
      <c r="D794" s="187"/>
      <c r="E794" s="190"/>
      <c r="F794" s="180"/>
      <c r="H794" s="155"/>
      <c r="I794" s="155"/>
    </row>
    <row r="795">
      <c r="A795" s="187"/>
      <c r="B795" s="187"/>
      <c r="C795" s="187"/>
      <c r="D795" s="187"/>
      <c r="E795" s="190"/>
      <c r="F795" s="180"/>
      <c r="H795" s="155"/>
      <c r="I795" s="155"/>
    </row>
    <row r="796">
      <c r="A796" s="187"/>
      <c r="B796" s="187"/>
      <c r="C796" s="187"/>
      <c r="D796" s="187"/>
      <c r="E796" s="190"/>
      <c r="F796" s="180"/>
      <c r="H796" s="155"/>
      <c r="I796" s="155"/>
    </row>
    <row r="797">
      <c r="A797" s="187"/>
      <c r="B797" s="187"/>
      <c r="C797" s="187"/>
      <c r="D797" s="187"/>
      <c r="E797" s="190"/>
      <c r="F797" s="180"/>
      <c r="H797" s="155"/>
      <c r="I797" s="155"/>
    </row>
    <row r="798">
      <c r="A798" s="187"/>
      <c r="B798" s="187"/>
      <c r="C798" s="187"/>
      <c r="D798" s="187"/>
      <c r="E798" s="190"/>
      <c r="F798" s="180"/>
      <c r="H798" s="155"/>
      <c r="I798" s="155"/>
    </row>
    <row r="799">
      <c r="A799" s="187"/>
      <c r="B799" s="187"/>
      <c r="C799" s="187"/>
      <c r="D799" s="187"/>
      <c r="E799" s="190"/>
      <c r="F799" s="180"/>
      <c r="H799" s="155"/>
      <c r="I799" s="155"/>
    </row>
    <row r="800">
      <c r="A800" s="187"/>
      <c r="B800" s="187"/>
      <c r="C800" s="187"/>
      <c r="D800" s="187"/>
      <c r="E800" s="190"/>
      <c r="F800" s="180"/>
      <c r="H800" s="155"/>
      <c r="I800" s="155"/>
    </row>
    <row r="801">
      <c r="A801" s="187"/>
      <c r="B801" s="187"/>
      <c r="C801" s="187"/>
      <c r="D801" s="187"/>
      <c r="E801" s="190"/>
      <c r="F801" s="180"/>
      <c r="H801" s="155"/>
      <c r="I801" s="155"/>
    </row>
    <row r="802">
      <c r="A802" s="187"/>
      <c r="B802" s="187"/>
      <c r="C802" s="187"/>
      <c r="D802" s="187"/>
      <c r="E802" s="190"/>
      <c r="F802" s="180"/>
      <c r="H802" s="155"/>
      <c r="I802" s="155"/>
    </row>
    <row r="803">
      <c r="A803" s="187"/>
      <c r="B803" s="187"/>
      <c r="C803" s="187"/>
      <c r="D803" s="187"/>
      <c r="E803" s="190"/>
      <c r="F803" s="180"/>
      <c r="H803" s="155"/>
      <c r="I803" s="155"/>
    </row>
    <row r="804">
      <c r="A804" s="187"/>
      <c r="B804" s="187"/>
      <c r="C804" s="187"/>
      <c r="D804" s="187"/>
      <c r="E804" s="190"/>
      <c r="F804" s="180"/>
      <c r="H804" s="155"/>
      <c r="I804" s="155"/>
    </row>
    <row r="805">
      <c r="A805" s="187"/>
      <c r="B805" s="187"/>
      <c r="C805" s="187"/>
      <c r="D805" s="187"/>
      <c r="E805" s="190"/>
      <c r="F805" s="180"/>
      <c r="H805" s="155"/>
      <c r="I805" s="155"/>
    </row>
    <row r="806">
      <c r="A806" s="187"/>
      <c r="B806" s="187"/>
      <c r="C806" s="187"/>
      <c r="D806" s="187"/>
      <c r="E806" s="190"/>
      <c r="F806" s="180"/>
      <c r="H806" s="155"/>
      <c r="I806" s="155"/>
    </row>
    <row r="807">
      <c r="A807" s="187"/>
      <c r="B807" s="187"/>
      <c r="C807" s="187"/>
      <c r="D807" s="187"/>
      <c r="E807" s="190"/>
      <c r="F807" s="180"/>
      <c r="H807" s="155"/>
      <c r="I807" s="155"/>
    </row>
    <row r="808">
      <c r="A808" s="187"/>
      <c r="B808" s="187"/>
      <c r="C808" s="187"/>
      <c r="D808" s="187"/>
      <c r="E808" s="190"/>
      <c r="F808" s="180"/>
      <c r="H808" s="155"/>
      <c r="I808" s="155"/>
    </row>
    <row r="809">
      <c r="A809" s="187"/>
      <c r="B809" s="187"/>
      <c r="C809" s="187"/>
      <c r="D809" s="187"/>
      <c r="E809" s="190"/>
      <c r="F809" s="180"/>
      <c r="H809" s="155"/>
      <c r="I809" s="155"/>
    </row>
    <row r="810">
      <c r="A810" s="187"/>
      <c r="B810" s="187"/>
      <c r="C810" s="187"/>
      <c r="D810" s="187"/>
      <c r="E810" s="190"/>
      <c r="F810" s="180"/>
      <c r="H810" s="155"/>
      <c r="I810" s="155"/>
    </row>
    <row r="811">
      <c r="A811" s="187"/>
      <c r="B811" s="187"/>
      <c r="C811" s="187"/>
      <c r="D811" s="187"/>
      <c r="E811" s="190"/>
      <c r="F811" s="180"/>
      <c r="H811" s="155"/>
      <c r="I811" s="155"/>
    </row>
    <row r="812">
      <c r="A812" s="187"/>
      <c r="B812" s="187"/>
      <c r="C812" s="187"/>
      <c r="D812" s="187"/>
      <c r="E812" s="190"/>
      <c r="F812" s="180"/>
      <c r="H812" s="155"/>
      <c r="I812" s="155"/>
    </row>
    <row r="813">
      <c r="A813" s="187"/>
      <c r="B813" s="187"/>
      <c r="C813" s="187"/>
      <c r="D813" s="187"/>
      <c r="E813" s="190"/>
      <c r="F813" s="180"/>
      <c r="H813" s="155"/>
      <c r="I813" s="155"/>
    </row>
    <row r="814">
      <c r="A814" s="187"/>
      <c r="B814" s="187"/>
      <c r="C814" s="187"/>
      <c r="D814" s="187"/>
      <c r="E814" s="190"/>
      <c r="F814" s="180"/>
      <c r="H814" s="155"/>
      <c r="I814" s="155"/>
    </row>
    <row r="815">
      <c r="A815" s="187"/>
      <c r="B815" s="187"/>
      <c r="C815" s="187"/>
      <c r="D815" s="187"/>
      <c r="E815" s="190"/>
      <c r="F815" s="180"/>
      <c r="H815" s="155"/>
      <c r="I815" s="155"/>
    </row>
    <row r="816">
      <c r="A816" s="187"/>
      <c r="B816" s="187"/>
      <c r="C816" s="187"/>
      <c r="D816" s="187"/>
      <c r="E816" s="190"/>
      <c r="F816" s="180"/>
      <c r="H816" s="155"/>
      <c r="I816" s="155"/>
    </row>
    <row r="817">
      <c r="A817" s="187"/>
      <c r="B817" s="187"/>
      <c r="C817" s="187"/>
      <c r="D817" s="187"/>
      <c r="E817" s="190"/>
      <c r="F817" s="180"/>
      <c r="H817" s="155"/>
      <c r="I817" s="155"/>
    </row>
    <row r="818">
      <c r="A818" s="187"/>
      <c r="B818" s="187"/>
      <c r="C818" s="187"/>
      <c r="D818" s="187"/>
      <c r="E818" s="190"/>
      <c r="F818" s="180"/>
      <c r="H818" s="155"/>
      <c r="I818" s="155"/>
    </row>
    <row r="819">
      <c r="A819" s="187"/>
      <c r="B819" s="187"/>
      <c r="C819" s="187"/>
      <c r="D819" s="187"/>
      <c r="E819" s="190"/>
      <c r="F819" s="180"/>
      <c r="H819" s="155"/>
      <c r="I819" s="155"/>
    </row>
    <row r="820">
      <c r="A820" s="187"/>
      <c r="B820" s="187"/>
      <c r="C820" s="187"/>
      <c r="D820" s="187"/>
      <c r="E820" s="190"/>
      <c r="F820" s="180"/>
      <c r="H820" s="155"/>
      <c r="I820" s="155"/>
    </row>
    <row r="821">
      <c r="A821" s="187"/>
      <c r="B821" s="187"/>
      <c r="C821" s="187"/>
      <c r="D821" s="187"/>
      <c r="E821" s="190"/>
      <c r="F821" s="180"/>
      <c r="H821" s="155"/>
      <c r="I821" s="155"/>
    </row>
    <row r="822">
      <c r="A822" s="187"/>
      <c r="B822" s="187"/>
      <c r="C822" s="187"/>
      <c r="D822" s="187"/>
      <c r="E822" s="190"/>
      <c r="F822" s="180"/>
      <c r="H822" s="155"/>
      <c r="I822" s="155"/>
    </row>
    <row r="823">
      <c r="A823" s="187"/>
      <c r="B823" s="187"/>
      <c r="C823" s="187"/>
      <c r="D823" s="187"/>
      <c r="E823" s="190"/>
      <c r="F823" s="180"/>
      <c r="H823" s="155"/>
      <c r="I823" s="155"/>
    </row>
    <row r="824">
      <c r="A824" s="187"/>
      <c r="B824" s="187"/>
      <c r="C824" s="187"/>
      <c r="D824" s="187"/>
      <c r="E824" s="190"/>
      <c r="F824" s="180"/>
      <c r="H824" s="155"/>
      <c r="I824" s="155"/>
    </row>
    <row r="825">
      <c r="A825" s="187"/>
      <c r="B825" s="187"/>
      <c r="C825" s="187"/>
      <c r="D825" s="187"/>
      <c r="E825" s="190"/>
      <c r="F825" s="180"/>
      <c r="H825" s="155"/>
      <c r="I825" s="155"/>
    </row>
    <row r="826">
      <c r="A826" s="187"/>
      <c r="B826" s="187"/>
      <c r="C826" s="187"/>
      <c r="D826" s="187"/>
      <c r="E826" s="190"/>
      <c r="F826" s="180"/>
      <c r="H826" s="155"/>
      <c r="I826" s="155"/>
    </row>
    <row r="827">
      <c r="A827" s="187"/>
      <c r="B827" s="187"/>
      <c r="C827" s="187"/>
      <c r="D827" s="187"/>
      <c r="E827" s="190"/>
      <c r="F827" s="180"/>
      <c r="H827" s="155"/>
      <c r="I827" s="155"/>
    </row>
    <row r="828">
      <c r="A828" s="187"/>
      <c r="B828" s="187"/>
      <c r="C828" s="187"/>
      <c r="D828" s="187"/>
      <c r="E828" s="190"/>
      <c r="F828" s="180"/>
      <c r="H828" s="155"/>
      <c r="I828" s="155"/>
    </row>
    <row r="829">
      <c r="A829" s="187"/>
      <c r="B829" s="187"/>
      <c r="C829" s="187"/>
      <c r="D829" s="187"/>
      <c r="E829" s="190"/>
      <c r="F829" s="180"/>
      <c r="H829" s="155"/>
      <c r="I829" s="155"/>
    </row>
    <row r="830">
      <c r="A830" s="187"/>
      <c r="B830" s="187"/>
      <c r="C830" s="187"/>
      <c r="D830" s="187"/>
      <c r="E830" s="190"/>
      <c r="F830" s="180"/>
      <c r="H830" s="155"/>
      <c r="I830" s="155"/>
    </row>
    <row r="831">
      <c r="A831" s="187"/>
      <c r="B831" s="187"/>
      <c r="C831" s="187"/>
      <c r="D831" s="187"/>
      <c r="E831" s="190"/>
      <c r="F831" s="180"/>
      <c r="H831" s="155"/>
      <c r="I831" s="155"/>
    </row>
    <row r="832">
      <c r="A832" s="187"/>
      <c r="B832" s="187"/>
      <c r="C832" s="187"/>
      <c r="D832" s="187"/>
      <c r="E832" s="190"/>
      <c r="F832" s="180"/>
      <c r="H832" s="155"/>
      <c r="I832" s="155"/>
    </row>
    <row r="833">
      <c r="A833" s="187"/>
      <c r="B833" s="187"/>
      <c r="C833" s="187"/>
      <c r="D833" s="187"/>
      <c r="E833" s="190"/>
      <c r="F833" s="180"/>
      <c r="H833" s="155"/>
      <c r="I833" s="155"/>
    </row>
    <row r="834">
      <c r="A834" s="187"/>
      <c r="B834" s="187"/>
      <c r="C834" s="187"/>
      <c r="D834" s="187"/>
      <c r="E834" s="190"/>
      <c r="F834" s="180"/>
      <c r="H834" s="155"/>
      <c r="I834" s="155"/>
    </row>
    <row r="835">
      <c r="A835" s="187"/>
      <c r="B835" s="187"/>
      <c r="C835" s="187"/>
      <c r="D835" s="187"/>
      <c r="E835" s="190"/>
      <c r="F835" s="180"/>
      <c r="H835" s="155"/>
      <c r="I835" s="155"/>
    </row>
    <row r="836">
      <c r="A836" s="187"/>
      <c r="B836" s="187"/>
      <c r="C836" s="187"/>
      <c r="D836" s="187"/>
      <c r="E836" s="190"/>
      <c r="F836" s="180"/>
      <c r="H836" s="155"/>
      <c r="I836" s="155"/>
    </row>
    <row r="837">
      <c r="A837" s="187"/>
      <c r="B837" s="187"/>
      <c r="C837" s="187"/>
      <c r="D837" s="187"/>
      <c r="E837" s="190"/>
      <c r="F837" s="180"/>
      <c r="H837" s="155"/>
      <c r="I837" s="155"/>
    </row>
    <row r="838">
      <c r="A838" s="187"/>
      <c r="B838" s="187"/>
      <c r="C838" s="187"/>
      <c r="D838" s="187"/>
      <c r="E838" s="190"/>
      <c r="F838" s="180"/>
      <c r="H838" s="155"/>
      <c r="I838" s="155"/>
    </row>
    <row r="839">
      <c r="A839" s="187"/>
      <c r="B839" s="187"/>
      <c r="C839" s="187"/>
      <c r="D839" s="187"/>
      <c r="E839" s="190"/>
      <c r="F839" s="180"/>
      <c r="H839" s="155"/>
      <c r="I839" s="155"/>
    </row>
    <row r="840">
      <c r="A840" s="187"/>
      <c r="B840" s="187"/>
      <c r="C840" s="187"/>
      <c r="D840" s="187"/>
      <c r="E840" s="190"/>
      <c r="F840" s="180"/>
      <c r="H840" s="155"/>
      <c r="I840" s="155"/>
    </row>
    <row r="841">
      <c r="A841" s="187"/>
      <c r="B841" s="187"/>
      <c r="C841" s="187"/>
      <c r="D841" s="187"/>
      <c r="E841" s="190"/>
      <c r="F841" s="180"/>
      <c r="H841" s="155"/>
      <c r="I841" s="155"/>
    </row>
    <row r="842">
      <c r="A842" s="187"/>
      <c r="B842" s="187"/>
      <c r="C842" s="187"/>
      <c r="D842" s="187"/>
      <c r="E842" s="190"/>
      <c r="F842" s="180"/>
      <c r="H842" s="155"/>
      <c r="I842" s="155"/>
    </row>
    <row r="843">
      <c r="A843" s="187"/>
      <c r="B843" s="187"/>
      <c r="C843" s="187"/>
      <c r="D843" s="187"/>
      <c r="E843" s="190"/>
      <c r="F843" s="180"/>
      <c r="H843" s="155"/>
      <c r="I843" s="155"/>
    </row>
    <row r="844">
      <c r="A844" s="187"/>
      <c r="B844" s="187"/>
      <c r="C844" s="187"/>
      <c r="D844" s="187"/>
      <c r="E844" s="190"/>
      <c r="F844" s="180"/>
      <c r="H844" s="155"/>
      <c r="I844" s="155"/>
    </row>
    <row r="845">
      <c r="A845" s="187"/>
      <c r="B845" s="187"/>
      <c r="C845" s="187"/>
      <c r="D845" s="187"/>
      <c r="E845" s="190"/>
      <c r="F845" s="180"/>
      <c r="H845" s="155"/>
      <c r="I845" s="155"/>
    </row>
    <row r="846">
      <c r="A846" s="187"/>
      <c r="B846" s="187"/>
      <c r="C846" s="187"/>
      <c r="D846" s="187"/>
      <c r="E846" s="190"/>
      <c r="F846" s="180"/>
      <c r="H846" s="155"/>
      <c r="I846" s="155"/>
    </row>
    <row r="847">
      <c r="A847" s="187"/>
      <c r="B847" s="187"/>
      <c r="C847" s="187"/>
      <c r="D847" s="187"/>
      <c r="E847" s="190"/>
      <c r="F847" s="180"/>
      <c r="H847" s="155"/>
      <c r="I847" s="155"/>
    </row>
    <row r="848">
      <c r="A848" s="187"/>
      <c r="B848" s="187"/>
      <c r="C848" s="187"/>
      <c r="D848" s="187"/>
      <c r="E848" s="190"/>
      <c r="F848" s="180"/>
      <c r="H848" s="155"/>
      <c r="I848" s="155"/>
    </row>
    <row r="849">
      <c r="A849" s="187"/>
      <c r="B849" s="187"/>
      <c r="C849" s="187"/>
      <c r="D849" s="187"/>
      <c r="E849" s="190"/>
      <c r="F849" s="180"/>
      <c r="H849" s="155"/>
      <c r="I849" s="155"/>
    </row>
    <row r="850">
      <c r="A850" s="187"/>
      <c r="B850" s="187"/>
      <c r="C850" s="187"/>
      <c r="D850" s="187"/>
      <c r="E850" s="190"/>
      <c r="F850" s="180"/>
      <c r="H850" s="155"/>
      <c r="I850" s="155"/>
    </row>
    <row r="851">
      <c r="A851" s="187"/>
      <c r="B851" s="187"/>
      <c r="C851" s="187"/>
      <c r="D851" s="187"/>
      <c r="E851" s="190"/>
      <c r="F851" s="180"/>
      <c r="H851" s="155"/>
      <c r="I851" s="155"/>
    </row>
    <row r="852">
      <c r="A852" s="187"/>
      <c r="B852" s="187"/>
      <c r="C852" s="187"/>
      <c r="D852" s="187"/>
      <c r="E852" s="190"/>
      <c r="F852" s="180"/>
      <c r="H852" s="155"/>
      <c r="I852" s="155"/>
    </row>
    <row r="853">
      <c r="A853" s="187"/>
      <c r="B853" s="187"/>
      <c r="C853" s="187"/>
      <c r="D853" s="187"/>
      <c r="E853" s="190"/>
      <c r="F853" s="180"/>
      <c r="H853" s="155"/>
      <c r="I853" s="155"/>
    </row>
    <row r="854">
      <c r="A854" s="187"/>
      <c r="B854" s="187"/>
      <c r="C854" s="187"/>
      <c r="D854" s="187"/>
      <c r="E854" s="190"/>
      <c r="F854" s="180"/>
      <c r="H854" s="155"/>
      <c r="I854" s="155"/>
    </row>
    <row r="855">
      <c r="A855" s="187"/>
      <c r="B855" s="187"/>
      <c r="C855" s="187"/>
      <c r="D855" s="187"/>
      <c r="E855" s="190"/>
      <c r="F855" s="180"/>
      <c r="H855" s="155"/>
      <c r="I855" s="155"/>
    </row>
    <row r="856">
      <c r="A856" s="187"/>
      <c r="B856" s="187"/>
      <c r="C856" s="187"/>
      <c r="D856" s="187"/>
      <c r="E856" s="190"/>
      <c r="F856" s="180"/>
      <c r="H856" s="155"/>
      <c r="I856" s="155"/>
    </row>
    <row r="857">
      <c r="A857" s="187"/>
      <c r="B857" s="187"/>
      <c r="C857" s="187"/>
      <c r="D857" s="187"/>
      <c r="E857" s="190"/>
      <c r="F857" s="180"/>
      <c r="H857" s="155"/>
      <c r="I857" s="155"/>
    </row>
    <row r="858">
      <c r="A858" s="187"/>
      <c r="B858" s="187"/>
      <c r="C858" s="187"/>
      <c r="D858" s="187"/>
      <c r="E858" s="190"/>
      <c r="F858" s="180"/>
      <c r="H858" s="155"/>
      <c r="I858" s="155"/>
    </row>
    <row r="859">
      <c r="A859" s="187"/>
      <c r="B859" s="187"/>
      <c r="C859" s="187"/>
      <c r="D859" s="187"/>
      <c r="E859" s="190"/>
      <c r="F859" s="180"/>
      <c r="H859" s="155"/>
      <c r="I859" s="155"/>
    </row>
    <row r="860">
      <c r="A860" s="187"/>
      <c r="B860" s="187"/>
      <c r="C860" s="187"/>
      <c r="D860" s="187"/>
      <c r="E860" s="190"/>
      <c r="F860" s="180"/>
      <c r="H860" s="155"/>
      <c r="I860" s="155"/>
    </row>
    <row r="861">
      <c r="A861" s="187"/>
      <c r="B861" s="187"/>
      <c r="C861" s="187"/>
      <c r="D861" s="187"/>
      <c r="E861" s="190"/>
      <c r="F861" s="180"/>
      <c r="H861" s="155"/>
      <c r="I861" s="155"/>
    </row>
    <row r="862">
      <c r="A862" s="187"/>
      <c r="B862" s="187"/>
      <c r="C862" s="187"/>
      <c r="D862" s="187"/>
      <c r="E862" s="190"/>
      <c r="F862" s="180"/>
      <c r="H862" s="155"/>
      <c r="I862" s="155"/>
    </row>
    <row r="863">
      <c r="A863" s="187"/>
      <c r="B863" s="187"/>
      <c r="C863" s="187"/>
      <c r="D863" s="187"/>
      <c r="E863" s="190"/>
      <c r="F863" s="180"/>
      <c r="H863" s="155"/>
      <c r="I863" s="155"/>
    </row>
    <row r="864">
      <c r="A864" s="187"/>
      <c r="B864" s="187"/>
      <c r="C864" s="187"/>
      <c r="D864" s="187"/>
      <c r="E864" s="190"/>
      <c r="F864" s="180"/>
      <c r="H864" s="155"/>
      <c r="I864" s="155"/>
    </row>
    <row r="865">
      <c r="A865" s="187"/>
      <c r="B865" s="187"/>
      <c r="C865" s="187"/>
      <c r="D865" s="187"/>
      <c r="E865" s="190"/>
      <c r="F865" s="180"/>
      <c r="H865" s="155"/>
      <c r="I865" s="155"/>
    </row>
    <row r="866">
      <c r="A866" s="187"/>
      <c r="B866" s="187"/>
      <c r="C866" s="187"/>
      <c r="D866" s="187"/>
      <c r="E866" s="190"/>
      <c r="F866" s="180"/>
      <c r="H866" s="155"/>
      <c r="I866" s="155"/>
    </row>
    <row r="867">
      <c r="A867" s="187"/>
      <c r="B867" s="187"/>
      <c r="C867" s="187"/>
      <c r="D867" s="187"/>
      <c r="E867" s="190"/>
      <c r="F867" s="180"/>
      <c r="H867" s="155"/>
      <c r="I867" s="155"/>
    </row>
    <row r="868">
      <c r="A868" s="187"/>
      <c r="B868" s="187"/>
      <c r="C868" s="187"/>
      <c r="D868" s="187"/>
      <c r="E868" s="190"/>
      <c r="F868" s="180"/>
      <c r="H868" s="155"/>
      <c r="I868" s="155"/>
    </row>
    <row r="869">
      <c r="A869" s="187"/>
      <c r="B869" s="187"/>
      <c r="C869" s="187"/>
      <c r="D869" s="187"/>
      <c r="E869" s="190"/>
      <c r="F869" s="180"/>
      <c r="H869" s="155"/>
      <c r="I869" s="155"/>
    </row>
    <row r="870">
      <c r="A870" s="187"/>
      <c r="B870" s="187"/>
      <c r="C870" s="187"/>
      <c r="D870" s="187"/>
      <c r="E870" s="190"/>
      <c r="F870" s="180"/>
      <c r="H870" s="155"/>
      <c r="I870" s="155"/>
    </row>
    <row r="871">
      <c r="A871" s="187"/>
      <c r="B871" s="187"/>
      <c r="C871" s="187"/>
      <c r="D871" s="187"/>
      <c r="E871" s="190"/>
      <c r="F871" s="180"/>
      <c r="H871" s="155"/>
      <c r="I871" s="155"/>
    </row>
    <row r="872">
      <c r="A872" s="187"/>
      <c r="B872" s="187"/>
      <c r="C872" s="187"/>
      <c r="D872" s="187"/>
      <c r="E872" s="190"/>
      <c r="F872" s="180"/>
      <c r="H872" s="155"/>
      <c r="I872" s="155"/>
    </row>
    <row r="873">
      <c r="A873" s="187"/>
      <c r="B873" s="187"/>
      <c r="C873" s="187"/>
      <c r="D873" s="187"/>
      <c r="E873" s="190"/>
      <c r="F873" s="180"/>
      <c r="H873" s="155"/>
      <c r="I873" s="155"/>
    </row>
    <row r="874">
      <c r="A874" s="187"/>
      <c r="B874" s="187"/>
      <c r="C874" s="187"/>
      <c r="D874" s="187"/>
      <c r="E874" s="190"/>
      <c r="F874" s="180"/>
      <c r="H874" s="155"/>
      <c r="I874" s="155"/>
    </row>
    <row r="875">
      <c r="A875" s="187"/>
      <c r="B875" s="187"/>
      <c r="C875" s="187"/>
      <c r="D875" s="187"/>
      <c r="E875" s="190"/>
      <c r="F875" s="180"/>
      <c r="H875" s="155"/>
      <c r="I875" s="155"/>
    </row>
    <row r="876">
      <c r="A876" s="187"/>
      <c r="B876" s="187"/>
      <c r="C876" s="187"/>
      <c r="D876" s="187"/>
      <c r="E876" s="190"/>
      <c r="F876" s="180"/>
      <c r="H876" s="155"/>
      <c r="I876" s="155"/>
    </row>
    <row r="877">
      <c r="A877" s="187"/>
      <c r="B877" s="187"/>
      <c r="C877" s="187"/>
      <c r="D877" s="187"/>
      <c r="E877" s="190"/>
      <c r="F877" s="180"/>
      <c r="H877" s="155"/>
      <c r="I877" s="155"/>
    </row>
    <row r="878">
      <c r="A878" s="187"/>
      <c r="B878" s="187"/>
      <c r="C878" s="187"/>
      <c r="D878" s="187"/>
      <c r="E878" s="190"/>
      <c r="F878" s="180"/>
      <c r="H878" s="155"/>
      <c r="I878" s="155"/>
    </row>
    <row r="879">
      <c r="A879" s="187"/>
      <c r="B879" s="187"/>
      <c r="C879" s="187"/>
      <c r="D879" s="187"/>
      <c r="E879" s="190"/>
      <c r="F879" s="180"/>
      <c r="H879" s="155"/>
      <c r="I879" s="155"/>
    </row>
    <row r="880">
      <c r="A880" s="187"/>
      <c r="B880" s="187"/>
      <c r="C880" s="187"/>
      <c r="D880" s="187"/>
      <c r="E880" s="190"/>
      <c r="F880" s="180"/>
      <c r="H880" s="155"/>
      <c r="I880" s="155"/>
    </row>
    <row r="881">
      <c r="A881" s="187"/>
      <c r="B881" s="187"/>
      <c r="C881" s="187"/>
      <c r="D881" s="187"/>
      <c r="E881" s="190"/>
      <c r="F881" s="180"/>
      <c r="H881" s="155"/>
      <c r="I881" s="155"/>
    </row>
    <row r="882">
      <c r="A882" s="187"/>
      <c r="B882" s="187"/>
      <c r="C882" s="187"/>
      <c r="D882" s="187"/>
      <c r="E882" s="190"/>
      <c r="F882" s="180"/>
      <c r="H882" s="155"/>
      <c r="I882" s="155"/>
    </row>
    <row r="883">
      <c r="A883" s="187"/>
      <c r="B883" s="187"/>
      <c r="C883" s="187"/>
      <c r="D883" s="187"/>
      <c r="E883" s="190"/>
      <c r="F883" s="180"/>
      <c r="H883" s="155"/>
      <c r="I883" s="155"/>
    </row>
    <row r="884">
      <c r="A884" s="187"/>
      <c r="B884" s="187"/>
      <c r="C884" s="187"/>
      <c r="D884" s="187"/>
      <c r="E884" s="190"/>
      <c r="F884" s="180"/>
      <c r="H884" s="155"/>
      <c r="I884" s="155"/>
    </row>
    <row r="885">
      <c r="A885" s="187"/>
      <c r="B885" s="187"/>
      <c r="C885" s="187"/>
      <c r="D885" s="187"/>
      <c r="E885" s="190"/>
      <c r="F885" s="180"/>
      <c r="H885" s="155"/>
      <c r="I885" s="155"/>
    </row>
    <row r="886">
      <c r="A886" s="187"/>
      <c r="B886" s="187"/>
      <c r="C886" s="187"/>
      <c r="D886" s="187"/>
      <c r="E886" s="190"/>
      <c r="F886" s="180"/>
      <c r="H886" s="155"/>
      <c r="I886" s="155"/>
    </row>
    <row r="887">
      <c r="A887" s="187"/>
      <c r="B887" s="187"/>
      <c r="C887" s="187"/>
      <c r="D887" s="187"/>
      <c r="E887" s="190"/>
      <c r="F887" s="180"/>
      <c r="H887" s="155"/>
      <c r="I887" s="155"/>
    </row>
    <row r="888">
      <c r="A888" s="187"/>
      <c r="B888" s="187"/>
      <c r="C888" s="187"/>
      <c r="D888" s="187"/>
      <c r="E888" s="190"/>
      <c r="F888" s="180"/>
      <c r="H888" s="155"/>
      <c r="I888" s="155"/>
    </row>
    <row r="889">
      <c r="A889" s="187"/>
      <c r="B889" s="187"/>
      <c r="C889" s="187"/>
      <c r="D889" s="187"/>
      <c r="E889" s="190"/>
      <c r="F889" s="180"/>
      <c r="H889" s="155"/>
      <c r="I889" s="155"/>
    </row>
    <row r="890">
      <c r="A890" s="187"/>
      <c r="B890" s="187"/>
      <c r="C890" s="187"/>
      <c r="D890" s="187"/>
      <c r="E890" s="190"/>
      <c r="F890" s="180"/>
      <c r="H890" s="155"/>
      <c r="I890" s="155"/>
    </row>
    <row r="891">
      <c r="A891" s="187"/>
      <c r="B891" s="187"/>
      <c r="C891" s="187"/>
      <c r="D891" s="187"/>
      <c r="E891" s="190"/>
      <c r="F891" s="180"/>
      <c r="H891" s="155"/>
      <c r="I891" s="155"/>
    </row>
    <row r="892">
      <c r="A892" s="187"/>
      <c r="B892" s="187"/>
      <c r="C892" s="187"/>
      <c r="D892" s="187"/>
      <c r="E892" s="190"/>
      <c r="F892" s="180"/>
      <c r="H892" s="155"/>
      <c r="I892" s="155"/>
    </row>
    <row r="893">
      <c r="A893" s="187"/>
      <c r="B893" s="187"/>
      <c r="C893" s="187"/>
      <c r="D893" s="187"/>
      <c r="E893" s="190"/>
      <c r="F893" s="180"/>
      <c r="H893" s="155"/>
      <c r="I893" s="155"/>
    </row>
    <row r="894">
      <c r="A894" s="187"/>
      <c r="B894" s="187"/>
      <c r="C894" s="187"/>
      <c r="D894" s="187"/>
      <c r="E894" s="190"/>
      <c r="F894" s="180"/>
      <c r="H894" s="155"/>
      <c r="I894" s="155"/>
    </row>
    <row r="895">
      <c r="A895" s="187"/>
      <c r="B895" s="187"/>
      <c r="C895" s="187"/>
      <c r="D895" s="187"/>
      <c r="E895" s="190"/>
      <c r="F895" s="180"/>
      <c r="H895" s="155"/>
      <c r="I895" s="155"/>
    </row>
    <row r="896">
      <c r="A896" s="187"/>
      <c r="B896" s="187"/>
      <c r="C896" s="187"/>
      <c r="D896" s="187"/>
      <c r="E896" s="190"/>
      <c r="F896" s="180"/>
      <c r="H896" s="155"/>
      <c r="I896" s="155"/>
    </row>
    <row r="897">
      <c r="A897" s="187"/>
      <c r="B897" s="187"/>
      <c r="C897" s="187"/>
      <c r="D897" s="187"/>
      <c r="E897" s="190"/>
      <c r="F897" s="180"/>
      <c r="H897" s="155"/>
      <c r="I897" s="155"/>
    </row>
    <row r="898">
      <c r="A898" s="187"/>
      <c r="B898" s="187"/>
      <c r="C898" s="187"/>
      <c r="D898" s="187"/>
      <c r="E898" s="190"/>
      <c r="F898" s="180"/>
      <c r="H898" s="155"/>
      <c r="I898" s="155"/>
    </row>
    <row r="899">
      <c r="A899" s="187"/>
      <c r="B899" s="187"/>
      <c r="C899" s="187"/>
      <c r="D899" s="187"/>
      <c r="E899" s="190"/>
      <c r="F899" s="180"/>
      <c r="H899" s="155"/>
      <c r="I899" s="155"/>
    </row>
    <row r="900">
      <c r="A900" s="187"/>
      <c r="B900" s="187"/>
      <c r="C900" s="187"/>
      <c r="D900" s="187"/>
      <c r="E900" s="190"/>
      <c r="F900" s="180"/>
      <c r="H900" s="155"/>
      <c r="I900" s="155"/>
    </row>
    <row r="901">
      <c r="A901" s="187"/>
      <c r="B901" s="187"/>
      <c r="C901" s="187"/>
      <c r="D901" s="187"/>
      <c r="E901" s="190"/>
      <c r="F901" s="180"/>
      <c r="H901" s="155"/>
      <c r="I901" s="155"/>
    </row>
    <row r="902">
      <c r="A902" s="187"/>
      <c r="B902" s="187"/>
      <c r="C902" s="187"/>
      <c r="D902" s="187"/>
      <c r="E902" s="190"/>
      <c r="F902" s="180"/>
      <c r="H902" s="155"/>
      <c r="I902" s="155"/>
    </row>
    <row r="903">
      <c r="A903" s="187"/>
      <c r="B903" s="187"/>
      <c r="C903" s="187"/>
      <c r="D903" s="187"/>
      <c r="E903" s="190"/>
      <c r="F903" s="180"/>
      <c r="H903" s="155"/>
      <c r="I903" s="155"/>
    </row>
    <row r="904">
      <c r="A904" s="187"/>
      <c r="B904" s="187"/>
      <c r="C904" s="187"/>
      <c r="D904" s="187"/>
      <c r="E904" s="190"/>
      <c r="F904" s="180"/>
      <c r="H904" s="155"/>
      <c r="I904" s="155"/>
    </row>
    <row r="905">
      <c r="A905" s="187"/>
      <c r="B905" s="187"/>
      <c r="C905" s="187"/>
      <c r="D905" s="187"/>
      <c r="E905" s="190"/>
      <c r="F905" s="180"/>
      <c r="H905" s="155"/>
      <c r="I905" s="155"/>
    </row>
    <row r="906">
      <c r="A906" s="187"/>
      <c r="B906" s="187"/>
      <c r="C906" s="187"/>
      <c r="D906" s="187"/>
      <c r="E906" s="190"/>
      <c r="F906" s="180"/>
      <c r="H906" s="155"/>
      <c r="I906" s="155"/>
    </row>
    <row r="907">
      <c r="A907" s="187"/>
      <c r="B907" s="187"/>
      <c r="C907" s="187"/>
      <c r="D907" s="187"/>
      <c r="E907" s="190"/>
      <c r="F907" s="180"/>
      <c r="H907" s="155"/>
      <c r="I907" s="155"/>
    </row>
    <row r="908">
      <c r="A908" s="187"/>
      <c r="B908" s="187"/>
      <c r="C908" s="187"/>
      <c r="D908" s="187"/>
      <c r="E908" s="190"/>
      <c r="F908" s="180"/>
      <c r="H908" s="155"/>
      <c r="I908" s="155"/>
    </row>
    <row r="909">
      <c r="A909" s="187"/>
      <c r="B909" s="187"/>
      <c r="C909" s="187"/>
      <c r="D909" s="187"/>
      <c r="E909" s="190"/>
      <c r="F909" s="180"/>
      <c r="H909" s="155"/>
      <c r="I909" s="155"/>
    </row>
    <row r="910">
      <c r="A910" s="187"/>
      <c r="B910" s="187"/>
      <c r="C910" s="187"/>
      <c r="D910" s="187"/>
      <c r="E910" s="190"/>
      <c r="F910" s="180"/>
      <c r="H910" s="155"/>
      <c r="I910" s="155"/>
    </row>
    <row r="911">
      <c r="A911" s="187"/>
      <c r="B911" s="187"/>
      <c r="C911" s="187"/>
      <c r="D911" s="187"/>
      <c r="E911" s="190"/>
      <c r="F911" s="180"/>
      <c r="H911" s="155"/>
      <c r="I911" s="155"/>
    </row>
    <row r="912">
      <c r="A912" s="187"/>
      <c r="B912" s="187"/>
      <c r="C912" s="187"/>
      <c r="D912" s="187"/>
      <c r="E912" s="190"/>
      <c r="F912" s="180"/>
      <c r="H912" s="155"/>
      <c r="I912" s="155"/>
    </row>
    <row r="913">
      <c r="A913" s="187"/>
      <c r="B913" s="187"/>
      <c r="C913" s="187"/>
      <c r="D913" s="187"/>
      <c r="E913" s="190"/>
      <c r="F913" s="180"/>
      <c r="H913" s="155"/>
      <c r="I913" s="155"/>
    </row>
    <row r="914">
      <c r="A914" s="187"/>
      <c r="B914" s="187"/>
      <c r="C914" s="187"/>
      <c r="D914" s="187"/>
      <c r="E914" s="190"/>
      <c r="F914" s="180"/>
      <c r="H914" s="155"/>
      <c r="I914" s="155"/>
    </row>
    <row r="915">
      <c r="A915" s="187"/>
      <c r="B915" s="187"/>
      <c r="C915" s="187"/>
      <c r="D915" s="187"/>
      <c r="E915" s="190"/>
      <c r="F915" s="180"/>
      <c r="H915" s="155"/>
      <c r="I915" s="155"/>
    </row>
    <row r="916">
      <c r="A916" s="187"/>
      <c r="B916" s="187"/>
      <c r="C916" s="187"/>
      <c r="D916" s="187"/>
      <c r="E916" s="190"/>
      <c r="F916" s="180"/>
      <c r="H916" s="155"/>
      <c r="I916" s="155"/>
    </row>
    <row r="917">
      <c r="A917" s="187"/>
      <c r="B917" s="187"/>
      <c r="C917" s="187"/>
      <c r="D917" s="187"/>
      <c r="E917" s="190"/>
      <c r="F917" s="180"/>
      <c r="H917" s="155"/>
      <c r="I917" s="155"/>
    </row>
    <row r="918">
      <c r="A918" s="187"/>
      <c r="B918" s="187"/>
      <c r="C918" s="187"/>
      <c r="D918" s="187"/>
      <c r="E918" s="190"/>
      <c r="F918" s="180"/>
      <c r="H918" s="155"/>
      <c r="I918" s="155"/>
    </row>
    <row r="919">
      <c r="A919" s="187"/>
      <c r="B919" s="187"/>
      <c r="C919" s="187"/>
      <c r="D919" s="187"/>
      <c r="E919" s="190"/>
      <c r="F919" s="180"/>
      <c r="H919" s="155"/>
      <c r="I919" s="155"/>
    </row>
    <row r="920">
      <c r="A920" s="187"/>
      <c r="B920" s="187"/>
      <c r="C920" s="187"/>
      <c r="D920" s="187"/>
      <c r="E920" s="190"/>
      <c r="F920" s="180"/>
      <c r="H920" s="155"/>
      <c r="I920" s="155"/>
    </row>
    <row r="921">
      <c r="A921" s="187"/>
      <c r="B921" s="187"/>
      <c r="C921" s="187"/>
      <c r="D921" s="187"/>
      <c r="E921" s="190"/>
      <c r="F921" s="180"/>
      <c r="H921" s="155"/>
      <c r="I921" s="155"/>
    </row>
    <row r="922">
      <c r="A922" s="187"/>
      <c r="B922" s="187"/>
      <c r="C922" s="187"/>
      <c r="D922" s="187"/>
      <c r="E922" s="190"/>
      <c r="F922" s="180"/>
      <c r="H922" s="155"/>
      <c r="I922" s="155"/>
    </row>
    <row r="923">
      <c r="A923" s="187"/>
      <c r="B923" s="187"/>
      <c r="C923" s="187"/>
      <c r="D923" s="187"/>
      <c r="E923" s="190"/>
      <c r="F923" s="180"/>
      <c r="H923" s="155"/>
      <c r="I923" s="155"/>
    </row>
    <row r="924">
      <c r="A924" s="187"/>
      <c r="B924" s="187"/>
      <c r="C924" s="187"/>
      <c r="D924" s="187"/>
      <c r="E924" s="190"/>
      <c r="F924" s="180"/>
      <c r="H924" s="155"/>
      <c r="I924" s="155"/>
    </row>
    <row r="925">
      <c r="A925" s="187"/>
      <c r="B925" s="187"/>
      <c r="C925" s="187"/>
      <c r="D925" s="187"/>
      <c r="E925" s="190"/>
      <c r="F925" s="180"/>
      <c r="H925" s="155"/>
      <c r="I925" s="155"/>
    </row>
    <row r="926">
      <c r="A926" s="187"/>
      <c r="B926" s="187"/>
      <c r="C926" s="187"/>
      <c r="D926" s="187"/>
      <c r="E926" s="190"/>
      <c r="F926" s="180"/>
      <c r="H926" s="155"/>
      <c r="I926" s="155"/>
    </row>
    <row r="927">
      <c r="A927" s="187"/>
      <c r="B927" s="187"/>
      <c r="C927" s="187"/>
      <c r="D927" s="187"/>
      <c r="E927" s="190"/>
      <c r="F927" s="180"/>
      <c r="H927" s="155"/>
      <c r="I927" s="155"/>
    </row>
    <row r="928">
      <c r="A928" s="187"/>
      <c r="B928" s="187"/>
      <c r="C928" s="187"/>
      <c r="D928" s="187"/>
      <c r="E928" s="190"/>
      <c r="F928" s="180"/>
      <c r="H928" s="155"/>
      <c r="I928" s="155"/>
    </row>
    <row r="929">
      <c r="A929" s="187"/>
      <c r="B929" s="187"/>
      <c r="C929" s="187"/>
      <c r="D929" s="187"/>
      <c r="E929" s="190"/>
      <c r="F929" s="180"/>
      <c r="H929" s="155"/>
      <c r="I929" s="155"/>
    </row>
    <row r="930">
      <c r="A930" s="187"/>
      <c r="B930" s="187"/>
      <c r="C930" s="187"/>
      <c r="D930" s="187"/>
      <c r="E930" s="190"/>
      <c r="F930" s="180"/>
      <c r="H930" s="155"/>
      <c r="I930" s="155"/>
    </row>
    <row r="931">
      <c r="A931" s="187"/>
      <c r="B931" s="187"/>
      <c r="C931" s="187"/>
      <c r="D931" s="187"/>
      <c r="E931" s="190"/>
      <c r="F931" s="180"/>
      <c r="H931" s="155"/>
      <c r="I931" s="155"/>
    </row>
    <row r="932">
      <c r="A932" s="187"/>
      <c r="B932" s="187"/>
      <c r="C932" s="187"/>
      <c r="D932" s="187"/>
      <c r="E932" s="190"/>
      <c r="F932" s="180"/>
      <c r="H932" s="155"/>
      <c r="I932" s="155"/>
    </row>
    <row r="933">
      <c r="A933" s="187"/>
      <c r="B933" s="187"/>
      <c r="C933" s="187"/>
      <c r="D933" s="187"/>
      <c r="E933" s="190"/>
      <c r="F933" s="180"/>
      <c r="H933" s="155"/>
      <c r="I933" s="155"/>
    </row>
    <row r="934">
      <c r="A934" s="187"/>
      <c r="B934" s="187"/>
      <c r="C934" s="187"/>
      <c r="D934" s="187"/>
      <c r="E934" s="190"/>
      <c r="F934" s="180"/>
      <c r="H934" s="155"/>
      <c r="I934" s="155"/>
    </row>
    <row r="935">
      <c r="A935" s="187"/>
      <c r="B935" s="187"/>
      <c r="C935" s="187"/>
      <c r="D935" s="187"/>
      <c r="E935" s="190"/>
      <c r="F935" s="180"/>
      <c r="H935" s="155"/>
      <c r="I935" s="155"/>
    </row>
    <row r="936">
      <c r="A936" s="187"/>
      <c r="B936" s="187"/>
      <c r="C936" s="187"/>
      <c r="D936" s="187"/>
      <c r="E936" s="190"/>
      <c r="F936" s="180"/>
      <c r="H936" s="155"/>
      <c r="I936" s="155"/>
    </row>
    <row r="937">
      <c r="A937" s="187"/>
      <c r="B937" s="187"/>
      <c r="C937" s="187"/>
      <c r="D937" s="187"/>
      <c r="E937" s="190"/>
      <c r="F937" s="180"/>
      <c r="H937" s="155"/>
      <c r="I937" s="155"/>
    </row>
    <row r="938">
      <c r="A938" s="187"/>
      <c r="B938" s="187"/>
      <c r="C938" s="187"/>
      <c r="D938" s="187"/>
      <c r="E938" s="190"/>
      <c r="F938" s="180"/>
      <c r="H938" s="155"/>
      <c r="I938" s="155"/>
    </row>
    <row r="939">
      <c r="A939" s="187"/>
      <c r="B939" s="187"/>
      <c r="C939" s="187"/>
      <c r="D939" s="187"/>
      <c r="E939" s="190"/>
      <c r="F939" s="180"/>
      <c r="H939" s="155"/>
      <c r="I939" s="155"/>
    </row>
    <row r="940">
      <c r="A940" s="187"/>
      <c r="B940" s="187"/>
      <c r="C940" s="187"/>
      <c r="D940" s="187"/>
      <c r="E940" s="190"/>
      <c r="F940" s="180"/>
      <c r="H940" s="155"/>
      <c r="I940" s="155"/>
    </row>
    <row r="941">
      <c r="A941" s="187"/>
      <c r="B941" s="187"/>
      <c r="C941" s="187"/>
      <c r="D941" s="187"/>
      <c r="E941" s="190"/>
      <c r="F941" s="180"/>
      <c r="H941" s="155"/>
      <c r="I941" s="155"/>
    </row>
    <row r="942">
      <c r="A942" s="187"/>
      <c r="B942" s="187"/>
      <c r="C942" s="187"/>
      <c r="D942" s="187"/>
      <c r="E942" s="190"/>
      <c r="F942" s="180"/>
      <c r="H942" s="155"/>
      <c r="I942" s="155"/>
    </row>
    <row r="943">
      <c r="A943" s="187"/>
      <c r="B943" s="187"/>
      <c r="C943" s="187"/>
      <c r="D943" s="187"/>
      <c r="E943" s="190"/>
      <c r="F943" s="180"/>
      <c r="H943" s="155"/>
      <c r="I943" s="155"/>
    </row>
    <row r="944">
      <c r="A944" s="187"/>
      <c r="B944" s="187"/>
      <c r="C944" s="187"/>
      <c r="D944" s="187"/>
      <c r="E944" s="190"/>
      <c r="F944" s="180"/>
      <c r="H944" s="155"/>
      <c r="I944" s="155"/>
    </row>
    <row r="945">
      <c r="A945" s="187"/>
      <c r="B945" s="187"/>
      <c r="C945" s="187"/>
      <c r="D945" s="187"/>
      <c r="E945" s="190"/>
      <c r="F945" s="180"/>
      <c r="H945" s="155"/>
      <c r="I945" s="155"/>
    </row>
    <row r="946">
      <c r="A946" s="187"/>
      <c r="B946" s="187"/>
      <c r="C946" s="187"/>
      <c r="D946" s="187"/>
      <c r="E946" s="190"/>
      <c r="F946" s="180"/>
      <c r="H946" s="155"/>
      <c r="I946" s="155"/>
    </row>
    <row r="947">
      <c r="A947" s="187"/>
      <c r="B947" s="187"/>
      <c r="C947" s="187"/>
      <c r="D947" s="187"/>
      <c r="E947" s="190"/>
      <c r="F947" s="180"/>
      <c r="H947" s="155"/>
      <c r="I947" s="155"/>
    </row>
    <row r="948">
      <c r="A948" s="187"/>
      <c r="B948" s="187"/>
      <c r="C948" s="187"/>
      <c r="D948" s="187"/>
      <c r="E948" s="190"/>
      <c r="F948" s="180"/>
      <c r="H948" s="155"/>
      <c r="I948" s="155"/>
    </row>
    <row r="949">
      <c r="A949" s="187"/>
      <c r="B949" s="187"/>
      <c r="C949" s="187"/>
      <c r="D949" s="187"/>
      <c r="E949" s="190"/>
      <c r="F949" s="180"/>
      <c r="H949" s="155"/>
      <c r="I949" s="155"/>
    </row>
    <row r="950">
      <c r="A950" s="187"/>
      <c r="B950" s="187"/>
      <c r="C950" s="187"/>
      <c r="D950" s="187"/>
      <c r="E950" s="190"/>
      <c r="F950" s="180"/>
      <c r="H950" s="155"/>
      <c r="I950" s="155"/>
    </row>
    <row r="951">
      <c r="A951" s="187"/>
      <c r="B951" s="187"/>
      <c r="C951" s="187"/>
      <c r="D951" s="187"/>
      <c r="E951" s="190"/>
      <c r="F951" s="180"/>
      <c r="H951" s="155"/>
      <c r="I951" s="155"/>
    </row>
    <row r="952">
      <c r="A952" s="187"/>
      <c r="B952" s="187"/>
      <c r="C952" s="187"/>
      <c r="D952" s="187"/>
      <c r="E952" s="190"/>
      <c r="F952" s="180"/>
      <c r="H952" s="155"/>
      <c r="I952" s="155"/>
    </row>
    <row r="953">
      <c r="A953" s="187"/>
      <c r="B953" s="187"/>
      <c r="C953" s="187"/>
      <c r="D953" s="187"/>
      <c r="E953" s="190"/>
      <c r="F953" s="180"/>
      <c r="H953" s="155"/>
      <c r="I953" s="155"/>
    </row>
    <row r="954">
      <c r="A954" s="187"/>
      <c r="B954" s="187"/>
      <c r="C954" s="187"/>
      <c r="D954" s="187"/>
      <c r="E954" s="190"/>
      <c r="F954" s="180"/>
      <c r="H954" s="155"/>
      <c r="I954" s="155"/>
    </row>
    <row r="955">
      <c r="A955" s="187"/>
      <c r="B955" s="187"/>
      <c r="C955" s="187"/>
      <c r="D955" s="187"/>
      <c r="E955" s="190"/>
      <c r="F955" s="180"/>
      <c r="H955" s="155"/>
      <c r="I955" s="155"/>
    </row>
    <row r="956">
      <c r="A956" s="187"/>
      <c r="B956" s="187"/>
      <c r="C956" s="187"/>
      <c r="D956" s="187"/>
      <c r="E956" s="190"/>
      <c r="F956" s="180"/>
      <c r="H956" s="155"/>
      <c r="I956" s="155"/>
    </row>
    <row r="957">
      <c r="A957" s="187"/>
      <c r="B957" s="187"/>
      <c r="C957" s="187"/>
      <c r="D957" s="187"/>
      <c r="E957" s="190"/>
      <c r="F957" s="180"/>
      <c r="H957" s="155"/>
      <c r="I957" s="155"/>
    </row>
    <row r="958">
      <c r="A958" s="187"/>
      <c r="B958" s="187"/>
      <c r="C958" s="187"/>
      <c r="D958" s="187"/>
      <c r="E958" s="190"/>
      <c r="F958" s="180"/>
      <c r="H958" s="155"/>
      <c r="I958" s="155"/>
    </row>
    <row r="959">
      <c r="A959" s="187"/>
      <c r="B959" s="187"/>
      <c r="C959" s="187"/>
      <c r="D959" s="187"/>
      <c r="E959" s="190"/>
      <c r="F959" s="180"/>
      <c r="H959" s="155"/>
      <c r="I959" s="155"/>
    </row>
    <row r="960">
      <c r="A960" s="187"/>
      <c r="B960" s="187"/>
      <c r="C960" s="187"/>
      <c r="D960" s="187"/>
      <c r="E960" s="190"/>
      <c r="F960" s="180"/>
      <c r="H960" s="155"/>
      <c r="I960" s="155"/>
    </row>
    <row r="961">
      <c r="A961" s="187"/>
      <c r="B961" s="187"/>
      <c r="C961" s="187"/>
      <c r="D961" s="187"/>
      <c r="E961" s="190"/>
      <c r="F961" s="180"/>
      <c r="H961" s="155"/>
      <c r="I961" s="155"/>
    </row>
    <row r="962">
      <c r="A962" s="187"/>
      <c r="B962" s="187"/>
      <c r="C962" s="187"/>
      <c r="D962" s="187"/>
      <c r="E962" s="190"/>
      <c r="F962" s="180"/>
      <c r="H962" s="155"/>
      <c r="I962" s="155"/>
    </row>
    <row r="963">
      <c r="A963" s="187"/>
      <c r="B963" s="187"/>
      <c r="C963" s="187"/>
      <c r="D963" s="187"/>
      <c r="E963" s="190"/>
      <c r="F963" s="180"/>
      <c r="H963" s="155"/>
      <c r="I963" s="155"/>
    </row>
    <row r="964">
      <c r="A964" s="187"/>
      <c r="B964" s="187"/>
      <c r="C964" s="187"/>
      <c r="D964" s="187"/>
      <c r="E964" s="190"/>
      <c r="F964" s="180"/>
      <c r="H964" s="155"/>
      <c r="I964" s="155"/>
    </row>
    <row r="965">
      <c r="A965" s="187"/>
      <c r="B965" s="187"/>
      <c r="C965" s="187"/>
      <c r="D965" s="187"/>
      <c r="E965" s="190"/>
      <c r="F965" s="180"/>
      <c r="H965" s="155"/>
      <c r="I965" s="155"/>
    </row>
    <row r="966">
      <c r="A966" s="187"/>
      <c r="B966" s="187"/>
      <c r="C966" s="187"/>
      <c r="D966" s="187"/>
      <c r="E966" s="190"/>
      <c r="F966" s="180"/>
      <c r="H966" s="155"/>
      <c r="I966" s="155"/>
    </row>
    <row r="967">
      <c r="A967" s="187"/>
      <c r="B967" s="187"/>
      <c r="C967" s="187"/>
      <c r="D967" s="187"/>
      <c r="E967" s="190"/>
      <c r="F967" s="180"/>
      <c r="H967" s="155"/>
      <c r="I967" s="155"/>
    </row>
    <row r="968">
      <c r="A968" s="187"/>
      <c r="B968" s="187"/>
      <c r="C968" s="187"/>
      <c r="D968" s="187"/>
      <c r="E968" s="190"/>
      <c r="F968" s="180"/>
      <c r="H968" s="155"/>
      <c r="I968" s="155"/>
    </row>
    <row r="969">
      <c r="A969" s="187"/>
      <c r="B969" s="187"/>
      <c r="C969" s="187"/>
      <c r="D969" s="187"/>
      <c r="E969" s="190"/>
      <c r="F969" s="180"/>
      <c r="H969" s="155"/>
      <c r="I969" s="155"/>
    </row>
    <row r="970">
      <c r="A970" s="187"/>
      <c r="B970" s="187"/>
      <c r="C970" s="187"/>
      <c r="D970" s="187"/>
      <c r="E970" s="190"/>
      <c r="F970" s="180"/>
      <c r="H970" s="155"/>
      <c r="I970" s="155"/>
    </row>
    <row r="971">
      <c r="A971" s="187"/>
      <c r="B971" s="187"/>
      <c r="C971" s="187"/>
      <c r="D971" s="187"/>
      <c r="E971" s="190"/>
      <c r="F971" s="180"/>
      <c r="H971" s="155"/>
      <c r="I971" s="155"/>
    </row>
    <row r="972">
      <c r="A972" s="187"/>
      <c r="B972" s="187"/>
      <c r="C972" s="187"/>
      <c r="D972" s="187"/>
      <c r="E972" s="190"/>
      <c r="F972" s="180"/>
      <c r="H972" s="155"/>
      <c r="I972" s="155"/>
    </row>
    <row r="973">
      <c r="A973" s="187"/>
      <c r="B973" s="187"/>
      <c r="C973" s="187"/>
      <c r="D973" s="187"/>
      <c r="E973" s="190"/>
      <c r="F973" s="180"/>
      <c r="H973" s="155"/>
      <c r="I973" s="155"/>
    </row>
    <row r="974">
      <c r="A974" s="187"/>
      <c r="B974" s="187"/>
      <c r="C974" s="187"/>
      <c r="D974" s="187"/>
      <c r="E974" s="190"/>
      <c r="F974" s="180"/>
      <c r="H974" s="155"/>
      <c r="I974" s="155"/>
    </row>
    <row r="975">
      <c r="A975" s="187"/>
      <c r="B975" s="187"/>
      <c r="C975" s="187"/>
      <c r="D975" s="187"/>
      <c r="E975" s="190"/>
      <c r="F975" s="180"/>
      <c r="H975" s="155"/>
      <c r="I975" s="155"/>
    </row>
    <row r="976">
      <c r="A976" s="187"/>
      <c r="B976" s="187"/>
      <c r="C976" s="187"/>
      <c r="D976" s="187"/>
      <c r="E976" s="190"/>
      <c r="F976" s="180"/>
      <c r="H976" s="155"/>
      <c r="I976" s="155"/>
    </row>
    <row r="977">
      <c r="A977" s="187"/>
      <c r="B977" s="187"/>
      <c r="C977" s="187"/>
      <c r="D977" s="187"/>
      <c r="E977" s="190"/>
      <c r="F977" s="180"/>
      <c r="H977" s="155"/>
      <c r="I977" s="155"/>
    </row>
    <row r="978">
      <c r="A978" s="187"/>
      <c r="B978" s="187"/>
      <c r="C978" s="187"/>
      <c r="D978" s="187"/>
      <c r="E978" s="190"/>
      <c r="F978" s="180"/>
      <c r="H978" s="155"/>
      <c r="I978" s="155"/>
    </row>
    <row r="979">
      <c r="A979" s="187"/>
      <c r="B979" s="187"/>
      <c r="C979" s="187"/>
      <c r="D979" s="187"/>
      <c r="E979" s="190"/>
      <c r="F979" s="180"/>
      <c r="H979" s="155"/>
      <c r="I979" s="155"/>
    </row>
    <row r="980">
      <c r="A980" s="187"/>
      <c r="B980" s="187"/>
      <c r="C980" s="187"/>
      <c r="D980" s="187"/>
      <c r="E980" s="190"/>
      <c r="F980" s="180"/>
      <c r="H980" s="155"/>
      <c r="I980" s="155"/>
    </row>
    <row r="981">
      <c r="A981" s="187"/>
      <c r="B981" s="187"/>
      <c r="C981" s="187"/>
      <c r="D981" s="187"/>
      <c r="E981" s="190"/>
      <c r="F981" s="180"/>
      <c r="H981" s="155"/>
      <c r="I981" s="155"/>
    </row>
    <row r="982">
      <c r="A982" s="187"/>
      <c r="B982" s="187"/>
      <c r="C982" s="187"/>
      <c r="D982" s="187"/>
      <c r="E982" s="190"/>
      <c r="F982" s="180"/>
      <c r="H982" s="155"/>
      <c r="I982" s="155"/>
    </row>
    <row r="983">
      <c r="A983" s="187"/>
      <c r="B983" s="187"/>
      <c r="C983" s="187"/>
      <c r="D983" s="187"/>
      <c r="E983" s="190"/>
      <c r="F983" s="180"/>
      <c r="H983" s="155"/>
      <c r="I983" s="155"/>
    </row>
    <row r="984">
      <c r="A984" s="187"/>
      <c r="B984" s="187"/>
      <c r="C984" s="187"/>
      <c r="D984" s="187"/>
      <c r="E984" s="190"/>
      <c r="F984" s="180"/>
      <c r="H984" s="155"/>
      <c r="I984" s="155"/>
    </row>
    <row r="985">
      <c r="A985" s="187"/>
      <c r="B985" s="187"/>
      <c r="C985" s="187"/>
      <c r="D985" s="187"/>
      <c r="E985" s="190"/>
      <c r="F985" s="180"/>
      <c r="H985" s="155"/>
      <c r="I985" s="155"/>
    </row>
    <row r="986">
      <c r="A986" s="187"/>
      <c r="B986" s="187"/>
      <c r="C986" s="187"/>
      <c r="D986" s="187"/>
      <c r="E986" s="190"/>
      <c r="F986" s="180"/>
      <c r="H986" s="155"/>
      <c r="I986" s="155"/>
    </row>
    <row r="987">
      <c r="A987" s="187"/>
      <c r="B987" s="187"/>
      <c r="C987" s="187"/>
      <c r="D987" s="187"/>
      <c r="E987" s="190"/>
      <c r="F987" s="180"/>
      <c r="H987" s="155"/>
      <c r="I987" s="155"/>
    </row>
    <row r="988">
      <c r="A988" s="187"/>
      <c r="B988" s="187"/>
      <c r="C988" s="187"/>
      <c r="D988" s="187"/>
      <c r="E988" s="190"/>
      <c r="F988" s="180"/>
      <c r="H988" s="155"/>
      <c r="I988" s="155"/>
    </row>
    <row r="989">
      <c r="A989" s="187"/>
      <c r="B989" s="187"/>
      <c r="C989" s="187"/>
      <c r="D989" s="187"/>
      <c r="E989" s="190"/>
      <c r="F989" s="180"/>
      <c r="H989" s="155"/>
      <c r="I989" s="155"/>
    </row>
    <row r="990">
      <c r="A990" s="187"/>
      <c r="B990" s="187"/>
      <c r="C990" s="187"/>
      <c r="D990" s="187"/>
      <c r="E990" s="190"/>
      <c r="F990" s="180"/>
      <c r="H990" s="155"/>
      <c r="I990" s="155"/>
    </row>
    <row r="991">
      <c r="A991" s="187"/>
      <c r="B991" s="187"/>
      <c r="C991" s="187"/>
      <c r="D991" s="187"/>
      <c r="E991" s="190"/>
      <c r="F991" s="180"/>
      <c r="H991" s="155"/>
      <c r="I991" s="155"/>
    </row>
    <row r="992">
      <c r="A992" s="187"/>
      <c r="B992" s="187"/>
      <c r="C992" s="187"/>
      <c r="D992" s="187"/>
      <c r="E992" s="190"/>
      <c r="F992" s="180"/>
      <c r="H992" s="155"/>
      <c r="I992" s="155"/>
    </row>
    <row r="993">
      <c r="A993" s="187"/>
      <c r="B993" s="187"/>
      <c r="C993" s="187"/>
      <c r="D993" s="187"/>
      <c r="E993" s="190"/>
      <c r="F993" s="180"/>
      <c r="H993" s="155"/>
      <c r="I993" s="155"/>
    </row>
    <row r="994">
      <c r="A994" s="187"/>
      <c r="B994" s="187"/>
      <c r="C994" s="187"/>
      <c r="D994" s="187"/>
      <c r="E994" s="190"/>
      <c r="F994" s="180"/>
      <c r="H994" s="155"/>
      <c r="I994" s="155"/>
    </row>
    <row r="995">
      <c r="A995" s="187"/>
      <c r="B995" s="187"/>
      <c r="C995" s="187"/>
      <c r="D995" s="187"/>
      <c r="E995" s="190"/>
      <c r="F995" s="180"/>
      <c r="H995" s="155"/>
      <c r="I995" s="155"/>
    </row>
    <row r="996">
      <c r="A996" s="187"/>
      <c r="B996" s="187"/>
      <c r="C996" s="187"/>
      <c r="D996" s="187"/>
      <c r="E996" s="190"/>
      <c r="F996" s="180"/>
      <c r="H996" s="155"/>
      <c r="I996" s="155"/>
    </row>
    <row r="997">
      <c r="A997" s="187"/>
      <c r="B997" s="187"/>
      <c r="C997" s="187"/>
      <c r="D997" s="187"/>
      <c r="E997" s="190"/>
      <c r="F997" s="180"/>
      <c r="H997" s="155"/>
      <c r="I997" s="155"/>
    </row>
    <row r="998">
      <c r="A998" s="187"/>
      <c r="B998" s="187"/>
      <c r="C998" s="187"/>
      <c r="D998" s="187"/>
      <c r="E998" s="190"/>
      <c r="F998" s="180"/>
      <c r="H998" s="155"/>
      <c r="I998" s="155"/>
    </row>
    <row r="999">
      <c r="A999" s="187"/>
      <c r="B999" s="187"/>
      <c r="C999" s="187"/>
      <c r="D999" s="187"/>
      <c r="E999" s="190"/>
      <c r="F999" s="180"/>
      <c r="H999" s="155"/>
      <c r="I999" s="155"/>
    </row>
    <row r="1000">
      <c r="A1000" s="187"/>
      <c r="B1000" s="187"/>
      <c r="C1000" s="187"/>
      <c r="D1000" s="187"/>
      <c r="E1000" s="190"/>
      <c r="F1000" s="180"/>
      <c r="H1000" s="155"/>
      <c r="I1000" s="155"/>
    </row>
    <row r="1001">
      <c r="A1001" s="187"/>
      <c r="B1001" s="187"/>
      <c r="C1001" s="187"/>
      <c r="D1001" s="187"/>
      <c r="E1001" s="190"/>
      <c r="F1001" s="180"/>
      <c r="H1001" s="155"/>
      <c r="I1001" s="155"/>
    </row>
    <row r="1002">
      <c r="A1002" s="187"/>
      <c r="B1002" s="187"/>
      <c r="C1002" s="187"/>
      <c r="D1002" s="187"/>
      <c r="E1002" s="190"/>
      <c r="F1002" s="180"/>
      <c r="H1002" s="155"/>
      <c r="I1002" s="155"/>
    </row>
    <row r="1003">
      <c r="A1003" s="187"/>
      <c r="B1003" s="187"/>
      <c r="C1003" s="187"/>
      <c r="D1003" s="187"/>
      <c r="E1003" s="190"/>
      <c r="F1003" s="180"/>
      <c r="H1003" s="155"/>
      <c r="I1003" s="155"/>
    </row>
    <row r="1004">
      <c r="A1004" s="187"/>
      <c r="B1004" s="187"/>
      <c r="C1004" s="187"/>
      <c r="D1004" s="187"/>
      <c r="E1004" s="190"/>
      <c r="F1004" s="180"/>
      <c r="H1004" s="155"/>
      <c r="I1004" s="155"/>
    </row>
    <row r="1005">
      <c r="A1005" s="187"/>
      <c r="B1005" s="187"/>
      <c r="C1005" s="187"/>
      <c r="D1005" s="187"/>
      <c r="E1005" s="190"/>
      <c r="F1005" s="180"/>
      <c r="H1005" s="155"/>
      <c r="I1005" s="155"/>
    </row>
    <row r="1006">
      <c r="A1006" s="187"/>
      <c r="B1006" s="187"/>
      <c r="C1006" s="187"/>
      <c r="D1006" s="187"/>
      <c r="E1006" s="190"/>
      <c r="F1006" s="180"/>
      <c r="H1006" s="155"/>
      <c r="I1006" s="155"/>
    </row>
    <row r="1007">
      <c r="A1007" s="187"/>
      <c r="B1007" s="187"/>
      <c r="C1007" s="187"/>
      <c r="D1007" s="187"/>
      <c r="E1007" s="190"/>
      <c r="F1007" s="180"/>
      <c r="H1007" s="155"/>
      <c r="I1007" s="155"/>
    </row>
    <row r="1008">
      <c r="A1008" s="187"/>
      <c r="B1008" s="187"/>
      <c r="C1008" s="187"/>
      <c r="D1008" s="187"/>
      <c r="E1008" s="190"/>
      <c r="F1008" s="180"/>
      <c r="H1008" s="155"/>
      <c r="I1008" s="155"/>
    </row>
    <row r="1009">
      <c r="A1009" s="187"/>
      <c r="B1009" s="187"/>
      <c r="C1009" s="187"/>
      <c r="D1009" s="187"/>
      <c r="E1009" s="190"/>
      <c r="F1009" s="180"/>
      <c r="H1009" s="155"/>
      <c r="I1009" s="155"/>
    </row>
    <row r="1010">
      <c r="A1010" s="187"/>
      <c r="B1010" s="187"/>
      <c r="C1010" s="187"/>
      <c r="D1010" s="187"/>
      <c r="E1010" s="190"/>
      <c r="F1010" s="180"/>
      <c r="H1010" s="155"/>
      <c r="I1010" s="155"/>
    </row>
    <row r="1011">
      <c r="A1011" s="187"/>
      <c r="B1011" s="187"/>
      <c r="C1011" s="187"/>
      <c r="D1011" s="187"/>
      <c r="E1011" s="190"/>
      <c r="F1011" s="180"/>
      <c r="H1011" s="155"/>
      <c r="I1011" s="155"/>
    </row>
    <row r="1012">
      <c r="A1012" s="187"/>
      <c r="B1012" s="187"/>
      <c r="C1012" s="187"/>
      <c r="D1012" s="187"/>
      <c r="E1012" s="190"/>
      <c r="F1012" s="180"/>
      <c r="H1012" s="155"/>
      <c r="I1012" s="155"/>
    </row>
    <row r="1013">
      <c r="A1013" s="187"/>
      <c r="B1013" s="187"/>
      <c r="C1013" s="187"/>
      <c r="D1013" s="187"/>
      <c r="E1013" s="190"/>
      <c r="F1013" s="180"/>
      <c r="H1013" s="155"/>
      <c r="I1013" s="155"/>
    </row>
    <row r="1014">
      <c r="A1014" s="187"/>
      <c r="B1014" s="187"/>
      <c r="C1014" s="187"/>
      <c r="D1014" s="187"/>
      <c r="E1014" s="190"/>
      <c r="F1014" s="180"/>
      <c r="H1014" s="155"/>
      <c r="I1014" s="155"/>
    </row>
    <row r="1015">
      <c r="A1015" s="187"/>
      <c r="B1015" s="187"/>
      <c r="C1015" s="187"/>
      <c r="D1015" s="187"/>
      <c r="E1015" s="190"/>
      <c r="F1015" s="180"/>
      <c r="H1015" s="155"/>
      <c r="I1015" s="155"/>
    </row>
    <row r="1016">
      <c r="A1016" s="187"/>
      <c r="B1016" s="187"/>
      <c r="C1016" s="187"/>
      <c r="D1016" s="187"/>
      <c r="E1016" s="190"/>
      <c r="F1016" s="180"/>
      <c r="H1016" s="155"/>
      <c r="I1016" s="155"/>
    </row>
    <row r="1017">
      <c r="A1017" s="187"/>
      <c r="B1017" s="187"/>
      <c r="C1017" s="187"/>
      <c r="D1017" s="187"/>
      <c r="E1017" s="190"/>
      <c r="F1017" s="180"/>
      <c r="H1017" s="155"/>
      <c r="I1017" s="155"/>
    </row>
    <row r="1018">
      <c r="A1018" s="187"/>
      <c r="B1018" s="187"/>
      <c r="C1018" s="187"/>
      <c r="D1018" s="187"/>
      <c r="E1018" s="190"/>
      <c r="F1018" s="180"/>
      <c r="H1018" s="155"/>
      <c r="I1018" s="155"/>
    </row>
    <row r="1019">
      <c r="A1019" s="187"/>
      <c r="B1019" s="187"/>
      <c r="C1019" s="187"/>
      <c r="D1019" s="187"/>
      <c r="E1019" s="190"/>
      <c r="F1019" s="180"/>
      <c r="H1019" s="155"/>
      <c r="I1019" s="155"/>
    </row>
    <row r="1020">
      <c r="A1020" s="187"/>
      <c r="B1020" s="187"/>
      <c r="C1020" s="187"/>
      <c r="D1020" s="187"/>
      <c r="E1020" s="190"/>
      <c r="F1020" s="180"/>
      <c r="H1020" s="155"/>
      <c r="I1020" s="155"/>
    </row>
    <row r="1021">
      <c r="A1021" s="187"/>
      <c r="B1021" s="187"/>
      <c r="C1021" s="187"/>
      <c r="D1021" s="187"/>
      <c r="E1021" s="190"/>
      <c r="F1021" s="180"/>
      <c r="H1021" s="155"/>
      <c r="I1021" s="155"/>
    </row>
    <row r="1022">
      <c r="A1022" s="187"/>
      <c r="B1022" s="187"/>
      <c r="C1022" s="187"/>
      <c r="D1022" s="187"/>
      <c r="E1022" s="190"/>
      <c r="F1022" s="180"/>
      <c r="H1022" s="155"/>
      <c r="I1022" s="155"/>
    </row>
    <row r="1023">
      <c r="A1023" s="187"/>
      <c r="B1023" s="187"/>
      <c r="C1023" s="187"/>
      <c r="D1023" s="187"/>
      <c r="E1023" s="190"/>
      <c r="F1023" s="180"/>
      <c r="H1023" s="155"/>
      <c r="I1023" s="155"/>
    </row>
    <row r="1024">
      <c r="A1024" s="187"/>
      <c r="B1024" s="187"/>
      <c r="C1024" s="187"/>
      <c r="D1024" s="187"/>
      <c r="E1024" s="190"/>
      <c r="F1024" s="180"/>
      <c r="H1024" s="155"/>
      <c r="I1024" s="155"/>
    </row>
    <row r="1025">
      <c r="A1025" s="187"/>
      <c r="B1025" s="187"/>
      <c r="C1025" s="187"/>
      <c r="D1025" s="187"/>
      <c r="E1025" s="190"/>
      <c r="F1025" s="180"/>
      <c r="H1025" s="155"/>
      <c r="I1025" s="155"/>
    </row>
    <row r="1026">
      <c r="A1026" s="187"/>
      <c r="B1026" s="187"/>
      <c r="C1026" s="187"/>
      <c r="D1026" s="187"/>
      <c r="E1026" s="190"/>
      <c r="F1026" s="180"/>
      <c r="H1026" s="155"/>
      <c r="I1026" s="155"/>
    </row>
    <row r="1027">
      <c r="A1027" s="187"/>
      <c r="B1027" s="187"/>
      <c r="C1027" s="187"/>
      <c r="D1027" s="187"/>
      <c r="E1027" s="190"/>
      <c r="F1027" s="180"/>
      <c r="H1027" s="155"/>
      <c r="I1027" s="155"/>
    </row>
    <row r="1028">
      <c r="A1028" s="187"/>
      <c r="B1028" s="187"/>
      <c r="C1028" s="187"/>
      <c r="D1028" s="187"/>
      <c r="E1028" s="190"/>
      <c r="F1028" s="180"/>
      <c r="H1028" s="155"/>
      <c r="I1028" s="155"/>
    </row>
    <row r="1029">
      <c r="A1029" s="187"/>
      <c r="B1029" s="187"/>
      <c r="C1029" s="187"/>
      <c r="D1029" s="187"/>
      <c r="E1029" s="190"/>
      <c r="F1029" s="180"/>
      <c r="H1029" s="155"/>
      <c r="I1029" s="155"/>
    </row>
    <row r="1030">
      <c r="A1030" s="187"/>
      <c r="B1030" s="187"/>
      <c r="C1030" s="187"/>
      <c r="D1030" s="187"/>
      <c r="E1030" s="190"/>
      <c r="F1030" s="180"/>
      <c r="H1030" s="155"/>
      <c r="I1030" s="155"/>
    </row>
    <row r="1031">
      <c r="A1031" s="187"/>
      <c r="B1031" s="187"/>
      <c r="C1031" s="187"/>
      <c r="D1031" s="187"/>
      <c r="E1031" s="190"/>
      <c r="F1031" s="180"/>
      <c r="H1031" s="155"/>
      <c r="I1031" s="155"/>
    </row>
    <row r="1032">
      <c r="A1032" s="187"/>
      <c r="B1032" s="187"/>
      <c r="C1032" s="187"/>
      <c r="D1032" s="187"/>
      <c r="E1032" s="190"/>
      <c r="F1032" s="180"/>
      <c r="H1032" s="155"/>
      <c r="I1032" s="155"/>
    </row>
    <row r="1033">
      <c r="A1033" s="187"/>
      <c r="B1033" s="187"/>
      <c r="C1033" s="187"/>
      <c r="D1033" s="187"/>
      <c r="E1033" s="190"/>
      <c r="F1033" s="180"/>
      <c r="H1033" s="155"/>
      <c r="I1033" s="155"/>
    </row>
    <row r="1034">
      <c r="A1034" s="187"/>
      <c r="B1034" s="187"/>
      <c r="C1034" s="187"/>
      <c r="D1034" s="187"/>
      <c r="E1034" s="190"/>
      <c r="F1034" s="180"/>
      <c r="H1034" s="155"/>
      <c r="I1034" s="155"/>
    </row>
    <row r="1035">
      <c r="A1035" s="187"/>
      <c r="B1035" s="187"/>
      <c r="C1035" s="187"/>
      <c r="D1035" s="187"/>
      <c r="E1035" s="190"/>
      <c r="F1035" s="180"/>
      <c r="H1035" s="155"/>
      <c r="I1035" s="155"/>
    </row>
  </sheetData>
  <conditionalFormatting sqref="A1:A1035 B1 B7:B1035">
    <cfRule type="colorScale" priority="1">
      <colorScale>
        <cfvo type="min"/>
        <cfvo type="max"/>
        <color rgb="FF57BB8A"/>
        <color rgb="FFFFFFFF"/>
      </colorScale>
    </cfRule>
  </conditionalFormatting>
  <hyperlinks>
    <hyperlink r:id="rId1" ref="F2"/>
    <hyperlink r:id="rId2" ref="G2"/>
    <hyperlink r:id="rId3" ref="F3"/>
    <hyperlink r:id="rId4" ref="G3"/>
    <hyperlink r:id="rId5" ref="F4"/>
    <hyperlink r:id="rId6" ref="G4"/>
    <hyperlink r:id="rId7" ref="F5"/>
    <hyperlink r:id="rId8" ref="G5"/>
    <hyperlink r:id="rId9" ref="F6"/>
    <hyperlink r:id="rId10" ref="G6"/>
    <hyperlink r:id="rId11" ref="F7"/>
    <hyperlink r:id="rId12" ref="F8"/>
    <hyperlink r:id="rId13" ref="F9"/>
  </hyperlinks>
  <drawing r:id="rId1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2" max="2" width="5.13"/>
    <col customWidth="1" min="3" max="3" width="3.88"/>
    <col customWidth="1" min="4" max="5" width="1.38"/>
    <col customWidth="1" min="6" max="6" width="5.13"/>
    <col customWidth="1" min="7" max="7" width="3.88"/>
    <col customWidth="1" min="8" max="9" width="1.38"/>
    <col customWidth="1" min="10" max="10" width="5.13"/>
    <col customWidth="1" min="11" max="11" width="3.88"/>
    <col customWidth="1" min="12" max="13" width="1.38"/>
    <col customWidth="1" min="14" max="14" width="5.13"/>
    <col customWidth="1" min="15" max="15" width="3.88"/>
    <col customWidth="1" min="16" max="17" width="1.38"/>
    <col customWidth="1" min="18" max="18" width="5.13"/>
    <col customWidth="1" min="19" max="19" width="3.88"/>
    <col customWidth="1" min="20" max="21" width="1.38"/>
    <col customWidth="1" min="22" max="22" width="5.13"/>
    <col customWidth="1" min="23" max="23" width="3.88"/>
  </cols>
  <sheetData>
    <row r="1">
      <c r="A1" s="98"/>
      <c r="B1" s="98"/>
      <c r="C1" s="98"/>
      <c r="D1" s="98"/>
      <c r="E1" s="98"/>
      <c r="F1" s="98"/>
      <c r="G1" s="98"/>
      <c r="H1" s="98"/>
      <c r="I1" s="98"/>
      <c r="J1" s="98"/>
      <c r="K1" s="98"/>
      <c r="L1" s="98"/>
      <c r="M1" s="98"/>
      <c r="N1" s="98"/>
      <c r="O1" s="98"/>
      <c r="P1" s="98"/>
      <c r="Q1" s="98"/>
      <c r="R1" s="98"/>
      <c r="S1" s="98"/>
      <c r="T1" s="98"/>
      <c r="U1" s="98"/>
      <c r="V1" s="98"/>
      <c r="W1" s="98"/>
      <c r="X1" s="98"/>
    </row>
    <row r="2">
      <c r="A2" s="98"/>
      <c r="B2" s="100" t="s">
        <v>43</v>
      </c>
      <c r="X2" s="98"/>
    </row>
    <row r="3">
      <c r="A3" s="98"/>
      <c r="B3" s="98"/>
      <c r="C3" s="101"/>
      <c r="D3" s="102"/>
      <c r="E3" s="102"/>
      <c r="F3" s="101"/>
      <c r="G3" s="101"/>
      <c r="H3" s="102"/>
      <c r="I3" s="102"/>
      <c r="J3" s="103" t="s">
        <v>27</v>
      </c>
      <c r="L3" s="103"/>
      <c r="M3" s="103"/>
      <c r="N3" s="104">
        <v>100.0</v>
      </c>
      <c r="P3" s="102"/>
      <c r="Q3" s="102"/>
      <c r="R3" s="101"/>
      <c r="S3" s="101"/>
      <c r="T3" s="102"/>
      <c r="U3" s="102"/>
      <c r="V3" s="101"/>
      <c r="W3" s="101"/>
      <c r="X3" s="98"/>
    </row>
    <row r="4" ht="23.25" customHeight="1">
      <c r="A4" s="98"/>
      <c r="B4" s="101"/>
      <c r="C4" s="101"/>
      <c r="D4" s="101"/>
      <c r="E4" s="101"/>
      <c r="F4" s="101"/>
      <c r="G4" s="101"/>
      <c r="H4" s="101"/>
      <c r="I4" s="101"/>
      <c r="J4" s="101"/>
      <c r="K4" s="101"/>
      <c r="L4" s="101"/>
      <c r="M4" s="101"/>
      <c r="N4" s="101"/>
      <c r="O4" s="101"/>
      <c r="P4" s="101"/>
      <c r="Q4" s="101"/>
      <c r="R4" s="101"/>
      <c r="S4" s="101"/>
      <c r="T4" s="101"/>
      <c r="U4" s="101"/>
      <c r="V4" s="101"/>
      <c r="W4" s="101"/>
      <c r="X4" s="98"/>
    </row>
    <row r="5" ht="105.75" customHeight="1">
      <c r="A5" s="98"/>
      <c r="B5" s="101"/>
      <c r="C5" s="101"/>
      <c r="D5" s="101"/>
      <c r="E5" s="101"/>
      <c r="F5" s="101"/>
      <c r="G5" s="101"/>
      <c r="H5" s="101"/>
      <c r="I5" s="101"/>
      <c r="J5" s="105" t="str">
        <f>IMAGE("https://i.postimg.cc/3R08Xr3g/laviee-big.png", 3)</f>
        <v/>
      </c>
      <c r="K5" s="106"/>
      <c r="L5" s="106"/>
      <c r="M5" s="106"/>
      <c r="N5" s="106"/>
      <c r="O5" s="107"/>
      <c r="P5" s="101"/>
      <c r="Q5" s="101"/>
      <c r="R5" s="101"/>
      <c r="S5" s="101"/>
      <c r="T5" s="101"/>
      <c r="U5" s="101"/>
      <c r="V5" s="101"/>
      <c r="W5" s="101"/>
      <c r="X5" s="98"/>
    </row>
    <row r="6" ht="27.0" customHeight="1">
      <c r="A6" s="98"/>
      <c r="B6" s="101"/>
      <c r="C6" s="101"/>
      <c r="D6" s="101"/>
      <c r="E6" s="101"/>
      <c r="F6" s="101"/>
      <c r="G6" s="101"/>
      <c r="H6" s="101"/>
      <c r="I6" s="101"/>
      <c r="J6" s="110" t="str">
        <f>IMAGE("https://i.postimg.cc/13tRMrH0/black-i.png",3)</f>
        <v/>
      </c>
      <c r="K6" s="111"/>
      <c r="L6" s="111"/>
      <c r="M6" s="113" t="str">
        <f>IMAGE("https://i.postimg.cc/htfgVPDp/teddy-ribbon-i.png", 3)</f>
        <v/>
      </c>
      <c r="N6" s="111"/>
      <c r="O6" s="114"/>
      <c r="P6" s="101"/>
      <c r="Q6" s="101"/>
      <c r="R6" s="101"/>
      <c r="S6" s="101"/>
      <c r="T6" s="101"/>
      <c r="U6" s="101"/>
      <c r="V6" s="101"/>
      <c r="W6" s="101"/>
      <c r="X6" s="98"/>
    </row>
    <row r="7" ht="25.5" customHeight="1">
      <c r="A7" s="98"/>
      <c r="B7" s="101"/>
      <c r="C7" s="101"/>
      <c r="D7" s="101"/>
      <c r="E7" s="101"/>
      <c r="F7" s="101"/>
      <c r="G7" s="101"/>
      <c r="H7" s="101"/>
      <c r="I7" s="101"/>
      <c r="J7" s="101"/>
      <c r="K7" s="101"/>
      <c r="L7" s="101"/>
      <c r="M7" s="101"/>
      <c r="N7" s="101"/>
      <c r="O7" s="101"/>
      <c r="P7" s="101"/>
      <c r="Q7" s="101"/>
      <c r="R7" s="101"/>
      <c r="S7" s="101"/>
      <c r="T7" s="101"/>
      <c r="U7" s="101"/>
      <c r="V7" s="101"/>
      <c r="W7" s="101"/>
      <c r="X7" s="98"/>
    </row>
    <row r="8" ht="24.75" customHeight="1">
      <c r="A8" s="115"/>
      <c r="B8" s="117" t="s">
        <v>32</v>
      </c>
      <c r="X8" s="115"/>
    </row>
    <row r="9" ht="56.25" customHeight="1" outlineLevel="1">
      <c r="A9" s="98"/>
      <c r="B9" s="101"/>
      <c r="D9" s="101"/>
      <c r="E9" s="101"/>
      <c r="F9" s="101"/>
      <c r="H9" s="101"/>
      <c r="I9" s="101"/>
      <c r="J9" s="101"/>
      <c r="L9" s="101"/>
      <c r="M9" s="101"/>
      <c r="N9" s="101"/>
      <c r="P9" s="101"/>
      <c r="Q9" s="101"/>
      <c r="R9" s="101"/>
      <c r="T9" s="101"/>
      <c r="U9" s="101"/>
      <c r="V9" s="101"/>
      <c r="X9" s="98"/>
    </row>
    <row r="10" ht="17.25" customHeight="1">
      <c r="A10" s="115"/>
      <c r="B10" s="125"/>
      <c r="C10" s="125"/>
      <c r="D10" s="125"/>
      <c r="E10" s="125"/>
      <c r="F10" s="125"/>
      <c r="G10" s="125"/>
      <c r="H10" s="125"/>
      <c r="I10" s="125"/>
      <c r="J10" s="125"/>
      <c r="K10" s="125"/>
      <c r="L10" s="125"/>
      <c r="M10" s="125"/>
      <c r="N10" s="125"/>
      <c r="O10" s="125"/>
      <c r="P10" s="125"/>
      <c r="Q10" s="125"/>
      <c r="R10" s="125"/>
      <c r="S10" s="125"/>
      <c r="T10" s="125"/>
      <c r="U10" s="125"/>
      <c r="V10" s="125"/>
      <c r="W10" s="125"/>
      <c r="X10" s="115"/>
    </row>
    <row r="11" ht="24.75" customHeight="1">
      <c r="A11" s="98"/>
      <c r="B11" s="131" t="s">
        <v>33</v>
      </c>
      <c r="X11" s="98"/>
    </row>
    <row r="12" ht="56.25" customHeight="1">
      <c r="A12" s="98"/>
      <c r="B12" s="101" t="str">
        <f>IF(C13, image(Hats!$F$2, 3), )</f>
        <v/>
      </c>
      <c r="D12" s="101"/>
      <c r="E12" s="101"/>
      <c r="F12" s="101" t="str">
        <f>IMAGE(Hats!$F$3, 3)</f>
        <v/>
      </c>
      <c r="H12" s="101"/>
      <c r="I12" s="101"/>
      <c r="J12" s="101" t="str">
        <f>IF(K13, image(Hats!$F$4, 3), )</f>
        <v/>
      </c>
      <c r="L12" s="101"/>
      <c r="M12" s="101"/>
      <c r="N12" s="101" t="str">
        <f>IMAGE(Hats!$F$5, 3)</f>
        <v/>
      </c>
      <c r="P12" s="101"/>
      <c r="Q12" s="101"/>
      <c r="R12" s="101" t="str">
        <f>IF(S13, image(Hats!$F$6, 3), )</f>
        <v/>
      </c>
      <c r="T12" s="101"/>
      <c r="U12" s="101"/>
      <c r="V12" s="101" t="str">
        <f>IF(W13, image(Hats!$F$7, 3), )</f>
        <v/>
      </c>
      <c r="X12" s="98"/>
    </row>
    <row r="13">
      <c r="A13" s="98"/>
      <c r="B13" s="129" t="str">
        <f>Hats!$C$2</f>
        <v>AA01</v>
      </c>
      <c r="C13" s="129">
        <v>0.0</v>
      </c>
      <c r="D13" s="129"/>
      <c r="E13" s="129"/>
      <c r="F13" s="129" t="str">
        <f>Hats!$C$3</f>
        <v>AA02</v>
      </c>
      <c r="G13" s="129">
        <v>0.0</v>
      </c>
      <c r="H13" s="129"/>
      <c r="I13" s="129"/>
      <c r="J13" s="129" t="str">
        <f>Hats!$C$4</f>
        <v>AA03</v>
      </c>
      <c r="K13" s="129">
        <v>0.0</v>
      </c>
      <c r="L13" s="129"/>
      <c r="M13" s="129"/>
      <c r="N13" s="129" t="str">
        <f>Hats!$C$5</f>
        <v>AA04</v>
      </c>
      <c r="O13" s="129">
        <v>0.0</v>
      </c>
      <c r="P13" s="129"/>
      <c r="Q13" s="129"/>
      <c r="R13" s="129" t="str">
        <f>Hats!$C$6</f>
        <v>AB01</v>
      </c>
      <c r="S13" s="129">
        <v>0.0</v>
      </c>
      <c r="T13" s="129"/>
      <c r="U13" s="129"/>
      <c r="V13" s="129" t="str">
        <f>Hats!$C$7</f>
        <v>AB02</v>
      </c>
      <c r="W13" s="129">
        <v>0.0</v>
      </c>
      <c r="X13" s="98"/>
    </row>
    <row r="14">
      <c r="A14" s="98"/>
      <c r="B14" s="98"/>
      <c r="C14" s="98"/>
      <c r="D14" s="98"/>
      <c r="E14" s="98"/>
      <c r="F14" s="98"/>
      <c r="G14" s="98"/>
      <c r="H14" s="98"/>
      <c r="I14" s="98"/>
      <c r="J14" s="98"/>
      <c r="K14" s="98"/>
      <c r="L14" s="98"/>
      <c r="M14" s="98"/>
      <c r="N14" s="98"/>
      <c r="O14" s="98"/>
      <c r="P14" s="98"/>
      <c r="Q14" s="98"/>
      <c r="R14" s="98"/>
      <c r="S14" s="98"/>
      <c r="T14" s="98"/>
      <c r="U14" s="98"/>
      <c r="V14" s="98"/>
      <c r="W14" s="98"/>
      <c r="X14" s="98"/>
    </row>
    <row r="15" ht="56.25" customHeight="1">
      <c r="A15" s="98"/>
      <c r="B15" s="101" t="str">
        <f>IF(C16, image(Hats!$F$8, 3), )</f>
        <v/>
      </c>
      <c r="D15" s="101"/>
      <c r="E15" s="101"/>
      <c r="F15" s="101" t="str">
        <f>IF(G16, image(Hats!$F$9, 3), )</f>
        <v/>
      </c>
      <c r="H15" s="101"/>
      <c r="I15" s="101"/>
      <c r="J15" s="101" t="str">
        <f>IF(K16, image(Hats!$F$10, 3), )</f>
        <v/>
      </c>
      <c r="L15" s="101"/>
      <c r="M15" s="101"/>
      <c r="N15" s="101" t="str">
        <f>IF(O16, image(Hats!$F$11, 3), )</f>
        <v/>
      </c>
      <c r="P15" s="101"/>
      <c r="Q15" s="101"/>
      <c r="R15" s="101" t="str">
        <f>IF(S16, image(Hats!$F$18, 3), )</f>
        <v/>
      </c>
      <c r="T15" s="101"/>
      <c r="U15" s="101"/>
      <c r="V15" s="101" t="str">
        <f>IF(W16, image(Hats!$F$19, 3), )</f>
        <v/>
      </c>
      <c r="X15" s="98"/>
    </row>
    <row r="16">
      <c r="A16" s="98"/>
      <c r="B16" s="129" t="str">
        <f>Hats!$C$8</f>
        <v>AB03</v>
      </c>
      <c r="C16" s="129">
        <v>0.0</v>
      </c>
      <c r="D16" s="129"/>
      <c r="E16" s="129"/>
      <c r="F16" s="129" t="str">
        <f>Hats!$C$9</f>
        <v>AB04</v>
      </c>
      <c r="G16" s="129">
        <v>0.0</v>
      </c>
      <c r="H16" s="129"/>
      <c r="I16" s="129"/>
      <c r="J16" s="129" t="str">
        <f>Hats!$C$10</f>
        <v>AB05</v>
      </c>
      <c r="K16" s="129">
        <v>0.0</v>
      </c>
      <c r="L16" s="129"/>
      <c r="M16" s="129"/>
      <c r="N16" s="129" t="str">
        <f>Hats!$C$11</f>
        <v>AB06</v>
      </c>
      <c r="O16" s="129">
        <v>0.0</v>
      </c>
      <c r="P16" s="129"/>
      <c r="Q16" s="129"/>
      <c r="R16" s="129" t="str">
        <f>Hats!$C$22</f>
        <v>AC05</v>
      </c>
      <c r="S16" s="129">
        <v>1.0</v>
      </c>
      <c r="T16" s="129"/>
      <c r="U16" s="129"/>
      <c r="V16" s="129" t="str">
        <f>Hats!$C$19</f>
        <v>AC02</v>
      </c>
      <c r="W16" s="129">
        <v>0.0</v>
      </c>
      <c r="X16" s="98"/>
    </row>
    <row r="17">
      <c r="A17" s="98"/>
      <c r="B17" s="98"/>
      <c r="C17" s="98"/>
      <c r="D17" s="98"/>
      <c r="E17" s="98"/>
      <c r="F17" s="98"/>
      <c r="G17" s="98"/>
      <c r="H17" s="98"/>
      <c r="I17" s="98"/>
      <c r="J17" s="98"/>
      <c r="K17" s="98"/>
      <c r="L17" s="98"/>
      <c r="M17" s="98"/>
      <c r="N17" s="98"/>
      <c r="O17" s="98"/>
      <c r="P17" s="98"/>
      <c r="Q17" s="98"/>
      <c r="R17" s="98"/>
      <c r="S17" s="98"/>
      <c r="T17" s="98"/>
      <c r="U17" s="98"/>
      <c r="V17" s="98"/>
      <c r="W17" s="98"/>
      <c r="X17" s="98"/>
    </row>
    <row r="18" ht="56.25" customHeight="1">
      <c r="A18" s="98"/>
      <c r="B18" s="101" t="str">
        <f>IF(C19, image(Hats!$F$20, 3), )</f>
        <v/>
      </c>
      <c r="D18" s="101"/>
      <c r="E18" s="101"/>
      <c r="F18" s="101" t="str">
        <f>IF(G19, image(Hats!$F$21, 3), )</f>
        <v/>
      </c>
      <c r="H18" s="101"/>
      <c r="I18" s="101"/>
      <c r="J18" s="101" t="str">
        <f>IF(K19, image(Hats!$F$22, 3), )</f>
        <v/>
      </c>
      <c r="L18" s="101"/>
      <c r="M18" s="101"/>
      <c r="N18" s="101" t="str">
        <f>IF(O19, image(Hats!$F$23, 3), )</f>
        <v/>
      </c>
      <c r="P18" s="101"/>
      <c r="Q18" s="101"/>
      <c r="R18" s="101" t="str">
        <f>IF(S19, image(Hats!$F$24, 3), )</f>
        <v/>
      </c>
      <c r="T18" s="101"/>
      <c r="U18" s="101"/>
      <c r="V18" s="101" t="str">
        <f>IF(W19, image(Hats!$F$25, 3), )</f>
        <v/>
      </c>
      <c r="X18" s="98"/>
    </row>
    <row r="19">
      <c r="A19" s="98"/>
      <c r="B19" s="129" t="str">
        <f>Hats!$C$20</f>
        <v>AC03</v>
      </c>
      <c r="C19" s="129">
        <v>1.0</v>
      </c>
      <c r="D19" s="129"/>
      <c r="E19" s="129"/>
      <c r="F19" s="129" t="str">
        <f>Hats!$C$21</f>
        <v>AC04</v>
      </c>
      <c r="G19" s="129">
        <v>0.0</v>
      </c>
      <c r="H19" s="129"/>
      <c r="I19" s="129"/>
      <c r="J19" s="129" t="str">
        <f>Hats!$C$22</f>
        <v>AC05</v>
      </c>
      <c r="K19" s="129">
        <v>2.0</v>
      </c>
      <c r="L19" s="129"/>
      <c r="M19" s="129"/>
      <c r="N19" s="129" t="str">
        <f>Hats!$C$23</f>
        <v>AC06</v>
      </c>
      <c r="O19" s="129">
        <v>0.0</v>
      </c>
      <c r="P19" s="129"/>
      <c r="Q19" s="129"/>
      <c r="R19" s="129" t="str">
        <f>Hats!$C$24</f>
        <v>AC07</v>
      </c>
      <c r="S19" s="129">
        <v>1.0</v>
      </c>
      <c r="T19" s="129"/>
      <c r="U19" s="129"/>
      <c r="V19" s="129" t="str">
        <f>Hats!$C$25</f>
        <v>AC08</v>
      </c>
      <c r="W19" s="129">
        <v>1.0</v>
      </c>
      <c r="X19" s="98"/>
    </row>
    <row r="20">
      <c r="A20" s="98"/>
      <c r="B20" s="98"/>
      <c r="C20" s="98"/>
      <c r="D20" s="98"/>
      <c r="E20" s="98"/>
      <c r="F20" s="98"/>
      <c r="G20" s="98"/>
      <c r="H20" s="98"/>
      <c r="I20" s="98"/>
      <c r="J20" s="98"/>
      <c r="K20" s="98"/>
      <c r="L20" s="98"/>
      <c r="M20" s="98"/>
      <c r="N20" s="98"/>
      <c r="O20" s="98"/>
      <c r="P20" s="98"/>
      <c r="Q20" s="98"/>
      <c r="R20" s="98"/>
      <c r="S20" s="98"/>
      <c r="T20" s="98"/>
      <c r="U20" s="98"/>
      <c r="V20" s="98"/>
      <c r="W20" s="98"/>
      <c r="X20" s="98"/>
    </row>
    <row r="21" ht="56.25" customHeight="1">
      <c r="A21" s="98"/>
      <c r="B21" s="101" t="str">
        <f>IF(C22, image(Hats!$F$26, 3), )</f>
        <v/>
      </c>
      <c r="D21" s="101"/>
      <c r="E21" s="101"/>
      <c r="F21" s="101" t="str">
        <f>IMAGE(Hats!$F$27, 3)</f>
        <v/>
      </c>
      <c r="H21" s="101"/>
      <c r="I21" s="101"/>
      <c r="J21" s="101" t="str">
        <f>IF(K22, image(Hats!$F$28, 3), )</f>
        <v/>
      </c>
      <c r="L21" s="101"/>
      <c r="M21" s="101"/>
      <c r="N21" s="101" t="str">
        <f>IF(O22, image(Hats!$F$29, 3), )</f>
        <v/>
      </c>
      <c r="P21" s="101"/>
      <c r="Q21" s="101"/>
      <c r="R21" s="101" t="str">
        <f>IF(S22, image(Hats!$F$30, 3), )</f>
        <v/>
      </c>
      <c r="T21" s="101"/>
      <c r="U21" s="101"/>
      <c r="V21" s="101" t="str">
        <f>IF(W22, image(Hats!$F$31, 3), )</f>
        <v/>
      </c>
      <c r="X21" s="98"/>
    </row>
    <row r="22">
      <c r="A22" s="98"/>
      <c r="B22" s="129" t="str">
        <f>Hats!$C$26</f>
        <v>AC09</v>
      </c>
      <c r="C22" s="129">
        <v>1.0</v>
      </c>
      <c r="D22" s="129"/>
      <c r="E22" s="129"/>
      <c r="F22" s="129" t="str">
        <f>Hats!$C$27</f>
        <v>AC10</v>
      </c>
      <c r="G22" s="129">
        <v>1.0</v>
      </c>
      <c r="H22" s="129"/>
      <c r="I22" s="129"/>
      <c r="J22" s="129" t="str">
        <f>Hats!$C$28</f>
        <v>AC11</v>
      </c>
      <c r="K22" s="129">
        <v>0.0</v>
      </c>
      <c r="L22" s="129"/>
      <c r="M22" s="129"/>
      <c r="N22" s="129" t="str">
        <f>Hats!$C$29</f>
        <v>AC12</v>
      </c>
      <c r="O22" s="129">
        <v>1.0</v>
      </c>
      <c r="P22" s="129"/>
      <c r="Q22" s="129"/>
      <c r="R22" s="129" t="str">
        <f>Hats!$C$30</f>
        <v>AC13</v>
      </c>
      <c r="S22" s="129">
        <v>2.0</v>
      </c>
      <c r="T22" s="129"/>
      <c r="U22" s="129"/>
      <c r="V22" s="129" t="str">
        <f>Hats!$C$31</f>
        <v>AC14</v>
      </c>
      <c r="W22" s="129">
        <v>1.0</v>
      </c>
      <c r="X22" s="98"/>
    </row>
    <row r="23">
      <c r="A23" s="98"/>
      <c r="B23" s="98"/>
      <c r="C23" s="98"/>
      <c r="D23" s="98"/>
      <c r="E23" s="98"/>
      <c r="F23" s="98"/>
      <c r="G23" s="98"/>
      <c r="H23" s="98"/>
      <c r="I23" s="98"/>
      <c r="J23" s="98"/>
      <c r="K23" s="98"/>
      <c r="L23" s="98"/>
      <c r="M23" s="98"/>
      <c r="N23" s="98"/>
      <c r="O23" s="98"/>
      <c r="P23" s="98"/>
      <c r="Q23" s="98"/>
      <c r="R23" s="98"/>
      <c r="S23" s="98"/>
      <c r="T23" s="98"/>
      <c r="U23" s="98"/>
      <c r="V23" s="98"/>
      <c r="W23" s="98"/>
      <c r="X23" s="98"/>
    </row>
    <row r="24" ht="56.25" customHeight="1">
      <c r="A24" s="98"/>
      <c r="B24" s="101" t="str">
        <f>IF(C25, image(Hats!$F$32, 3), )</f>
        <v/>
      </c>
      <c r="D24" s="101"/>
      <c r="E24" s="101"/>
      <c r="F24" s="101" t="str">
        <f>IF(G25, image(Hats!$F$33, 3), )</f>
        <v/>
      </c>
      <c r="H24" s="101"/>
      <c r="I24" s="101"/>
      <c r="J24" s="101" t="str">
        <f>IF(K25, image(Hats!$F$34, 3), )</f>
        <v/>
      </c>
      <c r="L24" s="101"/>
      <c r="M24" s="101"/>
      <c r="N24" s="101" t="str">
        <f>IF(O25, image(Hats!$F$35, 3), )</f>
        <v/>
      </c>
      <c r="P24" s="101"/>
      <c r="Q24" s="101"/>
      <c r="R24" s="101" t="str">
        <f>IF(S25, image(Hats!$F$36, 3), )</f>
        <v/>
      </c>
      <c r="T24" s="101"/>
      <c r="U24" s="101"/>
      <c r="V24" s="101" t="str">
        <f>IF(W25, image(Hats!$F$37, 3), )</f>
        <v/>
      </c>
      <c r="X24" s="98"/>
    </row>
    <row r="25">
      <c r="A25" s="98"/>
      <c r="B25" s="129" t="str">
        <f>Hats!$C$32</f>
        <v>AC15</v>
      </c>
      <c r="C25" s="129">
        <v>1.0</v>
      </c>
      <c r="D25" s="129"/>
      <c r="E25" s="129"/>
      <c r="F25" s="129" t="str">
        <f>Hats!$C$33</f>
        <v>AC16</v>
      </c>
      <c r="G25" s="129">
        <v>0.0</v>
      </c>
      <c r="H25" s="129"/>
      <c r="I25" s="129"/>
      <c r="J25" s="129" t="str">
        <f>Hats!$C$34</f>
        <v>AC17</v>
      </c>
      <c r="K25" s="129">
        <v>1.0</v>
      </c>
      <c r="L25" s="129"/>
      <c r="M25" s="129"/>
      <c r="N25" s="129" t="str">
        <f>Hats!$C$35</f>
        <v>AC18</v>
      </c>
      <c r="O25" s="129">
        <v>1.0</v>
      </c>
      <c r="P25" s="129"/>
      <c r="Q25" s="129"/>
      <c r="R25" s="129" t="str">
        <f>Hats!$C$36</f>
        <v>AC19</v>
      </c>
      <c r="S25" s="129">
        <v>0.0</v>
      </c>
      <c r="T25" s="129"/>
      <c r="U25" s="129"/>
      <c r="V25" s="129" t="str">
        <f>Hats!$C$37</f>
        <v>AC20</v>
      </c>
      <c r="W25" s="129">
        <v>0.0</v>
      </c>
      <c r="X25" s="98"/>
    </row>
    <row r="26">
      <c r="A26" s="98"/>
      <c r="B26" s="98"/>
      <c r="C26" s="98"/>
      <c r="D26" s="98"/>
      <c r="E26" s="98"/>
      <c r="F26" s="98"/>
      <c r="G26" s="98"/>
      <c r="H26" s="98"/>
      <c r="I26" s="98"/>
      <c r="J26" s="98"/>
      <c r="K26" s="98"/>
      <c r="L26" s="98"/>
      <c r="M26" s="98"/>
      <c r="N26" s="98"/>
      <c r="O26" s="98"/>
      <c r="P26" s="98"/>
      <c r="Q26" s="98"/>
      <c r="R26" s="98"/>
      <c r="S26" s="98"/>
      <c r="T26" s="98"/>
      <c r="U26" s="98"/>
      <c r="V26" s="98"/>
      <c r="W26" s="98"/>
      <c r="X26" s="98"/>
    </row>
    <row r="27" ht="56.25" customHeight="1">
      <c r="A27" s="98"/>
      <c r="B27" s="101" t="str">
        <f>IF(C28, image(Hats!$F$47, 3), )</f>
        <v/>
      </c>
      <c r="D27" s="101"/>
      <c r="E27" s="101"/>
      <c r="F27" s="101" t="str">
        <f>IF(G28, image(Hats!$F$48, 3), )</f>
        <v/>
      </c>
      <c r="H27" s="101"/>
      <c r="I27" s="101"/>
      <c r="J27" s="101" t="str">
        <f>IF(K28, image(Hats!$F$49, 3), )</f>
        <v/>
      </c>
      <c r="L27" s="101"/>
      <c r="M27" s="101"/>
      <c r="N27" s="101" t="str">
        <f>IF(O28, image(Hats!$F$50, 3), )</f>
        <v/>
      </c>
      <c r="P27" s="101"/>
      <c r="Q27" s="101"/>
      <c r="R27" s="101" t="str">
        <f>IF(S28, image(Hats!$F$40, 3), )</f>
        <v/>
      </c>
      <c r="T27" s="101"/>
      <c r="U27" s="101"/>
      <c r="V27" s="101" t="str">
        <f>IF(W28, image(Hats!$F$42, 3), )</f>
        <v/>
      </c>
      <c r="X27" s="98"/>
    </row>
    <row r="28">
      <c r="A28" s="98"/>
      <c r="B28" s="129" t="str">
        <f>Hats!$C$47</f>
        <v/>
      </c>
      <c r="C28" s="129">
        <v>0.0</v>
      </c>
      <c r="D28" s="129"/>
      <c r="E28" s="129"/>
      <c r="F28" s="129" t="str">
        <f>Hats!$C$48</f>
        <v/>
      </c>
      <c r="G28" s="129">
        <v>0.0</v>
      </c>
      <c r="H28" s="129"/>
      <c r="I28" s="129"/>
      <c r="J28" s="129" t="str">
        <f>Hats!$C$49</f>
        <v/>
      </c>
      <c r="K28" s="129">
        <v>0.0</v>
      </c>
      <c r="L28" s="129"/>
      <c r="M28" s="129"/>
      <c r="N28" s="129" t="str">
        <f>Hats!$C$50</f>
        <v/>
      </c>
      <c r="O28" s="129">
        <v>0.0</v>
      </c>
      <c r="P28" s="129"/>
      <c r="Q28" s="129"/>
      <c r="R28" s="129" t="str">
        <f>Hats!$C$40</f>
        <v/>
      </c>
      <c r="S28" s="129">
        <v>0.0</v>
      </c>
      <c r="T28" s="129"/>
      <c r="U28" s="129"/>
      <c r="V28" s="129" t="str">
        <f>Hats!$C$42</f>
        <v/>
      </c>
      <c r="W28" s="129">
        <v>0.0</v>
      </c>
      <c r="X28" s="98"/>
    </row>
    <row r="29">
      <c r="A29" s="98"/>
      <c r="B29" s="98"/>
      <c r="C29" s="98"/>
      <c r="D29" s="98"/>
      <c r="E29" s="98"/>
      <c r="F29" s="98"/>
      <c r="G29" s="98"/>
      <c r="H29" s="98"/>
      <c r="I29" s="98"/>
      <c r="J29" s="98"/>
      <c r="K29" s="98"/>
      <c r="L29" s="98"/>
      <c r="M29" s="98"/>
      <c r="N29" s="98"/>
      <c r="O29" s="98"/>
      <c r="P29" s="98"/>
      <c r="Q29" s="98"/>
      <c r="R29" s="98"/>
      <c r="S29" s="98"/>
      <c r="T29" s="98"/>
      <c r="U29" s="98"/>
      <c r="V29" s="98"/>
      <c r="W29" s="98"/>
      <c r="X29" s="98"/>
    </row>
    <row r="30">
      <c r="A30" s="98"/>
      <c r="B30" s="98"/>
      <c r="C30" s="98"/>
      <c r="D30" s="98"/>
      <c r="E30" s="98"/>
      <c r="F30" s="98"/>
      <c r="G30" s="98"/>
      <c r="H30" s="98"/>
      <c r="I30" s="98"/>
      <c r="J30" s="98"/>
      <c r="K30" s="98"/>
      <c r="L30" s="98"/>
      <c r="M30" s="98"/>
      <c r="N30" s="98"/>
      <c r="O30" s="98"/>
      <c r="P30" s="98"/>
      <c r="Q30" s="98"/>
      <c r="R30" s="98"/>
      <c r="S30" s="98"/>
      <c r="T30" s="98"/>
      <c r="U30" s="98"/>
      <c r="V30" s="98"/>
      <c r="W30" s="98"/>
      <c r="X30" s="98"/>
    </row>
  </sheetData>
  <mergeCells count="50">
    <mergeCell ref="N27:O27"/>
    <mergeCell ref="R27:S27"/>
    <mergeCell ref="B24:C24"/>
    <mergeCell ref="F24:G24"/>
    <mergeCell ref="J24:K24"/>
    <mergeCell ref="N24:O24"/>
    <mergeCell ref="R24:S24"/>
    <mergeCell ref="V24:W24"/>
    <mergeCell ref="B27:C27"/>
    <mergeCell ref="V27:W27"/>
    <mergeCell ref="B2:W2"/>
    <mergeCell ref="J3:K3"/>
    <mergeCell ref="N3:O3"/>
    <mergeCell ref="J5:O5"/>
    <mergeCell ref="J6:L6"/>
    <mergeCell ref="M6:O6"/>
    <mergeCell ref="B8:W8"/>
    <mergeCell ref="B9:C9"/>
    <mergeCell ref="F9:G9"/>
    <mergeCell ref="J9:K9"/>
    <mergeCell ref="N9:O9"/>
    <mergeCell ref="R9:S9"/>
    <mergeCell ref="V9:W9"/>
    <mergeCell ref="B11:W11"/>
    <mergeCell ref="N15:O15"/>
    <mergeCell ref="R15:S15"/>
    <mergeCell ref="B12:C12"/>
    <mergeCell ref="F12:G12"/>
    <mergeCell ref="J12:K12"/>
    <mergeCell ref="N12:O12"/>
    <mergeCell ref="R12:S12"/>
    <mergeCell ref="V12:W12"/>
    <mergeCell ref="B15:C15"/>
    <mergeCell ref="V15:W15"/>
    <mergeCell ref="F15:G15"/>
    <mergeCell ref="J15:K15"/>
    <mergeCell ref="F18:G18"/>
    <mergeCell ref="J18:K18"/>
    <mergeCell ref="N18:O18"/>
    <mergeCell ref="R18:S18"/>
    <mergeCell ref="V18:W18"/>
    <mergeCell ref="B18:C18"/>
    <mergeCell ref="B21:C21"/>
    <mergeCell ref="F21:G21"/>
    <mergeCell ref="J21:K21"/>
    <mergeCell ref="N21:O21"/>
    <mergeCell ref="R21:S21"/>
    <mergeCell ref="V21:W21"/>
    <mergeCell ref="F27:G27"/>
    <mergeCell ref="J27:K27"/>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A1" s="143" t="s">
        <v>50</v>
      </c>
      <c r="B1" s="143" t="s">
        <v>51</v>
      </c>
      <c r="C1" s="143" t="s">
        <v>413</v>
      </c>
    </row>
    <row r="2">
      <c r="A2" s="144">
        <f t="shared" ref="A2:A7" si="1">date(2022,3,11)</f>
        <v>44631</v>
      </c>
      <c r="B2" s="145" t="s">
        <v>43</v>
      </c>
      <c r="C2" s="145" t="s">
        <v>141</v>
      </c>
    </row>
    <row r="3">
      <c r="A3" s="144">
        <f t="shared" si="1"/>
        <v>44631</v>
      </c>
      <c r="B3" s="145" t="s">
        <v>43</v>
      </c>
      <c r="C3" s="145" t="s">
        <v>36</v>
      </c>
    </row>
    <row r="4">
      <c r="A4" s="144">
        <f t="shared" si="1"/>
        <v>44631</v>
      </c>
      <c r="B4" s="145" t="s">
        <v>415</v>
      </c>
      <c r="C4" s="145" t="s">
        <v>91</v>
      </c>
    </row>
    <row r="5">
      <c r="A5" s="144">
        <f t="shared" si="1"/>
        <v>44631</v>
      </c>
      <c r="B5" s="145" t="s">
        <v>43</v>
      </c>
      <c r="C5" s="145" t="s">
        <v>80</v>
      </c>
    </row>
    <row r="6">
      <c r="A6" s="144">
        <f t="shared" si="1"/>
        <v>44631</v>
      </c>
      <c r="B6" s="145" t="s">
        <v>43</v>
      </c>
      <c r="C6" s="145" t="s">
        <v>141</v>
      </c>
    </row>
    <row r="7">
      <c r="A7" s="144">
        <f t="shared" si="1"/>
        <v>44631</v>
      </c>
      <c r="B7" s="145" t="s">
        <v>43</v>
      </c>
      <c r="C7" s="145" t="s">
        <v>88</v>
      </c>
    </row>
  </sheetData>
  <conditionalFormatting sqref="A1:C1">
    <cfRule type="colorScale" priority="1">
      <colorScale>
        <cfvo type="min"/>
        <cfvo type="max"/>
        <color rgb="FF57BB8A"/>
        <color rgb="FFFFFFFF"/>
      </colorScale>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3.75"/>
    <col customWidth="1" min="2" max="2" width="14.5"/>
    <col customWidth="1" min="3" max="3" width="15.25"/>
    <col customWidth="1" min="4" max="4" width="14.25"/>
    <col customWidth="1" min="5" max="5" width="16.0"/>
    <col customWidth="1" min="6" max="6" width="18.88"/>
    <col customWidth="1" min="7" max="7" width="14.75"/>
    <col customWidth="1" min="9" max="9" width="14.88"/>
    <col customWidth="1" min="11" max="11" width="16.0"/>
    <col customWidth="1" min="12" max="12" width="17.25"/>
  </cols>
  <sheetData>
    <row r="1">
      <c r="A1" s="195" t="s">
        <v>414</v>
      </c>
      <c r="E1" s="195"/>
      <c r="F1" s="195"/>
      <c r="G1" s="195"/>
      <c r="H1" s="195"/>
      <c r="I1" s="195"/>
      <c r="J1" s="195"/>
      <c r="K1" s="195"/>
      <c r="L1" s="195"/>
      <c r="M1" s="196"/>
      <c r="N1" s="196"/>
      <c r="O1" s="196"/>
      <c r="P1" s="196"/>
      <c r="Q1" s="196"/>
      <c r="R1" s="196"/>
      <c r="S1" s="196"/>
      <c r="T1" s="196"/>
      <c r="U1" s="196"/>
      <c r="V1" s="196"/>
      <c r="W1" s="196"/>
      <c r="X1" s="196"/>
      <c r="Y1" s="196"/>
      <c r="Z1" s="196"/>
      <c r="AA1" s="196"/>
    </row>
    <row r="2">
      <c r="A2" s="194" t="s">
        <v>416</v>
      </c>
      <c r="E2" s="197" t="s">
        <v>417</v>
      </c>
      <c r="J2" s="197" t="s">
        <v>418</v>
      </c>
      <c r="O2" s="196"/>
      <c r="P2" s="196"/>
      <c r="Q2" s="196"/>
      <c r="R2" s="196"/>
      <c r="S2" s="196"/>
      <c r="T2" s="196"/>
      <c r="U2" s="196"/>
      <c r="V2" s="196"/>
      <c r="W2" s="196"/>
      <c r="X2" s="196"/>
      <c r="Y2" s="196"/>
      <c r="Z2" s="196"/>
      <c r="AA2" s="196"/>
    </row>
    <row r="3">
      <c r="A3" s="195"/>
      <c r="B3" s="195"/>
      <c r="C3" s="195"/>
      <c r="D3" s="195"/>
      <c r="E3" s="195"/>
      <c r="F3" s="195"/>
      <c r="G3" s="195"/>
      <c r="H3" s="195"/>
      <c r="I3" s="195"/>
      <c r="J3" s="195"/>
      <c r="K3" s="195"/>
      <c r="L3" s="195"/>
      <c r="M3" s="196"/>
      <c r="N3" s="196"/>
      <c r="O3" s="196"/>
      <c r="P3" s="196"/>
      <c r="Q3" s="196"/>
      <c r="R3" s="196"/>
      <c r="S3" s="196"/>
      <c r="T3" s="196"/>
      <c r="U3" s="196"/>
      <c r="V3" s="196"/>
      <c r="W3" s="196"/>
      <c r="X3" s="196"/>
      <c r="Y3" s="196"/>
      <c r="Z3" s="196"/>
      <c r="AA3" s="196"/>
    </row>
    <row r="4">
      <c r="A4" s="195" t="s">
        <v>419</v>
      </c>
      <c r="B4" s="195" t="s">
        <v>420</v>
      </c>
      <c r="C4" s="195" t="s">
        <v>421</v>
      </c>
      <c r="D4" s="195" t="s">
        <v>422</v>
      </c>
      <c r="E4" s="195" t="s">
        <v>423</v>
      </c>
      <c r="F4" s="195" t="s">
        <v>424</v>
      </c>
      <c r="G4" s="195" t="s">
        <v>425</v>
      </c>
      <c r="H4" s="195" t="s">
        <v>426</v>
      </c>
      <c r="I4" s="195" t="s">
        <v>427</v>
      </c>
      <c r="J4" s="195" t="s">
        <v>428</v>
      </c>
      <c r="K4" s="195" t="s">
        <v>429</v>
      </c>
      <c r="L4" s="195" t="s">
        <v>430</v>
      </c>
      <c r="M4" s="195" t="s">
        <v>431</v>
      </c>
      <c r="N4" s="196"/>
      <c r="O4" s="196"/>
      <c r="P4" s="196"/>
      <c r="Q4" s="196"/>
      <c r="R4" s="196"/>
      <c r="S4" s="196"/>
      <c r="T4" s="196"/>
      <c r="U4" s="196"/>
      <c r="V4" s="196"/>
      <c r="W4" s="196"/>
      <c r="X4" s="196"/>
      <c r="Y4" s="196"/>
      <c r="Z4" s="196"/>
      <c r="AA4" s="196"/>
    </row>
    <row r="5">
      <c r="A5" s="198"/>
      <c r="B5" s="198"/>
      <c r="C5" s="199" t="s">
        <v>432</v>
      </c>
      <c r="D5" s="199" t="s">
        <v>433</v>
      </c>
      <c r="E5" s="199" t="s">
        <v>434</v>
      </c>
      <c r="F5" s="200" t="s">
        <v>435</v>
      </c>
      <c r="G5" s="199" t="s">
        <v>436</v>
      </c>
      <c r="H5" s="198"/>
      <c r="I5" s="199" t="s">
        <v>437</v>
      </c>
      <c r="J5" s="199" t="s">
        <v>438</v>
      </c>
      <c r="K5" s="199" t="s">
        <v>439</v>
      </c>
      <c r="L5" s="145" t="s">
        <v>440</v>
      </c>
      <c r="M5" s="200" t="s">
        <v>441</v>
      </c>
      <c r="N5" s="198"/>
      <c r="O5" s="198"/>
      <c r="P5" s="198"/>
      <c r="Q5" s="198"/>
      <c r="R5" s="198"/>
      <c r="S5" s="198"/>
      <c r="T5" s="198"/>
      <c r="U5" s="198"/>
      <c r="V5" s="198"/>
      <c r="W5" s="198"/>
      <c r="X5" s="198"/>
      <c r="Y5" s="198"/>
      <c r="Z5" s="198"/>
      <c r="AA5" s="198"/>
    </row>
    <row r="6">
      <c r="A6" s="198"/>
      <c r="B6" s="198"/>
      <c r="C6" s="199" t="s">
        <v>442</v>
      </c>
      <c r="D6" s="198"/>
      <c r="E6" s="199" t="s">
        <v>443</v>
      </c>
      <c r="F6" s="200" t="s">
        <v>444</v>
      </c>
      <c r="G6" s="199" t="s">
        <v>445</v>
      </c>
      <c r="H6" s="198"/>
      <c r="I6" s="199" t="s">
        <v>446</v>
      </c>
      <c r="J6" s="198"/>
      <c r="K6" s="199" t="s">
        <v>447</v>
      </c>
      <c r="M6" s="198"/>
      <c r="N6" s="198"/>
      <c r="O6" s="198"/>
      <c r="P6" s="198"/>
      <c r="Q6" s="198"/>
      <c r="R6" s="198"/>
      <c r="S6" s="198"/>
      <c r="T6" s="198"/>
      <c r="U6" s="198"/>
      <c r="V6" s="198"/>
      <c r="W6" s="198"/>
      <c r="X6" s="198"/>
      <c r="Y6" s="198"/>
      <c r="Z6" s="198"/>
      <c r="AA6" s="198"/>
    </row>
    <row r="7">
      <c r="A7" s="198"/>
      <c r="B7" s="198"/>
      <c r="C7" s="200" t="s">
        <v>448</v>
      </c>
      <c r="D7" s="198"/>
      <c r="E7" s="199" t="s">
        <v>449</v>
      </c>
      <c r="F7" s="200" t="s">
        <v>450</v>
      </c>
      <c r="G7" s="199" t="s">
        <v>451</v>
      </c>
      <c r="H7" s="198"/>
      <c r="I7" s="199" t="s">
        <v>452</v>
      </c>
      <c r="J7" s="198"/>
      <c r="K7" s="198"/>
      <c r="M7" s="198"/>
      <c r="N7" s="198"/>
      <c r="O7" s="198"/>
      <c r="P7" s="198"/>
      <c r="Q7" s="198"/>
      <c r="R7" s="198"/>
      <c r="S7" s="198"/>
      <c r="T7" s="198"/>
      <c r="U7" s="198"/>
      <c r="V7" s="198"/>
      <c r="W7" s="198"/>
      <c r="X7" s="198"/>
      <c r="Y7" s="198"/>
      <c r="Z7" s="198"/>
      <c r="AA7" s="198"/>
    </row>
    <row r="8">
      <c r="A8" s="198"/>
      <c r="B8" s="198"/>
      <c r="C8" s="200" t="s">
        <v>453</v>
      </c>
      <c r="D8" s="198"/>
      <c r="E8" s="199" t="s">
        <v>454</v>
      </c>
      <c r="F8" s="200" t="s">
        <v>455</v>
      </c>
      <c r="G8" s="199" t="s">
        <v>456</v>
      </c>
      <c r="H8" s="198"/>
      <c r="I8" s="199" t="s">
        <v>457</v>
      </c>
      <c r="J8" s="198"/>
      <c r="K8" s="198"/>
      <c r="M8" s="198"/>
      <c r="N8" s="198"/>
      <c r="O8" s="198"/>
      <c r="P8" s="198"/>
      <c r="Q8" s="198"/>
      <c r="R8" s="198"/>
      <c r="S8" s="198"/>
      <c r="T8" s="198"/>
      <c r="U8" s="198"/>
      <c r="V8" s="198"/>
      <c r="W8" s="198"/>
      <c r="X8" s="198"/>
      <c r="Y8" s="198"/>
      <c r="Z8" s="198"/>
      <c r="AA8" s="198"/>
    </row>
    <row r="9">
      <c r="A9" s="198"/>
      <c r="B9" s="198"/>
      <c r="C9" s="198"/>
      <c r="D9" s="198"/>
      <c r="E9" s="200" t="s">
        <v>458</v>
      </c>
      <c r="F9" s="200" t="s">
        <v>459</v>
      </c>
      <c r="G9" s="199" t="s">
        <v>460</v>
      </c>
      <c r="H9" s="198"/>
      <c r="I9" s="200" t="s">
        <v>461</v>
      </c>
      <c r="J9" s="198"/>
      <c r="K9" s="198"/>
      <c r="M9" s="198"/>
      <c r="N9" s="198"/>
      <c r="O9" s="198"/>
      <c r="P9" s="198"/>
      <c r="Q9" s="198"/>
      <c r="R9" s="198"/>
      <c r="S9" s="198"/>
      <c r="T9" s="198"/>
      <c r="U9" s="198"/>
      <c r="V9" s="198"/>
      <c r="W9" s="198"/>
      <c r="X9" s="198"/>
      <c r="Y9" s="198"/>
      <c r="Z9" s="198"/>
      <c r="AA9" s="198"/>
    </row>
    <row r="10">
      <c r="A10" s="198"/>
      <c r="B10" s="198"/>
      <c r="C10" s="198"/>
      <c r="D10" s="198"/>
      <c r="E10" s="200" t="s">
        <v>462</v>
      </c>
      <c r="G10" s="200" t="s">
        <v>463</v>
      </c>
      <c r="H10" s="198"/>
      <c r="I10" s="200" t="s">
        <v>464</v>
      </c>
      <c r="J10" s="198"/>
      <c r="K10" s="198"/>
      <c r="M10" s="198"/>
      <c r="N10" s="198"/>
      <c r="O10" s="198"/>
      <c r="P10" s="198"/>
      <c r="Q10" s="198"/>
      <c r="R10" s="198"/>
      <c r="S10" s="198"/>
      <c r="T10" s="198"/>
      <c r="U10" s="198"/>
      <c r="V10" s="198"/>
      <c r="W10" s="198"/>
      <c r="X10" s="198"/>
      <c r="Y10" s="198"/>
      <c r="Z10" s="198"/>
      <c r="AA10" s="198"/>
    </row>
    <row r="11">
      <c r="A11" s="198"/>
      <c r="B11" s="198"/>
      <c r="C11" s="198"/>
      <c r="D11" s="198"/>
      <c r="E11" s="200" t="s">
        <v>465</v>
      </c>
      <c r="F11" s="198"/>
      <c r="G11" s="198"/>
      <c r="H11" s="198"/>
      <c r="I11" s="198"/>
      <c r="J11" s="198"/>
      <c r="K11" s="198"/>
      <c r="M11" s="198"/>
      <c r="N11" s="198"/>
      <c r="O11" s="198"/>
      <c r="P11" s="198"/>
      <c r="Q11" s="198"/>
      <c r="R11" s="198"/>
      <c r="S11" s="198"/>
      <c r="T11" s="198"/>
      <c r="U11" s="198"/>
      <c r="V11" s="198"/>
      <c r="W11" s="198"/>
      <c r="X11" s="198"/>
      <c r="Y11" s="198"/>
      <c r="Z11" s="198"/>
      <c r="AA11" s="198"/>
    </row>
    <row r="12">
      <c r="A12" s="198"/>
      <c r="B12" s="198"/>
      <c r="C12" s="198"/>
      <c r="D12" s="198"/>
      <c r="E12" s="198"/>
      <c r="F12" s="198"/>
      <c r="G12" s="198"/>
      <c r="H12" s="198"/>
      <c r="I12" s="198"/>
      <c r="J12" s="198"/>
      <c r="K12" s="198"/>
      <c r="M12" s="198"/>
      <c r="N12" s="198"/>
      <c r="O12" s="198"/>
      <c r="P12" s="198"/>
      <c r="Q12" s="198"/>
      <c r="R12" s="198"/>
      <c r="S12" s="198"/>
      <c r="T12" s="198"/>
      <c r="U12" s="198"/>
      <c r="V12" s="198"/>
      <c r="W12" s="198"/>
      <c r="X12" s="198"/>
      <c r="Y12" s="198"/>
      <c r="Z12" s="198"/>
      <c r="AA12" s="198"/>
    </row>
    <row r="13">
      <c r="A13" s="198"/>
      <c r="B13" s="198"/>
      <c r="C13" s="198"/>
      <c r="D13" s="198"/>
      <c r="E13" s="198"/>
      <c r="F13" s="198"/>
      <c r="G13" s="198"/>
      <c r="H13" s="198"/>
      <c r="I13" s="198"/>
      <c r="J13" s="198"/>
      <c r="K13" s="198"/>
      <c r="M13" s="198"/>
      <c r="N13" s="198"/>
      <c r="O13" s="198"/>
      <c r="P13" s="198"/>
      <c r="Q13" s="198"/>
      <c r="R13" s="198"/>
      <c r="S13" s="198"/>
      <c r="T13" s="198"/>
      <c r="U13" s="198"/>
      <c r="V13" s="198"/>
      <c r="W13" s="198"/>
      <c r="X13" s="198"/>
      <c r="Y13" s="198"/>
      <c r="Z13" s="198"/>
      <c r="AA13" s="198"/>
    </row>
    <row r="14">
      <c r="A14" s="198"/>
      <c r="B14" s="198"/>
      <c r="C14" s="198"/>
      <c r="D14" s="198"/>
      <c r="E14" s="198"/>
      <c r="F14" s="198"/>
      <c r="G14" s="198"/>
      <c r="H14" s="198"/>
      <c r="I14" s="198"/>
      <c r="J14" s="198"/>
      <c r="K14" s="198"/>
      <c r="M14" s="198"/>
      <c r="N14" s="198"/>
      <c r="O14" s="198"/>
      <c r="P14" s="198"/>
      <c r="Q14" s="198"/>
      <c r="R14" s="198"/>
      <c r="S14" s="198"/>
      <c r="T14" s="198"/>
      <c r="U14" s="198"/>
      <c r="V14" s="198"/>
      <c r="W14" s="198"/>
      <c r="X14" s="198"/>
      <c r="Y14" s="198"/>
      <c r="Z14" s="198"/>
      <c r="AA14" s="198"/>
    </row>
    <row r="15">
      <c r="A15" s="198"/>
      <c r="B15" s="198"/>
      <c r="C15" s="198"/>
      <c r="D15" s="198"/>
      <c r="E15" s="198"/>
      <c r="F15" s="198"/>
      <c r="G15" s="198"/>
      <c r="H15" s="198"/>
      <c r="I15" s="198"/>
      <c r="J15" s="198"/>
      <c r="K15" s="198"/>
      <c r="M15" s="198"/>
      <c r="N15" s="198"/>
      <c r="O15" s="198"/>
      <c r="P15" s="198"/>
      <c r="Q15" s="198"/>
      <c r="R15" s="198"/>
      <c r="S15" s="198"/>
      <c r="T15" s="198"/>
      <c r="U15" s="198"/>
      <c r="V15" s="198"/>
      <c r="W15" s="198"/>
      <c r="X15" s="198"/>
      <c r="Y15" s="198"/>
      <c r="Z15" s="198"/>
      <c r="AA15" s="198"/>
    </row>
    <row r="16">
      <c r="A16" s="198"/>
      <c r="B16" s="198"/>
      <c r="C16" s="198"/>
      <c r="D16" s="198"/>
      <c r="E16" s="198"/>
      <c r="F16" s="198"/>
      <c r="G16" s="198"/>
      <c r="H16" s="198"/>
      <c r="I16" s="198"/>
      <c r="J16" s="198"/>
      <c r="K16" s="198"/>
      <c r="M16" s="198"/>
      <c r="N16" s="198"/>
      <c r="O16" s="198"/>
      <c r="P16" s="198"/>
      <c r="Q16" s="198"/>
      <c r="R16" s="198"/>
      <c r="S16" s="198"/>
      <c r="T16" s="198"/>
      <c r="U16" s="198"/>
      <c r="V16" s="198"/>
      <c r="W16" s="198"/>
      <c r="X16" s="198"/>
      <c r="Y16" s="198"/>
      <c r="Z16" s="198"/>
      <c r="AA16" s="198"/>
    </row>
    <row r="17">
      <c r="A17" s="199"/>
      <c r="B17" s="199"/>
      <c r="C17" s="198"/>
      <c r="D17" s="198"/>
      <c r="E17" s="198"/>
      <c r="F17" s="198"/>
      <c r="G17" s="198"/>
      <c r="H17" s="198"/>
      <c r="I17" s="198"/>
      <c r="J17" s="198"/>
      <c r="K17" s="198"/>
      <c r="M17" s="198"/>
      <c r="N17" s="198"/>
      <c r="O17" s="198"/>
      <c r="P17" s="198"/>
      <c r="Q17" s="198"/>
      <c r="R17" s="198"/>
      <c r="S17" s="198"/>
      <c r="T17" s="198"/>
      <c r="U17" s="198"/>
      <c r="V17" s="198"/>
      <c r="W17" s="198"/>
      <c r="X17" s="198"/>
      <c r="Y17" s="198"/>
      <c r="Z17" s="198"/>
      <c r="AA17" s="198"/>
    </row>
    <row r="18">
      <c r="A18" s="198"/>
      <c r="B18" s="198"/>
      <c r="C18" s="198"/>
      <c r="D18" s="198"/>
      <c r="E18" s="198"/>
      <c r="F18" s="198"/>
      <c r="G18" s="198"/>
      <c r="H18" s="198"/>
      <c r="I18" s="198"/>
      <c r="J18" s="198"/>
      <c r="K18" s="198"/>
      <c r="M18" s="198"/>
      <c r="N18" s="198"/>
      <c r="O18" s="198"/>
      <c r="P18" s="198"/>
      <c r="Q18" s="198"/>
      <c r="R18" s="198"/>
      <c r="S18" s="198"/>
      <c r="T18" s="198"/>
      <c r="U18" s="198"/>
      <c r="V18" s="198"/>
      <c r="W18" s="198"/>
      <c r="X18" s="198"/>
      <c r="Y18" s="198"/>
      <c r="Z18" s="198"/>
      <c r="AA18" s="198"/>
    </row>
    <row r="19">
      <c r="A19" s="198"/>
      <c r="B19" s="198"/>
      <c r="C19" s="198"/>
      <c r="D19" s="198"/>
      <c r="E19" s="198"/>
      <c r="F19" s="198"/>
      <c r="G19" s="198"/>
      <c r="H19" s="198"/>
      <c r="I19" s="198"/>
      <c r="J19" s="198"/>
      <c r="K19" s="198"/>
      <c r="M19" s="198"/>
      <c r="N19" s="198"/>
      <c r="O19" s="198"/>
      <c r="P19" s="198"/>
      <c r="Q19" s="198"/>
      <c r="R19" s="198"/>
      <c r="S19" s="198"/>
      <c r="T19" s="198"/>
      <c r="U19" s="198"/>
      <c r="V19" s="198"/>
      <c r="W19" s="198"/>
      <c r="X19" s="198"/>
      <c r="Y19" s="198"/>
      <c r="Z19" s="198"/>
      <c r="AA19" s="198"/>
    </row>
    <row r="20">
      <c r="A20" s="198"/>
      <c r="B20" s="198"/>
      <c r="C20" s="198"/>
      <c r="D20" s="198"/>
      <c r="E20" s="198"/>
      <c r="F20" s="198"/>
      <c r="G20" s="198"/>
      <c r="H20" s="198"/>
      <c r="I20" s="198"/>
      <c r="J20" s="198"/>
      <c r="K20" s="198"/>
      <c r="M20" s="198"/>
      <c r="N20" s="198"/>
      <c r="O20" s="198"/>
      <c r="P20" s="198"/>
      <c r="Q20" s="198"/>
      <c r="R20" s="198"/>
      <c r="S20" s="198"/>
      <c r="T20" s="198"/>
      <c r="U20" s="198"/>
      <c r="V20" s="198"/>
      <c r="W20" s="198"/>
      <c r="X20" s="198"/>
      <c r="Y20" s="198"/>
      <c r="Z20" s="198"/>
      <c r="AA20" s="198"/>
    </row>
    <row r="21">
      <c r="A21" s="198"/>
      <c r="B21" s="198"/>
      <c r="C21" s="198"/>
      <c r="D21" s="198"/>
      <c r="E21" s="198"/>
      <c r="F21" s="198"/>
      <c r="G21" s="198"/>
      <c r="H21" s="198"/>
      <c r="I21" s="198"/>
      <c r="J21" s="198"/>
      <c r="K21" s="198"/>
      <c r="M21" s="198"/>
      <c r="N21" s="198"/>
      <c r="O21" s="198"/>
      <c r="P21" s="198"/>
      <c r="Q21" s="198"/>
      <c r="R21" s="198"/>
      <c r="S21" s="198"/>
      <c r="T21" s="198"/>
      <c r="U21" s="198"/>
      <c r="V21" s="198"/>
      <c r="W21" s="198"/>
      <c r="X21" s="198"/>
      <c r="Y21" s="198"/>
      <c r="Z21" s="198"/>
      <c r="AA21" s="198"/>
    </row>
    <row r="22">
      <c r="A22" s="198"/>
      <c r="B22" s="198"/>
      <c r="C22" s="198"/>
      <c r="D22" s="198"/>
      <c r="E22" s="198"/>
      <c r="F22" s="198"/>
      <c r="G22" s="198"/>
      <c r="H22" s="198"/>
      <c r="I22" s="198"/>
      <c r="J22" s="198"/>
      <c r="K22" s="198"/>
      <c r="M22" s="198"/>
      <c r="N22" s="198"/>
      <c r="O22" s="198"/>
      <c r="P22" s="198"/>
      <c r="Q22" s="198"/>
      <c r="R22" s="198"/>
      <c r="S22" s="198"/>
      <c r="T22" s="198"/>
      <c r="U22" s="198"/>
      <c r="V22" s="198"/>
      <c r="W22" s="198"/>
      <c r="X22" s="198"/>
      <c r="Y22" s="198"/>
      <c r="Z22" s="198"/>
      <c r="AA22" s="198"/>
    </row>
    <row r="23">
      <c r="A23" s="198"/>
      <c r="B23" s="198"/>
      <c r="C23" s="198"/>
      <c r="D23" s="198"/>
      <c r="E23" s="198"/>
      <c r="F23" s="198"/>
      <c r="G23" s="198"/>
      <c r="H23" s="198"/>
      <c r="I23" s="198"/>
      <c r="J23" s="198"/>
      <c r="K23" s="198"/>
      <c r="M23" s="198"/>
      <c r="N23" s="198"/>
      <c r="O23" s="198"/>
      <c r="P23" s="198"/>
      <c r="Q23" s="198"/>
      <c r="R23" s="198"/>
      <c r="S23" s="198"/>
      <c r="T23" s="198"/>
      <c r="U23" s="198"/>
      <c r="V23" s="198"/>
      <c r="W23" s="198"/>
      <c r="X23" s="198"/>
      <c r="Y23" s="198"/>
      <c r="Z23" s="198"/>
      <c r="AA23" s="198"/>
    </row>
    <row r="24">
      <c r="A24" s="201"/>
      <c r="B24" s="201"/>
      <c r="C24" s="198"/>
      <c r="D24" s="198"/>
      <c r="E24" s="198"/>
      <c r="F24" s="198"/>
      <c r="G24" s="198"/>
      <c r="H24" s="198"/>
      <c r="I24" s="198"/>
      <c r="J24" s="198"/>
      <c r="K24" s="198"/>
      <c r="M24" s="198"/>
      <c r="N24" s="198"/>
      <c r="O24" s="198"/>
      <c r="P24" s="198"/>
      <c r="Q24" s="198"/>
      <c r="R24" s="198"/>
      <c r="S24" s="198"/>
      <c r="T24" s="198"/>
      <c r="U24" s="198"/>
      <c r="V24" s="198"/>
      <c r="W24" s="198"/>
      <c r="X24" s="198"/>
      <c r="Y24" s="198"/>
      <c r="Z24" s="198"/>
      <c r="AA24" s="198"/>
    </row>
    <row r="25">
      <c r="A25" s="201"/>
      <c r="B25" s="201"/>
      <c r="C25" s="198"/>
      <c r="D25" s="198"/>
      <c r="E25" s="198"/>
      <c r="F25" s="198"/>
      <c r="G25" s="198"/>
      <c r="H25" s="198"/>
      <c r="I25" s="198"/>
      <c r="J25" s="198"/>
      <c r="K25" s="198"/>
      <c r="M25" s="198"/>
      <c r="N25" s="198"/>
      <c r="O25" s="198"/>
      <c r="P25" s="198"/>
      <c r="Q25" s="198"/>
      <c r="R25" s="198"/>
      <c r="S25" s="198"/>
      <c r="T25" s="198"/>
      <c r="U25" s="198"/>
      <c r="V25" s="198"/>
      <c r="W25" s="198"/>
      <c r="X25" s="198"/>
      <c r="Y25" s="198"/>
      <c r="Z25" s="198"/>
      <c r="AA25" s="198"/>
    </row>
    <row r="26">
      <c r="A26" s="201"/>
      <c r="B26" s="201"/>
      <c r="C26" s="198"/>
      <c r="D26" s="198"/>
      <c r="E26" s="198"/>
      <c r="F26" s="198"/>
      <c r="G26" s="198"/>
      <c r="H26" s="198"/>
      <c r="I26" s="198"/>
      <c r="J26" s="198"/>
      <c r="K26" s="198"/>
      <c r="M26" s="198"/>
      <c r="N26" s="198"/>
      <c r="O26" s="198"/>
      <c r="P26" s="198"/>
      <c r="Q26" s="198"/>
      <c r="R26" s="198"/>
      <c r="S26" s="198"/>
      <c r="T26" s="198"/>
      <c r="U26" s="198"/>
      <c r="V26" s="198"/>
      <c r="W26" s="198"/>
      <c r="X26" s="198"/>
      <c r="Y26" s="198"/>
      <c r="Z26" s="198"/>
      <c r="AA26" s="198"/>
    </row>
    <row r="27">
      <c r="A27" s="201"/>
      <c r="B27" s="201"/>
      <c r="C27" s="198"/>
      <c r="D27" s="198"/>
      <c r="E27" s="198"/>
      <c r="F27" s="198"/>
      <c r="G27" s="198"/>
      <c r="H27" s="198"/>
      <c r="I27" s="198"/>
      <c r="J27" s="198"/>
      <c r="K27" s="198"/>
      <c r="M27" s="198"/>
      <c r="N27" s="198"/>
      <c r="O27" s="198"/>
      <c r="P27" s="198"/>
      <c r="Q27" s="198"/>
      <c r="R27" s="198"/>
      <c r="S27" s="198"/>
      <c r="T27" s="198"/>
      <c r="U27" s="198"/>
      <c r="V27" s="198"/>
      <c r="W27" s="198"/>
      <c r="X27" s="198"/>
      <c r="Y27" s="198"/>
      <c r="Z27" s="198"/>
      <c r="AA27" s="198"/>
    </row>
    <row r="28">
      <c r="A28" s="201"/>
      <c r="B28" s="201"/>
      <c r="C28" s="198"/>
      <c r="D28" s="198"/>
      <c r="E28" s="198"/>
      <c r="F28" s="198"/>
      <c r="G28" s="198"/>
      <c r="H28" s="198"/>
      <c r="I28" s="198"/>
      <c r="J28" s="198"/>
      <c r="K28" s="198"/>
      <c r="M28" s="198"/>
      <c r="N28" s="198"/>
      <c r="O28" s="198"/>
      <c r="P28" s="198"/>
      <c r="Q28" s="198"/>
      <c r="R28" s="198"/>
      <c r="S28" s="198"/>
      <c r="T28" s="198"/>
      <c r="U28" s="198"/>
      <c r="V28" s="198"/>
      <c r="W28" s="198"/>
      <c r="X28" s="198"/>
      <c r="Y28" s="198"/>
      <c r="Z28" s="198"/>
      <c r="AA28" s="198"/>
    </row>
    <row r="29">
      <c r="A29" s="201"/>
      <c r="B29" s="201"/>
      <c r="C29" s="198"/>
      <c r="D29" s="198"/>
      <c r="E29" s="198"/>
      <c r="F29" s="198"/>
      <c r="G29" s="198"/>
      <c r="H29" s="198"/>
      <c r="I29" s="198"/>
      <c r="J29" s="198"/>
      <c r="K29" s="198"/>
      <c r="M29" s="198"/>
      <c r="N29" s="198"/>
      <c r="O29" s="198"/>
      <c r="P29" s="198"/>
      <c r="Q29" s="198"/>
      <c r="R29" s="198"/>
      <c r="S29" s="198"/>
      <c r="T29" s="198"/>
      <c r="U29" s="198"/>
      <c r="V29" s="198"/>
      <c r="W29" s="198"/>
      <c r="X29" s="198"/>
      <c r="Y29" s="198"/>
      <c r="Z29" s="198"/>
      <c r="AA29" s="198"/>
    </row>
    <row r="30">
      <c r="A30" s="201"/>
      <c r="B30" s="201"/>
      <c r="C30" s="198"/>
      <c r="D30" s="198"/>
      <c r="E30" s="198"/>
      <c r="F30" s="198"/>
      <c r="G30" s="198"/>
      <c r="H30" s="198"/>
      <c r="I30" s="198"/>
      <c r="J30" s="198"/>
      <c r="K30" s="198"/>
      <c r="M30" s="198"/>
      <c r="N30" s="198"/>
      <c r="O30" s="198"/>
      <c r="P30" s="198"/>
      <c r="Q30" s="198"/>
      <c r="R30" s="198"/>
      <c r="S30" s="198"/>
      <c r="T30" s="198"/>
      <c r="U30" s="198"/>
      <c r="V30" s="198"/>
      <c r="W30" s="198"/>
      <c r="X30" s="198"/>
      <c r="Y30" s="198"/>
      <c r="Z30" s="198"/>
      <c r="AA30" s="198"/>
    </row>
    <row r="31">
      <c r="A31" s="201"/>
      <c r="B31" s="201"/>
      <c r="C31" s="198"/>
      <c r="D31" s="198"/>
      <c r="E31" s="198"/>
      <c r="F31" s="198"/>
      <c r="G31" s="198"/>
      <c r="H31" s="198"/>
      <c r="I31" s="198"/>
      <c r="J31" s="198"/>
      <c r="K31" s="198"/>
      <c r="M31" s="198"/>
      <c r="N31" s="198"/>
      <c r="O31" s="198"/>
      <c r="P31" s="198"/>
      <c r="Q31" s="198"/>
      <c r="R31" s="198"/>
      <c r="S31" s="198"/>
      <c r="T31" s="198"/>
      <c r="U31" s="198"/>
      <c r="V31" s="198"/>
      <c r="W31" s="198"/>
      <c r="X31" s="198"/>
      <c r="Y31" s="198"/>
      <c r="Z31" s="198"/>
      <c r="AA31" s="198"/>
    </row>
    <row r="32">
      <c r="A32" s="201"/>
      <c r="B32" s="201"/>
      <c r="C32" s="198"/>
      <c r="D32" s="198"/>
      <c r="E32" s="198"/>
      <c r="F32" s="198"/>
      <c r="G32" s="198"/>
      <c r="H32" s="198"/>
      <c r="I32" s="198"/>
      <c r="J32" s="198"/>
      <c r="K32" s="198"/>
      <c r="M32" s="198"/>
      <c r="N32" s="198"/>
      <c r="O32" s="198"/>
      <c r="P32" s="198"/>
      <c r="Q32" s="198"/>
      <c r="R32" s="198"/>
      <c r="S32" s="198"/>
      <c r="T32" s="198"/>
      <c r="U32" s="198"/>
      <c r="V32" s="198"/>
      <c r="W32" s="198"/>
      <c r="X32" s="198"/>
      <c r="Y32" s="198"/>
      <c r="Z32" s="198"/>
      <c r="AA32" s="198"/>
    </row>
    <row r="33">
      <c r="A33" s="201"/>
      <c r="B33" s="201"/>
      <c r="C33" s="198"/>
      <c r="D33" s="198"/>
      <c r="E33" s="198"/>
      <c r="F33" s="198"/>
      <c r="G33" s="198"/>
      <c r="H33" s="198"/>
      <c r="I33" s="198"/>
      <c r="J33" s="198"/>
      <c r="K33" s="198"/>
      <c r="M33" s="198"/>
      <c r="N33" s="198"/>
      <c r="O33" s="198"/>
      <c r="P33" s="198"/>
      <c r="Q33" s="198"/>
      <c r="R33" s="198"/>
      <c r="S33" s="198"/>
      <c r="T33" s="198"/>
      <c r="U33" s="198"/>
      <c r="V33" s="198"/>
      <c r="W33" s="198"/>
      <c r="X33" s="198"/>
      <c r="Y33" s="198"/>
      <c r="Z33" s="198"/>
      <c r="AA33" s="198"/>
    </row>
    <row r="34">
      <c r="A34" s="201"/>
      <c r="B34" s="201"/>
      <c r="C34" s="198"/>
      <c r="D34" s="198"/>
      <c r="E34" s="198"/>
      <c r="F34" s="198"/>
      <c r="G34" s="198"/>
      <c r="H34" s="198"/>
      <c r="I34" s="198"/>
      <c r="J34" s="198"/>
      <c r="K34" s="198"/>
      <c r="M34" s="198"/>
      <c r="N34" s="198"/>
      <c r="O34" s="198"/>
      <c r="P34" s="198"/>
      <c r="Q34" s="198"/>
      <c r="R34" s="198"/>
      <c r="S34" s="198"/>
      <c r="T34" s="198"/>
      <c r="U34" s="198"/>
      <c r="V34" s="198"/>
      <c r="W34" s="198"/>
      <c r="X34" s="198"/>
      <c r="Y34" s="198"/>
      <c r="Z34" s="198"/>
      <c r="AA34" s="198"/>
    </row>
    <row r="35">
      <c r="A35" s="201"/>
      <c r="B35" s="201"/>
      <c r="C35" s="198"/>
      <c r="D35" s="198"/>
      <c r="E35" s="198"/>
      <c r="F35" s="198"/>
      <c r="G35" s="198"/>
      <c r="H35" s="198"/>
      <c r="I35" s="198"/>
      <c r="J35" s="198"/>
      <c r="K35" s="198"/>
      <c r="M35" s="198"/>
      <c r="N35" s="198"/>
      <c r="O35" s="198"/>
      <c r="P35" s="198"/>
      <c r="Q35" s="198"/>
      <c r="R35" s="198"/>
      <c r="S35" s="198"/>
      <c r="T35" s="198"/>
      <c r="U35" s="198"/>
      <c r="V35" s="198"/>
      <c r="W35" s="198"/>
      <c r="X35" s="198"/>
      <c r="Y35" s="198"/>
      <c r="Z35" s="198"/>
      <c r="AA35" s="198"/>
    </row>
    <row r="36">
      <c r="A36" s="201"/>
      <c r="B36" s="201"/>
      <c r="C36" s="198"/>
      <c r="D36" s="198"/>
      <c r="E36" s="198"/>
      <c r="F36" s="198"/>
      <c r="G36" s="198"/>
      <c r="H36" s="198"/>
      <c r="I36" s="198"/>
      <c r="J36" s="198"/>
      <c r="K36" s="198"/>
      <c r="M36" s="198"/>
      <c r="N36" s="198"/>
      <c r="O36" s="198"/>
      <c r="P36" s="198"/>
      <c r="Q36" s="198"/>
      <c r="R36" s="198"/>
      <c r="S36" s="198"/>
      <c r="T36" s="198"/>
      <c r="U36" s="198"/>
      <c r="V36" s="198"/>
      <c r="W36" s="198"/>
      <c r="X36" s="198"/>
      <c r="Y36" s="198"/>
      <c r="Z36" s="198"/>
      <c r="AA36" s="198"/>
    </row>
    <row r="37">
      <c r="A37" s="201"/>
      <c r="B37" s="201"/>
      <c r="C37" s="198"/>
      <c r="D37" s="198"/>
      <c r="E37" s="198"/>
      <c r="F37" s="198"/>
      <c r="G37" s="198"/>
      <c r="H37" s="198"/>
      <c r="I37" s="198"/>
      <c r="J37" s="198"/>
      <c r="K37" s="198"/>
      <c r="M37" s="198"/>
      <c r="N37" s="198"/>
      <c r="O37" s="198"/>
      <c r="P37" s="198"/>
      <c r="Q37" s="198"/>
      <c r="R37" s="198"/>
      <c r="S37" s="198"/>
      <c r="T37" s="198"/>
      <c r="U37" s="198"/>
      <c r="V37" s="198"/>
      <c r="W37" s="198"/>
      <c r="X37" s="198"/>
      <c r="Y37" s="198"/>
      <c r="Z37" s="198"/>
      <c r="AA37" s="198"/>
    </row>
    <row r="38">
      <c r="A38" s="201"/>
      <c r="B38" s="201"/>
      <c r="C38" s="198"/>
      <c r="D38" s="198"/>
      <c r="E38" s="198"/>
      <c r="F38" s="198"/>
      <c r="G38" s="198"/>
      <c r="H38" s="198"/>
      <c r="I38" s="198"/>
      <c r="J38" s="198"/>
      <c r="K38" s="198"/>
      <c r="M38" s="198"/>
      <c r="N38" s="198"/>
      <c r="O38" s="198"/>
      <c r="P38" s="198"/>
      <c r="Q38" s="198"/>
      <c r="R38" s="198"/>
      <c r="S38" s="198"/>
      <c r="T38" s="198"/>
      <c r="U38" s="198"/>
      <c r="V38" s="198"/>
      <c r="W38" s="198"/>
      <c r="X38" s="198"/>
      <c r="Y38" s="198"/>
      <c r="Z38" s="198"/>
      <c r="AA38" s="198"/>
    </row>
    <row r="39">
      <c r="A39" s="201"/>
      <c r="B39" s="201"/>
      <c r="C39" s="198"/>
      <c r="D39" s="198"/>
      <c r="E39" s="198"/>
      <c r="F39" s="198"/>
      <c r="G39" s="198"/>
      <c r="H39" s="198"/>
      <c r="I39" s="198"/>
      <c r="J39" s="198"/>
      <c r="K39" s="198"/>
      <c r="M39" s="198"/>
      <c r="N39" s="198"/>
      <c r="O39" s="198"/>
      <c r="P39" s="198"/>
      <c r="Q39" s="198"/>
      <c r="R39" s="198"/>
      <c r="S39" s="198"/>
      <c r="T39" s="198"/>
      <c r="U39" s="198"/>
      <c r="V39" s="198"/>
      <c r="W39" s="198"/>
      <c r="X39" s="198"/>
      <c r="Y39" s="198"/>
      <c r="Z39" s="198"/>
      <c r="AA39" s="198"/>
    </row>
    <row r="40">
      <c r="A40" s="201"/>
      <c r="B40" s="201"/>
      <c r="C40" s="198"/>
      <c r="D40" s="198"/>
      <c r="E40" s="198"/>
      <c r="F40" s="198"/>
      <c r="G40" s="198"/>
      <c r="H40" s="198"/>
      <c r="I40" s="198"/>
      <c r="J40" s="198"/>
      <c r="K40" s="198"/>
      <c r="M40" s="198"/>
      <c r="N40" s="198"/>
      <c r="O40" s="198"/>
      <c r="P40" s="198"/>
      <c r="Q40" s="198"/>
      <c r="R40" s="198"/>
      <c r="S40" s="198"/>
      <c r="T40" s="198"/>
      <c r="U40" s="198"/>
      <c r="V40" s="198"/>
      <c r="W40" s="198"/>
      <c r="X40" s="198"/>
      <c r="Y40" s="198"/>
      <c r="Z40" s="198"/>
      <c r="AA40" s="198"/>
    </row>
    <row r="41">
      <c r="A41" s="201"/>
      <c r="B41" s="201"/>
      <c r="C41" s="198"/>
      <c r="D41" s="198"/>
      <c r="E41" s="198"/>
      <c r="F41" s="198"/>
      <c r="G41" s="198"/>
      <c r="H41" s="198"/>
      <c r="I41" s="198"/>
      <c r="J41" s="198"/>
      <c r="K41" s="198"/>
      <c r="M41" s="198"/>
      <c r="N41" s="198"/>
      <c r="O41" s="198"/>
      <c r="P41" s="198"/>
      <c r="Q41" s="198"/>
      <c r="R41" s="198"/>
      <c r="S41" s="198"/>
      <c r="T41" s="198"/>
      <c r="U41" s="198"/>
      <c r="V41" s="198"/>
      <c r="W41" s="198"/>
      <c r="X41" s="198"/>
      <c r="Y41" s="198"/>
      <c r="Z41" s="198"/>
      <c r="AA41" s="198"/>
    </row>
    <row r="42">
      <c r="A42" s="201"/>
      <c r="B42" s="201"/>
      <c r="C42" s="198"/>
      <c r="D42" s="198"/>
      <c r="E42" s="198"/>
      <c r="F42" s="198"/>
      <c r="G42" s="198"/>
      <c r="H42" s="198"/>
      <c r="I42" s="198"/>
      <c r="J42" s="198"/>
      <c r="K42" s="198"/>
      <c r="M42" s="198"/>
      <c r="N42" s="198"/>
      <c r="O42" s="198"/>
      <c r="P42" s="198"/>
      <c r="Q42" s="198"/>
      <c r="R42" s="198"/>
      <c r="S42" s="198"/>
      <c r="T42" s="198"/>
      <c r="U42" s="198"/>
      <c r="V42" s="198"/>
      <c r="W42" s="198"/>
      <c r="X42" s="198"/>
      <c r="Y42" s="198"/>
      <c r="Z42" s="198"/>
      <c r="AA42" s="198"/>
    </row>
    <row r="43">
      <c r="A43" s="201"/>
      <c r="B43" s="201"/>
      <c r="C43" s="198"/>
      <c r="D43" s="198"/>
      <c r="E43" s="198"/>
      <c r="F43" s="198"/>
      <c r="G43" s="198"/>
      <c r="H43" s="198"/>
      <c r="I43" s="198"/>
      <c r="J43" s="198"/>
      <c r="K43" s="198"/>
      <c r="M43" s="198"/>
      <c r="N43" s="198"/>
      <c r="O43" s="198"/>
      <c r="P43" s="198"/>
      <c r="Q43" s="198"/>
      <c r="R43" s="198"/>
      <c r="S43" s="198"/>
      <c r="T43" s="198"/>
      <c r="U43" s="198"/>
      <c r="V43" s="198"/>
      <c r="W43" s="198"/>
      <c r="X43" s="198"/>
      <c r="Y43" s="198"/>
      <c r="Z43" s="198"/>
      <c r="AA43" s="198"/>
    </row>
    <row r="44">
      <c r="A44" s="201"/>
      <c r="B44" s="201"/>
      <c r="C44" s="198"/>
      <c r="D44" s="198"/>
      <c r="E44" s="198"/>
      <c r="F44" s="198"/>
      <c r="G44" s="198"/>
      <c r="H44" s="198"/>
      <c r="I44" s="198"/>
      <c r="J44" s="198"/>
      <c r="K44" s="198"/>
      <c r="M44" s="198"/>
      <c r="N44" s="198"/>
      <c r="O44" s="198"/>
      <c r="P44" s="198"/>
      <c r="Q44" s="198"/>
      <c r="R44" s="198"/>
      <c r="S44" s="198"/>
      <c r="T44" s="198"/>
      <c r="U44" s="198"/>
      <c r="V44" s="198"/>
      <c r="W44" s="198"/>
      <c r="X44" s="198"/>
      <c r="Y44" s="198"/>
      <c r="Z44" s="198"/>
      <c r="AA44" s="198"/>
    </row>
    <row r="45">
      <c r="A45" s="201"/>
      <c r="B45" s="201"/>
      <c r="C45" s="198"/>
      <c r="D45" s="198"/>
      <c r="E45" s="198"/>
      <c r="F45" s="198"/>
      <c r="G45" s="198"/>
      <c r="H45" s="198"/>
      <c r="I45" s="198"/>
      <c r="J45" s="198"/>
      <c r="K45" s="198"/>
      <c r="M45" s="198"/>
      <c r="N45" s="198"/>
      <c r="O45" s="198"/>
      <c r="P45" s="198"/>
      <c r="Q45" s="198"/>
      <c r="R45" s="198"/>
      <c r="S45" s="198"/>
      <c r="T45" s="198"/>
      <c r="U45" s="198"/>
      <c r="V45" s="198"/>
      <c r="W45" s="198"/>
      <c r="X45" s="198"/>
      <c r="Y45" s="198"/>
      <c r="Z45" s="198"/>
      <c r="AA45" s="198"/>
    </row>
    <row r="46">
      <c r="A46" s="201"/>
      <c r="B46" s="201"/>
      <c r="C46" s="198"/>
      <c r="D46" s="198"/>
      <c r="E46" s="198"/>
      <c r="F46" s="198"/>
      <c r="G46" s="198"/>
      <c r="H46" s="198"/>
      <c r="I46" s="198"/>
      <c r="J46" s="198"/>
      <c r="K46" s="198"/>
      <c r="M46" s="198"/>
      <c r="N46" s="198"/>
      <c r="O46" s="198"/>
      <c r="P46" s="198"/>
      <c r="Q46" s="198"/>
      <c r="R46" s="198"/>
      <c r="S46" s="198"/>
      <c r="T46" s="198"/>
      <c r="U46" s="198"/>
      <c r="V46" s="198"/>
      <c r="W46" s="198"/>
      <c r="X46" s="198"/>
      <c r="Y46" s="198"/>
      <c r="Z46" s="198"/>
      <c r="AA46" s="198"/>
    </row>
    <row r="47">
      <c r="A47" s="201"/>
      <c r="B47" s="201"/>
      <c r="C47" s="198"/>
      <c r="D47" s="198"/>
      <c r="E47" s="198"/>
      <c r="F47" s="198"/>
      <c r="G47" s="198"/>
      <c r="H47" s="198"/>
      <c r="I47" s="198"/>
      <c r="J47" s="198"/>
      <c r="K47" s="198"/>
      <c r="M47" s="198"/>
      <c r="N47" s="198"/>
      <c r="O47" s="198"/>
      <c r="P47" s="198"/>
      <c r="Q47" s="198"/>
      <c r="R47" s="198"/>
      <c r="S47" s="198"/>
      <c r="T47" s="198"/>
      <c r="U47" s="198"/>
      <c r="V47" s="198"/>
      <c r="W47" s="198"/>
      <c r="X47" s="198"/>
      <c r="Y47" s="198"/>
      <c r="Z47" s="198"/>
      <c r="AA47" s="198"/>
    </row>
    <row r="48">
      <c r="A48" s="201"/>
      <c r="B48" s="201"/>
      <c r="C48" s="198"/>
      <c r="D48" s="198"/>
      <c r="E48" s="198"/>
      <c r="F48" s="198"/>
      <c r="G48" s="198"/>
      <c r="H48" s="198"/>
      <c r="I48" s="198"/>
      <c r="J48" s="198"/>
      <c r="K48" s="198"/>
      <c r="M48" s="198"/>
      <c r="N48" s="198"/>
      <c r="O48" s="198"/>
      <c r="P48" s="198"/>
      <c r="Q48" s="198"/>
      <c r="R48" s="198"/>
      <c r="S48" s="198"/>
      <c r="T48" s="198"/>
      <c r="U48" s="198"/>
      <c r="V48" s="198"/>
      <c r="W48" s="198"/>
      <c r="X48" s="198"/>
      <c r="Y48" s="198"/>
      <c r="Z48" s="198"/>
      <c r="AA48" s="198"/>
    </row>
    <row r="49">
      <c r="A49" s="201"/>
      <c r="B49" s="201"/>
      <c r="C49" s="198"/>
      <c r="D49" s="198"/>
      <c r="E49" s="198"/>
      <c r="F49" s="198"/>
      <c r="G49" s="198"/>
      <c r="H49" s="198"/>
      <c r="I49" s="198"/>
      <c r="J49" s="198"/>
      <c r="K49" s="198"/>
      <c r="M49" s="198"/>
      <c r="N49" s="198"/>
      <c r="O49" s="198"/>
      <c r="P49" s="198"/>
      <c r="Q49" s="198"/>
      <c r="R49" s="198"/>
      <c r="S49" s="198"/>
      <c r="T49" s="198"/>
      <c r="U49" s="198"/>
      <c r="V49" s="198"/>
      <c r="W49" s="198"/>
      <c r="X49" s="198"/>
      <c r="Y49" s="198"/>
      <c r="Z49" s="198"/>
      <c r="AA49" s="198"/>
    </row>
    <row r="50">
      <c r="A50" s="201"/>
      <c r="B50" s="201"/>
      <c r="C50" s="198"/>
      <c r="D50" s="198"/>
      <c r="E50" s="198"/>
      <c r="F50" s="198"/>
      <c r="G50" s="198"/>
      <c r="H50" s="198"/>
      <c r="I50" s="198"/>
      <c r="J50" s="198"/>
      <c r="K50" s="198"/>
      <c r="M50" s="198"/>
      <c r="N50" s="198"/>
      <c r="O50" s="198"/>
      <c r="P50" s="198"/>
      <c r="Q50" s="198"/>
      <c r="R50" s="198"/>
      <c r="S50" s="198"/>
      <c r="T50" s="198"/>
      <c r="U50" s="198"/>
      <c r="V50" s="198"/>
      <c r="W50" s="198"/>
      <c r="X50" s="198"/>
      <c r="Y50" s="198"/>
      <c r="Z50" s="198"/>
      <c r="AA50" s="198"/>
    </row>
    <row r="51">
      <c r="A51" s="201"/>
      <c r="B51" s="201"/>
      <c r="C51" s="198"/>
      <c r="D51" s="198"/>
      <c r="E51" s="198"/>
      <c r="F51" s="198"/>
      <c r="G51" s="198"/>
      <c r="H51" s="198"/>
      <c r="I51" s="198"/>
      <c r="J51" s="198"/>
      <c r="K51" s="198"/>
      <c r="M51" s="198"/>
      <c r="N51" s="198"/>
      <c r="O51" s="198"/>
      <c r="P51" s="198"/>
      <c r="Q51" s="198"/>
      <c r="R51" s="198"/>
      <c r="S51" s="198"/>
      <c r="T51" s="198"/>
      <c r="U51" s="198"/>
      <c r="V51" s="198"/>
      <c r="W51" s="198"/>
      <c r="X51" s="198"/>
      <c r="Y51" s="198"/>
      <c r="Z51" s="198"/>
      <c r="AA51" s="198"/>
    </row>
    <row r="52">
      <c r="A52" s="201"/>
      <c r="B52" s="201"/>
      <c r="C52" s="198"/>
      <c r="D52" s="198"/>
      <c r="E52" s="198"/>
      <c r="F52" s="198"/>
      <c r="G52" s="198"/>
      <c r="H52" s="198"/>
      <c r="I52" s="198"/>
      <c r="J52" s="198"/>
      <c r="K52" s="198"/>
      <c r="M52" s="198"/>
      <c r="N52" s="198"/>
      <c r="O52" s="198"/>
      <c r="P52" s="198"/>
      <c r="Q52" s="198"/>
      <c r="R52" s="198"/>
      <c r="S52" s="198"/>
      <c r="T52" s="198"/>
      <c r="U52" s="198"/>
      <c r="V52" s="198"/>
      <c r="W52" s="198"/>
      <c r="X52" s="198"/>
      <c r="Y52" s="198"/>
      <c r="Z52" s="198"/>
      <c r="AA52" s="198"/>
    </row>
    <row r="53">
      <c r="A53" s="201"/>
      <c r="B53" s="201"/>
      <c r="C53" s="198"/>
      <c r="D53" s="198"/>
      <c r="E53" s="198"/>
      <c r="F53" s="198"/>
      <c r="G53" s="198"/>
      <c r="H53" s="198"/>
      <c r="I53" s="198"/>
      <c r="J53" s="198"/>
      <c r="K53" s="198"/>
      <c r="M53" s="198"/>
      <c r="N53" s="198"/>
      <c r="O53" s="198"/>
      <c r="P53" s="198"/>
      <c r="Q53" s="198"/>
      <c r="R53" s="198"/>
      <c r="S53" s="198"/>
      <c r="T53" s="198"/>
      <c r="U53" s="198"/>
      <c r="V53" s="198"/>
      <c r="W53" s="198"/>
      <c r="X53" s="198"/>
      <c r="Y53" s="198"/>
      <c r="Z53" s="198"/>
      <c r="AA53" s="198"/>
    </row>
    <row r="54">
      <c r="A54" s="201"/>
      <c r="B54" s="201"/>
      <c r="C54" s="198"/>
      <c r="D54" s="198"/>
      <c r="E54" s="198"/>
      <c r="F54" s="198"/>
      <c r="G54" s="198"/>
      <c r="H54" s="198"/>
      <c r="I54" s="198"/>
      <c r="J54" s="198"/>
      <c r="K54" s="198"/>
      <c r="M54" s="198"/>
      <c r="N54" s="198"/>
      <c r="O54" s="198"/>
      <c r="P54" s="198"/>
      <c r="Q54" s="198"/>
      <c r="R54" s="198"/>
      <c r="S54" s="198"/>
      <c r="T54" s="198"/>
      <c r="U54" s="198"/>
      <c r="V54" s="198"/>
      <c r="W54" s="198"/>
      <c r="X54" s="198"/>
      <c r="Y54" s="198"/>
      <c r="Z54" s="198"/>
      <c r="AA54" s="198"/>
    </row>
    <row r="55">
      <c r="A55" s="201"/>
      <c r="B55" s="201"/>
      <c r="C55" s="198"/>
      <c r="D55" s="198"/>
      <c r="E55" s="198"/>
      <c r="F55" s="198"/>
      <c r="G55" s="198"/>
      <c r="H55" s="198"/>
      <c r="I55" s="198"/>
      <c r="J55" s="198"/>
      <c r="K55" s="198"/>
      <c r="M55" s="198"/>
      <c r="N55" s="198"/>
      <c r="O55" s="198"/>
      <c r="P55" s="198"/>
      <c r="Q55" s="198"/>
      <c r="R55" s="198"/>
      <c r="S55" s="198"/>
      <c r="T55" s="198"/>
      <c r="U55" s="198"/>
      <c r="V55" s="198"/>
      <c r="W55" s="198"/>
      <c r="X55" s="198"/>
      <c r="Y55" s="198"/>
      <c r="Z55" s="198"/>
      <c r="AA55" s="198"/>
    </row>
    <row r="56">
      <c r="A56" s="201"/>
      <c r="B56" s="201"/>
      <c r="C56" s="198"/>
      <c r="D56" s="198"/>
      <c r="E56" s="198"/>
      <c r="F56" s="198"/>
      <c r="G56" s="198"/>
      <c r="H56" s="198"/>
      <c r="I56" s="198"/>
      <c r="J56" s="198"/>
      <c r="K56" s="198"/>
      <c r="M56" s="198"/>
      <c r="N56" s="198"/>
      <c r="O56" s="198"/>
      <c r="P56" s="198"/>
      <c r="Q56" s="198"/>
      <c r="R56" s="198"/>
      <c r="S56" s="198"/>
      <c r="T56" s="198"/>
      <c r="U56" s="198"/>
      <c r="V56" s="198"/>
      <c r="W56" s="198"/>
      <c r="X56" s="198"/>
      <c r="Y56" s="198"/>
      <c r="Z56" s="198"/>
      <c r="AA56" s="198"/>
    </row>
    <row r="57">
      <c r="A57" s="201"/>
      <c r="B57" s="201"/>
      <c r="C57" s="198"/>
      <c r="D57" s="198"/>
      <c r="E57" s="198"/>
      <c r="F57" s="198"/>
      <c r="G57" s="198"/>
      <c r="H57" s="198"/>
      <c r="I57" s="198"/>
      <c r="J57" s="198"/>
      <c r="K57" s="198"/>
      <c r="M57" s="198"/>
      <c r="N57" s="198"/>
      <c r="O57" s="198"/>
      <c r="P57" s="198"/>
      <c r="Q57" s="198"/>
      <c r="R57" s="198"/>
      <c r="S57" s="198"/>
      <c r="T57" s="198"/>
      <c r="U57" s="198"/>
      <c r="V57" s="198"/>
      <c r="W57" s="198"/>
      <c r="X57" s="198"/>
      <c r="Y57" s="198"/>
      <c r="Z57" s="198"/>
      <c r="AA57" s="198"/>
    </row>
    <row r="58">
      <c r="A58" s="201"/>
      <c r="B58" s="201"/>
      <c r="C58" s="198"/>
      <c r="D58" s="198"/>
      <c r="E58" s="198"/>
      <c r="F58" s="198"/>
      <c r="G58" s="198"/>
      <c r="H58" s="198"/>
      <c r="I58" s="198"/>
      <c r="J58" s="198"/>
      <c r="K58" s="198"/>
      <c r="M58" s="198"/>
      <c r="N58" s="198"/>
      <c r="O58" s="198"/>
      <c r="P58" s="198"/>
      <c r="Q58" s="198"/>
      <c r="R58" s="198"/>
      <c r="S58" s="198"/>
      <c r="T58" s="198"/>
      <c r="U58" s="198"/>
      <c r="V58" s="198"/>
      <c r="W58" s="198"/>
      <c r="X58" s="198"/>
      <c r="Y58" s="198"/>
      <c r="Z58" s="198"/>
      <c r="AA58" s="198"/>
    </row>
    <row r="59">
      <c r="A59" s="201"/>
      <c r="B59" s="201"/>
      <c r="C59" s="198"/>
      <c r="D59" s="198"/>
      <c r="E59" s="198"/>
      <c r="F59" s="198"/>
      <c r="G59" s="198"/>
      <c r="H59" s="198"/>
      <c r="I59" s="198"/>
      <c r="J59" s="198"/>
      <c r="K59" s="198"/>
      <c r="M59" s="198"/>
      <c r="N59" s="198"/>
      <c r="O59" s="198"/>
      <c r="P59" s="198"/>
      <c r="Q59" s="198"/>
      <c r="R59" s="198"/>
      <c r="S59" s="198"/>
      <c r="T59" s="198"/>
      <c r="U59" s="198"/>
      <c r="V59" s="198"/>
      <c r="W59" s="198"/>
      <c r="X59" s="198"/>
      <c r="Y59" s="198"/>
      <c r="Z59" s="198"/>
      <c r="AA59" s="198"/>
    </row>
    <row r="60">
      <c r="A60" s="201"/>
      <c r="B60" s="201"/>
      <c r="C60" s="198"/>
      <c r="D60" s="198"/>
      <c r="E60" s="198"/>
      <c r="F60" s="198"/>
      <c r="G60" s="198"/>
      <c r="H60" s="198"/>
      <c r="I60" s="198"/>
      <c r="J60" s="198"/>
      <c r="K60" s="198"/>
      <c r="M60" s="198"/>
      <c r="N60" s="198"/>
      <c r="O60" s="198"/>
      <c r="P60" s="198"/>
      <c r="Q60" s="198"/>
      <c r="R60" s="198"/>
      <c r="S60" s="198"/>
      <c r="T60" s="198"/>
      <c r="U60" s="198"/>
      <c r="V60" s="198"/>
      <c r="W60" s="198"/>
      <c r="X60" s="198"/>
      <c r="Y60" s="198"/>
      <c r="Z60" s="198"/>
      <c r="AA60" s="198"/>
    </row>
    <row r="61">
      <c r="A61" s="201"/>
      <c r="B61" s="201"/>
      <c r="C61" s="198"/>
      <c r="D61" s="198"/>
      <c r="E61" s="198"/>
      <c r="F61" s="198"/>
      <c r="G61" s="198"/>
      <c r="H61" s="198"/>
      <c r="I61" s="198"/>
      <c r="J61" s="198"/>
      <c r="K61" s="198"/>
      <c r="M61" s="198"/>
      <c r="N61" s="198"/>
      <c r="O61" s="198"/>
      <c r="P61" s="198"/>
      <c r="Q61" s="198"/>
      <c r="R61" s="198"/>
      <c r="S61" s="198"/>
      <c r="T61" s="198"/>
      <c r="U61" s="198"/>
      <c r="V61" s="198"/>
      <c r="W61" s="198"/>
      <c r="X61" s="198"/>
      <c r="Y61" s="198"/>
      <c r="Z61" s="198"/>
      <c r="AA61" s="198"/>
    </row>
    <row r="62">
      <c r="A62" s="201"/>
      <c r="B62" s="201"/>
      <c r="C62" s="198"/>
      <c r="D62" s="198"/>
      <c r="E62" s="198"/>
      <c r="F62" s="198"/>
      <c r="G62" s="198"/>
      <c r="H62" s="198"/>
      <c r="I62" s="198"/>
      <c r="J62" s="198"/>
      <c r="K62" s="198"/>
      <c r="M62" s="198"/>
      <c r="N62" s="198"/>
      <c r="O62" s="198"/>
      <c r="P62" s="198"/>
      <c r="Q62" s="198"/>
      <c r="R62" s="198"/>
      <c r="S62" s="198"/>
      <c r="T62" s="198"/>
      <c r="U62" s="198"/>
      <c r="V62" s="198"/>
      <c r="W62" s="198"/>
      <c r="X62" s="198"/>
      <c r="Y62" s="198"/>
      <c r="Z62" s="198"/>
      <c r="AA62" s="198"/>
    </row>
    <row r="63">
      <c r="A63" s="201"/>
      <c r="B63" s="201"/>
      <c r="C63" s="198"/>
      <c r="D63" s="198"/>
      <c r="E63" s="198"/>
      <c r="F63" s="198"/>
      <c r="G63" s="198"/>
      <c r="H63" s="198"/>
      <c r="I63" s="198"/>
      <c r="J63" s="198"/>
      <c r="K63" s="198"/>
      <c r="M63" s="198"/>
      <c r="N63" s="198"/>
      <c r="O63" s="198"/>
      <c r="P63" s="198"/>
      <c r="Q63" s="198"/>
      <c r="R63" s="198"/>
      <c r="S63" s="198"/>
      <c r="T63" s="198"/>
      <c r="U63" s="198"/>
      <c r="V63" s="198"/>
      <c r="W63" s="198"/>
      <c r="X63" s="198"/>
      <c r="Y63" s="198"/>
      <c r="Z63" s="198"/>
      <c r="AA63" s="198"/>
    </row>
    <row r="64">
      <c r="A64" s="201"/>
      <c r="B64" s="201"/>
      <c r="C64" s="198"/>
      <c r="D64" s="198"/>
      <c r="E64" s="198"/>
      <c r="F64" s="198"/>
      <c r="G64" s="198"/>
      <c r="H64" s="198"/>
      <c r="I64" s="198"/>
      <c r="J64" s="198"/>
      <c r="K64" s="198"/>
      <c r="M64" s="198"/>
      <c r="N64" s="198"/>
      <c r="O64" s="198"/>
      <c r="P64" s="198"/>
      <c r="Q64" s="198"/>
      <c r="R64" s="198"/>
      <c r="S64" s="198"/>
      <c r="T64" s="198"/>
      <c r="U64" s="198"/>
      <c r="V64" s="198"/>
      <c r="W64" s="198"/>
      <c r="X64" s="198"/>
      <c r="Y64" s="198"/>
      <c r="Z64" s="198"/>
      <c r="AA64" s="198"/>
    </row>
    <row r="65">
      <c r="A65" s="201"/>
      <c r="B65" s="201"/>
      <c r="C65" s="198"/>
      <c r="D65" s="198"/>
      <c r="E65" s="198"/>
      <c r="F65" s="198"/>
      <c r="G65" s="198"/>
      <c r="H65" s="198"/>
      <c r="I65" s="198"/>
      <c r="J65" s="198"/>
      <c r="K65" s="198"/>
      <c r="M65" s="198"/>
      <c r="N65" s="198"/>
      <c r="O65" s="198"/>
      <c r="P65" s="198"/>
      <c r="Q65" s="198"/>
      <c r="R65" s="198"/>
      <c r="S65" s="198"/>
      <c r="T65" s="198"/>
      <c r="U65" s="198"/>
      <c r="V65" s="198"/>
      <c r="W65" s="198"/>
      <c r="X65" s="198"/>
      <c r="Y65" s="198"/>
      <c r="Z65" s="198"/>
      <c r="AA65" s="198"/>
    </row>
    <row r="66">
      <c r="A66" s="201"/>
      <c r="B66" s="201"/>
      <c r="C66" s="198"/>
      <c r="D66" s="198"/>
      <c r="E66" s="198"/>
      <c r="F66" s="198"/>
      <c r="G66" s="198"/>
      <c r="H66" s="198"/>
      <c r="I66" s="198"/>
      <c r="J66" s="198"/>
      <c r="K66" s="198"/>
      <c r="M66" s="198"/>
      <c r="N66" s="198"/>
      <c r="O66" s="198"/>
      <c r="P66" s="198"/>
      <c r="Q66" s="198"/>
      <c r="R66" s="198"/>
      <c r="S66" s="198"/>
      <c r="T66" s="198"/>
      <c r="U66" s="198"/>
      <c r="V66" s="198"/>
      <c r="W66" s="198"/>
      <c r="X66" s="198"/>
      <c r="Y66" s="198"/>
      <c r="Z66" s="198"/>
      <c r="AA66" s="198"/>
    </row>
    <row r="67">
      <c r="A67" s="201"/>
      <c r="B67" s="201"/>
      <c r="C67" s="198"/>
      <c r="D67" s="198"/>
      <c r="E67" s="198"/>
      <c r="F67" s="198"/>
      <c r="G67" s="198"/>
      <c r="H67" s="198"/>
      <c r="I67" s="198"/>
      <c r="J67" s="198"/>
      <c r="K67" s="198"/>
      <c r="M67" s="198"/>
      <c r="N67" s="198"/>
      <c r="O67" s="198"/>
      <c r="P67" s="198"/>
      <c r="Q67" s="198"/>
      <c r="R67" s="198"/>
      <c r="S67" s="198"/>
      <c r="T67" s="198"/>
      <c r="U67" s="198"/>
      <c r="V67" s="198"/>
      <c r="W67" s="198"/>
      <c r="X67" s="198"/>
      <c r="Y67" s="198"/>
      <c r="Z67" s="198"/>
      <c r="AA67" s="198"/>
    </row>
    <row r="68">
      <c r="A68" s="201"/>
      <c r="B68" s="201"/>
      <c r="C68" s="198"/>
      <c r="D68" s="198"/>
      <c r="E68" s="198"/>
      <c r="F68" s="198"/>
      <c r="G68" s="198"/>
      <c r="H68" s="198"/>
      <c r="I68" s="198"/>
      <c r="J68" s="198"/>
      <c r="K68" s="198"/>
      <c r="M68" s="198"/>
      <c r="N68" s="198"/>
      <c r="O68" s="198"/>
      <c r="P68" s="198"/>
      <c r="Q68" s="198"/>
      <c r="R68" s="198"/>
      <c r="S68" s="198"/>
      <c r="T68" s="198"/>
      <c r="U68" s="198"/>
      <c r="V68" s="198"/>
      <c r="W68" s="198"/>
      <c r="X68" s="198"/>
      <c r="Y68" s="198"/>
      <c r="Z68" s="198"/>
      <c r="AA68" s="198"/>
    </row>
    <row r="69">
      <c r="A69" s="201"/>
      <c r="B69" s="201"/>
      <c r="C69" s="198"/>
      <c r="D69" s="198"/>
      <c r="E69" s="198"/>
      <c r="F69" s="198"/>
      <c r="G69" s="198"/>
      <c r="H69" s="198"/>
      <c r="I69" s="198"/>
      <c r="J69" s="198"/>
      <c r="K69" s="198"/>
      <c r="M69" s="198"/>
      <c r="N69" s="198"/>
      <c r="O69" s="198"/>
      <c r="P69" s="198"/>
      <c r="Q69" s="198"/>
      <c r="R69" s="198"/>
      <c r="S69" s="198"/>
      <c r="T69" s="198"/>
      <c r="U69" s="198"/>
      <c r="V69" s="198"/>
      <c r="W69" s="198"/>
      <c r="X69" s="198"/>
      <c r="Y69" s="198"/>
      <c r="Z69" s="198"/>
      <c r="AA69" s="198"/>
    </row>
    <row r="70">
      <c r="A70" s="201"/>
      <c r="B70" s="201"/>
      <c r="C70" s="198"/>
      <c r="D70" s="198"/>
      <c r="E70" s="198"/>
      <c r="F70" s="198"/>
      <c r="G70" s="198"/>
      <c r="H70" s="198"/>
      <c r="I70" s="198"/>
      <c r="J70" s="198"/>
      <c r="K70" s="198"/>
      <c r="M70" s="198"/>
      <c r="N70" s="198"/>
      <c r="O70" s="198"/>
      <c r="P70" s="198"/>
      <c r="Q70" s="198"/>
      <c r="R70" s="198"/>
      <c r="S70" s="198"/>
      <c r="T70" s="198"/>
      <c r="U70" s="198"/>
      <c r="V70" s="198"/>
      <c r="W70" s="198"/>
      <c r="X70" s="198"/>
      <c r="Y70" s="198"/>
      <c r="Z70" s="198"/>
      <c r="AA70" s="198"/>
    </row>
    <row r="71">
      <c r="A71" s="201"/>
      <c r="B71" s="201"/>
      <c r="C71" s="198"/>
      <c r="D71" s="198"/>
      <c r="E71" s="198"/>
      <c r="F71" s="198"/>
      <c r="G71" s="198"/>
      <c r="H71" s="198"/>
      <c r="I71" s="198"/>
      <c r="J71" s="198"/>
      <c r="K71" s="198"/>
      <c r="M71" s="198"/>
      <c r="N71" s="198"/>
      <c r="O71" s="198"/>
      <c r="P71" s="198"/>
      <c r="Q71" s="198"/>
      <c r="R71" s="198"/>
      <c r="S71" s="198"/>
      <c r="T71" s="198"/>
      <c r="U71" s="198"/>
      <c r="V71" s="198"/>
      <c r="W71" s="198"/>
      <c r="X71" s="198"/>
      <c r="Y71" s="198"/>
      <c r="Z71" s="198"/>
      <c r="AA71" s="198"/>
    </row>
    <row r="72">
      <c r="A72" s="201"/>
      <c r="B72" s="201"/>
      <c r="C72" s="198"/>
      <c r="D72" s="198"/>
      <c r="E72" s="198"/>
      <c r="F72" s="198"/>
      <c r="G72" s="198"/>
      <c r="H72" s="198"/>
      <c r="I72" s="198"/>
      <c r="J72" s="198"/>
      <c r="K72" s="198"/>
      <c r="M72" s="198"/>
      <c r="N72" s="198"/>
      <c r="O72" s="198"/>
      <c r="P72" s="198"/>
      <c r="Q72" s="198"/>
      <c r="R72" s="198"/>
      <c r="S72" s="198"/>
      <c r="T72" s="198"/>
      <c r="U72" s="198"/>
      <c r="V72" s="198"/>
      <c r="W72" s="198"/>
      <c r="X72" s="198"/>
      <c r="Y72" s="198"/>
      <c r="Z72" s="198"/>
      <c r="AA72" s="198"/>
    </row>
    <row r="73">
      <c r="A73" s="201"/>
      <c r="B73" s="201"/>
      <c r="C73" s="198"/>
      <c r="D73" s="198"/>
      <c r="E73" s="198"/>
      <c r="F73" s="198"/>
      <c r="G73" s="198"/>
      <c r="H73" s="198"/>
      <c r="I73" s="198"/>
      <c r="J73" s="198"/>
      <c r="K73" s="198"/>
      <c r="M73" s="198"/>
      <c r="N73" s="198"/>
      <c r="O73" s="198"/>
      <c r="P73" s="198"/>
      <c r="Q73" s="198"/>
      <c r="R73" s="198"/>
      <c r="S73" s="198"/>
      <c r="T73" s="198"/>
      <c r="U73" s="198"/>
      <c r="V73" s="198"/>
      <c r="W73" s="198"/>
      <c r="X73" s="198"/>
      <c r="Y73" s="198"/>
      <c r="Z73" s="198"/>
      <c r="AA73" s="198"/>
    </row>
    <row r="74">
      <c r="A74" s="201"/>
      <c r="B74" s="201"/>
      <c r="C74" s="198"/>
      <c r="D74" s="198"/>
      <c r="E74" s="198"/>
      <c r="F74" s="198"/>
      <c r="G74" s="198"/>
      <c r="H74" s="198"/>
      <c r="I74" s="198"/>
      <c r="J74" s="198"/>
      <c r="K74" s="198"/>
      <c r="M74" s="198"/>
      <c r="N74" s="198"/>
      <c r="O74" s="198"/>
      <c r="P74" s="198"/>
      <c r="Q74" s="198"/>
      <c r="R74" s="198"/>
      <c r="S74" s="198"/>
      <c r="T74" s="198"/>
      <c r="U74" s="198"/>
      <c r="V74" s="198"/>
      <c r="W74" s="198"/>
      <c r="X74" s="198"/>
      <c r="Y74" s="198"/>
      <c r="Z74" s="198"/>
      <c r="AA74" s="198"/>
    </row>
    <row r="75">
      <c r="A75" s="201"/>
      <c r="B75" s="201"/>
      <c r="C75" s="198"/>
      <c r="D75" s="198"/>
      <c r="E75" s="198"/>
      <c r="F75" s="198"/>
      <c r="G75" s="198"/>
      <c r="H75" s="198"/>
      <c r="I75" s="198"/>
      <c r="J75" s="198"/>
      <c r="K75" s="198"/>
      <c r="M75" s="198"/>
      <c r="N75" s="198"/>
      <c r="O75" s="198"/>
      <c r="P75" s="198"/>
      <c r="Q75" s="198"/>
      <c r="R75" s="198"/>
      <c r="S75" s="198"/>
      <c r="T75" s="198"/>
      <c r="U75" s="198"/>
      <c r="V75" s="198"/>
      <c r="W75" s="198"/>
      <c r="X75" s="198"/>
      <c r="Y75" s="198"/>
      <c r="Z75" s="198"/>
      <c r="AA75" s="198"/>
    </row>
    <row r="76">
      <c r="A76" s="201"/>
      <c r="B76" s="201"/>
      <c r="C76" s="198"/>
      <c r="D76" s="198"/>
      <c r="E76" s="198"/>
      <c r="F76" s="198"/>
      <c r="G76" s="198"/>
      <c r="H76" s="198"/>
      <c r="I76" s="198"/>
      <c r="J76" s="198"/>
      <c r="K76" s="198"/>
      <c r="M76" s="198"/>
      <c r="N76" s="198"/>
      <c r="O76" s="198"/>
      <c r="P76" s="198"/>
      <c r="Q76" s="198"/>
      <c r="R76" s="198"/>
      <c r="S76" s="198"/>
      <c r="T76" s="198"/>
      <c r="U76" s="198"/>
      <c r="V76" s="198"/>
      <c r="W76" s="198"/>
      <c r="X76" s="198"/>
      <c r="Y76" s="198"/>
      <c r="Z76" s="198"/>
      <c r="AA76" s="198"/>
    </row>
    <row r="77">
      <c r="A77" s="201"/>
      <c r="B77" s="201"/>
      <c r="C77" s="198"/>
      <c r="D77" s="198"/>
      <c r="E77" s="198"/>
      <c r="F77" s="198"/>
      <c r="G77" s="198"/>
      <c r="H77" s="198"/>
      <c r="I77" s="198"/>
      <c r="J77" s="198"/>
      <c r="K77" s="198"/>
      <c r="M77" s="198"/>
      <c r="N77" s="198"/>
      <c r="O77" s="198"/>
      <c r="P77" s="198"/>
      <c r="Q77" s="198"/>
      <c r="R77" s="198"/>
      <c r="S77" s="198"/>
      <c r="T77" s="198"/>
      <c r="U77" s="198"/>
      <c r="V77" s="198"/>
      <c r="W77" s="198"/>
      <c r="X77" s="198"/>
      <c r="Y77" s="198"/>
      <c r="Z77" s="198"/>
      <c r="AA77" s="198"/>
    </row>
    <row r="78">
      <c r="A78" s="201"/>
      <c r="B78" s="201"/>
      <c r="C78" s="198"/>
      <c r="D78" s="198"/>
      <c r="E78" s="198"/>
      <c r="F78" s="198"/>
      <c r="G78" s="198"/>
      <c r="H78" s="198"/>
      <c r="I78" s="198"/>
      <c r="J78" s="198"/>
      <c r="K78" s="198"/>
      <c r="M78" s="198"/>
      <c r="N78" s="198"/>
      <c r="O78" s="198"/>
      <c r="P78" s="198"/>
      <c r="Q78" s="198"/>
      <c r="R78" s="198"/>
      <c r="S78" s="198"/>
      <c r="T78" s="198"/>
      <c r="U78" s="198"/>
      <c r="V78" s="198"/>
      <c r="W78" s="198"/>
      <c r="X78" s="198"/>
      <c r="Y78" s="198"/>
      <c r="Z78" s="198"/>
      <c r="AA78" s="198"/>
    </row>
    <row r="79">
      <c r="A79" s="201"/>
      <c r="B79" s="201"/>
      <c r="C79" s="198"/>
      <c r="D79" s="198"/>
      <c r="E79" s="198"/>
      <c r="F79" s="198"/>
      <c r="G79" s="198"/>
      <c r="H79" s="198"/>
      <c r="I79" s="198"/>
      <c r="J79" s="198"/>
      <c r="K79" s="198"/>
      <c r="M79" s="198"/>
      <c r="N79" s="198"/>
      <c r="O79" s="198"/>
      <c r="P79" s="198"/>
      <c r="Q79" s="198"/>
      <c r="R79" s="198"/>
      <c r="S79" s="198"/>
      <c r="T79" s="198"/>
      <c r="U79" s="198"/>
      <c r="V79" s="198"/>
      <c r="W79" s="198"/>
      <c r="X79" s="198"/>
      <c r="Y79" s="198"/>
      <c r="Z79" s="198"/>
      <c r="AA79" s="198"/>
    </row>
    <row r="80">
      <c r="A80" s="201"/>
      <c r="B80" s="201"/>
      <c r="C80" s="198"/>
      <c r="D80" s="198"/>
      <c r="E80" s="198"/>
      <c r="F80" s="198"/>
      <c r="G80" s="198"/>
      <c r="H80" s="198"/>
      <c r="I80" s="198"/>
      <c r="J80" s="198"/>
      <c r="K80" s="198"/>
      <c r="M80" s="198"/>
      <c r="N80" s="198"/>
      <c r="O80" s="198"/>
      <c r="P80" s="198"/>
      <c r="Q80" s="198"/>
      <c r="R80" s="198"/>
      <c r="S80" s="198"/>
      <c r="T80" s="198"/>
      <c r="U80" s="198"/>
      <c r="V80" s="198"/>
      <c r="W80" s="198"/>
      <c r="X80" s="198"/>
      <c r="Y80" s="198"/>
      <c r="Z80" s="198"/>
      <c r="AA80" s="198"/>
    </row>
    <row r="81">
      <c r="A81" s="201"/>
      <c r="B81" s="201"/>
      <c r="C81" s="198"/>
      <c r="D81" s="198"/>
      <c r="E81" s="198"/>
      <c r="F81" s="198"/>
      <c r="G81" s="198"/>
      <c r="H81" s="198"/>
      <c r="I81" s="198"/>
      <c r="J81" s="198"/>
      <c r="K81" s="198"/>
      <c r="M81" s="198"/>
      <c r="N81" s="198"/>
      <c r="O81" s="198"/>
      <c r="P81" s="198"/>
      <c r="Q81" s="198"/>
      <c r="R81" s="198"/>
      <c r="S81" s="198"/>
      <c r="T81" s="198"/>
      <c r="U81" s="198"/>
      <c r="V81" s="198"/>
      <c r="W81" s="198"/>
      <c r="X81" s="198"/>
      <c r="Y81" s="198"/>
      <c r="Z81" s="198"/>
      <c r="AA81" s="198"/>
    </row>
    <row r="82">
      <c r="A82" s="201"/>
      <c r="B82" s="201"/>
      <c r="C82" s="198"/>
      <c r="D82" s="198"/>
      <c r="E82" s="198"/>
      <c r="F82" s="198"/>
      <c r="G82" s="198"/>
      <c r="H82" s="198"/>
      <c r="I82" s="198"/>
      <c r="J82" s="198"/>
      <c r="K82" s="198"/>
      <c r="M82" s="198"/>
      <c r="N82" s="198"/>
      <c r="O82" s="198"/>
      <c r="P82" s="198"/>
      <c r="Q82" s="198"/>
      <c r="R82" s="198"/>
      <c r="S82" s="198"/>
      <c r="T82" s="198"/>
      <c r="U82" s="198"/>
      <c r="V82" s="198"/>
      <c r="W82" s="198"/>
      <c r="X82" s="198"/>
      <c r="Y82" s="198"/>
      <c r="Z82" s="198"/>
      <c r="AA82" s="198"/>
    </row>
    <row r="83">
      <c r="A83" s="201"/>
      <c r="B83" s="201"/>
      <c r="C83" s="198"/>
      <c r="D83" s="198"/>
      <c r="E83" s="198"/>
      <c r="F83" s="198"/>
      <c r="G83" s="198"/>
      <c r="H83" s="198"/>
      <c r="I83" s="198"/>
      <c r="J83" s="198"/>
      <c r="K83" s="198"/>
      <c r="M83" s="198"/>
      <c r="N83" s="198"/>
      <c r="O83" s="198"/>
      <c r="P83" s="198"/>
      <c r="Q83" s="198"/>
      <c r="R83" s="198"/>
      <c r="S83" s="198"/>
      <c r="T83" s="198"/>
      <c r="U83" s="198"/>
      <c r="V83" s="198"/>
      <c r="W83" s="198"/>
      <c r="X83" s="198"/>
      <c r="Y83" s="198"/>
      <c r="Z83" s="198"/>
      <c r="AA83" s="198"/>
    </row>
    <row r="84">
      <c r="A84" s="201"/>
      <c r="B84" s="201"/>
      <c r="C84" s="198"/>
      <c r="D84" s="198"/>
      <c r="E84" s="198"/>
      <c r="F84" s="198"/>
      <c r="G84" s="198"/>
      <c r="H84" s="198"/>
      <c r="I84" s="198"/>
      <c r="J84" s="198"/>
      <c r="K84" s="198"/>
      <c r="M84" s="198"/>
      <c r="N84" s="198"/>
      <c r="O84" s="198"/>
      <c r="P84" s="198"/>
      <c r="Q84" s="198"/>
      <c r="R84" s="198"/>
      <c r="S84" s="198"/>
      <c r="T84" s="198"/>
      <c r="U84" s="198"/>
      <c r="V84" s="198"/>
      <c r="W84" s="198"/>
      <c r="X84" s="198"/>
      <c r="Y84" s="198"/>
      <c r="Z84" s="198"/>
      <c r="AA84" s="198"/>
    </row>
    <row r="85">
      <c r="A85" s="201"/>
      <c r="B85" s="201"/>
      <c r="C85" s="198"/>
      <c r="D85" s="198"/>
      <c r="E85" s="198"/>
      <c r="F85" s="198"/>
      <c r="G85" s="198"/>
      <c r="H85" s="198"/>
      <c r="I85" s="198"/>
      <c r="J85" s="198"/>
      <c r="K85" s="198"/>
      <c r="M85" s="198"/>
      <c r="N85" s="198"/>
      <c r="O85" s="198"/>
      <c r="P85" s="198"/>
      <c r="Q85" s="198"/>
      <c r="R85" s="198"/>
      <c r="S85" s="198"/>
      <c r="T85" s="198"/>
      <c r="U85" s="198"/>
      <c r="V85" s="198"/>
      <c r="W85" s="198"/>
      <c r="X85" s="198"/>
      <c r="Y85" s="198"/>
      <c r="Z85" s="198"/>
      <c r="AA85" s="198"/>
    </row>
    <row r="86">
      <c r="A86" s="201"/>
      <c r="B86" s="201"/>
      <c r="C86" s="198"/>
      <c r="D86" s="198"/>
      <c r="E86" s="198"/>
      <c r="F86" s="198"/>
      <c r="G86" s="198"/>
      <c r="H86" s="198"/>
      <c r="I86" s="198"/>
      <c r="J86" s="198"/>
      <c r="K86" s="198"/>
      <c r="M86" s="198"/>
      <c r="N86" s="198"/>
      <c r="O86" s="198"/>
      <c r="P86" s="198"/>
      <c r="Q86" s="198"/>
      <c r="R86" s="198"/>
      <c r="S86" s="198"/>
      <c r="T86" s="198"/>
      <c r="U86" s="198"/>
      <c r="V86" s="198"/>
      <c r="W86" s="198"/>
      <c r="X86" s="198"/>
      <c r="Y86" s="198"/>
      <c r="Z86" s="198"/>
      <c r="AA86" s="198"/>
    </row>
    <row r="87">
      <c r="A87" s="201"/>
      <c r="B87" s="201"/>
      <c r="C87" s="198"/>
      <c r="D87" s="198"/>
      <c r="E87" s="198"/>
      <c r="F87" s="198"/>
      <c r="G87" s="198"/>
      <c r="H87" s="198"/>
      <c r="I87" s="198"/>
      <c r="J87" s="198"/>
      <c r="K87" s="198"/>
      <c r="M87" s="198"/>
      <c r="N87" s="198"/>
      <c r="O87" s="198"/>
      <c r="P87" s="198"/>
      <c r="Q87" s="198"/>
      <c r="R87" s="198"/>
      <c r="S87" s="198"/>
      <c r="T87" s="198"/>
      <c r="U87" s="198"/>
      <c r="V87" s="198"/>
      <c r="W87" s="198"/>
      <c r="X87" s="198"/>
      <c r="Y87" s="198"/>
      <c r="Z87" s="198"/>
      <c r="AA87" s="198"/>
    </row>
    <row r="88">
      <c r="A88" s="201"/>
      <c r="B88" s="201"/>
      <c r="C88" s="198"/>
      <c r="D88" s="198"/>
      <c r="E88" s="198"/>
      <c r="F88" s="198"/>
      <c r="G88" s="198"/>
      <c r="H88" s="198"/>
      <c r="I88" s="198"/>
      <c r="J88" s="198"/>
      <c r="K88" s="198"/>
      <c r="M88" s="198"/>
      <c r="N88" s="198"/>
      <c r="O88" s="198"/>
      <c r="P88" s="198"/>
      <c r="Q88" s="198"/>
      <c r="R88" s="198"/>
      <c r="S88" s="198"/>
      <c r="T88" s="198"/>
      <c r="U88" s="198"/>
      <c r="V88" s="198"/>
      <c r="W88" s="198"/>
      <c r="X88" s="198"/>
      <c r="Y88" s="198"/>
      <c r="Z88" s="198"/>
      <c r="AA88" s="198"/>
    </row>
    <row r="89">
      <c r="A89" s="201"/>
      <c r="B89" s="201"/>
      <c r="C89" s="198"/>
      <c r="D89" s="198"/>
      <c r="E89" s="198"/>
      <c r="F89" s="198"/>
      <c r="G89" s="198"/>
      <c r="H89" s="198"/>
      <c r="I89" s="198"/>
      <c r="J89" s="198"/>
      <c r="K89" s="198"/>
      <c r="M89" s="198"/>
      <c r="N89" s="198"/>
      <c r="O89" s="198"/>
      <c r="P89" s="198"/>
      <c r="Q89" s="198"/>
      <c r="R89" s="198"/>
      <c r="S89" s="198"/>
      <c r="T89" s="198"/>
      <c r="U89" s="198"/>
      <c r="V89" s="198"/>
      <c r="W89" s="198"/>
      <c r="X89" s="198"/>
      <c r="Y89" s="198"/>
      <c r="Z89" s="198"/>
      <c r="AA89" s="198"/>
    </row>
    <row r="90">
      <c r="A90" s="201"/>
      <c r="B90" s="201"/>
      <c r="C90" s="198"/>
      <c r="D90" s="198"/>
      <c r="E90" s="198"/>
      <c r="F90" s="198"/>
      <c r="G90" s="198"/>
      <c r="H90" s="198"/>
      <c r="I90" s="198"/>
      <c r="J90" s="198"/>
      <c r="K90" s="198"/>
      <c r="M90" s="198"/>
      <c r="N90" s="198"/>
      <c r="O90" s="198"/>
      <c r="P90" s="198"/>
      <c r="Q90" s="198"/>
      <c r="R90" s="198"/>
      <c r="S90" s="198"/>
      <c r="T90" s="198"/>
      <c r="U90" s="198"/>
      <c r="V90" s="198"/>
      <c r="W90" s="198"/>
      <c r="X90" s="198"/>
      <c r="Y90" s="198"/>
      <c r="Z90" s="198"/>
      <c r="AA90" s="198"/>
    </row>
    <row r="91">
      <c r="A91" s="201"/>
      <c r="B91" s="201"/>
      <c r="C91" s="198"/>
      <c r="D91" s="198"/>
      <c r="E91" s="198"/>
      <c r="F91" s="198"/>
      <c r="G91" s="198"/>
      <c r="H91" s="198"/>
      <c r="I91" s="198"/>
      <c r="J91" s="198"/>
      <c r="K91" s="198"/>
      <c r="M91" s="198"/>
      <c r="N91" s="198"/>
      <c r="O91" s="198"/>
      <c r="P91" s="198"/>
      <c r="Q91" s="198"/>
      <c r="R91" s="198"/>
      <c r="S91" s="198"/>
      <c r="T91" s="198"/>
      <c r="U91" s="198"/>
      <c r="V91" s="198"/>
      <c r="W91" s="198"/>
      <c r="X91" s="198"/>
      <c r="Y91" s="198"/>
      <c r="Z91" s="198"/>
      <c r="AA91" s="198"/>
    </row>
    <row r="92">
      <c r="A92" s="201"/>
      <c r="B92" s="201"/>
      <c r="C92" s="198"/>
      <c r="D92" s="198"/>
      <c r="E92" s="198"/>
      <c r="F92" s="198"/>
      <c r="G92" s="198"/>
      <c r="H92" s="198"/>
      <c r="I92" s="198"/>
      <c r="J92" s="198"/>
      <c r="K92" s="198"/>
      <c r="M92" s="198"/>
      <c r="N92" s="198"/>
      <c r="O92" s="198"/>
      <c r="P92" s="198"/>
      <c r="Q92" s="198"/>
      <c r="R92" s="198"/>
      <c r="S92" s="198"/>
      <c r="T92" s="198"/>
      <c r="U92" s="198"/>
      <c r="V92" s="198"/>
      <c r="W92" s="198"/>
      <c r="X92" s="198"/>
      <c r="Y92" s="198"/>
      <c r="Z92" s="198"/>
      <c r="AA92" s="198"/>
    </row>
    <row r="93">
      <c r="A93" s="201"/>
      <c r="B93" s="201"/>
      <c r="C93" s="198"/>
      <c r="D93" s="198"/>
      <c r="E93" s="198"/>
      <c r="F93" s="198"/>
      <c r="G93" s="198"/>
      <c r="H93" s="198"/>
      <c r="I93" s="198"/>
      <c r="J93" s="198"/>
      <c r="K93" s="198"/>
      <c r="M93" s="198"/>
      <c r="N93" s="198"/>
      <c r="O93" s="198"/>
      <c r="P93" s="198"/>
      <c r="Q93" s="198"/>
      <c r="R93" s="198"/>
      <c r="S93" s="198"/>
      <c r="T93" s="198"/>
      <c r="U93" s="198"/>
      <c r="V93" s="198"/>
      <c r="W93" s="198"/>
      <c r="X93" s="198"/>
      <c r="Y93" s="198"/>
      <c r="Z93" s="198"/>
      <c r="AA93" s="198"/>
    </row>
    <row r="94">
      <c r="A94" s="201"/>
      <c r="B94" s="201"/>
      <c r="C94" s="198"/>
      <c r="D94" s="198"/>
      <c r="E94" s="198"/>
      <c r="F94" s="198"/>
      <c r="G94" s="198"/>
      <c r="H94" s="198"/>
      <c r="I94" s="198"/>
      <c r="J94" s="198"/>
      <c r="K94" s="198"/>
      <c r="M94" s="198"/>
      <c r="N94" s="198"/>
      <c r="O94" s="198"/>
      <c r="P94" s="198"/>
      <c r="Q94" s="198"/>
      <c r="R94" s="198"/>
      <c r="S94" s="198"/>
      <c r="T94" s="198"/>
      <c r="U94" s="198"/>
      <c r="V94" s="198"/>
      <c r="W94" s="198"/>
      <c r="X94" s="198"/>
      <c r="Y94" s="198"/>
      <c r="Z94" s="198"/>
      <c r="AA94" s="198"/>
    </row>
    <row r="95">
      <c r="A95" s="201"/>
      <c r="B95" s="201"/>
      <c r="C95" s="198"/>
      <c r="D95" s="198"/>
      <c r="E95" s="198"/>
      <c r="F95" s="198"/>
      <c r="G95" s="198"/>
      <c r="H95" s="198"/>
      <c r="I95" s="198"/>
      <c r="J95" s="198"/>
      <c r="K95" s="198"/>
      <c r="M95" s="198"/>
      <c r="N95" s="198"/>
      <c r="O95" s="198"/>
      <c r="P95" s="198"/>
      <c r="Q95" s="198"/>
      <c r="R95" s="198"/>
      <c r="S95" s="198"/>
      <c r="T95" s="198"/>
      <c r="U95" s="198"/>
      <c r="V95" s="198"/>
      <c r="W95" s="198"/>
      <c r="X95" s="198"/>
      <c r="Y95" s="198"/>
      <c r="Z95" s="198"/>
      <c r="AA95" s="198"/>
    </row>
    <row r="96">
      <c r="A96" s="201"/>
      <c r="B96" s="201"/>
      <c r="C96" s="198"/>
      <c r="D96" s="198"/>
      <c r="E96" s="198"/>
      <c r="F96" s="198"/>
      <c r="G96" s="198"/>
      <c r="H96" s="198"/>
      <c r="I96" s="198"/>
      <c r="J96" s="198"/>
      <c r="K96" s="198"/>
      <c r="M96" s="198"/>
      <c r="N96" s="198"/>
      <c r="O96" s="198"/>
      <c r="P96" s="198"/>
      <c r="Q96" s="198"/>
      <c r="R96" s="198"/>
      <c r="S96" s="198"/>
      <c r="T96" s="198"/>
      <c r="U96" s="198"/>
      <c r="V96" s="198"/>
      <c r="W96" s="198"/>
      <c r="X96" s="198"/>
      <c r="Y96" s="198"/>
      <c r="Z96" s="198"/>
      <c r="AA96" s="198"/>
    </row>
    <row r="97">
      <c r="A97" s="201"/>
      <c r="B97" s="201"/>
      <c r="C97" s="198"/>
      <c r="D97" s="198"/>
      <c r="E97" s="198"/>
      <c r="F97" s="198"/>
      <c r="G97" s="198"/>
      <c r="H97" s="198"/>
      <c r="I97" s="198"/>
      <c r="J97" s="198"/>
      <c r="K97" s="198"/>
      <c r="M97" s="198"/>
      <c r="N97" s="198"/>
      <c r="O97" s="198"/>
      <c r="P97" s="198"/>
      <c r="Q97" s="198"/>
      <c r="R97" s="198"/>
      <c r="S97" s="198"/>
      <c r="T97" s="198"/>
      <c r="U97" s="198"/>
      <c r="V97" s="198"/>
      <c r="W97" s="198"/>
      <c r="X97" s="198"/>
      <c r="Y97" s="198"/>
      <c r="Z97" s="198"/>
      <c r="AA97" s="198"/>
    </row>
    <row r="98">
      <c r="A98" s="201"/>
      <c r="B98" s="201"/>
      <c r="C98" s="198"/>
      <c r="D98" s="198"/>
      <c r="E98" s="198"/>
      <c r="F98" s="198"/>
      <c r="G98" s="198"/>
      <c r="H98" s="198"/>
      <c r="I98" s="198"/>
      <c r="J98" s="198"/>
      <c r="K98" s="198"/>
      <c r="M98" s="198"/>
      <c r="N98" s="198"/>
      <c r="O98" s="198"/>
      <c r="P98" s="198"/>
      <c r="Q98" s="198"/>
      <c r="R98" s="198"/>
      <c r="S98" s="198"/>
      <c r="T98" s="198"/>
      <c r="U98" s="198"/>
      <c r="V98" s="198"/>
      <c r="W98" s="198"/>
      <c r="X98" s="198"/>
      <c r="Y98" s="198"/>
      <c r="Z98" s="198"/>
      <c r="AA98" s="198"/>
    </row>
    <row r="99">
      <c r="A99" s="201"/>
      <c r="B99" s="201"/>
      <c r="C99" s="198"/>
      <c r="D99" s="198"/>
      <c r="E99" s="198"/>
      <c r="F99" s="198"/>
      <c r="G99" s="198"/>
      <c r="H99" s="198"/>
      <c r="I99" s="198"/>
      <c r="J99" s="198"/>
      <c r="K99" s="198"/>
      <c r="M99" s="198"/>
      <c r="N99" s="198"/>
      <c r="O99" s="198"/>
      <c r="P99" s="198"/>
      <c r="Q99" s="198"/>
      <c r="R99" s="198"/>
      <c r="S99" s="198"/>
      <c r="T99" s="198"/>
      <c r="U99" s="198"/>
      <c r="V99" s="198"/>
      <c r="W99" s="198"/>
      <c r="X99" s="198"/>
      <c r="Y99" s="198"/>
      <c r="Z99" s="198"/>
      <c r="AA99" s="198"/>
    </row>
    <row r="100">
      <c r="A100" s="201"/>
      <c r="B100" s="201"/>
      <c r="C100" s="198"/>
      <c r="D100" s="198"/>
      <c r="E100" s="198"/>
      <c r="F100" s="198"/>
      <c r="G100" s="198"/>
      <c r="H100" s="198"/>
      <c r="I100" s="198"/>
      <c r="J100" s="198"/>
      <c r="K100" s="198"/>
      <c r="M100" s="198"/>
      <c r="N100" s="198"/>
      <c r="O100" s="198"/>
      <c r="P100" s="198"/>
      <c r="Q100" s="198"/>
      <c r="R100" s="198"/>
      <c r="S100" s="198"/>
      <c r="T100" s="198"/>
      <c r="U100" s="198"/>
      <c r="V100" s="198"/>
      <c r="W100" s="198"/>
      <c r="X100" s="198"/>
      <c r="Y100" s="198"/>
      <c r="Z100" s="198"/>
      <c r="AA100" s="198"/>
    </row>
    <row r="101">
      <c r="A101" s="201"/>
      <c r="B101" s="201"/>
      <c r="C101" s="198"/>
      <c r="D101" s="198"/>
      <c r="E101" s="198"/>
      <c r="F101" s="198"/>
      <c r="G101" s="198"/>
      <c r="H101" s="198"/>
      <c r="I101" s="198"/>
      <c r="J101" s="198"/>
      <c r="K101" s="198"/>
      <c r="M101" s="198"/>
      <c r="N101" s="198"/>
      <c r="O101" s="198"/>
      <c r="P101" s="198"/>
      <c r="Q101" s="198"/>
      <c r="R101" s="198"/>
      <c r="S101" s="198"/>
      <c r="T101" s="198"/>
      <c r="U101" s="198"/>
      <c r="V101" s="198"/>
      <c r="W101" s="198"/>
      <c r="X101" s="198"/>
      <c r="Y101" s="198"/>
      <c r="Z101" s="198"/>
      <c r="AA101" s="198"/>
    </row>
    <row r="102">
      <c r="A102" s="201"/>
      <c r="B102" s="201"/>
      <c r="C102" s="198"/>
      <c r="D102" s="198"/>
      <c r="E102" s="198"/>
      <c r="F102" s="198"/>
      <c r="G102" s="198"/>
      <c r="H102" s="198"/>
      <c r="I102" s="198"/>
      <c r="J102" s="198"/>
      <c r="K102" s="198"/>
      <c r="M102" s="198"/>
      <c r="N102" s="198"/>
      <c r="O102" s="198"/>
      <c r="P102" s="198"/>
      <c r="Q102" s="198"/>
      <c r="R102" s="198"/>
      <c r="S102" s="198"/>
      <c r="T102" s="198"/>
      <c r="U102" s="198"/>
      <c r="V102" s="198"/>
      <c r="W102" s="198"/>
      <c r="X102" s="198"/>
      <c r="Y102" s="198"/>
      <c r="Z102" s="198"/>
      <c r="AA102" s="198"/>
    </row>
    <row r="103">
      <c r="A103" s="201"/>
      <c r="B103" s="201"/>
      <c r="C103" s="198"/>
      <c r="D103" s="198"/>
      <c r="E103" s="198"/>
      <c r="F103" s="198"/>
      <c r="G103" s="198"/>
      <c r="H103" s="198"/>
      <c r="I103" s="198"/>
      <c r="J103" s="198"/>
      <c r="K103" s="198"/>
      <c r="M103" s="198"/>
      <c r="N103" s="198"/>
      <c r="O103" s="198"/>
      <c r="P103" s="198"/>
      <c r="Q103" s="198"/>
      <c r="R103" s="198"/>
      <c r="S103" s="198"/>
      <c r="T103" s="198"/>
      <c r="U103" s="198"/>
      <c r="V103" s="198"/>
      <c r="W103" s="198"/>
      <c r="X103" s="198"/>
      <c r="Y103" s="198"/>
      <c r="Z103" s="198"/>
      <c r="AA103" s="198"/>
    </row>
    <row r="104">
      <c r="A104" s="201"/>
      <c r="B104" s="201"/>
      <c r="C104" s="198"/>
      <c r="D104" s="198"/>
      <c r="E104" s="198"/>
      <c r="F104" s="198"/>
      <c r="G104" s="198"/>
      <c r="H104" s="198"/>
      <c r="I104" s="198"/>
      <c r="J104" s="198"/>
      <c r="K104" s="198"/>
      <c r="M104" s="198"/>
      <c r="N104" s="198"/>
      <c r="O104" s="198"/>
      <c r="P104" s="198"/>
      <c r="Q104" s="198"/>
      <c r="R104" s="198"/>
      <c r="S104" s="198"/>
      <c r="T104" s="198"/>
      <c r="U104" s="198"/>
      <c r="V104" s="198"/>
      <c r="W104" s="198"/>
      <c r="X104" s="198"/>
      <c r="Y104" s="198"/>
      <c r="Z104" s="198"/>
      <c r="AA104" s="198"/>
    </row>
    <row r="105">
      <c r="A105" s="201"/>
      <c r="B105" s="201"/>
      <c r="C105" s="198"/>
      <c r="D105" s="198"/>
      <c r="E105" s="198"/>
      <c r="F105" s="198"/>
      <c r="G105" s="198"/>
      <c r="H105" s="198"/>
      <c r="I105" s="198"/>
      <c r="J105" s="198"/>
      <c r="K105" s="198"/>
      <c r="M105" s="198"/>
      <c r="N105" s="198"/>
      <c r="O105" s="198"/>
      <c r="P105" s="198"/>
      <c r="Q105" s="198"/>
      <c r="R105" s="198"/>
      <c r="S105" s="198"/>
      <c r="T105" s="198"/>
      <c r="U105" s="198"/>
      <c r="V105" s="198"/>
      <c r="W105" s="198"/>
      <c r="X105" s="198"/>
      <c r="Y105" s="198"/>
      <c r="Z105" s="198"/>
      <c r="AA105" s="198"/>
    </row>
    <row r="106">
      <c r="A106" s="201"/>
      <c r="B106" s="201"/>
      <c r="C106" s="198"/>
      <c r="D106" s="198"/>
      <c r="E106" s="198"/>
      <c r="F106" s="198"/>
      <c r="G106" s="198"/>
      <c r="H106" s="198"/>
      <c r="I106" s="198"/>
      <c r="J106" s="198"/>
      <c r="K106" s="198"/>
      <c r="M106" s="198"/>
      <c r="N106" s="198"/>
      <c r="O106" s="198"/>
      <c r="P106" s="198"/>
      <c r="Q106" s="198"/>
      <c r="R106" s="198"/>
      <c r="S106" s="198"/>
      <c r="T106" s="198"/>
      <c r="U106" s="198"/>
      <c r="V106" s="198"/>
      <c r="W106" s="198"/>
      <c r="X106" s="198"/>
      <c r="Y106" s="198"/>
      <c r="Z106" s="198"/>
      <c r="AA106" s="198"/>
    </row>
    <row r="107">
      <c r="A107" s="201"/>
      <c r="B107" s="201"/>
      <c r="C107" s="198"/>
      <c r="D107" s="198"/>
      <c r="E107" s="198"/>
      <c r="F107" s="198"/>
      <c r="G107" s="198"/>
      <c r="H107" s="198"/>
      <c r="I107" s="198"/>
      <c r="J107" s="198"/>
      <c r="K107" s="198"/>
      <c r="M107" s="198"/>
      <c r="N107" s="198"/>
      <c r="O107" s="198"/>
      <c r="P107" s="198"/>
      <c r="Q107" s="198"/>
      <c r="R107" s="198"/>
      <c r="S107" s="198"/>
      <c r="T107" s="198"/>
      <c r="U107" s="198"/>
      <c r="V107" s="198"/>
      <c r="W107" s="198"/>
      <c r="X107" s="198"/>
      <c r="Y107" s="198"/>
      <c r="Z107" s="198"/>
      <c r="AA107" s="198"/>
    </row>
    <row r="108">
      <c r="A108" s="201"/>
      <c r="B108" s="201"/>
      <c r="C108" s="198"/>
      <c r="D108" s="198"/>
      <c r="E108" s="198"/>
      <c r="F108" s="198"/>
      <c r="G108" s="198"/>
      <c r="H108" s="198"/>
      <c r="I108" s="198"/>
      <c r="J108" s="198"/>
      <c r="K108" s="198"/>
      <c r="M108" s="198"/>
      <c r="N108" s="198"/>
      <c r="O108" s="198"/>
      <c r="P108" s="198"/>
      <c r="Q108" s="198"/>
      <c r="R108" s="198"/>
      <c r="S108" s="198"/>
      <c r="T108" s="198"/>
      <c r="U108" s="198"/>
      <c r="V108" s="198"/>
      <c r="W108" s="198"/>
      <c r="X108" s="198"/>
      <c r="Y108" s="198"/>
      <c r="Z108" s="198"/>
      <c r="AA108" s="198"/>
    </row>
    <row r="109">
      <c r="A109" s="201"/>
      <c r="B109" s="201"/>
      <c r="C109" s="198"/>
      <c r="D109" s="198"/>
      <c r="E109" s="198"/>
      <c r="F109" s="198"/>
      <c r="G109" s="198"/>
      <c r="H109" s="198"/>
      <c r="I109" s="198"/>
      <c r="J109" s="198"/>
      <c r="K109" s="198"/>
      <c r="M109" s="198"/>
      <c r="N109" s="198"/>
      <c r="O109" s="198"/>
      <c r="P109" s="198"/>
      <c r="Q109" s="198"/>
      <c r="R109" s="198"/>
      <c r="S109" s="198"/>
      <c r="T109" s="198"/>
      <c r="U109" s="198"/>
      <c r="V109" s="198"/>
      <c r="W109" s="198"/>
      <c r="X109" s="198"/>
      <c r="Y109" s="198"/>
      <c r="Z109" s="198"/>
      <c r="AA109" s="198"/>
    </row>
    <row r="110">
      <c r="A110" s="201"/>
      <c r="B110" s="201"/>
      <c r="C110" s="198"/>
      <c r="D110" s="198"/>
      <c r="E110" s="198"/>
      <c r="F110" s="198"/>
      <c r="G110" s="198"/>
      <c r="H110" s="198"/>
      <c r="I110" s="198"/>
      <c r="J110" s="198"/>
      <c r="K110" s="198"/>
      <c r="M110" s="198"/>
      <c r="N110" s="198"/>
      <c r="O110" s="198"/>
      <c r="P110" s="198"/>
      <c r="Q110" s="198"/>
      <c r="R110" s="198"/>
      <c r="S110" s="198"/>
      <c r="T110" s="198"/>
      <c r="U110" s="198"/>
      <c r="V110" s="198"/>
      <c r="W110" s="198"/>
      <c r="X110" s="198"/>
      <c r="Y110" s="198"/>
      <c r="Z110" s="198"/>
      <c r="AA110" s="198"/>
    </row>
    <row r="111">
      <c r="A111" s="201"/>
      <c r="B111" s="201"/>
      <c r="C111" s="198"/>
      <c r="D111" s="198"/>
      <c r="E111" s="198"/>
      <c r="F111" s="198"/>
      <c r="G111" s="198"/>
      <c r="H111" s="198"/>
      <c r="I111" s="198"/>
      <c r="J111" s="198"/>
      <c r="K111" s="198"/>
      <c r="M111" s="198"/>
      <c r="N111" s="198"/>
      <c r="O111" s="198"/>
      <c r="P111" s="198"/>
      <c r="Q111" s="198"/>
      <c r="R111" s="198"/>
      <c r="S111" s="198"/>
      <c r="T111" s="198"/>
      <c r="U111" s="198"/>
      <c r="V111" s="198"/>
      <c r="W111" s="198"/>
      <c r="X111" s="198"/>
      <c r="Y111" s="198"/>
      <c r="Z111" s="198"/>
      <c r="AA111" s="198"/>
    </row>
    <row r="112">
      <c r="A112" s="201"/>
      <c r="B112" s="201"/>
      <c r="C112" s="198"/>
      <c r="D112" s="198"/>
      <c r="E112" s="198"/>
      <c r="F112" s="198"/>
      <c r="G112" s="198"/>
      <c r="H112" s="198"/>
      <c r="I112" s="198"/>
      <c r="J112" s="198"/>
      <c r="K112" s="198"/>
      <c r="M112" s="198"/>
      <c r="N112" s="198"/>
      <c r="O112" s="198"/>
      <c r="P112" s="198"/>
      <c r="Q112" s="198"/>
      <c r="R112" s="198"/>
      <c r="S112" s="198"/>
      <c r="T112" s="198"/>
      <c r="U112" s="198"/>
      <c r="V112" s="198"/>
      <c r="W112" s="198"/>
      <c r="X112" s="198"/>
      <c r="Y112" s="198"/>
      <c r="Z112" s="198"/>
      <c r="AA112" s="198"/>
    </row>
    <row r="113">
      <c r="A113" s="201"/>
      <c r="B113" s="201"/>
      <c r="C113" s="198"/>
      <c r="D113" s="198"/>
      <c r="E113" s="198"/>
      <c r="F113" s="198"/>
      <c r="G113" s="198"/>
      <c r="H113" s="198"/>
      <c r="I113" s="198"/>
      <c r="J113" s="198"/>
      <c r="K113" s="198"/>
      <c r="M113" s="198"/>
      <c r="N113" s="198"/>
      <c r="O113" s="198"/>
      <c r="P113" s="198"/>
      <c r="Q113" s="198"/>
      <c r="R113" s="198"/>
      <c r="S113" s="198"/>
      <c r="T113" s="198"/>
      <c r="U113" s="198"/>
      <c r="V113" s="198"/>
      <c r="W113" s="198"/>
      <c r="X113" s="198"/>
      <c r="Y113" s="198"/>
      <c r="Z113" s="198"/>
      <c r="AA113" s="198"/>
    </row>
    <row r="114">
      <c r="A114" s="201"/>
      <c r="B114" s="201"/>
      <c r="C114" s="198"/>
      <c r="D114" s="198"/>
      <c r="E114" s="198"/>
      <c r="F114" s="198"/>
      <c r="G114" s="198"/>
      <c r="H114" s="198"/>
      <c r="I114" s="198"/>
      <c r="J114" s="198"/>
      <c r="K114" s="198"/>
      <c r="M114" s="198"/>
      <c r="N114" s="198"/>
      <c r="O114" s="198"/>
      <c r="P114" s="198"/>
      <c r="Q114" s="198"/>
      <c r="R114" s="198"/>
      <c r="S114" s="198"/>
      <c r="T114" s="198"/>
      <c r="U114" s="198"/>
      <c r="V114" s="198"/>
      <c r="W114" s="198"/>
      <c r="X114" s="198"/>
      <c r="Y114" s="198"/>
      <c r="Z114" s="198"/>
      <c r="AA114" s="198"/>
    </row>
    <row r="115">
      <c r="A115" s="201"/>
      <c r="B115" s="201"/>
      <c r="C115" s="198"/>
      <c r="D115" s="198"/>
      <c r="E115" s="198"/>
      <c r="F115" s="198"/>
      <c r="G115" s="198"/>
      <c r="H115" s="198"/>
      <c r="I115" s="198"/>
      <c r="J115" s="198"/>
      <c r="K115" s="198"/>
      <c r="M115" s="198"/>
      <c r="N115" s="198"/>
      <c r="O115" s="198"/>
      <c r="P115" s="198"/>
      <c r="Q115" s="198"/>
      <c r="R115" s="198"/>
      <c r="S115" s="198"/>
      <c r="T115" s="198"/>
      <c r="U115" s="198"/>
      <c r="V115" s="198"/>
      <c r="W115" s="198"/>
      <c r="X115" s="198"/>
      <c r="Y115" s="198"/>
      <c r="Z115" s="198"/>
      <c r="AA115" s="198"/>
    </row>
    <row r="116">
      <c r="A116" s="201"/>
      <c r="B116" s="201"/>
      <c r="C116" s="198"/>
      <c r="D116" s="198"/>
      <c r="E116" s="198"/>
      <c r="F116" s="198"/>
      <c r="G116" s="198"/>
      <c r="H116" s="198"/>
      <c r="I116" s="198"/>
      <c r="J116" s="198"/>
      <c r="K116" s="198"/>
      <c r="M116" s="198"/>
      <c r="N116" s="198"/>
      <c r="O116" s="198"/>
      <c r="P116" s="198"/>
      <c r="Q116" s="198"/>
      <c r="R116" s="198"/>
      <c r="S116" s="198"/>
      <c r="T116" s="198"/>
      <c r="U116" s="198"/>
      <c r="V116" s="198"/>
      <c r="W116" s="198"/>
      <c r="X116" s="198"/>
      <c r="Y116" s="198"/>
      <c r="Z116" s="198"/>
      <c r="AA116" s="198"/>
    </row>
    <row r="117">
      <c r="A117" s="201"/>
      <c r="B117" s="201"/>
      <c r="C117" s="198"/>
      <c r="D117" s="198"/>
      <c r="E117" s="198"/>
      <c r="F117" s="198"/>
      <c r="G117" s="198"/>
      <c r="H117" s="198"/>
      <c r="I117" s="198"/>
      <c r="J117" s="198"/>
      <c r="K117" s="198"/>
      <c r="M117" s="198"/>
      <c r="N117" s="198"/>
      <c r="O117" s="198"/>
      <c r="P117" s="198"/>
      <c r="Q117" s="198"/>
      <c r="R117" s="198"/>
      <c r="S117" s="198"/>
      <c r="T117" s="198"/>
      <c r="U117" s="198"/>
      <c r="V117" s="198"/>
      <c r="W117" s="198"/>
      <c r="X117" s="198"/>
      <c r="Y117" s="198"/>
      <c r="Z117" s="198"/>
      <c r="AA117" s="198"/>
    </row>
    <row r="118">
      <c r="A118" s="201"/>
      <c r="B118" s="201"/>
      <c r="C118" s="198"/>
      <c r="D118" s="198"/>
      <c r="E118" s="198"/>
      <c r="F118" s="198"/>
      <c r="G118" s="198"/>
      <c r="H118" s="198"/>
      <c r="I118" s="198"/>
      <c r="J118" s="198"/>
      <c r="K118" s="198"/>
      <c r="M118" s="198"/>
      <c r="N118" s="198"/>
      <c r="O118" s="198"/>
      <c r="P118" s="198"/>
      <c r="Q118" s="198"/>
      <c r="R118" s="198"/>
      <c r="S118" s="198"/>
      <c r="T118" s="198"/>
      <c r="U118" s="198"/>
      <c r="V118" s="198"/>
      <c r="W118" s="198"/>
      <c r="X118" s="198"/>
      <c r="Y118" s="198"/>
      <c r="Z118" s="198"/>
      <c r="AA118" s="198"/>
    </row>
    <row r="119">
      <c r="A119" s="201"/>
      <c r="B119" s="201"/>
      <c r="C119" s="198"/>
      <c r="D119" s="198"/>
      <c r="E119" s="198"/>
      <c r="F119" s="198"/>
      <c r="G119" s="198"/>
      <c r="H119" s="198"/>
      <c r="I119" s="198"/>
      <c r="J119" s="198"/>
      <c r="K119" s="198"/>
      <c r="M119" s="198"/>
      <c r="N119" s="198"/>
      <c r="O119" s="198"/>
      <c r="P119" s="198"/>
      <c r="Q119" s="198"/>
      <c r="R119" s="198"/>
      <c r="S119" s="198"/>
      <c r="T119" s="198"/>
      <c r="U119" s="198"/>
      <c r="V119" s="198"/>
      <c r="W119" s="198"/>
      <c r="X119" s="198"/>
      <c r="Y119" s="198"/>
      <c r="Z119" s="198"/>
      <c r="AA119" s="198"/>
    </row>
    <row r="120">
      <c r="A120" s="201"/>
      <c r="B120" s="201"/>
      <c r="C120" s="198"/>
      <c r="D120" s="198"/>
      <c r="E120" s="198"/>
      <c r="F120" s="198"/>
      <c r="G120" s="198"/>
      <c r="H120" s="198"/>
      <c r="I120" s="198"/>
      <c r="J120" s="198"/>
      <c r="K120" s="198"/>
      <c r="M120" s="198"/>
      <c r="N120" s="198"/>
      <c r="O120" s="198"/>
      <c r="P120" s="198"/>
      <c r="Q120" s="198"/>
      <c r="R120" s="198"/>
      <c r="S120" s="198"/>
      <c r="T120" s="198"/>
      <c r="U120" s="198"/>
      <c r="V120" s="198"/>
      <c r="W120" s="198"/>
      <c r="X120" s="198"/>
      <c r="Y120" s="198"/>
      <c r="Z120" s="198"/>
      <c r="AA120" s="198"/>
    </row>
    <row r="121">
      <c r="A121" s="201"/>
      <c r="B121" s="201"/>
      <c r="C121" s="198"/>
      <c r="D121" s="198"/>
      <c r="E121" s="198"/>
      <c r="F121" s="198"/>
      <c r="G121" s="198"/>
      <c r="H121" s="198"/>
      <c r="I121" s="198"/>
      <c r="J121" s="198"/>
      <c r="K121" s="198"/>
      <c r="M121" s="198"/>
      <c r="N121" s="198"/>
      <c r="O121" s="198"/>
      <c r="P121" s="198"/>
      <c r="Q121" s="198"/>
      <c r="R121" s="198"/>
      <c r="S121" s="198"/>
      <c r="T121" s="198"/>
      <c r="U121" s="198"/>
      <c r="V121" s="198"/>
      <c r="W121" s="198"/>
      <c r="X121" s="198"/>
      <c r="Y121" s="198"/>
      <c r="Z121" s="198"/>
      <c r="AA121" s="198"/>
    </row>
    <row r="122">
      <c r="A122" s="201"/>
      <c r="B122" s="201"/>
      <c r="C122" s="198"/>
      <c r="D122" s="198"/>
      <c r="E122" s="198"/>
      <c r="F122" s="198"/>
      <c r="G122" s="198"/>
      <c r="H122" s="198"/>
      <c r="I122" s="198"/>
      <c r="J122" s="198"/>
      <c r="K122" s="198"/>
      <c r="M122" s="198"/>
      <c r="N122" s="198"/>
      <c r="O122" s="198"/>
      <c r="P122" s="198"/>
      <c r="Q122" s="198"/>
      <c r="R122" s="198"/>
      <c r="S122" s="198"/>
      <c r="T122" s="198"/>
      <c r="U122" s="198"/>
      <c r="V122" s="198"/>
      <c r="W122" s="198"/>
      <c r="X122" s="198"/>
      <c r="Y122" s="198"/>
      <c r="Z122" s="198"/>
      <c r="AA122" s="198"/>
    </row>
    <row r="123">
      <c r="A123" s="201"/>
      <c r="B123" s="201"/>
      <c r="C123" s="198"/>
      <c r="D123" s="198"/>
      <c r="E123" s="198"/>
      <c r="F123" s="198"/>
      <c r="G123" s="198"/>
      <c r="H123" s="198"/>
      <c r="I123" s="198"/>
      <c r="J123" s="198"/>
      <c r="K123" s="198"/>
      <c r="M123" s="198"/>
      <c r="N123" s="198"/>
      <c r="O123" s="198"/>
      <c r="P123" s="198"/>
      <c r="Q123" s="198"/>
      <c r="R123" s="198"/>
      <c r="S123" s="198"/>
      <c r="T123" s="198"/>
      <c r="U123" s="198"/>
      <c r="V123" s="198"/>
      <c r="W123" s="198"/>
      <c r="X123" s="198"/>
      <c r="Y123" s="198"/>
      <c r="Z123" s="198"/>
      <c r="AA123" s="198"/>
    </row>
    <row r="124">
      <c r="A124" s="201"/>
      <c r="B124" s="201"/>
      <c r="C124" s="198"/>
      <c r="D124" s="198"/>
      <c r="E124" s="198"/>
      <c r="F124" s="198"/>
      <c r="G124" s="198"/>
      <c r="H124" s="198"/>
      <c r="I124" s="198"/>
      <c r="J124" s="198"/>
      <c r="K124" s="198"/>
      <c r="M124" s="198"/>
      <c r="N124" s="198"/>
      <c r="O124" s="198"/>
      <c r="P124" s="198"/>
      <c r="Q124" s="198"/>
      <c r="R124" s="198"/>
      <c r="S124" s="198"/>
      <c r="T124" s="198"/>
      <c r="U124" s="198"/>
      <c r="V124" s="198"/>
      <c r="W124" s="198"/>
      <c r="X124" s="198"/>
      <c r="Y124" s="198"/>
      <c r="Z124" s="198"/>
      <c r="AA124" s="198"/>
    </row>
    <row r="125">
      <c r="A125" s="201"/>
      <c r="B125" s="201"/>
      <c r="C125" s="198"/>
      <c r="D125" s="198"/>
      <c r="E125" s="198"/>
      <c r="F125" s="198"/>
      <c r="G125" s="198"/>
      <c r="H125" s="198"/>
      <c r="I125" s="198"/>
      <c r="J125" s="198"/>
      <c r="K125" s="198"/>
      <c r="M125" s="198"/>
      <c r="N125" s="198"/>
      <c r="O125" s="198"/>
      <c r="P125" s="198"/>
      <c r="Q125" s="198"/>
      <c r="R125" s="198"/>
      <c r="S125" s="198"/>
      <c r="T125" s="198"/>
      <c r="U125" s="198"/>
      <c r="V125" s="198"/>
      <c r="W125" s="198"/>
      <c r="X125" s="198"/>
      <c r="Y125" s="198"/>
      <c r="Z125" s="198"/>
      <c r="AA125" s="198"/>
    </row>
    <row r="126">
      <c r="A126" s="201"/>
      <c r="B126" s="201"/>
      <c r="C126" s="198"/>
      <c r="D126" s="198"/>
      <c r="E126" s="198"/>
      <c r="F126" s="198"/>
      <c r="G126" s="198"/>
      <c r="H126" s="198"/>
      <c r="I126" s="198"/>
      <c r="J126" s="198"/>
      <c r="K126" s="198"/>
      <c r="M126" s="198"/>
      <c r="N126" s="198"/>
      <c r="O126" s="198"/>
      <c r="P126" s="198"/>
      <c r="Q126" s="198"/>
      <c r="R126" s="198"/>
      <c r="S126" s="198"/>
      <c r="T126" s="198"/>
      <c r="U126" s="198"/>
      <c r="V126" s="198"/>
      <c r="W126" s="198"/>
      <c r="X126" s="198"/>
      <c r="Y126" s="198"/>
      <c r="Z126" s="198"/>
      <c r="AA126" s="198"/>
    </row>
    <row r="127">
      <c r="A127" s="201"/>
      <c r="B127" s="201"/>
      <c r="C127" s="198"/>
      <c r="D127" s="198"/>
      <c r="E127" s="198"/>
      <c r="F127" s="198"/>
      <c r="G127" s="198"/>
      <c r="H127" s="198"/>
      <c r="I127" s="198"/>
      <c r="J127" s="198"/>
      <c r="K127" s="198"/>
      <c r="M127" s="198"/>
      <c r="N127" s="198"/>
      <c r="O127" s="198"/>
      <c r="P127" s="198"/>
      <c r="Q127" s="198"/>
      <c r="R127" s="198"/>
      <c r="S127" s="198"/>
      <c r="T127" s="198"/>
      <c r="U127" s="198"/>
      <c r="V127" s="198"/>
      <c r="W127" s="198"/>
      <c r="X127" s="198"/>
      <c r="Y127" s="198"/>
      <c r="Z127" s="198"/>
      <c r="AA127" s="198"/>
    </row>
    <row r="128">
      <c r="A128" s="201"/>
      <c r="B128" s="201"/>
      <c r="C128" s="198"/>
      <c r="D128" s="198"/>
      <c r="E128" s="198"/>
      <c r="F128" s="198"/>
      <c r="G128" s="198"/>
      <c r="H128" s="198"/>
      <c r="I128" s="198"/>
      <c r="J128" s="198"/>
      <c r="K128" s="198"/>
      <c r="M128" s="198"/>
      <c r="N128" s="198"/>
      <c r="O128" s="198"/>
      <c r="P128" s="198"/>
      <c r="Q128" s="198"/>
      <c r="R128" s="198"/>
      <c r="S128" s="198"/>
      <c r="T128" s="198"/>
      <c r="U128" s="198"/>
      <c r="V128" s="198"/>
      <c r="W128" s="198"/>
      <c r="X128" s="198"/>
      <c r="Y128" s="198"/>
      <c r="Z128" s="198"/>
      <c r="AA128" s="198"/>
    </row>
    <row r="129">
      <c r="A129" s="201"/>
      <c r="B129" s="201"/>
      <c r="C129" s="198"/>
      <c r="D129" s="198"/>
      <c r="E129" s="198"/>
      <c r="F129" s="198"/>
      <c r="G129" s="198"/>
      <c r="H129" s="198"/>
      <c r="I129" s="198"/>
      <c r="J129" s="198"/>
      <c r="K129" s="198"/>
      <c r="M129" s="198"/>
      <c r="N129" s="198"/>
      <c r="O129" s="198"/>
      <c r="P129" s="198"/>
      <c r="Q129" s="198"/>
      <c r="R129" s="198"/>
      <c r="S129" s="198"/>
      <c r="T129" s="198"/>
      <c r="U129" s="198"/>
      <c r="V129" s="198"/>
      <c r="W129" s="198"/>
      <c r="X129" s="198"/>
      <c r="Y129" s="198"/>
      <c r="Z129" s="198"/>
      <c r="AA129" s="198"/>
    </row>
    <row r="130">
      <c r="A130" s="201"/>
      <c r="B130" s="201"/>
      <c r="C130" s="198"/>
      <c r="D130" s="198"/>
      <c r="E130" s="198"/>
      <c r="F130" s="198"/>
      <c r="G130" s="198"/>
      <c r="H130" s="198"/>
      <c r="I130" s="198"/>
      <c r="J130" s="198"/>
      <c r="K130" s="198"/>
      <c r="M130" s="198"/>
      <c r="N130" s="198"/>
      <c r="O130" s="198"/>
      <c r="P130" s="198"/>
      <c r="Q130" s="198"/>
      <c r="R130" s="198"/>
      <c r="S130" s="198"/>
      <c r="T130" s="198"/>
      <c r="U130" s="198"/>
      <c r="V130" s="198"/>
      <c r="W130" s="198"/>
      <c r="X130" s="198"/>
      <c r="Y130" s="198"/>
      <c r="Z130" s="198"/>
      <c r="AA130" s="198"/>
    </row>
    <row r="131">
      <c r="A131" s="201"/>
      <c r="B131" s="201"/>
      <c r="C131" s="198"/>
      <c r="D131" s="198"/>
      <c r="E131" s="198"/>
      <c r="F131" s="198"/>
      <c r="G131" s="198"/>
      <c r="H131" s="198"/>
      <c r="I131" s="198"/>
      <c r="J131" s="198"/>
      <c r="K131" s="198"/>
      <c r="M131" s="198"/>
      <c r="N131" s="198"/>
      <c r="O131" s="198"/>
      <c r="P131" s="198"/>
      <c r="Q131" s="198"/>
      <c r="R131" s="198"/>
      <c r="S131" s="198"/>
      <c r="T131" s="198"/>
      <c r="U131" s="198"/>
      <c r="V131" s="198"/>
      <c r="W131" s="198"/>
      <c r="X131" s="198"/>
      <c r="Y131" s="198"/>
      <c r="Z131" s="198"/>
      <c r="AA131" s="198"/>
    </row>
    <row r="132">
      <c r="A132" s="201"/>
      <c r="B132" s="201"/>
      <c r="C132" s="198"/>
      <c r="D132" s="198"/>
      <c r="E132" s="198"/>
      <c r="F132" s="198"/>
      <c r="G132" s="198"/>
      <c r="H132" s="198"/>
      <c r="I132" s="198"/>
      <c r="J132" s="198"/>
      <c r="K132" s="198"/>
      <c r="M132" s="198"/>
      <c r="N132" s="198"/>
      <c r="O132" s="198"/>
      <c r="P132" s="198"/>
      <c r="Q132" s="198"/>
      <c r="R132" s="198"/>
      <c r="S132" s="198"/>
      <c r="T132" s="198"/>
      <c r="U132" s="198"/>
      <c r="V132" s="198"/>
      <c r="W132" s="198"/>
      <c r="X132" s="198"/>
      <c r="Y132" s="198"/>
      <c r="Z132" s="198"/>
      <c r="AA132" s="198"/>
    </row>
    <row r="133">
      <c r="A133" s="201"/>
      <c r="B133" s="201"/>
      <c r="C133" s="198"/>
      <c r="D133" s="198"/>
      <c r="E133" s="198"/>
      <c r="F133" s="198"/>
      <c r="G133" s="198"/>
      <c r="H133" s="198"/>
      <c r="I133" s="198"/>
      <c r="J133" s="198"/>
      <c r="K133" s="198"/>
      <c r="M133" s="198"/>
      <c r="N133" s="198"/>
      <c r="O133" s="198"/>
      <c r="P133" s="198"/>
      <c r="Q133" s="198"/>
      <c r="R133" s="198"/>
      <c r="S133" s="198"/>
      <c r="T133" s="198"/>
      <c r="U133" s="198"/>
      <c r="V133" s="198"/>
      <c r="W133" s="198"/>
      <c r="X133" s="198"/>
      <c r="Y133" s="198"/>
      <c r="Z133" s="198"/>
      <c r="AA133" s="198"/>
    </row>
    <row r="134">
      <c r="A134" s="201"/>
      <c r="B134" s="201"/>
      <c r="C134" s="198"/>
      <c r="D134" s="198"/>
      <c r="E134" s="198"/>
      <c r="F134" s="198"/>
      <c r="G134" s="198"/>
      <c r="H134" s="198"/>
      <c r="I134" s="198"/>
      <c r="J134" s="198"/>
      <c r="K134" s="198"/>
      <c r="M134" s="198"/>
      <c r="N134" s="198"/>
      <c r="O134" s="198"/>
      <c r="P134" s="198"/>
      <c r="Q134" s="198"/>
      <c r="R134" s="198"/>
      <c r="S134" s="198"/>
      <c r="T134" s="198"/>
      <c r="U134" s="198"/>
      <c r="V134" s="198"/>
      <c r="W134" s="198"/>
      <c r="X134" s="198"/>
      <c r="Y134" s="198"/>
      <c r="Z134" s="198"/>
      <c r="AA134" s="198"/>
    </row>
    <row r="135">
      <c r="A135" s="201"/>
      <c r="B135" s="201"/>
      <c r="C135" s="198"/>
      <c r="D135" s="198"/>
      <c r="E135" s="198"/>
      <c r="F135" s="198"/>
      <c r="G135" s="198"/>
      <c r="H135" s="198"/>
      <c r="I135" s="198"/>
      <c r="J135" s="198"/>
      <c r="K135" s="198"/>
      <c r="M135" s="198"/>
      <c r="N135" s="198"/>
      <c r="O135" s="198"/>
      <c r="P135" s="198"/>
      <c r="Q135" s="198"/>
      <c r="R135" s="198"/>
      <c r="S135" s="198"/>
      <c r="T135" s="198"/>
      <c r="U135" s="198"/>
      <c r="V135" s="198"/>
      <c r="W135" s="198"/>
      <c r="X135" s="198"/>
      <c r="Y135" s="198"/>
      <c r="Z135" s="198"/>
      <c r="AA135" s="198"/>
    </row>
    <row r="136">
      <c r="A136" s="201"/>
      <c r="B136" s="201"/>
      <c r="C136" s="198"/>
      <c r="D136" s="198"/>
      <c r="E136" s="198"/>
      <c r="F136" s="198"/>
      <c r="G136" s="198"/>
      <c r="H136" s="198"/>
      <c r="I136" s="198"/>
      <c r="J136" s="198"/>
      <c r="K136" s="198"/>
      <c r="M136" s="198"/>
      <c r="N136" s="198"/>
      <c r="O136" s="198"/>
      <c r="P136" s="198"/>
      <c r="Q136" s="198"/>
      <c r="R136" s="198"/>
      <c r="S136" s="198"/>
      <c r="T136" s="198"/>
      <c r="U136" s="198"/>
      <c r="V136" s="198"/>
      <c r="W136" s="198"/>
      <c r="X136" s="198"/>
      <c r="Y136" s="198"/>
      <c r="Z136" s="198"/>
      <c r="AA136" s="198"/>
    </row>
    <row r="137">
      <c r="A137" s="201"/>
      <c r="B137" s="201"/>
      <c r="C137" s="198"/>
      <c r="D137" s="198"/>
      <c r="E137" s="198"/>
      <c r="F137" s="198"/>
      <c r="G137" s="198"/>
      <c r="H137" s="198"/>
      <c r="I137" s="198"/>
      <c r="J137" s="198"/>
      <c r="K137" s="198"/>
      <c r="M137" s="198"/>
      <c r="N137" s="198"/>
      <c r="O137" s="198"/>
      <c r="P137" s="198"/>
      <c r="Q137" s="198"/>
      <c r="R137" s="198"/>
      <c r="S137" s="198"/>
      <c r="T137" s="198"/>
      <c r="U137" s="198"/>
      <c r="V137" s="198"/>
      <c r="W137" s="198"/>
      <c r="X137" s="198"/>
      <c r="Y137" s="198"/>
      <c r="Z137" s="198"/>
      <c r="AA137" s="198"/>
    </row>
    <row r="138">
      <c r="A138" s="201"/>
      <c r="B138" s="201"/>
      <c r="C138" s="198"/>
      <c r="D138" s="198"/>
      <c r="E138" s="198"/>
      <c r="F138" s="198"/>
      <c r="G138" s="198"/>
      <c r="H138" s="198"/>
      <c r="I138" s="198"/>
      <c r="J138" s="198"/>
      <c r="K138" s="198"/>
      <c r="M138" s="198"/>
      <c r="N138" s="198"/>
      <c r="O138" s="198"/>
      <c r="P138" s="198"/>
      <c r="Q138" s="198"/>
      <c r="R138" s="198"/>
      <c r="S138" s="198"/>
      <c r="T138" s="198"/>
      <c r="U138" s="198"/>
      <c r="V138" s="198"/>
      <c r="W138" s="198"/>
      <c r="X138" s="198"/>
      <c r="Y138" s="198"/>
      <c r="Z138" s="198"/>
      <c r="AA138" s="198"/>
    </row>
    <row r="139">
      <c r="A139" s="201"/>
      <c r="B139" s="201"/>
      <c r="C139" s="198"/>
      <c r="D139" s="198"/>
      <c r="E139" s="198"/>
      <c r="F139" s="198"/>
      <c r="G139" s="198"/>
      <c r="H139" s="198"/>
      <c r="I139" s="198"/>
      <c r="J139" s="198"/>
      <c r="K139" s="198"/>
      <c r="M139" s="198"/>
      <c r="N139" s="198"/>
      <c r="O139" s="198"/>
      <c r="P139" s="198"/>
      <c r="Q139" s="198"/>
      <c r="R139" s="198"/>
      <c r="S139" s="198"/>
      <c r="T139" s="198"/>
      <c r="U139" s="198"/>
      <c r="V139" s="198"/>
      <c r="W139" s="198"/>
      <c r="X139" s="198"/>
      <c r="Y139" s="198"/>
      <c r="Z139" s="198"/>
      <c r="AA139" s="198"/>
    </row>
    <row r="140">
      <c r="A140" s="201"/>
      <c r="B140" s="201"/>
      <c r="C140" s="198"/>
      <c r="D140" s="198"/>
      <c r="E140" s="198"/>
      <c r="F140" s="198"/>
      <c r="G140" s="198"/>
      <c r="H140" s="198"/>
      <c r="I140" s="198"/>
      <c r="J140" s="198"/>
      <c r="K140" s="198"/>
      <c r="M140" s="198"/>
      <c r="N140" s="198"/>
      <c r="O140" s="198"/>
      <c r="P140" s="198"/>
      <c r="Q140" s="198"/>
      <c r="R140" s="198"/>
      <c r="S140" s="198"/>
      <c r="T140" s="198"/>
      <c r="U140" s="198"/>
      <c r="V140" s="198"/>
      <c r="W140" s="198"/>
      <c r="X140" s="198"/>
      <c r="Y140" s="198"/>
      <c r="Z140" s="198"/>
      <c r="AA140" s="198"/>
    </row>
    <row r="141">
      <c r="A141" s="201"/>
      <c r="B141" s="201"/>
      <c r="C141" s="198"/>
      <c r="D141" s="198"/>
      <c r="E141" s="198"/>
      <c r="F141" s="198"/>
      <c r="G141" s="198"/>
      <c r="H141" s="198"/>
      <c r="I141" s="198"/>
      <c r="J141" s="198"/>
      <c r="K141" s="198"/>
      <c r="M141" s="198"/>
      <c r="N141" s="198"/>
      <c r="O141" s="198"/>
      <c r="P141" s="198"/>
      <c r="Q141" s="198"/>
      <c r="R141" s="198"/>
      <c r="S141" s="198"/>
      <c r="T141" s="198"/>
      <c r="U141" s="198"/>
      <c r="V141" s="198"/>
      <c r="W141" s="198"/>
      <c r="X141" s="198"/>
      <c r="Y141" s="198"/>
      <c r="Z141" s="198"/>
      <c r="AA141" s="198"/>
    </row>
    <row r="142">
      <c r="A142" s="201"/>
      <c r="B142" s="201"/>
      <c r="C142" s="198"/>
      <c r="D142" s="198"/>
      <c r="E142" s="198"/>
      <c r="F142" s="198"/>
      <c r="G142" s="198"/>
      <c r="H142" s="198"/>
      <c r="I142" s="198"/>
      <c r="J142" s="198"/>
      <c r="K142" s="198"/>
      <c r="M142" s="198"/>
      <c r="N142" s="198"/>
      <c r="O142" s="198"/>
      <c r="P142" s="198"/>
      <c r="Q142" s="198"/>
      <c r="R142" s="198"/>
      <c r="S142" s="198"/>
      <c r="T142" s="198"/>
      <c r="U142" s="198"/>
      <c r="V142" s="198"/>
      <c r="W142" s="198"/>
      <c r="X142" s="198"/>
      <c r="Y142" s="198"/>
      <c r="Z142" s="198"/>
      <c r="AA142" s="198"/>
    </row>
    <row r="143">
      <c r="A143" s="201"/>
      <c r="B143" s="201"/>
      <c r="C143" s="198"/>
      <c r="D143" s="198"/>
      <c r="E143" s="198"/>
      <c r="F143" s="198"/>
      <c r="G143" s="198"/>
      <c r="H143" s="198"/>
      <c r="I143" s="198"/>
      <c r="J143" s="198"/>
      <c r="K143" s="198"/>
      <c r="M143" s="198"/>
      <c r="N143" s="198"/>
      <c r="O143" s="198"/>
      <c r="P143" s="198"/>
      <c r="Q143" s="198"/>
      <c r="R143" s="198"/>
      <c r="S143" s="198"/>
      <c r="T143" s="198"/>
      <c r="U143" s="198"/>
      <c r="V143" s="198"/>
      <c r="W143" s="198"/>
      <c r="X143" s="198"/>
      <c r="Y143" s="198"/>
      <c r="Z143" s="198"/>
      <c r="AA143" s="198"/>
    </row>
    <row r="144">
      <c r="A144" s="201"/>
      <c r="B144" s="201"/>
      <c r="C144" s="198"/>
      <c r="D144" s="198"/>
      <c r="E144" s="198"/>
      <c r="F144" s="198"/>
      <c r="G144" s="198"/>
      <c r="H144" s="198"/>
      <c r="I144" s="198"/>
      <c r="J144" s="198"/>
      <c r="K144" s="198"/>
      <c r="M144" s="198"/>
      <c r="N144" s="198"/>
      <c r="O144" s="198"/>
      <c r="P144" s="198"/>
      <c r="Q144" s="198"/>
      <c r="R144" s="198"/>
      <c r="S144" s="198"/>
      <c r="T144" s="198"/>
      <c r="U144" s="198"/>
      <c r="V144" s="198"/>
      <c r="W144" s="198"/>
      <c r="X144" s="198"/>
      <c r="Y144" s="198"/>
      <c r="Z144" s="198"/>
      <c r="AA144" s="198"/>
    </row>
    <row r="145">
      <c r="A145" s="201"/>
      <c r="B145" s="201"/>
      <c r="C145" s="198"/>
      <c r="D145" s="198"/>
      <c r="E145" s="198"/>
      <c r="F145" s="198"/>
      <c r="G145" s="198"/>
      <c r="H145" s="198"/>
      <c r="I145" s="198"/>
      <c r="J145" s="198"/>
      <c r="K145" s="198"/>
      <c r="M145" s="198"/>
      <c r="N145" s="198"/>
      <c r="O145" s="198"/>
      <c r="P145" s="198"/>
      <c r="Q145" s="198"/>
      <c r="R145" s="198"/>
      <c r="S145" s="198"/>
      <c r="T145" s="198"/>
      <c r="U145" s="198"/>
      <c r="V145" s="198"/>
      <c r="W145" s="198"/>
      <c r="X145" s="198"/>
      <c r="Y145" s="198"/>
      <c r="Z145" s="198"/>
      <c r="AA145" s="198"/>
    </row>
    <row r="146">
      <c r="A146" s="201"/>
      <c r="B146" s="201"/>
      <c r="C146" s="198"/>
      <c r="D146" s="198"/>
      <c r="E146" s="198"/>
      <c r="F146" s="198"/>
      <c r="G146" s="198"/>
      <c r="H146" s="198"/>
      <c r="I146" s="198"/>
      <c r="J146" s="198"/>
      <c r="K146" s="198"/>
      <c r="M146" s="198"/>
      <c r="N146" s="198"/>
      <c r="O146" s="198"/>
      <c r="P146" s="198"/>
      <c r="Q146" s="198"/>
      <c r="R146" s="198"/>
      <c r="S146" s="198"/>
      <c r="T146" s="198"/>
      <c r="U146" s="198"/>
      <c r="V146" s="198"/>
      <c r="W146" s="198"/>
      <c r="X146" s="198"/>
      <c r="Y146" s="198"/>
      <c r="Z146" s="198"/>
      <c r="AA146" s="198"/>
    </row>
    <row r="147">
      <c r="A147" s="201"/>
      <c r="B147" s="201"/>
      <c r="C147" s="198"/>
      <c r="D147" s="198"/>
      <c r="E147" s="198"/>
      <c r="F147" s="198"/>
      <c r="G147" s="198"/>
      <c r="H147" s="198"/>
      <c r="I147" s="198"/>
      <c r="J147" s="198"/>
      <c r="K147" s="198"/>
      <c r="M147" s="198"/>
      <c r="N147" s="198"/>
      <c r="O147" s="198"/>
      <c r="P147" s="198"/>
      <c r="Q147" s="198"/>
      <c r="R147" s="198"/>
      <c r="S147" s="198"/>
      <c r="T147" s="198"/>
      <c r="U147" s="198"/>
      <c r="V147" s="198"/>
      <c r="W147" s="198"/>
      <c r="X147" s="198"/>
      <c r="Y147" s="198"/>
      <c r="Z147" s="198"/>
      <c r="AA147" s="198"/>
    </row>
    <row r="148">
      <c r="A148" s="201"/>
      <c r="B148" s="201"/>
      <c r="C148" s="198"/>
      <c r="D148" s="198"/>
      <c r="E148" s="198"/>
      <c r="F148" s="198"/>
      <c r="G148" s="198"/>
      <c r="H148" s="198"/>
      <c r="I148" s="198"/>
      <c r="J148" s="198"/>
      <c r="K148" s="198"/>
      <c r="M148" s="198"/>
      <c r="N148" s="198"/>
      <c r="O148" s="198"/>
      <c r="P148" s="198"/>
      <c r="Q148" s="198"/>
      <c r="R148" s="198"/>
      <c r="S148" s="198"/>
      <c r="T148" s="198"/>
      <c r="U148" s="198"/>
      <c r="V148" s="198"/>
      <c r="W148" s="198"/>
      <c r="X148" s="198"/>
      <c r="Y148" s="198"/>
      <c r="Z148" s="198"/>
      <c r="AA148" s="198"/>
    </row>
    <row r="149">
      <c r="A149" s="201"/>
      <c r="B149" s="201"/>
      <c r="C149" s="198"/>
      <c r="D149" s="198"/>
      <c r="E149" s="198"/>
      <c r="F149" s="198"/>
      <c r="G149" s="198"/>
      <c r="H149" s="198"/>
      <c r="I149" s="198"/>
      <c r="J149" s="198"/>
      <c r="K149" s="198"/>
      <c r="M149" s="198"/>
      <c r="N149" s="198"/>
      <c r="O149" s="198"/>
      <c r="P149" s="198"/>
      <c r="Q149" s="198"/>
      <c r="R149" s="198"/>
      <c r="S149" s="198"/>
      <c r="T149" s="198"/>
      <c r="U149" s="198"/>
      <c r="V149" s="198"/>
      <c r="W149" s="198"/>
      <c r="X149" s="198"/>
      <c r="Y149" s="198"/>
      <c r="Z149" s="198"/>
      <c r="AA149" s="198"/>
    </row>
    <row r="150">
      <c r="A150" s="201"/>
      <c r="B150" s="201"/>
      <c r="C150" s="198"/>
      <c r="D150" s="198"/>
      <c r="E150" s="198"/>
      <c r="F150" s="198"/>
      <c r="G150" s="198"/>
      <c r="H150" s="198"/>
      <c r="I150" s="198"/>
      <c r="J150" s="198"/>
      <c r="K150" s="198"/>
      <c r="M150" s="198"/>
      <c r="N150" s="198"/>
      <c r="O150" s="198"/>
      <c r="P150" s="198"/>
      <c r="Q150" s="198"/>
      <c r="R150" s="198"/>
      <c r="S150" s="198"/>
      <c r="T150" s="198"/>
      <c r="U150" s="198"/>
      <c r="V150" s="198"/>
      <c r="W150" s="198"/>
      <c r="X150" s="198"/>
      <c r="Y150" s="198"/>
      <c r="Z150" s="198"/>
      <c r="AA150" s="198"/>
    </row>
    <row r="151">
      <c r="A151" s="201"/>
      <c r="B151" s="201"/>
      <c r="C151" s="198"/>
      <c r="D151" s="198"/>
      <c r="E151" s="198"/>
      <c r="F151" s="198"/>
      <c r="G151" s="198"/>
      <c r="H151" s="198"/>
      <c r="I151" s="198"/>
      <c r="J151" s="198"/>
      <c r="K151" s="198"/>
      <c r="M151" s="198"/>
      <c r="N151" s="198"/>
      <c r="O151" s="198"/>
      <c r="P151" s="198"/>
      <c r="Q151" s="198"/>
      <c r="R151" s="198"/>
      <c r="S151" s="198"/>
      <c r="T151" s="198"/>
      <c r="U151" s="198"/>
      <c r="V151" s="198"/>
      <c r="W151" s="198"/>
      <c r="X151" s="198"/>
      <c r="Y151" s="198"/>
      <c r="Z151" s="198"/>
      <c r="AA151" s="198"/>
    </row>
    <row r="152">
      <c r="A152" s="201"/>
      <c r="B152" s="201"/>
      <c r="C152" s="198"/>
      <c r="D152" s="198"/>
      <c r="E152" s="198"/>
      <c r="F152" s="198"/>
      <c r="G152" s="198"/>
      <c r="H152" s="198"/>
      <c r="I152" s="198"/>
      <c r="J152" s="198"/>
      <c r="K152" s="198"/>
      <c r="M152" s="198"/>
      <c r="N152" s="198"/>
      <c r="O152" s="198"/>
      <c r="P152" s="198"/>
      <c r="Q152" s="198"/>
      <c r="R152" s="198"/>
      <c r="S152" s="198"/>
      <c r="T152" s="198"/>
      <c r="U152" s="198"/>
      <c r="V152" s="198"/>
      <c r="W152" s="198"/>
      <c r="X152" s="198"/>
      <c r="Y152" s="198"/>
      <c r="Z152" s="198"/>
      <c r="AA152" s="198"/>
    </row>
    <row r="153">
      <c r="A153" s="201"/>
      <c r="B153" s="201"/>
      <c r="C153" s="198"/>
      <c r="D153" s="198"/>
      <c r="E153" s="198"/>
      <c r="F153" s="198"/>
      <c r="G153" s="198"/>
      <c r="H153" s="198"/>
      <c r="I153" s="198"/>
      <c r="J153" s="198"/>
      <c r="K153" s="198"/>
      <c r="M153" s="198"/>
      <c r="N153" s="198"/>
      <c r="O153" s="198"/>
      <c r="P153" s="198"/>
      <c r="Q153" s="198"/>
      <c r="R153" s="198"/>
      <c r="S153" s="198"/>
      <c r="T153" s="198"/>
      <c r="U153" s="198"/>
      <c r="V153" s="198"/>
      <c r="W153" s="198"/>
      <c r="X153" s="198"/>
      <c r="Y153" s="198"/>
      <c r="Z153" s="198"/>
      <c r="AA153" s="198"/>
    </row>
    <row r="154">
      <c r="A154" s="201"/>
      <c r="B154" s="201"/>
      <c r="C154" s="198"/>
      <c r="D154" s="198"/>
      <c r="E154" s="198"/>
      <c r="F154" s="198"/>
      <c r="G154" s="198"/>
      <c r="H154" s="198"/>
      <c r="I154" s="198"/>
      <c r="J154" s="198"/>
      <c r="K154" s="198"/>
      <c r="M154" s="198"/>
      <c r="N154" s="198"/>
      <c r="O154" s="198"/>
      <c r="P154" s="198"/>
      <c r="Q154" s="198"/>
      <c r="R154" s="198"/>
      <c r="S154" s="198"/>
      <c r="T154" s="198"/>
      <c r="U154" s="198"/>
      <c r="V154" s="198"/>
      <c r="W154" s="198"/>
      <c r="X154" s="198"/>
      <c r="Y154" s="198"/>
      <c r="Z154" s="198"/>
      <c r="AA154" s="198"/>
    </row>
    <row r="155">
      <c r="A155" s="201"/>
      <c r="B155" s="201"/>
      <c r="C155" s="198"/>
      <c r="D155" s="198"/>
      <c r="E155" s="198"/>
      <c r="F155" s="198"/>
      <c r="G155" s="198"/>
      <c r="H155" s="198"/>
      <c r="I155" s="198"/>
      <c r="J155" s="198"/>
      <c r="K155" s="198"/>
      <c r="M155" s="198"/>
      <c r="N155" s="198"/>
      <c r="O155" s="198"/>
      <c r="P155" s="198"/>
      <c r="Q155" s="198"/>
      <c r="R155" s="198"/>
      <c r="S155" s="198"/>
      <c r="T155" s="198"/>
      <c r="U155" s="198"/>
      <c r="V155" s="198"/>
      <c r="W155" s="198"/>
      <c r="X155" s="198"/>
      <c r="Y155" s="198"/>
      <c r="Z155" s="198"/>
      <c r="AA155" s="198"/>
    </row>
    <row r="156">
      <c r="A156" s="201"/>
      <c r="B156" s="201"/>
      <c r="C156" s="198"/>
      <c r="D156" s="198"/>
      <c r="E156" s="198"/>
      <c r="F156" s="198"/>
      <c r="G156" s="198"/>
      <c r="H156" s="198"/>
      <c r="I156" s="198"/>
      <c r="J156" s="198"/>
      <c r="K156" s="198"/>
      <c r="M156" s="198"/>
      <c r="N156" s="198"/>
      <c r="O156" s="198"/>
      <c r="P156" s="198"/>
      <c r="Q156" s="198"/>
      <c r="R156" s="198"/>
      <c r="S156" s="198"/>
      <c r="T156" s="198"/>
      <c r="U156" s="198"/>
      <c r="V156" s="198"/>
      <c r="W156" s="198"/>
      <c r="X156" s="198"/>
      <c r="Y156" s="198"/>
      <c r="Z156" s="198"/>
      <c r="AA156" s="198"/>
    </row>
    <row r="157">
      <c r="A157" s="201"/>
      <c r="B157" s="201"/>
      <c r="C157" s="198"/>
      <c r="D157" s="198"/>
      <c r="E157" s="198"/>
      <c r="F157" s="198"/>
      <c r="G157" s="198"/>
      <c r="H157" s="198"/>
      <c r="I157" s="198"/>
      <c r="J157" s="198"/>
      <c r="K157" s="198"/>
      <c r="M157" s="198"/>
      <c r="N157" s="198"/>
      <c r="O157" s="198"/>
      <c r="P157" s="198"/>
      <c r="Q157" s="198"/>
      <c r="R157" s="198"/>
      <c r="S157" s="198"/>
      <c r="T157" s="198"/>
      <c r="U157" s="198"/>
      <c r="V157" s="198"/>
      <c r="W157" s="198"/>
      <c r="X157" s="198"/>
      <c r="Y157" s="198"/>
      <c r="Z157" s="198"/>
      <c r="AA157" s="198"/>
    </row>
    <row r="158">
      <c r="A158" s="201"/>
      <c r="B158" s="201"/>
      <c r="C158" s="198"/>
      <c r="D158" s="198"/>
      <c r="E158" s="198"/>
      <c r="F158" s="198"/>
      <c r="G158" s="198"/>
      <c r="H158" s="198"/>
      <c r="I158" s="198"/>
      <c r="J158" s="198"/>
      <c r="K158" s="198"/>
      <c r="M158" s="198"/>
      <c r="N158" s="198"/>
      <c r="O158" s="198"/>
      <c r="P158" s="198"/>
      <c r="Q158" s="198"/>
      <c r="R158" s="198"/>
      <c r="S158" s="198"/>
      <c r="T158" s="198"/>
      <c r="U158" s="198"/>
      <c r="V158" s="198"/>
      <c r="W158" s="198"/>
      <c r="X158" s="198"/>
      <c r="Y158" s="198"/>
      <c r="Z158" s="198"/>
      <c r="AA158" s="198"/>
    </row>
    <row r="159">
      <c r="A159" s="201"/>
      <c r="B159" s="201"/>
      <c r="C159" s="198"/>
      <c r="D159" s="198"/>
      <c r="E159" s="198"/>
      <c r="F159" s="198"/>
      <c r="G159" s="198"/>
      <c r="H159" s="198"/>
      <c r="I159" s="198"/>
      <c r="J159" s="198"/>
      <c r="K159" s="198"/>
      <c r="M159" s="198"/>
      <c r="N159" s="198"/>
      <c r="O159" s="198"/>
      <c r="P159" s="198"/>
      <c r="Q159" s="198"/>
      <c r="R159" s="198"/>
      <c r="S159" s="198"/>
      <c r="T159" s="198"/>
      <c r="U159" s="198"/>
      <c r="V159" s="198"/>
      <c r="W159" s="198"/>
      <c r="X159" s="198"/>
      <c r="Y159" s="198"/>
      <c r="Z159" s="198"/>
      <c r="AA159" s="198"/>
    </row>
    <row r="160">
      <c r="A160" s="201"/>
      <c r="B160" s="201"/>
      <c r="C160" s="198"/>
      <c r="D160" s="198"/>
      <c r="E160" s="198"/>
      <c r="F160" s="198"/>
      <c r="G160" s="198"/>
      <c r="H160" s="198"/>
      <c r="I160" s="198"/>
      <c r="J160" s="198"/>
      <c r="K160" s="198"/>
      <c r="M160" s="198"/>
      <c r="N160" s="198"/>
      <c r="O160" s="198"/>
      <c r="P160" s="198"/>
      <c r="Q160" s="198"/>
      <c r="R160" s="198"/>
      <c r="S160" s="198"/>
      <c r="T160" s="198"/>
      <c r="U160" s="198"/>
      <c r="V160" s="198"/>
      <c r="W160" s="198"/>
      <c r="X160" s="198"/>
      <c r="Y160" s="198"/>
      <c r="Z160" s="198"/>
      <c r="AA160" s="198"/>
    </row>
    <row r="161">
      <c r="A161" s="201"/>
      <c r="B161" s="201"/>
      <c r="C161" s="198"/>
      <c r="D161" s="198"/>
      <c r="E161" s="198"/>
      <c r="F161" s="198"/>
      <c r="G161" s="198"/>
      <c r="H161" s="198"/>
      <c r="I161" s="198"/>
      <c r="J161" s="198"/>
      <c r="K161" s="198"/>
      <c r="M161" s="198"/>
      <c r="N161" s="198"/>
      <c r="O161" s="198"/>
      <c r="P161" s="198"/>
      <c r="Q161" s="198"/>
      <c r="R161" s="198"/>
      <c r="S161" s="198"/>
      <c r="T161" s="198"/>
      <c r="U161" s="198"/>
      <c r="V161" s="198"/>
      <c r="W161" s="198"/>
      <c r="X161" s="198"/>
      <c r="Y161" s="198"/>
      <c r="Z161" s="198"/>
      <c r="AA161" s="198"/>
    </row>
    <row r="162">
      <c r="A162" s="201"/>
      <c r="B162" s="201"/>
      <c r="C162" s="198"/>
      <c r="D162" s="198"/>
      <c r="E162" s="198"/>
      <c r="F162" s="198"/>
      <c r="G162" s="198"/>
      <c r="H162" s="198"/>
      <c r="I162" s="198"/>
      <c r="J162" s="198"/>
      <c r="K162" s="198"/>
      <c r="M162" s="198"/>
      <c r="N162" s="198"/>
      <c r="O162" s="198"/>
      <c r="P162" s="198"/>
      <c r="Q162" s="198"/>
      <c r="R162" s="198"/>
      <c r="S162" s="198"/>
      <c r="T162" s="198"/>
      <c r="U162" s="198"/>
      <c r="V162" s="198"/>
      <c r="W162" s="198"/>
      <c r="X162" s="198"/>
      <c r="Y162" s="198"/>
      <c r="Z162" s="198"/>
      <c r="AA162" s="198"/>
    </row>
    <row r="163">
      <c r="A163" s="201"/>
      <c r="B163" s="201"/>
      <c r="C163" s="198"/>
      <c r="D163" s="198"/>
      <c r="E163" s="198"/>
      <c r="F163" s="198"/>
      <c r="G163" s="198"/>
      <c r="H163" s="198"/>
      <c r="I163" s="198"/>
      <c r="J163" s="198"/>
      <c r="K163" s="198"/>
      <c r="M163" s="198"/>
      <c r="N163" s="198"/>
      <c r="O163" s="198"/>
      <c r="P163" s="198"/>
      <c r="Q163" s="198"/>
      <c r="R163" s="198"/>
      <c r="S163" s="198"/>
      <c r="T163" s="198"/>
      <c r="U163" s="198"/>
      <c r="V163" s="198"/>
      <c r="W163" s="198"/>
      <c r="X163" s="198"/>
      <c r="Y163" s="198"/>
      <c r="Z163" s="198"/>
      <c r="AA163" s="198"/>
    </row>
    <row r="164">
      <c r="A164" s="201"/>
      <c r="B164" s="201"/>
      <c r="C164" s="198"/>
      <c r="D164" s="198"/>
      <c r="E164" s="198"/>
      <c r="F164" s="198"/>
      <c r="G164" s="198"/>
      <c r="H164" s="198"/>
      <c r="I164" s="198"/>
      <c r="J164" s="198"/>
      <c r="K164" s="198"/>
      <c r="M164" s="198"/>
      <c r="N164" s="198"/>
      <c r="O164" s="198"/>
      <c r="P164" s="198"/>
      <c r="Q164" s="198"/>
      <c r="R164" s="198"/>
      <c r="S164" s="198"/>
      <c r="T164" s="198"/>
      <c r="U164" s="198"/>
      <c r="V164" s="198"/>
      <c r="W164" s="198"/>
      <c r="X164" s="198"/>
      <c r="Y164" s="198"/>
      <c r="Z164" s="198"/>
      <c r="AA164" s="198"/>
    </row>
    <row r="165">
      <c r="A165" s="201"/>
      <c r="B165" s="201"/>
      <c r="C165" s="198"/>
      <c r="D165" s="198"/>
      <c r="E165" s="198"/>
      <c r="F165" s="198"/>
      <c r="G165" s="198"/>
      <c r="H165" s="198"/>
      <c r="I165" s="198"/>
      <c r="J165" s="198"/>
      <c r="K165" s="198"/>
      <c r="M165" s="198"/>
      <c r="N165" s="198"/>
      <c r="O165" s="198"/>
      <c r="P165" s="198"/>
      <c r="Q165" s="198"/>
      <c r="R165" s="198"/>
      <c r="S165" s="198"/>
      <c r="T165" s="198"/>
      <c r="U165" s="198"/>
      <c r="V165" s="198"/>
      <c r="W165" s="198"/>
      <c r="X165" s="198"/>
      <c r="Y165" s="198"/>
      <c r="Z165" s="198"/>
      <c r="AA165" s="198"/>
    </row>
    <row r="166">
      <c r="A166" s="201"/>
      <c r="B166" s="201"/>
      <c r="C166" s="198"/>
      <c r="D166" s="198"/>
      <c r="E166" s="198"/>
      <c r="F166" s="198"/>
      <c r="G166" s="198"/>
      <c r="H166" s="198"/>
      <c r="I166" s="198"/>
      <c r="J166" s="198"/>
      <c r="K166" s="198"/>
      <c r="M166" s="198"/>
      <c r="N166" s="198"/>
      <c r="O166" s="198"/>
      <c r="P166" s="198"/>
      <c r="Q166" s="198"/>
      <c r="R166" s="198"/>
      <c r="S166" s="198"/>
      <c r="T166" s="198"/>
      <c r="U166" s="198"/>
      <c r="V166" s="198"/>
      <c r="W166" s="198"/>
      <c r="X166" s="198"/>
      <c r="Y166" s="198"/>
      <c r="Z166" s="198"/>
      <c r="AA166" s="198"/>
    </row>
    <row r="167">
      <c r="A167" s="201"/>
      <c r="B167" s="201"/>
      <c r="C167" s="198"/>
      <c r="D167" s="198"/>
      <c r="E167" s="198"/>
      <c r="F167" s="198"/>
      <c r="G167" s="198"/>
      <c r="H167" s="198"/>
      <c r="I167" s="198"/>
      <c r="J167" s="198"/>
      <c r="K167" s="198"/>
      <c r="M167" s="198"/>
      <c r="N167" s="198"/>
      <c r="O167" s="198"/>
      <c r="P167" s="198"/>
      <c r="Q167" s="198"/>
      <c r="R167" s="198"/>
      <c r="S167" s="198"/>
      <c r="T167" s="198"/>
      <c r="U167" s="198"/>
      <c r="V167" s="198"/>
      <c r="W167" s="198"/>
      <c r="X167" s="198"/>
      <c r="Y167" s="198"/>
      <c r="Z167" s="198"/>
      <c r="AA167" s="198"/>
    </row>
    <row r="168">
      <c r="A168" s="201"/>
      <c r="B168" s="201"/>
      <c r="C168" s="198"/>
      <c r="D168" s="198"/>
      <c r="E168" s="198"/>
      <c r="F168" s="198"/>
      <c r="G168" s="198"/>
      <c r="H168" s="198"/>
      <c r="I168" s="198"/>
      <c r="J168" s="198"/>
      <c r="K168" s="198"/>
      <c r="M168" s="198"/>
      <c r="N168" s="198"/>
      <c r="O168" s="198"/>
      <c r="P168" s="198"/>
      <c r="Q168" s="198"/>
      <c r="R168" s="198"/>
      <c r="S168" s="198"/>
      <c r="T168" s="198"/>
      <c r="U168" s="198"/>
      <c r="V168" s="198"/>
      <c r="W168" s="198"/>
      <c r="X168" s="198"/>
      <c r="Y168" s="198"/>
      <c r="Z168" s="198"/>
      <c r="AA168" s="198"/>
    </row>
    <row r="169">
      <c r="A169" s="201"/>
      <c r="B169" s="201"/>
      <c r="C169" s="198"/>
      <c r="D169" s="198"/>
      <c r="E169" s="198"/>
      <c r="F169" s="198"/>
      <c r="G169" s="198"/>
      <c r="H169" s="198"/>
      <c r="I169" s="198"/>
      <c r="J169" s="198"/>
      <c r="K169" s="198"/>
      <c r="M169" s="198"/>
      <c r="N169" s="198"/>
      <c r="O169" s="198"/>
      <c r="P169" s="198"/>
      <c r="Q169" s="198"/>
      <c r="R169" s="198"/>
      <c r="S169" s="198"/>
      <c r="T169" s="198"/>
      <c r="U169" s="198"/>
      <c r="V169" s="198"/>
      <c r="W169" s="198"/>
      <c r="X169" s="198"/>
      <c r="Y169" s="198"/>
      <c r="Z169" s="198"/>
      <c r="AA169" s="198"/>
    </row>
    <row r="170">
      <c r="A170" s="201"/>
      <c r="B170" s="201"/>
      <c r="C170" s="198"/>
      <c r="D170" s="198"/>
      <c r="E170" s="198"/>
      <c r="F170" s="198"/>
      <c r="G170" s="198"/>
      <c r="H170" s="198"/>
      <c r="I170" s="198"/>
      <c r="J170" s="198"/>
      <c r="K170" s="198"/>
      <c r="M170" s="198"/>
      <c r="N170" s="198"/>
      <c r="O170" s="198"/>
      <c r="P170" s="198"/>
      <c r="Q170" s="198"/>
      <c r="R170" s="198"/>
      <c r="S170" s="198"/>
      <c r="T170" s="198"/>
      <c r="U170" s="198"/>
      <c r="V170" s="198"/>
      <c r="W170" s="198"/>
      <c r="X170" s="198"/>
      <c r="Y170" s="198"/>
      <c r="Z170" s="198"/>
      <c r="AA170" s="198"/>
    </row>
    <row r="171">
      <c r="A171" s="201"/>
      <c r="B171" s="201"/>
      <c r="C171" s="198"/>
      <c r="D171" s="198"/>
      <c r="E171" s="198"/>
      <c r="F171" s="198"/>
      <c r="G171" s="198"/>
      <c r="H171" s="198"/>
      <c r="I171" s="198"/>
      <c r="J171" s="198"/>
      <c r="K171" s="198"/>
      <c r="M171" s="198"/>
      <c r="N171" s="198"/>
      <c r="O171" s="198"/>
      <c r="P171" s="198"/>
      <c r="Q171" s="198"/>
      <c r="R171" s="198"/>
      <c r="S171" s="198"/>
      <c r="T171" s="198"/>
      <c r="U171" s="198"/>
      <c r="V171" s="198"/>
      <c r="W171" s="198"/>
      <c r="X171" s="198"/>
      <c r="Y171" s="198"/>
      <c r="Z171" s="198"/>
      <c r="AA171" s="198"/>
    </row>
    <row r="172">
      <c r="A172" s="201"/>
      <c r="B172" s="201"/>
      <c r="C172" s="198"/>
      <c r="D172" s="198"/>
      <c r="E172" s="198"/>
      <c r="F172" s="198"/>
      <c r="G172" s="198"/>
      <c r="H172" s="198"/>
      <c r="I172" s="198"/>
      <c r="J172" s="198"/>
      <c r="K172" s="198"/>
      <c r="M172" s="198"/>
      <c r="N172" s="198"/>
      <c r="O172" s="198"/>
      <c r="P172" s="198"/>
      <c r="Q172" s="198"/>
      <c r="R172" s="198"/>
      <c r="S172" s="198"/>
      <c r="T172" s="198"/>
      <c r="U172" s="198"/>
      <c r="V172" s="198"/>
      <c r="W172" s="198"/>
      <c r="X172" s="198"/>
      <c r="Y172" s="198"/>
      <c r="Z172" s="198"/>
      <c r="AA172" s="198"/>
    </row>
    <row r="173">
      <c r="A173" s="201"/>
      <c r="B173" s="201"/>
      <c r="C173" s="198"/>
      <c r="D173" s="198"/>
      <c r="E173" s="198"/>
      <c r="F173" s="198"/>
      <c r="G173" s="198"/>
      <c r="H173" s="198"/>
      <c r="I173" s="198"/>
      <c r="J173" s="198"/>
      <c r="K173" s="198"/>
      <c r="M173" s="198"/>
      <c r="N173" s="198"/>
      <c r="O173" s="198"/>
      <c r="P173" s="198"/>
      <c r="Q173" s="198"/>
      <c r="R173" s="198"/>
      <c r="S173" s="198"/>
      <c r="T173" s="198"/>
      <c r="U173" s="198"/>
      <c r="V173" s="198"/>
      <c r="W173" s="198"/>
      <c r="X173" s="198"/>
      <c r="Y173" s="198"/>
      <c r="Z173" s="198"/>
      <c r="AA173" s="198"/>
    </row>
    <row r="174">
      <c r="A174" s="201"/>
      <c r="B174" s="201"/>
      <c r="C174" s="198"/>
      <c r="D174" s="198"/>
      <c r="E174" s="198"/>
      <c r="F174" s="198"/>
      <c r="G174" s="198"/>
      <c r="H174" s="198"/>
      <c r="I174" s="198"/>
      <c r="J174" s="198"/>
      <c r="K174" s="198"/>
      <c r="M174" s="198"/>
      <c r="N174" s="198"/>
      <c r="O174" s="198"/>
      <c r="P174" s="198"/>
      <c r="Q174" s="198"/>
      <c r="R174" s="198"/>
      <c r="S174" s="198"/>
      <c r="T174" s="198"/>
      <c r="U174" s="198"/>
      <c r="V174" s="198"/>
      <c r="W174" s="198"/>
      <c r="X174" s="198"/>
      <c r="Y174" s="198"/>
      <c r="Z174" s="198"/>
      <c r="AA174" s="198"/>
    </row>
    <row r="175">
      <c r="A175" s="201"/>
      <c r="B175" s="201"/>
      <c r="C175" s="198"/>
      <c r="D175" s="198"/>
      <c r="E175" s="198"/>
      <c r="F175" s="198"/>
      <c r="G175" s="198"/>
      <c r="H175" s="198"/>
      <c r="I175" s="198"/>
      <c r="J175" s="198"/>
      <c r="K175" s="198"/>
      <c r="M175" s="198"/>
      <c r="N175" s="198"/>
      <c r="O175" s="198"/>
      <c r="P175" s="198"/>
      <c r="Q175" s="198"/>
      <c r="R175" s="198"/>
      <c r="S175" s="198"/>
      <c r="T175" s="198"/>
      <c r="U175" s="198"/>
      <c r="V175" s="198"/>
      <c r="W175" s="198"/>
      <c r="X175" s="198"/>
      <c r="Y175" s="198"/>
      <c r="Z175" s="198"/>
      <c r="AA175" s="198"/>
    </row>
    <row r="176">
      <c r="A176" s="201"/>
      <c r="B176" s="201"/>
      <c r="C176" s="198"/>
      <c r="D176" s="198"/>
      <c r="E176" s="198"/>
      <c r="F176" s="198"/>
      <c r="G176" s="198"/>
      <c r="H176" s="198"/>
      <c r="I176" s="198"/>
      <c r="J176" s="198"/>
      <c r="K176" s="198"/>
      <c r="M176" s="198"/>
      <c r="N176" s="198"/>
      <c r="O176" s="198"/>
      <c r="P176" s="198"/>
      <c r="Q176" s="198"/>
      <c r="R176" s="198"/>
      <c r="S176" s="198"/>
      <c r="T176" s="198"/>
      <c r="U176" s="198"/>
      <c r="V176" s="198"/>
      <c r="W176" s="198"/>
      <c r="X176" s="198"/>
      <c r="Y176" s="198"/>
      <c r="Z176" s="198"/>
      <c r="AA176" s="198"/>
    </row>
    <row r="177">
      <c r="A177" s="201"/>
      <c r="B177" s="201"/>
      <c r="C177" s="198"/>
      <c r="D177" s="198"/>
      <c r="E177" s="198"/>
      <c r="F177" s="198"/>
      <c r="G177" s="198"/>
      <c r="H177" s="198"/>
      <c r="I177" s="198"/>
      <c r="J177" s="198"/>
      <c r="K177" s="198"/>
      <c r="M177" s="198"/>
      <c r="N177" s="198"/>
      <c r="O177" s="198"/>
      <c r="P177" s="198"/>
      <c r="Q177" s="198"/>
      <c r="R177" s="198"/>
      <c r="S177" s="198"/>
      <c r="T177" s="198"/>
      <c r="U177" s="198"/>
      <c r="V177" s="198"/>
      <c r="W177" s="198"/>
      <c r="X177" s="198"/>
      <c r="Y177" s="198"/>
      <c r="Z177" s="198"/>
      <c r="AA177" s="198"/>
    </row>
    <row r="178">
      <c r="A178" s="201"/>
      <c r="B178" s="201"/>
      <c r="C178" s="198"/>
      <c r="D178" s="198"/>
      <c r="E178" s="198"/>
      <c r="F178" s="198"/>
      <c r="G178" s="198"/>
      <c r="H178" s="198"/>
      <c r="I178" s="198"/>
      <c r="J178" s="198"/>
      <c r="K178" s="198"/>
      <c r="M178" s="198"/>
      <c r="N178" s="198"/>
      <c r="O178" s="198"/>
      <c r="P178" s="198"/>
      <c r="Q178" s="198"/>
      <c r="R178" s="198"/>
      <c r="S178" s="198"/>
      <c r="T178" s="198"/>
      <c r="U178" s="198"/>
      <c r="V178" s="198"/>
      <c r="W178" s="198"/>
      <c r="X178" s="198"/>
      <c r="Y178" s="198"/>
      <c r="Z178" s="198"/>
      <c r="AA178" s="198"/>
    </row>
    <row r="179">
      <c r="A179" s="201"/>
      <c r="B179" s="201"/>
      <c r="C179" s="198"/>
      <c r="D179" s="198"/>
      <c r="E179" s="198"/>
      <c r="F179" s="198"/>
      <c r="G179" s="198"/>
      <c r="H179" s="198"/>
      <c r="I179" s="198"/>
      <c r="J179" s="198"/>
      <c r="K179" s="198"/>
      <c r="M179" s="198"/>
      <c r="N179" s="198"/>
      <c r="O179" s="198"/>
      <c r="P179" s="198"/>
      <c r="Q179" s="198"/>
      <c r="R179" s="198"/>
      <c r="S179" s="198"/>
      <c r="T179" s="198"/>
      <c r="U179" s="198"/>
      <c r="V179" s="198"/>
      <c r="W179" s="198"/>
      <c r="X179" s="198"/>
      <c r="Y179" s="198"/>
      <c r="Z179" s="198"/>
      <c r="AA179" s="198"/>
    </row>
    <row r="180">
      <c r="A180" s="201"/>
      <c r="B180" s="201"/>
      <c r="C180" s="198"/>
      <c r="D180" s="198"/>
      <c r="E180" s="198"/>
      <c r="F180" s="198"/>
      <c r="G180" s="198"/>
      <c r="H180" s="198"/>
      <c r="I180" s="198"/>
      <c r="J180" s="198"/>
      <c r="K180" s="198"/>
      <c r="M180" s="198"/>
      <c r="N180" s="198"/>
      <c r="O180" s="198"/>
      <c r="P180" s="198"/>
      <c r="Q180" s="198"/>
      <c r="R180" s="198"/>
      <c r="S180" s="198"/>
      <c r="T180" s="198"/>
      <c r="U180" s="198"/>
      <c r="V180" s="198"/>
      <c r="W180" s="198"/>
      <c r="X180" s="198"/>
      <c r="Y180" s="198"/>
      <c r="Z180" s="198"/>
      <c r="AA180" s="198"/>
    </row>
    <row r="181">
      <c r="A181" s="201"/>
      <c r="B181" s="201"/>
      <c r="C181" s="198"/>
      <c r="D181" s="198"/>
      <c r="E181" s="198"/>
      <c r="F181" s="198"/>
      <c r="G181" s="198"/>
      <c r="H181" s="198"/>
      <c r="I181" s="198"/>
      <c r="J181" s="198"/>
      <c r="K181" s="198"/>
      <c r="M181" s="198"/>
      <c r="N181" s="198"/>
      <c r="O181" s="198"/>
      <c r="P181" s="198"/>
      <c r="Q181" s="198"/>
      <c r="R181" s="198"/>
      <c r="S181" s="198"/>
      <c r="T181" s="198"/>
      <c r="U181" s="198"/>
      <c r="V181" s="198"/>
      <c r="W181" s="198"/>
      <c r="X181" s="198"/>
      <c r="Y181" s="198"/>
      <c r="Z181" s="198"/>
      <c r="AA181" s="198"/>
    </row>
    <row r="182">
      <c r="A182" s="201"/>
      <c r="B182" s="201"/>
      <c r="C182" s="198"/>
      <c r="D182" s="198"/>
      <c r="E182" s="198"/>
      <c r="F182" s="198"/>
      <c r="G182" s="198"/>
      <c r="H182" s="198"/>
      <c r="I182" s="198"/>
      <c r="J182" s="198"/>
      <c r="K182" s="198"/>
      <c r="M182" s="198"/>
      <c r="N182" s="198"/>
      <c r="O182" s="198"/>
      <c r="P182" s="198"/>
      <c r="Q182" s="198"/>
      <c r="R182" s="198"/>
      <c r="S182" s="198"/>
      <c r="T182" s="198"/>
      <c r="U182" s="198"/>
      <c r="V182" s="198"/>
      <c r="W182" s="198"/>
      <c r="X182" s="198"/>
      <c r="Y182" s="198"/>
      <c r="Z182" s="198"/>
      <c r="AA182" s="198"/>
    </row>
    <row r="183">
      <c r="A183" s="201"/>
      <c r="B183" s="201"/>
      <c r="C183" s="198"/>
      <c r="D183" s="198"/>
      <c r="E183" s="198"/>
      <c r="F183" s="198"/>
      <c r="G183" s="198"/>
      <c r="H183" s="198"/>
      <c r="I183" s="198"/>
      <c r="J183" s="198"/>
      <c r="K183" s="198"/>
      <c r="M183" s="198"/>
      <c r="N183" s="198"/>
      <c r="O183" s="198"/>
      <c r="P183" s="198"/>
      <c r="Q183" s="198"/>
      <c r="R183" s="198"/>
      <c r="S183" s="198"/>
      <c r="T183" s="198"/>
      <c r="U183" s="198"/>
      <c r="V183" s="198"/>
      <c r="W183" s="198"/>
      <c r="X183" s="198"/>
      <c r="Y183" s="198"/>
      <c r="Z183" s="198"/>
      <c r="AA183" s="198"/>
    </row>
    <row r="184">
      <c r="A184" s="201"/>
      <c r="B184" s="201"/>
      <c r="C184" s="198"/>
      <c r="D184" s="198"/>
      <c r="E184" s="198"/>
      <c r="F184" s="198"/>
      <c r="G184" s="198"/>
      <c r="H184" s="198"/>
      <c r="I184" s="198"/>
      <c r="J184" s="198"/>
      <c r="K184" s="198"/>
      <c r="M184" s="198"/>
      <c r="N184" s="198"/>
      <c r="O184" s="198"/>
      <c r="P184" s="198"/>
      <c r="Q184" s="198"/>
      <c r="R184" s="198"/>
      <c r="S184" s="198"/>
      <c r="T184" s="198"/>
      <c r="U184" s="198"/>
      <c r="V184" s="198"/>
      <c r="W184" s="198"/>
      <c r="X184" s="198"/>
      <c r="Y184" s="198"/>
      <c r="Z184" s="198"/>
      <c r="AA184" s="198"/>
    </row>
    <row r="185">
      <c r="A185" s="201"/>
      <c r="B185" s="201"/>
      <c r="C185" s="198"/>
      <c r="D185" s="198"/>
      <c r="E185" s="198"/>
      <c r="F185" s="198"/>
      <c r="G185" s="198"/>
      <c r="H185" s="198"/>
      <c r="I185" s="198"/>
      <c r="J185" s="198"/>
      <c r="K185" s="198"/>
      <c r="M185" s="198"/>
      <c r="N185" s="198"/>
      <c r="O185" s="198"/>
      <c r="P185" s="198"/>
      <c r="Q185" s="198"/>
      <c r="R185" s="198"/>
      <c r="S185" s="198"/>
      <c r="T185" s="198"/>
      <c r="U185" s="198"/>
      <c r="V185" s="198"/>
      <c r="W185" s="198"/>
      <c r="X185" s="198"/>
      <c r="Y185" s="198"/>
      <c r="Z185" s="198"/>
      <c r="AA185" s="198"/>
    </row>
    <row r="186">
      <c r="A186" s="201"/>
      <c r="B186" s="201"/>
      <c r="C186" s="198"/>
      <c r="D186" s="198"/>
      <c r="E186" s="198"/>
      <c r="F186" s="198"/>
      <c r="G186" s="198"/>
      <c r="H186" s="198"/>
      <c r="I186" s="198"/>
      <c r="J186" s="198"/>
      <c r="K186" s="198"/>
      <c r="M186" s="198"/>
      <c r="N186" s="198"/>
      <c r="O186" s="198"/>
      <c r="P186" s="198"/>
      <c r="Q186" s="198"/>
      <c r="R186" s="198"/>
      <c r="S186" s="198"/>
      <c r="T186" s="198"/>
      <c r="U186" s="198"/>
      <c r="V186" s="198"/>
      <c r="W186" s="198"/>
      <c r="X186" s="198"/>
      <c r="Y186" s="198"/>
      <c r="Z186" s="198"/>
      <c r="AA186" s="198"/>
    </row>
    <row r="187">
      <c r="A187" s="201"/>
      <c r="B187" s="201"/>
      <c r="C187" s="198"/>
      <c r="D187" s="198"/>
      <c r="E187" s="198"/>
      <c r="F187" s="198"/>
      <c r="G187" s="198"/>
      <c r="H187" s="198"/>
      <c r="I187" s="198"/>
      <c r="J187" s="198"/>
      <c r="K187" s="198"/>
      <c r="M187" s="198"/>
      <c r="N187" s="198"/>
      <c r="O187" s="198"/>
      <c r="P187" s="198"/>
      <c r="Q187" s="198"/>
      <c r="R187" s="198"/>
      <c r="S187" s="198"/>
      <c r="T187" s="198"/>
      <c r="U187" s="198"/>
      <c r="V187" s="198"/>
      <c r="W187" s="198"/>
      <c r="X187" s="198"/>
      <c r="Y187" s="198"/>
      <c r="Z187" s="198"/>
      <c r="AA187" s="198"/>
    </row>
    <row r="188">
      <c r="A188" s="201"/>
      <c r="B188" s="201"/>
      <c r="C188" s="198"/>
      <c r="D188" s="198"/>
      <c r="E188" s="198"/>
      <c r="F188" s="198"/>
      <c r="G188" s="198"/>
      <c r="H188" s="198"/>
      <c r="I188" s="198"/>
      <c r="J188" s="198"/>
      <c r="K188" s="198"/>
      <c r="M188" s="198"/>
      <c r="N188" s="198"/>
      <c r="O188" s="198"/>
      <c r="P188" s="198"/>
      <c r="Q188" s="198"/>
      <c r="R188" s="198"/>
      <c r="S188" s="198"/>
      <c r="T188" s="198"/>
      <c r="U188" s="198"/>
      <c r="V188" s="198"/>
      <c r="W188" s="198"/>
      <c r="X188" s="198"/>
      <c r="Y188" s="198"/>
      <c r="Z188" s="198"/>
      <c r="AA188" s="198"/>
    </row>
    <row r="189">
      <c r="A189" s="201"/>
      <c r="B189" s="201"/>
      <c r="C189" s="198"/>
      <c r="D189" s="198"/>
      <c r="E189" s="198"/>
      <c r="F189" s="198"/>
      <c r="G189" s="198"/>
      <c r="H189" s="198"/>
      <c r="I189" s="198"/>
      <c r="J189" s="198"/>
      <c r="K189" s="198"/>
      <c r="M189" s="198"/>
      <c r="N189" s="198"/>
      <c r="O189" s="198"/>
      <c r="P189" s="198"/>
      <c r="Q189" s="198"/>
      <c r="R189" s="198"/>
      <c r="S189" s="198"/>
      <c r="T189" s="198"/>
      <c r="U189" s="198"/>
      <c r="V189" s="198"/>
      <c r="W189" s="198"/>
      <c r="X189" s="198"/>
      <c r="Y189" s="198"/>
      <c r="Z189" s="198"/>
      <c r="AA189" s="198"/>
    </row>
    <row r="190">
      <c r="A190" s="201"/>
      <c r="B190" s="201"/>
      <c r="C190" s="198"/>
      <c r="D190" s="198"/>
      <c r="E190" s="198"/>
      <c r="F190" s="198"/>
      <c r="G190" s="198"/>
      <c r="H190" s="198"/>
      <c r="I190" s="198"/>
      <c r="J190" s="198"/>
      <c r="K190" s="198"/>
      <c r="M190" s="198"/>
      <c r="N190" s="198"/>
      <c r="O190" s="198"/>
      <c r="P190" s="198"/>
      <c r="Q190" s="198"/>
      <c r="R190" s="198"/>
      <c r="S190" s="198"/>
      <c r="T190" s="198"/>
      <c r="U190" s="198"/>
      <c r="V190" s="198"/>
      <c r="W190" s="198"/>
      <c r="X190" s="198"/>
      <c r="Y190" s="198"/>
      <c r="Z190" s="198"/>
      <c r="AA190" s="198"/>
    </row>
    <row r="191">
      <c r="A191" s="201"/>
      <c r="B191" s="201"/>
      <c r="C191" s="198"/>
      <c r="D191" s="198"/>
      <c r="E191" s="198"/>
      <c r="F191" s="198"/>
      <c r="G191" s="198"/>
      <c r="H191" s="198"/>
      <c r="I191" s="198"/>
      <c r="J191" s="198"/>
      <c r="K191" s="198"/>
      <c r="M191" s="198"/>
      <c r="N191" s="198"/>
      <c r="O191" s="198"/>
      <c r="P191" s="198"/>
      <c r="Q191" s="198"/>
      <c r="R191" s="198"/>
      <c r="S191" s="198"/>
      <c r="T191" s="198"/>
      <c r="U191" s="198"/>
      <c r="V191" s="198"/>
      <c r="W191" s="198"/>
      <c r="X191" s="198"/>
      <c r="Y191" s="198"/>
      <c r="Z191" s="198"/>
      <c r="AA191" s="198"/>
    </row>
    <row r="192">
      <c r="A192" s="201"/>
      <c r="B192" s="201"/>
      <c r="C192" s="198"/>
      <c r="D192" s="198"/>
      <c r="E192" s="198"/>
      <c r="F192" s="198"/>
      <c r="G192" s="198"/>
      <c r="H192" s="198"/>
      <c r="I192" s="198"/>
      <c r="J192" s="198"/>
      <c r="K192" s="198"/>
      <c r="M192" s="198"/>
      <c r="N192" s="198"/>
      <c r="O192" s="198"/>
      <c r="P192" s="198"/>
      <c r="Q192" s="198"/>
      <c r="R192" s="198"/>
      <c r="S192" s="198"/>
      <c r="T192" s="198"/>
      <c r="U192" s="198"/>
      <c r="V192" s="198"/>
      <c r="W192" s="198"/>
      <c r="X192" s="198"/>
      <c r="Y192" s="198"/>
      <c r="Z192" s="198"/>
      <c r="AA192" s="198"/>
    </row>
    <row r="193">
      <c r="A193" s="201"/>
      <c r="B193" s="201"/>
      <c r="C193" s="198"/>
      <c r="D193" s="198"/>
      <c r="E193" s="198"/>
      <c r="F193" s="198"/>
      <c r="G193" s="198"/>
      <c r="H193" s="198"/>
      <c r="I193" s="198"/>
      <c r="J193" s="198"/>
      <c r="K193" s="198"/>
      <c r="M193" s="198"/>
      <c r="N193" s="198"/>
      <c r="O193" s="198"/>
      <c r="P193" s="198"/>
      <c r="Q193" s="198"/>
      <c r="R193" s="198"/>
      <c r="S193" s="198"/>
      <c r="T193" s="198"/>
      <c r="U193" s="198"/>
      <c r="V193" s="198"/>
      <c r="W193" s="198"/>
      <c r="X193" s="198"/>
      <c r="Y193" s="198"/>
      <c r="Z193" s="198"/>
      <c r="AA193" s="198"/>
    </row>
    <row r="194">
      <c r="A194" s="201"/>
      <c r="B194" s="201"/>
      <c r="C194" s="198"/>
      <c r="D194" s="198"/>
      <c r="E194" s="198"/>
      <c r="F194" s="198"/>
      <c r="G194" s="198"/>
      <c r="H194" s="198"/>
      <c r="I194" s="198"/>
      <c r="J194" s="198"/>
      <c r="K194" s="198"/>
      <c r="M194" s="198"/>
      <c r="N194" s="198"/>
      <c r="O194" s="198"/>
      <c r="P194" s="198"/>
      <c r="Q194" s="198"/>
      <c r="R194" s="198"/>
      <c r="S194" s="198"/>
      <c r="T194" s="198"/>
      <c r="U194" s="198"/>
      <c r="V194" s="198"/>
      <c r="W194" s="198"/>
      <c r="X194" s="198"/>
      <c r="Y194" s="198"/>
      <c r="Z194" s="198"/>
      <c r="AA194" s="198"/>
    </row>
    <row r="195">
      <c r="A195" s="201"/>
      <c r="B195" s="201"/>
      <c r="C195" s="198"/>
      <c r="D195" s="198"/>
      <c r="E195" s="198"/>
      <c r="F195" s="198"/>
      <c r="G195" s="198"/>
      <c r="H195" s="198"/>
      <c r="I195" s="198"/>
      <c r="J195" s="198"/>
      <c r="K195" s="198"/>
      <c r="M195" s="198"/>
      <c r="N195" s="198"/>
      <c r="O195" s="198"/>
      <c r="P195" s="198"/>
      <c r="Q195" s="198"/>
      <c r="R195" s="198"/>
      <c r="S195" s="198"/>
      <c r="T195" s="198"/>
      <c r="U195" s="198"/>
      <c r="V195" s="198"/>
      <c r="W195" s="198"/>
      <c r="X195" s="198"/>
      <c r="Y195" s="198"/>
      <c r="Z195" s="198"/>
      <c r="AA195" s="198"/>
    </row>
    <row r="196">
      <c r="A196" s="201"/>
      <c r="B196" s="201"/>
      <c r="C196" s="198"/>
      <c r="D196" s="198"/>
      <c r="E196" s="198"/>
      <c r="F196" s="198"/>
      <c r="G196" s="198"/>
      <c r="H196" s="198"/>
      <c r="I196" s="198"/>
      <c r="J196" s="198"/>
      <c r="K196" s="198"/>
      <c r="M196" s="198"/>
      <c r="N196" s="198"/>
      <c r="O196" s="198"/>
      <c r="P196" s="198"/>
      <c r="Q196" s="198"/>
      <c r="R196" s="198"/>
      <c r="S196" s="198"/>
      <c r="T196" s="198"/>
      <c r="U196" s="198"/>
      <c r="V196" s="198"/>
      <c r="W196" s="198"/>
      <c r="X196" s="198"/>
      <c r="Y196" s="198"/>
      <c r="Z196" s="198"/>
      <c r="AA196" s="198"/>
    </row>
    <row r="197">
      <c r="A197" s="201"/>
      <c r="B197" s="201"/>
      <c r="C197" s="198"/>
      <c r="D197" s="198"/>
      <c r="E197" s="198"/>
      <c r="F197" s="198"/>
      <c r="G197" s="198"/>
      <c r="H197" s="198"/>
      <c r="I197" s="198"/>
      <c r="J197" s="198"/>
      <c r="K197" s="198"/>
      <c r="M197" s="198"/>
      <c r="N197" s="198"/>
      <c r="O197" s="198"/>
      <c r="P197" s="198"/>
      <c r="Q197" s="198"/>
      <c r="R197" s="198"/>
      <c r="S197" s="198"/>
      <c r="T197" s="198"/>
      <c r="U197" s="198"/>
      <c r="V197" s="198"/>
      <c r="W197" s="198"/>
      <c r="X197" s="198"/>
      <c r="Y197" s="198"/>
      <c r="Z197" s="198"/>
      <c r="AA197" s="198"/>
    </row>
    <row r="198">
      <c r="A198" s="201"/>
      <c r="B198" s="201"/>
      <c r="C198" s="198"/>
      <c r="D198" s="198"/>
      <c r="E198" s="198"/>
      <c r="F198" s="198"/>
      <c r="G198" s="198"/>
      <c r="H198" s="198"/>
      <c r="I198" s="198"/>
      <c r="J198" s="198"/>
      <c r="K198" s="198"/>
      <c r="M198" s="198"/>
      <c r="N198" s="198"/>
      <c r="O198" s="198"/>
      <c r="P198" s="198"/>
      <c r="Q198" s="198"/>
      <c r="R198" s="198"/>
      <c r="S198" s="198"/>
      <c r="T198" s="198"/>
      <c r="U198" s="198"/>
      <c r="V198" s="198"/>
      <c r="W198" s="198"/>
      <c r="X198" s="198"/>
      <c r="Y198" s="198"/>
      <c r="Z198" s="198"/>
      <c r="AA198" s="198"/>
    </row>
    <row r="199">
      <c r="A199" s="201"/>
      <c r="B199" s="201"/>
      <c r="C199" s="198"/>
      <c r="D199" s="198"/>
      <c r="E199" s="198"/>
      <c r="F199" s="198"/>
      <c r="G199" s="198"/>
      <c r="H199" s="198"/>
      <c r="I199" s="198"/>
      <c r="J199" s="198"/>
      <c r="K199" s="198"/>
      <c r="M199" s="198"/>
      <c r="N199" s="198"/>
      <c r="O199" s="198"/>
      <c r="P199" s="198"/>
      <c r="Q199" s="198"/>
      <c r="R199" s="198"/>
      <c r="S199" s="198"/>
      <c r="T199" s="198"/>
      <c r="U199" s="198"/>
      <c r="V199" s="198"/>
      <c r="W199" s="198"/>
      <c r="X199" s="198"/>
      <c r="Y199" s="198"/>
      <c r="Z199" s="198"/>
      <c r="AA199" s="198"/>
    </row>
    <row r="200">
      <c r="A200" s="201"/>
      <c r="B200" s="201"/>
      <c r="C200" s="198"/>
      <c r="D200" s="198"/>
      <c r="E200" s="198"/>
      <c r="F200" s="198"/>
      <c r="G200" s="198"/>
      <c r="H200" s="198"/>
      <c r="I200" s="198"/>
      <c r="J200" s="198"/>
      <c r="K200" s="198"/>
      <c r="M200" s="198"/>
      <c r="N200" s="198"/>
      <c r="O200" s="198"/>
      <c r="P200" s="198"/>
      <c r="Q200" s="198"/>
      <c r="R200" s="198"/>
      <c r="S200" s="198"/>
      <c r="T200" s="198"/>
      <c r="U200" s="198"/>
      <c r="V200" s="198"/>
      <c r="W200" s="198"/>
      <c r="X200" s="198"/>
      <c r="Y200" s="198"/>
      <c r="Z200" s="198"/>
      <c r="AA200" s="198"/>
    </row>
    <row r="201">
      <c r="A201" s="201"/>
      <c r="B201" s="201"/>
      <c r="C201" s="198"/>
      <c r="D201" s="198"/>
      <c r="E201" s="198"/>
      <c r="F201" s="198"/>
      <c r="G201" s="198"/>
      <c r="H201" s="198"/>
      <c r="I201" s="198"/>
      <c r="J201" s="198"/>
      <c r="K201" s="198"/>
      <c r="M201" s="198"/>
      <c r="N201" s="198"/>
      <c r="O201" s="198"/>
      <c r="P201" s="198"/>
      <c r="Q201" s="198"/>
      <c r="R201" s="198"/>
      <c r="S201" s="198"/>
      <c r="T201" s="198"/>
      <c r="U201" s="198"/>
      <c r="V201" s="198"/>
      <c r="W201" s="198"/>
      <c r="X201" s="198"/>
      <c r="Y201" s="198"/>
      <c r="Z201" s="198"/>
      <c r="AA201" s="198"/>
    </row>
    <row r="202">
      <c r="A202" s="201"/>
      <c r="B202" s="201"/>
      <c r="C202" s="198"/>
      <c r="D202" s="198"/>
      <c r="E202" s="198"/>
      <c r="F202" s="198"/>
      <c r="G202" s="198"/>
      <c r="H202" s="198"/>
      <c r="I202" s="198"/>
      <c r="J202" s="198"/>
      <c r="K202" s="198"/>
      <c r="M202" s="198"/>
      <c r="N202" s="198"/>
      <c r="O202" s="198"/>
      <c r="P202" s="198"/>
      <c r="Q202" s="198"/>
      <c r="R202" s="198"/>
      <c r="S202" s="198"/>
      <c r="T202" s="198"/>
      <c r="U202" s="198"/>
      <c r="V202" s="198"/>
      <c r="W202" s="198"/>
      <c r="X202" s="198"/>
      <c r="Y202" s="198"/>
      <c r="Z202" s="198"/>
      <c r="AA202" s="198"/>
    </row>
    <row r="203">
      <c r="A203" s="201"/>
      <c r="B203" s="201"/>
      <c r="C203" s="198"/>
      <c r="D203" s="198"/>
      <c r="E203" s="198"/>
      <c r="F203" s="198"/>
      <c r="G203" s="198"/>
      <c r="H203" s="198"/>
      <c r="I203" s="198"/>
      <c r="J203" s="198"/>
      <c r="K203" s="198"/>
      <c r="M203" s="198"/>
      <c r="N203" s="198"/>
      <c r="O203" s="198"/>
      <c r="P203" s="198"/>
      <c r="Q203" s="198"/>
      <c r="R203" s="198"/>
      <c r="S203" s="198"/>
      <c r="T203" s="198"/>
      <c r="U203" s="198"/>
      <c r="V203" s="198"/>
      <c r="W203" s="198"/>
      <c r="X203" s="198"/>
      <c r="Y203" s="198"/>
      <c r="Z203" s="198"/>
      <c r="AA203" s="198"/>
    </row>
    <row r="204">
      <c r="A204" s="201"/>
      <c r="B204" s="201"/>
      <c r="C204" s="198"/>
      <c r="D204" s="198"/>
      <c r="E204" s="198"/>
      <c r="F204" s="198"/>
      <c r="G204" s="198"/>
      <c r="H204" s="198"/>
      <c r="I204" s="198"/>
      <c r="J204" s="198"/>
      <c r="K204" s="198"/>
      <c r="M204" s="198"/>
      <c r="N204" s="198"/>
      <c r="O204" s="198"/>
      <c r="P204" s="198"/>
      <c r="Q204" s="198"/>
      <c r="R204" s="198"/>
      <c r="S204" s="198"/>
      <c r="T204" s="198"/>
      <c r="U204" s="198"/>
      <c r="V204" s="198"/>
      <c r="W204" s="198"/>
      <c r="X204" s="198"/>
      <c r="Y204" s="198"/>
      <c r="Z204" s="198"/>
      <c r="AA204" s="198"/>
    </row>
    <row r="205">
      <c r="A205" s="201"/>
      <c r="B205" s="201"/>
      <c r="C205" s="198"/>
      <c r="D205" s="198"/>
      <c r="E205" s="198"/>
      <c r="F205" s="198"/>
      <c r="G205" s="198"/>
      <c r="H205" s="198"/>
      <c r="I205" s="198"/>
      <c r="J205" s="198"/>
      <c r="K205" s="198"/>
      <c r="M205" s="198"/>
      <c r="N205" s="198"/>
      <c r="O205" s="198"/>
      <c r="P205" s="198"/>
      <c r="Q205" s="198"/>
      <c r="R205" s="198"/>
      <c r="S205" s="198"/>
      <c r="T205" s="198"/>
      <c r="U205" s="198"/>
      <c r="V205" s="198"/>
      <c r="W205" s="198"/>
      <c r="X205" s="198"/>
      <c r="Y205" s="198"/>
      <c r="Z205" s="198"/>
      <c r="AA205" s="198"/>
    </row>
    <row r="206">
      <c r="A206" s="201"/>
      <c r="B206" s="201"/>
      <c r="C206" s="198"/>
      <c r="D206" s="198"/>
      <c r="E206" s="198"/>
      <c r="F206" s="198"/>
      <c r="G206" s="198"/>
      <c r="H206" s="198"/>
      <c r="I206" s="198"/>
      <c r="J206" s="198"/>
      <c r="K206" s="198"/>
      <c r="M206" s="198"/>
      <c r="N206" s="198"/>
      <c r="O206" s="198"/>
      <c r="P206" s="198"/>
      <c r="Q206" s="198"/>
      <c r="R206" s="198"/>
      <c r="S206" s="198"/>
      <c r="T206" s="198"/>
      <c r="U206" s="198"/>
      <c r="V206" s="198"/>
      <c r="W206" s="198"/>
      <c r="X206" s="198"/>
      <c r="Y206" s="198"/>
      <c r="Z206" s="198"/>
      <c r="AA206" s="198"/>
    </row>
    <row r="207">
      <c r="A207" s="201"/>
      <c r="B207" s="201"/>
      <c r="C207" s="198"/>
      <c r="D207" s="198"/>
      <c r="E207" s="198"/>
      <c r="F207" s="198"/>
      <c r="G207" s="198"/>
      <c r="H207" s="198"/>
      <c r="I207" s="198"/>
      <c r="J207" s="198"/>
      <c r="K207" s="198"/>
      <c r="M207" s="198"/>
      <c r="N207" s="198"/>
      <c r="O207" s="198"/>
      <c r="P207" s="198"/>
      <c r="Q207" s="198"/>
      <c r="R207" s="198"/>
      <c r="S207" s="198"/>
      <c r="T207" s="198"/>
      <c r="U207" s="198"/>
      <c r="V207" s="198"/>
      <c r="W207" s="198"/>
      <c r="X207" s="198"/>
      <c r="Y207" s="198"/>
      <c r="Z207" s="198"/>
      <c r="AA207" s="198"/>
    </row>
    <row r="208">
      <c r="A208" s="201"/>
      <c r="B208" s="201"/>
      <c r="C208" s="198"/>
      <c r="D208" s="198"/>
      <c r="E208" s="198"/>
      <c r="F208" s="198"/>
      <c r="G208" s="198"/>
      <c r="H208" s="198"/>
      <c r="I208" s="198"/>
      <c r="J208" s="198"/>
      <c r="K208" s="198"/>
      <c r="M208" s="198"/>
      <c r="N208" s="198"/>
      <c r="O208" s="198"/>
      <c r="P208" s="198"/>
      <c r="Q208" s="198"/>
      <c r="R208" s="198"/>
      <c r="S208" s="198"/>
      <c r="T208" s="198"/>
      <c r="U208" s="198"/>
      <c r="V208" s="198"/>
      <c r="W208" s="198"/>
      <c r="X208" s="198"/>
      <c r="Y208" s="198"/>
      <c r="Z208" s="198"/>
      <c r="AA208" s="198"/>
    </row>
    <row r="209">
      <c r="A209" s="201"/>
      <c r="B209" s="201"/>
      <c r="C209" s="198"/>
      <c r="D209" s="198"/>
      <c r="E209" s="198"/>
      <c r="F209" s="198"/>
      <c r="G209" s="198"/>
      <c r="H209" s="198"/>
      <c r="I209" s="198"/>
      <c r="J209" s="198"/>
      <c r="K209" s="198"/>
      <c r="M209" s="198"/>
      <c r="N209" s="198"/>
      <c r="O209" s="198"/>
      <c r="P209" s="198"/>
      <c r="Q209" s="198"/>
      <c r="R209" s="198"/>
      <c r="S209" s="198"/>
      <c r="T209" s="198"/>
      <c r="U209" s="198"/>
      <c r="V209" s="198"/>
      <c r="W209" s="198"/>
      <c r="X209" s="198"/>
      <c r="Y209" s="198"/>
      <c r="Z209" s="198"/>
      <c r="AA209" s="198"/>
    </row>
    <row r="210">
      <c r="A210" s="201"/>
      <c r="B210" s="201"/>
      <c r="C210" s="198"/>
      <c r="D210" s="198"/>
      <c r="E210" s="198"/>
      <c r="F210" s="198"/>
      <c r="G210" s="198"/>
      <c r="H210" s="198"/>
      <c r="I210" s="198"/>
      <c r="J210" s="198"/>
      <c r="K210" s="198"/>
      <c r="M210" s="198"/>
      <c r="N210" s="198"/>
      <c r="O210" s="198"/>
      <c r="P210" s="198"/>
      <c r="Q210" s="198"/>
      <c r="R210" s="198"/>
      <c r="S210" s="198"/>
      <c r="T210" s="198"/>
      <c r="U210" s="198"/>
      <c r="V210" s="198"/>
      <c r="W210" s="198"/>
      <c r="X210" s="198"/>
      <c r="Y210" s="198"/>
      <c r="Z210" s="198"/>
      <c r="AA210" s="198"/>
    </row>
    <row r="211">
      <c r="A211" s="201"/>
      <c r="B211" s="201"/>
      <c r="C211" s="198"/>
      <c r="D211" s="198"/>
      <c r="E211" s="198"/>
      <c r="F211" s="198"/>
      <c r="G211" s="198"/>
      <c r="H211" s="198"/>
      <c r="I211" s="198"/>
      <c r="J211" s="198"/>
      <c r="K211" s="198"/>
      <c r="M211" s="198"/>
      <c r="N211" s="198"/>
      <c r="O211" s="198"/>
      <c r="P211" s="198"/>
      <c r="Q211" s="198"/>
      <c r="R211" s="198"/>
      <c r="S211" s="198"/>
      <c r="T211" s="198"/>
      <c r="U211" s="198"/>
      <c r="V211" s="198"/>
      <c r="W211" s="198"/>
      <c r="X211" s="198"/>
      <c r="Y211" s="198"/>
      <c r="Z211" s="198"/>
      <c r="AA211" s="198"/>
    </row>
    <row r="212">
      <c r="A212" s="201"/>
      <c r="B212" s="201"/>
      <c r="C212" s="198"/>
      <c r="D212" s="198"/>
      <c r="E212" s="198"/>
      <c r="F212" s="198"/>
      <c r="G212" s="198"/>
      <c r="H212" s="198"/>
      <c r="I212" s="198"/>
      <c r="J212" s="198"/>
      <c r="K212" s="198"/>
      <c r="M212" s="198"/>
      <c r="N212" s="198"/>
      <c r="O212" s="198"/>
      <c r="P212" s="198"/>
      <c r="Q212" s="198"/>
      <c r="R212" s="198"/>
      <c r="S212" s="198"/>
      <c r="T212" s="198"/>
      <c r="U212" s="198"/>
      <c r="V212" s="198"/>
      <c r="W212" s="198"/>
      <c r="X212" s="198"/>
      <c r="Y212" s="198"/>
      <c r="Z212" s="198"/>
      <c r="AA212" s="198"/>
    </row>
    <row r="213">
      <c r="A213" s="201"/>
      <c r="B213" s="201"/>
      <c r="C213" s="198"/>
      <c r="D213" s="198"/>
      <c r="E213" s="198"/>
      <c r="F213" s="198"/>
      <c r="G213" s="198"/>
      <c r="H213" s="198"/>
      <c r="I213" s="198"/>
      <c r="J213" s="198"/>
      <c r="K213" s="198"/>
      <c r="M213" s="198"/>
      <c r="N213" s="198"/>
      <c r="O213" s="198"/>
      <c r="P213" s="198"/>
      <c r="Q213" s="198"/>
      <c r="R213" s="198"/>
      <c r="S213" s="198"/>
      <c r="T213" s="198"/>
      <c r="U213" s="198"/>
      <c r="V213" s="198"/>
      <c r="W213" s="198"/>
      <c r="X213" s="198"/>
      <c r="Y213" s="198"/>
      <c r="Z213" s="198"/>
      <c r="AA213" s="198"/>
    </row>
    <row r="214">
      <c r="A214" s="201"/>
      <c r="B214" s="201"/>
      <c r="C214" s="198"/>
      <c r="D214" s="198"/>
      <c r="E214" s="198"/>
      <c r="F214" s="198"/>
      <c r="G214" s="198"/>
      <c r="H214" s="198"/>
      <c r="I214" s="198"/>
      <c r="J214" s="198"/>
      <c r="K214" s="198"/>
      <c r="M214" s="198"/>
      <c r="N214" s="198"/>
      <c r="O214" s="198"/>
      <c r="P214" s="198"/>
      <c r="Q214" s="198"/>
      <c r="R214" s="198"/>
      <c r="S214" s="198"/>
      <c r="T214" s="198"/>
      <c r="U214" s="198"/>
      <c r="V214" s="198"/>
      <c r="W214" s="198"/>
      <c r="X214" s="198"/>
      <c r="Y214" s="198"/>
      <c r="Z214" s="198"/>
      <c r="AA214" s="198"/>
    </row>
    <row r="215">
      <c r="A215" s="201"/>
      <c r="B215" s="201"/>
      <c r="C215" s="198"/>
      <c r="D215" s="198"/>
      <c r="E215" s="198"/>
      <c r="F215" s="198"/>
      <c r="G215" s="198"/>
      <c r="H215" s="198"/>
      <c r="I215" s="198"/>
      <c r="J215" s="198"/>
      <c r="K215" s="198"/>
      <c r="M215" s="198"/>
      <c r="N215" s="198"/>
      <c r="O215" s="198"/>
      <c r="P215" s="198"/>
      <c r="Q215" s="198"/>
      <c r="R215" s="198"/>
      <c r="S215" s="198"/>
      <c r="T215" s="198"/>
      <c r="U215" s="198"/>
      <c r="V215" s="198"/>
      <c r="W215" s="198"/>
      <c r="X215" s="198"/>
      <c r="Y215" s="198"/>
      <c r="Z215" s="198"/>
      <c r="AA215" s="198"/>
    </row>
    <row r="216">
      <c r="A216" s="201"/>
      <c r="B216" s="201"/>
      <c r="C216" s="198"/>
      <c r="D216" s="198"/>
      <c r="E216" s="198"/>
      <c r="F216" s="198"/>
      <c r="G216" s="198"/>
      <c r="H216" s="198"/>
      <c r="I216" s="198"/>
      <c r="J216" s="198"/>
      <c r="K216" s="198"/>
      <c r="M216" s="198"/>
      <c r="N216" s="198"/>
      <c r="O216" s="198"/>
      <c r="P216" s="198"/>
      <c r="Q216" s="198"/>
      <c r="R216" s="198"/>
      <c r="S216" s="198"/>
      <c r="T216" s="198"/>
      <c r="U216" s="198"/>
      <c r="V216" s="198"/>
      <c r="W216" s="198"/>
      <c r="X216" s="198"/>
      <c r="Y216" s="198"/>
      <c r="Z216" s="198"/>
      <c r="AA216" s="198"/>
    </row>
    <row r="217">
      <c r="A217" s="201"/>
      <c r="B217" s="201"/>
      <c r="C217" s="198"/>
      <c r="D217" s="198"/>
      <c r="E217" s="198"/>
      <c r="F217" s="198"/>
      <c r="G217" s="198"/>
      <c r="H217" s="198"/>
      <c r="I217" s="198"/>
      <c r="J217" s="198"/>
      <c r="K217" s="198"/>
      <c r="M217" s="198"/>
      <c r="N217" s="198"/>
      <c r="O217" s="198"/>
      <c r="P217" s="198"/>
      <c r="Q217" s="198"/>
      <c r="R217" s="198"/>
      <c r="S217" s="198"/>
      <c r="T217" s="198"/>
      <c r="U217" s="198"/>
      <c r="V217" s="198"/>
      <c r="W217" s="198"/>
      <c r="X217" s="198"/>
      <c r="Y217" s="198"/>
      <c r="Z217" s="198"/>
      <c r="AA217" s="198"/>
    </row>
    <row r="218">
      <c r="A218" s="201"/>
      <c r="B218" s="201"/>
      <c r="C218" s="198"/>
      <c r="D218" s="198"/>
      <c r="E218" s="198"/>
      <c r="F218" s="198"/>
      <c r="G218" s="198"/>
      <c r="H218" s="198"/>
      <c r="I218" s="198"/>
      <c r="J218" s="198"/>
      <c r="K218" s="198"/>
      <c r="M218" s="198"/>
      <c r="N218" s="198"/>
      <c r="O218" s="198"/>
      <c r="P218" s="198"/>
      <c r="Q218" s="198"/>
      <c r="R218" s="198"/>
      <c r="S218" s="198"/>
      <c r="T218" s="198"/>
      <c r="U218" s="198"/>
      <c r="V218" s="198"/>
      <c r="W218" s="198"/>
      <c r="X218" s="198"/>
      <c r="Y218" s="198"/>
      <c r="Z218" s="198"/>
      <c r="AA218" s="198"/>
    </row>
    <row r="219">
      <c r="A219" s="201"/>
      <c r="B219" s="201"/>
      <c r="C219" s="198"/>
      <c r="D219" s="198"/>
      <c r="E219" s="198"/>
      <c r="F219" s="198"/>
      <c r="G219" s="198"/>
      <c r="H219" s="198"/>
      <c r="I219" s="198"/>
      <c r="J219" s="198"/>
      <c r="K219" s="198"/>
      <c r="M219" s="198"/>
      <c r="N219" s="198"/>
      <c r="O219" s="198"/>
      <c r="P219" s="198"/>
      <c r="Q219" s="198"/>
      <c r="R219" s="198"/>
      <c r="S219" s="198"/>
      <c r="T219" s="198"/>
      <c r="U219" s="198"/>
      <c r="V219" s="198"/>
      <c r="W219" s="198"/>
      <c r="X219" s="198"/>
      <c r="Y219" s="198"/>
      <c r="Z219" s="198"/>
      <c r="AA219" s="198"/>
    </row>
    <row r="220">
      <c r="A220" s="201"/>
      <c r="B220" s="201"/>
      <c r="C220" s="198"/>
      <c r="D220" s="198"/>
      <c r="E220" s="198"/>
      <c r="F220" s="198"/>
      <c r="G220" s="198"/>
      <c r="H220" s="198"/>
      <c r="I220" s="198"/>
      <c r="J220" s="198"/>
      <c r="K220" s="198"/>
      <c r="M220" s="198"/>
      <c r="N220" s="198"/>
      <c r="O220" s="198"/>
      <c r="P220" s="198"/>
      <c r="Q220" s="198"/>
      <c r="R220" s="198"/>
      <c r="S220" s="198"/>
      <c r="T220" s="198"/>
      <c r="U220" s="198"/>
      <c r="V220" s="198"/>
      <c r="W220" s="198"/>
      <c r="X220" s="198"/>
      <c r="Y220" s="198"/>
      <c r="Z220" s="198"/>
      <c r="AA220" s="198"/>
    </row>
    <row r="221">
      <c r="A221" s="201"/>
      <c r="B221" s="201"/>
      <c r="C221" s="198"/>
      <c r="D221" s="198"/>
      <c r="E221" s="198"/>
      <c r="F221" s="198"/>
      <c r="G221" s="198"/>
      <c r="H221" s="198"/>
      <c r="I221" s="198"/>
      <c r="J221" s="198"/>
      <c r="K221" s="198"/>
      <c r="M221" s="198"/>
      <c r="N221" s="198"/>
      <c r="O221" s="198"/>
      <c r="P221" s="198"/>
      <c r="Q221" s="198"/>
      <c r="R221" s="198"/>
      <c r="S221" s="198"/>
      <c r="T221" s="198"/>
      <c r="U221" s="198"/>
      <c r="V221" s="198"/>
      <c r="W221" s="198"/>
      <c r="X221" s="198"/>
      <c r="Y221" s="198"/>
      <c r="Z221" s="198"/>
      <c r="AA221" s="198"/>
    </row>
    <row r="222">
      <c r="A222" s="201"/>
      <c r="B222" s="201"/>
      <c r="C222" s="198"/>
      <c r="D222" s="198"/>
      <c r="E222" s="198"/>
      <c r="F222" s="198"/>
      <c r="G222" s="198"/>
      <c r="H222" s="198"/>
      <c r="I222" s="198"/>
      <c r="J222" s="198"/>
      <c r="K222" s="198"/>
      <c r="M222" s="198"/>
      <c r="N222" s="198"/>
      <c r="O222" s="198"/>
      <c r="P222" s="198"/>
      <c r="Q222" s="198"/>
      <c r="R222" s="198"/>
      <c r="S222" s="198"/>
      <c r="T222" s="198"/>
      <c r="U222" s="198"/>
      <c r="V222" s="198"/>
      <c r="W222" s="198"/>
      <c r="X222" s="198"/>
      <c r="Y222" s="198"/>
      <c r="Z222" s="198"/>
      <c r="AA222" s="198"/>
    </row>
    <row r="223">
      <c r="A223" s="201"/>
      <c r="B223" s="201"/>
      <c r="C223" s="198"/>
      <c r="D223" s="198"/>
      <c r="E223" s="198"/>
      <c r="F223" s="198"/>
      <c r="G223" s="198"/>
      <c r="H223" s="198"/>
      <c r="I223" s="198"/>
      <c r="J223" s="198"/>
      <c r="K223" s="198"/>
      <c r="M223" s="198"/>
      <c r="N223" s="198"/>
      <c r="O223" s="198"/>
      <c r="P223" s="198"/>
      <c r="Q223" s="198"/>
      <c r="R223" s="198"/>
      <c r="S223" s="198"/>
      <c r="T223" s="198"/>
      <c r="U223" s="198"/>
      <c r="V223" s="198"/>
      <c r="W223" s="198"/>
      <c r="X223" s="198"/>
      <c r="Y223" s="198"/>
      <c r="Z223" s="198"/>
      <c r="AA223" s="198"/>
    </row>
    <row r="224">
      <c r="A224" s="201"/>
      <c r="B224" s="201"/>
      <c r="C224" s="198"/>
      <c r="D224" s="198"/>
      <c r="E224" s="198"/>
      <c r="F224" s="198"/>
      <c r="G224" s="198"/>
      <c r="H224" s="198"/>
      <c r="I224" s="198"/>
      <c r="J224" s="198"/>
      <c r="K224" s="198"/>
      <c r="M224" s="198"/>
      <c r="N224" s="198"/>
      <c r="O224" s="198"/>
      <c r="P224" s="198"/>
      <c r="Q224" s="198"/>
      <c r="R224" s="198"/>
      <c r="S224" s="198"/>
      <c r="T224" s="198"/>
      <c r="U224" s="198"/>
      <c r="V224" s="198"/>
      <c r="W224" s="198"/>
      <c r="X224" s="198"/>
      <c r="Y224" s="198"/>
      <c r="Z224" s="198"/>
      <c r="AA224" s="198"/>
    </row>
    <row r="225">
      <c r="A225" s="201"/>
      <c r="B225" s="201"/>
      <c r="C225" s="198"/>
      <c r="D225" s="198"/>
      <c r="E225" s="198"/>
      <c r="F225" s="198"/>
      <c r="G225" s="198"/>
      <c r="H225" s="198"/>
      <c r="I225" s="198"/>
      <c r="J225" s="198"/>
      <c r="K225" s="198"/>
      <c r="M225" s="198"/>
      <c r="N225" s="198"/>
      <c r="O225" s="198"/>
      <c r="P225" s="198"/>
      <c r="Q225" s="198"/>
      <c r="R225" s="198"/>
      <c r="S225" s="198"/>
      <c r="T225" s="198"/>
      <c r="U225" s="198"/>
      <c r="V225" s="198"/>
      <c r="W225" s="198"/>
      <c r="X225" s="198"/>
      <c r="Y225" s="198"/>
      <c r="Z225" s="198"/>
      <c r="AA225" s="198"/>
    </row>
    <row r="226">
      <c r="A226" s="201"/>
      <c r="B226" s="201"/>
      <c r="C226" s="198"/>
      <c r="D226" s="198"/>
      <c r="E226" s="198"/>
      <c r="F226" s="198"/>
      <c r="G226" s="198"/>
      <c r="H226" s="198"/>
      <c r="I226" s="198"/>
      <c r="J226" s="198"/>
      <c r="K226" s="198"/>
      <c r="M226" s="198"/>
      <c r="N226" s="198"/>
      <c r="O226" s="198"/>
      <c r="P226" s="198"/>
      <c r="Q226" s="198"/>
      <c r="R226" s="198"/>
      <c r="S226" s="198"/>
      <c r="T226" s="198"/>
      <c r="U226" s="198"/>
      <c r="V226" s="198"/>
      <c r="W226" s="198"/>
      <c r="X226" s="198"/>
      <c r="Y226" s="198"/>
      <c r="Z226" s="198"/>
      <c r="AA226" s="198"/>
    </row>
    <row r="227">
      <c r="A227" s="201"/>
      <c r="B227" s="201"/>
      <c r="C227" s="198"/>
      <c r="D227" s="198"/>
      <c r="E227" s="198"/>
      <c r="F227" s="198"/>
      <c r="G227" s="198"/>
      <c r="H227" s="198"/>
      <c r="I227" s="198"/>
      <c r="J227" s="198"/>
      <c r="K227" s="198"/>
      <c r="M227" s="198"/>
      <c r="N227" s="198"/>
      <c r="O227" s="198"/>
      <c r="P227" s="198"/>
      <c r="Q227" s="198"/>
      <c r="R227" s="198"/>
      <c r="S227" s="198"/>
      <c r="T227" s="198"/>
      <c r="U227" s="198"/>
      <c r="V227" s="198"/>
      <c r="W227" s="198"/>
      <c r="X227" s="198"/>
      <c r="Y227" s="198"/>
      <c r="Z227" s="198"/>
      <c r="AA227" s="198"/>
    </row>
    <row r="228">
      <c r="A228" s="201"/>
      <c r="B228" s="201"/>
      <c r="C228" s="198"/>
      <c r="D228" s="198"/>
      <c r="E228" s="198"/>
      <c r="F228" s="198"/>
      <c r="G228" s="198"/>
      <c r="H228" s="198"/>
      <c r="I228" s="198"/>
      <c r="J228" s="198"/>
      <c r="K228" s="198"/>
      <c r="M228" s="198"/>
      <c r="N228" s="198"/>
      <c r="O228" s="198"/>
      <c r="P228" s="198"/>
      <c r="Q228" s="198"/>
      <c r="R228" s="198"/>
      <c r="S228" s="198"/>
      <c r="T228" s="198"/>
      <c r="U228" s="198"/>
      <c r="V228" s="198"/>
      <c r="W228" s="198"/>
      <c r="X228" s="198"/>
      <c r="Y228" s="198"/>
      <c r="Z228" s="198"/>
      <c r="AA228" s="198"/>
    </row>
    <row r="229">
      <c r="A229" s="201"/>
      <c r="B229" s="201"/>
      <c r="C229" s="198"/>
      <c r="D229" s="198"/>
      <c r="E229" s="198"/>
      <c r="F229" s="198"/>
      <c r="G229" s="198"/>
      <c r="H229" s="198"/>
      <c r="I229" s="198"/>
      <c r="J229" s="198"/>
      <c r="K229" s="198"/>
      <c r="M229" s="198"/>
      <c r="N229" s="198"/>
      <c r="O229" s="198"/>
      <c r="P229" s="198"/>
      <c r="Q229" s="198"/>
      <c r="R229" s="198"/>
      <c r="S229" s="198"/>
      <c r="T229" s="198"/>
      <c r="U229" s="198"/>
      <c r="V229" s="198"/>
      <c r="W229" s="198"/>
      <c r="X229" s="198"/>
      <c r="Y229" s="198"/>
      <c r="Z229" s="198"/>
      <c r="AA229" s="198"/>
    </row>
    <row r="230">
      <c r="A230" s="201"/>
      <c r="B230" s="201"/>
      <c r="C230" s="198"/>
      <c r="D230" s="198"/>
      <c r="E230" s="198"/>
      <c r="F230" s="198"/>
      <c r="G230" s="198"/>
      <c r="H230" s="198"/>
      <c r="I230" s="198"/>
      <c r="J230" s="198"/>
      <c r="K230" s="198"/>
      <c r="M230" s="198"/>
      <c r="N230" s="198"/>
      <c r="O230" s="198"/>
      <c r="P230" s="198"/>
      <c r="Q230" s="198"/>
      <c r="R230" s="198"/>
      <c r="S230" s="198"/>
      <c r="T230" s="198"/>
      <c r="U230" s="198"/>
      <c r="V230" s="198"/>
      <c r="W230" s="198"/>
      <c r="X230" s="198"/>
      <c r="Y230" s="198"/>
      <c r="Z230" s="198"/>
      <c r="AA230" s="198"/>
    </row>
    <row r="231">
      <c r="A231" s="201"/>
      <c r="B231" s="201"/>
      <c r="C231" s="198"/>
      <c r="D231" s="198"/>
      <c r="E231" s="198"/>
      <c r="F231" s="198"/>
      <c r="G231" s="198"/>
      <c r="H231" s="198"/>
      <c r="I231" s="198"/>
      <c r="J231" s="198"/>
      <c r="K231" s="198"/>
      <c r="M231" s="198"/>
      <c r="N231" s="198"/>
      <c r="O231" s="198"/>
      <c r="P231" s="198"/>
      <c r="Q231" s="198"/>
      <c r="R231" s="198"/>
      <c r="S231" s="198"/>
      <c r="T231" s="198"/>
      <c r="U231" s="198"/>
      <c r="V231" s="198"/>
      <c r="W231" s="198"/>
      <c r="X231" s="198"/>
      <c r="Y231" s="198"/>
      <c r="Z231" s="198"/>
      <c r="AA231" s="198"/>
    </row>
    <row r="232">
      <c r="A232" s="201"/>
      <c r="B232" s="201"/>
      <c r="C232" s="198"/>
      <c r="D232" s="198"/>
      <c r="E232" s="198"/>
      <c r="F232" s="198"/>
      <c r="G232" s="198"/>
      <c r="H232" s="198"/>
      <c r="I232" s="198"/>
      <c r="J232" s="198"/>
      <c r="K232" s="198"/>
      <c r="M232" s="198"/>
      <c r="N232" s="198"/>
      <c r="O232" s="198"/>
      <c r="P232" s="198"/>
      <c r="Q232" s="198"/>
      <c r="R232" s="198"/>
      <c r="S232" s="198"/>
      <c r="T232" s="198"/>
      <c r="U232" s="198"/>
      <c r="V232" s="198"/>
      <c r="W232" s="198"/>
      <c r="X232" s="198"/>
      <c r="Y232" s="198"/>
      <c r="Z232" s="198"/>
      <c r="AA232" s="198"/>
    </row>
    <row r="233">
      <c r="A233" s="201"/>
      <c r="B233" s="201"/>
      <c r="C233" s="198"/>
      <c r="D233" s="198"/>
      <c r="E233" s="198"/>
      <c r="F233" s="198"/>
      <c r="G233" s="198"/>
      <c r="H233" s="198"/>
      <c r="I233" s="198"/>
      <c r="J233" s="198"/>
      <c r="K233" s="198"/>
      <c r="M233" s="198"/>
      <c r="N233" s="198"/>
      <c r="O233" s="198"/>
      <c r="P233" s="198"/>
      <c r="Q233" s="198"/>
      <c r="R233" s="198"/>
      <c r="S233" s="198"/>
      <c r="T233" s="198"/>
      <c r="U233" s="198"/>
      <c r="V233" s="198"/>
      <c r="W233" s="198"/>
      <c r="X233" s="198"/>
      <c r="Y233" s="198"/>
      <c r="Z233" s="198"/>
      <c r="AA233" s="198"/>
    </row>
    <row r="234">
      <c r="A234" s="201"/>
      <c r="B234" s="201"/>
      <c r="C234" s="198"/>
      <c r="D234" s="198"/>
      <c r="E234" s="198"/>
      <c r="F234" s="198"/>
      <c r="G234" s="198"/>
      <c r="H234" s="198"/>
      <c r="I234" s="198"/>
      <c r="J234" s="198"/>
      <c r="K234" s="198"/>
      <c r="M234" s="198"/>
      <c r="N234" s="198"/>
      <c r="O234" s="198"/>
      <c r="P234" s="198"/>
      <c r="Q234" s="198"/>
      <c r="R234" s="198"/>
      <c r="S234" s="198"/>
      <c r="T234" s="198"/>
      <c r="U234" s="198"/>
      <c r="V234" s="198"/>
      <c r="W234" s="198"/>
      <c r="X234" s="198"/>
      <c r="Y234" s="198"/>
      <c r="Z234" s="198"/>
      <c r="AA234" s="198"/>
    </row>
    <row r="235">
      <c r="A235" s="201"/>
      <c r="B235" s="201"/>
      <c r="C235" s="198"/>
      <c r="D235" s="198"/>
      <c r="E235" s="198"/>
      <c r="F235" s="198"/>
      <c r="G235" s="198"/>
      <c r="H235" s="198"/>
      <c r="I235" s="198"/>
      <c r="J235" s="198"/>
      <c r="K235" s="198"/>
      <c r="M235" s="198"/>
      <c r="N235" s="198"/>
      <c r="O235" s="198"/>
      <c r="P235" s="198"/>
      <c r="Q235" s="198"/>
      <c r="R235" s="198"/>
      <c r="S235" s="198"/>
      <c r="T235" s="198"/>
      <c r="U235" s="198"/>
      <c r="V235" s="198"/>
      <c r="W235" s="198"/>
      <c r="X235" s="198"/>
      <c r="Y235" s="198"/>
      <c r="Z235" s="198"/>
      <c r="AA235" s="198"/>
    </row>
    <row r="236">
      <c r="A236" s="201"/>
      <c r="B236" s="201"/>
      <c r="C236" s="198"/>
      <c r="D236" s="198"/>
      <c r="E236" s="198"/>
      <c r="F236" s="198"/>
      <c r="G236" s="198"/>
      <c r="H236" s="198"/>
      <c r="I236" s="198"/>
      <c r="J236" s="198"/>
      <c r="K236" s="198"/>
      <c r="M236" s="198"/>
      <c r="N236" s="198"/>
      <c r="O236" s="198"/>
      <c r="P236" s="198"/>
      <c r="Q236" s="198"/>
      <c r="R236" s="198"/>
      <c r="S236" s="198"/>
      <c r="T236" s="198"/>
      <c r="U236" s="198"/>
      <c r="V236" s="198"/>
      <c r="W236" s="198"/>
      <c r="X236" s="198"/>
      <c r="Y236" s="198"/>
      <c r="Z236" s="198"/>
      <c r="AA236" s="198"/>
    </row>
    <row r="237">
      <c r="A237" s="201"/>
      <c r="B237" s="201"/>
      <c r="C237" s="198"/>
      <c r="D237" s="198"/>
      <c r="E237" s="198"/>
      <c r="F237" s="198"/>
      <c r="G237" s="198"/>
      <c r="H237" s="198"/>
      <c r="I237" s="198"/>
      <c r="J237" s="198"/>
      <c r="K237" s="198"/>
      <c r="M237" s="198"/>
      <c r="N237" s="198"/>
      <c r="O237" s="198"/>
      <c r="P237" s="198"/>
      <c r="Q237" s="198"/>
      <c r="R237" s="198"/>
      <c r="S237" s="198"/>
      <c r="T237" s="198"/>
      <c r="U237" s="198"/>
      <c r="V237" s="198"/>
      <c r="W237" s="198"/>
      <c r="X237" s="198"/>
      <c r="Y237" s="198"/>
      <c r="Z237" s="198"/>
      <c r="AA237" s="198"/>
    </row>
    <row r="238">
      <c r="A238" s="201"/>
      <c r="B238" s="201"/>
      <c r="C238" s="198"/>
      <c r="D238" s="198"/>
      <c r="E238" s="198"/>
      <c r="F238" s="198"/>
      <c r="G238" s="198"/>
      <c r="H238" s="198"/>
      <c r="I238" s="198"/>
      <c r="J238" s="198"/>
      <c r="K238" s="198"/>
      <c r="M238" s="198"/>
      <c r="N238" s="198"/>
      <c r="O238" s="198"/>
      <c r="P238" s="198"/>
      <c r="Q238" s="198"/>
      <c r="R238" s="198"/>
      <c r="S238" s="198"/>
      <c r="T238" s="198"/>
      <c r="U238" s="198"/>
      <c r="V238" s="198"/>
      <c r="W238" s="198"/>
      <c r="X238" s="198"/>
      <c r="Y238" s="198"/>
      <c r="Z238" s="198"/>
      <c r="AA238" s="198"/>
    </row>
    <row r="239">
      <c r="A239" s="201"/>
      <c r="B239" s="201"/>
      <c r="C239" s="198"/>
      <c r="D239" s="198"/>
      <c r="E239" s="198"/>
      <c r="F239" s="198"/>
      <c r="G239" s="198"/>
      <c r="H239" s="198"/>
      <c r="I239" s="198"/>
      <c r="J239" s="198"/>
      <c r="K239" s="198"/>
      <c r="M239" s="198"/>
      <c r="N239" s="198"/>
      <c r="O239" s="198"/>
      <c r="P239" s="198"/>
      <c r="Q239" s="198"/>
      <c r="R239" s="198"/>
      <c r="S239" s="198"/>
      <c r="T239" s="198"/>
      <c r="U239" s="198"/>
      <c r="V239" s="198"/>
      <c r="W239" s="198"/>
      <c r="X239" s="198"/>
      <c r="Y239" s="198"/>
      <c r="Z239" s="198"/>
      <c r="AA239" s="198"/>
    </row>
    <row r="240">
      <c r="A240" s="201"/>
      <c r="B240" s="201"/>
      <c r="C240" s="198"/>
      <c r="D240" s="198"/>
      <c r="E240" s="198"/>
      <c r="F240" s="198"/>
      <c r="G240" s="198"/>
      <c r="H240" s="198"/>
      <c r="I240" s="198"/>
      <c r="J240" s="198"/>
      <c r="K240" s="198"/>
      <c r="M240" s="198"/>
      <c r="N240" s="198"/>
      <c r="O240" s="198"/>
      <c r="P240" s="198"/>
      <c r="Q240" s="198"/>
      <c r="R240" s="198"/>
      <c r="S240" s="198"/>
      <c r="T240" s="198"/>
      <c r="U240" s="198"/>
      <c r="V240" s="198"/>
      <c r="W240" s="198"/>
      <c r="X240" s="198"/>
      <c r="Y240" s="198"/>
      <c r="Z240" s="198"/>
      <c r="AA240" s="198"/>
    </row>
    <row r="241">
      <c r="A241" s="201"/>
      <c r="B241" s="201"/>
      <c r="C241" s="198"/>
      <c r="D241" s="198"/>
      <c r="E241" s="198"/>
      <c r="F241" s="198"/>
      <c r="G241" s="198"/>
      <c r="H241" s="198"/>
      <c r="I241" s="198"/>
      <c r="J241" s="198"/>
      <c r="K241" s="198"/>
      <c r="M241" s="198"/>
      <c r="N241" s="198"/>
      <c r="O241" s="198"/>
      <c r="P241" s="198"/>
      <c r="Q241" s="198"/>
      <c r="R241" s="198"/>
      <c r="S241" s="198"/>
      <c r="T241" s="198"/>
      <c r="U241" s="198"/>
      <c r="V241" s="198"/>
      <c r="W241" s="198"/>
      <c r="X241" s="198"/>
      <c r="Y241" s="198"/>
      <c r="Z241" s="198"/>
      <c r="AA241" s="198"/>
    </row>
    <row r="242">
      <c r="A242" s="201"/>
      <c r="B242" s="201"/>
      <c r="C242" s="198"/>
      <c r="D242" s="198"/>
      <c r="E242" s="198"/>
      <c r="F242" s="198"/>
      <c r="G242" s="198"/>
      <c r="H242" s="198"/>
      <c r="I242" s="198"/>
      <c r="J242" s="198"/>
      <c r="K242" s="198"/>
      <c r="M242" s="198"/>
      <c r="N242" s="198"/>
      <c r="O242" s="198"/>
      <c r="P242" s="198"/>
      <c r="Q242" s="198"/>
      <c r="R242" s="198"/>
      <c r="S242" s="198"/>
      <c r="T242" s="198"/>
      <c r="U242" s="198"/>
      <c r="V242" s="198"/>
      <c r="W242" s="198"/>
      <c r="X242" s="198"/>
      <c r="Y242" s="198"/>
      <c r="Z242" s="198"/>
      <c r="AA242" s="198"/>
    </row>
    <row r="243">
      <c r="A243" s="201"/>
      <c r="B243" s="201"/>
      <c r="C243" s="198"/>
      <c r="D243" s="198"/>
      <c r="E243" s="198"/>
      <c r="F243" s="198"/>
      <c r="G243" s="198"/>
      <c r="H243" s="198"/>
      <c r="I243" s="198"/>
      <c r="J243" s="198"/>
      <c r="K243" s="198"/>
      <c r="M243" s="198"/>
      <c r="N243" s="198"/>
      <c r="O243" s="198"/>
      <c r="P243" s="198"/>
      <c r="Q243" s="198"/>
      <c r="R243" s="198"/>
      <c r="S243" s="198"/>
      <c r="T243" s="198"/>
      <c r="U243" s="198"/>
      <c r="V243" s="198"/>
      <c r="W243" s="198"/>
      <c r="X243" s="198"/>
      <c r="Y243" s="198"/>
      <c r="Z243" s="198"/>
      <c r="AA243" s="198"/>
    </row>
    <row r="244">
      <c r="A244" s="201"/>
      <c r="B244" s="201"/>
      <c r="C244" s="198"/>
      <c r="D244" s="198"/>
      <c r="E244" s="198"/>
      <c r="F244" s="198"/>
      <c r="G244" s="198"/>
      <c r="H244" s="198"/>
      <c r="I244" s="198"/>
      <c r="J244" s="198"/>
      <c r="K244" s="198"/>
      <c r="M244" s="198"/>
      <c r="N244" s="198"/>
      <c r="O244" s="198"/>
      <c r="P244" s="198"/>
      <c r="Q244" s="198"/>
      <c r="R244" s="198"/>
      <c r="S244" s="198"/>
      <c r="T244" s="198"/>
      <c r="U244" s="198"/>
      <c r="V244" s="198"/>
      <c r="W244" s="198"/>
      <c r="X244" s="198"/>
      <c r="Y244" s="198"/>
      <c r="Z244" s="198"/>
      <c r="AA244" s="198"/>
    </row>
    <row r="245">
      <c r="A245" s="201"/>
      <c r="B245" s="201"/>
      <c r="C245" s="198"/>
      <c r="D245" s="198"/>
      <c r="E245" s="198"/>
      <c r="F245" s="198"/>
      <c r="G245" s="198"/>
      <c r="H245" s="198"/>
      <c r="I245" s="198"/>
      <c r="J245" s="198"/>
      <c r="K245" s="198"/>
      <c r="M245" s="198"/>
      <c r="N245" s="198"/>
      <c r="O245" s="198"/>
      <c r="P245" s="198"/>
      <c r="Q245" s="198"/>
      <c r="R245" s="198"/>
      <c r="S245" s="198"/>
      <c r="T245" s="198"/>
      <c r="U245" s="198"/>
      <c r="V245" s="198"/>
      <c r="W245" s="198"/>
      <c r="X245" s="198"/>
      <c r="Y245" s="198"/>
      <c r="Z245" s="198"/>
      <c r="AA245" s="198"/>
    </row>
    <row r="246">
      <c r="A246" s="201"/>
      <c r="B246" s="201"/>
      <c r="C246" s="198"/>
      <c r="D246" s="198"/>
      <c r="E246" s="198"/>
      <c r="F246" s="198"/>
      <c r="G246" s="198"/>
      <c r="H246" s="198"/>
      <c r="I246" s="198"/>
      <c r="J246" s="198"/>
      <c r="K246" s="198"/>
      <c r="M246" s="198"/>
      <c r="N246" s="198"/>
      <c r="O246" s="198"/>
      <c r="P246" s="198"/>
      <c r="Q246" s="198"/>
      <c r="R246" s="198"/>
      <c r="S246" s="198"/>
      <c r="T246" s="198"/>
      <c r="U246" s="198"/>
      <c r="V246" s="198"/>
      <c r="W246" s="198"/>
      <c r="X246" s="198"/>
      <c r="Y246" s="198"/>
      <c r="Z246" s="198"/>
      <c r="AA246" s="198"/>
    </row>
    <row r="247">
      <c r="A247" s="201"/>
      <c r="B247" s="201"/>
      <c r="C247" s="198"/>
      <c r="D247" s="198"/>
      <c r="E247" s="198"/>
      <c r="F247" s="198"/>
      <c r="G247" s="198"/>
      <c r="H247" s="198"/>
      <c r="I247" s="198"/>
      <c r="J247" s="198"/>
      <c r="K247" s="198"/>
      <c r="M247" s="198"/>
      <c r="N247" s="198"/>
      <c r="O247" s="198"/>
      <c r="P247" s="198"/>
      <c r="Q247" s="198"/>
      <c r="R247" s="198"/>
      <c r="S247" s="198"/>
      <c r="T247" s="198"/>
      <c r="U247" s="198"/>
      <c r="V247" s="198"/>
      <c r="W247" s="198"/>
      <c r="X247" s="198"/>
      <c r="Y247" s="198"/>
      <c r="Z247" s="198"/>
      <c r="AA247" s="198"/>
    </row>
    <row r="248">
      <c r="A248" s="201"/>
      <c r="B248" s="201"/>
      <c r="C248" s="198"/>
      <c r="D248" s="198"/>
      <c r="E248" s="198"/>
      <c r="F248" s="198"/>
      <c r="G248" s="198"/>
      <c r="H248" s="198"/>
      <c r="I248" s="198"/>
      <c r="J248" s="198"/>
      <c r="K248" s="198"/>
      <c r="M248" s="198"/>
      <c r="N248" s="198"/>
      <c r="O248" s="198"/>
      <c r="P248" s="198"/>
      <c r="Q248" s="198"/>
      <c r="R248" s="198"/>
      <c r="S248" s="198"/>
      <c r="T248" s="198"/>
      <c r="U248" s="198"/>
      <c r="V248" s="198"/>
      <c r="W248" s="198"/>
      <c r="X248" s="198"/>
      <c r="Y248" s="198"/>
      <c r="Z248" s="198"/>
      <c r="AA248" s="198"/>
    </row>
    <row r="249">
      <c r="A249" s="201"/>
      <c r="B249" s="201"/>
      <c r="C249" s="198"/>
      <c r="D249" s="198"/>
      <c r="E249" s="198"/>
      <c r="F249" s="198"/>
      <c r="G249" s="198"/>
      <c r="H249" s="198"/>
      <c r="I249" s="198"/>
      <c r="J249" s="198"/>
      <c r="K249" s="198"/>
      <c r="M249" s="198"/>
      <c r="N249" s="198"/>
      <c r="O249" s="198"/>
      <c r="P249" s="198"/>
      <c r="Q249" s="198"/>
      <c r="R249" s="198"/>
      <c r="S249" s="198"/>
      <c r="T249" s="198"/>
      <c r="U249" s="198"/>
      <c r="V249" s="198"/>
      <c r="W249" s="198"/>
      <c r="X249" s="198"/>
      <c r="Y249" s="198"/>
      <c r="Z249" s="198"/>
      <c r="AA249" s="198"/>
    </row>
    <row r="250">
      <c r="A250" s="201"/>
      <c r="B250" s="201"/>
      <c r="C250" s="198"/>
      <c r="D250" s="198"/>
      <c r="E250" s="198"/>
      <c r="F250" s="198"/>
      <c r="G250" s="198"/>
      <c r="H250" s="198"/>
      <c r="I250" s="198"/>
      <c r="J250" s="198"/>
      <c r="K250" s="198"/>
      <c r="M250" s="198"/>
      <c r="N250" s="198"/>
      <c r="O250" s="198"/>
      <c r="P250" s="198"/>
      <c r="Q250" s="198"/>
      <c r="R250" s="198"/>
      <c r="S250" s="198"/>
      <c r="T250" s="198"/>
      <c r="U250" s="198"/>
      <c r="V250" s="198"/>
      <c r="W250" s="198"/>
      <c r="X250" s="198"/>
      <c r="Y250" s="198"/>
      <c r="Z250" s="198"/>
      <c r="AA250" s="198"/>
    </row>
    <row r="251">
      <c r="A251" s="201"/>
      <c r="B251" s="201"/>
      <c r="C251" s="198"/>
      <c r="D251" s="198"/>
      <c r="E251" s="198"/>
      <c r="F251" s="198"/>
      <c r="G251" s="198"/>
      <c r="H251" s="198"/>
      <c r="I251" s="198"/>
      <c r="J251" s="198"/>
      <c r="K251" s="198"/>
      <c r="M251" s="198"/>
      <c r="N251" s="198"/>
      <c r="O251" s="198"/>
      <c r="P251" s="198"/>
      <c r="Q251" s="198"/>
      <c r="R251" s="198"/>
      <c r="S251" s="198"/>
      <c r="T251" s="198"/>
      <c r="U251" s="198"/>
      <c r="V251" s="198"/>
      <c r="W251" s="198"/>
      <c r="X251" s="198"/>
      <c r="Y251" s="198"/>
      <c r="Z251" s="198"/>
      <c r="AA251" s="198"/>
    </row>
    <row r="252">
      <c r="A252" s="201"/>
      <c r="B252" s="201"/>
      <c r="C252" s="198"/>
      <c r="D252" s="198"/>
      <c r="E252" s="198"/>
      <c r="F252" s="198"/>
      <c r="G252" s="198"/>
      <c r="H252" s="198"/>
      <c r="I252" s="198"/>
      <c r="J252" s="198"/>
      <c r="K252" s="198"/>
      <c r="M252" s="198"/>
      <c r="N252" s="198"/>
      <c r="O252" s="198"/>
      <c r="P252" s="198"/>
      <c r="Q252" s="198"/>
      <c r="R252" s="198"/>
      <c r="S252" s="198"/>
      <c r="T252" s="198"/>
      <c r="U252" s="198"/>
      <c r="V252" s="198"/>
      <c r="W252" s="198"/>
      <c r="X252" s="198"/>
      <c r="Y252" s="198"/>
      <c r="Z252" s="198"/>
      <c r="AA252" s="198"/>
    </row>
    <row r="253">
      <c r="A253" s="201"/>
      <c r="B253" s="201"/>
      <c r="C253" s="198"/>
      <c r="D253" s="198"/>
      <c r="E253" s="198"/>
      <c r="F253" s="198"/>
      <c r="G253" s="198"/>
      <c r="H253" s="198"/>
      <c r="I253" s="198"/>
      <c r="J253" s="198"/>
      <c r="K253" s="198"/>
      <c r="M253" s="198"/>
      <c r="N253" s="198"/>
      <c r="O253" s="198"/>
      <c r="P253" s="198"/>
      <c r="Q253" s="198"/>
      <c r="R253" s="198"/>
      <c r="S253" s="198"/>
      <c r="T253" s="198"/>
      <c r="U253" s="198"/>
      <c r="V253" s="198"/>
      <c r="W253" s="198"/>
      <c r="X253" s="198"/>
      <c r="Y253" s="198"/>
      <c r="Z253" s="198"/>
      <c r="AA253" s="198"/>
    </row>
    <row r="254">
      <c r="A254" s="201"/>
      <c r="B254" s="201"/>
      <c r="C254" s="198"/>
      <c r="D254" s="198"/>
      <c r="E254" s="198"/>
      <c r="F254" s="198"/>
      <c r="G254" s="198"/>
      <c r="H254" s="198"/>
      <c r="I254" s="198"/>
      <c r="J254" s="198"/>
      <c r="K254" s="198"/>
      <c r="M254" s="198"/>
      <c r="N254" s="198"/>
      <c r="O254" s="198"/>
      <c r="P254" s="198"/>
      <c r="Q254" s="198"/>
      <c r="R254" s="198"/>
      <c r="S254" s="198"/>
      <c r="T254" s="198"/>
      <c r="U254" s="198"/>
      <c r="V254" s="198"/>
      <c r="W254" s="198"/>
      <c r="X254" s="198"/>
      <c r="Y254" s="198"/>
      <c r="Z254" s="198"/>
      <c r="AA254" s="198"/>
    </row>
    <row r="255">
      <c r="A255" s="201"/>
      <c r="B255" s="201"/>
      <c r="C255" s="198"/>
      <c r="D255" s="198"/>
      <c r="E255" s="198"/>
      <c r="F255" s="198"/>
      <c r="G255" s="198"/>
      <c r="H255" s="198"/>
      <c r="I255" s="198"/>
      <c r="J255" s="198"/>
      <c r="K255" s="198"/>
      <c r="M255" s="198"/>
      <c r="N255" s="198"/>
      <c r="O255" s="198"/>
      <c r="P255" s="198"/>
      <c r="Q255" s="198"/>
      <c r="R255" s="198"/>
      <c r="S255" s="198"/>
      <c r="T255" s="198"/>
      <c r="U255" s="198"/>
      <c r="V255" s="198"/>
      <c r="W255" s="198"/>
      <c r="X255" s="198"/>
      <c r="Y255" s="198"/>
      <c r="Z255" s="198"/>
      <c r="AA255" s="198"/>
    </row>
    <row r="256">
      <c r="A256" s="201"/>
      <c r="B256" s="201"/>
      <c r="C256" s="198"/>
      <c r="D256" s="198"/>
      <c r="E256" s="198"/>
      <c r="F256" s="198"/>
      <c r="G256" s="198"/>
      <c r="H256" s="198"/>
      <c r="I256" s="198"/>
      <c r="J256" s="198"/>
      <c r="K256" s="198"/>
      <c r="M256" s="198"/>
      <c r="N256" s="198"/>
      <c r="O256" s="198"/>
      <c r="P256" s="198"/>
      <c r="Q256" s="198"/>
      <c r="R256" s="198"/>
      <c r="S256" s="198"/>
      <c r="T256" s="198"/>
      <c r="U256" s="198"/>
      <c r="V256" s="198"/>
      <c r="W256" s="198"/>
      <c r="X256" s="198"/>
      <c r="Y256" s="198"/>
      <c r="Z256" s="198"/>
      <c r="AA256" s="198"/>
    </row>
    <row r="257">
      <c r="A257" s="201"/>
      <c r="B257" s="201"/>
      <c r="C257" s="198"/>
      <c r="D257" s="198"/>
      <c r="E257" s="198"/>
      <c r="F257" s="198"/>
      <c r="G257" s="198"/>
      <c r="H257" s="198"/>
      <c r="I257" s="198"/>
      <c r="J257" s="198"/>
      <c r="K257" s="198"/>
      <c r="M257" s="198"/>
      <c r="N257" s="198"/>
      <c r="O257" s="198"/>
      <c r="P257" s="198"/>
      <c r="Q257" s="198"/>
      <c r="R257" s="198"/>
      <c r="S257" s="198"/>
      <c r="T257" s="198"/>
      <c r="U257" s="198"/>
      <c r="V257" s="198"/>
      <c r="W257" s="198"/>
      <c r="X257" s="198"/>
      <c r="Y257" s="198"/>
      <c r="Z257" s="198"/>
      <c r="AA257" s="198"/>
    </row>
    <row r="258">
      <c r="A258" s="201"/>
      <c r="B258" s="201"/>
      <c r="C258" s="198"/>
      <c r="D258" s="198"/>
      <c r="E258" s="198"/>
      <c r="F258" s="198"/>
      <c r="G258" s="198"/>
      <c r="H258" s="198"/>
      <c r="I258" s="198"/>
      <c r="J258" s="198"/>
      <c r="K258" s="198"/>
      <c r="M258" s="198"/>
      <c r="N258" s="198"/>
      <c r="O258" s="198"/>
      <c r="P258" s="198"/>
      <c r="Q258" s="198"/>
      <c r="R258" s="198"/>
      <c r="S258" s="198"/>
      <c r="T258" s="198"/>
      <c r="U258" s="198"/>
      <c r="V258" s="198"/>
      <c r="W258" s="198"/>
      <c r="X258" s="198"/>
      <c r="Y258" s="198"/>
      <c r="Z258" s="198"/>
      <c r="AA258" s="198"/>
    </row>
    <row r="259">
      <c r="A259" s="201"/>
      <c r="B259" s="201"/>
      <c r="C259" s="198"/>
      <c r="D259" s="198"/>
      <c r="E259" s="198"/>
      <c r="F259" s="198"/>
      <c r="G259" s="198"/>
      <c r="H259" s="198"/>
      <c r="I259" s="198"/>
      <c r="J259" s="198"/>
      <c r="K259" s="198"/>
      <c r="M259" s="198"/>
      <c r="N259" s="198"/>
      <c r="O259" s="198"/>
      <c r="P259" s="198"/>
      <c r="Q259" s="198"/>
      <c r="R259" s="198"/>
      <c r="S259" s="198"/>
      <c r="T259" s="198"/>
      <c r="U259" s="198"/>
      <c r="V259" s="198"/>
      <c r="W259" s="198"/>
      <c r="X259" s="198"/>
      <c r="Y259" s="198"/>
      <c r="Z259" s="198"/>
      <c r="AA259" s="198"/>
    </row>
    <row r="260">
      <c r="A260" s="201"/>
      <c r="B260" s="201"/>
      <c r="C260" s="198"/>
      <c r="D260" s="198"/>
      <c r="E260" s="198"/>
      <c r="F260" s="198"/>
      <c r="G260" s="198"/>
      <c r="H260" s="198"/>
      <c r="I260" s="198"/>
      <c r="J260" s="198"/>
      <c r="K260" s="198"/>
      <c r="M260" s="198"/>
      <c r="N260" s="198"/>
      <c r="O260" s="198"/>
      <c r="P260" s="198"/>
      <c r="Q260" s="198"/>
      <c r="R260" s="198"/>
      <c r="S260" s="198"/>
      <c r="T260" s="198"/>
      <c r="U260" s="198"/>
      <c r="V260" s="198"/>
      <c r="W260" s="198"/>
      <c r="X260" s="198"/>
      <c r="Y260" s="198"/>
      <c r="Z260" s="198"/>
      <c r="AA260" s="198"/>
    </row>
    <row r="261">
      <c r="A261" s="201"/>
      <c r="B261" s="201"/>
      <c r="C261" s="198"/>
      <c r="D261" s="198"/>
      <c r="E261" s="198"/>
      <c r="F261" s="198"/>
      <c r="G261" s="198"/>
      <c r="H261" s="198"/>
      <c r="I261" s="198"/>
      <c r="J261" s="198"/>
      <c r="K261" s="198"/>
      <c r="M261" s="198"/>
      <c r="N261" s="198"/>
      <c r="O261" s="198"/>
      <c r="P261" s="198"/>
      <c r="Q261" s="198"/>
      <c r="R261" s="198"/>
      <c r="S261" s="198"/>
      <c r="T261" s="198"/>
      <c r="U261" s="198"/>
      <c r="V261" s="198"/>
      <c r="W261" s="198"/>
      <c r="X261" s="198"/>
      <c r="Y261" s="198"/>
      <c r="Z261" s="198"/>
      <c r="AA261" s="198"/>
    </row>
    <row r="262">
      <c r="A262" s="201"/>
      <c r="B262" s="201"/>
      <c r="C262" s="198"/>
      <c r="D262" s="198"/>
      <c r="E262" s="198"/>
      <c r="F262" s="198"/>
      <c r="G262" s="198"/>
      <c r="H262" s="198"/>
      <c r="I262" s="198"/>
      <c r="J262" s="198"/>
      <c r="K262" s="198"/>
      <c r="M262" s="198"/>
      <c r="N262" s="198"/>
      <c r="O262" s="198"/>
      <c r="P262" s="198"/>
      <c r="Q262" s="198"/>
      <c r="R262" s="198"/>
      <c r="S262" s="198"/>
      <c r="T262" s="198"/>
      <c r="U262" s="198"/>
      <c r="V262" s="198"/>
      <c r="W262" s="198"/>
      <c r="X262" s="198"/>
      <c r="Y262" s="198"/>
      <c r="Z262" s="198"/>
      <c r="AA262" s="198"/>
    </row>
    <row r="263">
      <c r="A263" s="201"/>
      <c r="B263" s="201"/>
      <c r="C263" s="198"/>
      <c r="D263" s="198"/>
      <c r="E263" s="198"/>
      <c r="F263" s="198"/>
      <c r="G263" s="198"/>
      <c r="H263" s="198"/>
      <c r="I263" s="198"/>
      <c r="J263" s="198"/>
      <c r="K263" s="198"/>
      <c r="M263" s="198"/>
      <c r="N263" s="198"/>
      <c r="O263" s="198"/>
      <c r="P263" s="198"/>
      <c r="Q263" s="198"/>
      <c r="R263" s="198"/>
      <c r="S263" s="198"/>
      <c r="T263" s="198"/>
      <c r="U263" s="198"/>
      <c r="V263" s="198"/>
      <c r="W263" s="198"/>
      <c r="X263" s="198"/>
      <c r="Y263" s="198"/>
      <c r="Z263" s="198"/>
      <c r="AA263" s="198"/>
    </row>
    <row r="264">
      <c r="A264" s="201"/>
      <c r="B264" s="201"/>
      <c r="C264" s="198"/>
      <c r="D264" s="198"/>
      <c r="E264" s="198"/>
      <c r="F264" s="198"/>
      <c r="G264" s="198"/>
      <c r="H264" s="198"/>
      <c r="I264" s="198"/>
      <c r="J264" s="198"/>
      <c r="K264" s="198"/>
      <c r="M264" s="198"/>
      <c r="N264" s="198"/>
      <c r="O264" s="198"/>
      <c r="P264" s="198"/>
      <c r="Q264" s="198"/>
      <c r="R264" s="198"/>
      <c r="S264" s="198"/>
      <c r="T264" s="198"/>
      <c r="U264" s="198"/>
      <c r="V264" s="198"/>
      <c r="W264" s="198"/>
      <c r="X264" s="198"/>
      <c r="Y264" s="198"/>
      <c r="Z264" s="198"/>
      <c r="AA264" s="198"/>
    </row>
    <row r="265">
      <c r="A265" s="201"/>
      <c r="B265" s="201"/>
      <c r="C265" s="198"/>
      <c r="D265" s="198"/>
      <c r="E265" s="198"/>
      <c r="F265" s="198"/>
      <c r="G265" s="198"/>
      <c r="H265" s="198"/>
      <c r="I265" s="198"/>
      <c r="J265" s="198"/>
      <c r="K265" s="198"/>
      <c r="M265" s="198"/>
      <c r="N265" s="198"/>
      <c r="O265" s="198"/>
      <c r="P265" s="198"/>
      <c r="Q265" s="198"/>
      <c r="R265" s="198"/>
      <c r="S265" s="198"/>
      <c r="T265" s="198"/>
      <c r="U265" s="198"/>
      <c r="V265" s="198"/>
      <c r="W265" s="198"/>
      <c r="X265" s="198"/>
      <c r="Y265" s="198"/>
      <c r="Z265" s="198"/>
      <c r="AA265" s="198"/>
    </row>
    <row r="266">
      <c r="A266" s="201"/>
      <c r="B266" s="201"/>
      <c r="C266" s="198"/>
      <c r="D266" s="198"/>
      <c r="E266" s="198"/>
      <c r="F266" s="198"/>
      <c r="G266" s="198"/>
      <c r="H266" s="198"/>
      <c r="I266" s="198"/>
      <c r="J266" s="198"/>
      <c r="K266" s="198"/>
      <c r="M266" s="198"/>
      <c r="N266" s="198"/>
      <c r="O266" s="198"/>
      <c r="P266" s="198"/>
      <c r="Q266" s="198"/>
      <c r="R266" s="198"/>
      <c r="S266" s="198"/>
      <c r="T266" s="198"/>
      <c r="U266" s="198"/>
      <c r="V266" s="198"/>
      <c r="W266" s="198"/>
      <c r="X266" s="198"/>
      <c r="Y266" s="198"/>
      <c r="Z266" s="198"/>
      <c r="AA266" s="198"/>
    </row>
    <row r="267">
      <c r="A267" s="201"/>
      <c r="B267" s="201"/>
      <c r="C267" s="198"/>
      <c r="D267" s="198"/>
      <c r="E267" s="198"/>
      <c r="F267" s="198"/>
      <c r="G267" s="198"/>
      <c r="H267" s="198"/>
      <c r="I267" s="198"/>
      <c r="J267" s="198"/>
      <c r="K267" s="198"/>
      <c r="M267" s="198"/>
      <c r="N267" s="198"/>
      <c r="O267" s="198"/>
      <c r="P267" s="198"/>
      <c r="Q267" s="198"/>
      <c r="R267" s="198"/>
      <c r="S267" s="198"/>
      <c r="T267" s="198"/>
      <c r="U267" s="198"/>
      <c r="V267" s="198"/>
      <c r="W267" s="198"/>
      <c r="X267" s="198"/>
      <c r="Y267" s="198"/>
      <c r="Z267" s="198"/>
      <c r="AA267" s="198"/>
    </row>
    <row r="268">
      <c r="A268" s="201"/>
      <c r="B268" s="201"/>
      <c r="C268" s="198"/>
      <c r="D268" s="198"/>
      <c r="E268" s="198"/>
      <c r="F268" s="198"/>
      <c r="G268" s="198"/>
      <c r="H268" s="198"/>
      <c r="I268" s="198"/>
      <c r="J268" s="198"/>
      <c r="K268" s="198"/>
      <c r="M268" s="198"/>
      <c r="N268" s="198"/>
      <c r="O268" s="198"/>
      <c r="P268" s="198"/>
      <c r="Q268" s="198"/>
      <c r="R268" s="198"/>
      <c r="S268" s="198"/>
      <c r="T268" s="198"/>
      <c r="U268" s="198"/>
      <c r="V268" s="198"/>
      <c r="W268" s="198"/>
      <c r="X268" s="198"/>
      <c r="Y268" s="198"/>
      <c r="Z268" s="198"/>
      <c r="AA268" s="198"/>
    </row>
    <row r="269">
      <c r="A269" s="201"/>
      <c r="B269" s="201"/>
      <c r="C269" s="198"/>
      <c r="D269" s="198"/>
      <c r="E269" s="198"/>
      <c r="F269" s="198"/>
      <c r="G269" s="198"/>
      <c r="H269" s="198"/>
      <c r="I269" s="198"/>
      <c r="J269" s="198"/>
      <c r="K269" s="198"/>
      <c r="M269" s="198"/>
      <c r="N269" s="198"/>
      <c r="O269" s="198"/>
      <c r="P269" s="198"/>
      <c r="Q269" s="198"/>
      <c r="R269" s="198"/>
      <c r="S269" s="198"/>
      <c r="T269" s="198"/>
      <c r="U269" s="198"/>
      <c r="V269" s="198"/>
      <c r="W269" s="198"/>
      <c r="X269" s="198"/>
      <c r="Y269" s="198"/>
      <c r="Z269" s="198"/>
      <c r="AA269" s="198"/>
    </row>
    <row r="270">
      <c r="A270" s="201"/>
      <c r="B270" s="201"/>
      <c r="C270" s="198"/>
      <c r="D270" s="198"/>
      <c r="E270" s="198"/>
      <c r="F270" s="198"/>
      <c r="G270" s="198"/>
      <c r="H270" s="198"/>
      <c r="I270" s="198"/>
      <c r="J270" s="198"/>
      <c r="K270" s="198"/>
      <c r="M270" s="198"/>
      <c r="N270" s="198"/>
      <c r="O270" s="198"/>
      <c r="P270" s="198"/>
      <c r="Q270" s="198"/>
      <c r="R270" s="198"/>
      <c r="S270" s="198"/>
      <c r="T270" s="198"/>
      <c r="U270" s="198"/>
      <c r="V270" s="198"/>
      <c r="W270" s="198"/>
      <c r="X270" s="198"/>
      <c r="Y270" s="198"/>
      <c r="Z270" s="198"/>
      <c r="AA270" s="198"/>
    </row>
    <row r="271">
      <c r="A271" s="201"/>
      <c r="B271" s="201"/>
      <c r="C271" s="198"/>
      <c r="D271" s="198"/>
      <c r="E271" s="198"/>
      <c r="F271" s="198"/>
      <c r="G271" s="198"/>
      <c r="H271" s="198"/>
      <c r="I271" s="198"/>
      <c r="J271" s="198"/>
      <c r="K271" s="198"/>
      <c r="M271" s="198"/>
      <c r="N271" s="198"/>
      <c r="O271" s="198"/>
      <c r="P271" s="198"/>
      <c r="Q271" s="198"/>
      <c r="R271" s="198"/>
      <c r="S271" s="198"/>
      <c r="T271" s="198"/>
      <c r="U271" s="198"/>
      <c r="V271" s="198"/>
      <c r="W271" s="198"/>
      <c r="X271" s="198"/>
      <c r="Y271" s="198"/>
      <c r="Z271" s="198"/>
      <c r="AA271" s="198"/>
    </row>
    <row r="272">
      <c r="A272" s="201"/>
      <c r="B272" s="201"/>
      <c r="C272" s="198"/>
      <c r="D272" s="198"/>
      <c r="E272" s="198"/>
      <c r="F272" s="198"/>
      <c r="G272" s="198"/>
      <c r="H272" s="198"/>
      <c r="I272" s="198"/>
      <c r="J272" s="198"/>
      <c r="K272" s="198"/>
      <c r="M272" s="198"/>
      <c r="N272" s="198"/>
      <c r="O272" s="198"/>
      <c r="P272" s="198"/>
      <c r="Q272" s="198"/>
      <c r="R272" s="198"/>
      <c r="S272" s="198"/>
      <c r="T272" s="198"/>
      <c r="U272" s="198"/>
      <c r="V272" s="198"/>
      <c r="W272" s="198"/>
      <c r="X272" s="198"/>
      <c r="Y272" s="198"/>
      <c r="Z272" s="198"/>
      <c r="AA272" s="198"/>
    </row>
    <row r="273">
      <c r="A273" s="201"/>
      <c r="B273" s="201"/>
      <c r="C273" s="198"/>
      <c r="D273" s="198"/>
      <c r="E273" s="198"/>
      <c r="F273" s="198"/>
      <c r="G273" s="198"/>
      <c r="H273" s="198"/>
      <c r="I273" s="198"/>
      <c r="J273" s="198"/>
      <c r="K273" s="198"/>
      <c r="M273" s="198"/>
      <c r="N273" s="198"/>
      <c r="O273" s="198"/>
      <c r="P273" s="198"/>
      <c r="Q273" s="198"/>
      <c r="R273" s="198"/>
      <c r="S273" s="198"/>
      <c r="T273" s="198"/>
      <c r="U273" s="198"/>
      <c r="V273" s="198"/>
      <c r="W273" s="198"/>
      <c r="X273" s="198"/>
      <c r="Y273" s="198"/>
      <c r="Z273" s="198"/>
      <c r="AA273" s="198"/>
    </row>
    <row r="274">
      <c r="A274" s="201"/>
      <c r="B274" s="201"/>
      <c r="C274" s="198"/>
      <c r="D274" s="198"/>
      <c r="E274" s="198"/>
      <c r="F274" s="198"/>
      <c r="G274" s="198"/>
      <c r="H274" s="198"/>
      <c r="I274" s="198"/>
      <c r="J274" s="198"/>
      <c r="K274" s="198"/>
      <c r="M274" s="198"/>
      <c r="N274" s="198"/>
      <c r="O274" s="198"/>
      <c r="P274" s="198"/>
      <c r="Q274" s="198"/>
      <c r="R274" s="198"/>
      <c r="S274" s="198"/>
      <c r="T274" s="198"/>
      <c r="U274" s="198"/>
      <c r="V274" s="198"/>
      <c r="W274" s="198"/>
      <c r="X274" s="198"/>
      <c r="Y274" s="198"/>
      <c r="Z274" s="198"/>
      <c r="AA274" s="198"/>
    </row>
    <row r="275">
      <c r="A275" s="201"/>
      <c r="B275" s="201"/>
      <c r="C275" s="198"/>
      <c r="D275" s="198"/>
      <c r="E275" s="198"/>
      <c r="F275" s="198"/>
      <c r="G275" s="198"/>
      <c r="H275" s="198"/>
      <c r="I275" s="198"/>
      <c r="J275" s="198"/>
      <c r="K275" s="198"/>
      <c r="M275" s="198"/>
      <c r="N275" s="198"/>
      <c r="O275" s="198"/>
      <c r="P275" s="198"/>
      <c r="Q275" s="198"/>
      <c r="R275" s="198"/>
      <c r="S275" s="198"/>
      <c r="T275" s="198"/>
      <c r="U275" s="198"/>
      <c r="V275" s="198"/>
      <c r="W275" s="198"/>
      <c r="X275" s="198"/>
      <c r="Y275" s="198"/>
      <c r="Z275" s="198"/>
      <c r="AA275" s="198"/>
    </row>
    <row r="276">
      <c r="A276" s="201"/>
      <c r="B276" s="201"/>
      <c r="C276" s="198"/>
      <c r="D276" s="198"/>
      <c r="E276" s="198"/>
      <c r="F276" s="198"/>
      <c r="G276" s="198"/>
      <c r="H276" s="198"/>
      <c r="I276" s="198"/>
      <c r="J276" s="198"/>
      <c r="K276" s="198"/>
      <c r="M276" s="198"/>
      <c r="N276" s="198"/>
      <c r="O276" s="198"/>
      <c r="P276" s="198"/>
      <c r="Q276" s="198"/>
      <c r="R276" s="198"/>
      <c r="S276" s="198"/>
      <c r="T276" s="198"/>
      <c r="U276" s="198"/>
      <c r="V276" s="198"/>
      <c r="W276" s="198"/>
      <c r="X276" s="198"/>
      <c r="Y276" s="198"/>
      <c r="Z276" s="198"/>
      <c r="AA276" s="198"/>
    </row>
    <row r="277">
      <c r="A277" s="201"/>
      <c r="B277" s="201"/>
      <c r="C277" s="198"/>
      <c r="D277" s="198"/>
      <c r="E277" s="198"/>
      <c r="F277" s="198"/>
      <c r="G277" s="198"/>
      <c r="H277" s="198"/>
      <c r="I277" s="198"/>
      <c r="J277" s="198"/>
      <c r="K277" s="198"/>
      <c r="M277" s="198"/>
      <c r="N277" s="198"/>
      <c r="O277" s="198"/>
      <c r="P277" s="198"/>
      <c r="Q277" s="198"/>
      <c r="R277" s="198"/>
      <c r="S277" s="198"/>
      <c r="T277" s="198"/>
      <c r="U277" s="198"/>
      <c r="V277" s="198"/>
      <c r="W277" s="198"/>
      <c r="X277" s="198"/>
      <c r="Y277" s="198"/>
      <c r="Z277" s="198"/>
      <c r="AA277" s="198"/>
    </row>
    <row r="278">
      <c r="A278" s="201"/>
      <c r="B278" s="201"/>
      <c r="C278" s="198"/>
      <c r="D278" s="198"/>
      <c r="E278" s="198"/>
      <c r="F278" s="198"/>
      <c r="G278" s="198"/>
      <c r="H278" s="198"/>
      <c r="I278" s="198"/>
      <c r="J278" s="198"/>
      <c r="K278" s="198"/>
      <c r="M278" s="198"/>
      <c r="N278" s="198"/>
      <c r="O278" s="198"/>
      <c r="P278" s="198"/>
      <c r="Q278" s="198"/>
      <c r="R278" s="198"/>
      <c r="S278" s="198"/>
      <c r="T278" s="198"/>
      <c r="U278" s="198"/>
      <c r="V278" s="198"/>
      <c r="W278" s="198"/>
      <c r="X278" s="198"/>
      <c r="Y278" s="198"/>
      <c r="Z278" s="198"/>
      <c r="AA278" s="198"/>
    </row>
    <row r="279">
      <c r="A279" s="201"/>
      <c r="B279" s="201"/>
      <c r="C279" s="198"/>
      <c r="D279" s="198"/>
      <c r="E279" s="198"/>
      <c r="F279" s="198"/>
      <c r="G279" s="198"/>
      <c r="H279" s="198"/>
      <c r="I279" s="198"/>
      <c r="J279" s="198"/>
      <c r="K279" s="198"/>
      <c r="M279" s="198"/>
      <c r="N279" s="198"/>
      <c r="O279" s="198"/>
      <c r="P279" s="198"/>
      <c r="Q279" s="198"/>
      <c r="R279" s="198"/>
      <c r="S279" s="198"/>
      <c r="T279" s="198"/>
      <c r="U279" s="198"/>
      <c r="V279" s="198"/>
      <c r="W279" s="198"/>
      <c r="X279" s="198"/>
      <c r="Y279" s="198"/>
      <c r="Z279" s="198"/>
      <c r="AA279" s="198"/>
    </row>
    <row r="280">
      <c r="A280" s="201"/>
      <c r="B280" s="201"/>
      <c r="C280" s="198"/>
      <c r="D280" s="198"/>
      <c r="E280" s="198"/>
      <c r="F280" s="198"/>
      <c r="G280" s="198"/>
      <c r="H280" s="198"/>
      <c r="I280" s="198"/>
      <c r="J280" s="198"/>
      <c r="K280" s="198"/>
      <c r="M280" s="198"/>
      <c r="N280" s="198"/>
      <c r="O280" s="198"/>
      <c r="P280" s="198"/>
      <c r="Q280" s="198"/>
      <c r="R280" s="198"/>
      <c r="S280" s="198"/>
      <c r="T280" s="198"/>
      <c r="U280" s="198"/>
      <c r="V280" s="198"/>
      <c r="W280" s="198"/>
      <c r="X280" s="198"/>
      <c r="Y280" s="198"/>
      <c r="Z280" s="198"/>
      <c r="AA280" s="198"/>
    </row>
    <row r="281">
      <c r="A281" s="201"/>
      <c r="B281" s="201"/>
      <c r="C281" s="198"/>
      <c r="D281" s="198"/>
      <c r="E281" s="198"/>
      <c r="F281" s="198"/>
      <c r="G281" s="198"/>
      <c r="H281" s="198"/>
      <c r="I281" s="198"/>
      <c r="J281" s="198"/>
      <c r="K281" s="198"/>
      <c r="M281" s="198"/>
      <c r="N281" s="198"/>
      <c r="O281" s="198"/>
      <c r="P281" s="198"/>
      <c r="Q281" s="198"/>
      <c r="R281" s="198"/>
      <c r="S281" s="198"/>
      <c r="T281" s="198"/>
      <c r="U281" s="198"/>
      <c r="V281" s="198"/>
      <c r="W281" s="198"/>
      <c r="X281" s="198"/>
      <c r="Y281" s="198"/>
      <c r="Z281" s="198"/>
      <c r="AA281" s="198"/>
    </row>
    <row r="282">
      <c r="A282" s="201"/>
      <c r="B282" s="201"/>
      <c r="C282" s="198"/>
      <c r="D282" s="198"/>
      <c r="E282" s="198"/>
      <c r="F282" s="198"/>
      <c r="G282" s="198"/>
      <c r="H282" s="198"/>
      <c r="I282" s="198"/>
      <c r="J282" s="198"/>
      <c r="K282" s="198"/>
      <c r="M282" s="198"/>
      <c r="N282" s="198"/>
      <c r="O282" s="198"/>
      <c r="P282" s="198"/>
      <c r="Q282" s="198"/>
      <c r="R282" s="198"/>
      <c r="S282" s="198"/>
      <c r="T282" s="198"/>
      <c r="U282" s="198"/>
      <c r="V282" s="198"/>
      <c r="W282" s="198"/>
      <c r="X282" s="198"/>
      <c r="Y282" s="198"/>
      <c r="Z282" s="198"/>
      <c r="AA282" s="198"/>
    </row>
    <row r="283">
      <c r="A283" s="201"/>
      <c r="B283" s="201"/>
      <c r="C283" s="198"/>
      <c r="D283" s="198"/>
      <c r="E283" s="198"/>
      <c r="F283" s="198"/>
      <c r="G283" s="198"/>
      <c r="H283" s="198"/>
      <c r="I283" s="198"/>
      <c r="J283" s="198"/>
      <c r="K283" s="198"/>
      <c r="M283" s="198"/>
      <c r="N283" s="198"/>
      <c r="O283" s="198"/>
      <c r="P283" s="198"/>
      <c r="Q283" s="198"/>
      <c r="R283" s="198"/>
      <c r="S283" s="198"/>
      <c r="T283" s="198"/>
      <c r="U283" s="198"/>
      <c r="V283" s="198"/>
      <c r="W283" s="198"/>
      <c r="X283" s="198"/>
      <c r="Y283" s="198"/>
      <c r="Z283" s="198"/>
      <c r="AA283" s="198"/>
    </row>
    <row r="284">
      <c r="A284" s="201"/>
      <c r="B284" s="201"/>
      <c r="C284" s="198"/>
      <c r="D284" s="198"/>
      <c r="E284" s="198"/>
      <c r="F284" s="198"/>
      <c r="G284" s="198"/>
      <c r="H284" s="198"/>
      <c r="I284" s="198"/>
      <c r="J284" s="198"/>
      <c r="K284" s="198"/>
      <c r="M284" s="198"/>
      <c r="N284" s="198"/>
      <c r="O284" s="198"/>
      <c r="P284" s="198"/>
      <c r="Q284" s="198"/>
      <c r="R284" s="198"/>
      <c r="S284" s="198"/>
      <c r="T284" s="198"/>
      <c r="U284" s="198"/>
      <c r="V284" s="198"/>
      <c r="W284" s="198"/>
      <c r="X284" s="198"/>
      <c r="Y284" s="198"/>
      <c r="Z284" s="198"/>
      <c r="AA284" s="198"/>
    </row>
    <row r="285">
      <c r="A285" s="201"/>
      <c r="B285" s="201"/>
      <c r="C285" s="198"/>
      <c r="D285" s="198"/>
      <c r="E285" s="198"/>
      <c r="F285" s="198"/>
      <c r="G285" s="198"/>
      <c r="H285" s="198"/>
      <c r="I285" s="198"/>
      <c r="J285" s="198"/>
      <c r="K285" s="198"/>
      <c r="M285" s="198"/>
      <c r="N285" s="198"/>
      <c r="O285" s="198"/>
      <c r="P285" s="198"/>
      <c r="Q285" s="198"/>
      <c r="R285" s="198"/>
      <c r="S285" s="198"/>
      <c r="T285" s="198"/>
      <c r="U285" s="198"/>
      <c r="V285" s="198"/>
      <c r="W285" s="198"/>
      <c r="X285" s="198"/>
      <c r="Y285" s="198"/>
      <c r="Z285" s="198"/>
      <c r="AA285" s="198"/>
    </row>
    <row r="286">
      <c r="A286" s="201"/>
      <c r="B286" s="201"/>
      <c r="C286" s="198"/>
      <c r="D286" s="198"/>
      <c r="E286" s="198"/>
      <c r="F286" s="198"/>
      <c r="G286" s="198"/>
      <c r="H286" s="198"/>
      <c r="I286" s="198"/>
      <c r="J286" s="198"/>
      <c r="K286" s="198"/>
      <c r="M286" s="198"/>
      <c r="N286" s="198"/>
      <c r="O286" s="198"/>
      <c r="P286" s="198"/>
      <c r="Q286" s="198"/>
      <c r="R286" s="198"/>
      <c r="S286" s="198"/>
      <c r="T286" s="198"/>
      <c r="U286" s="198"/>
      <c r="V286" s="198"/>
      <c r="W286" s="198"/>
      <c r="X286" s="198"/>
      <c r="Y286" s="198"/>
      <c r="Z286" s="198"/>
      <c r="AA286" s="198"/>
    </row>
    <row r="287">
      <c r="A287" s="201"/>
      <c r="B287" s="201"/>
      <c r="C287" s="198"/>
      <c r="D287" s="198"/>
      <c r="E287" s="198"/>
      <c r="F287" s="198"/>
      <c r="G287" s="198"/>
      <c r="H287" s="198"/>
      <c r="I287" s="198"/>
      <c r="J287" s="198"/>
      <c r="K287" s="198"/>
      <c r="M287" s="198"/>
      <c r="N287" s="198"/>
      <c r="O287" s="198"/>
      <c r="P287" s="198"/>
      <c r="Q287" s="198"/>
      <c r="R287" s="198"/>
      <c r="S287" s="198"/>
      <c r="T287" s="198"/>
      <c r="U287" s="198"/>
      <c r="V287" s="198"/>
      <c r="W287" s="198"/>
      <c r="X287" s="198"/>
      <c r="Y287" s="198"/>
      <c r="Z287" s="198"/>
      <c r="AA287" s="198"/>
    </row>
    <row r="288">
      <c r="A288" s="201"/>
      <c r="B288" s="201"/>
      <c r="C288" s="198"/>
      <c r="D288" s="198"/>
      <c r="E288" s="198"/>
      <c r="F288" s="198"/>
      <c r="G288" s="198"/>
      <c r="H288" s="198"/>
      <c r="I288" s="198"/>
      <c r="J288" s="198"/>
      <c r="K288" s="198"/>
      <c r="M288" s="198"/>
      <c r="N288" s="198"/>
      <c r="O288" s="198"/>
      <c r="P288" s="198"/>
      <c r="Q288" s="198"/>
      <c r="R288" s="198"/>
      <c r="S288" s="198"/>
      <c r="T288" s="198"/>
      <c r="U288" s="198"/>
      <c r="V288" s="198"/>
      <c r="W288" s="198"/>
      <c r="X288" s="198"/>
      <c r="Y288" s="198"/>
      <c r="Z288" s="198"/>
      <c r="AA288" s="198"/>
    </row>
    <row r="289">
      <c r="A289" s="201"/>
      <c r="B289" s="201"/>
      <c r="C289" s="198"/>
      <c r="D289" s="198"/>
      <c r="E289" s="198"/>
      <c r="F289" s="198"/>
      <c r="G289" s="198"/>
      <c r="H289" s="198"/>
      <c r="I289" s="198"/>
      <c r="J289" s="198"/>
      <c r="K289" s="198"/>
      <c r="M289" s="198"/>
      <c r="N289" s="198"/>
      <c r="O289" s="198"/>
      <c r="P289" s="198"/>
      <c r="Q289" s="198"/>
      <c r="R289" s="198"/>
      <c r="S289" s="198"/>
      <c r="T289" s="198"/>
      <c r="U289" s="198"/>
      <c r="V289" s="198"/>
      <c r="W289" s="198"/>
      <c r="X289" s="198"/>
      <c r="Y289" s="198"/>
      <c r="Z289" s="198"/>
      <c r="AA289" s="198"/>
    </row>
    <row r="290">
      <c r="A290" s="201"/>
      <c r="B290" s="201"/>
      <c r="C290" s="198"/>
      <c r="D290" s="198"/>
      <c r="E290" s="198"/>
      <c r="F290" s="198"/>
      <c r="G290" s="198"/>
      <c r="H290" s="198"/>
      <c r="I290" s="198"/>
      <c r="J290" s="198"/>
      <c r="K290" s="198"/>
      <c r="M290" s="198"/>
      <c r="N290" s="198"/>
      <c r="O290" s="198"/>
      <c r="P290" s="198"/>
      <c r="Q290" s="198"/>
      <c r="R290" s="198"/>
      <c r="S290" s="198"/>
      <c r="T290" s="198"/>
      <c r="U290" s="198"/>
      <c r="V290" s="198"/>
      <c r="W290" s="198"/>
      <c r="X290" s="198"/>
      <c r="Y290" s="198"/>
      <c r="Z290" s="198"/>
      <c r="AA290" s="198"/>
    </row>
    <row r="291">
      <c r="A291" s="201"/>
      <c r="B291" s="201"/>
      <c r="C291" s="198"/>
      <c r="D291" s="198"/>
      <c r="E291" s="198"/>
      <c r="F291" s="198"/>
      <c r="G291" s="198"/>
      <c r="H291" s="198"/>
      <c r="I291" s="198"/>
      <c r="J291" s="198"/>
      <c r="K291" s="198"/>
      <c r="M291" s="198"/>
      <c r="N291" s="198"/>
      <c r="O291" s="198"/>
      <c r="P291" s="198"/>
      <c r="Q291" s="198"/>
      <c r="R291" s="198"/>
      <c r="S291" s="198"/>
      <c r="T291" s="198"/>
      <c r="U291" s="198"/>
      <c r="V291" s="198"/>
      <c r="W291" s="198"/>
      <c r="X291" s="198"/>
      <c r="Y291" s="198"/>
      <c r="Z291" s="198"/>
      <c r="AA291" s="198"/>
    </row>
    <row r="292">
      <c r="A292" s="201"/>
      <c r="B292" s="201"/>
      <c r="C292" s="198"/>
      <c r="D292" s="198"/>
      <c r="E292" s="198"/>
      <c r="F292" s="198"/>
      <c r="G292" s="198"/>
      <c r="H292" s="198"/>
      <c r="I292" s="198"/>
      <c r="J292" s="198"/>
      <c r="K292" s="198"/>
      <c r="M292" s="198"/>
      <c r="N292" s="198"/>
      <c r="O292" s="198"/>
      <c r="P292" s="198"/>
      <c r="Q292" s="198"/>
      <c r="R292" s="198"/>
      <c r="S292" s="198"/>
      <c r="T292" s="198"/>
      <c r="U292" s="198"/>
      <c r="V292" s="198"/>
      <c r="W292" s="198"/>
      <c r="X292" s="198"/>
      <c r="Y292" s="198"/>
      <c r="Z292" s="198"/>
      <c r="AA292" s="198"/>
    </row>
    <row r="293">
      <c r="A293" s="201"/>
      <c r="B293" s="201"/>
      <c r="C293" s="198"/>
      <c r="D293" s="198"/>
      <c r="E293" s="198"/>
      <c r="F293" s="198"/>
      <c r="G293" s="198"/>
      <c r="H293" s="198"/>
      <c r="I293" s="198"/>
      <c r="J293" s="198"/>
      <c r="K293" s="198"/>
      <c r="M293" s="198"/>
      <c r="N293" s="198"/>
      <c r="O293" s="198"/>
      <c r="P293" s="198"/>
      <c r="Q293" s="198"/>
      <c r="R293" s="198"/>
      <c r="S293" s="198"/>
      <c r="T293" s="198"/>
      <c r="U293" s="198"/>
      <c r="V293" s="198"/>
      <c r="W293" s="198"/>
      <c r="X293" s="198"/>
      <c r="Y293" s="198"/>
      <c r="Z293" s="198"/>
      <c r="AA293" s="198"/>
    </row>
    <row r="294">
      <c r="A294" s="201"/>
      <c r="B294" s="201"/>
      <c r="C294" s="198"/>
      <c r="D294" s="198"/>
      <c r="E294" s="198"/>
      <c r="F294" s="198"/>
      <c r="G294" s="198"/>
      <c r="H294" s="198"/>
      <c r="I294" s="198"/>
      <c r="J294" s="198"/>
      <c r="K294" s="198"/>
      <c r="M294" s="198"/>
      <c r="N294" s="198"/>
      <c r="O294" s="198"/>
      <c r="P294" s="198"/>
      <c r="Q294" s="198"/>
      <c r="R294" s="198"/>
      <c r="S294" s="198"/>
      <c r="T294" s="198"/>
      <c r="U294" s="198"/>
      <c r="V294" s="198"/>
      <c r="W294" s="198"/>
      <c r="X294" s="198"/>
      <c r="Y294" s="198"/>
      <c r="Z294" s="198"/>
      <c r="AA294" s="198"/>
    </row>
    <row r="295">
      <c r="A295" s="201"/>
      <c r="B295" s="201"/>
      <c r="C295" s="198"/>
      <c r="D295" s="198"/>
      <c r="E295" s="198"/>
      <c r="F295" s="198"/>
      <c r="G295" s="198"/>
      <c r="H295" s="198"/>
      <c r="I295" s="198"/>
      <c r="J295" s="198"/>
      <c r="K295" s="198"/>
      <c r="M295" s="198"/>
      <c r="N295" s="198"/>
      <c r="O295" s="198"/>
      <c r="P295" s="198"/>
      <c r="Q295" s="198"/>
      <c r="R295" s="198"/>
      <c r="S295" s="198"/>
      <c r="T295" s="198"/>
      <c r="U295" s="198"/>
      <c r="V295" s="198"/>
      <c r="W295" s="198"/>
      <c r="X295" s="198"/>
      <c r="Y295" s="198"/>
      <c r="Z295" s="198"/>
      <c r="AA295" s="198"/>
    </row>
    <row r="296">
      <c r="A296" s="201"/>
      <c r="B296" s="201"/>
      <c r="C296" s="198"/>
      <c r="D296" s="198"/>
      <c r="E296" s="198"/>
      <c r="F296" s="198"/>
      <c r="G296" s="198"/>
      <c r="H296" s="198"/>
      <c r="I296" s="198"/>
      <c r="J296" s="198"/>
      <c r="K296" s="198"/>
      <c r="M296" s="198"/>
      <c r="N296" s="198"/>
      <c r="O296" s="198"/>
      <c r="P296" s="198"/>
      <c r="Q296" s="198"/>
      <c r="R296" s="198"/>
      <c r="S296" s="198"/>
      <c r="T296" s="198"/>
      <c r="U296" s="198"/>
      <c r="V296" s="198"/>
      <c r="W296" s="198"/>
      <c r="X296" s="198"/>
      <c r="Y296" s="198"/>
      <c r="Z296" s="198"/>
      <c r="AA296" s="198"/>
    </row>
    <row r="297">
      <c r="A297" s="201"/>
      <c r="B297" s="201"/>
      <c r="C297" s="198"/>
      <c r="D297" s="198"/>
      <c r="E297" s="198"/>
      <c r="F297" s="198"/>
      <c r="G297" s="198"/>
      <c r="H297" s="198"/>
      <c r="I297" s="198"/>
      <c r="J297" s="198"/>
      <c r="K297" s="198"/>
      <c r="M297" s="198"/>
      <c r="N297" s="198"/>
      <c r="O297" s="198"/>
      <c r="P297" s="198"/>
      <c r="Q297" s="198"/>
      <c r="R297" s="198"/>
      <c r="S297" s="198"/>
      <c r="T297" s="198"/>
      <c r="U297" s="198"/>
      <c r="V297" s="198"/>
      <c r="W297" s="198"/>
      <c r="X297" s="198"/>
      <c r="Y297" s="198"/>
      <c r="Z297" s="198"/>
      <c r="AA297" s="198"/>
    </row>
    <row r="298">
      <c r="A298" s="201"/>
      <c r="B298" s="201"/>
      <c r="C298" s="198"/>
      <c r="D298" s="198"/>
      <c r="E298" s="198"/>
      <c r="F298" s="198"/>
      <c r="G298" s="198"/>
      <c r="H298" s="198"/>
      <c r="I298" s="198"/>
      <c r="J298" s="198"/>
      <c r="K298" s="198"/>
      <c r="M298" s="198"/>
      <c r="N298" s="198"/>
      <c r="O298" s="198"/>
      <c r="P298" s="198"/>
      <c r="Q298" s="198"/>
      <c r="R298" s="198"/>
      <c r="S298" s="198"/>
      <c r="T298" s="198"/>
      <c r="U298" s="198"/>
      <c r="V298" s="198"/>
      <c r="W298" s="198"/>
      <c r="X298" s="198"/>
      <c r="Y298" s="198"/>
      <c r="Z298" s="198"/>
      <c r="AA298" s="198"/>
    </row>
    <row r="299">
      <c r="A299" s="201"/>
      <c r="B299" s="201"/>
      <c r="C299" s="198"/>
      <c r="D299" s="198"/>
      <c r="E299" s="198"/>
      <c r="F299" s="198"/>
      <c r="G299" s="198"/>
      <c r="H299" s="198"/>
      <c r="I299" s="198"/>
      <c r="J299" s="198"/>
      <c r="K299" s="198"/>
      <c r="M299" s="198"/>
      <c r="N299" s="198"/>
      <c r="O299" s="198"/>
      <c r="P299" s="198"/>
      <c r="Q299" s="198"/>
      <c r="R299" s="198"/>
      <c r="S299" s="198"/>
      <c r="T299" s="198"/>
      <c r="U299" s="198"/>
      <c r="V299" s="198"/>
      <c r="W299" s="198"/>
      <c r="X299" s="198"/>
      <c r="Y299" s="198"/>
      <c r="Z299" s="198"/>
      <c r="AA299" s="198"/>
    </row>
    <row r="300">
      <c r="A300" s="201"/>
      <c r="B300" s="201"/>
      <c r="C300" s="198"/>
      <c r="D300" s="198"/>
      <c r="E300" s="198"/>
      <c r="F300" s="198"/>
      <c r="G300" s="198"/>
      <c r="H300" s="198"/>
      <c r="I300" s="198"/>
      <c r="J300" s="198"/>
      <c r="K300" s="198"/>
      <c r="M300" s="198"/>
      <c r="N300" s="198"/>
      <c r="O300" s="198"/>
      <c r="P300" s="198"/>
      <c r="Q300" s="198"/>
      <c r="R300" s="198"/>
      <c r="S300" s="198"/>
      <c r="T300" s="198"/>
      <c r="U300" s="198"/>
      <c r="V300" s="198"/>
      <c r="W300" s="198"/>
      <c r="X300" s="198"/>
      <c r="Y300" s="198"/>
      <c r="Z300" s="198"/>
      <c r="AA300" s="198"/>
    </row>
    <row r="301">
      <c r="A301" s="201"/>
      <c r="B301" s="201"/>
      <c r="C301" s="198"/>
      <c r="D301" s="198"/>
      <c r="E301" s="198"/>
      <c r="F301" s="198"/>
      <c r="G301" s="198"/>
      <c r="H301" s="198"/>
      <c r="I301" s="198"/>
      <c r="J301" s="198"/>
      <c r="K301" s="198"/>
      <c r="M301" s="198"/>
      <c r="N301" s="198"/>
      <c r="O301" s="198"/>
      <c r="P301" s="198"/>
      <c r="Q301" s="198"/>
      <c r="R301" s="198"/>
      <c r="S301" s="198"/>
      <c r="T301" s="198"/>
      <c r="U301" s="198"/>
      <c r="V301" s="198"/>
      <c r="W301" s="198"/>
      <c r="X301" s="198"/>
      <c r="Y301" s="198"/>
      <c r="Z301" s="198"/>
      <c r="AA301" s="198"/>
    </row>
    <row r="302">
      <c r="A302" s="201"/>
      <c r="B302" s="201"/>
      <c r="C302" s="198"/>
      <c r="D302" s="198"/>
      <c r="E302" s="198"/>
      <c r="F302" s="198"/>
      <c r="G302" s="198"/>
      <c r="H302" s="198"/>
      <c r="I302" s="198"/>
      <c r="J302" s="198"/>
      <c r="K302" s="198"/>
      <c r="M302" s="198"/>
      <c r="N302" s="198"/>
      <c r="O302" s="198"/>
      <c r="P302" s="198"/>
      <c r="Q302" s="198"/>
      <c r="R302" s="198"/>
      <c r="S302" s="198"/>
      <c r="T302" s="198"/>
      <c r="U302" s="198"/>
      <c r="V302" s="198"/>
      <c r="W302" s="198"/>
      <c r="X302" s="198"/>
      <c r="Y302" s="198"/>
      <c r="Z302" s="198"/>
      <c r="AA302" s="198"/>
    </row>
    <row r="303">
      <c r="A303" s="201"/>
      <c r="B303" s="201"/>
      <c r="C303" s="198"/>
      <c r="D303" s="198"/>
      <c r="E303" s="198"/>
      <c r="F303" s="198"/>
      <c r="G303" s="198"/>
      <c r="H303" s="198"/>
      <c r="I303" s="198"/>
      <c r="J303" s="198"/>
      <c r="K303" s="198"/>
      <c r="M303" s="198"/>
      <c r="N303" s="198"/>
      <c r="O303" s="198"/>
      <c r="P303" s="198"/>
      <c r="Q303" s="198"/>
      <c r="R303" s="198"/>
      <c r="S303" s="198"/>
      <c r="T303" s="198"/>
      <c r="U303" s="198"/>
      <c r="V303" s="198"/>
      <c r="W303" s="198"/>
      <c r="X303" s="198"/>
      <c r="Y303" s="198"/>
      <c r="Z303" s="198"/>
      <c r="AA303" s="198"/>
    </row>
    <row r="304">
      <c r="A304" s="201"/>
      <c r="B304" s="201"/>
      <c r="C304" s="198"/>
      <c r="D304" s="198"/>
      <c r="E304" s="198"/>
      <c r="F304" s="198"/>
      <c r="G304" s="198"/>
      <c r="H304" s="198"/>
      <c r="I304" s="198"/>
      <c r="J304" s="198"/>
      <c r="K304" s="198"/>
      <c r="M304" s="198"/>
      <c r="N304" s="198"/>
      <c r="O304" s="198"/>
      <c r="P304" s="198"/>
      <c r="Q304" s="198"/>
      <c r="R304" s="198"/>
      <c r="S304" s="198"/>
      <c r="T304" s="198"/>
      <c r="U304" s="198"/>
      <c r="V304" s="198"/>
      <c r="W304" s="198"/>
      <c r="X304" s="198"/>
      <c r="Y304" s="198"/>
      <c r="Z304" s="198"/>
      <c r="AA304" s="198"/>
    </row>
    <row r="305">
      <c r="A305" s="201"/>
      <c r="B305" s="201"/>
      <c r="C305" s="198"/>
      <c r="D305" s="198"/>
      <c r="E305" s="198"/>
      <c r="F305" s="198"/>
      <c r="G305" s="198"/>
      <c r="H305" s="198"/>
      <c r="I305" s="198"/>
      <c r="J305" s="198"/>
      <c r="K305" s="198"/>
      <c r="M305" s="198"/>
      <c r="N305" s="198"/>
      <c r="O305" s="198"/>
      <c r="P305" s="198"/>
      <c r="Q305" s="198"/>
      <c r="R305" s="198"/>
      <c r="S305" s="198"/>
      <c r="T305" s="198"/>
      <c r="U305" s="198"/>
      <c r="V305" s="198"/>
      <c r="W305" s="198"/>
      <c r="X305" s="198"/>
      <c r="Y305" s="198"/>
      <c r="Z305" s="198"/>
      <c r="AA305" s="198"/>
    </row>
    <row r="306">
      <c r="A306" s="201"/>
      <c r="B306" s="201"/>
      <c r="C306" s="198"/>
      <c r="D306" s="198"/>
      <c r="E306" s="198"/>
      <c r="F306" s="198"/>
      <c r="G306" s="198"/>
      <c r="H306" s="198"/>
      <c r="I306" s="198"/>
      <c r="J306" s="198"/>
      <c r="K306" s="198"/>
      <c r="M306" s="198"/>
      <c r="N306" s="198"/>
      <c r="O306" s="198"/>
      <c r="P306" s="198"/>
      <c r="Q306" s="198"/>
      <c r="R306" s="198"/>
      <c r="S306" s="198"/>
      <c r="T306" s="198"/>
      <c r="U306" s="198"/>
      <c r="V306" s="198"/>
      <c r="W306" s="198"/>
      <c r="X306" s="198"/>
      <c r="Y306" s="198"/>
      <c r="Z306" s="198"/>
      <c r="AA306" s="198"/>
    </row>
    <row r="307">
      <c r="A307" s="201"/>
      <c r="B307" s="201"/>
      <c r="C307" s="198"/>
      <c r="D307" s="198"/>
      <c r="E307" s="198"/>
      <c r="F307" s="198"/>
      <c r="G307" s="198"/>
      <c r="H307" s="198"/>
      <c r="I307" s="198"/>
      <c r="J307" s="198"/>
      <c r="K307" s="198"/>
      <c r="M307" s="198"/>
      <c r="N307" s="198"/>
      <c r="O307" s="198"/>
      <c r="P307" s="198"/>
      <c r="Q307" s="198"/>
      <c r="R307" s="198"/>
      <c r="S307" s="198"/>
      <c r="T307" s="198"/>
      <c r="U307" s="198"/>
      <c r="V307" s="198"/>
      <c r="W307" s="198"/>
      <c r="X307" s="198"/>
      <c r="Y307" s="198"/>
      <c r="Z307" s="198"/>
      <c r="AA307" s="198"/>
    </row>
    <row r="308">
      <c r="A308" s="201"/>
      <c r="B308" s="201"/>
      <c r="C308" s="198"/>
      <c r="D308" s="198"/>
      <c r="E308" s="198"/>
      <c r="F308" s="198"/>
      <c r="G308" s="198"/>
      <c r="H308" s="198"/>
      <c r="I308" s="198"/>
      <c r="J308" s="198"/>
      <c r="K308" s="198"/>
      <c r="M308" s="198"/>
      <c r="N308" s="198"/>
      <c r="O308" s="198"/>
      <c r="P308" s="198"/>
      <c r="Q308" s="198"/>
      <c r="R308" s="198"/>
      <c r="S308" s="198"/>
      <c r="T308" s="198"/>
      <c r="U308" s="198"/>
      <c r="V308" s="198"/>
      <c r="W308" s="198"/>
      <c r="X308" s="198"/>
      <c r="Y308" s="198"/>
      <c r="Z308" s="198"/>
      <c r="AA308" s="198"/>
    </row>
    <row r="309">
      <c r="A309" s="201"/>
      <c r="B309" s="201"/>
      <c r="C309" s="198"/>
      <c r="D309" s="198"/>
      <c r="E309" s="198"/>
      <c r="F309" s="198"/>
      <c r="G309" s="198"/>
      <c r="H309" s="198"/>
      <c r="I309" s="198"/>
      <c r="J309" s="198"/>
      <c r="K309" s="198"/>
      <c r="M309" s="198"/>
      <c r="N309" s="198"/>
      <c r="O309" s="198"/>
      <c r="P309" s="198"/>
      <c r="Q309" s="198"/>
      <c r="R309" s="198"/>
      <c r="S309" s="198"/>
      <c r="T309" s="198"/>
      <c r="U309" s="198"/>
      <c r="V309" s="198"/>
      <c r="W309" s="198"/>
      <c r="X309" s="198"/>
      <c r="Y309" s="198"/>
      <c r="Z309" s="198"/>
      <c r="AA309" s="198"/>
    </row>
    <row r="310">
      <c r="A310" s="201"/>
      <c r="B310" s="201"/>
      <c r="C310" s="198"/>
      <c r="D310" s="198"/>
      <c r="E310" s="198"/>
      <c r="F310" s="198"/>
      <c r="G310" s="198"/>
      <c r="H310" s="198"/>
      <c r="I310" s="198"/>
      <c r="J310" s="198"/>
      <c r="K310" s="198"/>
      <c r="M310" s="198"/>
      <c r="N310" s="198"/>
      <c r="O310" s="198"/>
      <c r="P310" s="198"/>
      <c r="Q310" s="198"/>
      <c r="R310" s="198"/>
      <c r="S310" s="198"/>
      <c r="T310" s="198"/>
      <c r="U310" s="198"/>
      <c r="V310" s="198"/>
      <c r="W310" s="198"/>
      <c r="X310" s="198"/>
      <c r="Y310" s="198"/>
      <c r="Z310" s="198"/>
      <c r="AA310" s="198"/>
    </row>
    <row r="311">
      <c r="A311" s="201"/>
      <c r="B311" s="201"/>
      <c r="C311" s="198"/>
      <c r="D311" s="198"/>
      <c r="E311" s="198"/>
      <c r="F311" s="198"/>
      <c r="G311" s="198"/>
      <c r="H311" s="198"/>
      <c r="I311" s="198"/>
      <c r="J311" s="198"/>
      <c r="K311" s="198"/>
      <c r="M311" s="198"/>
      <c r="N311" s="198"/>
      <c r="O311" s="198"/>
      <c r="P311" s="198"/>
      <c r="Q311" s="198"/>
      <c r="R311" s="198"/>
      <c r="S311" s="198"/>
      <c r="T311" s="198"/>
      <c r="U311" s="198"/>
      <c r="V311" s="198"/>
      <c r="W311" s="198"/>
      <c r="X311" s="198"/>
      <c r="Y311" s="198"/>
      <c r="Z311" s="198"/>
      <c r="AA311" s="198"/>
    </row>
    <row r="312">
      <c r="A312" s="201"/>
      <c r="B312" s="201"/>
      <c r="C312" s="198"/>
      <c r="D312" s="198"/>
      <c r="E312" s="198"/>
      <c r="F312" s="198"/>
      <c r="G312" s="198"/>
      <c r="H312" s="198"/>
      <c r="I312" s="198"/>
      <c r="J312" s="198"/>
      <c r="K312" s="198"/>
      <c r="M312" s="198"/>
      <c r="N312" s="198"/>
      <c r="O312" s="198"/>
      <c r="P312" s="198"/>
      <c r="Q312" s="198"/>
      <c r="R312" s="198"/>
      <c r="S312" s="198"/>
      <c r="T312" s="198"/>
      <c r="U312" s="198"/>
      <c r="V312" s="198"/>
      <c r="W312" s="198"/>
      <c r="X312" s="198"/>
      <c r="Y312" s="198"/>
      <c r="Z312" s="198"/>
      <c r="AA312" s="198"/>
    </row>
    <row r="313">
      <c r="A313" s="201"/>
      <c r="B313" s="201"/>
      <c r="C313" s="198"/>
      <c r="D313" s="198"/>
      <c r="E313" s="198"/>
      <c r="F313" s="198"/>
      <c r="G313" s="198"/>
      <c r="H313" s="198"/>
      <c r="I313" s="198"/>
      <c r="J313" s="198"/>
      <c r="K313" s="198"/>
      <c r="M313" s="198"/>
      <c r="N313" s="198"/>
      <c r="O313" s="198"/>
      <c r="P313" s="198"/>
      <c r="Q313" s="198"/>
      <c r="R313" s="198"/>
      <c r="S313" s="198"/>
      <c r="T313" s="198"/>
      <c r="U313" s="198"/>
      <c r="V313" s="198"/>
      <c r="W313" s="198"/>
      <c r="X313" s="198"/>
      <c r="Y313" s="198"/>
      <c r="Z313" s="198"/>
      <c r="AA313" s="198"/>
    </row>
    <row r="314">
      <c r="A314" s="201"/>
      <c r="B314" s="201"/>
      <c r="C314" s="198"/>
      <c r="D314" s="198"/>
      <c r="E314" s="198"/>
      <c r="F314" s="198"/>
      <c r="G314" s="198"/>
      <c r="H314" s="198"/>
      <c r="I314" s="198"/>
      <c r="J314" s="198"/>
      <c r="K314" s="198"/>
      <c r="M314" s="198"/>
      <c r="N314" s="198"/>
      <c r="O314" s="198"/>
      <c r="P314" s="198"/>
      <c r="Q314" s="198"/>
      <c r="R314" s="198"/>
      <c r="S314" s="198"/>
      <c r="T314" s="198"/>
      <c r="U314" s="198"/>
      <c r="V314" s="198"/>
      <c r="W314" s="198"/>
      <c r="X314" s="198"/>
      <c r="Y314" s="198"/>
      <c r="Z314" s="198"/>
      <c r="AA314" s="198"/>
    </row>
    <row r="315">
      <c r="A315" s="201"/>
      <c r="B315" s="201"/>
      <c r="C315" s="198"/>
      <c r="D315" s="198"/>
      <c r="E315" s="198"/>
      <c r="F315" s="198"/>
      <c r="G315" s="198"/>
      <c r="H315" s="198"/>
      <c r="I315" s="198"/>
      <c r="J315" s="198"/>
      <c r="K315" s="198"/>
      <c r="M315" s="198"/>
      <c r="N315" s="198"/>
      <c r="O315" s="198"/>
      <c r="P315" s="198"/>
      <c r="Q315" s="198"/>
      <c r="R315" s="198"/>
      <c r="S315" s="198"/>
      <c r="T315" s="198"/>
      <c r="U315" s="198"/>
      <c r="V315" s="198"/>
      <c r="W315" s="198"/>
      <c r="X315" s="198"/>
      <c r="Y315" s="198"/>
      <c r="Z315" s="198"/>
      <c r="AA315" s="198"/>
    </row>
    <row r="316">
      <c r="A316" s="201"/>
      <c r="B316" s="201"/>
      <c r="C316" s="198"/>
      <c r="D316" s="198"/>
      <c r="E316" s="198"/>
      <c r="F316" s="198"/>
      <c r="G316" s="198"/>
      <c r="H316" s="198"/>
      <c r="I316" s="198"/>
      <c r="J316" s="198"/>
      <c r="K316" s="198"/>
      <c r="M316" s="198"/>
      <c r="N316" s="198"/>
      <c r="O316" s="198"/>
      <c r="P316" s="198"/>
      <c r="Q316" s="198"/>
      <c r="R316" s="198"/>
      <c r="S316" s="198"/>
      <c r="T316" s="198"/>
      <c r="U316" s="198"/>
      <c r="V316" s="198"/>
      <c r="W316" s="198"/>
      <c r="X316" s="198"/>
      <c r="Y316" s="198"/>
      <c r="Z316" s="198"/>
      <c r="AA316" s="198"/>
    </row>
    <row r="317">
      <c r="A317" s="201"/>
      <c r="B317" s="201"/>
      <c r="C317" s="198"/>
      <c r="D317" s="198"/>
      <c r="E317" s="198"/>
      <c r="F317" s="198"/>
      <c r="G317" s="198"/>
      <c r="H317" s="198"/>
      <c r="I317" s="198"/>
      <c r="J317" s="198"/>
      <c r="K317" s="198"/>
      <c r="M317" s="198"/>
      <c r="N317" s="198"/>
      <c r="O317" s="198"/>
      <c r="P317" s="198"/>
      <c r="Q317" s="198"/>
      <c r="R317" s="198"/>
      <c r="S317" s="198"/>
      <c r="T317" s="198"/>
      <c r="U317" s="198"/>
      <c r="V317" s="198"/>
      <c r="W317" s="198"/>
      <c r="X317" s="198"/>
      <c r="Y317" s="198"/>
      <c r="Z317" s="198"/>
      <c r="AA317" s="198"/>
    </row>
    <row r="318">
      <c r="A318" s="201"/>
      <c r="B318" s="201"/>
      <c r="C318" s="198"/>
      <c r="D318" s="198"/>
      <c r="E318" s="198"/>
      <c r="F318" s="198"/>
      <c r="G318" s="198"/>
      <c r="H318" s="198"/>
      <c r="I318" s="198"/>
      <c r="J318" s="198"/>
      <c r="K318" s="198"/>
      <c r="M318" s="198"/>
      <c r="N318" s="198"/>
      <c r="O318" s="198"/>
      <c r="P318" s="198"/>
      <c r="Q318" s="198"/>
      <c r="R318" s="198"/>
      <c r="S318" s="198"/>
      <c r="T318" s="198"/>
      <c r="U318" s="198"/>
      <c r="V318" s="198"/>
      <c r="W318" s="198"/>
      <c r="X318" s="198"/>
      <c r="Y318" s="198"/>
      <c r="Z318" s="198"/>
      <c r="AA318" s="198"/>
    </row>
    <row r="319">
      <c r="A319" s="201"/>
      <c r="B319" s="201"/>
      <c r="C319" s="198"/>
      <c r="D319" s="198"/>
      <c r="E319" s="198"/>
      <c r="F319" s="198"/>
      <c r="G319" s="198"/>
      <c r="H319" s="198"/>
      <c r="I319" s="198"/>
      <c r="J319" s="198"/>
      <c r="K319" s="198"/>
      <c r="M319" s="198"/>
      <c r="N319" s="198"/>
      <c r="O319" s="198"/>
      <c r="P319" s="198"/>
      <c r="Q319" s="198"/>
      <c r="R319" s="198"/>
      <c r="S319" s="198"/>
      <c r="T319" s="198"/>
      <c r="U319" s="198"/>
      <c r="V319" s="198"/>
      <c r="W319" s="198"/>
      <c r="X319" s="198"/>
      <c r="Y319" s="198"/>
      <c r="Z319" s="198"/>
      <c r="AA319" s="198"/>
    </row>
    <row r="320">
      <c r="A320" s="201"/>
      <c r="B320" s="201"/>
      <c r="C320" s="198"/>
      <c r="D320" s="198"/>
      <c r="E320" s="198"/>
      <c r="F320" s="198"/>
      <c r="G320" s="198"/>
      <c r="H320" s="198"/>
      <c r="I320" s="198"/>
      <c r="J320" s="198"/>
      <c r="K320" s="198"/>
      <c r="M320" s="198"/>
      <c r="N320" s="198"/>
      <c r="O320" s="198"/>
      <c r="P320" s="198"/>
      <c r="Q320" s="198"/>
      <c r="R320" s="198"/>
      <c r="S320" s="198"/>
      <c r="T320" s="198"/>
      <c r="U320" s="198"/>
      <c r="V320" s="198"/>
      <c r="W320" s="198"/>
      <c r="X320" s="198"/>
      <c r="Y320" s="198"/>
      <c r="Z320" s="198"/>
      <c r="AA320" s="198"/>
    </row>
    <row r="321">
      <c r="A321" s="201"/>
      <c r="B321" s="201"/>
      <c r="C321" s="198"/>
      <c r="D321" s="198"/>
      <c r="E321" s="198"/>
      <c r="F321" s="198"/>
      <c r="G321" s="198"/>
      <c r="H321" s="198"/>
      <c r="I321" s="198"/>
      <c r="J321" s="198"/>
      <c r="K321" s="198"/>
      <c r="M321" s="198"/>
      <c r="N321" s="198"/>
      <c r="O321" s="198"/>
      <c r="P321" s="198"/>
      <c r="Q321" s="198"/>
      <c r="R321" s="198"/>
      <c r="S321" s="198"/>
      <c r="T321" s="198"/>
      <c r="U321" s="198"/>
      <c r="V321" s="198"/>
      <c r="W321" s="198"/>
      <c r="X321" s="198"/>
      <c r="Y321" s="198"/>
      <c r="Z321" s="198"/>
      <c r="AA321" s="198"/>
    </row>
    <row r="322">
      <c r="A322" s="201"/>
      <c r="B322" s="201"/>
      <c r="C322" s="198"/>
      <c r="D322" s="198"/>
      <c r="E322" s="198"/>
      <c r="F322" s="198"/>
      <c r="G322" s="198"/>
      <c r="H322" s="198"/>
      <c r="I322" s="198"/>
      <c r="J322" s="198"/>
      <c r="K322" s="198"/>
      <c r="M322" s="198"/>
      <c r="N322" s="198"/>
      <c r="O322" s="198"/>
      <c r="P322" s="198"/>
      <c r="Q322" s="198"/>
      <c r="R322" s="198"/>
      <c r="S322" s="198"/>
      <c r="T322" s="198"/>
      <c r="U322" s="198"/>
      <c r="V322" s="198"/>
      <c r="W322" s="198"/>
      <c r="X322" s="198"/>
      <c r="Y322" s="198"/>
      <c r="Z322" s="198"/>
      <c r="AA322" s="198"/>
    </row>
    <row r="323">
      <c r="A323" s="201"/>
      <c r="B323" s="201"/>
      <c r="C323" s="198"/>
      <c r="D323" s="198"/>
      <c r="E323" s="198"/>
      <c r="F323" s="198"/>
      <c r="G323" s="198"/>
      <c r="H323" s="198"/>
      <c r="I323" s="198"/>
      <c r="J323" s="198"/>
      <c r="K323" s="198"/>
      <c r="M323" s="198"/>
      <c r="N323" s="198"/>
      <c r="O323" s="198"/>
      <c r="P323" s="198"/>
      <c r="Q323" s="198"/>
      <c r="R323" s="198"/>
      <c r="S323" s="198"/>
      <c r="T323" s="198"/>
      <c r="U323" s="198"/>
      <c r="V323" s="198"/>
      <c r="W323" s="198"/>
      <c r="X323" s="198"/>
      <c r="Y323" s="198"/>
      <c r="Z323" s="198"/>
      <c r="AA323" s="198"/>
    </row>
    <row r="324">
      <c r="A324" s="201"/>
      <c r="B324" s="201"/>
      <c r="C324" s="198"/>
      <c r="D324" s="198"/>
      <c r="E324" s="198"/>
      <c r="F324" s="198"/>
      <c r="G324" s="198"/>
      <c r="H324" s="198"/>
      <c r="I324" s="198"/>
      <c r="J324" s="198"/>
      <c r="K324" s="198"/>
      <c r="M324" s="198"/>
      <c r="N324" s="198"/>
      <c r="O324" s="198"/>
      <c r="P324" s="198"/>
      <c r="Q324" s="198"/>
      <c r="R324" s="198"/>
      <c r="S324" s="198"/>
      <c r="T324" s="198"/>
      <c r="U324" s="198"/>
      <c r="V324" s="198"/>
      <c r="W324" s="198"/>
      <c r="X324" s="198"/>
      <c r="Y324" s="198"/>
      <c r="Z324" s="198"/>
      <c r="AA324" s="198"/>
    </row>
    <row r="325">
      <c r="A325" s="201"/>
      <c r="B325" s="201"/>
      <c r="C325" s="198"/>
      <c r="D325" s="198"/>
      <c r="E325" s="198"/>
      <c r="F325" s="198"/>
      <c r="G325" s="198"/>
      <c r="H325" s="198"/>
      <c r="I325" s="198"/>
      <c r="J325" s="198"/>
      <c r="K325" s="198"/>
      <c r="M325" s="198"/>
      <c r="N325" s="198"/>
      <c r="O325" s="198"/>
      <c r="P325" s="198"/>
      <c r="Q325" s="198"/>
      <c r="R325" s="198"/>
      <c r="S325" s="198"/>
      <c r="T325" s="198"/>
      <c r="U325" s="198"/>
      <c r="V325" s="198"/>
      <c r="W325" s="198"/>
      <c r="X325" s="198"/>
      <c r="Y325" s="198"/>
      <c r="Z325" s="198"/>
      <c r="AA325" s="198"/>
    </row>
    <row r="326">
      <c r="A326" s="201"/>
      <c r="B326" s="201"/>
      <c r="C326" s="198"/>
      <c r="D326" s="198"/>
      <c r="E326" s="198"/>
      <c r="F326" s="198"/>
      <c r="G326" s="198"/>
      <c r="H326" s="198"/>
      <c r="I326" s="198"/>
      <c r="J326" s="198"/>
      <c r="K326" s="198"/>
      <c r="M326" s="198"/>
      <c r="N326" s="198"/>
      <c r="O326" s="198"/>
      <c r="P326" s="198"/>
      <c r="Q326" s="198"/>
      <c r="R326" s="198"/>
      <c r="S326" s="198"/>
      <c r="T326" s="198"/>
      <c r="U326" s="198"/>
      <c r="V326" s="198"/>
      <c r="W326" s="198"/>
      <c r="X326" s="198"/>
      <c r="Y326" s="198"/>
      <c r="Z326" s="198"/>
      <c r="AA326" s="198"/>
    </row>
    <row r="327">
      <c r="A327" s="201"/>
      <c r="B327" s="201"/>
      <c r="C327" s="198"/>
      <c r="D327" s="198"/>
      <c r="E327" s="198"/>
      <c r="F327" s="198"/>
      <c r="G327" s="198"/>
      <c r="H327" s="198"/>
      <c r="I327" s="198"/>
      <c r="J327" s="198"/>
      <c r="K327" s="198"/>
      <c r="M327" s="198"/>
      <c r="N327" s="198"/>
      <c r="O327" s="198"/>
      <c r="P327" s="198"/>
      <c r="Q327" s="198"/>
      <c r="R327" s="198"/>
      <c r="S327" s="198"/>
      <c r="T327" s="198"/>
      <c r="U327" s="198"/>
      <c r="V327" s="198"/>
      <c r="W327" s="198"/>
      <c r="X327" s="198"/>
      <c r="Y327" s="198"/>
      <c r="Z327" s="198"/>
      <c r="AA327" s="198"/>
    </row>
    <row r="328">
      <c r="A328" s="201"/>
      <c r="B328" s="201"/>
      <c r="C328" s="198"/>
      <c r="D328" s="198"/>
      <c r="E328" s="198"/>
      <c r="F328" s="198"/>
      <c r="G328" s="198"/>
      <c r="H328" s="198"/>
      <c r="I328" s="198"/>
      <c r="J328" s="198"/>
      <c r="K328" s="198"/>
      <c r="M328" s="198"/>
      <c r="N328" s="198"/>
      <c r="O328" s="198"/>
      <c r="P328" s="198"/>
      <c r="Q328" s="198"/>
      <c r="R328" s="198"/>
      <c r="S328" s="198"/>
      <c r="T328" s="198"/>
      <c r="U328" s="198"/>
      <c r="V328" s="198"/>
      <c r="W328" s="198"/>
      <c r="X328" s="198"/>
      <c r="Y328" s="198"/>
      <c r="Z328" s="198"/>
      <c r="AA328" s="198"/>
    </row>
    <row r="329">
      <c r="A329" s="201"/>
      <c r="B329" s="201"/>
      <c r="C329" s="198"/>
      <c r="D329" s="198"/>
      <c r="E329" s="198"/>
      <c r="F329" s="198"/>
      <c r="G329" s="198"/>
      <c r="H329" s="198"/>
      <c r="I329" s="198"/>
      <c r="J329" s="198"/>
      <c r="K329" s="198"/>
      <c r="M329" s="198"/>
      <c r="N329" s="198"/>
      <c r="O329" s="198"/>
      <c r="P329" s="198"/>
      <c r="Q329" s="198"/>
      <c r="R329" s="198"/>
      <c r="S329" s="198"/>
      <c r="T329" s="198"/>
      <c r="U329" s="198"/>
      <c r="V329" s="198"/>
      <c r="W329" s="198"/>
      <c r="X329" s="198"/>
      <c r="Y329" s="198"/>
      <c r="Z329" s="198"/>
      <c r="AA329" s="198"/>
    </row>
    <row r="330">
      <c r="A330" s="201"/>
      <c r="B330" s="201"/>
      <c r="C330" s="198"/>
      <c r="D330" s="198"/>
      <c r="E330" s="198"/>
      <c r="F330" s="198"/>
      <c r="G330" s="198"/>
      <c r="H330" s="198"/>
      <c r="I330" s="198"/>
      <c r="J330" s="198"/>
      <c r="K330" s="198"/>
      <c r="M330" s="198"/>
      <c r="N330" s="198"/>
      <c r="O330" s="198"/>
      <c r="P330" s="198"/>
      <c r="Q330" s="198"/>
      <c r="R330" s="198"/>
      <c r="S330" s="198"/>
      <c r="T330" s="198"/>
      <c r="U330" s="198"/>
      <c r="V330" s="198"/>
      <c r="W330" s="198"/>
      <c r="X330" s="198"/>
      <c r="Y330" s="198"/>
      <c r="Z330" s="198"/>
      <c r="AA330" s="198"/>
    </row>
    <row r="331">
      <c r="A331" s="201"/>
      <c r="B331" s="201"/>
      <c r="C331" s="198"/>
      <c r="D331" s="198"/>
      <c r="E331" s="198"/>
      <c r="F331" s="198"/>
      <c r="G331" s="198"/>
      <c r="H331" s="198"/>
      <c r="I331" s="198"/>
      <c r="J331" s="198"/>
      <c r="K331" s="198"/>
      <c r="M331" s="198"/>
      <c r="N331" s="198"/>
      <c r="O331" s="198"/>
      <c r="P331" s="198"/>
      <c r="Q331" s="198"/>
      <c r="R331" s="198"/>
      <c r="S331" s="198"/>
      <c r="T331" s="198"/>
      <c r="U331" s="198"/>
      <c r="V331" s="198"/>
      <c r="W331" s="198"/>
      <c r="X331" s="198"/>
      <c r="Y331" s="198"/>
      <c r="Z331" s="198"/>
      <c r="AA331" s="198"/>
    </row>
    <row r="332">
      <c r="A332" s="201"/>
      <c r="B332" s="201"/>
      <c r="C332" s="198"/>
      <c r="D332" s="198"/>
      <c r="E332" s="198"/>
      <c r="F332" s="198"/>
      <c r="G332" s="198"/>
      <c r="H332" s="198"/>
      <c r="I332" s="198"/>
      <c r="J332" s="198"/>
      <c r="K332" s="198"/>
      <c r="M332" s="198"/>
      <c r="N332" s="198"/>
      <c r="O332" s="198"/>
      <c r="P332" s="198"/>
      <c r="Q332" s="198"/>
      <c r="R332" s="198"/>
      <c r="S332" s="198"/>
      <c r="T332" s="198"/>
      <c r="U332" s="198"/>
      <c r="V332" s="198"/>
      <c r="W332" s="198"/>
      <c r="X332" s="198"/>
      <c r="Y332" s="198"/>
      <c r="Z332" s="198"/>
      <c r="AA332" s="198"/>
    </row>
    <row r="333">
      <c r="A333" s="201"/>
      <c r="B333" s="201"/>
      <c r="C333" s="198"/>
      <c r="D333" s="198"/>
      <c r="E333" s="198"/>
      <c r="F333" s="198"/>
      <c r="G333" s="198"/>
      <c r="H333" s="198"/>
      <c r="I333" s="198"/>
      <c r="J333" s="198"/>
      <c r="K333" s="198"/>
      <c r="M333" s="198"/>
      <c r="N333" s="198"/>
      <c r="O333" s="198"/>
      <c r="P333" s="198"/>
      <c r="Q333" s="198"/>
      <c r="R333" s="198"/>
      <c r="S333" s="198"/>
      <c r="T333" s="198"/>
      <c r="U333" s="198"/>
      <c r="V333" s="198"/>
      <c r="W333" s="198"/>
      <c r="X333" s="198"/>
      <c r="Y333" s="198"/>
      <c r="Z333" s="198"/>
      <c r="AA333" s="198"/>
    </row>
    <row r="334">
      <c r="A334" s="201"/>
      <c r="B334" s="201"/>
      <c r="C334" s="198"/>
      <c r="D334" s="198"/>
      <c r="E334" s="198"/>
      <c r="F334" s="198"/>
      <c r="G334" s="198"/>
      <c r="H334" s="198"/>
      <c r="I334" s="198"/>
      <c r="J334" s="198"/>
      <c r="K334" s="198"/>
      <c r="M334" s="198"/>
      <c r="N334" s="198"/>
      <c r="O334" s="198"/>
      <c r="P334" s="198"/>
      <c r="Q334" s="198"/>
      <c r="R334" s="198"/>
      <c r="S334" s="198"/>
      <c r="T334" s="198"/>
      <c r="U334" s="198"/>
      <c r="V334" s="198"/>
      <c r="W334" s="198"/>
      <c r="X334" s="198"/>
      <c r="Y334" s="198"/>
      <c r="Z334" s="198"/>
      <c r="AA334" s="198"/>
    </row>
    <row r="335">
      <c r="A335" s="201"/>
      <c r="B335" s="201"/>
      <c r="C335" s="198"/>
      <c r="D335" s="198"/>
      <c r="E335" s="198"/>
      <c r="F335" s="198"/>
      <c r="G335" s="198"/>
      <c r="H335" s="198"/>
      <c r="I335" s="198"/>
      <c r="J335" s="198"/>
      <c r="K335" s="198"/>
      <c r="M335" s="198"/>
      <c r="N335" s="198"/>
      <c r="O335" s="198"/>
      <c r="P335" s="198"/>
      <c r="Q335" s="198"/>
      <c r="R335" s="198"/>
      <c r="S335" s="198"/>
      <c r="T335" s="198"/>
      <c r="U335" s="198"/>
      <c r="V335" s="198"/>
      <c r="W335" s="198"/>
      <c r="X335" s="198"/>
      <c r="Y335" s="198"/>
      <c r="Z335" s="198"/>
      <c r="AA335" s="198"/>
    </row>
    <row r="336">
      <c r="A336" s="201"/>
      <c r="B336" s="201"/>
      <c r="C336" s="198"/>
      <c r="D336" s="198"/>
      <c r="E336" s="198"/>
      <c r="F336" s="198"/>
      <c r="G336" s="198"/>
      <c r="H336" s="198"/>
      <c r="I336" s="198"/>
      <c r="J336" s="198"/>
      <c r="K336" s="198"/>
      <c r="M336" s="198"/>
      <c r="N336" s="198"/>
      <c r="O336" s="198"/>
      <c r="P336" s="198"/>
      <c r="Q336" s="198"/>
      <c r="R336" s="198"/>
      <c r="S336" s="198"/>
      <c r="T336" s="198"/>
      <c r="U336" s="198"/>
      <c r="V336" s="198"/>
      <c r="W336" s="198"/>
      <c r="X336" s="198"/>
      <c r="Y336" s="198"/>
      <c r="Z336" s="198"/>
      <c r="AA336" s="198"/>
    </row>
    <row r="337">
      <c r="A337" s="201"/>
      <c r="B337" s="201"/>
      <c r="C337" s="198"/>
      <c r="D337" s="198"/>
      <c r="E337" s="198"/>
      <c r="F337" s="198"/>
      <c r="G337" s="198"/>
      <c r="H337" s="198"/>
      <c r="I337" s="198"/>
      <c r="J337" s="198"/>
      <c r="K337" s="198"/>
      <c r="M337" s="198"/>
      <c r="N337" s="198"/>
      <c r="O337" s="198"/>
      <c r="P337" s="198"/>
      <c r="Q337" s="198"/>
      <c r="R337" s="198"/>
      <c r="S337" s="198"/>
      <c r="T337" s="198"/>
      <c r="U337" s="198"/>
      <c r="V337" s="198"/>
      <c r="W337" s="198"/>
      <c r="X337" s="198"/>
      <c r="Y337" s="198"/>
      <c r="Z337" s="198"/>
      <c r="AA337" s="198"/>
    </row>
    <row r="338">
      <c r="A338" s="201"/>
      <c r="B338" s="201"/>
      <c r="C338" s="198"/>
      <c r="D338" s="198"/>
      <c r="E338" s="198"/>
      <c r="F338" s="198"/>
      <c r="G338" s="198"/>
      <c r="H338" s="198"/>
      <c r="I338" s="198"/>
      <c r="J338" s="198"/>
      <c r="K338" s="198"/>
      <c r="M338" s="198"/>
      <c r="N338" s="198"/>
      <c r="O338" s="198"/>
      <c r="P338" s="198"/>
      <c r="Q338" s="198"/>
      <c r="R338" s="198"/>
      <c r="S338" s="198"/>
      <c r="T338" s="198"/>
      <c r="U338" s="198"/>
      <c r="V338" s="198"/>
      <c r="W338" s="198"/>
      <c r="X338" s="198"/>
      <c r="Y338" s="198"/>
      <c r="Z338" s="198"/>
      <c r="AA338" s="198"/>
    </row>
    <row r="339">
      <c r="A339" s="201"/>
      <c r="B339" s="201"/>
      <c r="C339" s="198"/>
      <c r="D339" s="198"/>
      <c r="E339" s="198"/>
      <c r="F339" s="198"/>
      <c r="G339" s="198"/>
      <c r="H339" s="198"/>
      <c r="I339" s="198"/>
      <c r="J339" s="198"/>
      <c r="K339" s="198"/>
      <c r="M339" s="198"/>
      <c r="N339" s="198"/>
      <c r="O339" s="198"/>
      <c r="P339" s="198"/>
      <c r="Q339" s="198"/>
      <c r="R339" s="198"/>
      <c r="S339" s="198"/>
      <c r="T339" s="198"/>
      <c r="U339" s="198"/>
      <c r="V339" s="198"/>
      <c r="W339" s="198"/>
      <c r="X339" s="198"/>
      <c r="Y339" s="198"/>
      <c r="Z339" s="198"/>
      <c r="AA339" s="198"/>
    </row>
    <row r="340">
      <c r="A340" s="201"/>
      <c r="B340" s="201"/>
      <c r="C340" s="198"/>
      <c r="D340" s="198"/>
      <c r="E340" s="198"/>
      <c r="F340" s="198"/>
      <c r="G340" s="198"/>
      <c r="H340" s="198"/>
      <c r="I340" s="198"/>
      <c r="J340" s="198"/>
      <c r="K340" s="198"/>
      <c r="M340" s="198"/>
      <c r="N340" s="198"/>
      <c r="O340" s="198"/>
      <c r="P340" s="198"/>
      <c r="Q340" s="198"/>
      <c r="R340" s="198"/>
      <c r="S340" s="198"/>
      <c r="T340" s="198"/>
      <c r="U340" s="198"/>
      <c r="V340" s="198"/>
      <c r="W340" s="198"/>
      <c r="X340" s="198"/>
      <c r="Y340" s="198"/>
      <c r="Z340" s="198"/>
      <c r="AA340" s="198"/>
    </row>
    <row r="341">
      <c r="A341" s="201"/>
      <c r="B341" s="201"/>
      <c r="C341" s="198"/>
      <c r="D341" s="198"/>
      <c r="E341" s="198"/>
      <c r="F341" s="198"/>
      <c r="G341" s="198"/>
      <c r="H341" s="198"/>
      <c r="I341" s="198"/>
      <c r="J341" s="198"/>
      <c r="K341" s="198"/>
      <c r="M341" s="198"/>
      <c r="N341" s="198"/>
      <c r="O341" s="198"/>
      <c r="P341" s="198"/>
      <c r="Q341" s="198"/>
      <c r="R341" s="198"/>
      <c r="S341" s="198"/>
      <c r="T341" s="198"/>
      <c r="U341" s="198"/>
      <c r="V341" s="198"/>
      <c r="W341" s="198"/>
      <c r="X341" s="198"/>
      <c r="Y341" s="198"/>
      <c r="Z341" s="198"/>
      <c r="AA341" s="198"/>
    </row>
    <row r="342">
      <c r="A342" s="201"/>
      <c r="B342" s="201"/>
      <c r="C342" s="198"/>
      <c r="D342" s="198"/>
      <c r="E342" s="198"/>
      <c r="F342" s="198"/>
      <c r="G342" s="198"/>
      <c r="H342" s="198"/>
      <c r="I342" s="198"/>
      <c r="J342" s="198"/>
      <c r="K342" s="198"/>
      <c r="M342" s="198"/>
      <c r="N342" s="198"/>
      <c r="O342" s="198"/>
      <c r="P342" s="198"/>
      <c r="Q342" s="198"/>
      <c r="R342" s="198"/>
      <c r="S342" s="198"/>
      <c r="T342" s="198"/>
      <c r="U342" s="198"/>
      <c r="V342" s="198"/>
      <c r="W342" s="198"/>
      <c r="X342" s="198"/>
      <c r="Y342" s="198"/>
      <c r="Z342" s="198"/>
      <c r="AA342" s="198"/>
    </row>
    <row r="343">
      <c r="A343" s="201"/>
      <c r="B343" s="201"/>
      <c r="C343" s="198"/>
      <c r="D343" s="198"/>
      <c r="E343" s="198"/>
      <c r="F343" s="198"/>
      <c r="G343" s="198"/>
      <c r="H343" s="198"/>
      <c r="I343" s="198"/>
      <c r="J343" s="198"/>
      <c r="K343" s="198"/>
      <c r="M343" s="198"/>
      <c r="N343" s="198"/>
      <c r="O343" s="198"/>
      <c r="P343" s="198"/>
      <c r="Q343" s="198"/>
      <c r="R343" s="198"/>
      <c r="S343" s="198"/>
      <c r="T343" s="198"/>
      <c r="U343" s="198"/>
      <c r="V343" s="198"/>
      <c r="W343" s="198"/>
      <c r="X343" s="198"/>
      <c r="Y343" s="198"/>
      <c r="Z343" s="198"/>
      <c r="AA343" s="198"/>
    </row>
    <row r="344">
      <c r="A344" s="201"/>
      <c r="B344" s="201"/>
      <c r="C344" s="198"/>
      <c r="D344" s="198"/>
      <c r="E344" s="198"/>
      <c r="F344" s="198"/>
      <c r="G344" s="198"/>
      <c r="H344" s="198"/>
      <c r="I344" s="198"/>
      <c r="J344" s="198"/>
      <c r="K344" s="198"/>
      <c r="M344" s="198"/>
      <c r="N344" s="198"/>
      <c r="O344" s="198"/>
      <c r="P344" s="198"/>
      <c r="Q344" s="198"/>
      <c r="R344" s="198"/>
      <c r="S344" s="198"/>
      <c r="T344" s="198"/>
      <c r="U344" s="198"/>
      <c r="V344" s="198"/>
      <c r="W344" s="198"/>
      <c r="X344" s="198"/>
      <c r="Y344" s="198"/>
      <c r="Z344" s="198"/>
      <c r="AA344" s="198"/>
    </row>
    <row r="345">
      <c r="A345" s="201"/>
      <c r="B345" s="201"/>
      <c r="C345" s="198"/>
      <c r="D345" s="198"/>
      <c r="E345" s="198"/>
      <c r="F345" s="198"/>
      <c r="G345" s="198"/>
      <c r="H345" s="198"/>
      <c r="I345" s="198"/>
      <c r="J345" s="198"/>
      <c r="K345" s="198"/>
      <c r="M345" s="198"/>
      <c r="N345" s="198"/>
      <c r="O345" s="198"/>
      <c r="P345" s="198"/>
      <c r="Q345" s="198"/>
      <c r="R345" s="198"/>
      <c r="S345" s="198"/>
      <c r="T345" s="198"/>
      <c r="U345" s="198"/>
      <c r="V345" s="198"/>
      <c r="W345" s="198"/>
      <c r="X345" s="198"/>
      <c r="Y345" s="198"/>
      <c r="Z345" s="198"/>
      <c r="AA345" s="198"/>
    </row>
    <row r="346">
      <c r="A346" s="201"/>
      <c r="B346" s="201"/>
      <c r="C346" s="198"/>
      <c r="D346" s="198"/>
      <c r="E346" s="198"/>
      <c r="F346" s="198"/>
      <c r="G346" s="198"/>
      <c r="H346" s="198"/>
      <c r="I346" s="198"/>
      <c r="J346" s="198"/>
      <c r="K346" s="198"/>
      <c r="M346" s="198"/>
      <c r="N346" s="198"/>
      <c r="O346" s="198"/>
      <c r="P346" s="198"/>
      <c r="Q346" s="198"/>
      <c r="R346" s="198"/>
      <c r="S346" s="198"/>
      <c r="T346" s="198"/>
      <c r="U346" s="198"/>
      <c r="V346" s="198"/>
      <c r="W346" s="198"/>
      <c r="X346" s="198"/>
      <c r="Y346" s="198"/>
      <c r="Z346" s="198"/>
      <c r="AA346" s="198"/>
    </row>
    <row r="347">
      <c r="A347" s="201"/>
      <c r="B347" s="201"/>
      <c r="C347" s="198"/>
      <c r="D347" s="198"/>
      <c r="E347" s="198"/>
      <c r="F347" s="198"/>
      <c r="G347" s="198"/>
      <c r="H347" s="198"/>
      <c r="I347" s="198"/>
      <c r="J347" s="198"/>
      <c r="K347" s="198"/>
      <c r="M347" s="198"/>
      <c r="N347" s="198"/>
      <c r="O347" s="198"/>
      <c r="P347" s="198"/>
      <c r="Q347" s="198"/>
      <c r="R347" s="198"/>
      <c r="S347" s="198"/>
      <c r="T347" s="198"/>
      <c r="U347" s="198"/>
      <c r="V347" s="198"/>
      <c r="W347" s="198"/>
      <c r="X347" s="198"/>
      <c r="Y347" s="198"/>
      <c r="Z347" s="198"/>
      <c r="AA347" s="198"/>
    </row>
    <row r="348">
      <c r="A348" s="201"/>
      <c r="B348" s="201"/>
      <c r="C348" s="198"/>
      <c r="D348" s="198"/>
      <c r="E348" s="198"/>
      <c r="F348" s="198"/>
      <c r="G348" s="198"/>
      <c r="H348" s="198"/>
      <c r="I348" s="198"/>
      <c r="J348" s="198"/>
      <c r="K348" s="198"/>
      <c r="M348" s="198"/>
      <c r="N348" s="198"/>
      <c r="O348" s="198"/>
      <c r="P348" s="198"/>
      <c r="Q348" s="198"/>
      <c r="R348" s="198"/>
      <c r="S348" s="198"/>
      <c r="T348" s="198"/>
      <c r="U348" s="198"/>
      <c r="V348" s="198"/>
      <c r="W348" s="198"/>
      <c r="X348" s="198"/>
      <c r="Y348" s="198"/>
      <c r="Z348" s="198"/>
      <c r="AA348" s="198"/>
    </row>
    <row r="349">
      <c r="A349" s="201"/>
      <c r="B349" s="201"/>
      <c r="C349" s="198"/>
      <c r="D349" s="198"/>
      <c r="E349" s="198"/>
      <c r="F349" s="198"/>
      <c r="G349" s="198"/>
      <c r="H349" s="198"/>
      <c r="I349" s="198"/>
      <c r="J349" s="198"/>
      <c r="K349" s="198"/>
      <c r="M349" s="198"/>
      <c r="N349" s="198"/>
      <c r="O349" s="198"/>
      <c r="P349" s="198"/>
      <c r="Q349" s="198"/>
      <c r="R349" s="198"/>
      <c r="S349" s="198"/>
      <c r="T349" s="198"/>
      <c r="U349" s="198"/>
      <c r="V349" s="198"/>
      <c r="W349" s="198"/>
      <c r="X349" s="198"/>
      <c r="Y349" s="198"/>
      <c r="Z349" s="198"/>
      <c r="AA349" s="198"/>
    </row>
    <row r="350">
      <c r="A350" s="201"/>
      <c r="B350" s="201"/>
      <c r="C350" s="198"/>
      <c r="D350" s="198"/>
      <c r="E350" s="198"/>
      <c r="F350" s="198"/>
      <c r="G350" s="198"/>
      <c r="H350" s="198"/>
      <c r="I350" s="198"/>
      <c r="J350" s="198"/>
      <c r="K350" s="198"/>
      <c r="M350" s="198"/>
      <c r="N350" s="198"/>
      <c r="O350" s="198"/>
      <c r="P350" s="198"/>
      <c r="Q350" s="198"/>
      <c r="R350" s="198"/>
      <c r="S350" s="198"/>
      <c r="T350" s="198"/>
      <c r="U350" s="198"/>
      <c r="V350" s="198"/>
      <c r="W350" s="198"/>
      <c r="X350" s="198"/>
      <c r="Y350" s="198"/>
      <c r="Z350" s="198"/>
      <c r="AA350" s="198"/>
    </row>
    <row r="351">
      <c r="A351" s="201"/>
      <c r="B351" s="201"/>
      <c r="C351" s="198"/>
      <c r="D351" s="198"/>
      <c r="E351" s="198"/>
      <c r="F351" s="198"/>
      <c r="G351" s="198"/>
      <c r="H351" s="198"/>
      <c r="I351" s="198"/>
      <c r="J351" s="198"/>
      <c r="K351" s="198"/>
      <c r="M351" s="198"/>
      <c r="N351" s="198"/>
      <c r="O351" s="198"/>
      <c r="P351" s="198"/>
      <c r="Q351" s="198"/>
      <c r="R351" s="198"/>
      <c r="S351" s="198"/>
      <c r="T351" s="198"/>
      <c r="U351" s="198"/>
      <c r="V351" s="198"/>
      <c r="W351" s="198"/>
      <c r="X351" s="198"/>
      <c r="Y351" s="198"/>
      <c r="Z351" s="198"/>
      <c r="AA351" s="198"/>
    </row>
    <row r="352">
      <c r="A352" s="201"/>
      <c r="B352" s="201"/>
      <c r="C352" s="198"/>
      <c r="D352" s="198"/>
      <c r="E352" s="198"/>
      <c r="F352" s="198"/>
      <c r="G352" s="198"/>
      <c r="H352" s="198"/>
      <c r="I352" s="198"/>
      <c r="J352" s="198"/>
      <c r="K352" s="198"/>
      <c r="M352" s="198"/>
      <c r="N352" s="198"/>
      <c r="O352" s="198"/>
      <c r="P352" s="198"/>
      <c r="Q352" s="198"/>
      <c r="R352" s="198"/>
      <c r="S352" s="198"/>
      <c r="T352" s="198"/>
      <c r="U352" s="198"/>
      <c r="V352" s="198"/>
      <c r="W352" s="198"/>
      <c r="X352" s="198"/>
      <c r="Y352" s="198"/>
      <c r="Z352" s="198"/>
      <c r="AA352" s="198"/>
    </row>
    <row r="353">
      <c r="A353" s="201"/>
      <c r="B353" s="201"/>
      <c r="C353" s="198"/>
      <c r="D353" s="198"/>
      <c r="E353" s="198"/>
      <c r="F353" s="198"/>
      <c r="G353" s="198"/>
      <c r="H353" s="198"/>
      <c r="I353" s="198"/>
      <c r="J353" s="198"/>
      <c r="K353" s="198"/>
      <c r="M353" s="198"/>
      <c r="N353" s="198"/>
      <c r="O353" s="198"/>
      <c r="P353" s="198"/>
      <c r="Q353" s="198"/>
      <c r="R353" s="198"/>
      <c r="S353" s="198"/>
      <c r="T353" s="198"/>
      <c r="U353" s="198"/>
      <c r="V353" s="198"/>
      <c r="W353" s="198"/>
      <c r="X353" s="198"/>
      <c r="Y353" s="198"/>
      <c r="Z353" s="198"/>
      <c r="AA353" s="198"/>
    </row>
    <row r="354">
      <c r="A354" s="201"/>
      <c r="B354" s="201"/>
      <c r="C354" s="198"/>
      <c r="D354" s="198"/>
      <c r="E354" s="198"/>
      <c r="F354" s="198"/>
      <c r="G354" s="198"/>
      <c r="H354" s="198"/>
      <c r="I354" s="198"/>
      <c r="J354" s="198"/>
      <c r="K354" s="198"/>
      <c r="M354" s="198"/>
      <c r="N354" s="198"/>
      <c r="O354" s="198"/>
      <c r="P354" s="198"/>
      <c r="Q354" s="198"/>
      <c r="R354" s="198"/>
      <c r="S354" s="198"/>
      <c r="T354" s="198"/>
      <c r="U354" s="198"/>
      <c r="V354" s="198"/>
      <c r="W354" s="198"/>
      <c r="X354" s="198"/>
      <c r="Y354" s="198"/>
      <c r="Z354" s="198"/>
      <c r="AA354" s="198"/>
    </row>
    <row r="355">
      <c r="A355" s="201"/>
      <c r="B355" s="201"/>
      <c r="C355" s="198"/>
      <c r="D355" s="198"/>
      <c r="E355" s="198"/>
      <c r="F355" s="198"/>
      <c r="G355" s="198"/>
      <c r="H355" s="198"/>
      <c r="I355" s="198"/>
      <c r="J355" s="198"/>
      <c r="K355" s="198"/>
      <c r="M355" s="198"/>
      <c r="N355" s="198"/>
      <c r="O355" s="198"/>
      <c r="P355" s="198"/>
      <c r="Q355" s="198"/>
      <c r="R355" s="198"/>
      <c r="S355" s="198"/>
      <c r="T355" s="198"/>
      <c r="U355" s="198"/>
      <c r="V355" s="198"/>
      <c r="W355" s="198"/>
      <c r="X355" s="198"/>
      <c r="Y355" s="198"/>
      <c r="Z355" s="198"/>
      <c r="AA355" s="198"/>
    </row>
    <row r="356">
      <c r="A356" s="201"/>
      <c r="B356" s="201"/>
      <c r="C356" s="198"/>
      <c r="D356" s="198"/>
      <c r="E356" s="198"/>
      <c r="F356" s="198"/>
      <c r="G356" s="198"/>
      <c r="H356" s="198"/>
      <c r="I356" s="198"/>
      <c r="J356" s="198"/>
      <c r="K356" s="198"/>
      <c r="M356" s="198"/>
      <c r="N356" s="198"/>
      <c r="O356" s="198"/>
      <c r="P356" s="198"/>
      <c r="Q356" s="198"/>
      <c r="R356" s="198"/>
      <c r="S356" s="198"/>
      <c r="T356" s="198"/>
      <c r="U356" s="198"/>
      <c r="V356" s="198"/>
      <c r="W356" s="198"/>
      <c r="X356" s="198"/>
      <c r="Y356" s="198"/>
      <c r="Z356" s="198"/>
      <c r="AA356" s="198"/>
    </row>
    <row r="357">
      <c r="A357" s="201"/>
      <c r="B357" s="201"/>
      <c r="C357" s="198"/>
      <c r="D357" s="198"/>
      <c r="E357" s="198"/>
      <c r="F357" s="198"/>
      <c r="G357" s="198"/>
      <c r="H357" s="198"/>
      <c r="I357" s="198"/>
      <c r="J357" s="198"/>
      <c r="K357" s="198"/>
      <c r="M357" s="198"/>
      <c r="N357" s="198"/>
      <c r="O357" s="198"/>
      <c r="P357" s="198"/>
      <c r="Q357" s="198"/>
      <c r="R357" s="198"/>
      <c r="S357" s="198"/>
      <c r="T357" s="198"/>
      <c r="U357" s="198"/>
      <c r="V357" s="198"/>
      <c r="W357" s="198"/>
      <c r="X357" s="198"/>
      <c r="Y357" s="198"/>
      <c r="Z357" s="198"/>
      <c r="AA357" s="198"/>
    </row>
    <row r="358">
      <c r="A358" s="201"/>
      <c r="B358" s="201"/>
      <c r="C358" s="198"/>
      <c r="D358" s="198"/>
      <c r="E358" s="198"/>
      <c r="F358" s="198"/>
      <c r="G358" s="198"/>
      <c r="H358" s="198"/>
      <c r="I358" s="198"/>
      <c r="J358" s="198"/>
      <c r="K358" s="198"/>
      <c r="M358" s="198"/>
      <c r="N358" s="198"/>
      <c r="O358" s="198"/>
      <c r="P358" s="198"/>
      <c r="Q358" s="198"/>
      <c r="R358" s="198"/>
      <c r="S358" s="198"/>
      <c r="T358" s="198"/>
      <c r="U358" s="198"/>
      <c r="V358" s="198"/>
      <c r="W358" s="198"/>
      <c r="X358" s="198"/>
      <c r="Y358" s="198"/>
      <c r="Z358" s="198"/>
      <c r="AA358" s="198"/>
    </row>
    <row r="359">
      <c r="A359" s="201"/>
      <c r="B359" s="201"/>
      <c r="C359" s="198"/>
      <c r="D359" s="198"/>
      <c r="E359" s="198"/>
      <c r="F359" s="198"/>
      <c r="G359" s="198"/>
      <c r="H359" s="198"/>
      <c r="I359" s="198"/>
      <c r="J359" s="198"/>
      <c r="K359" s="198"/>
      <c r="M359" s="198"/>
      <c r="N359" s="198"/>
      <c r="O359" s="198"/>
      <c r="P359" s="198"/>
      <c r="Q359" s="198"/>
      <c r="R359" s="198"/>
      <c r="S359" s="198"/>
      <c r="T359" s="198"/>
      <c r="U359" s="198"/>
      <c r="V359" s="198"/>
      <c r="W359" s="198"/>
      <c r="X359" s="198"/>
      <c r="Y359" s="198"/>
      <c r="Z359" s="198"/>
      <c r="AA359" s="198"/>
    </row>
    <row r="360">
      <c r="A360" s="201"/>
      <c r="B360" s="201"/>
      <c r="C360" s="198"/>
      <c r="D360" s="198"/>
      <c r="E360" s="198"/>
      <c r="F360" s="198"/>
      <c r="G360" s="198"/>
      <c r="H360" s="198"/>
      <c r="I360" s="198"/>
      <c r="J360" s="198"/>
      <c r="K360" s="198"/>
      <c r="M360" s="198"/>
      <c r="N360" s="198"/>
      <c r="O360" s="198"/>
      <c r="P360" s="198"/>
      <c r="Q360" s="198"/>
      <c r="R360" s="198"/>
      <c r="S360" s="198"/>
      <c r="T360" s="198"/>
      <c r="U360" s="198"/>
      <c r="V360" s="198"/>
      <c r="W360" s="198"/>
      <c r="X360" s="198"/>
      <c r="Y360" s="198"/>
      <c r="Z360" s="198"/>
      <c r="AA360" s="198"/>
    </row>
    <row r="361">
      <c r="A361" s="201"/>
      <c r="B361" s="201"/>
      <c r="C361" s="198"/>
      <c r="D361" s="198"/>
      <c r="E361" s="198"/>
      <c r="F361" s="198"/>
      <c r="G361" s="198"/>
      <c r="H361" s="198"/>
      <c r="I361" s="198"/>
      <c r="J361" s="198"/>
      <c r="K361" s="198"/>
      <c r="M361" s="198"/>
      <c r="N361" s="198"/>
      <c r="O361" s="198"/>
      <c r="P361" s="198"/>
      <c r="Q361" s="198"/>
      <c r="R361" s="198"/>
      <c r="S361" s="198"/>
      <c r="T361" s="198"/>
      <c r="U361" s="198"/>
      <c r="V361" s="198"/>
      <c r="W361" s="198"/>
      <c r="X361" s="198"/>
      <c r="Y361" s="198"/>
      <c r="Z361" s="198"/>
      <c r="AA361" s="198"/>
    </row>
    <row r="362">
      <c r="A362" s="201"/>
      <c r="B362" s="201"/>
      <c r="C362" s="198"/>
      <c r="D362" s="198"/>
      <c r="E362" s="198"/>
      <c r="F362" s="198"/>
      <c r="G362" s="198"/>
      <c r="H362" s="198"/>
      <c r="I362" s="198"/>
      <c r="J362" s="198"/>
      <c r="K362" s="198"/>
      <c r="M362" s="198"/>
      <c r="N362" s="198"/>
      <c r="O362" s="198"/>
      <c r="P362" s="198"/>
      <c r="Q362" s="198"/>
      <c r="R362" s="198"/>
      <c r="S362" s="198"/>
      <c r="T362" s="198"/>
      <c r="U362" s="198"/>
      <c r="V362" s="198"/>
      <c r="W362" s="198"/>
      <c r="X362" s="198"/>
      <c r="Y362" s="198"/>
      <c r="Z362" s="198"/>
      <c r="AA362" s="198"/>
    </row>
    <row r="363">
      <c r="A363" s="201"/>
      <c r="B363" s="201"/>
      <c r="C363" s="198"/>
      <c r="D363" s="198"/>
      <c r="E363" s="198"/>
      <c r="F363" s="198"/>
      <c r="G363" s="198"/>
      <c r="H363" s="198"/>
      <c r="I363" s="198"/>
      <c r="J363" s="198"/>
      <c r="K363" s="198"/>
      <c r="M363" s="198"/>
      <c r="N363" s="198"/>
      <c r="O363" s="198"/>
      <c r="P363" s="198"/>
      <c r="Q363" s="198"/>
      <c r="R363" s="198"/>
      <c r="S363" s="198"/>
      <c r="T363" s="198"/>
      <c r="U363" s="198"/>
      <c r="V363" s="198"/>
      <c r="W363" s="198"/>
      <c r="X363" s="198"/>
      <c r="Y363" s="198"/>
      <c r="Z363" s="198"/>
      <c r="AA363" s="198"/>
    </row>
    <row r="364">
      <c r="A364" s="201"/>
      <c r="B364" s="201"/>
      <c r="C364" s="198"/>
      <c r="D364" s="198"/>
      <c r="E364" s="198"/>
      <c r="F364" s="198"/>
      <c r="G364" s="198"/>
      <c r="H364" s="198"/>
      <c r="I364" s="198"/>
      <c r="J364" s="198"/>
      <c r="K364" s="198"/>
      <c r="M364" s="198"/>
      <c r="N364" s="198"/>
      <c r="O364" s="198"/>
      <c r="P364" s="198"/>
      <c r="Q364" s="198"/>
      <c r="R364" s="198"/>
      <c r="S364" s="198"/>
      <c r="T364" s="198"/>
      <c r="U364" s="198"/>
      <c r="V364" s="198"/>
      <c r="W364" s="198"/>
      <c r="X364" s="198"/>
      <c r="Y364" s="198"/>
      <c r="Z364" s="198"/>
      <c r="AA364" s="198"/>
    </row>
    <row r="365">
      <c r="A365" s="201"/>
      <c r="B365" s="201"/>
      <c r="C365" s="198"/>
      <c r="D365" s="198"/>
      <c r="E365" s="198"/>
      <c r="F365" s="198"/>
      <c r="G365" s="198"/>
      <c r="H365" s="198"/>
      <c r="I365" s="198"/>
      <c r="J365" s="198"/>
      <c r="K365" s="198"/>
      <c r="M365" s="198"/>
      <c r="N365" s="198"/>
      <c r="O365" s="198"/>
      <c r="P365" s="198"/>
      <c r="Q365" s="198"/>
      <c r="R365" s="198"/>
      <c r="S365" s="198"/>
      <c r="T365" s="198"/>
      <c r="U365" s="198"/>
      <c r="V365" s="198"/>
      <c r="W365" s="198"/>
      <c r="X365" s="198"/>
      <c r="Y365" s="198"/>
      <c r="Z365" s="198"/>
      <c r="AA365" s="198"/>
    </row>
    <row r="366">
      <c r="A366" s="201"/>
      <c r="B366" s="201"/>
      <c r="C366" s="198"/>
      <c r="D366" s="198"/>
      <c r="E366" s="198"/>
      <c r="F366" s="198"/>
      <c r="G366" s="198"/>
      <c r="H366" s="198"/>
      <c r="I366" s="198"/>
      <c r="J366" s="198"/>
      <c r="K366" s="198"/>
      <c r="M366" s="198"/>
      <c r="N366" s="198"/>
      <c r="O366" s="198"/>
      <c r="P366" s="198"/>
      <c r="Q366" s="198"/>
      <c r="R366" s="198"/>
      <c r="S366" s="198"/>
      <c r="T366" s="198"/>
      <c r="U366" s="198"/>
      <c r="V366" s="198"/>
      <c r="W366" s="198"/>
      <c r="X366" s="198"/>
      <c r="Y366" s="198"/>
      <c r="Z366" s="198"/>
      <c r="AA366" s="198"/>
    </row>
    <row r="367">
      <c r="A367" s="201"/>
      <c r="B367" s="201"/>
      <c r="C367" s="198"/>
      <c r="D367" s="198"/>
      <c r="E367" s="198"/>
      <c r="F367" s="198"/>
      <c r="G367" s="198"/>
      <c r="H367" s="198"/>
      <c r="I367" s="198"/>
      <c r="J367" s="198"/>
      <c r="K367" s="198"/>
      <c r="M367" s="198"/>
      <c r="N367" s="198"/>
      <c r="O367" s="198"/>
      <c r="P367" s="198"/>
      <c r="Q367" s="198"/>
      <c r="R367" s="198"/>
      <c r="S367" s="198"/>
      <c r="T367" s="198"/>
      <c r="U367" s="198"/>
      <c r="V367" s="198"/>
      <c r="W367" s="198"/>
      <c r="X367" s="198"/>
      <c r="Y367" s="198"/>
      <c r="Z367" s="198"/>
      <c r="AA367" s="198"/>
    </row>
    <row r="368">
      <c r="A368" s="201"/>
      <c r="B368" s="201"/>
      <c r="C368" s="198"/>
      <c r="D368" s="198"/>
      <c r="E368" s="198"/>
      <c r="F368" s="198"/>
      <c r="G368" s="198"/>
      <c r="H368" s="198"/>
      <c r="I368" s="198"/>
      <c r="J368" s="198"/>
      <c r="K368" s="198"/>
      <c r="M368" s="198"/>
      <c r="N368" s="198"/>
      <c r="O368" s="198"/>
      <c r="P368" s="198"/>
      <c r="Q368" s="198"/>
      <c r="R368" s="198"/>
      <c r="S368" s="198"/>
      <c r="T368" s="198"/>
      <c r="U368" s="198"/>
      <c r="V368" s="198"/>
      <c r="W368" s="198"/>
      <c r="X368" s="198"/>
      <c r="Y368" s="198"/>
      <c r="Z368" s="198"/>
      <c r="AA368" s="198"/>
    </row>
    <row r="369">
      <c r="A369" s="201"/>
      <c r="B369" s="201"/>
      <c r="C369" s="198"/>
      <c r="D369" s="198"/>
      <c r="E369" s="198"/>
      <c r="F369" s="198"/>
      <c r="G369" s="198"/>
      <c r="H369" s="198"/>
      <c r="I369" s="198"/>
      <c r="J369" s="198"/>
      <c r="K369" s="198"/>
      <c r="M369" s="198"/>
      <c r="N369" s="198"/>
      <c r="O369" s="198"/>
      <c r="P369" s="198"/>
      <c r="Q369" s="198"/>
      <c r="R369" s="198"/>
      <c r="S369" s="198"/>
      <c r="T369" s="198"/>
      <c r="U369" s="198"/>
      <c r="V369" s="198"/>
      <c r="W369" s="198"/>
      <c r="X369" s="198"/>
      <c r="Y369" s="198"/>
      <c r="Z369" s="198"/>
      <c r="AA369" s="198"/>
    </row>
    <row r="370">
      <c r="A370" s="201"/>
      <c r="B370" s="201"/>
      <c r="C370" s="198"/>
      <c r="D370" s="198"/>
      <c r="E370" s="198"/>
      <c r="F370" s="198"/>
      <c r="G370" s="198"/>
      <c r="H370" s="198"/>
      <c r="I370" s="198"/>
      <c r="J370" s="198"/>
      <c r="K370" s="198"/>
      <c r="M370" s="198"/>
      <c r="N370" s="198"/>
      <c r="O370" s="198"/>
      <c r="P370" s="198"/>
      <c r="Q370" s="198"/>
      <c r="R370" s="198"/>
      <c r="S370" s="198"/>
      <c r="T370" s="198"/>
      <c r="U370" s="198"/>
      <c r="V370" s="198"/>
      <c r="W370" s="198"/>
      <c r="X370" s="198"/>
      <c r="Y370" s="198"/>
      <c r="Z370" s="198"/>
      <c r="AA370" s="198"/>
    </row>
    <row r="371">
      <c r="A371" s="201"/>
      <c r="B371" s="201"/>
      <c r="C371" s="198"/>
      <c r="D371" s="198"/>
      <c r="E371" s="198"/>
      <c r="F371" s="198"/>
      <c r="G371" s="198"/>
      <c r="H371" s="198"/>
      <c r="I371" s="198"/>
      <c r="J371" s="198"/>
      <c r="K371" s="198"/>
      <c r="M371" s="198"/>
      <c r="N371" s="198"/>
      <c r="O371" s="198"/>
      <c r="P371" s="198"/>
      <c r="Q371" s="198"/>
      <c r="R371" s="198"/>
      <c r="S371" s="198"/>
      <c r="T371" s="198"/>
      <c r="U371" s="198"/>
      <c r="V371" s="198"/>
      <c r="W371" s="198"/>
      <c r="X371" s="198"/>
      <c r="Y371" s="198"/>
      <c r="Z371" s="198"/>
      <c r="AA371" s="198"/>
    </row>
    <row r="372">
      <c r="A372" s="201"/>
      <c r="B372" s="201"/>
      <c r="C372" s="198"/>
      <c r="D372" s="198"/>
      <c r="E372" s="198"/>
      <c r="F372" s="198"/>
      <c r="G372" s="198"/>
      <c r="H372" s="198"/>
      <c r="I372" s="198"/>
      <c r="J372" s="198"/>
      <c r="K372" s="198"/>
      <c r="M372" s="198"/>
      <c r="N372" s="198"/>
      <c r="O372" s="198"/>
      <c r="P372" s="198"/>
      <c r="Q372" s="198"/>
      <c r="R372" s="198"/>
      <c r="S372" s="198"/>
      <c r="T372" s="198"/>
      <c r="U372" s="198"/>
      <c r="V372" s="198"/>
      <c r="W372" s="198"/>
      <c r="X372" s="198"/>
      <c r="Y372" s="198"/>
      <c r="Z372" s="198"/>
      <c r="AA372" s="198"/>
    </row>
    <row r="373">
      <c r="A373" s="201"/>
      <c r="B373" s="201"/>
      <c r="C373" s="198"/>
      <c r="D373" s="198"/>
      <c r="E373" s="198"/>
      <c r="F373" s="198"/>
      <c r="G373" s="198"/>
      <c r="H373" s="198"/>
      <c r="I373" s="198"/>
      <c r="J373" s="198"/>
      <c r="K373" s="198"/>
      <c r="M373" s="198"/>
      <c r="N373" s="198"/>
      <c r="O373" s="198"/>
      <c r="P373" s="198"/>
      <c r="Q373" s="198"/>
      <c r="R373" s="198"/>
      <c r="S373" s="198"/>
      <c r="T373" s="198"/>
      <c r="U373" s="198"/>
      <c r="V373" s="198"/>
      <c r="W373" s="198"/>
      <c r="X373" s="198"/>
      <c r="Y373" s="198"/>
      <c r="Z373" s="198"/>
      <c r="AA373" s="198"/>
    </row>
    <row r="374">
      <c r="A374" s="201"/>
      <c r="B374" s="201"/>
      <c r="C374" s="198"/>
      <c r="D374" s="198"/>
      <c r="E374" s="198"/>
      <c r="F374" s="198"/>
      <c r="G374" s="198"/>
      <c r="H374" s="198"/>
      <c r="I374" s="198"/>
      <c r="J374" s="198"/>
      <c r="K374" s="198"/>
      <c r="M374" s="198"/>
      <c r="N374" s="198"/>
      <c r="O374" s="198"/>
      <c r="P374" s="198"/>
      <c r="Q374" s="198"/>
      <c r="R374" s="198"/>
      <c r="S374" s="198"/>
      <c r="T374" s="198"/>
      <c r="U374" s="198"/>
      <c r="V374" s="198"/>
      <c r="W374" s="198"/>
      <c r="X374" s="198"/>
      <c r="Y374" s="198"/>
      <c r="Z374" s="198"/>
      <c r="AA374" s="198"/>
    </row>
    <row r="375">
      <c r="A375" s="201"/>
      <c r="B375" s="201"/>
      <c r="C375" s="198"/>
      <c r="D375" s="198"/>
      <c r="E375" s="198"/>
      <c r="F375" s="198"/>
      <c r="G375" s="198"/>
      <c r="H375" s="198"/>
      <c r="I375" s="198"/>
      <c r="J375" s="198"/>
      <c r="K375" s="198"/>
      <c r="M375" s="198"/>
      <c r="N375" s="198"/>
      <c r="O375" s="198"/>
      <c r="P375" s="198"/>
      <c r="Q375" s="198"/>
      <c r="R375" s="198"/>
      <c r="S375" s="198"/>
      <c r="T375" s="198"/>
      <c r="U375" s="198"/>
      <c r="V375" s="198"/>
      <c r="W375" s="198"/>
      <c r="X375" s="198"/>
      <c r="Y375" s="198"/>
      <c r="Z375" s="198"/>
      <c r="AA375" s="198"/>
    </row>
    <row r="376">
      <c r="A376" s="201"/>
      <c r="B376" s="201"/>
      <c r="C376" s="198"/>
      <c r="D376" s="198"/>
      <c r="E376" s="198"/>
      <c r="F376" s="198"/>
      <c r="G376" s="198"/>
      <c r="H376" s="198"/>
      <c r="I376" s="198"/>
      <c r="J376" s="198"/>
      <c r="K376" s="198"/>
      <c r="M376" s="198"/>
      <c r="N376" s="198"/>
      <c r="O376" s="198"/>
      <c r="P376" s="198"/>
      <c r="Q376" s="198"/>
      <c r="R376" s="198"/>
      <c r="S376" s="198"/>
      <c r="T376" s="198"/>
      <c r="U376" s="198"/>
      <c r="V376" s="198"/>
      <c r="W376" s="198"/>
      <c r="X376" s="198"/>
      <c r="Y376" s="198"/>
      <c r="Z376" s="198"/>
      <c r="AA376" s="198"/>
    </row>
    <row r="377">
      <c r="A377" s="201"/>
      <c r="B377" s="201"/>
      <c r="C377" s="198"/>
      <c r="D377" s="198"/>
      <c r="E377" s="198"/>
      <c r="F377" s="198"/>
      <c r="G377" s="198"/>
      <c r="H377" s="198"/>
      <c r="I377" s="198"/>
      <c r="J377" s="198"/>
      <c r="K377" s="198"/>
      <c r="M377" s="198"/>
      <c r="N377" s="198"/>
      <c r="O377" s="198"/>
      <c r="P377" s="198"/>
      <c r="Q377" s="198"/>
      <c r="R377" s="198"/>
      <c r="S377" s="198"/>
      <c r="T377" s="198"/>
      <c r="U377" s="198"/>
      <c r="V377" s="198"/>
      <c r="W377" s="198"/>
      <c r="X377" s="198"/>
      <c r="Y377" s="198"/>
      <c r="Z377" s="198"/>
      <c r="AA377" s="198"/>
    </row>
    <row r="378">
      <c r="A378" s="201"/>
      <c r="B378" s="201"/>
      <c r="C378" s="198"/>
      <c r="D378" s="198"/>
      <c r="E378" s="198"/>
      <c r="F378" s="198"/>
      <c r="G378" s="198"/>
      <c r="H378" s="198"/>
      <c r="I378" s="198"/>
      <c r="J378" s="198"/>
      <c r="K378" s="198"/>
      <c r="M378" s="198"/>
      <c r="N378" s="198"/>
      <c r="O378" s="198"/>
      <c r="P378" s="198"/>
      <c r="Q378" s="198"/>
      <c r="R378" s="198"/>
      <c r="S378" s="198"/>
      <c r="T378" s="198"/>
      <c r="U378" s="198"/>
      <c r="V378" s="198"/>
      <c r="W378" s="198"/>
      <c r="X378" s="198"/>
      <c r="Y378" s="198"/>
      <c r="Z378" s="198"/>
      <c r="AA378" s="198"/>
    </row>
    <row r="379">
      <c r="A379" s="201"/>
      <c r="B379" s="201"/>
      <c r="C379" s="198"/>
      <c r="D379" s="198"/>
      <c r="E379" s="198"/>
      <c r="F379" s="198"/>
      <c r="G379" s="198"/>
      <c r="H379" s="198"/>
      <c r="I379" s="198"/>
      <c r="J379" s="198"/>
      <c r="K379" s="198"/>
      <c r="M379" s="198"/>
      <c r="N379" s="198"/>
      <c r="O379" s="198"/>
      <c r="P379" s="198"/>
      <c r="Q379" s="198"/>
      <c r="R379" s="198"/>
      <c r="S379" s="198"/>
      <c r="T379" s="198"/>
      <c r="U379" s="198"/>
      <c r="V379" s="198"/>
      <c r="W379" s="198"/>
      <c r="X379" s="198"/>
      <c r="Y379" s="198"/>
      <c r="Z379" s="198"/>
      <c r="AA379" s="198"/>
    </row>
    <row r="380">
      <c r="A380" s="201"/>
      <c r="B380" s="201"/>
      <c r="C380" s="198"/>
      <c r="D380" s="198"/>
      <c r="E380" s="198"/>
      <c r="F380" s="198"/>
      <c r="G380" s="198"/>
      <c r="H380" s="198"/>
      <c r="I380" s="198"/>
      <c r="J380" s="198"/>
      <c r="K380" s="198"/>
      <c r="M380" s="198"/>
      <c r="N380" s="198"/>
      <c r="O380" s="198"/>
      <c r="P380" s="198"/>
      <c r="Q380" s="198"/>
      <c r="R380" s="198"/>
      <c r="S380" s="198"/>
      <c r="T380" s="198"/>
      <c r="U380" s="198"/>
      <c r="V380" s="198"/>
      <c r="W380" s="198"/>
      <c r="X380" s="198"/>
      <c r="Y380" s="198"/>
      <c r="Z380" s="198"/>
      <c r="AA380" s="198"/>
    </row>
    <row r="381">
      <c r="A381" s="201"/>
      <c r="B381" s="201"/>
      <c r="C381" s="198"/>
      <c r="D381" s="198"/>
      <c r="E381" s="198"/>
      <c r="F381" s="198"/>
      <c r="G381" s="198"/>
      <c r="H381" s="198"/>
      <c r="I381" s="198"/>
      <c r="J381" s="198"/>
      <c r="K381" s="198"/>
      <c r="M381" s="198"/>
      <c r="N381" s="198"/>
      <c r="O381" s="198"/>
      <c r="P381" s="198"/>
      <c r="Q381" s="198"/>
      <c r="R381" s="198"/>
      <c r="S381" s="198"/>
      <c r="T381" s="198"/>
      <c r="U381" s="198"/>
      <c r="V381" s="198"/>
      <c r="W381" s="198"/>
      <c r="X381" s="198"/>
      <c r="Y381" s="198"/>
      <c r="Z381" s="198"/>
      <c r="AA381" s="198"/>
    </row>
    <row r="382">
      <c r="A382" s="201"/>
      <c r="B382" s="201"/>
      <c r="C382" s="198"/>
      <c r="D382" s="198"/>
      <c r="E382" s="198"/>
      <c r="F382" s="198"/>
      <c r="G382" s="198"/>
      <c r="H382" s="198"/>
      <c r="I382" s="198"/>
      <c r="J382" s="198"/>
      <c r="K382" s="198"/>
      <c r="M382" s="198"/>
      <c r="N382" s="198"/>
      <c r="O382" s="198"/>
      <c r="P382" s="198"/>
      <c r="Q382" s="198"/>
      <c r="R382" s="198"/>
      <c r="S382" s="198"/>
      <c r="T382" s="198"/>
      <c r="U382" s="198"/>
      <c r="V382" s="198"/>
      <c r="W382" s="198"/>
      <c r="X382" s="198"/>
      <c r="Y382" s="198"/>
      <c r="Z382" s="198"/>
      <c r="AA382" s="198"/>
    </row>
    <row r="383">
      <c r="A383" s="201"/>
      <c r="B383" s="201"/>
      <c r="C383" s="198"/>
      <c r="D383" s="198"/>
      <c r="E383" s="198"/>
      <c r="F383" s="198"/>
      <c r="G383" s="198"/>
      <c r="H383" s="198"/>
      <c r="I383" s="198"/>
      <c r="J383" s="198"/>
      <c r="K383" s="198"/>
      <c r="M383" s="198"/>
      <c r="N383" s="198"/>
      <c r="O383" s="198"/>
      <c r="P383" s="198"/>
      <c r="Q383" s="198"/>
      <c r="R383" s="198"/>
      <c r="S383" s="198"/>
      <c r="T383" s="198"/>
      <c r="U383" s="198"/>
      <c r="V383" s="198"/>
      <c r="W383" s="198"/>
      <c r="X383" s="198"/>
      <c r="Y383" s="198"/>
      <c r="Z383" s="198"/>
      <c r="AA383" s="198"/>
    </row>
    <row r="384">
      <c r="A384" s="201"/>
      <c r="B384" s="201"/>
      <c r="C384" s="198"/>
      <c r="D384" s="198"/>
      <c r="E384" s="198"/>
      <c r="F384" s="198"/>
      <c r="G384" s="198"/>
      <c r="H384" s="198"/>
      <c r="I384" s="198"/>
      <c r="J384" s="198"/>
      <c r="K384" s="198"/>
      <c r="M384" s="198"/>
      <c r="N384" s="198"/>
      <c r="O384" s="198"/>
      <c r="P384" s="198"/>
      <c r="Q384" s="198"/>
      <c r="R384" s="198"/>
      <c r="S384" s="198"/>
      <c r="T384" s="198"/>
      <c r="U384" s="198"/>
      <c r="V384" s="198"/>
      <c r="W384" s="198"/>
      <c r="X384" s="198"/>
      <c r="Y384" s="198"/>
      <c r="Z384" s="198"/>
      <c r="AA384" s="198"/>
    </row>
    <row r="385">
      <c r="A385" s="201"/>
      <c r="B385" s="201"/>
      <c r="C385" s="198"/>
      <c r="D385" s="198"/>
      <c r="E385" s="198"/>
      <c r="F385" s="198"/>
      <c r="G385" s="198"/>
      <c r="H385" s="198"/>
      <c r="I385" s="198"/>
      <c r="J385" s="198"/>
      <c r="K385" s="198"/>
      <c r="M385" s="198"/>
      <c r="N385" s="198"/>
      <c r="O385" s="198"/>
      <c r="P385" s="198"/>
      <c r="Q385" s="198"/>
      <c r="R385" s="198"/>
      <c r="S385" s="198"/>
      <c r="T385" s="198"/>
      <c r="U385" s="198"/>
      <c r="V385" s="198"/>
      <c r="W385" s="198"/>
      <c r="X385" s="198"/>
      <c r="Y385" s="198"/>
      <c r="Z385" s="198"/>
      <c r="AA385" s="198"/>
    </row>
    <row r="386">
      <c r="A386" s="201"/>
      <c r="B386" s="201"/>
      <c r="C386" s="198"/>
      <c r="D386" s="198"/>
      <c r="E386" s="198"/>
      <c r="F386" s="198"/>
      <c r="G386" s="198"/>
      <c r="H386" s="198"/>
      <c r="I386" s="198"/>
      <c r="J386" s="198"/>
      <c r="K386" s="198"/>
      <c r="M386" s="198"/>
      <c r="N386" s="198"/>
      <c r="O386" s="198"/>
      <c r="P386" s="198"/>
      <c r="Q386" s="198"/>
      <c r="R386" s="198"/>
      <c r="S386" s="198"/>
      <c r="T386" s="198"/>
      <c r="U386" s="198"/>
      <c r="V386" s="198"/>
      <c r="W386" s="198"/>
      <c r="X386" s="198"/>
      <c r="Y386" s="198"/>
      <c r="Z386" s="198"/>
      <c r="AA386" s="198"/>
    </row>
    <row r="387">
      <c r="A387" s="201"/>
      <c r="B387" s="201"/>
      <c r="C387" s="198"/>
      <c r="D387" s="198"/>
      <c r="E387" s="198"/>
      <c r="F387" s="198"/>
      <c r="G387" s="198"/>
      <c r="H387" s="198"/>
      <c r="I387" s="198"/>
      <c r="J387" s="198"/>
      <c r="K387" s="198"/>
      <c r="M387" s="198"/>
      <c r="N387" s="198"/>
      <c r="O387" s="198"/>
      <c r="P387" s="198"/>
      <c r="Q387" s="198"/>
      <c r="R387" s="198"/>
      <c r="S387" s="198"/>
      <c r="T387" s="198"/>
      <c r="U387" s="198"/>
      <c r="V387" s="198"/>
      <c r="W387" s="198"/>
      <c r="X387" s="198"/>
      <c r="Y387" s="198"/>
      <c r="Z387" s="198"/>
      <c r="AA387" s="198"/>
    </row>
    <row r="388">
      <c r="A388" s="201"/>
      <c r="B388" s="201"/>
      <c r="C388" s="198"/>
      <c r="D388" s="198"/>
      <c r="E388" s="198"/>
      <c r="F388" s="198"/>
      <c r="G388" s="198"/>
      <c r="H388" s="198"/>
      <c r="I388" s="198"/>
      <c r="J388" s="198"/>
      <c r="K388" s="198"/>
      <c r="M388" s="198"/>
      <c r="N388" s="198"/>
      <c r="O388" s="198"/>
      <c r="P388" s="198"/>
      <c r="Q388" s="198"/>
      <c r="R388" s="198"/>
      <c r="S388" s="198"/>
      <c r="T388" s="198"/>
      <c r="U388" s="198"/>
      <c r="V388" s="198"/>
      <c r="W388" s="198"/>
      <c r="X388" s="198"/>
      <c r="Y388" s="198"/>
      <c r="Z388" s="198"/>
      <c r="AA388" s="198"/>
    </row>
    <row r="389">
      <c r="A389" s="201"/>
      <c r="B389" s="201"/>
      <c r="C389" s="198"/>
      <c r="D389" s="198"/>
      <c r="E389" s="198"/>
      <c r="F389" s="198"/>
      <c r="G389" s="198"/>
      <c r="H389" s="198"/>
      <c r="I389" s="198"/>
      <c r="J389" s="198"/>
      <c r="K389" s="198"/>
      <c r="M389" s="198"/>
      <c r="N389" s="198"/>
      <c r="O389" s="198"/>
      <c r="P389" s="198"/>
      <c r="Q389" s="198"/>
      <c r="R389" s="198"/>
      <c r="S389" s="198"/>
      <c r="T389" s="198"/>
      <c r="U389" s="198"/>
      <c r="V389" s="198"/>
      <c r="W389" s="198"/>
      <c r="X389" s="198"/>
      <c r="Y389" s="198"/>
      <c r="Z389" s="198"/>
      <c r="AA389" s="198"/>
    </row>
    <row r="390">
      <c r="A390" s="201"/>
      <c r="B390" s="201"/>
      <c r="C390" s="198"/>
      <c r="D390" s="198"/>
      <c r="E390" s="198"/>
      <c r="F390" s="198"/>
      <c r="G390" s="198"/>
      <c r="H390" s="198"/>
      <c r="I390" s="198"/>
      <c r="J390" s="198"/>
      <c r="K390" s="198"/>
      <c r="M390" s="198"/>
      <c r="N390" s="198"/>
      <c r="O390" s="198"/>
      <c r="P390" s="198"/>
      <c r="Q390" s="198"/>
      <c r="R390" s="198"/>
      <c r="S390" s="198"/>
      <c r="T390" s="198"/>
      <c r="U390" s="198"/>
      <c r="V390" s="198"/>
      <c r="W390" s="198"/>
      <c r="X390" s="198"/>
      <c r="Y390" s="198"/>
      <c r="Z390" s="198"/>
      <c r="AA390" s="198"/>
    </row>
    <row r="391">
      <c r="A391" s="201"/>
      <c r="B391" s="201"/>
      <c r="C391" s="198"/>
      <c r="D391" s="198"/>
      <c r="E391" s="198"/>
      <c r="F391" s="198"/>
      <c r="G391" s="198"/>
      <c r="H391" s="198"/>
      <c r="I391" s="198"/>
      <c r="J391" s="198"/>
      <c r="K391" s="198"/>
      <c r="M391" s="198"/>
      <c r="N391" s="198"/>
      <c r="O391" s="198"/>
      <c r="P391" s="198"/>
      <c r="Q391" s="198"/>
      <c r="R391" s="198"/>
      <c r="S391" s="198"/>
      <c r="T391" s="198"/>
      <c r="U391" s="198"/>
      <c r="V391" s="198"/>
      <c r="W391" s="198"/>
      <c r="X391" s="198"/>
      <c r="Y391" s="198"/>
      <c r="Z391" s="198"/>
      <c r="AA391" s="198"/>
    </row>
    <row r="392">
      <c r="A392" s="201"/>
      <c r="B392" s="201"/>
      <c r="C392" s="198"/>
      <c r="D392" s="198"/>
      <c r="E392" s="198"/>
      <c r="F392" s="198"/>
      <c r="G392" s="198"/>
      <c r="H392" s="198"/>
      <c r="I392" s="198"/>
      <c r="J392" s="198"/>
      <c r="K392" s="198"/>
      <c r="M392" s="198"/>
      <c r="N392" s="198"/>
      <c r="O392" s="198"/>
      <c r="P392" s="198"/>
      <c r="Q392" s="198"/>
      <c r="R392" s="198"/>
      <c r="S392" s="198"/>
      <c r="T392" s="198"/>
      <c r="U392" s="198"/>
      <c r="V392" s="198"/>
      <c r="W392" s="198"/>
      <c r="X392" s="198"/>
      <c r="Y392" s="198"/>
      <c r="Z392" s="198"/>
      <c r="AA392" s="198"/>
    </row>
    <row r="393">
      <c r="A393" s="201"/>
      <c r="B393" s="201"/>
      <c r="C393" s="198"/>
      <c r="D393" s="198"/>
      <c r="E393" s="198"/>
      <c r="F393" s="198"/>
      <c r="G393" s="198"/>
      <c r="H393" s="198"/>
      <c r="I393" s="198"/>
      <c r="J393" s="198"/>
      <c r="K393" s="198"/>
      <c r="M393" s="198"/>
      <c r="N393" s="198"/>
      <c r="O393" s="198"/>
      <c r="P393" s="198"/>
      <c r="Q393" s="198"/>
      <c r="R393" s="198"/>
      <c r="S393" s="198"/>
      <c r="T393" s="198"/>
      <c r="U393" s="198"/>
      <c r="V393" s="198"/>
      <c r="W393" s="198"/>
      <c r="X393" s="198"/>
      <c r="Y393" s="198"/>
      <c r="Z393" s="198"/>
      <c r="AA393" s="198"/>
    </row>
    <row r="394">
      <c r="A394" s="201"/>
      <c r="B394" s="201"/>
      <c r="C394" s="198"/>
      <c r="D394" s="198"/>
      <c r="E394" s="198"/>
      <c r="F394" s="198"/>
      <c r="G394" s="198"/>
      <c r="H394" s="198"/>
      <c r="I394" s="198"/>
      <c r="J394" s="198"/>
      <c r="K394" s="198"/>
      <c r="M394" s="198"/>
      <c r="N394" s="198"/>
      <c r="O394" s="198"/>
      <c r="P394" s="198"/>
      <c r="Q394" s="198"/>
      <c r="R394" s="198"/>
      <c r="S394" s="198"/>
      <c r="T394" s="198"/>
      <c r="U394" s="198"/>
      <c r="V394" s="198"/>
      <c r="W394" s="198"/>
      <c r="X394" s="198"/>
      <c r="Y394" s="198"/>
      <c r="Z394" s="198"/>
      <c r="AA394" s="198"/>
    </row>
    <row r="395">
      <c r="A395" s="201"/>
      <c r="B395" s="201"/>
      <c r="C395" s="198"/>
      <c r="D395" s="198"/>
      <c r="E395" s="198"/>
      <c r="F395" s="198"/>
      <c r="G395" s="198"/>
      <c r="H395" s="198"/>
      <c r="I395" s="198"/>
      <c r="J395" s="198"/>
      <c r="K395" s="198"/>
      <c r="M395" s="198"/>
      <c r="N395" s="198"/>
      <c r="O395" s="198"/>
      <c r="P395" s="198"/>
      <c r="Q395" s="198"/>
      <c r="R395" s="198"/>
      <c r="S395" s="198"/>
      <c r="T395" s="198"/>
      <c r="U395" s="198"/>
      <c r="V395" s="198"/>
      <c r="W395" s="198"/>
      <c r="X395" s="198"/>
      <c r="Y395" s="198"/>
      <c r="Z395" s="198"/>
      <c r="AA395" s="198"/>
    </row>
    <row r="396">
      <c r="A396" s="201"/>
      <c r="B396" s="201"/>
      <c r="C396" s="198"/>
      <c r="D396" s="198"/>
      <c r="E396" s="198"/>
      <c r="F396" s="198"/>
      <c r="G396" s="198"/>
      <c r="H396" s="198"/>
      <c r="I396" s="198"/>
      <c r="J396" s="198"/>
      <c r="K396" s="198"/>
      <c r="M396" s="198"/>
      <c r="N396" s="198"/>
      <c r="O396" s="198"/>
      <c r="P396" s="198"/>
      <c r="Q396" s="198"/>
      <c r="R396" s="198"/>
      <c r="S396" s="198"/>
      <c r="T396" s="198"/>
      <c r="U396" s="198"/>
      <c r="V396" s="198"/>
      <c r="W396" s="198"/>
      <c r="X396" s="198"/>
      <c r="Y396" s="198"/>
      <c r="Z396" s="198"/>
      <c r="AA396" s="198"/>
    </row>
    <row r="397">
      <c r="A397" s="201"/>
      <c r="B397" s="201"/>
      <c r="C397" s="198"/>
      <c r="D397" s="198"/>
      <c r="E397" s="198"/>
      <c r="F397" s="198"/>
      <c r="G397" s="198"/>
      <c r="H397" s="198"/>
      <c r="I397" s="198"/>
      <c r="J397" s="198"/>
      <c r="K397" s="198"/>
      <c r="M397" s="198"/>
      <c r="N397" s="198"/>
      <c r="O397" s="198"/>
      <c r="P397" s="198"/>
      <c r="Q397" s="198"/>
      <c r="R397" s="198"/>
      <c r="S397" s="198"/>
      <c r="T397" s="198"/>
      <c r="U397" s="198"/>
      <c r="V397" s="198"/>
      <c r="W397" s="198"/>
      <c r="X397" s="198"/>
      <c r="Y397" s="198"/>
      <c r="Z397" s="198"/>
      <c r="AA397" s="198"/>
    </row>
    <row r="398">
      <c r="A398" s="201"/>
      <c r="B398" s="201"/>
      <c r="C398" s="198"/>
      <c r="D398" s="198"/>
      <c r="E398" s="198"/>
      <c r="F398" s="198"/>
      <c r="G398" s="198"/>
      <c r="H398" s="198"/>
      <c r="I398" s="198"/>
      <c r="J398" s="198"/>
      <c r="K398" s="198"/>
      <c r="M398" s="198"/>
      <c r="N398" s="198"/>
      <c r="O398" s="198"/>
      <c r="P398" s="198"/>
      <c r="Q398" s="198"/>
      <c r="R398" s="198"/>
      <c r="S398" s="198"/>
      <c r="T398" s="198"/>
      <c r="U398" s="198"/>
      <c r="V398" s="198"/>
      <c r="W398" s="198"/>
      <c r="X398" s="198"/>
      <c r="Y398" s="198"/>
      <c r="Z398" s="198"/>
      <c r="AA398" s="198"/>
    </row>
    <row r="399">
      <c r="A399" s="201"/>
      <c r="B399" s="201"/>
      <c r="C399" s="198"/>
      <c r="D399" s="198"/>
      <c r="E399" s="198"/>
      <c r="F399" s="198"/>
      <c r="G399" s="198"/>
      <c r="H399" s="198"/>
      <c r="I399" s="198"/>
      <c r="J399" s="198"/>
      <c r="K399" s="198"/>
      <c r="M399" s="198"/>
      <c r="N399" s="198"/>
      <c r="O399" s="198"/>
      <c r="P399" s="198"/>
      <c r="Q399" s="198"/>
      <c r="R399" s="198"/>
      <c r="S399" s="198"/>
      <c r="T399" s="198"/>
      <c r="U399" s="198"/>
      <c r="V399" s="198"/>
      <c r="W399" s="198"/>
      <c r="X399" s="198"/>
      <c r="Y399" s="198"/>
      <c r="Z399" s="198"/>
      <c r="AA399" s="198"/>
    </row>
    <row r="400">
      <c r="A400" s="201"/>
      <c r="B400" s="201"/>
      <c r="C400" s="198"/>
      <c r="D400" s="198"/>
      <c r="E400" s="198"/>
      <c r="F400" s="198"/>
      <c r="G400" s="198"/>
      <c r="H400" s="198"/>
      <c r="I400" s="198"/>
      <c r="J400" s="198"/>
      <c r="K400" s="198"/>
      <c r="M400" s="198"/>
      <c r="N400" s="198"/>
      <c r="O400" s="198"/>
      <c r="P400" s="198"/>
      <c r="Q400" s="198"/>
      <c r="R400" s="198"/>
      <c r="S400" s="198"/>
      <c r="T400" s="198"/>
      <c r="U400" s="198"/>
      <c r="V400" s="198"/>
      <c r="W400" s="198"/>
      <c r="X400" s="198"/>
      <c r="Y400" s="198"/>
      <c r="Z400" s="198"/>
      <c r="AA400" s="198"/>
    </row>
    <row r="401">
      <c r="A401" s="201"/>
      <c r="B401" s="201"/>
      <c r="C401" s="198"/>
      <c r="D401" s="198"/>
      <c r="E401" s="198"/>
      <c r="F401" s="198"/>
      <c r="G401" s="198"/>
      <c r="H401" s="198"/>
      <c r="I401" s="198"/>
      <c r="J401" s="198"/>
      <c r="K401" s="198"/>
      <c r="M401" s="198"/>
      <c r="N401" s="198"/>
      <c r="O401" s="198"/>
      <c r="P401" s="198"/>
      <c r="Q401" s="198"/>
      <c r="R401" s="198"/>
      <c r="S401" s="198"/>
      <c r="T401" s="198"/>
      <c r="U401" s="198"/>
      <c r="V401" s="198"/>
      <c r="W401" s="198"/>
      <c r="X401" s="198"/>
      <c r="Y401" s="198"/>
      <c r="Z401" s="198"/>
      <c r="AA401" s="198"/>
    </row>
    <row r="402">
      <c r="A402" s="201"/>
      <c r="B402" s="201"/>
      <c r="C402" s="198"/>
      <c r="D402" s="198"/>
      <c r="E402" s="198"/>
      <c r="F402" s="198"/>
      <c r="G402" s="198"/>
      <c r="H402" s="198"/>
      <c r="I402" s="198"/>
      <c r="J402" s="198"/>
      <c r="K402" s="198"/>
      <c r="M402" s="198"/>
      <c r="N402" s="198"/>
      <c r="O402" s="198"/>
      <c r="P402" s="198"/>
      <c r="Q402" s="198"/>
      <c r="R402" s="198"/>
      <c r="S402" s="198"/>
      <c r="T402" s="198"/>
      <c r="U402" s="198"/>
      <c r="V402" s="198"/>
      <c r="W402" s="198"/>
      <c r="X402" s="198"/>
      <c r="Y402" s="198"/>
      <c r="Z402" s="198"/>
      <c r="AA402" s="198"/>
    </row>
    <row r="403">
      <c r="A403" s="201"/>
      <c r="B403" s="201"/>
      <c r="C403" s="198"/>
      <c r="D403" s="198"/>
      <c r="E403" s="198"/>
      <c r="F403" s="198"/>
      <c r="G403" s="198"/>
      <c r="H403" s="198"/>
      <c r="I403" s="198"/>
      <c r="J403" s="198"/>
      <c r="K403" s="198"/>
      <c r="M403" s="198"/>
      <c r="N403" s="198"/>
      <c r="O403" s="198"/>
      <c r="P403" s="198"/>
      <c r="Q403" s="198"/>
      <c r="R403" s="198"/>
      <c r="S403" s="198"/>
      <c r="T403" s="198"/>
      <c r="U403" s="198"/>
      <c r="V403" s="198"/>
      <c r="W403" s="198"/>
      <c r="X403" s="198"/>
      <c r="Y403" s="198"/>
      <c r="Z403" s="198"/>
      <c r="AA403" s="198"/>
    </row>
    <row r="404">
      <c r="A404" s="201"/>
      <c r="B404" s="201"/>
      <c r="C404" s="198"/>
      <c r="D404" s="198"/>
      <c r="E404" s="198"/>
      <c r="F404" s="198"/>
      <c r="G404" s="198"/>
      <c r="H404" s="198"/>
      <c r="I404" s="198"/>
      <c r="J404" s="198"/>
      <c r="K404" s="198"/>
      <c r="M404" s="198"/>
      <c r="N404" s="198"/>
      <c r="O404" s="198"/>
      <c r="P404" s="198"/>
      <c r="Q404" s="198"/>
      <c r="R404" s="198"/>
      <c r="S404" s="198"/>
      <c r="T404" s="198"/>
      <c r="U404" s="198"/>
      <c r="V404" s="198"/>
      <c r="W404" s="198"/>
      <c r="X404" s="198"/>
      <c r="Y404" s="198"/>
      <c r="Z404" s="198"/>
      <c r="AA404" s="198"/>
    </row>
    <row r="405">
      <c r="A405" s="201"/>
      <c r="B405" s="201"/>
      <c r="C405" s="198"/>
      <c r="D405" s="198"/>
      <c r="E405" s="198"/>
      <c r="F405" s="198"/>
      <c r="G405" s="198"/>
      <c r="H405" s="198"/>
      <c r="I405" s="198"/>
      <c r="J405" s="198"/>
      <c r="K405" s="198"/>
      <c r="M405" s="198"/>
      <c r="N405" s="198"/>
      <c r="O405" s="198"/>
      <c r="P405" s="198"/>
      <c r="Q405" s="198"/>
      <c r="R405" s="198"/>
      <c r="S405" s="198"/>
      <c r="T405" s="198"/>
      <c r="U405" s="198"/>
      <c r="V405" s="198"/>
      <c r="W405" s="198"/>
      <c r="X405" s="198"/>
      <c r="Y405" s="198"/>
      <c r="Z405" s="198"/>
      <c r="AA405" s="198"/>
    </row>
    <row r="406">
      <c r="A406" s="201"/>
      <c r="B406" s="201"/>
      <c r="C406" s="198"/>
      <c r="D406" s="198"/>
      <c r="E406" s="198"/>
      <c r="F406" s="198"/>
      <c r="G406" s="198"/>
      <c r="H406" s="198"/>
      <c r="I406" s="198"/>
      <c r="J406" s="198"/>
      <c r="K406" s="198"/>
      <c r="M406" s="198"/>
      <c r="N406" s="198"/>
      <c r="O406" s="198"/>
      <c r="P406" s="198"/>
      <c r="Q406" s="198"/>
      <c r="R406" s="198"/>
      <c r="S406" s="198"/>
      <c r="T406" s="198"/>
      <c r="U406" s="198"/>
      <c r="V406" s="198"/>
      <c r="W406" s="198"/>
      <c r="X406" s="198"/>
      <c r="Y406" s="198"/>
      <c r="Z406" s="198"/>
      <c r="AA406" s="198"/>
    </row>
    <row r="407">
      <c r="A407" s="201"/>
      <c r="B407" s="201"/>
      <c r="C407" s="198"/>
      <c r="D407" s="198"/>
      <c r="E407" s="198"/>
      <c r="F407" s="198"/>
      <c r="G407" s="198"/>
      <c r="H407" s="198"/>
      <c r="I407" s="198"/>
      <c r="J407" s="198"/>
      <c r="K407" s="198"/>
      <c r="M407" s="198"/>
      <c r="N407" s="198"/>
      <c r="O407" s="198"/>
      <c r="P407" s="198"/>
      <c r="Q407" s="198"/>
      <c r="R407" s="198"/>
      <c r="S407" s="198"/>
      <c r="T407" s="198"/>
      <c r="U407" s="198"/>
      <c r="V407" s="198"/>
      <c r="W407" s="198"/>
      <c r="X407" s="198"/>
      <c r="Y407" s="198"/>
      <c r="Z407" s="198"/>
      <c r="AA407" s="198"/>
    </row>
    <row r="408">
      <c r="A408" s="201"/>
      <c r="B408" s="201"/>
      <c r="C408" s="198"/>
      <c r="D408" s="198"/>
      <c r="E408" s="198"/>
      <c r="F408" s="198"/>
      <c r="G408" s="198"/>
      <c r="H408" s="198"/>
      <c r="I408" s="198"/>
      <c r="J408" s="198"/>
      <c r="K408" s="198"/>
      <c r="M408" s="198"/>
      <c r="N408" s="198"/>
      <c r="O408" s="198"/>
      <c r="P408" s="198"/>
      <c r="Q408" s="198"/>
      <c r="R408" s="198"/>
      <c r="S408" s="198"/>
      <c r="T408" s="198"/>
      <c r="U408" s="198"/>
      <c r="V408" s="198"/>
      <c r="W408" s="198"/>
      <c r="X408" s="198"/>
      <c r="Y408" s="198"/>
      <c r="Z408" s="198"/>
      <c r="AA408" s="198"/>
    </row>
    <row r="409">
      <c r="A409" s="201"/>
      <c r="B409" s="201"/>
      <c r="C409" s="198"/>
      <c r="D409" s="198"/>
      <c r="E409" s="198"/>
      <c r="F409" s="198"/>
      <c r="G409" s="198"/>
      <c r="H409" s="198"/>
      <c r="I409" s="198"/>
      <c r="J409" s="198"/>
      <c r="K409" s="198"/>
      <c r="M409" s="198"/>
      <c r="N409" s="198"/>
      <c r="O409" s="198"/>
      <c r="P409" s="198"/>
      <c r="Q409" s="198"/>
      <c r="R409" s="198"/>
      <c r="S409" s="198"/>
      <c r="T409" s="198"/>
      <c r="U409" s="198"/>
      <c r="V409" s="198"/>
      <c r="W409" s="198"/>
      <c r="X409" s="198"/>
      <c r="Y409" s="198"/>
      <c r="Z409" s="198"/>
      <c r="AA409" s="198"/>
    </row>
    <row r="410">
      <c r="A410" s="201"/>
      <c r="B410" s="201"/>
      <c r="C410" s="198"/>
      <c r="D410" s="198"/>
      <c r="E410" s="198"/>
      <c r="F410" s="198"/>
      <c r="G410" s="198"/>
      <c r="H410" s="198"/>
      <c r="I410" s="198"/>
      <c r="J410" s="198"/>
      <c r="K410" s="198"/>
      <c r="M410" s="198"/>
      <c r="N410" s="198"/>
      <c r="O410" s="198"/>
      <c r="P410" s="198"/>
      <c r="Q410" s="198"/>
      <c r="R410" s="198"/>
      <c r="S410" s="198"/>
      <c r="T410" s="198"/>
      <c r="U410" s="198"/>
      <c r="V410" s="198"/>
      <c r="W410" s="198"/>
      <c r="X410" s="198"/>
      <c r="Y410" s="198"/>
      <c r="Z410" s="198"/>
      <c r="AA410" s="198"/>
    </row>
    <row r="411">
      <c r="A411" s="201"/>
      <c r="B411" s="201"/>
      <c r="C411" s="198"/>
      <c r="D411" s="198"/>
      <c r="E411" s="198"/>
      <c r="F411" s="198"/>
      <c r="G411" s="198"/>
      <c r="H411" s="198"/>
      <c r="I411" s="198"/>
      <c r="J411" s="198"/>
      <c r="K411" s="198"/>
      <c r="M411" s="198"/>
      <c r="N411" s="198"/>
      <c r="O411" s="198"/>
      <c r="P411" s="198"/>
      <c r="Q411" s="198"/>
      <c r="R411" s="198"/>
      <c r="S411" s="198"/>
      <c r="T411" s="198"/>
      <c r="U411" s="198"/>
      <c r="V411" s="198"/>
      <c r="W411" s="198"/>
      <c r="X411" s="198"/>
      <c r="Y411" s="198"/>
      <c r="Z411" s="198"/>
      <c r="AA411" s="198"/>
    </row>
    <row r="412">
      <c r="A412" s="201"/>
      <c r="B412" s="201"/>
      <c r="C412" s="198"/>
      <c r="D412" s="198"/>
      <c r="E412" s="198"/>
      <c r="F412" s="198"/>
      <c r="G412" s="198"/>
      <c r="H412" s="198"/>
      <c r="I412" s="198"/>
      <c r="J412" s="198"/>
      <c r="K412" s="198"/>
      <c r="M412" s="198"/>
      <c r="N412" s="198"/>
      <c r="O412" s="198"/>
      <c r="P412" s="198"/>
      <c r="Q412" s="198"/>
      <c r="R412" s="198"/>
      <c r="S412" s="198"/>
      <c r="T412" s="198"/>
      <c r="U412" s="198"/>
      <c r="V412" s="198"/>
      <c r="W412" s="198"/>
      <c r="X412" s="198"/>
      <c r="Y412" s="198"/>
      <c r="Z412" s="198"/>
      <c r="AA412" s="198"/>
    </row>
    <row r="413">
      <c r="A413" s="201"/>
      <c r="B413" s="201"/>
      <c r="C413" s="198"/>
      <c r="D413" s="198"/>
      <c r="E413" s="198"/>
      <c r="F413" s="198"/>
      <c r="G413" s="198"/>
      <c r="H413" s="198"/>
      <c r="I413" s="198"/>
      <c r="J413" s="198"/>
      <c r="K413" s="198"/>
      <c r="M413" s="198"/>
      <c r="N413" s="198"/>
      <c r="O413" s="198"/>
      <c r="P413" s="198"/>
      <c r="Q413" s="198"/>
      <c r="R413" s="198"/>
      <c r="S413" s="198"/>
      <c r="T413" s="198"/>
      <c r="U413" s="198"/>
      <c r="V413" s="198"/>
      <c r="W413" s="198"/>
      <c r="X413" s="198"/>
      <c r="Y413" s="198"/>
      <c r="Z413" s="198"/>
      <c r="AA413" s="198"/>
    </row>
    <row r="414">
      <c r="A414" s="201"/>
      <c r="B414" s="201"/>
      <c r="C414" s="198"/>
      <c r="D414" s="198"/>
      <c r="E414" s="198"/>
      <c r="F414" s="198"/>
      <c r="G414" s="198"/>
      <c r="H414" s="198"/>
      <c r="I414" s="198"/>
      <c r="J414" s="198"/>
      <c r="K414" s="198"/>
      <c r="M414" s="198"/>
      <c r="N414" s="198"/>
      <c r="O414" s="198"/>
      <c r="P414" s="198"/>
      <c r="Q414" s="198"/>
      <c r="R414" s="198"/>
      <c r="S414" s="198"/>
      <c r="T414" s="198"/>
      <c r="U414" s="198"/>
      <c r="V414" s="198"/>
      <c r="W414" s="198"/>
      <c r="X414" s="198"/>
      <c r="Y414" s="198"/>
      <c r="Z414" s="198"/>
      <c r="AA414" s="198"/>
    </row>
    <row r="415">
      <c r="A415" s="201"/>
      <c r="B415" s="201"/>
      <c r="C415" s="198"/>
      <c r="D415" s="198"/>
      <c r="E415" s="198"/>
      <c r="F415" s="198"/>
      <c r="G415" s="198"/>
      <c r="H415" s="198"/>
      <c r="I415" s="198"/>
      <c r="J415" s="198"/>
      <c r="K415" s="198"/>
      <c r="M415" s="198"/>
      <c r="N415" s="198"/>
      <c r="O415" s="198"/>
      <c r="P415" s="198"/>
      <c r="Q415" s="198"/>
      <c r="R415" s="198"/>
      <c r="S415" s="198"/>
      <c r="T415" s="198"/>
      <c r="U415" s="198"/>
      <c r="V415" s="198"/>
      <c r="W415" s="198"/>
      <c r="X415" s="198"/>
      <c r="Y415" s="198"/>
      <c r="Z415" s="198"/>
      <c r="AA415" s="198"/>
    </row>
    <row r="416">
      <c r="A416" s="201"/>
      <c r="B416" s="201"/>
      <c r="C416" s="198"/>
      <c r="D416" s="198"/>
      <c r="E416" s="198"/>
      <c r="F416" s="198"/>
      <c r="G416" s="198"/>
      <c r="H416" s="198"/>
      <c r="I416" s="198"/>
      <c r="J416" s="198"/>
      <c r="K416" s="198"/>
      <c r="M416" s="198"/>
      <c r="N416" s="198"/>
      <c r="O416" s="198"/>
      <c r="P416" s="198"/>
      <c r="Q416" s="198"/>
      <c r="R416" s="198"/>
      <c r="S416" s="198"/>
      <c r="T416" s="198"/>
      <c r="U416" s="198"/>
      <c r="V416" s="198"/>
      <c r="W416" s="198"/>
      <c r="X416" s="198"/>
      <c r="Y416" s="198"/>
      <c r="Z416" s="198"/>
      <c r="AA416" s="198"/>
    </row>
    <row r="417">
      <c r="A417" s="201"/>
      <c r="B417" s="201"/>
      <c r="C417" s="198"/>
      <c r="D417" s="198"/>
      <c r="E417" s="198"/>
      <c r="F417" s="198"/>
      <c r="G417" s="198"/>
      <c r="H417" s="198"/>
      <c r="I417" s="198"/>
      <c r="J417" s="198"/>
      <c r="K417" s="198"/>
      <c r="M417" s="198"/>
      <c r="N417" s="198"/>
      <c r="O417" s="198"/>
      <c r="P417" s="198"/>
      <c r="Q417" s="198"/>
      <c r="R417" s="198"/>
      <c r="S417" s="198"/>
      <c r="T417" s="198"/>
      <c r="U417" s="198"/>
      <c r="V417" s="198"/>
      <c r="W417" s="198"/>
      <c r="X417" s="198"/>
      <c r="Y417" s="198"/>
      <c r="Z417" s="198"/>
      <c r="AA417" s="198"/>
    </row>
    <row r="418">
      <c r="A418" s="201"/>
      <c r="B418" s="201"/>
      <c r="C418" s="198"/>
      <c r="D418" s="198"/>
      <c r="E418" s="198"/>
      <c r="F418" s="198"/>
      <c r="G418" s="198"/>
      <c r="H418" s="198"/>
      <c r="I418" s="198"/>
      <c r="J418" s="198"/>
      <c r="K418" s="198"/>
      <c r="M418" s="198"/>
      <c r="N418" s="198"/>
      <c r="O418" s="198"/>
      <c r="P418" s="198"/>
      <c r="Q418" s="198"/>
      <c r="R418" s="198"/>
      <c r="S418" s="198"/>
      <c r="T418" s="198"/>
      <c r="U418" s="198"/>
      <c r="V418" s="198"/>
      <c r="W418" s="198"/>
      <c r="X418" s="198"/>
      <c r="Y418" s="198"/>
      <c r="Z418" s="198"/>
      <c r="AA418" s="198"/>
    </row>
    <row r="419">
      <c r="A419" s="201"/>
      <c r="B419" s="201"/>
      <c r="C419" s="198"/>
      <c r="D419" s="198"/>
      <c r="E419" s="198"/>
      <c r="F419" s="198"/>
      <c r="G419" s="198"/>
      <c r="H419" s="198"/>
      <c r="I419" s="198"/>
      <c r="J419" s="198"/>
      <c r="K419" s="198"/>
      <c r="M419" s="198"/>
      <c r="N419" s="198"/>
      <c r="O419" s="198"/>
      <c r="P419" s="198"/>
      <c r="Q419" s="198"/>
      <c r="R419" s="198"/>
      <c r="S419" s="198"/>
      <c r="T419" s="198"/>
      <c r="U419" s="198"/>
      <c r="V419" s="198"/>
      <c r="W419" s="198"/>
      <c r="X419" s="198"/>
      <c r="Y419" s="198"/>
      <c r="Z419" s="198"/>
      <c r="AA419" s="198"/>
    </row>
    <row r="420">
      <c r="A420" s="201"/>
      <c r="B420" s="201"/>
      <c r="C420" s="198"/>
      <c r="D420" s="198"/>
      <c r="E420" s="198"/>
      <c r="F420" s="198"/>
      <c r="G420" s="198"/>
      <c r="H420" s="198"/>
      <c r="I420" s="198"/>
      <c r="J420" s="198"/>
      <c r="K420" s="198"/>
      <c r="M420" s="198"/>
      <c r="N420" s="198"/>
      <c r="O420" s="198"/>
      <c r="P420" s="198"/>
      <c r="Q420" s="198"/>
      <c r="R420" s="198"/>
      <c r="S420" s="198"/>
      <c r="T420" s="198"/>
      <c r="U420" s="198"/>
      <c r="V420" s="198"/>
      <c r="W420" s="198"/>
      <c r="X420" s="198"/>
      <c r="Y420" s="198"/>
      <c r="Z420" s="198"/>
      <c r="AA420" s="198"/>
    </row>
    <row r="421">
      <c r="A421" s="201"/>
      <c r="B421" s="201"/>
      <c r="C421" s="198"/>
      <c r="D421" s="198"/>
      <c r="E421" s="198"/>
      <c r="F421" s="198"/>
      <c r="G421" s="198"/>
      <c r="H421" s="198"/>
      <c r="I421" s="198"/>
      <c r="J421" s="198"/>
      <c r="K421" s="198"/>
      <c r="M421" s="198"/>
      <c r="N421" s="198"/>
      <c r="O421" s="198"/>
      <c r="P421" s="198"/>
      <c r="Q421" s="198"/>
      <c r="R421" s="198"/>
      <c r="S421" s="198"/>
      <c r="T421" s="198"/>
      <c r="U421" s="198"/>
      <c r="V421" s="198"/>
      <c r="W421" s="198"/>
      <c r="X421" s="198"/>
      <c r="Y421" s="198"/>
      <c r="Z421" s="198"/>
      <c r="AA421" s="198"/>
    </row>
    <row r="422">
      <c r="A422" s="201"/>
      <c r="B422" s="201"/>
      <c r="C422" s="198"/>
      <c r="D422" s="198"/>
      <c r="E422" s="198"/>
      <c r="F422" s="198"/>
      <c r="G422" s="198"/>
      <c r="H422" s="198"/>
      <c r="I422" s="198"/>
      <c r="J422" s="198"/>
      <c r="K422" s="198"/>
      <c r="M422" s="198"/>
      <c r="N422" s="198"/>
      <c r="O422" s="198"/>
      <c r="P422" s="198"/>
      <c r="Q422" s="198"/>
      <c r="R422" s="198"/>
      <c r="S422" s="198"/>
      <c r="T422" s="198"/>
      <c r="U422" s="198"/>
      <c r="V422" s="198"/>
      <c r="W422" s="198"/>
      <c r="X422" s="198"/>
      <c r="Y422" s="198"/>
      <c r="Z422" s="198"/>
      <c r="AA422" s="198"/>
    </row>
    <row r="423">
      <c r="A423" s="201"/>
      <c r="B423" s="201"/>
      <c r="C423" s="198"/>
      <c r="D423" s="198"/>
      <c r="E423" s="198"/>
      <c r="F423" s="198"/>
      <c r="G423" s="198"/>
      <c r="H423" s="198"/>
      <c r="I423" s="198"/>
      <c r="J423" s="198"/>
      <c r="K423" s="198"/>
      <c r="M423" s="198"/>
      <c r="N423" s="198"/>
      <c r="O423" s="198"/>
      <c r="P423" s="198"/>
      <c r="Q423" s="198"/>
      <c r="R423" s="198"/>
      <c r="S423" s="198"/>
      <c r="T423" s="198"/>
      <c r="U423" s="198"/>
      <c r="V423" s="198"/>
      <c r="W423" s="198"/>
      <c r="X423" s="198"/>
      <c r="Y423" s="198"/>
      <c r="Z423" s="198"/>
      <c r="AA423" s="198"/>
    </row>
    <row r="424">
      <c r="A424" s="201"/>
      <c r="B424" s="201"/>
      <c r="C424" s="198"/>
      <c r="D424" s="198"/>
      <c r="E424" s="198"/>
      <c r="F424" s="198"/>
      <c r="G424" s="198"/>
      <c r="H424" s="198"/>
      <c r="I424" s="198"/>
      <c r="J424" s="198"/>
      <c r="K424" s="198"/>
      <c r="M424" s="198"/>
      <c r="N424" s="198"/>
      <c r="O424" s="198"/>
      <c r="P424" s="198"/>
      <c r="Q424" s="198"/>
      <c r="R424" s="198"/>
      <c r="S424" s="198"/>
      <c r="T424" s="198"/>
      <c r="U424" s="198"/>
      <c r="V424" s="198"/>
      <c r="W424" s="198"/>
      <c r="X424" s="198"/>
      <c r="Y424" s="198"/>
      <c r="Z424" s="198"/>
      <c r="AA424" s="198"/>
    </row>
    <row r="425">
      <c r="A425" s="201"/>
      <c r="B425" s="201"/>
      <c r="C425" s="198"/>
      <c r="D425" s="198"/>
      <c r="E425" s="198"/>
      <c r="F425" s="198"/>
      <c r="G425" s="198"/>
      <c r="H425" s="198"/>
      <c r="I425" s="198"/>
      <c r="J425" s="198"/>
      <c r="K425" s="198"/>
      <c r="M425" s="198"/>
      <c r="N425" s="198"/>
      <c r="O425" s="198"/>
      <c r="P425" s="198"/>
      <c r="Q425" s="198"/>
      <c r="R425" s="198"/>
      <c r="S425" s="198"/>
      <c r="T425" s="198"/>
      <c r="U425" s="198"/>
      <c r="V425" s="198"/>
      <c r="W425" s="198"/>
      <c r="X425" s="198"/>
      <c r="Y425" s="198"/>
      <c r="Z425" s="198"/>
      <c r="AA425" s="198"/>
    </row>
    <row r="426">
      <c r="A426" s="201"/>
      <c r="B426" s="201"/>
      <c r="C426" s="198"/>
      <c r="D426" s="198"/>
      <c r="E426" s="198"/>
      <c r="F426" s="198"/>
      <c r="G426" s="198"/>
      <c r="H426" s="198"/>
      <c r="I426" s="198"/>
      <c r="J426" s="198"/>
      <c r="K426" s="198"/>
      <c r="M426" s="198"/>
      <c r="N426" s="198"/>
      <c r="O426" s="198"/>
      <c r="P426" s="198"/>
      <c r="Q426" s="198"/>
      <c r="R426" s="198"/>
      <c r="S426" s="198"/>
      <c r="T426" s="198"/>
      <c r="U426" s="198"/>
      <c r="V426" s="198"/>
      <c r="W426" s="198"/>
      <c r="X426" s="198"/>
      <c r="Y426" s="198"/>
      <c r="Z426" s="198"/>
      <c r="AA426" s="198"/>
    </row>
    <row r="427">
      <c r="A427" s="201"/>
      <c r="B427" s="201"/>
      <c r="C427" s="198"/>
      <c r="D427" s="198"/>
      <c r="E427" s="198"/>
      <c r="F427" s="198"/>
      <c r="G427" s="198"/>
      <c r="H427" s="198"/>
      <c r="I427" s="198"/>
      <c r="J427" s="198"/>
      <c r="K427" s="198"/>
      <c r="M427" s="198"/>
      <c r="N427" s="198"/>
      <c r="O427" s="198"/>
      <c r="P427" s="198"/>
      <c r="Q427" s="198"/>
      <c r="R427" s="198"/>
      <c r="S427" s="198"/>
      <c r="T427" s="198"/>
      <c r="U427" s="198"/>
      <c r="V427" s="198"/>
      <c r="W427" s="198"/>
      <c r="X427" s="198"/>
      <c r="Y427" s="198"/>
      <c r="Z427" s="198"/>
      <c r="AA427" s="198"/>
    </row>
    <row r="428">
      <c r="A428" s="201"/>
      <c r="B428" s="201"/>
      <c r="C428" s="198"/>
      <c r="D428" s="198"/>
      <c r="E428" s="198"/>
      <c r="F428" s="198"/>
      <c r="G428" s="198"/>
      <c r="H428" s="198"/>
      <c r="I428" s="198"/>
      <c r="J428" s="198"/>
      <c r="K428" s="198"/>
      <c r="M428" s="198"/>
      <c r="N428" s="198"/>
      <c r="O428" s="198"/>
      <c r="P428" s="198"/>
      <c r="Q428" s="198"/>
      <c r="R428" s="198"/>
      <c r="S428" s="198"/>
      <c r="T428" s="198"/>
      <c r="U428" s="198"/>
      <c r="V428" s="198"/>
      <c r="W428" s="198"/>
      <c r="X428" s="198"/>
      <c r="Y428" s="198"/>
      <c r="Z428" s="198"/>
      <c r="AA428" s="198"/>
    </row>
    <row r="429">
      <c r="A429" s="201"/>
      <c r="B429" s="201"/>
      <c r="C429" s="198"/>
      <c r="D429" s="198"/>
      <c r="E429" s="198"/>
      <c r="F429" s="198"/>
      <c r="G429" s="198"/>
      <c r="H429" s="198"/>
      <c r="I429" s="198"/>
      <c r="J429" s="198"/>
      <c r="K429" s="198"/>
      <c r="M429" s="198"/>
      <c r="N429" s="198"/>
      <c r="O429" s="198"/>
      <c r="P429" s="198"/>
      <c r="Q429" s="198"/>
      <c r="R429" s="198"/>
      <c r="S429" s="198"/>
      <c r="T429" s="198"/>
      <c r="U429" s="198"/>
      <c r="V429" s="198"/>
      <c r="W429" s="198"/>
      <c r="X429" s="198"/>
      <c r="Y429" s="198"/>
      <c r="Z429" s="198"/>
      <c r="AA429" s="198"/>
    </row>
    <row r="430">
      <c r="A430" s="201"/>
      <c r="B430" s="201"/>
      <c r="C430" s="198"/>
      <c r="D430" s="198"/>
      <c r="E430" s="198"/>
      <c r="F430" s="198"/>
      <c r="G430" s="198"/>
      <c r="H430" s="198"/>
      <c r="I430" s="198"/>
      <c r="J430" s="198"/>
      <c r="K430" s="198"/>
      <c r="M430" s="198"/>
      <c r="N430" s="198"/>
      <c r="O430" s="198"/>
      <c r="P430" s="198"/>
      <c r="Q430" s="198"/>
      <c r="R430" s="198"/>
      <c r="S430" s="198"/>
      <c r="T430" s="198"/>
      <c r="U430" s="198"/>
      <c r="V430" s="198"/>
      <c r="W430" s="198"/>
      <c r="X430" s="198"/>
      <c r="Y430" s="198"/>
      <c r="Z430" s="198"/>
      <c r="AA430" s="198"/>
    </row>
    <row r="431">
      <c r="A431" s="201"/>
      <c r="B431" s="201"/>
      <c r="C431" s="198"/>
      <c r="D431" s="198"/>
      <c r="E431" s="198"/>
      <c r="F431" s="198"/>
      <c r="G431" s="198"/>
      <c r="H431" s="198"/>
      <c r="I431" s="198"/>
      <c r="J431" s="198"/>
      <c r="K431" s="198"/>
      <c r="M431" s="198"/>
      <c r="N431" s="198"/>
      <c r="O431" s="198"/>
      <c r="P431" s="198"/>
      <c r="Q431" s="198"/>
      <c r="R431" s="198"/>
      <c r="S431" s="198"/>
      <c r="T431" s="198"/>
      <c r="U431" s="198"/>
      <c r="V431" s="198"/>
      <c r="W431" s="198"/>
      <c r="X431" s="198"/>
      <c r="Y431" s="198"/>
      <c r="Z431" s="198"/>
      <c r="AA431" s="198"/>
    </row>
    <row r="432">
      <c r="A432" s="201"/>
      <c r="B432" s="201"/>
      <c r="C432" s="198"/>
      <c r="D432" s="198"/>
      <c r="E432" s="198"/>
      <c r="F432" s="198"/>
      <c r="G432" s="198"/>
      <c r="H432" s="198"/>
      <c r="I432" s="198"/>
      <c r="J432" s="198"/>
      <c r="K432" s="198"/>
      <c r="M432" s="198"/>
      <c r="N432" s="198"/>
      <c r="O432" s="198"/>
      <c r="P432" s="198"/>
      <c r="Q432" s="198"/>
      <c r="R432" s="198"/>
      <c r="S432" s="198"/>
      <c r="T432" s="198"/>
      <c r="U432" s="198"/>
      <c r="V432" s="198"/>
      <c r="W432" s="198"/>
      <c r="X432" s="198"/>
      <c r="Y432" s="198"/>
      <c r="Z432" s="198"/>
      <c r="AA432" s="198"/>
    </row>
    <row r="433">
      <c r="A433" s="201"/>
      <c r="B433" s="201"/>
      <c r="C433" s="198"/>
      <c r="D433" s="198"/>
      <c r="E433" s="198"/>
      <c r="F433" s="198"/>
      <c r="G433" s="198"/>
      <c r="H433" s="198"/>
      <c r="I433" s="198"/>
      <c r="J433" s="198"/>
      <c r="K433" s="198"/>
      <c r="M433" s="198"/>
      <c r="N433" s="198"/>
      <c r="O433" s="198"/>
      <c r="P433" s="198"/>
      <c r="Q433" s="198"/>
      <c r="R433" s="198"/>
      <c r="S433" s="198"/>
      <c r="T433" s="198"/>
      <c r="U433" s="198"/>
      <c r="V433" s="198"/>
      <c r="W433" s="198"/>
      <c r="X433" s="198"/>
      <c r="Y433" s="198"/>
      <c r="Z433" s="198"/>
      <c r="AA433" s="198"/>
    </row>
    <row r="434">
      <c r="A434" s="201"/>
      <c r="B434" s="201"/>
      <c r="C434" s="198"/>
      <c r="D434" s="198"/>
      <c r="E434" s="198"/>
      <c r="F434" s="198"/>
      <c r="G434" s="198"/>
      <c r="H434" s="198"/>
      <c r="I434" s="198"/>
      <c r="J434" s="198"/>
      <c r="K434" s="198"/>
      <c r="M434" s="198"/>
      <c r="N434" s="198"/>
      <c r="O434" s="198"/>
      <c r="P434" s="198"/>
      <c r="Q434" s="198"/>
      <c r="R434" s="198"/>
      <c r="S434" s="198"/>
      <c r="T434" s="198"/>
      <c r="U434" s="198"/>
      <c r="V434" s="198"/>
      <c r="W434" s="198"/>
      <c r="X434" s="198"/>
      <c r="Y434" s="198"/>
      <c r="Z434" s="198"/>
      <c r="AA434" s="198"/>
    </row>
    <row r="435">
      <c r="A435" s="201"/>
      <c r="B435" s="201"/>
      <c r="C435" s="198"/>
      <c r="D435" s="198"/>
      <c r="E435" s="198"/>
      <c r="F435" s="198"/>
      <c r="G435" s="198"/>
      <c r="H435" s="198"/>
      <c r="I435" s="198"/>
      <c r="J435" s="198"/>
      <c r="K435" s="198"/>
      <c r="M435" s="198"/>
      <c r="N435" s="198"/>
      <c r="O435" s="198"/>
      <c r="P435" s="198"/>
      <c r="Q435" s="198"/>
      <c r="R435" s="198"/>
      <c r="S435" s="198"/>
      <c r="T435" s="198"/>
      <c r="U435" s="198"/>
      <c r="V435" s="198"/>
      <c r="W435" s="198"/>
      <c r="X435" s="198"/>
      <c r="Y435" s="198"/>
      <c r="Z435" s="198"/>
      <c r="AA435" s="198"/>
    </row>
    <row r="436">
      <c r="A436" s="201"/>
      <c r="B436" s="201"/>
      <c r="C436" s="198"/>
      <c r="D436" s="198"/>
      <c r="E436" s="198"/>
      <c r="F436" s="198"/>
      <c r="G436" s="198"/>
      <c r="H436" s="198"/>
      <c r="I436" s="198"/>
      <c r="J436" s="198"/>
      <c r="K436" s="198"/>
      <c r="M436" s="198"/>
      <c r="N436" s="198"/>
      <c r="O436" s="198"/>
      <c r="P436" s="198"/>
      <c r="Q436" s="198"/>
      <c r="R436" s="198"/>
      <c r="S436" s="198"/>
      <c r="T436" s="198"/>
      <c r="U436" s="198"/>
      <c r="V436" s="198"/>
      <c r="W436" s="198"/>
      <c r="X436" s="198"/>
      <c r="Y436" s="198"/>
      <c r="Z436" s="198"/>
      <c r="AA436" s="198"/>
    </row>
    <row r="437">
      <c r="A437" s="201"/>
      <c r="B437" s="201"/>
      <c r="C437" s="198"/>
      <c r="D437" s="198"/>
      <c r="E437" s="198"/>
      <c r="F437" s="198"/>
      <c r="G437" s="198"/>
      <c r="H437" s="198"/>
      <c r="I437" s="198"/>
      <c r="J437" s="198"/>
      <c r="K437" s="198"/>
      <c r="M437" s="198"/>
      <c r="N437" s="198"/>
      <c r="O437" s="198"/>
      <c r="P437" s="198"/>
      <c r="Q437" s="198"/>
      <c r="R437" s="198"/>
      <c r="S437" s="198"/>
      <c r="T437" s="198"/>
      <c r="U437" s="198"/>
      <c r="V437" s="198"/>
      <c r="W437" s="198"/>
      <c r="X437" s="198"/>
      <c r="Y437" s="198"/>
      <c r="Z437" s="198"/>
      <c r="AA437" s="198"/>
    </row>
    <row r="438">
      <c r="A438" s="201"/>
      <c r="B438" s="201"/>
      <c r="C438" s="198"/>
      <c r="D438" s="198"/>
      <c r="E438" s="198"/>
      <c r="F438" s="198"/>
      <c r="G438" s="198"/>
      <c r="H438" s="198"/>
      <c r="I438" s="198"/>
      <c r="J438" s="198"/>
      <c r="K438" s="198"/>
      <c r="M438" s="198"/>
      <c r="N438" s="198"/>
      <c r="O438" s="198"/>
      <c r="P438" s="198"/>
      <c r="Q438" s="198"/>
      <c r="R438" s="198"/>
      <c r="S438" s="198"/>
      <c r="T438" s="198"/>
      <c r="U438" s="198"/>
      <c r="V438" s="198"/>
      <c r="W438" s="198"/>
      <c r="X438" s="198"/>
      <c r="Y438" s="198"/>
      <c r="Z438" s="198"/>
      <c r="AA438" s="198"/>
    </row>
    <row r="439">
      <c r="A439" s="201"/>
      <c r="B439" s="201"/>
      <c r="C439" s="198"/>
      <c r="D439" s="198"/>
      <c r="E439" s="198"/>
      <c r="F439" s="198"/>
      <c r="G439" s="198"/>
      <c r="H439" s="198"/>
      <c r="I439" s="198"/>
      <c r="J439" s="198"/>
      <c r="K439" s="198"/>
      <c r="M439" s="198"/>
      <c r="N439" s="198"/>
      <c r="O439" s="198"/>
      <c r="P439" s="198"/>
      <c r="Q439" s="198"/>
      <c r="R439" s="198"/>
      <c r="S439" s="198"/>
      <c r="T439" s="198"/>
      <c r="U439" s="198"/>
      <c r="V439" s="198"/>
      <c r="W439" s="198"/>
      <c r="X439" s="198"/>
      <c r="Y439" s="198"/>
      <c r="Z439" s="198"/>
      <c r="AA439" s="198"/>
    </row>
    <row r="440">
      <c r="A440" s="201"/>
      <c r="B440" s="201"/>
      <c r="C440" s="198"/>
      <c r="D440" s="198"/>
      <c r="E440" s="198"/>
      <c r="F440" s="198"/>
      <c r="G440" s="198"/>
      <c r="H440" s="198"/>
      <c r="I440" s="198"/>
      <c r="J440" s="198"/>
      <c r="K440" s="198"/>
      <c r="M440" s="198"/>
      <c r="N440" s="198"/>
      <c r="O440" s="198"/>
      <c r="P440" s="198"/>
      <c r="Q440" s="198"/>
      <c r="R440" s="198"/>
      <c r="S440" s="198"/>
      <c r="T440" s="198"/>
      <c r="U440" s="198"/>
      <c r="V440" s="198"/>
      <c r="W440" s="198"/>
      <c r="X440" s="198"/>
      <c r="Y440" s="198"/>
      <c r="Z440" s="198"/>
      <c r="AA440" s="198"/>
    </row>
    <row r="441">
      <c r="A441" s="201"/>
      <c r="B441" s="201"/>
      <c r="C441" s="198"/>
      <c r="D441" s="198"/>
      <c r="E441" s="198"/>
      <c r="F441" s="198"/>
      <c r="G441" s="198"/>
      <c r="H441" s="198"/>
      <c r="I441" s="198"/>
      <c r="J441" s="198"/>
      <c r="K441" s="198"/>
      <c r="M441" s="198"/>
      <c r="N441" s="198"/>
      <c r="O441" s="198"/>
      <c r="P441" s="198"/>
      <c r="Q441" s="198"/>
      <c r="R441" s="198"/>
      <c r="S441" s="198"/>
      <c r="T441" s="198"/>
      <c r="U441" s="198"/>
      <c r="V441" s="198"/>
      <c r="W441" s="198"/>
      <c r="X441" s="198"/>
      <c r="Y441" s="198"/>
      <c r="Z441" s="198"/>
      <c r="AA441" s="198"/>
    </row>
    <row r="442">
      <c r="A442" s="201"/>
      <c r="B442" s="201"/>
      <c r="C442" s="198"/>
      <c r="D442" s="198"/>
      <c r="E442" s="198"/>
      <c r="F442" s="198"/>
      <c r="G442" s="198"/>
      <c r="H442" s="198"/>
      <c r="I442" s="198"/>
      <c r="J442" s="198"/>
      <c r="K442" s="198"/>
      <c r="M442" s="198"/>
      <c r="N442" s="198"/>
      <c r="O442" s="198"/>
      <c r="P442" s="198"/>
      <c r="Q442" s="198"/>
      <c r="R442" s="198"/>
      <c r="S442" s="198"/>
      <c r="T442" s="198"/>
      <c r="U442" s="198"/>
      <c r="V442" s="198"/>
      <c r="W442" s="198"/>
      <c r="X442" s="198"/>
      <c r="Y442" s="198"/>
      <c r="Z442" s="198"/>
      <c r="AA442" s="198"/>
    </row>
    <row r="443">
      <c r="A443" s="201"/>
      <c r="B443" s="201"/>
      <c r="C443" s="198"/>
      <c r="D443" s="198"/>
      <c r="E443" s="198"/>
      <c r="F443" s="198"/>
      <c r="G443" s="198"/>
      <c r="H443" s="198"/>
      <c r="I443" s="198"/>
      <c r="J443" s="198"/>
      <c r="K443" s="198"/>
      <c r="M443" s="198"/>
      <c r="N443" s="198"/>
      <c r="O443" s="198"/>
      <c r="P443" s="198"/>
      <c r="Q443" s="198"/>
      <c r="R443" s="198"/>
      <c r="S443" s="198"/>
      <c r="T443" s="198"/>
      <c r="U443" s="198"/>
      <c r="V443" s="198"/>
      <c r="W443" s="198"/>
      <c r="X443" s="198"/>
      <c r="Y443" s="198"/>
      <c r="Z443" s="198"/>
      <c r="AA443" s="198"/>
    </row>
    <row r="444">
      <c r="A444" s="201"/>
      <c r="B444" s="201"/>
      <c r="C444" s="198"/>
      <c r="D444" s="198"/>
      <c r="E444" s="198"/>
      <c r="F444" s="198"/>
      <c r="G444" s="198"/>
      <c r="H444" s="198"/>
      <c r="I444" s="198"/>
      <c r="J444" s="198"/>
      <c r="K444" s="198"/>
      <c r="M444" s="198"/>
      <c r="N444" s="198"/>
      <c r="O444" s="198"/>
      <c r="P444" s="198"/>
      <c r="Q444" s="198"/>
      <c r="R444" s="198"/>
      <c r="S444" s="198"/>
      <c r="T444" s="198"/>
      <c r="U444" s="198"/>
      <c r="V444" s="198"/>
      <c r="W444" s="198"/>
      <c r="X444" s="198"/>
      <c r="Y444" s="198"/>
      <c r="Z444" s="198"/>
      <c r="AA444" s="198"/>
    </row>
    <row r="445">
      <c r="A445" s="201"/>
      <c r="B445" s="201"/>
      <c r="C445" s="198"/>
      <c r="D445" s="198"/>
      <c r="E445" s="198"/>
      <c r="F445" s="198"/>
      <c r="G445" s="198"/>
      <c r="H445" s="198"/>
      <c r="I445" s="198"/>
      <c r="J445" s="198"/>
      <c r="K445" s="198"/>
      <c r="M445" s="198"/>
      <c r="N445" s="198"/>
      <c r="O445" s="198"/>
      <c r="P445" s="198"/>
      <c r="Q445" s="198"/>
      <c r="R445" s="198"/>
      <c r="S445" s="198"/>
      <c r="T445" s="198"/>
      <c r="U445" s="198"/>
      <c r="V445" s="198"/>
      <c r="W445" s="198"/>
      <c r="X445" s="198"/>
      <c r="Y445" s="198"/>
      <c r="Z445" s="198"/>
      <c r="AA445" s="198"/>
    </row>
    <row r="446">
      <c r="A446" s="201"/>
      <c r="B446" s="201"/>
      <c r="C446" s="198"/>
      <c r="D446" s="198"/>
      <c r="E446" s="198"/>
      <c r="F446" s="198"/>
      <c r="G446" s="198"/>
      <c r="H446" s="198"/>
      <c r="I446" s="198"/>
      <c r="J446" s="198"/>
      <c r="K446" s="198"/>
      <c r="M446" s="198"/>
      <c r="N446" s="198"/>
      <c r="O446" s="198"/>
      <c r="P446" s="198"/>
      <c r="Q446" s="198"/>
      <c r="R446" s="198"/>
      <c r="S446" s="198"/>
      <c r="T446" s="198"/>
      <c r="U446" s="198"/>
      <c r="V446" s="198"/>
      <c r="W446" s="198"/>
      <c r="X446" s="198"/>
      <c r="Y446" s="198"/>
      <c r="Z446" s="198"/>
      <c r="AA446" s="198"/>
    </row>
    <row r="447">
      <c r="A447" s="201"/>
      <c r="B447" s="201"/>
      <c r="C447" s="198"/>
      <c r="D447" s="198"/>
      <c r="E447" s="198"/>
      <c r="F447" s="198"/>
      <c r="G447" s="198"/>
      <c r="H447" s="198"/>
      <c r="I447" s="198"/>
      <c r="J447" s="198"/>
      <c r="K447" s="198"/>
      <c r="M447" s="198"/>
      <c r="N447" s="198"/>
      <c r="O447" s="198"/>
      <c r="P447" s="198"/>
      <c r="Q447" s="198"/>
      <c r="R447" s="198"/>
      <c r="S447" s="198"/>
      <c r="T447" s="198"/>
      <c r="U447" s="198"/>
      <c r="V447" s="198"/>
      <c r="W447" s="198"/>
      <c r="X447" s="198"/>
      <c r="Y447" s="198"/>
      <c r="Z447" s="198"/>
      <c r="AA447" s="198"/>
    </row>
    <row r="448">
      <c r="A448" s="201"/>
      <c r="B448" s="201"/>
      <c r="C448" s="198"/>
      <c r="D448" s="198"/>
      <c r="E448" s="198"/>
      <c r="F448" s="198"/>
      <c r="G448" s="198"/>
      <c r="H448" s="198"/>
      <c r="I448" s="198"/>
      <c r="J448" s="198"/>
      <c r="K448" s="198"/>
      <c r="M448" s="198"/>
      <c r="N448" s="198"/>
      <c r="O448" s="198"/>
      <c r="P448" s="198"/>
      <c r="Q448" s="198"/>
      <c r="R448" s="198"/>
      <c r="S448" s="198"/>
      <c r="T448" s="198"/>
      <c r="U448" s="198"/>
      <c r="V448" s="198"/>
      <c r="W448" s="198"/>
      <c r="X448" s="198"/>
      <c r="Y448" s="198"/>
      <c r="Z448" s="198"/>
      <c r="AA448" s="198"/>
    </row>
    <row r="449">
      <c r="A449" s="201"/>
      <c r="B449" s="201"/>
      <c r="C449" s="198"/>
      <c r="D449" s="198"/>
      <c r="E449" s="198"/>
      <c r="F449" s="198"/>
      <c r="G449" s="198"/>
      <c r="H449" s="198"/>
      <c r="I449" s="198"/>
      <c r="J449" s="198"/>
      <c r="K449" s="198"/>
      <c r="M449" s="198"/>
      <c r="N449" s="198"/>
      <c r="O449" s="198"/>
      <c r="P449" s="198"/>
      <c r="Q449" s="198"/>
      <c r="R449" s="198"/>
      <c r="S449" s="198"/>
      <c r="T449" s="198"/>
      <c r="U449" s="198"/>
      <c r="V449" s="198"/>
      <c r="W449" s="198"/>
      <c r="X449" s="198"/>
      <c r="Y449" s="198"/>
      <c r="Z449" s="198"/>
      <c r="AA449" s="198"/>
    </row>
    <row r="450">
      <c r="A450" s="201"/>
      <c r="B450" s="201"/>
      <c r="C450" s="198"/>
      <c r="D450" s="198"/>
      <c r="E450" s="198"/>
      <c r="F450" s="198"/>
      <c r="G450" s="198"/>
      <c r="H450" s="198"/>
      <c r="I450" s="198"/>
      <c r="J450" s="198"/>
      <c r="K450" s="198"/>
      <c r="M450" s="198"/>
      <c r="N450" s="198"/>
      <c r="O450" s="198"/>
      <c r="P450" s="198"/>
      <c r="Q450" s="198"/>
      <c r="R450" s="198"/>
      <c r="S450" s="198"/>
      <c r="T450" s="198"/>
      <c r="U450" s="198"/>
      <c r="V450" s="198"/>
      <c r="W450" s="198"/>
      <c r="X450" s="198"/>
      <c r="Y450" s="198"/>
      <c r="Z450" s="198"/>
      <c r="AA450" s="198"/>
    </row>
    <row r="451">
      <c r="A451" s="201"/>
      <c r="B451" s="201"/>
      <c r="C451" s="198"/>
      <c r="D451" s="198"/>
      <c r="E451" s="198"/>
      <c r="F451" s="198"/>
      <c r="G451" s="198"/>
      <c r="H451" s="198"/>
      <c r="I451" s="198"/>
      <c r="J451" s="198"/>
      <c r="K451" s="198"/>
      <c r="M451" s="198"/>
      <c r="N451" s="198"/>
      <c r="O451" s="198"/>
      <c r="P451" s="198"/>
      <c r="Q451" s="198"/>
      <c r="R451" s="198"/>
      <c r="S451" s="198"/>
      <c r="T451" s="198"/>
      <c r="U451" s="198"/>
      <c r="V451" s="198"/>
      <c r="W451" s="198"/>
      <c r="X451" s="198"/>
      <c r="Y451" s="198"/>
      <c r="Z451" s="198"/>
      <c r="AA451" s="198"/>
    </row>
    <row r="452">
      <c r="A452" s="201"/>
      <c r="B452" s="201"/>
      <c r="C452" s="198"/>
      <c r="D452" s="198"/>
      <c r="E452" s="198"/>
      <c r="F452" s="198"/>
      <c r="G452" s="198"/>
      <c r="H452" s="198"/>
      <c r="I452" s="198"/>
      <c r="J452" s="198"/>
      <c r="K452" s="198"/>
      <c r="M452" s="198"/>
      <c r="N452" s="198"/>
      <c r="O452" s="198"/>
      <c r="P452" s="198"/>
      <c r="Q452" s="198"/>
      <c r="R452" s="198"/>
      <c r="S452" s="198"/>
      <c r="T452" s="198"/>
      <c r="U452" s="198"/>
      <c r="V452" s="198"/>
      <c r="W452" s="198"/>
      <c r="X452" s="198"/>
      <c r="Y452" s="198"/>
      <c r="Z452" s="198"/>
      <c r="AA452" s="198"/>
    </row>
    <row r="453">
      <c r="A453" s="201"/>
      <c r="B453" s="201"/>
      <c r="C453" s="198"/>
      <c r="D453" s="198"/>
      <c r="E453" s="198"/>
      <c r="F453" s="198"/>
      <c r="G453" s="198"/>
      <c r="H453" s="198"/>
      <c r="I453" s="198"/>
      <c r="J453" s="198"/>
      <c r="K453" s="198"/>
      <c r="M453" s="198"/>
      <c r="N453" s="198"/>
      <c r="O453" s="198"/>
      <c r="P453" s="198"/>
      <c r="Q453" s="198"/>
      <c r="R453" s="198"/>
      <c r="S453" s="198"/>
      <c r="T453" s="198"/>
      <c r="U453" s="198"/>
      <c r="V453" s="198"/>
      <c r="W453" s="198"/>
      <c r="X453" s="198"/>
      <c r="Y453" s="198"/>
      <c r="Z453" s="198"/>
      <c r="AA453" s="198"/>
    </row>
    <row r="454">
      <c r="A454" s="201"/>
      <c r="B454" s="201"/>
      <c r="C454" s="198"/>
      <c r="D454" s="198"/>
      <c r="E454" s="198"/>
      <c r="F454" s="198"/>
      <c r="G454" s="198"/>
      <c r="H454" s="198"/>
      <c r="I454" s="198"/>
      <c r="J454" s="198"/>
      <c r="K454" s="198"/>
      <c r="M454" s="198"/>
      <c r="N454" s="198"/>
      <c r="O454" s="198"/>
      <c r="P454" s="198"/>
      <c r="Q454" s="198"/>
      <c r="R454" s="198"/>
      <c r="S454" s="198"/>
      <c r="T454" s="198"/>
      <c r="U454" s="198"/>
      <c r="V454" s="198"/>
      <c r="W454" s="198"/>
      <c r="X454" s="198"/>
      <c r="Y454" s="198"/>
      <c r="Z454" s="198"/>
      <c r="AA454" s="198"/>
    </row>
    <row r="455">
      <c r="A455" s="201"/>
      <c r="B455" s="201"/>
      <c r="C455" s="198"/>
      <c r="D455" s="198"/>
      <c r="E455" s="198"/>
      <c r="F455" s="198"/>
      <c r="G455" s="198"/>
      <c r="H455" s="198"/>
      <c r="I455" s="198"/>
      <c r="J455" s="198"/>
      <c r="K455" s="198"/>
      <c r="M455" s="198"/>
      <c r="N455" s="198"/>
      <c r="O455" s="198"/>
      <c r="P455" s="198"/>
      <c r="Q455" s="198"/>
      <c r="R455" s="198"/>
      <c r="S455" s="198"/>
      <c r="T455" s="198"/>
      <c r="U455" s="198"/>
      <c r="V455" s="198"/>
      <c r="W455" s="198"/>
      <c r="X455" s="198"/>
      <c r="Y455" s="198"/>
      <c r="Z455" s="198"/>
      <c r="AA455" s="198"/>
    </row>
    <row r="456">
      <c r="A456" s="201"/>
      <c r="B456" s="201"/>
      <c r="C456" s="198"/>
      <c r="D456" s="198"/>
      <c r="E456" s="198"/>
      <c r="F456" s="198"/>
      <c r="G456" s="198"/>
      <c r="H456" s="198"/>
      <c r="I456" s="198"/>
      <c r="J456" s="198"/>
      <c r="K456" s="198"/>
      <c r="M456" s="198"/>
      <c r="N456" s="198"/>
      <c r="O456" s="198"/>
      <c r="P456" s="198"/>
      <c r="Q456" s="198"/>
      <c r="R456" s="198"/>
      <c r="S456" s="198"/>
      <c r="T456" s="198"/>
      <c r="U456" s="198"/>
      <c r="V456" s="198"/>
      <c r="W456" s="198"/>
      <c r="X456" s="198"/>
      <c r="Y456" s="198"/>
      <c r="Z456" s="198"/>
      <c r="AA456" s="198"/>
    </row>
    <row r="457">
      <c r="A457" s="201"/>
      <c r="B457" s="201"/>
      <c r="C457" s="198"/>
      <c r="D457" s="198"/>
      <c r="E457" s="198"/>
      <c r="F457" s="198"/>
      <c r="G457" s="198"/>
      <c r="H457" s="198"/>
      <c r="I457" s="198"/>
      <c r="J457" s="198"/>
      <c r="K457" s="198"/>
      <c r="M457" s="198"/>
      <c r="N457" s="198"/>
      <c r="O457" s="198"/>
      <c r="P457" s="198"/>
      <c r="Q457" s="198"/>
      <c r="R457" s="198"/>
      <c r="S457" s="198"/>
      <c r="T457" s="198"/>
      <c r="U457" s="198"/>
      <c r="V457" s="198"/>
      <c r="W457" s="198"/>
      <c r="X457" s="198"/>
      <c r="Y457" s="198"/>
      <c r="Z457" s="198"/>
      <c r="AA457" s="198"/>
    </row>
    <row r="458">
      <c r="A458" s="201"/>
      <c r="B458" s="201"/>
      <c r="C458" s="198"/>
      <c r="D458" s="198"/>
      <c r="E458" s="198"/>
      <c r="F458" s="198"/>
      <c r="G458" s="198"/>
      <c r="H458" s="198"/>
      <c r="I458" s="198"/>
      <c r="J458" s="198"/>
      <c r="K458" s="198"/>
      <c r="M458" s="198"/>
      <c r="N458" s="198"/>
      <c r="O458" s="198"/>
      <c r="P458" s="198"/>
      <c r="Q458" s="198"/>
      <c r="R458" s="198"/>
      <c r="S458" s="198"/>
      <c r="T458" s="198"/>
      <c r="U458" s="198"/>
      <c r="V458" s="198"/>
      <c r="W458" s="198"/>
      <c r="X458" s="198"/>
      <c r="Y458" s="198"/>
      <c r="Z458" s="198"/>
      <c r="AA458" s="198"/>
    </row>
    <row r="459">
      <c r="A459" s="201"/>
      <c r="B459" s="201"/>
      <c r="C459" s="198"/>
      <c r="D459" s="198"/>
      <c r="E459" s="198"/>
      <c r="F459" s="198"/>
      <c r="G459" s="198"/>
      <c r="H459" s="198"/>
      <c r="I459" s="198"/>
      <c r="J459" s="198"/>
      <c r="K459" s="198"/>
      <c r="M459" s="198"/>
      <c r="N459" s="198"/>
      <c r="O459" s="198"/>
      <c r="P459" s="198"/>
      <c r="Q459" s="198"/>
      <c r="R459" s="198"/>
      <c r="S459" s="198"/>
      <c r="T459" s="198"/>
      <c r="U459" s="198"/>
      <c r="V459" s="198"/>
      <c r="W459" s="198"/>
      <c r="X459" s="198"/>
      <c r="Y459" s="198"/>
      <c r="Z459" s="198"/>
      <c r="AA459" s="198"/>
    </row>
    <row r="460">
      <c r="A460" s="201"/>
      <c r="B460" s="201"/>
      <c r="C460" s="198"/>
      <c r="D460" s="198"/>
      <c r="E460" s="198"/>
      <c r="F460" s="198"/>
      <c r="G460" s="198"/>
      <c r="H460" s="198"/>
      <c r="I460" s="198"/>
      <c r="J460" s="198"/>
      <c r="K460" s="198"/>
      <c r="M460" s="198"/>
      <c r="N460" s="198"/>
      <c r="O460" s="198"/>
      <c r="P460" s="198"/>
      <c r="Q460" s="198"/>
      <c r="R460" s="198"/>
      <c r="S460" s="198"/>
      <c r="T460" s="198"/>
      <c r="U460" s="198"/>
      <c r="V460" s="198"/>
      <c r="W460" s="198"/>
      <c r="X460" s="198"/>
      <c r="Y460" s="198"/>
      <c r="Z460" s="198"/>
      <c r="AA460" s="198"/>
    </row>
    <row r="461">
      <c r="A461" s="201"/>
      <c r="B461" s="201"/>
      <c r="C461" s="198"/>
      <c r="D461" s="198"/>
      <c r="E461" s="198"/>
      <c r="F461" s="198"/>
      <c r="G461" s="198"/>
      <c r="H461" s="198"/>
      <c r="I461" s="198"/>
      <c r="J461" s="198"/>
      <c r="K461" s="198"/>
      <c r="M461" s="198"/>
      <c r="N461" s="198"/>
      <c r="O461" s="198"/>
      <c r="P461" s="198"/>
      <c r="Q461" s="198"/>
      <c r="R461" s="198"/>
      <c r="S461" s="198"/>
      <c r="T461" s="198"/>
      <c r="U461" s="198"/>
      <c r="V461" s="198"/>
      <c r="W461" s="198"/>
      <c r="X461" s="198"/>
      <c r="Y461" s="198"/>
      <c r="Z461" s="198"/>
      <c r="AA461" s="198"/>
    </row>
    <row r="462">
      <c r="A462" s="201"/>
      <c r="B462" s="201"/>
      <c r="C462" s="198"/>
      <c r="D462" s="198"/>
      <c r="E462" s="198"/>
      <c r="F462" s="198"/>
      <c r="G462" s="198"/>
      <c r="H462" s="198"/>
      <c r="I462" s="198"/>
      <c r="J462" s="198"/>
      <c r="K462" s="198"/>
      <c r="M462" s="198"/>
      <c r="N462" s="198"/>
      <c r="O462" s="198"/>
      <c r="P462" s="198"/>
      <c r="Q462" s="198"/>
      <c r="R462" s="198"/>
      <c r="S462" s="198"/>
      <c r="T462" s="198"/>
      <c r="U462" s="198"/>
      <c r="V462" s="198"/>
      <c r="W462" s="198"/>
      <c r="X462" s="198"/>
      <c r="Y462" s="198"/>
      <c r="Z462" s="198"/>
      <c r="AA462" s="198"/>
    </row>
    <row r="463">
      <c r="A463" s="201"/>
      <c r="B463" s="201"/>
      <c r="C463" s="198"/>
      <c r="D463" s="198"/>
      <c r="E463" s="198"/>
      <c r="F463" s="198"/>
      <c r="G463" s="198"/>
      <c r="H463" s="198"/>
      <c r="I463" s="198"/>
      <c r="J463" s="198"/>
      <c r="K463" s="198"/>
      <c r="M463" s="198"/>
      <c r="N463" s="198"/>
      <c r="O463" s="198"/>
      <c r="P463" s="198"/>
      <c r="Q463" s="198"/>
      <c r="R463" s="198"/>
      <c r="S463" s="198"/>
      <c r="T463" s="198"/>
      <c r="U463" s="198"/>
      <c r="V463" s="198"/>
      <c r="W463" s="198"/>
      <c r="X463" s="198"/>
      <c r="Y463" s="198"/>
      <c r="Z463" s="198"/>
      <c r="AA463" s="198"/>
    </row>
    <row r="464">
      <c r="A464" s="201"/>
      <c r="B464" s="201"/>
      <c r="C464" s="198"/>
      <c r="D464" s="198"/>
      <c r="E464" s="198"/>
      <c r="F464" s="198"/>
      <c r="G464" s="198"/>
      <c r="H464" s="198"/>
      <c r="I464" s="198"/>
      <c r="J464" s="198"/>
      <c r="K464" s="198"/>
      <c r="M464" s="198"/>
      <c r="N464" s="198"/>
      <c r="O464" s="198"/>
      <c r="P464" s="198"/>
      <c r="Q464" s="198"/>
      <c r="R464" s="198"/>
      <c r="S464" s="198"/>
      <c r="T464" s="198"/>
      <c r="U464" s="198"/>
      <c r="V464" s="198"/>
      <c r="W464" s="198"/>
      <c r="X464" s="198"/>
      <c r="Y464" s="198"/>
      <c r="Z464" s="198"/>
      <c r="AA464" s="198"/>
    </row>
    <row r="465">
      <c r="A465" s="201"/>
      <c r="B465" s="201"/>
      <c r="C465" s="198"/>
      <c r="D465" s="198"/>
      <c r="E465" s="198"/>
      <c r="F465" s="198"/>
      <c r="G465" s="198"/>
      <c r="H465" s="198"/>
      <c r="I465" s="198"/>
      <c r="J465" s="198"/>
      <c r="K465" s="198"/>
      <c r="M465" s="198"/>
      <c r="N465" s="198"/>
      <c r="O465" s="198"/>
      <c r="P465" s="198"/>
      <c r="Q465" s="198"/>
      <c r="R465" s="198"/>
      <c r="S465" s="198"/>
      <c r="T465" s="198"/>
      <c r="U465" s="198"/>
      <c r="V465" s="198"/>
      <c r="W465" s="198"/>
      <c r="X465" s="198"/>
      <c r="Y465" s="198"/>
      <c r="Z465" s="198"/>
      <c r="AA465" s="198"/>
    </row>
    <row r="466">
      <c r="A466" s="201"/>
      <c r="B466" s="201"/>
      <c r="C466" s="198"/>
      <c r="D466" s="198"/>
      <c r="E466" s="198"/>
      <c r="F466" s="198"/>
      <c r="G466" s="198"/>
      <c r="H466" s="198"/>
      <c r="I466" s="198"/>
      <c r="J466" s="198"/>
      <c r="K466" s="198"/>
      <c r="M466" s="198"/>
      <c r="N466" s="198"/>
      <c r="O466" s="198"/>
      <c r="P466" s="198"/>
      <c r="Q466" s="198"/>
      <c r="R466" s="198"/>
      <c r="S466" s="198"/>
      <c r="T466" s="198"/>
      <c r="U466" s="198"/>
      <c r="V466" s="198"/>
      <c r="W466" s="198"/>
      <c r="X466" s="198"/>
      <c r="Y466" s="198"/>
      <c r="Z466" s="198"/>
      <c r="AA466" s="198"/>
    </row>
    <row r="467">
      <c r="A467" s="201"/>
      <c r="B467" s="201"/>
      <c r="C467" s="198"/>
      <c r="D467" s="198"/>
      <c r="E467" s="198"/>
      <c r="F467" s="198"/>
      <c r="G467" s="198"/>
      <c r="H467" s="198"/>
      <c r="I467" s="198"/>
      <c r="J467" s="198"/>
      <c r="K467" s="198"/>
      <c r="M467" s="198"/>
      <c r="N467" s="198"/>
      <c r="O467" s="198"/>
      <c r="P467" s="198"/>
      <c r="Q467" s="198"/>
      <c r="R467" s="198"/>
      <c r="S467" s="198"/>
      <c r="T467" s="198"/>
      <c r="U467" s="198"/>
      <c r="V467" s="198"/>
      <c r="W467" s="198"/>
      <c r="X467" s="198"/>
      <c r="Y467" s="198"/>
      <c r="Z467" s="198"/>
      <c r="AA467" s="198"/>
    </row>
    <row r="468">
      <c r="A468" s="201"/>
      <c r="B468" s="201"/>
      <c r="C468" s="198"/>
      <c r="D468" s="198"/>
      <c r="E468" s="198"/>
      <c r="F468" s="198"/>
      <c r="G468" s="198"/>
      <c r="H468" s="198"/>
      <c r="I468" s="198"/>
      <c r="J468" s="198"/>
      <c r="K468" s="198"/>
      <c r="M468" s="198"/>
      <c r="N468" s="198"/>
      <c r="O468" s="198"/>
      <c r="P468" s="198"/>
      <c r="Q468" s="198"/>
      <c r="R468" s="198"/>
      <c r="S468" s="198"/>
      <c r="T468" s="198"/>
      <c r="U468" s="198"/>
      <c r="V468" s="198"/>
      <c r="W468" s="198"/>
      <c r="X468" s="198"/>
      <c r="Y468" s="198"/>
      <c r="Z468" s="198"/>
      <c r="AA468" s="198"/>
    </row>
    <row r="469">
      <c r="A469" s="201"/>
      <c r="B469" s="201"/>
      <c r="C469" s="198"/>
      <c r="D469" s="198"/>
      <c r="E469" s="198"/>
      <c r="F469" s="198"/>
      <c r="G469" s="198"/>
      <c r="H469" s="198"/>
      <c r="I469" s="198"/>
      <c r="J469" s="198"/>
      <c r="K469" s="198"/>
      <c r="M469" s="198"/>
      <c r="N469" s="198"/>
      <c r="O469" s="198"/>
      <c r="P469" s="198"/>
      <c r="Q469" s="198"/>
      <c r="R469" s="198"/>
      <c r="S469" s="198"/>
      <c r="T469" s="198"/>
      <c r="U469" s="198"/>
      <c r="V469" s="198"/>
      <c r="W469" s="198"/>
      <c r="X469" s="198"/>
      <c r="Y469" s="198"/>
      <c r="Z469" s="198"/>
      <c r="AA469" s="198"/>
    </row>
    <row r="470">
      <c r="A470" s="201"/>
      <c r="B470" s="201"/>
      <c r="C470" s="198"/>
      <c r="D470" s="198"/>
      <c r="E470" s="198"/>
      <c r="F470" s="198"/>
      <c r="G470" s="198"/>
      <c r="H470" s="198"/>
      <c r="I470" s="198"/>
      <c r="J470" s="198"/>
      <c r="K470" s="198"/>
      <c r="M470" s="198"/>
      <c r="N470" s="198"/>
      <c r="O470" s="198"/>
      <c r="P470" s="198"/>
      <c r="Q470" s="198"/>
      <c r="R470" s="198"/>
      <c r="S470" s="198"/>
      <c r="T470" s="198"/>
      <c r="U470" s="198"/>
      <c r="V470" s="198"/>
      <c r="W470" s="198"/>
      <c r="X470" s="198"/>
      <c r="Y470" s="198"/>
      <c r="Z470" s="198"/>
      <c r="AA470" s="198"/>
    </row>
    <row r="471">
      <c r="A471" s="201"/>
      <c r="B471" s="201"/>
      <c r="C471" s="198"/>
      <c r="D471" s="198"/>
      <c r="E471" s="198"/>
      <c r="F471" s="198"/>
      <c r="G471" s="198"/>
      <c r="H471" s="198"/>
      <c r="I471" s="198"/>
      <c r="J471" s="198"/>
      <c r="K471" s="198"/>
      <c r="M471" s="198"/>
      <c r="N471" s="198"/>
      <c r="O471" s="198"/>
      <c r="P471" s="198"/>
      <c r="Q471" s="198"/>
      <c r="R471" s="198"/>
      <c r="S471" s="198"/>
      <c r="T471" s="198"/>
      <c r="U471" s="198"/>
      <c r="V471" s="198"/>
      <c r="W471" s="198"/>
      <c r="X471" s="198"/>
      <c r="Y471" s="198"/>
      <c r="Z471" s="198"/>
      <c r="AA471" s="198"/>
    </row>
    <row r="472">
      <c r="A472" s="201"/>
      <c r="B472" s="201"/>
      <c r="C472" s="198"/>
      <c r="D472" s="198"/>
      <c r="E472" s="198"/>
      <c r="F472" s="198"/>
      <c r="G472" s="198"/>
      <c r="H472" s="198"/>
      <c r="I472" s="198"/>
      <c r="J472" s="198"/>
      <c r="K472" s="198"/>
      <c r="M472" s="198"/>
      <c r="N472" s="198"/>
      <c r="O472" s="198"/>
      <c r="P472" s="198"/>
      <c r="Q472" s="198"/>
      <c r="R472" s="198"/>
      <c r="S472" s="198"/>
      <c r="T472" s="198"/>
      <c r="U472" s="198"/>
      <c r="V472" s="198"/>
      <c r="W472" s="198"/>
      <c r="X472" s="198"/>
      <c r="Y472" s="198"/>
      <c r="Z472" s="198"/>
      <c r="AA472" s="198"/>
    </row>
    <row r="473">
      <c r="A473" s="201"/>
      <c r="B473" s="201"/>
      <c r="C473" s="198"/>
      <c r="D473" s="198"/>
      <c r="E473" s="198"/>
      <c r="F473" s="198"/>
      <c r="G473" s="198"/>
      <c r="H473" s="198"/>
      <c r="I473" s="198"/>
      <c r="J473" s="198"/>
      <c r="K473" s="198"/>
      <c r="M473" s="198"/>
      <c r="N473" s="198"/>
      <c r="O473" s="198"/>
      <c r="P473" s="198"/>
      <c r="Q473" s="198"/>
      <c r="R473" s="198"/>
      <c r="S473" s="198"/>
      <c r="T473" s="198"/>
      <c r="U473" s="198"/>
      <c r="V473" s="198"/>
      <c r="W473" s="198"/>
      <c r="X473" s="198"/>
      <c r="Y473" s="198"/>
      <c r="Z473" s="198"/>
      <c r="AA473" s="198"/>
    </row>
    <row r="474">
      <c r="A474" s="201"/>
      <c r="B474" s="201"/>
      <c r="C474" s="198"/>
      <c r="D474" s="198"/>
      <c r="E474" s="198"/>
      <c r="F474" s="198"/>
      <c r="G474" s="198"/>
      <c r="H474" s="198"/>
      <c r="I474" s="198"/>
      <c r="J474" s="198"/>
      <c r="K474" s="198"/>
      <c r="M474" s="198"/>
      <c r="N474" s="198"/>
      <c r="O474" s="198"/>
      <c r="P474" s="198"/>
      <c r="Q474" s="198"/>
      <c r="R474" s="198"/>
      <c r="S474" s="198"/>
      <c r="T474" s="198"/>
      <c r="U474" s="198"/>
      <c r="V474" s="198"/>
      <c r="W474" s="198"/>
      <c r="X474" s="198"/>
      <c r="Y474" s="198"/>
      <c r="Z474" s="198"/>
      <c r="AA474" s="198"/>
    </row>
    <row r="475">
      <c r="A475" s="201"/>
      <c r="B475" s="201"/>
      <c r="C475" s="198"/>
      <c r="D475" s="198"/>
      <c r="E475" s="198"/>
      <c r="F475" s="198"/>
      <c r="G475" s="198"/>
      <c r="H475" s="198"/>
      <c r="I475" s="198"/>
      <c r="J475" s="198"/>
      <c r="K475" s="198"/>
      <c r="M475" s="198"/>
      <c r="N475" s="198"/>
      <c r="O475" s="198"/>
      <c r="P475" s="198"/>
      <c r="Q475" s="198"/>
      <c r="R475" s="198"/>
      <c r="S475" s="198"/>
      <c r="T475" s="198"/>
      <c r="U475" s="198"/>
      <c r="V475" s="198"/>
      <c r="W475" s="198"/>
      <c r="X475" s="198"/>
      <c r="Y475" s="198"/>
      <c r="Z475" s="198"/>
      <c r="AA475" s="198"/>
    </row>
    <row r="476">
      <c r="A476" s="201"/>
      <c r="B476" s="201"/>
      <c r="C476" s="198"/>
      <c r="D476" s="198"/>
      <c r="E476" s="198"/>
      <c r="F476" s="198"/>
      <c r="G476" s="198"/>
      <c r="H476" s="198"/>
      <c r="I476" s="198"/>
      <c r="J476" s="198"/>
      <c r="K476" s="198"/>
      <c r="M476" s="198"/>
      <c r="N476" s="198"/>
      <c r="O476" s="198"/>
      <c r="P476" s="198"/>
      <c r="Q476" s="198"/>
      <c r="R476" s="198"/>
      <c r="S476" s="198"/>
      <c r="T476" s="198"/>
      <c r="U476" s="198"/>
      <c r="V476" s="198"/>
      <c r="W476" s="198"/>
      <c r="X476" s="198"/>
      <c r="Y476" s="198"/>
      <c r="Z476" s="198"/>
      <c r="AA476" s="198"/>
    </row>
    <row r="477">
      <c r="A477" s="201"/>
      <c r="B477" s="201"/>
      <c r="C477" s="198"/>
      <c r="D477" s="198"/>
      <c r="E477" s="198"/>
      <c r="F477" s="198"/>
      <c r="G477" s="198"/>
      <c r="H477" s="198"/>
      <c r="I477" s="198"/>
      <c r="J477" s="198"/>
      <c r="K477" s="198"/>
      <c r="M477" s="198"/>
      <c r="N477" s="198"/>
      <c r="O477" s="198"/>
      <c r="P477" s="198"/>
      <c r="Q477" s="198"/>
      <c r="R477" s="198"/>
      <c r="S477" s="198"/>
      <c r="T477" s="198"/>
      <c r="U477" s="198"/>
      <c r="V477" s="198"/>
      <c r="W477" s="198"/>
      <c r="X477" s="198"/>
      <c r="Y477" s="198"/>
      <c r="Z477" s="198"/>
      <c r="AA477" s="198"/>
    </row>
    <row r="478">
      <c r="A478" s="201"/>
      <c r="B478" s="201"/>
      <c r="C478" s="198"/>
      <c r="D478" s="198"/>
      <c r="E478" s="198"/>
      <c r="F478" s="198"/>
      <c r="G478" s="198"/>
      <c r="H478" s="198"/>
      <c r="I478" s="198"/>
      <c r="J478" s="198"/>
      <c r="K478" s="198"/>
      <c r="M478" s="198"/>
      <c r="N478" s="198"/>
      <c r="O478" s="198"/>
      <c r="P478" s="198"/>
      <c r="Q478" s="198"/>
      <c r="R478" s="198"/>
      <c r="S478" s="198"/>
      <c r="T478" s="198"/>
      <c r="U478" s="198"/>
      <c r="V478" s="198"/>
      <c r="W478" s="198"/>
      <c r="X478" s="198"/>
      <c r="Y478" s="198"/>
      <c r="Z478" s="198"/>
      <c r="AA478" s="198"/>
    </row>
    <row r="479">
      <c r="A479" s="201"/>
      <c r="B479" s="201"/>
      <c r="C479" s="198"/>
      <c r="D479" s="198"/>
      <c r="E479" s="198"/>
      <c r="F479" s="198"/>
      <c r="G479" s="198"/>
      <c r="H479" s="198"/>
      <c r="I479" s="198"/>
      <c r="J479" s="198"/>
      <c r="K479" s="198"/>
      <c r="M479" s="198"/>
      <c r="N479" s="198"/>
      <c r="O479" s="198"/>
      <c r="P479" s="198"/>
      <c r="Q479" s="198"/>
      <c r="R479" s="198"/>
      <c r="S479" s="198"/>
      <c r="T479" s="198"/>
      <c r="U479" s="198"/>
      <c r="V479" s="198"/>
      <c r="W479" s="198"/>
      <c r="X479" s="198"/>
      <c r="Y479" s="198"/>
      <c r="Z479" s="198"/>
      <c r="AA479" s="198"/>
    </row>
    <row r="480">
      <c r="A480" s="201"/>
      <c r="B480" s="201"/>
      <c r="C480" s="198"/>
      <c r="D480" s="198"/>
      <c r="E480" s="198"/>
      <c r="F480" s="198"/>
      <c r="G480" s="198"/>
      <c r="H480" s="198"/>
      <c r="I480" s="198"/>
      <c r="J480" s="198"/>
      <c r="K480" s="198"/>
      <c r="M480" s="198"/>
      <c r="N480" s="198"/>
      <c r="O480" s="198"/>
      <c r="P480" s="198"/>
      <c r="Q480" s="198"/>
      <c r="R480" s="198"/>
      <c r="S480" s="198"/>
      <c r="T480" s="198"/>
      <c r="U480" s="198"/>
      <c r="V480" s="198"/>
      <c r="W480" s="198"/>
      <c r="X480" s="198"/>
      <c r="Y480" s="198"/>
      <c r="Z480" s="198"/>
      <c r="AA480" s="198"/>
    </row>
    <row r="481">
      <c r="A481" s="201"/>
      <c r="B481" s="201"/>
      <c r="C481" s="198"/>
      <c r="D481" s="198"/>
      <c r="E481" s="198"/>
      <c r="F481" s="198"/>
      <c r="G481" s="198"/>
      <c r="H481" s="198"/>
      <c r="I481" s="198"/>
      <c r="J481" s="198"/>
      <c r="K481" s="198"/>
      <c r="M481" s="198"/>
      <c r="N481" s="198"/>
      <c r="O481" s="198"/>
      <c r="P481" s="198"/>
      <c r="Q481" s="198"/>
      <c r="R481" s="198"/>
      <c r="S481" s="198"/>
      <c r="T481" s="198"/>
      <c r="U481" s="198"/>
      <c r="V481" s="198"/>
      <c r="W481" s="198"/>
      <c r="X481" s="198"/>
      <c r="Y481" s="198"/>
      <c r="Z481" s="198"/>
      <c r="AA481" s="198"/>
    </row>
    <row r="482">
      <c r="A482" s="201"/>
      <c r="B482" s="201"/>
      <c r="C482" s="198"/>
      <c r="D482" s="198"/>
      <c r="E482" s="198"/>
      <c r="F482" s="198"/>
      <c r="G482" s="198"/>
      <c r="H482" s="198"/>
      <c r="I482" s="198"/>
      <c r="J482" s="198"/>
      <c r="K482" s="198"/>
      <c r="M482" s="198"/>
      <c r="N482" s="198"/>
      <c r="O482" s="198"/>
      <c r="P482" s="198"/>
      <c r="Q482" s="198"/>
      <c r="R482" s="198"/>
      <c r="S482" s="198"/>
      <c r="T482" s="198"/>
      <c r="U482" s="198"/>
      <c r="V482" s="198"/>
      <c r="W482" s="198"/>
      <c r="X482" s="198"/>
      <c r="Y482" s="198"/>
      <c r="Z482" s="198"/>
      <c r="AA482" s="198"/>
    </row>
    <row r="483">
      <c r="A483" s="201"/>
      <c r="B483" s="201"/>
      <c r="C483" s="198"/>
      <c r="D483" s="198"/>
      <c r="E483" s="198"/>
      <c r="F483" s="198"/>
      <c r="G483" s="198"/>
      <c r="H483" s="198"/>
      <c r="I483" s="198"/>
      <c r="J483" s="198"/>
      <c r="K483" s="198"/>
      <c r="M483" s="198"/>
      <c r="N483" s="198"/>
      <c r="O483" s="198"/>
      <c r="P483" s="198"/>
      <c r="Q483" s="198"/>
      <c r="R483" s="198"/>
      <c r="S483" s="198"/>
      <c r="T483" s="198"/>
      <c r="U483" s="198"/>
      <c r="V483" s="198"/>
      <c r="W483" s="198"/>
      <c r="X483" s="198"/>
      <c r="Y483" s="198"/>
      <c r="Z483" s="198"/>
      <c r="AA483" s="198"/>
    </row>
    <row r="484">
      <c r="A484" s="201"/>
      <c r="B484" s="201"/>
      <c r="C484" s="198"/>
      <c r="D484" s="198"/>
      <c r="E484" s="198"/>
      <c r="F484" s="198"/>
      <c r="G484" s="198"/>
      <c r="H484" s="198"/>
      <c r="I484" s="198"/>
      <c r="J484" s="198"/>
      <c r="K484" s="198"/>
      <c r="M484" s="198"/>
      <c r="N484" s="198"/>
      <c r="O484" s="198"/>
      <c r="P484" s="198"/>
      <c r="Q484" s="198"/>
      <c r="R484" s="198"/>
      <c r="S484" s="198"/>
      <c r="T484" s="198"/>
      <c r="U484" s="198"/>
      <c r="V484" s="198"/>
      <c r="W484" s="198"/>
      <c r="X484" s="198"/>
      <c r="Y484" s="198"/>
      <c r="Z484" s="198"/>
      <c r="AA484" s="198"/>
    </row>
    <row r="485">
      <c r="A485" s="201"/>
      <c r="B485" s="201"/>
      <c r="C485" s="198"/>
      <c r="D485" s="198"/>
      <c r="E485" s="198"/>
      <c r="F485" s="198"/>
      <c r="G485" s="198"/>
      <c r="H485" s="198"/>
      <c r="I485" s="198"/>
      <c r="J485" s="198"/>
      <c r="K485" s="198"/>
      <c r="M485" s="198"/>
      <c r="N485" s="198"/>
      <c r="O485" s="198"/>
      <c r="P485" s="198"/>
      <c r="Q485" s="198"/>
      <c r="R485" s="198"/>
      <c r="S485" s="198"/>
      <c r="T485" s="198"/>
      <c r="U485" s="198"/>
      <c r="V485" s="198"/>
      <c r="W485" s="198"/>
      <c r="X485" s="198"/>
      <c r="Y485" s="198"/>
      <c r="Z485" s="198"/>
      <c r="AA485" s="198"/>
    </row>
    <row r="486">
      <c r="A486" s="201"/>
      <c r="B486" s="201"/>
      <c r="C486" s="198"/>
      <c r="D486" s="198"/>
      <c r="E486" s="198"/>
      <c r="F486" s="198"/>
      <c r="G486" s="198"/>
      <c r="H486" s="198"/>
      <c r="I486" s="198"/>
      <c r="J486" s="198"/>
      <c r="K486" s="198"/>
      <c r="M486" s="198"/>
      <c r="N486" s="198"/>
      <c r="O486" s="198"/>
      <c r="P486" s="198"/>
      <c r="Q486" s="198"/>
      <c r="R486" s="198"/>
      <c r="S486" s="198"/>
      <c r="T486" s="198"/>
      <c r="U486" s="198"/>
      <c r="V486" s="198"/>
      <c r="W486" s="198"/>
      <c r="X486" s="198"/>
      <c r="Y486" s="198"/>
      <c r="Z486" s="198"/>
      <c r="AA486" s="198"/>
    </row>
    <row r="487">
      <c r="A487" s="201"/>
      <c r="B487" s="201"/>
      <c r="C487" s="198"/>
      <c r="D487" s="198"/>
      <c r="E487" s="198"/>
      <c r="F487" s="198"/>
      <c r="G487" s="198"/>
      <c r="H487" s="198"/>
      <c r="I487" s="198"/>
      <c r="J487" s="198"/>
      <c r="K487" s="198"/>
      <c r="M487" s="198"/>
      <c r="N487" s="198"/>
      <c r="O487" s="198"/>
      <c r="P487" s="198"/>
      <c r="Q487" s="198"/>
      <c r="R487" s="198"/>
      <c r="S487" s="198"/>
      <c r="T487" s="198"/>
      <c r="U487" s="198"/>
      <c r="V487" s="198"/>
      <c r="W487" s="198"/>
      <c r="X487" s="198"/>
      <c r="Y487" s="198"/>
      <c r="Z487" s="198"/>
      <c r="AA487" s="198"/>
    </row>
    <row r="488">
      <c r="A488" s="201"/>
      <c r="B488" s="201"/>
      <c r="C488" s="198"/>
      <c r="D488" s="198"/>
      <c r="E488" s="198"/>
      <c r="F488" s="198"/>
      <c r="G488" s="198"/>
      <c r="H488" s="198"/>
      <c r="I488" s="198"/>
      <c r="J488" s="198"/>
      <c r="K488" s="198"/>
      <c r="M488" s="198"/>
      <c r="N488" s="198"/>
      <c r="O488" s="198"/>
      <c r="P488" s="198"/>
      <c r="Q488" s="198"/>
      <c r="R488" s="198"/>
      <c r="S488" s="198"/>
      <c r="T488" s="198"/>
      <c r="U488" s="198"/>
      <c r="V488" s="198"/>
      <c r="W488" s="198"/>
      <c r="X488" s="198"/>
      <c r="Y488" s="198"/>
      <c r="Z488" s="198"/>
      <c r="AA488" s="198"/>
    </row>
    <row r="489">
      <c r="A489" s="201"/>
      <c r="B489" s="201"/>
      <c r="C489" s="198"/>
      <c r="D489" s="198"/>
      <c r="E489" s="198"/>
      <c r="F489" s="198"/>
      <c r="G489" s="198"/>
      <c r="H489" s="198"/>
      <c r="I489" s="198"/>
      <c r="J489" s="198"/>
      <c r="K489" s="198"/>
      <c r="M489" s="198"/>
      <c r="N489" s="198"/>
      <c r="O489" s="198"/>
      <c r="P489" s="198"/>
      <c r="Q489" s="198"/>
      <c r="R489" s="198"/>
      <c r="S489" s="198"/>
      <c r="T489" s="198"/>
      <c r="U489" s="198"/>
      <c r="V489" s="198"/>
      <c r="W489" s="198"/>
      <c r="X489" s="198"/>
      <c r="Y489" s="198"/>
      <c r="Z489" s="198"/>
      <c r="AA489" s="198"/>
    </row>
    <row r="490">
      <c r="A490" s="201"/>
      <c r="B490" s="201"/>
      <c r="C490" s="198"/>
      <c r="D490" s="198"/>
      <c r="E490" s="198"/>
      <c r="F490" s="198"/>
      <c r="G490" s="198"/>
      <c r="H490" s="198"/>
      <c r="I490" s="198"/>
      <c r="J490" s="198"/>
      <c r="K490" s="198"/>
      <c r="M490" s="198"/>
      <c r="N490" s="198"/>
      <c r="O490" s="198"/>
      <c r="P490" s="198"/>
      <c r="Q490" s="198"/>
      <c r="R490" s="198"/>
      <c r="S490" s="198"/>
      <c r="T490" s="198"/>
      <c r="U490" s="198"/>
      <c r="V490" s="198"/>
      <c r="W490" s="198"/>
      <c r="X490" s="198"/>
      <c r="Y490" s="198"/>
      <c r="Z490" s="198"/>
      <c r="AA490" s="198"/>
    </row>
    <row r="491">
      <c r="A491" s="201"/>
      <c r="B491" s="201"/>
      <c r="C491" s="198"/>
      <c r="D491" s="198"/>
      <c r="E491" s="198"/>
      <c r="F491" s="198"/>
      <c r="G491" s="198"/>
      <c r="H491" s="198"/>
      <c r="I491" s="198"/>
      <c r="J491" s="198"/>
      <c r="K491" s="198"/>
      <c r="M491" s="198"/>
      <c r="N491" s="198"/>
      <c r="O491" s="198"/>
      <c r="P491" s="198"/>
      <c r="Q491" s="198"/>
      <c r="R491" s="198"/>
      <c r="S491" s="198"/>
      <c r="T491" s="198"/>
      <c r="U491" s="198"/>
      <c r="V491" s="198"/>
      <c r="W491" s="198"/>
      <c r="X491" s="198"/>
      <c r="Y491" s="198"/>
      <c r="Z491" s="198"/>
      <c r="AA491" s="198"/>
    </row>
    <row r="492">
      <c r="A492" s="201"/>
      <c r="B492" s="201"/>
      <c r="C492" s="198"/>
      <c r="D492" s="198"/>
      <c r="E492" s="198"/>
      <c r="F492" s="198"/>
      <c r="G492" s="198"/>
      <c r="H492" s="198"/>
      <c r="I492" s="198"/>
      <c r="J492" s="198"/>
      <c r="K492" s="198"/>
      <c r="M492" s="198"/>
      <c r="N492" s="198"/>
      <c r="O492" s="198"/>
      <c r="P492" s="198"/>
      <c r="Q492" s="198"/>
      <c r="R492" s="198"/>
      <c r="S492" s="198"/>
      <c r="T492" s="198"/>
      <c r="U492" s="198"/>
      <c r="V492" s="198"/>
      <c r="W492" s="198"/>
      <c r="X492" s="198"/>
      <c r="Y492" s="198"/>
      <c r="Z492" s="198"/>
      <c r="AA492" s="198"/>
    </row>
    <row r="493">
      <c r="A493" s="201"/>
      <c r="B493" s="201"/>
      <c r="C493" s="198"/>
      <c r="D493" s="198"/>
      <c r="E493" s="198"/>
      <c r="F493" s="198"/>
      <c r="G493" s="198"/>
      <c r="H493" s="198"/>
      <c r="I493" s="198"/>
      <c r="J493" s="198"/>
      <c r="K493" s="198"/>
      <c r="M493" s="198"/>
      <c r="N493" s="198"/>
      <c r="O493" s="198"/>
      <c r="P493" s="198"/>
      <c r="Q493" s="198"/>
      <c r="R493" s="198"/>
      <c r="S493" s="198"/>
      <c r="T493" s="198"/>
      <c r="U493" s="198"/>
      <c r="V493" s="198"/>
      <c r="W493" s="198"/>
      <c r="X493" s="198"/>
      <c r="Y493" s="198"/>
      <c r="Z493" s="198"/>
      <c r="AA493" s="198"/>
    </row>
    <row r="494">
      <c r="A494" s="201"/>
      <c r="B494" s="201"/>
      <c r="C494" s="198"/>
      <c r="D494" s="198"/>
      <c r="E494" s="198"/>
      <c r="F494" s="198"/>
      <c r="G494" s="198"/>
      <c r="H494" s="198"/>
      <c r="I494" s="198"/>
      <c r="J494" s="198"/>
      <c r="K494" s="198"/>
      <c r="M494" s="198"/>
      <c r="N494" s="198"/>
      <c r="O494" s="198"/>
      <c r="P494" s="198"/>
      <c r="Q494" s="198"/>
      <c r="R494" s="198"/>
      <c r="S494" s="198"/>
      <c r="T494" s="198"/>
      <c r="U494" s="198"/>
      <c r="V494" s="198"/>
      <c r="W494" s="198"/>
      <c r="X494" s="198"/>
      <c r="Y494" s="198"/>
      <c r="Z494" s="198"/>
      <c r="AA494" s="198"/>
    </row>
    <row r="495">
      <c r="A495" s="201"/>
      <c r="B495" s="201"/>
      <c r="C495" s="198"/>
      <c r="D495" s="198"/>
      <c r="E495" s="198"/>
      <c r="F495" s="198"/>
      <c r="G495" s="198"/>
      <c r="H495" s="198"/>
      <c r="I495" s="198"/>
      <c r="J495" s="198"/>
      <c r="K495" s="198"/>
      <c r="M495" s="198"/>
      <c r="N495" s="198"/>
      <c r="O495" s="198"/>
      <c r="P495" s="198"/>
      <c r="Q495" s="198"/>
      <c r="R495" s="198"/>
      <c r="S495" s="198"/>
      <c r="T495" s="198"/>
      <c r="U495" s="198"/>
      <c r="V495" s="198"/>
      <c r="W495" s="198"/>
      <c r="X495" s="198"/>
      <c r="Y495" s="198"/>
      <c r="Z495" s="198"/>
      <c r="AA495" s="198"/>
    </row>
    <row r="496">
      <c r="A496" s="201"/>
      <c r="B496" s="201"/>
      <c r="C496" s="198"/>
      <c r="D496" s="198"/>
      <c r="E496" s="198"/>
      <c r="F496" s="198"/>
      <c r="G496" s="198"/>
      <c r="H496" s="198"/>
      <c r="I496" s="198"/>
      <c r="J496" s="198"/>
      <c r="K496" s="198"/>
      <c r="M496" s="198"/>
      <c r="N496" s="198"/>
      <c r="O496" s="198"/>
      <c r="P496" s="198"/>
      <c r="Q496" s="198"/>
      <c r="R496" s="198"/>
      <c r="S496" s="198"/>
      <c r="T496" s="198"/>
      <c r="U496" s="198"/>
      <c r="V496" s="198"/>
      <c r="W496" s="198"/>
      <c r="X496" s="198"/>
      <c r="Y496" s="198"/>
      <c r="Z496" s="198"/>
      <c r="AA496" s="198"/>
    </row>
    <row r="497">
      <c r="A497" s="201"/>
      <c r="B497" s="201"/>
      <c r="C497" s="198"/>
      <c r="D497" s="198"/>
      <c r="E497" s="198"/>
      <c r="F497" s="198"/>
      <c r="G497" s="198"/>
      <c r="H497" s="198"/>
      <c r="I497" s="198"/>
      <c r="J497" s="198"/>
      <c r="K497" s="198"/>
      <c r="M497" s="198"/>
      <c r="N497" s="198"/>
      <c r="O497" s="198"/>
      <c r="P497" s="198"/>
      <c r="Q497" s="198"/>
      <c r="R497" s="198"/>
      <c r="S497" s="198"/>
      <c r="T497" s="198"/>
      <c r="U497" s="198"/>
      <c r="V497" s="198"/>
      <c r="W497" s="198"/>
      <c r="X497" s="198"/>
      <c r="Y497" s="198"/>
      <c r="Z497" s="198"/>
      <c r="AA497" s="198"/>
    </row>
    <row r="498">
      <c r="A498" s="201"/>
      <c r="B498" s="201"/>
      <c r="C498" s="198"/>
      <c r="D498" s="198"/>
      <c r="E498" s="198"/>
      <c r="F498" s="198"/>
      <c r="G498" s="198"/>
      <c r="H498" s="198"/>
      <c r="I498" s="198"/>
      <c r="J498" s="198"/>
      <c r="K498" s="198"/>
      <c r="M498" s="198"/>
      <c r="N498" s="198"/>
      <c r="O498" s="198"/>
      <c r="P498" s="198"/>
      <c r="Q498" s="198"/>
      <c r="R498" s="198"/>
      <c r="S498" s="198"/>
      <c r="T498" s="198"/>
      <c r="U498" s="198"/>
      <c r="V498" s="198"/>
      <c r="W498" s="198"/>
      <c r="X498" s="198"/>
      <c r="Y498" s="198"/>
      <c r="Z498" s="198"/>
      <c r="AA498" s="198"/>
    </row>
    <row r="499">
      <c r="A499" s="201"/>
      <c r="B499" s="201"/>
      <c r="C499" s="198"/>
      <c r="D499" s="198"/>
      <c r="E499" s="198"/>
      <c r="F499" s="198"/>
      <c r="G499" s="198"/>
      <c r="H499" s="198"/>
      <c r="I499" s="198"/>
      <c r="J499" s="198"/>
      <c r="K499" s="198"/>
      <c r="M499" s="198"/>
      <c r="N499" s="198"/>
      <c r="O499" s="198"/>
      <c r="P499" s="198"/>
      <c r="Q499" s="198"/>
      <c r="R499" s="198"/>
      <c r="S499" s="198"/>
      <c r="T499" s="198"/>
      <c r="U499" s="198"/>
      <c r="V499" s="198"/>
      <c r="W499" s="198"/>
      <c r="X499" s="198"/>
      <c r="Y499" s="198"/>
      <c r="Z499" s="198"/>
      <c r="AA499" s="198"/>
    </row>
    <row r="500">
      <c r="A500" s="201"/>
      <c r="B500" s="201"/>
      <c r="C500" s="198"/>
      <c r="D500" s="198"/>
      <c r="E500" s="198"/>
      <c r="F500" s="198"/>
      <c r="G500" s="198"/>
      <c r="H500" s="198"/>
      <c r="I500" s="198"/>
      <c r="J500" s="198"/>
      <c r="K500" s="198"/>
      <c r="M500" s="198"/>
      <c r="N500" s="198"/>
      <c r="O500" s="198"/>
      <c r="P500" s="198"/>
      <c r="Q500" s="198"/>
      <c r="R500" s="198"/>
      <c r="S500" s="198"/>
      <c r="T500" s="198"/>
      <c r="U500" s="198"/>
      <c r="V500" s="198"/>
      <c r="W500" s="198"/>
      <c r="X500" s="198"/>
      <c r="Y500" s="198"/>
      <c r="Z500" s="198"/>
      <c r="AA500" s="198"/>
    </row>
    <row r="501">
      <c r="A501" s="201"/>
      <c r="B501" s="201"/>
      <c r="C501" s="198"/>
      <c r="D501" s="198"/>
      <c r="E501" s="198"/>
      <c r="F501" s="198"/>
      <c r="G501" s="198"/>
      <c r="H501" s="198"/>
      <c r="I501" s="198"/>
      <c r="J501" s="198"/>
      <c r="K501" s="198"/>
      <c r="M501" s="198"/>
      <c r="N501" s="198"/>
      <c r="O501" s="198"/>
      <c r="P501" s="198"/>
      <c r="Q501" s="198"/>
      <c r="R501" s="198"/>
      <c r="S501" s="198"/>
      <c r="T501" s="198"/>
      <c r="U501" s="198"/>
      <c r="V501" s="198"/>
      <c r="W501" s="198"/>
      <c r="X501" s="198"/>
      <c r="Y501" s="198"/>
      <c r="Z501" s="198"/>
      <c r="AA501" s="198"/>
    </row>
    <row r="502">
      <c r="A502" s="201"/>
      <c r="B502" s="201"/>
      <c r="C502" s="198"/>
      <c r="D502" s="198"/>
      <c r="E502" s="198"/>
      <c r="F502" s="198"/>
      <c r="G502" s="198"/>
      <c r="H502" s="198"/>
      <c r="I502" s="198"/>
      <c r="J502" s="198"/>
      <c r="K502" s="198"/>
      <c r="M502" s="198"/>
      <c r="N502" s="198"/>
      <c r="O502" s="198"/>
      <c r="P502" s="198"/>
      <c r="Q502" s="198"/>
      <c r="R502" s="198"/>
      <c r="S502" s="198"/>
      <c r="T502" s="198"/>
      <c r="U502" s="198"/>
      <c r="V502" s="198"/>
      <c r="W502" s="198"/>
      <c r="X502" s="198"/>
      <c r="Y502" s="198"/>
      <c r="Z502" s="198"/>
      <c r="AA502" s="198"/>
    </row>
    <row r="503">
      <c r="A503" s="201"/>
      <c r="B503" s="201"/>
      <c r="C503" s="198"/>
      <c r="D503" s="198"/>
      <c r="E503" s="198"/>
      <c r="F503" s="198"/>
      <c r="G503" s="198"/>
      <c r="H503" s="198"/>
      <c r="I503" s="198"/>
      <c r="J503" s="198"/>
      <c r="K503" s="198"/>
      <c r="M503" s="198"/>
      <c r="N503" s="198"/>
      <c r="O503" s="198"/>
      <c r="P503" s="198"/>
      <c r="Q503" s="198"/>
      <c r="R503" s="198"/>
      <c r="S503" s="198"/>
      <c r="T503" s="198"/>
      <c r="U503" s="198"/>
      <c r="V503" s="198"/>
      <c r="W503" s="198"/>
      <c r="X503" s="198"/>
      <c r="Y503" s="198"/>
      <c r="Z503" s="198"/>
      <c r="AA503" s="198"/>
    </row>
    <row r="504">
      <c r="A504" s="201"/>
      <c r="B504" s="201"/>
      <c r="C504" s="198"/>
      <c r="D504" s="198"/>
      <c r="E504" s="198"/>
      <c r="F504" s="198"/>
      <c r="G504" s="198"/>
      <c r="H504" s="198"/>
      <c r="I504" s="198"/>
      <c r="J504" s="198"/>
      <c r="K504" s="198"/>
      <c r="M504" s="198"/>
      <c r="N504" s="198"/>
      <c r="O504" s="198"/>
      <c r="P504" s="198"/>
      <c r="Q504" s="198"/>
      <c r="R504" s="198"/>
      <c r="S504" s="198"/>
      <c r="T504" s="198"/>
      <c r="U504" s="198"/>
      <c r="V504" s="198"/>
      <c r="W504" s="198"/>
      <c r="X504" s="198"/>
      <c r="Y504" s="198"/>
      <c r="Z504" s="198"/>
      <c r="AA504" s="198"/>
    </row>
    <row r="505">
      <c r="A505" s="201"/>
      <c r="B505" s="201"/>
      <c r="C505" s="198"/>
      <c r="D505" s="198"/>
      <c r="E505" s="198"/>
      <c r="F505" s="198"/>
      <c r="G505" s="198"/>
      <c r="H505" s="198"/>
      <c r="I505" s="198"/>
      <c r="J505" s="198"/>
      <c r="K505" s="198"/>
      <c r="M505" s="198"/>
      <c r="N505" s="198"/>
      <c r="O505" s="198"/>
      <c r="P505" s="198"/>
      <c r="Q505" s="198"/>
      <c r="R505" s="198"/>
      <c r="S505" s="198"/>
      <c r="T505" s="198"/>
      <c r="U505" s="198"/>
      <c r="V505" s="198"/>
      <c r="W505" s="198"/>
      <c r="X505" s="198"/>
      <c r="Y505" s="198"/>
      <c r="Z505" s="198"/>
      <c r="AA505" s="198"/>
    </row>
    <row r="506">
      <c r="A506" s="201"/>
      <c r="B506" s="201"/>
      <c r="C506" s="198"/>
      <c r="D506" s="198"/>
      <c r="E506" s="198"/>
      <c r="F506" s="198"/>
      <c r="G506" s="198"/>
      <c r="H506" s="198"/>
      <c r="I506" s="198"/>
      <c r="J506" s="198"/>
      <c r="K506" s="198"/>
      <c r="M506" s="198"/>
      <c r="N506" s="198"/>
      <c r="O506" s="198"/>
      <c r="P506" s="198"/>
      <c r="Q506" s="198"/>
      <c r="R506" s="198"/>
      <c r="S506" s="198"/>
      <c r="T506" s="198"/>
      <c r="U506" s="198"/>
      <c r="V506" s="198"/>
      <c r="W506" s="198"/>
      <c r="X506" s="198"/>
      <c r="Y506" s="198"/>
      <c r="Z506" s="198"/>
      <c r="AA506" s="198"/>
    </row>
    <row r="507">
      <c r="A507" s="201"/>
      <c r="B507" s="201"/>
      <c r="C507" s="198"/>
      <c r="D507" s="198"/>
      <c r="E507" s="198"/>
      <c r="F507" s="198"/>
      <c r="G507" s="198"/>
      <c r="H507" s="198"/>
      <c r="I507" s="198"/>
      <c r="J507" s="198"/>
      <c r="K507" s="198"/>
      <c r="M507" s="198"/>
      <c r="N507" s="198"/>
      <c r="O507" s="198"/>
      <c r="P507" s="198"/>
      <c r="Q507" s="198"/>
      <c r="R507" s="198"/>
      <c r="S507" s="198"/>
      <c r="T507" s="198"/>
      <c r="U507" s="198"/>
      <c r="V507" s="198"/>
      <c r="W507" s="198"/>
      <c r="X507" s="198"/>
      <c r="Y507" s="198"/>
      <c r="Z507" s="198"/>
      <c r="AA507" s="198"/>
    </row>
    <row r="508">
      <c r="A508" s="201"/>
      <c r="B508" s="201"/>
      <c r="C508" s="198"/>
      <c r="D508" s="198"/>
      <c r="E508" s="198"/>
      <c r="F508" s="198"/>
      <c r="G508" s="198"/>
      <c r="H508" s="198"/>
      <c r="I508" s="198"/>
      <c r="J508" s="198"/>
      <c r="K508" s="198"/>
      <c r="M508" s="198"/>
      <c r="N508" s="198"/>
      <c r="O508" s="198"/>
      <c r="P508" s="198"/>
      <c r="Q508" s="198"/>
      <c r="R508" s="198"/>
      <c r="S508" s="198"/>
      <c r="T508" s="198"/>
      <c r="U508" s="198"/>
      <c r="V508" s="198"/>
      <c r="W508" s="198"/>
      <c r="X508" s="198"/>
      <c r="Y508" s="198"/>
      <c r="Z508" s="198"/>
      <c r="AA508" s="198"/>
    </row>
    <row r="509">
      <c r="A509" s="201"/>
      <c r="B509" s="201"/>
      <c r="C509" s="198"/>
      <c r="D509" s="198"/>
      <c r="E509" s="198"/>
      <c r="F509" s="198"/>
      <c r="G509" s="198"/>
      <c r="H509" s="198"/>
      <c r="I509" s="198"/>
      <c r="J509" s="198"/>
      <c r="K509" s="198"/>
      <c r="M509" s="198"/>
      <c r="N509" s="198"/>
      <c r="O509" s="198"/>
      <c r="P509" s="198"/>
      <c r="Q509" s="198"/>
      <c r="R509" s="198"/>
      <c r="S509" s="198"/>
      <c r="T509" s="198"/>
      <c r="U509" s="198"/>
      <c r="V509" s="198"/>
      <c r="W509" s="198"/>
      <c r="X509" s="198"/>
      <c r="Y509" s="198"/>
      <c r="Z509" s="198"/>
      <c r="AA509" s="198"/>
    </row>
    <row r="510">
      <c r="A510" s="201"/>
      <c r="B510" s="201"/>
      <c r="C510" s="198"/>
      <c r="D510" s="198"/>
      <c r="E510" s="198"/>
      <c r="F510" s="198"/>
      <c r="G510" s="198"/>
      <c r="H510" s="198"/>
      <c r="I510" s="198"/>
      <c r="J510" s="198"/>
      <c r="K510" s="198"/>
      <c r="M510" s="198"/>
      <c r="N510" s="198"/>
      <c r="O510" s="198"/>
      <c r="P510" s="198"/>
      <c r="Q510" s="198"/>
      <c r="R510" s="198"/>
      <c r="S510" s="198"/>
      <c r="T510" s="198"/>
      <c r="U510" s="198"/>
      <c r="V510" s="198"/>
      <c r="W510" s="198"/>
      <c r="X510" s="198"/>
      <c r="Y510" s="198"/>
      <c r="Z510" s="198"/>
      <c r="AA510" s="198"/>
    </row>
    <row r="511">
      <c r="A511" s="201"/>
      <c r="B511" s="201"/>
      <c r="C511" s="198"/>
      <c r="D511" s="198"/>
      <c r="E511" s="198"/>
      <c r="F511" s="198"/>
      <c r="G511" s="198"/>
      <c r="H511" s="198"/>
      <c r="I511" s="198"/>
      <c r="J511" s="198"/>
      <c r="K511" s="198"/>
      <c r="M511" s="198"/>
      <c r="N511" s="198"/>
      <c r="O511" s="198"/>
      <c r="P511" s="198"/>
      <c r="Q511" s="198"/>
      <c r="R511" s="198"/>
      <c r="S511" s="198"/>
      <c r="T511" s="198"/>
      <c r="U511" s="198"/>
      <c r="V511" s="198"/>
      <c r="W511" s="198"/>
      <c r="X511" s="198"/>
      <c r="Y511" s="198"/>
      <c r="Z511" s="198"/>
      <c r="AA511" s="198"/>
    </row>
    <row r="512">
      <c r="A512" s="201"/>
      <c r="B512" s="201"/>
      <c r="C512" s="198"/>
      <c r="D512" s="198"/>
      <c r="E512" s="198"/>
      <c r="F512" s="198"/>
      <c r="G512" s="198"/>
      <c r="H512" s="198"/>
      <c r="I512" s="198"/>
      <c r="J512" s="198"/>
      <c r="K512" s="198"/>
      <c r="M512" s="198"/>
      <c r="N512" s="198"/>
      <c r="O512" s="198"/>
      <c r="P512" s="198"/>
      <c r="Q512" s="198"/>
      <c r="R512" s="198"/>
      <c r="S512" s="198"/>
      <c r="T512" s="198"/>
      <c r="U512" s="198"/>
      <c r="V512" s="198"/>
      <c r="W512" s="198"/>
      <c r="X512" s="198"/>
      <c r="Y512" s="198"/>
      <c r="Z512" s="198"/>
      <c r="AA512" s="198"/>
    </row>
    <row r="513">
      <c r="A513" s="201"/>
      <c r="B513" s="201"/>
      <c r="C513" s="198"/>
      <c r="D513" s="198"/>
      <c r="E513" s="198"/>
      <c r="F513" s="198"/>
      <c r="G513" s="198"/>
      <c r="H513" s="198"/>
      <c r="I513" s="198"/>
      <c r="J513" s="198"/>
      <c r="K513" s="198"/>
      <c r="M513" s="198"/>
      <c r="N513" s="198"/>
      <c r="O513" s="198"/>
      <c r="P513" s="198"/>
      <c r="Q513" s="198"/>
      <c r="R513" s="198"/>
      <c r="S513" s="198"/>
      <c r="T513" s="198"/>
      <c r="U513" s="198"/>
      <c r="V513" s="198"/>
      <c r="W513" s="198"/>
      <c r="X513" s="198"/>
      <c r="Y513" s="198"/>
      <c r="Z513" s="198"/>
      <c r="AA513" s="198"/>
    </row>
    <row r="514">
      <c r="A514" s="201"/>
      <c r="B514" s="201"/>
      <c r="C514" s="198"/>
      <c r="D514" s="198"/>
      <c r="E514" s="198"/>
      <c r="F514" s="198"/>
      <c r="G514" s="198"/>
      <c r="H514" s="198"/>
      <c r="I514" s="198"/>
      <c r="J514" s="198"/>
      <c r="K514" s="198"/>
      <c r="M514" s="198"/>
      <c r="N514" s="198"/>
      <c r="O514" s="198"/>
      <c r="P514" s="198"/>
      <c r="Q514" s="198"/>
      <c r="R514" s="198"/>
      <c r="S514" s="198"/>
      <c r="T514" s="198"/>
      <c r="U514" s="198"/>
      <c r="V514" s="198"/>
      <c r="W514" s="198"/>
      <c r="X514" s="198"/>
      <c r="Y514" s="198"/>
      <c r="Z514" s="198"/>
      <c r="AA514" s="198"/>
    </row>
    <row r="515">
      <c r="A515" s="201"/>
      <c r="B515" s="201"/>
      <c r="C515" s="198"/>
      <c r="D515" s="198"/>
      <c r="E515" s="198"/>
      <c r="F515" s="198"/>
      <c r="G515" s="198"/>
      <c r="H515" s="198"/>
      <c r="I515" s="198"/>
      <c r="J515" s="198"/>
      <c r="K515" s="198"/>
      <c r="M515" s="198"/>
      <c r="N515" s="198"/>
      <c r="O515" s="198"/>
      <c r="P515" s="198"/>
      <c r="Q515" s="198"/>
      <c r="R515" s="198"/>
      <c r="S515" s="198"/>
      <c r="T515" s="198"/>
      <c r="U515" s="198"/>
      <c r="V515" s="198"/>
      <c r="W515" s="198"/>
      <c r="X515" s="198"/>
      <c r="Y515" s="198"/>
      <c r="Z515" s="198"/>
      <c r="AA515" s="198"/>
    </row>
    <row r="516">
      <c r="A516" s="201"/>
      <c r="B516" s="201"/>
      <c r="C516" s="198"/>
      <c r="D516" s="198"/>
      <c r="E516" s="198"/>
      <c r="F516" s="198"/>
      <c r="G516" s="198"/>
      <c r="H516" s="198"/>
      <c r="I516" s="198"/>
      <c r="J516" s="198"/>
      <c r="K516" s="198"/>
      <c r="M516" s="198"/>
      <c r="N516" s="198"/>
      <c r="O516" s="198"/>
      <c r="P516" s="198"/>
      <c r="Q516" s="198"/>
      <c r="R516" s="198"/>
      <c r="S516" s="198"/>
      <c r="T516" s="198"/>
      <c r="U516" s="198"/>
      <c r="V516" s="198"/>
      <c r="W516" s="198"/>
      <c r="X516" s="198"/>
      <c r="Y516" s="198"/>
      <c r="Z516" s="198"/>
      <c r="AA516" s="198"/>
    </row>
    <row r="517">
      <c r="A517" s="201"/>
      <c r="B517" s="201"/>
      <c r="C517" s="198"/>
      <c r="D517" s="198"/>
      <c r="E517" s="198"/>
      <c r="F517" s="198"/>
      <c r="G517" s="198"/>
      <c r="H517" s="198"/>
      <c r="I517" s="198"/>
      <c r="J517" s="198"/>
      <c r="K517" s="198"/>
      <c r="M517" s="198"/>
      <c r="N517" s="198"/>
      <c r="O517" s="198"/>
      <c r="P517" s="198"/>
      <c r="Q517" s="198"/>
      <c r="R517" s="198"/>
      <c r="S517" s="198"/>
      <c r="T517" s="198"/>
      <c r="U517" s="198"/>
      <c r="V517" s="198"/>
      <c r="W517" s="198"/>
      <c r="X517" s="198"/>
      <c r="Y517" s="198"/>
      <c r="Z517" s="198"/>
      <c r="AA517" s="198"/>
    </row>
    <row r="518">
      <c r="A518" s="201"/>
      <c r="B518" s="201"/>
      <c r="C518" s="198"/>
      <c r="D518" s="198"/>
      <c r="E518" s="198"/>
      <c r="F518" s="198"/>
      <c r="G518" s="198"/>
      <c r="H518" s="198"/>
      <c r="I518" s="198"/>
      <c r="J518" s="198"/>
      <c r="K518" s="198"/>
      <c r="M518" s="198"/>
      <c r="N518" s="198"/>
      <c r="O518" s="198"/>
      <c r="P518" s="198"/>
      <c r="Q518" s="198"/>
      <c r="R518" s="198"/>
      <c r="S518" s="198"/>
      <c r="T518" s="198"/>
      <c r="U518" s="198"/>
      <c r="V518" s="198"/>
      <c r="W518" s="198"/>
      <c r="X518" s="198"/>
      <c r="Y518" s="198"/>
      <c r="Z518" s="198"/>
      <c r="AA518" s="198"/>
    </row>
    <row r="519">
      <c r="A519" s="201"/>
      <c r="B519" s="201"/>
      <c r="C519" s="198"/>
      <c r="D519" s="198"/>
      <c r="E519" s="198"/>
      <c r="F519" s="198"/>
      <c r="G519" s="198"/>
      <c r="H519" s="198"/>
      <c r="I519" s="198"/>
      <c r="J519" s="198"/>
      <c r="K519" s="198"/>
      <c r="M519" s="198"/>
      <c r="N519" s="198"/>
      <c r="O519" s="198"/>
      <c r="P519" s="198"/>
      <c r="Q519" s="198"/>
      <c r="R519" s="198"/>
      <c r="S519" s="198"/>
      <c r="T519" s="198"/>
      <c r="U519" s="198"/>
      <c r="V519" s="198"/>
      <c r="W519" s="198"/>
      <c r="X519" s="198"/>
      <c r="Y519" s="198"/>
      <c r="Z519" s="198"/>
      <c r="AA519" s="198"/>
    </row>
    <row r="520">
      <c r="A520" s="201"/>
      <c r="B520" s="201"/>
      <c r="C520" s="198"/>
      <c r="D520" s="198"/>
      <c r="E520" s="198"/>
      <c r="F520" s="198"/>
      <c r="G520" s="198"/>
      <c r="H520" s="198"/>
      <c r="I520" s="198"/>
      <c r="J520" s="198"/>
      <c r="K520" s="198"/>
      <c r="M520" s="198"/>
      <c r="N520" s="198"/>
      <c r="O520" s="198"/>
      <c r="P520" s="198"/>
      <c r="Q520" s="198"/>
      <c r="R520" s="198"/>
      <c r="S520" s="198"/>
      <c r="T520" s="198"/>
      <c r="U520" s="198"/>
      <c r="V520" s="198"/>
      <c r="W520" s="198"/>
      <c r="X520" s="198"/>
      <c r="Y520" s="198"/>
      <c r="Z520" s="198"/>
      <c r="AA520" s="198"/>
    </row>
    <row r="521">
      <c r="A521" s="201"/>
      <c r="B521" s="201"/>
      <c r="C521" s="198"/>
      <c r="D521" s="198"/>
      <c r="E521" s="198"/>
      <c r="F521" s="198"/>
      <c r="G521" s="198"/>
      <c r="H521" s="198"/>
      <c r="I521" s="198"/>
      <c r="J521" s="198"/>
      <c r="K521" s="198"/>
      <c r="M521" s="198"/>
      <c r="N521" s="198"/>
      <c r="O521" s="198"/>
      <c r="P521" s="198"/>
      <c r="Q521" s="198"/>
      <c r="R521" s="198"/>
      <c r="S521" s="198"/>
      <c r="T521" s="198"/>
      <c r="U521" s="198"/>
      <c r="V521" s="198"/>
      <c r="W521" s="198"/>
      <c r="X521" s="198"/>
      <c r="Y521" s="198"/>
      <c r="Z521" s="198"/>
      <c r="AA521" s="198"/>
    </row>
    <row r="522">
      <c r="A522" s="201"/>
      <c r="B522" s="201"/>
      <c r="C522" s="198"/>
      <c r="D522" s="198"/>
      <c r="E522" s="198"/>
      <c r="F522" s="198"/>
      <c r="G522" s="198"/>
      <c r="H522" s="198"/>
      <c r="I522" s="198"/>
      <c r="J522" s="198"/>
      <c r="K522" s="198"/>
      <c r="M522" s="198"/>
      <c r="N522" s="198"/>
      <c r="O522" s="198"/>
      <c r="P522" s="198"/>
      <c r="Q522" s="198"/>
      <c r="R522" s="198"/>
      <c r="S522" s="198"/>
      <c r="T522" s="198"/>
      <c r="U522" s="198"/>
      <c r="V522" s="198"/>
      <c r="W522" s="198"/>
      <c r="X522" s="198"/>
      <c r="Y522" s="198"/>
      <c r="Z522" s="198"/>
      <c r="AA522" s="198"/>
    </row>
    <row r="523">
      <c r="A523" s="201"/>
      <c r="B523" s="201"/>
      <c r="C523" s="198"/>
      <c r="D523" s="198"/>
      <c r="E523" s="198"/>
      <c r="F523" s="198"/>
      <c r="G523" s="198"/>
      <c r="H523" s="198"/>
      <c r="I523" s="198"/>
      <c r="J523" s="198"/>
      <c r="K523" s="198"/>
      <c r="M523" s="198"/>
      <c r="N523" s="198"/>
      <c r="O523" s="198"/>
      <c r="P523" s="198"/>
      <c r="Q523" s="198"/>
      <c r="R523" s="198"/>
      <c r="S523" s="198"/>
      <c r="T523" s="198"/>
      <c r="U523" s="198"/>
      <c r="V523" s="198"/>
      <c r="W523" s="198"/>
      <c r="X523" s="198"/>
      <c r="Y523" s="198"/>
      <c r="Z523" s="198"/>
      <c r="AA523" s="198"/>
    </row>
    <row r="524">
      <c r="A524" s="201"/>
      <c r="B524" s="201"/>
      <c r="C524" s="198"/>
      <c r="D524" s="198"/>
      <c r="E524" s="198"/>
      <c r="F524" s="198"/>
      <c r="G524" s="198"/>
      <c r="H524" s="198"/>
      <c r="I524" s="198"/>
      <c r="J524" s="198"/>
      <c r="K524" s="198"/>
      <c r="M524" s="198"/>
      <c r="N524" s="198"/>
      <c r="O524" s="198"/>
      <c r="P524" s="198"/>
      <c r="Q524" s="198"/>
      <c r="R524" s="198"/>
      <c r="S524" s="198"/>
      <c r="T524" s="198"/>
      <c r="U524" s="198"/>
      <c r="V524" s="198"/>
      <c r="W524" s="198"/>
      <c r="X524" s="198"/>
      <c r="Y524" s="198"/>
      <c r="Z524" s="198"/>
      <c r="AA524" s="198"/>
    </row>
    <row r="525">
      <c r="A525" s="201"/>
      <c r="B525" s="201"/>
      <c r="C525" s="198"/>
      <c r="D525" s="198"/>
      <c r="E525" s="198"/>
      <c r="F525" s="198"/>
      <c r="G525" s="198"/>
      <c r="H525" s="198"/>
      <c r="I525" s="198"/>
      <c r="J525" s="198"/>
      <c r="K525" s="198"/>
      <c r="M525" s="198"/>
      <c r="N525" s="198"/>
      <c r="O525" s="198"/>
      <c r="P525" s="198"/>
      <c r="Q525" s="198"/>
      <c r="R525" s="198"/>
      <c r="S525" s="198"/>
      <c r="T525" s="198"/>
      <c r="U525" s="198"/>
      <c r="V525" s="198"/>
      <c r="W525" s="198"/>
      <c r="X525" s="198"/>
      <c r="Y525" s="198"/>
      <c r="Z525" s="198"/>
      <c r="AA525" s="198"/>
    </row>
    <row r="526">
      <c r="A526" s="201"/>
      <c r="B526" s="201"/>
      <c r="C526" s="198"/>
      <c r="D526" s="198"/>
      <c r="E526" s="198"/>
      <c r="F526" s="198"/>
      <c r="G526" s="198"/>
      <c r="H526" s="198"/>
      <c r="I526" s="198"/>
      <c r="J526" s="198"/>
      <c r="K526" s="198"/>
      <c r="M526" s="198"/>
      <c r="N526" s="198"/>
      <c r="O526" s="198"/>
      <c r="P526" s="198"/>
      <c r="Q526" s="198"/>
      <c r="R526" s="198"/>
      <c r="S526" s="198"/>
      <c r="T526" s="198"/>
      <c r="U526" s="198"/>
      <c r="V526" s="198"/>
      <c r="W526" s="198"/>
      <c r="X526" s="198"/>
      <c r="Y526" s="198"/>
      <c r="Z526" s="198"/>
      <c r="AA526" s="198"/>
    </row>
    <row r="527">
      <c r="A527" s="201"/>
      <c r="B527" s="201"/>
      <c r="C527" s="198"/>
      <c r="D527" s="198"/>
      <c r="E527" s="198"/>
      <c r="F527" s="198"/>
      <c r="G527" s="198"/>
      <c r="H527" s="198"/>
      <c r="I527" s="198"/>
      <c r="J527" s="198"/>
      <c r="K527" s="198"/>
      <c r="M527" s="198"/>
      <c r="N527" s="198"/>
      <c r="O527" s="198"/>
      <c r="P527" s="198"/>
      <c r="Q527" s="198"/>
      <c r="R527" s="198"/>
      <c r="S527" s="198"/>
      <c r="T527" s="198"/>
      <c r="U527" s="198"/>
      <c r="V527" s="198"/>
      <c r="W527" s="198"/>
      <c r="X527" s="198"/>
      <c r="Y527" s="198"/>
      <c r="Z527" s="198"/>
      <c r="AA527" s="198"/>
    </row>
    <row r="528">
      <c r="A528" s="201"/>
      <c r="B528" s="201"/>
      <c r="C528" s="198"/>
      <c r="D528" s="198"/>
      <c r="E528" s="198"/>
      <c r="F528" s="198"/>
      <c r="G528" s="198"/>
      <c r="H528" s="198"/>
      <c r="I528" s="198"/>
      <c r="J528" s="198"/>
      <c r="K528" s="198"/>
      <c r="M528" s="198"/>
      <c r="N528" s="198"/>
      <c r="O528" s="198"/>
      <c r="P528" s="198"/>
      <c r="Q528" s="198"/>
      <c r="R528" s="198"/>
      <c r="S528" s="198"/>
      <c r="T528" s="198"/>
      <c r="U528" s="198"/>
      <c r="V528" s="198"/>
      <c r="W528" s="198"/>
      <c r="X528" s="198"/>
      <c r="Y528" s="198"/>
      <c r="Z528" s="198"/>
      <c r="AA528" s="198"/>
    </row>
    <row r="529">
      <c r="A529" s="201"/>
      <c r="B529" s="201"/>
      <c r="C529" s="198"/>
      <c r="D529" s="198"/>
      <c r="E529" s="198"/>
      <c r="F529" s="198"/>
      <c r="G529" s="198"/>
      <c r="H529" s="198"/>
      <c r="I529" s="198"/>
      <c r="J529" s="198"/>
      <c r="K529" s="198"/>
      <c r="M529" s="198"/>
      <c r="N529" s="198"/>
      <c r="O529" s="198"/>
      <c r="P529" s="198"/>
      <c r="Q529" s="198"/>
      <c r="R529" s="198"/>
      <c r="S529" s="198"/>
      <c r="T529" s="198"/>
      <c r="U529" s="198"/>
      <c r="V529" s="198"/>
      <c r="W529" s="198"/>
      <c r="X529" s="198"/>
      <c r="Y529" s="198"/>
      <c r="Z529" s="198"/>
      <c r="AA529" s="198"/>
    </row>
    <row r="530">
      <c r="A530" s="201"/>
      <c r="B530" s="201"/>
      <c r="C530" s="198"/>
      <c r="D530" s="198"/>
      <c r="E530" s="198"/>
      <c r="F530" s="198"/>
      <c r="G530" s="198"/>
      <c r="H530" s="198"/>
      <c r="I530" s="198"/>
      <c r="J530" s="198"/>
      <c r="K530" s="198"/>
      <c r="M530" s="198"/>
      <c r="N530" s="198"/>
      <c r="O530" s="198"/>
      <c r="P530" s="198"/>
      <c r="Q530" s="198"/>
      <c r="R530" s="198"/>
      <c r="S530" s="198"/>
      <c r="T530" s="198"/>
      <c r="U530" s="198"/>
      <c r="V530" s="198"/>
      <c r="W530" s="198"/>
      <c r="X530" s="198"/>
      <c r="Y530" s="198"/>
      <c r="Z530" s="198"/>
      <c r="AA530" s="198"/>
    </row>
    <row r="531">
      <c r="A531" s="201"/>
      <c r="B531" s="201"/>
      <c r="C531" s="198"/>
      <c r="D531" s="198"/>
      <c r="E531" s="198"/>
      <c r="F531" s="198"/>
      <c r="G531" s="198"/>
      <c r="H531" s="198"/>
      <c r="I531" s="198"/>
      <c r="J531" s="198"/>
      <c r="K531" s="198"/>
      <c r="M531" s="198"/>
      <c r="N531" s="198"/>
      <c r="O531" s="198"/>
      <c r="P531" s="198"/>
      <c r="Q531" s="198"/>
      <c r="R531" s="198"/>
      <c r="S531" s="198"/>
      <c r="T531" s="198"/>
      <c r="U531" s="198"/>
      <c r="V531" s="198"/>
      <c r="W531" s="198"/>
      <c r="X531" s="198"/>
      <c r="Y531" s="198"/>
      <c r="Z531" s="198"/>
      <c r="AA531" s="198"/>
    </row>
    <row r="532">
      <c r="A532" s="201"/>
      <c r="B532" s="201"/>
      <c r="C532" s="198"/>
      <c r="D532" s="198"/>
      <c r="E532" s="198"/>
      <c r="F532" s="198"/>
      <c r="G532" s="198"/>
      <c r="H532" s="198"/>
      <c r="I532" s="198"/>
      <c r="J532" s="198"/>
      <c r="K532" s="198"/>
      <c r="M532" s="198"/>
      <c r="N532" s="198"/>
      <c r="O532" s="198"/>
      <c r="P532" s="198"/>
      <c r="Q532" s="198"/>
      <c r="R532" s="198"/>
      <c r="S532" s="198"/>
      <c r="T532" s="198"/>
      <c r="U532" s="198"/>
      <c r="V532" s="198"/>
      <c r="W532" s="198"/>
      <c r="X532" s="198"/>
      <c r="Y532" s="198"/>
      <c r="Z532" s="198"/>
      <c r="AA532" s="198"/>
    </row>
    <row r="533">
      <c r="A533" s="201"/>
      <c r="B533" s="201"/>
      <c r="C533" s="198"/>
      <c r="D533" s="198"/>
      <c r="E533" s="198"/>
      <c r="F533" s="198"/>
      <c r="G533" s="198"/>
      <c r="H533" s="198"/>
      <c r="I533" s="198"/>
      <c r="J533" s="198"/>
      <c r="K533" s="198"/>
      <c r="M533" s="198"/>
      <c r="N533" s="198"/>
      <c r="O533" s="198"/>
      <c r="P533" s="198"/>
      <c r="Q533" s="198"/>
      <c r="R533" s="198"/>
      <c r="S533" s="198"/>
      <c r="T533" s="198"/>
      <c r="U533" s="198"/>
      <c r="V533" s="198"/>
      <c r="W533" s="198"/>
      <c r="X533" s="198"/>
      <c r="Y533" s="198"/>
      <c r="Z533" s="198"/>
      <c r="AA533" s="198"/>
    </row>
    <row r="534">
      <c r="A534" s="201"/>
      <c r="B534" s="201"/>
      <c r="C534" s="198"/>
      <c r="D534" s="198"/>
      <c r="E534" s="198"/>
      <c r="F534" s="198"/>
      <c r="G534" s="198"/>
      <c r="H534" s="198"/>
      <c r="I534" s="198"/>
      <c r="J534" s="198"/>
      <c r="K534" s="198"/>
      <c r="M534" s="198"/>
      <c r="N534" s="198"/>
      <c r="O534" s="198"/>
      <c r="P534" s="198"/>
      <c r="Q534" s="198"/>
      <c r="R534" s="198"/>
      <c r="S534" s="198"/>
      <c r="T534" s="198"/>
      <c r="U534" s="198"/>
      <c r="V534" s="198"/>
      <c r="W534" s="198"/>
      <c r="X534" s="198"/>
      <c r="Y534" s="198"/>
      <c r="Z534" s="198"/>
      <c r="AA534" s="198"/>
    </row>
    <row r="535">
      <c r="A535" s="201"/>
      <c r="B535" s="201"/>
      <c r="C535" s="198"/>
      <c r="D535" s="198"/>
      <c r="E535" s="198"/>
      <c r="F535" s="198"/>
      <c r="G535" s="198"/>
      <c r="H535" s="198"/>
      <c r="I535" s="198"/>
      <c r="J535" s="198"/>
      <c r="K535" s="198"/>
      <c r="M535" s="198"/>
      <c r="N535" s="198"/>
      <c r="O535" s="198"/>
      <c r="P535" s="198"/>
      <c r="Q535" s="198"/>
      <c r="R535" s="198"/>
      <c r="S535" s="198"/>
      <c r="T535" s="198"/>
      <c r="U535" s="198"/>
      <c r="V535" s="198"/>
      <c r="W535" s="198"/>
      <c r="X535" s="198"/>
      <c r="Y535" s="198"/>
      <c r="Z535" s="198"/>
      <c r="AA535" s="198"/>
    </row>
    <row r="536">
      <c r="A536" s="201"/>
      <c r="B536" s="201"/>
      <c r="C536" s="198"/>
      <c r="D536" s="198"/>
      <c r="E536" s="198"/>
      <c r="F536" s="198"/>
      <c r="G536" s="198"/>
      <c r="H536" s="198"/>
      <c r="I536" s="198"/>
      <c r="J536" s="198"/>
      <c r="K536" s="198"/>
      <c r="M536" s="198"/>
      <c r="N536" s="198"/>
      <c r="O536" s="198"/>
      <c r="P536" s="198"/>
      <c r="Q536" s="198"/>
      <c r="R536" s="198"/>
      <c r="S536" s="198"/>
      <c r="T536" s="198"/>
      <c r="U536" s="198"/>
      <c r="V536" s="198"/>
      <c r="W536" s="198"/>
      <c r="X536" s="198"/>
      <c r="Y536" s="198"/>
      <c r="Z536" s="198"/>
      <c r="AA536" s="198"/>
    </row>
    <row r="537">
      <c r="A537" s="201"/>
      <c r="B537" s="201"/>
      <c r="C537" s="198"/>
      <c r="D537" s="198"/>
      <c r="E537" s="198"/>
      <c r="F537" s="198"/>
      <c r="G537" s="198"/>
      <c r="H537" s="198"/>
      <c r="I537" s="198"/>
      <c r="J537" s="198"/>
      <c r="K537" s="198"/>
      <c r="M537" s="198"/>
      <c r="N537" s="198"/>
      <c r="O537" s="198"/>
      <c r="P537" s="198"/>
      <c r="Q537" s="198"/>
      <c r="R537" s="198"/>
      <c r="S537" s="198"/>
      <c r="T537" s="198"/>
      <c r="U537" s="198"/>
      <c r="V537" s="198"/>
      <c r="W537" s="198"/>
      <c r="X537" s="198"/>
      <c r="Y537" s="198"/>
      <c r="Z537" s="198"/>
      <c r="AA537" s="198"/>
    </row>
    <row r="538">
      <c r="A538" s="201"/>
      <c r="B538" s="201"/>
      <c r="C538" s="198"/>
      <c r="D538" s="198"/>
      <c r="E538" s="198"/>
      <c r="F538" s="198"/>
      <c r="G538" s="198"/>
      <c r="H538" s="198"/>
      <c r="I538" s="198"/>
      <c r="J538" s="198"/>
      <c r="K538" s="198"/>
      <c r="M538" s="198"/>
      <c r="N538" s="198"/>
      <c r="O538" s="198"/>
      <c r="P538" s="198"/>
      <c r="Q538" s="198"/>
      <c r="R538" s="198"/>
      <c r="S538" s="198"/>
      <c r="T538" s="198"/>
      <c r="U538" s="198"/>
      <c r="V538" s="198"/>
      <c r="W538" s="198"/>
      <c r="X538" s="198"/>
      <c r="Y538" s="198"/>
      <c r="Z538" s="198"/>
      <c r="AA538" s="198"/>
    </row>
    <row r="539">
      <c r="A539" s="201"/>
      <c r="B539" s="201"/>
      <c r="C539" s="198"/>
      <c r="D539" s="198"/>
      <c r="E539" s="198"/>
      <c r="F539" s="198"/>
      <c r="G539" s="198"/>
      <c r="H539" s="198"/>
      <c r="I539" s="198"/>
      <c r="J539" s="198"/>
      <c r="K539" s="198"/>
      <c r="M539" s="198"/>
      <c r="N539" s="198"/>
      <c r="O539" s="198"/>
      <c r="P539" s="198"/>
      <c r="Q539" s="198"/>
      <c r="R539" s="198"/>
      <c r="S539" s="198"/>
      <c r="T539" s="198"/>
      <c r="U539" s="198"/>
      <c r="V539" s="198"/>
      <c r="W539" s="198"/>
      <c r="X539" s="198"/>
      <c r="Y539" s="198"/>
      <c r="Z539" s="198"/>
      <c r="AA539" s="198"/>
    </row>
    <row r="540">
      <c r="A540" s="201"/>
      <c r="B540" s="201"/>
      <c r="C540" s="198"/>
      <c r="D540" s="198"/>
      <c r="E540" s="198"/>
      <c r="F540" s="198"/>
      <c r="G540" s="198"/>
      <c r="H540" s="198"/>
      <c r="I540" s="198"/>
      <c r="J540" s="198"/>
      <c r="K540" s="198"/>
      <c r="M540" s="198"/>
      <c r="N540" s="198"/>
      <c r="O540" s="198"/>
      <c r="P540" s="198"/>
      <c r="Q540" s="198"/>
      <c r="R540" s="198"/>
      <c r="S540" s="198"/>
      <c r="T540" s="198"/>
      <c r="U540" s="198"/>
      <c r="V540" s="198"/>
      <c r="W540" s="198"/>
      <c r="X540" s="198"/>
      <c r="Y540" s="198"/>
      <c r="Z540" s="198"/>
      <c r="AA540" s="198"/>
    </row>
    <row r="541">
      <c r="A541" s="201"/>
      <c r="B541" s="201"/>
      <c r="C541" s="198"/>
      <c r="D541" s="198"/>
      <c r="E541" s="198"/>
      <c r="F541" s="198"/>
      <c r="G541" s="198"/>
      <c r="H541" s="198"/>
      <c r="I541" s="198"/>
      <c r="J541" s="198"/>
      <c r="K541" s="198"/>
      <c r="M541" s="198"/>
      <c r="N541" s="198"/>
      <c r="O541" s="198"/>
      <c r="P541" s="198"/>
      <c r="Q541" s="198"/>
      <c r="R541" s="198"/>
      <c r="S541" s="198"/>
      <c r="T541" s="198"/>
      <c r="U541" s="198"/>
      <c r="V541" s="198"/>
      <c r="W541" s="198"/>
      <c r="X541" s="198"/>
      <c r="Y541" s="198"/>
      <c r="Z541" s="198"/>
      <c r="AA541" s="198"/>
    </row>
    <row r="542">
      <c r="A542" s="201"/>
      <c r="B542" s="201"/>
      <c r="C542" s="198"/>
      <c r="D542" s="198"/>
      <c r="E542" s="198"/>
      <c r="F542" s="198"/>
      <c r="G542" s="198"/>
      <c r="H542" s="198"/>
      <c r="I542" s="198"/>
      <c r="J542" s="198"/>
      <c r="K542" s="198"/>
      <c r="M542" s="198"/>
      <c r="N542" s="198"/>
      <c r="O542" s="198"/>
      <c r="P542" s="198"/>
      <c r="Q542" s="198"/>
      <c r="R542" s="198"/>
      <c r="S542" s="198"/>
      <c r="T542" s="198"/>
      <c r="U542" s="198"/>
      <c r="V542" s="198"/>
      <c r="W542" s="198"/>
      <c r="X542" s="198"/>
      <c r="Y542" s="198"/>
      <c r="Z542" s="198"/>
      <c r="AA542" s="198"/>
    </row>
    <row r="543">
      <c r="A543" s="201"/>
      <c r="B543" s="201"/>
      <c r="C543" s="198"/>
      <c r="D543" s="198"/>
      <c r="E543" s="198"/>
      <c r="F543" s="198"/>
      <c r="G543" s="198"/>
      <c r="H543" s="198"/>
      <c r="I543" s="198"/>
      <c r="J543" s="198"/>
      <c r="K543" s="198"/>
      <c r="M543" s="198"/>
      <c r="N543" s="198"/>
      <c r="O543" s="198"/>
      <c r="P543" s="198"/>
      <c r="Q543" s="198"/>
      <c r="R543" s="198"/>
      <c r="S543" s="198"/>
      <c r="T543" s="198"/>
      <c r="U543" s="198"/>
      <c r="V543" s="198"/>
      <c r="W543" s="198"/>
      <c r="X543" s="198"/>
      <c r="Y543" s="198"/>
      <c r="Z543" s="198"/>
      <c r="AA543" s="198"/>
    </row>
    <row r="544">
      <c r="A544" s="201"/>
      <c r="B544" s="201"/>
      <c r="C544" s="198"/>
      <c r="D544" s="198"/>
      <c r="E544" s="198"/>
      <c r="F544" s="198"/>
      <c r="G544" s="198"/>
      <c r="H544" s="198"/>
      <c r="I544" s="198"/>
      <c r="J544" s="198"/>
      <c r="K544" s="198"/>
      <c r="M544" s="198"/>
      <c r="N544" s="198"/>
      <c r="O544" s="198"/>
      <c r="P544" s="198"/>
      <c r="Q544" s="198"/>
      <c r="R544" s="198"/>
      <c r="S544" s="198"/>
      <c r="T544" s="198"/>
      <c r="U544" s="198"/>
      <c r="V544" s="198"/>
      <c r="W544" s="198"/>
      <c r="X544" s="198"/>
      <c r="Y544" s="198"/>
      <c r="Z544" s="198"/>
      <c r="AA544" s="198"/>
    </row>
    <row r="545">
      <c r="A545" s="201"/>
      <c r="B545" s="201"/>
      <c r="C545" s="198"/>
      <c r="D545" s="198"/>
      <c r="E545" s="198"/>
      <c r="F545" s="198"/>
      <c r="G545" s="198"/>
      <c r="H545" s="198"/>
      <c r="I545" s="198"/>
      <c r="J545" s="198"/>
      <c r="K545" s="198"/>
      <c r="M545" s="198"/>
      <c r="N545" s="198"/>
      <c r="O545" s="198"/>
      <c r="P545" s="198"/>
      <c r="Q545" s="198"/>
      <c r="R545" s="198"/>
      <c r="S545" s="198"/>
      <c r="T545" s="198"/>
      <c r="U545" s="198"/>
      <c r="V545" s="198"/>
      <c r="W545" s="198"/>
      <c r="X545" s="198"/>
      <c r="Y545" s="198"/>
      <c r="Z545" s="198"/>
      <c r="AA545" s="198"/>
    </row>
    <row r="546">
      <c r="A546" s="201"/>
      <c r="B546" s="201"/>
      <c r="C546" s="198"/>
      <c r="D546" s="198"/>
      <c r="E546" s="198"/>
      <c r="F546" s="198"/>
      <c r="G546" s="198"/>
      <c r="H546" s="198"/>
      <c r="I546" s="198"/>
      <c r="J546" s="198"/>
      <c r="K546" s="198"/>
      <c r="M546" s="198"/>
      <c r="N546" s="198"/>
      <c r="O546" s="198"/>
      <c r="P546" s="198"/>
      <c r="Q546" s="198"/>
      <c r="R546" s="198"/>
      <c r="S546" s="198"/>
      <c r="T546" s="198"/>
      <c r="U546" s="198"/>
      <c r="V546" s="198"/>
      <c r="W546" s="198"/>
      <c r="X546" s="198"/>
      <c r="Y546" s="198"/>
      <c r="Z546" s="198"/>
      <c r="AA546" s="198"/>
    </row>
    <row r="547">
      <c r="A547" s="201"/>
      <c r="B547" s="201"/>
      <c r="C547" s="198"/>
      <c r="D547" s="198"/>
      <c r="E547" s="198"/>
      <c r="F547" s="198"/>
      <c r="G547" s="198"/>
      <c r="H547" s="198"/>
      <c r="I547" s="198"/>
      <c r="J547" s="198"/>
      <c r="K547" s="198"/>
      <c r="M547" s="198"/>
      <c r="N547" s="198"/>
      <c r="O547" s="198"/>
      <c r="P547" s="198"/>
      <c r="Q547" s="198"/>
      <c r="R547" s="198"/>
      <c r="S547" s="198"/>
      <c r="T547" s="198"/>
      <c r="U547" s="198"/>
      <c r="V547" s="198"/>
      <c r="W547" s="198"/>
      <c r="X547" s="198"/>
      <c r="Y547" s="198"/>
      <c r="Z547" s="198"/>
      <c r="AA547" s="198"/>
    </row>
    <row r="548">
      <c r="A548" s="201"/>
      <c r="B548" s="201"/>
      <c r="C548" s="198"/>
      <c r="D548" s="198"/>
      <c r="E548" s="198"/>
      <c r="F548" s="198"/>
      <c r="G548" s="198"/>
      <c r="H548" s="198"/>
      <c r="I548" s="198"/>
      <c r="J548" s="198"/>
      <c r="K548" s="198"/>
      <c r="M548" s="198"/>
      <c r="N548" s="198"/>
      <c r="O548" s="198"/>
      <c r="P548" s="198"/>
      <c r="Q548" s="198"/>
      <c r="R548" s="198"/>
      <c r="S548" s="198"/>
      <c r="T548" s="198"/>
      <c r="U548" s="198"/>
      <c r="V548" s="198"/>
      <c r="W548" s="198"/>
      <c r="X548" s="198"/>
      <c r="Y548" s="198"/>
      <c r="Z548" s="198"/>
      <c r="AA548" s="198"/>
    </row>
    <row r="549">
      <c r="A549" s="201"/>
      <c r="B549" s="201"/>
      <c r="C549" s="198"/>
      <c r="D549" s="198"/>
      <c r="E549" s="198"/>
      <c r="F549" s="198"/>
      <c r="G549" s="198"/>
      <c r="H549" s="198"/>
      <c r="I549" s="198"/>
      <c r="J549" s="198"/>
      <c r="K549" s="198"/>
      <c r="M549" s="198"/>
      <c r="N549" s="198"/>
      <c r="O549" s="198"/>
      <c r="P549" s="198"/>
      <c r="Q549" s="198"/>
      <c r="R549" s="198"/>
      <c r="S549" s="198"/>
      <c r="T549" s="198"/>
      <c r="U549" s="198"/>
      <c r="V549" s="198"/>
      <c r="W549" s="198"/>
      <c r="X549" s="198"/>
      <c r="Y549" s="198"/>
      <c r="Z549" s="198"/>
      <c r="AA549" s="198"/>
    </row>
    <row r="550">
      <c r="A550" s="201"/>
      <c r="B550" s="201"/>
      <c r="C550" s="198"/>
      <c r="D550" s="198"/>
      <c r="E550" s="198"/>
      <c r="F550" s="198"/>
      <c r="G550" s="198"/>
      <c r="H550" s="198"/>
      <c r="I550" s="198"/>
      <c r="J550" s="198"/>
      <c r="K550" s="198"/>
      <c r="M550" s="198"/>
      <c r="N550" s="198"/>
      <c r="O550" s="198"/>
      <c r="P550" s="198"/>
      <c r="Q550" s="198"/>
      <c r="R550" s="198"/>
      <c r="S550" s="198"/>
      <c r="T550" s="198"/>
      <c r="U550" s="198"/>
      <c r="V550" s="198"/>
      <c r="W550" s="198"/>
      <c r="X550" s="198"/>
      <c r="Y550" s="198"/>
      <c r="Z550" s="198"/>
      <c r="AA550" s="198"/>
    </row>
    <row r="551">
      <c r="A551" s="201"/>
      <c r="B551" s="201"/>
      <c r="C551" s="198"/>
      <c r="D551" s="198"/>
      <c r="E551" s="198"/>
      <c r="F551" s="198"/>
      <c r="G551" s="198"/>
      <c r="H551" s="198"/>
      <c r="I551" s="198"/>
      <c r="J551" s="198"/>
      <c r="K551" s="198"/>
      <c r="M551" s="198"/>
      <c r="N551" s="198"/>
      <c r="O551" s="198"/>
      <c r="P551" s="198"/>
      <c r="Q551" s="198"/>
      <c r="R551" s="198"/>
      <c r="S551" s="198"/>
      <c r="T551" s="198"/>
      <c r="U551" s="198"/>
      <c r="V551" s="198"/>
      <c r="W551" s="198"/>
      <c r="X551" s="198"/>
      <c r="Y551" s="198"/>
      <c r="Z551" s="198"/>
      <c r="AA551" s="198"/>
    </row>
    <row r="552">
      <c r="A552" s="201"/>
      <c r="B552" s="201"/>
      <c r="C552" s="198"/>
      <c r="D552" s="198"/>
      <c r="E552" s="198"/>
      <c r="F552" s="198"/>
      <c r="G552" s="198"/>
      <c r="H552" s="198"/>
      <c r="I552" s="198"/>
      <c r="J552" s="198"/>
      <c r="K552" s="198"/>
      <c r="M552" s="198"/>
      <c r="N552" s="198"/>
      <c r="O552" s="198"/>
      <c r="P552" s="198"/>
      <c r="Q552" s="198"/>
      <c r="R552" s="198"/>
      <c r="S552" s="198"/>
      <c r="T552" s="198"/>
      <c r="U552" s="198"/>
      <c r="V552" s="198"/>
      <c r="W552" s="198"/>
      <c r="X552" s="198"/>
      <c r="Y552" s="198"/>
      <c r="Z552" s="198"/>
      <c r="AA552" s="198"/>
    </row>
    <row r="553">
      <c r="A553" s="201"/>
      <c r="B553" s="201"/>
      <c r="C553" s="198"/>
      <c r="D553" s="198"/>
      <c r="E553" s="198"/>
      <c r="F553" s="198"/>
      <c r="G553" s="198"/>
      <c r="H553" s="198"/>
      <c r="I553" s="198"/>
      <c r="J553" s="198"/>
      <c r="K553" s="198"/>
      <c r="M553" s="198"/>
      <c r="N553" s="198"/>
      <c r="O553" s="198"/>
      <c r="P553" s="198"/>
      <c r="Q553" s="198"/>
      <c r="R553" s="198"/>
      <c r="S553" s="198"/>
      <c r="T553" s="198"/>
      <c r="U553" s="198"/>
      <c r="V553" s="198"/>
      <c r="W553" s="198"/>
      <c r="X553" s="198"/>
      <c r="Y553" s="198"/>
      <c r="Z553" s="198"/>
      <c r="AA553" s="198"/>
    </row>
    <row r="554">
      <c r="A554" s="201"/>
      <c r="B554" s="201"/>
      <c r="C554" s="198"/>
      <c r="D554" s="198"/>
      <c r="E554" s="198"/>
      <c r="F554" s="198"/>
      <c r="G554" s="198"/>
      <c r="H554" s="198"/>
      <c r="I554" s="198"/>
      <c r="J554" s="198"/>
      <c r="K554" s="198"/>
      <c r="M554" s="198"/>
      <c r="N554" s="198"/>
      <c r="O554" s="198"/>
      <c r="P554" s="198"/>
      <c r="Q554" s="198"/>
      <c r="R554" s="198"/>
      <c r="S554" s="198"/>
      <c r="T554" s="198"/>
      <c r="U554" s="198"/>
      <c r="V554" s="198"/>
      <c r="W554" s="198"/>
      <c r="X554" s="198"/>
      <c r="Y554" s="198"/>
      <c r="Z554" s="198"/>
      <c r="AA554" s="198"/>
    </row>
    <row r="555">
      <c r="A555" s="201"/>
      <c r="B555" s="201"/>
      <c r="C555" s="198"/>
      <c r="D555" s="198"/>
      <c r="E555" s="198"/>
      <c r="F555" s="198"/>
      <c r="G555" s="198"/>
      <c r="H555" s="198"/>
      <c r="I555" s="198"/>
      <c r="J555" s="198"/>
      <c r="K555" s="198"/>
      <c r="M555" s="198"/>
      <c r="N555" s="198"/>
      <c r="O555" s="198"/>
      <c r="P555" s="198"/>
      <c r="Q555" s="198"/>
      <c r="R555" s="198"/>
      <c r="S555" s="198"/>
      <c r="T555" s="198"/>
      <c r="U555" s="198"/>
      <c r="V555" s="198"/>
      <c r="W555" s="198"/>
      <c r="X555" s="198"/>
      <c r="Y555" s="198"/>
      <c r="Z555" s="198"/>
      <c r="AA555" s="198"/>
    </row>
    <row r="556">
      <c r="A556" s="201"/>
      <c r="B556" s="201"/>
      <c r="C556" s="198"/>
      <c r="D556" s="198"/>
      <c r="E556" s="198"/>
      <c r="F556" s="198"/>
      <c r="G556" s="198"/>
      <c r="H556" s="198"/>
      <c r="I556" s="198"/>
      <c r="J556" s="198"/>
      <c r="K556" s="198"/>
      <c r="M556" s="198"/>
      <c r="N556" s="198"/>
      <c r="O556" s="198"/>
      <c r="P556" s="198"/>
      <c r="Q556" s="198"/>
      <c r="R556" s="198"/>
      <c r="S556" s="198"/>
      <c r="T556" s="198"/>
      <c r="U556" s="198"/>
      <c r="V556" s="198"/>
      <c r="W556" s="198"/>
      <c r="X556" s="198"/>
      <c r="Y556" s="198"/>
      <c r="Z556" s="198"/>
      <c r="AA556" s="198"/>
    </row>
    <row r="557">
      <c r="A557" s="201"/>
      <c r="B557" s="201"/>
      <c r="C557" s="198"/>
      <c r="D557" s="198"/>
      <c r="E557" s="198"/>
      <c r="F557" s="198"/>
      <c r="G557" s="198"/>
      <c r="H557" s="198"/>
      <c r="I557" s="198"/>
      <c r="J557" s="198"/>
      <c r="K557" s="198"/>
      <c r="M557" s="198"/>
      <c r="N557" s="198"/>
      <c r="O557" s="198"/>
      <c r="P557" s="198"/>
      <c r="Q557" s="198"/>
      <c r="R557" s="198"/>
      <c r="S557" s="198"/>
      <c r="T557" s="198"/>
      <c r="U557" s="198"/>
      <c r="V557" s="198"/>
      <c r="W557" s="198"/>
      <c r="X557" s="198"/>
      <c r="Y557" s="198"/>
      <c r="Z557" s="198"/>
      <c r="AA557" s="198"/>
    </row>
    <row r="558">
      <c r="A558" s="201"/>
      <c r="B558" s="201"/>
      <c r="C558" s="198"/>
      <c r="D558" s="198"/>
      <c r="E558" s="198"/>
      <c r="F558" s="198"/>
      <c r="G558" s="198"/>
      <c r="H558" s="198"/>
      <c r="I558" s="198"/>
      <c r="J558" s="198"/>
      <c r="K558" s="198"/>
      <c r="M558" s="198"/>
      <c r="N558" s="198"/>
      <c r="O558" s="198"/>
      <c r="P558" s="198"/>
      <c r="Q558" s="198"/>
      <c r="R558" s="198"/>
      <c r="S558" s="198"/>
      <c r="T558" s="198"/>
      <c r="U558" s="198"/>
      <c r="V558" s="198"/>
      <c r="W558" s="198"/>
      <c r="X558" s="198"/>
      <c r="Y558" s="198"/>
      <c r="Z558" s="198"/>
      <c r="AA558" s="198"/>
    </row>
    <row r="559">
      <c r="A559" s="201"/>
      <c r="B559" s="201"/>
      <c r="C559" s="198"/>
      <c r="D559" s="198"/>
      <c r="E559" s="198"/>
      <c r="F559" s="198"/>
      <c r="G559" s="198"/>
      <c r="H559" s="198"/>
      <c r="I559" s="198"/>
      <c r="J559" s="198"/>
      <c r="K559" s="198"/>
      <c r="M559" s="198"/>
      <c r="N559" s="198"/>
      <c r="O559" s="198"/>
      <c r="P559" s="198"/>
      <c r="Q559" s="198"/>
      <c r="R559" s="198"/>
      <c r="S559" s="198"/>
      <c r="T559" s="198"/>
      <c r="U559" s="198"/>
      <c r="V559" s="198"/>
      <c r="W559" s="198"/>
      <c r="X559" s="198"/>
      <c r="Y559" s="198"/>
      <c r="Z559" s="198"/>
      <c r="AA559" s="198"/>
    </row>
    <row r="560">
      <c r="A560" s="201"/>
      <c r="B560" s="201"/>
      <c r="C560" s="198"/>
      <c r="D560" s="198"/>
      <c r="E560" s="198"/>
      <c r="F560" s="198"/>
      <c r="G560" s="198"/>
      <c r="H560" s="198"/>
      <c r="I560" s="198"/>
      <c r="J560" s="198"/>
      <c r="K560" s="198"/>
      <c r="M560" s="198"/>
      <c r="N560" s="198"/>
      <c r="O560" s="198"/>
      <c r="P560" s="198"/>
      <c r="Q560" s="198"/>
      <c r="R560" s="198"/>
      <c r="S560" s="198"/>
      <c r="T560" s="198"/>
      <c r="U560" s="198"/>
      <c r="V560" s="198"/>
      <c r="W560" s="198"/>
      <c r="X560" s="198"/>
      <c r="Y560" s="198"/>
      <c r="Z560" s="198"/>
      <c r="AA560" s="198"/>
    </row>
    <row r="561">
      <c r="A561" s="201"/>
      <c r="B561" s="201"/>
      <c r="C561" s="198"/>
      <c r="D561" s="198"/>
      <c r="E561" s="198"/>
      <c r="F561" s="198"/>
      <c r="G561" s="198"/>
      <c r="H561" s="198"/>
      <c r="I561" s="198"/>
      <c r="J561" s="198"/>
      <c r="K561" s="198"/>
      <c r="M561" s="198"/>
      <c r="N561" s="198"/>
      <c r="O561" s="198"/>
      <c r="P561" s="198"/>
      <c r="Q561" s="198"/>
      <c r="R561" s="198"/>
      <c r="S561" s="198"/>
      <c r="T561" s="198"/>
      <c r="U561" s="198"/>
      <c r="V561" s="198"/>
      <c r="W561" s="198"/>
      <c r="X561" s="198"/>
      <c r="Y561" s="198"/>
      <c r="Z561" s="198"/>
      <c r="AA561" s="198"/>
    </row>
    <row r="562">
      <c r="A562" s="201"/>
      <c r="B562" s="201"/>
      <c r="C562" s="198"/>
      <c r="D562" s="198"/>
      <c r="E562" s="198"/>
      <c r="F562" s="198"/>
      <c r="G562" s="198"/>
      <c r="H562" s="198"/>
      <c r="I562" s="198"/>
      <c r="J562" s="198"/>
      <c r="K562" s="198"/>
      <c r="M562" s="198"/>
      <c r="N562" s="198"/>
      <c r="O562" s="198"/>
      <c r="P562" s="198"/>
      <c r="Q562" s="198"/>
      <c r="R562" s="198"/>
      <c r="S562" s="198"/>
      <c r="T562" s="198"/>
      <c r="U562" s="198"/>
      <c r="V562" s="198"/>
      <c r="W562" s="198"/>
      <c r="X562" s="198"/>
      <c r="Y562" s="198"/>
      <c r="Z562" s="198"/>
      <c r="AA562" s="198"/>
    </row>
    <row r="563">
      <c r="A563" s="201"/>
      <c r="B563" s="201"/>
      <c r="C563" s="198"/>
      <c r="D563" s="198"/>
      <c r="E563" s="198"/>
      <c r="F563" s="198"/>
      <c r="G563" s="198"/>
      <c r="H563" s="198"/>
      <c r="I563" s="198"/>
      <c r="J563" s="198"/>
      <c r="K563" s="198"/>
      <c r="M563" s="198"/>
      <c r="N563" s="198"/>
      <c r="O563" s="198"/>
      <c r="P563" s="198"/>
      <c r="Q563" s="198"/>
      <c r="R563" s="198"/>
      <c r="S563" s="198"/>
      <c r="T563" s="198"/>
      <c r="U563" s="198"/>
      <c r="V563" s="198"/>
      <c r="W563" s="198"/>
      <c r="X563" s="198"/>
      <c r="Y563" s="198"/>
      <c r="Z563" s="198"/>
      <c r="AA563" s="198"/>
    </row>
    <row r="564">
      <c r="A564" s="201"/>
      <c r="B564" s="201"/>
      <c r="C564" s="198"/>
      <c r="D564" s="198"/>
      <c r="E564" s="198"/>
      <c r="F564" s="198"/>
      <c r="G564" s="198"/>
      <c r="H564" s="198"/>
      <c r="I564" s="198"/>
      <c r="J564" s="198"/>
      <c r="K564" s="198"/>
      <c r="M564" s="198"/>
      <c r="N564" s="198"/>
      <c r="O564" s="198"/>
      <c r="P564" s="198"/>
      <c r="Q564" s="198"/>
      <c r="R564" s="198"/>
      <c r="S564" s="198"/>
      <c r="T564" s="198"/>
      <c r="U564" s="198"/>
      <c r="V564" s="198"/>
      <c r="W564" s="198"/>
      <c r="X564" s="198"/>
      <c r="Y564" s="198"/>
      <c r="Z564" s="198"/>
      <c r="AA564" s="198"/>
    </row>
    <row r="565">
      <c r="A565" s="201"/>
      <c r="B565" s="201"/>
      <c r="C565" s="198"/>
      <c r="D565" s="198"/>
      <c r="E565" s="198"/>
      <c r="F565" s="198"/>
      <c r="G565" s="198"/>
      <c r="H565" s="198"/>
      <c r="I565" s="198"/>
      <c r="J565" s="198"/>
      <c r="K565" s="198"/>
      <c r="M565" s="198"/>
      <c r="N565" s="198"/>
      <c r="O565" s="198"/>
      <c r="P565" s="198"/>
      <c r="Q565" s="198"/>
      <c r="R565" s="198"/>
      <c r="S565" s="198"/>
      <c r="T565" s="198"/>
      <c r="U565" s="198"/>
      <c r="V565" s="198"/>
      <c r="W565" s="198"/>
      <c r="X565" s="198"/>
      <c r="Y565" s="198"/>
      <c r="Z565" s="198"/>
      <c r="AA565" s="198"/>
    </row>
    <row r="566">
      <c r="A566" s="201"/>
      <c r="B566" s="201"/>
      <c r="C566" s="198"/>
      <c r="D566" s="198"/>
      <c r="E566" s="198"/>
      <c r="F566" s="198"/>
      <c r="G566" s="198"/>
      <c r="H566" s="198"/>
      <c r="I566" s="198"/>
      <c r="J566" s="198"/>
      <c r="K566" s="198"/>
      <c r="M566" s="198"/>
      <c r="N566" s="198"/>
      <c r="O566" s="198"/>
      <c r="P566" s="198"/>
      <c r="Q566" s="198"/>
      <c r="R566" s="198"/>
      <c r="S566" s="198"/>
      <c r="T566" s="198"/>
      <c r="U566" s="198"/>
      <c r="V566" s="198"/>
      <c r="W566" s="198"/>
      <c r="X566" s="198"/>
      <c r="Y566" s="198"/>
      <c r="Z566" s="198"/>
      <c r="AA566" s="198"/>
    </row>
    <row r="567">
      <c r="A567" s="201"/>
      <c r="B567" s="201"/>
      <c r="C567" s="198"/>
      <c r="D567" s="198"/>
      <c r="E567" s="198"/>
      <c r="F567" s="198"/>
      <c r="G567" s="198"/>
      <c r="H567" s="198"/>
      <c r="I567" s="198"/>
      <c r="J567" s="198"/>
      <c r="K567" s="198"/>
      <c r="M567" s="198"/>
      <c r="N567" s="198"/>
      <c r="O567" s="198"/>
      <c r="P567" s="198"/>
      <c r="Q567" s="198"/>
      <c r="R567" s="198"/>
      <c r="S567" s="198"/>
      <c r="T567" s="198"/>
      <c r="U567" s="198"/>
      <c r="V567" s="198"/>
      <c r="W567" s="198"/>
      <c r="X567" s="198"/>
      <c r="Y567" s="198"/>
      <c r="Z567" s="198"/>
      <c r="AA567" s="198"/>
    </row>
    <row r="568">
      <c r="A568" s="201"/>
      <c r="B568" s="201"/>
      <c r="C568" s="198"/>
      <c r="D568" s="198"/>
      <c r="E568" s="198"/>
      <c r="F568" s="198"/>
      <c r="G568" s="198"/>
      <c r="H568" s="198"/>
      <c r="I568" s="198"/>
      <c r="J568" s="198"/>
      <c r="K568" s="198"/>
      <c r="M568" s="198"/>
      <c r="N568" s="198"/>
      <c r="O568" s="198"/>
      <c r="P568" s="198"/>
      <c r="Q568" s="198"/>
      <c r="R568" s="198"/>
      <c r="S568" s="198"/>
      <c r="T568" s="198"/>
      <c r="U568" s="198"/>
      <c r="V568" s="198"/>
      <c r="W568" s="198"/>
      <c r="X568" s="198"/>
      <c r="Y568" s="198"/>
      <c r="Z568" s="198"/>
      <c r="AA568" s="198"/>
    </row>
    <row r="569">
      <c r="A569" s="201"/>
      <c r="B569" s="201"/>
      <c r="C569" s="198"/>
      <c r="D569" s="198"/>
      <c r="E569" s="198"/>
      <c r="F569" s="198"/>
      <c r="G569" s="198"/>
      <c r="H569" s="198"/>
      <c r="I569" s="198"/>
      <c r="J569" s="198"/>
      <c r="K569" s="198"/>
      <c r="M569" s="198"/>
      <c r="N569" s="198"/>
      <c r="O569" s="198"/>
      <c r="P569" s="198"/>
      <c r="Q569" s="198"/>
      <c r="R569" s="198"/>
      <c r="S569" s="198"/>
      <c r="T569" s="198"/>
      <c r="U569" s="198"/>
      <c r="V569" s="198"/>
      <c r="W569" s="198"/>
      <c r="X569" s="198"/>
      <c r="Y569" s="198"/>
      <c r="Z569" s="198"/>
      <c r="AA569" s="198"/>
    </row>
    <row r="570">
      <c r="A570" s="201"/>
      <c r="B570" s="201"/>
      <c r="C570" s="198"/>
      <c r="D570" s="198"/>
      <c r="E570" s="198"/>
      <c r="F570" s="198"/>
      <c r="G570" s="198"/>
      <c r="H570" s="198"/>
      <c r="I570" s="198"/>
      <c r="J570" s="198"/>
      <c r="K570" s="198"/>
      <c r="M570" s="198"/>
      <c r="N570" s="198"/>
      <c r="O570" s="198"/>
      <c r="P570" s="198"/>
      <c r="Q570" s="198"/>
      <c r="R570" s="198"/>
      <c r="S570" s="198"/>
      <c r="T570" s="198"/>
      <c r="U570" s="198"/>
      <c r="V570" s="198"/>
      <c r="W570" s="198"/>
      <c r="X570" s="198"/>
      <c r="Y570" s="198"/>
      <c r="Z570" s="198"/>
      <c r="AA570" s="198"/>
    </row>
    <row r="571">
      <c r="A571" s="201"/>
      <c r="B571" s="201"/>
      <c r="C571" s="198"/>
      <c r="D571" s="198"/>
      <c r="E571" s="198"/>
      <c r="F571" s="198"/>
      <c r="G571" s="198"/>
      <c r="H571" s="198"/>
      <c r="I571" s="198"/>
      <c r="J571" s="198"/>
      <c r="K571" s="198"/>
      <c r="M571" s="198"/>
      <c r="N571" s="198"/>
      <c r="O571" s="198"/>
      <c r="P571" s="198"/>
      <c r="Q571" s="198"/>
      <c r="R571" s="198"/>
      <c r="S571" s="198"/>
      <c r="T571" s="198"/>
      <c r="U571" s="198"/>
      <c r="V571" s="198"/>
      <c r="W571" s="198"/>
      <c r="X571" s="198"/>
      <c r="Y571" s="198"/>
      <c r="Z571" s="198"/>
      <c r="AA571" s="198"/>
    </row>
    <row r="572">
      <c r="A572" s="201"/>
      <c r="B572" s="201"/>
      <c r="C572" s="198"/>
      <c r="D572" s="198"/>
      <c r="E572" s="198"/>
      <c r="F572" s="198"/>
      <c r="G572" s="198"/>
      <c r="H572" s="198"/>
      <c r="I572" s="198"/>
      <c r="J572" s="198"/>
      <c r="K572" s="198"/>
      <c r="M572" s="198"/>
      <c r="N572" s="198"/>
      <c r="O572" s="198"/>
      <c r="P572" s="198"/>
      <c r="Q572" s="198"/>
      <c r="R572" s="198"/>
      <c r="S572" s="198"/>
      <c r="T572" s="198"/>
      <c r="U572" s="198"/>
      <c r="V572" s="198"/>
      <c r="W572" s="198"/>
      <c r="X572" s="198"/>
      <c r="Y572" s="198"/>
      <c r="Z572" s="198"/>
      <c r="AA572" s="198"/>
    </row>
    <row r="573">
      <c r="A573" s="201"/>
      <c r="B573" s="201"/>
      <c r="C573" s="198"/>
      <c r="D573" s="198"/>
      <c r="E573" s="198"/>
      <c r="F573" s="198"/>
      <c r="G573" s="198"/>
      <c r="H573" s="198"/>
      <c r="I573" s="198"/>
      <c r="J573" s="198"/>
      <c r="K573" s="198"/>
      <c r="M573" s="198"/>
      <c r="N573" s="198"/>
      <c r="O573" s="198"/>
      <c r="P573" s="198"/>
      <c r="Q573" s="198"/>
      <c r="R573" s="198"/>
      <c r="S573" s="198"/>
      <c r="T573" s="198"/>
      <c r="U573" s="198"/>
      <c r="V573" s="198"/>
      <c r="W573" s="198"/>
      <c r="X573" s="198"/>
      <c r="Y573" s="198"/>
      <c r="Z573" s="198"/>
      <c r="AA573" s="198"/>
    </row>
    <row r="574">
      <c r="A574" s="201"/>
      <c r="B574" s="201"/>
      <c r="C574" s="198"/>
      <c r="D574" s="198"/>
      <c r="E574" s="198"/>
      <c r="F574" s="198"/>
      <c r="G574" s="198"/>
      <c r="H574" s="198"/>
      <c r="I574" s="198"/>
      <c r="J574" s="198"/>
      <c r="K574" s="198"/>
      <c r="M574" s="198"/>
      <c r="N574" s="198"/>
      <c r="O574" s="198"/>
      <c r="P574" s="198"/>
      <c r="Q574" s="198"/>
      <c r="R574" s="198"/>
      <c r="S574" s="198"/>
      <c r="T574" s="198"/>
      <c r="U574" s="198"/>
      <c r="V574" s="198"/>
      <c r="W574" s="198"/>
      <c r="X574" s="198"/>
      <c r="Y574" s="198"/>
      <c r="Z574" s="198"/>
      <c r="AA574" s="198"/>
    </row>
    <row r="575">
      <c r="A575" s="201"/>
      <c r="B575" s="201"/>
      <c r="C575" s="198"/>
      <c r="D575" s="198"/>
      <c r="E575" s="198"/>
      <c r="F575" s="198"/>
      <c r="G575" s="198"/>
      <c r="H575" s="198"/>
      <c r="I575" s="198"/>
      <c r="J575" s="198"/>
      <c r="K575" s="198"/>
      <c r="M575" s="198"/>
      <c r="N575" s="198"/>
      <c r="O575" s="198"/>
      <c r="P575" s="198"/>
      <c r="Q575" s="198"/>
      <c r="R575" s="198"/>
      <c r="S575" s="198"/>
      <c r="T575" s="198"/>
      <c r="U575" s="198"/>
      <c r="V575" s="198"/>
      <c r="W575" s="198"/>
      <c r="X575" s="198"/>
      <c r="Y575" s="198"/>
      <c r="Z575" s="198"/>
      <c r="AA575" s="198"/>
    </row>
    <row r="576">
      <c r="A576" s="201"/>
      <c r="B576" s="201"/>
      <c r="C576" s="198"/>
      <c r="D576" s="198"/>
      <c r="E576" s="198"/>
      <c r="F576" s="198"/>
      <c r="G576" s="198"/>
      <c r="H576" s="198"/>
      <c r="I576" s="198"/>
      <c r="J576" s="198"/>
      <c r="K576" s="198"/>
      <c r="M576" s="198"/>
      <c r="N576" s="198"/>
      <c r="O576" s="198"/>
      <c r="P576" s="198"/>
      <c r="Q576" s="198"/>
      <c r="R576" s="198"/>
      <c r="S576" s="198"/>
      <c r="T576" s="198"/>
      <c r="U576" s="198"/>
      <c r="V576" s="198"/>
      <c r="W576" s="198"/>
      <c r="X576" s="198"/>
      <c r="Y576" s="198"/>
      <c r="Z576" s="198"/>
      <c r="AA576" s="198"/>
    </row>
    <row r="577">
      <c r="A577" s="201"/>
      <c r="B577" s="201"/>
      <c r="C577" s="198"/>
      <c r="D577" s="198"/>
      <c r="E577" s="198"/>
      <c r="F577" s="198"/>
      <c r="G577" s="198"/>
      <c r="H577" s="198"/>
      <c r="I577" s="198"/>
      <c r="J577" s="198"/>
      <c r="K577" s="198"/>
      <c r="M577" s="198"/>
      <c r="N577" s="198"/>
      <c r="O577" s="198"/>
      <c r="P577" s="198"/>
      <c r="Q577" s="198"/>
      <c r="R577" s="198"/>
      <c r="S577" s="198"/>
      <c r="T577" s="198"/>
      <c r="U577" s="198"/>
      <c r="V577" s="198"/>
      <c r="W577" s="198"/>
      <c r="X577" s="198"/>
      <c r="Y577" s="198"/>
      <c r="Z577" s="198"/>
      <c r="AA577" s="198"/>
    </row>
    <row r="578">
      <c r="A578" s="201"/>
      <c r="B578" s="201"/>
      <c r="C578" s="198"/>
      <c r="D578" s="198"/>
      <c r="E578" s="198"/>
      <c r="F578" s="198"/>
      <c r="G578" s="198"/>
      <c r="H578" s="198"/>
      <c r="I578" s="198"/>
      <c r="J578" s="198"/>
      <c r="K578" s="198"/>
      <c r="M578" s="198"/>
      <c r="N578" s="198"/>
      <c r="O578" s="198"/>
      <c r="P578" s="198"/>
      <c r="Q578" s="198"/>
      <c r="R578" s="198"/>
      <c r="S578" s="198"/>
      <c r="T578" s="198"/>
      <c r="U578" s="198"/>
      <c r="V578" s="198"/>
      <c r="W578" s="198"/>
      <c r="X578" s="198"/>
      <c r="Y578" s="198"/>
      <c r="Z578" s="198"/>
      <c r="AA578" s="198"/>
    </row>
    <row r="579">
      <c r="A579" s="201"/>
      <c r="B579" s="201"/>
      <c r="C579" s="198"/>
      <c r="D579" s="198"/>
      <c r="E579" s="198"/>
      <c r="F579" s="198"/>
      <c r="G579" s="198"/>
      <c r="H579" s="198"/>
      <c r="I579" s="198"/>
      <c r="J579" s="198"/>
      <c r="K579" s="198"/>
      <c r="M579" s="198"/>
      <c r="N579" s="198"/>
      <c r="O579" s="198"/>
      <c r="P579" s="198"/>
      <c r="Q579" s="198"/>
      <c r="R579" s="198"/>
      <c r="S579" s="198"/>
      <c r="T579" s="198"/>
      <c r="U579" s="198"/>
      <c r="V579" s="198"/>
      <c r="W579" s="198"/>
      <c r="X579" s="198"/>
      <c r="Y579" s="198"/>
      <c r="Z579" s="198"/>
      <c r="AA579" s="198"/>
    </row>
    <row r="580">
      <c r="A580" s="201"/>
      <c r="B580" s="201"/>
      <c r="C580" s="198"/>
      <c r="D580" s="198"/>
      <c r="E580" s="198"/>
      <c r="F580" s="198"/>
      <c r="G580" s="198"/>
      <c r="H580" s="198"/>
      <c r="I580" s="198"/>
      <c r="J580" s="198"/>
      <c r="K580" s="198"/>
      <c r="M580" s="198"/>
      <c r="N580" s="198"/>
      <c r="O580" s="198"/>
      <c r="P580" s="198"/>
      <c r="Q580" s="198"/>
      <c r="R580" s="198"/>
      <c r="S580" s="198"/>
      <c r="T580" s="198"/>
      <c r="U580" s="198"/>
      <c r="V580" s="198"/>
      <c r="W580" s="198"/>
      <c r="X580" s="198"/>
      <c r="Y580" s="198"/>
      <c r="Z580" s="198"/>
      <c r="AA580" s="198"/>
    </row>
    <row r="581">
      <c r="A581" s="201"/>
      <c r="B581" s="201"/>
      <c r="C581" s="198"/>
      <c r="D581" s="198"/>
      <c r="E581" s="198"/>
      <c r="F581" s="198"/>
      <c r="G581" s="198"/>
      <c r="H581" s="198"/>
      <c r="I581" s="198"/>
      <c r="J581" s="198"/>
      <c r="K581" s="198"/>
      <c r="M581" s="198"/>
      <c r="N581" s="198"/>
      <c r="O581" s="198"/>
      <c r="P581" s="198"/>
      <c r="Q581" s="198"/>
      <c r="R581" s="198"/>
      <c r="S581" s="198"/>
      <c r="T581" s="198"/>
      <c r="U581" s="198"/>
      <c r="V581" s="198"/>
      <c r="W581" s="198"/>
      <c r="X581" s="198"/>
      <c r="Y581" s="198"/>
      <c r="Z581" s="198"/>
      <c r="AA581" s="198"/>
    </row>
    <row r="582">
      <c r="A582" s="201"/>
      <c r="B582" s="201"/>
      <c r="C582" s="198"/>
      <c r="D582" s="198"/>
      <c r="E582" s="198"/>
      <c r="F582" s="198"/>
      <c r="G582" s="198"/>
      <c r="H582" s="198"/>
      <c r="I582" s="198"/>
      <c r="J582" s="198"/>
      <c r="K582" s="198"/>
      <c r="M582" s="198"/>
      <c r="N582" s="198"/>
      <c r="O582" s="198"/>
      <c r="P582" s="198"/>
      <c r="Q582" s="198"/>
      <c r="R582" s="198"/>
      <c r="S582" s="198"/>
      <c r="T582" s="198"/>
      <c r="U582" s="198"/>
      <c r="V582" s="198"/>
      <c r="W582" s="198"/>
      <c r="X582" s="198"/>
      <c r="Y582" s="198"/>
      <c r="Z582" s="198"/>
      <c r="AA582" s="198"/>
    </row>
    <row r="583">
      <c r="A583" s="201"/>
      <c r="B583" s="201"/>
      <c r="C583" s="198"/>
      <c r="D583" s="198"/>
      <c r="E583" s="198"/>
      <c r="F583" s="198"/>
      <c r="G583" s="198"/>
      <c r="H583" s="198"/>
      <c r="I583" s="198"/>
      <c r="J583" s="198"/>
      <c r="K583" s="198"/>
      <c r="M583" s="198"/>
      <c r="N583" s="198"/>
      <c r="O583" s="198"/>
      <c r="P583" s="198"/>
      <c r="Q583" s="198"/>
      <c r="R583" s="198"/>
      <c r="S583" s="198"/>
      <c r="T583" s="198"/>
      <c r="U583" s="198"/>
      <c r="V583" s="198"/>
      <c r="W583" s="198"/>
      <c r="X583" s="198"/>
      <c r="Y583" s="198"/>
      <c r="Z583" s="198"/>
      <c r="AA583" s="198"/>
    </row>
    <row r="584">
      <c r="A584" s="201"/>
      <c r="B584" s="201"/>
      <c r="C584" s="198"/>
      <c r="D584" s="198"/>
      <c r="E584" s="198"/>
      <c r="F584" s="198"/>
      <c r="G584" s="198"/>
      <c r="H584" s="198"/>
      <c r="I584" s="198"/>
      <c r="J584" s="198"/>
      <c r="K584" s="198"/>
      <c r="M584" s="198"/>
      <c r="N584" s="198"/>
      <c r="O584" s="198"/>
      <c r="P584" s="198"/>
      <c r="Q584" s="198"/>
      <c r="R584" s="198"/>
      <c r="S584" s="198"/>
      <c r="T584" s="198"/>
      <c r="U584" s="198"/>
      <c r="V584" s="198"/>
      <c r="W584" s="198"/>
      <c r="X584" s="198"/>
      <c r="Y584" s="198"/>
      <c r="Z584" s="198"/>
      <c r="AA584" s="198"/>
    </row>
    <row r="585">
      <c r="A585" s="201"/>
      <c r="B585" s="201"/>
      <c r="C585" s="198"/>
      <c r="D585" s="198"/>
      <c r="E585" s="198"/>
      <c r="F585" s="198"/>
      <c r="G585" s="198"/>
      <c r="H585" s="198"/>
      <c r="I585" s="198"/>
      <c r="J585" s="198"/>
      <c r="K585" s="198"/>
      <c r="M585" s="198"/>
      <c r="N585" s="198"/>
      <c r="O585" s="198"/>
      <c r="P585" s="198"/>
      <c r="Q585" s="198"/>
      <c r="R585" s="198"/>
      <c r="S585" s="198"/>
      <c r="T585" s="198"/>
      <c r="U585" s="198"/>
      <c r="V585" s="198"/>
      <c r="W585" s="198"/>
      <c r="X585" s="198"/>
      <c r="Y585" s="198"/>
      <c r="Z585" s="198"/>
      <c r="AA585" s="198"/>
    </row>
    <row r="586">
      <c r="A586" s="201"/>
      <c r="B586" s="201"/>
      <c r="C586" s="198"/>
      <c r="D586" s="198"/>
      <c r="E586" s="198"/>
      <c r="F586" s="198"/>
      <c r="G586" s="198"/>
      <c r="H586" s="198"/>
      <c r="I586" s="198"/>
      <c r="J586" s="198"/>
      <c r="K586" s="198"/>
      <c r="M586" s="198"/>
      <c r="N586" s="198"/>
      <c r="O586" s="198"/>
      <c r="P586" s="198"/>
      <c r="Q586" s="198"/>
      <c r="R586" s="198"/>
      <c r="S586" s="198"/>
      <c r="T586" s="198"/>
      <c r="U586" s="198"/>
      <c r="V586" s="198"/>
      <c r="W586" s="198"/>
      <c r="X586" s="198"/>
      <c r="Y586" s="198"/>
      <c r="Z586" s="198"/>
      <c r="AA586" s="198"/>
    </row>
    <row r="587">
      <c r="A587" s="201"/>
      <c r="B587" s="201"/>
      <c r="C587" s="198"/>
      <c r="D587" s="198"/>
      <c r="E587" s="198"/>
      <c r="F587" s="198"/>
      <c r="G587" s="198"/>
      <c r="H587" s="198"/>
      <c r="I587" s="198"/>
      <c r="J587" s="198"/>
      <c r="K587" s="198"/>
      <c r="M587" s="198"/>
      <c r="N587" s="198"/>
      <c r="O587" s="198"/>
      <c r="P587" s="198"/>
      <c r="Q587" s="198"/>
      <c r="R587" s="198"/>
      <c r="S587" s="198"/>
      <c r="T587" s="198"/>
      <c r="U587" s="198"/>
      <c r="V587" s="198"/>
      <c r="W587" s="198"/>
      <c r="X587" s="198"/>
      <c r="Y587" s="198"/>
      <c r="Z587" s="198"/>
      <c r="AA587" s="198"/>
    </row>
    <row r="588">
      <c r="A588" s="201"/>
      <c r="B588" s="201"/>
      <c r="C588" s="198"/>
      <c r="D588" s="198"/>
      <c r="E588" s="198"/>
      <c r="F588" s="198"/>
      <c r="G588" s="198"/>
      <c r="H588" s="198"/>
      <c r="I588" s="198"/>
      <c r="J588" s="198"/>
      <c r="K588" s="198"/>
      <c r="M588" s="198"/>
      <c r="N588" s="198"/>
      <c r="O588" s="198"/>
      <c r="P588" s="198"/>
      <c r="Q588" s="198"/>
      <c r="R588" s="198"/>
      <c r="S588" s="198"/>
      <c r="T588" s="198"/>
      <c r="U588" s="198"/>
      <c r="V588" s="198"/>
      <c r="W588" s="198"/>
      <c r="X588" s="198"/>
      <c r="Y588" s="198"/>
      <c r="Z588" s="198"/>
      <c r="AA588" s="198"/>
    </row>
    <row r="589">
      <c r="A589" s="201"/>
      <c r="B589" s="201"/>
      <c r="C589" s="198"/>
      <c r="D589" s="198"/>
      <c r="E589" s="198"/>
      <c r="F589" s="198"/>
      <c r="G589" s="198"/>
      <c r="H589" s="198"/>
      <c r="I589" s="198"/>
      <c r="J589" s="198"/>
      <c r="K589" s="198"/>
      <c r="M589" s="198"/>
      <c r="N589" s="198"/>
      <c r="O589" s="198"/>
      <c r="P589" s="198"/>
      <c r="Q589" s="198"/>
      <c r="R589" s="198"/>
      <c r="S589" s="198"/>
      <c r="T589" s="198"/>
      <c r="U589" s="198"/>
      <c r="V589" s="198"/>
      <c r="W589" s="198"/>
      <c r="X589" s="198"/>
      <c r="Y589" s="198"/>
      <c r="Z589" s="198"/>
      <c r="AA589" s="198"/>
    </row>
    <row r="590">
      <c r="A590" s="201"/>
      <c r="B590" s="201"/>
      <c r="C590" s="198"/>
      <c r="D590" s="198"/>
      <c r="E590" s="198"/>
      <c r="F590" s="198"/>
      <c r="G590" s="198"/>
      <c r="H590" s="198"/>
      <c r="I590" s="198"/>
      <c r="J590" s="198"/>
      <c r="K590" s="198"/>
      <c r="M590" s="198"/>
      <c r="N590" s="198"/>
      <c r="O590" s="198"/>
      <c r="P590" s="198"/>
      <c r="Q590" s="198"/>
      <c r="R590" s="198"/>
      <c r="S590" s="198"/>
      <c r="T590" s="198"/>
      <c r="U590" s="198"/>
      <c r="V590" s="198"/>
      <c r="W590" s="198"/>
      <c r="X590" s="198"/>
      <c r="Y590" s="198"/>
      <c r="Z590" s="198"/>
      <c r="AA590" s="198"/>
    </row>
    <row r="591">
      <c r="A591" s="201"/>
      <c r="B591" s="201"/>
      <c r="C591" s="198"/>
      <c r="D591" s="198"/>
      <c r="E591" s="198"/>
      <c r="F591" s="198"/>
      <c r="G591" s="198"/>
      <c r="H591" s="198"/>
      <c r="I591" s="198"/>
      <c r="J591" s="198"/>
      <c r="K591" s="198"/>
      <c r="M591" s="198"/>
      <c r="N591" s="198"/>
      <c r="O591" s="198"/>
      <c r="P591" s="198"/>
      <c r="Q591" s="198"/>
      <c r="R591" s="198"/>
      <c r="S591" s="198"/>
      <c r="T591" s="198"/>
      <c r="U591" s="198"/>
      <c r="V591" s="198"/>
      <c r="W591" s="198"/>
      <c r="X591" s="198"/>
      <c r="Y591" s="198"/>
      <c r="Z591" s="198"/>
      <c r="AA591" s="198"/>
    </row>
    <row r="592">
      <c r="A592" s="201"/>
      <c r="B592" s="201"/>
      <c r="C592" s="198"/>
      <c r="D592" s="198"/>
      <c r="E592" s="198"/>
      <c r="F592" s="198"/>
      <c r="G592" s="198"/>
      <c r="H592" s="198"/>
      <c r="I592" s="198"/>
      <c r="J592" s="198"/>
      <c r="K592" s="198"/>
      <c r="M592" s="198"/>
      <c r="N592" s="198"/>
      <c r="O592" s="198"/>
      <c r="P592" s="198"/>
      <c r="Q592" s="198"/>
      <c r="R592" s="198"/>
      <c r="S592" s="198"/>
      <c r="T592" s="198"/>
      <c r="U592" s="198"/>
      <c r="V592" s="198"/>
      <c r="W592" s="198"/>
      <c r="X592" s="198"/>
      <c r="Y592" s="198"/>
      <c r="Z592" s="198"/>
      <c r="AA592" s="198"/>
    </row>
    <row r="593">
      <c r="A593" s="201"/>
      <c r="B593" s="201"/>
      <c r="C593" s="198"/>
      <c r="D593" s="198"/>
      <c r="E593" s="198"/>
      <c r="F593" s="198"/>
      <c r="G593" s="198"/>
      <c r="H593" s="198"/>
      <c r="I593" s="198"/>
      <c r="J593" s="198"/>
      <c r="K593" s="198"/>
      <c r="M593" s="198"/>
      <c r="N593" s="198"/>
      <c r="O593" s="198"/>
      <c r="P593" s="198"/>
      <c r="Q593" s="198"/>
      <c r="R593" s="198"/>
      <c r="S593" s="198"/>
      <c r="T593" s="198"/>
      <c r="U593" s="198"/>
      <c r="V593" s="198"/>
      <c r="W593" s="198"/>
      <c r="X593" s="198"/>
      <c r="Y593" s="198"/>
      <c r="Z593" s="198"/>
      <c r="AA593" s="198"/>
    </row>
    <row r="594">
      <c r="A594" s="201"/>
      <c r="B594" s="201"/>
      <c r="C594" s="198"/>
      <c r="D594" s="198"/>
      <c r="E594" s="198"/>
      <c r="F594" s="198"/>
      <c r="G594" s="198"/>
      <c r="H594" s="198"/>
      <c r="I594" s="198"/>
      <c r="J594" s="198"/>
      <c r="K594" s="198"/>
      <c r="M594" s="198"/>
      <c r="N594" s="198"/>
      <c r="O594" s="198"/>
      <c r="P594" s="198"/>
      <c r="Q594" s="198"/>
      <c r="R594" s="198"/>
      <c r="S594" s="198"/>
      <c r="T594" s="198"/>
      <c r="U594" s="198"/>
      <c r="V594" s="198"/>
      <c r="W594" s="198"/>
      <c r="X594" s="198"/>
      <c r="Y594" s="198"/>
      <c r="Z594" s="198"/>
      <c r="AA594" s="198"/>
    </row>
    <row r="595">
      <c r="A595" s="201"/>
      <c r="B595" s="201"/>
      <c r="C595" s="198"/>
      <c r="D595" s="198"/>
      <c r="E595" s="198"/>
      <c r="F595" s="198"/>
      <c r="G595" s="198"/>
      <c r="H595" s="198"/>
      <c r="I595" s="198"/>
      <c r="J595" s="198"/>
      <c r="K595" s="198"/>
      <c r="M595" s="198"/>
      <c r="N595" s="198"/>
      <c r="O595" s="198"/>
      <c r="P595" s="198"/>
      <c r="Q595" s="198"/>
      <c r="R595" s="198"/>
      <c r="S595" s="198"/>
      <c r="T595" s="198"/>
      <c r="U595" s="198"/>
      <c r="V595" s="198"/>
      <c r="W595" s="198"/>
      <c r="X595" s="198"/>
      <c r="Y595" s="198"/>
      <c r="Z595" s="198"/>
      <c r="AA595" s="198"/>
    </row>
    <row r="596">
      <c r="A596" s="201"/>
      <c r="B596" s="201"/>
      <c r="C596" s="198"/>
      <c r="D596" s="198"/>
      <c r="E596" s="198"/>
      <c r="F596" s="198"/>
      <c r="G596" s="198"/>
      <c r="H596" s="198"/>
      <c r="I596" s="198"/>
      <c r="J596" s="198"/>
      <c r="K596" s="198"/>
      <c r="M596" s="198"/>
      <c r="N596" s="198"/>
      <c r="O596" s="198"/>
      <c r="P596" s="198"/>
      <c r="Q596" s="198"/>
      <c r="R596" s="198"/>
      <c r="S596" s="198"/>
      <c r="T596" s="198"/>
      <c r="U596" s="198"/>
      <c r="V596" s="198"/>
      <c r="W596" s="198"/>
      <c r="X596" s="198"/>
      <c r="Y596" s="198"/>
      <c r="Z596" s="198"/>
      <c r="AA596" s="198"/>
    </row>
    <row r="597">
      <c r="A597" s="201"/>
      <c r="B597" s="201"/>
      <c r="C597" s="198"/>
      <c r="D597" s="198"/>
      <c r="E597" s="198"/>
      <c r="F597" s="198"/>
      <c r="G597" s="198"/>
      <c r="H597" s="198"/>
      <c r="I597" s="198"/>
      <c r="J597" s="198"/>
      <c r="K597" s="198"/>
      <c r="M597" s="198"/>
      <c r="N597" s="198"/>
      <c r="O597" s="198"/>
      <c r="P597" s="198"/>
      <c r="Q597" s="198"/>
      <c r="R597" s="198"/>
      <c r="S597" s="198"/>
      <c r="T597" s="198"/>
      <c r="U597" s="198"/>
      <c r="V597" s="198"/>
      <c r="W597" s="198"/>
      <c r="X597" s="198"/>
      <c r="Y597" s="198"/>
      <c r="Z597" s="198"/>
      <c r="AA597" s="198"/>
    </row>
    <row r="598">
      <c r="A598" s="201"/>
      <c r="B598" s="201"/>
      <c r="C598" s="198"/>
      <c r="D598" s="198"/>
      <c r="E598" s="198"/>
      <c r="F598" s="198"/>
      <c r="G598" s="198"/>
      <c r="H598" s="198"/>
      <c r="I598" s="198"/>
      <c r="J598" s="198"/>
      <c r="K598" s="198"/>
      <c r="M598" s="198"/>
      <c r="N598" s="198"/>
      <c r="O598" s="198"/>
      <c r="P598" s="198"/>
      <c r="Q598" s="198"/>
      <c r="R598" s="198"/>
      <c r="S598" s="198"/>
      <c r="T598" s="198"/>
      <c r="U598" s="198"/>
      <c r="V598" s="198"/>
      <c r="W598" s="198"/>
      <c r="X598" s="198"/>
      <c r="Y598" s="198"/>
      <c r="Z598" s="198"/>
      <c r="AA598" s="198"/>
    </row>
    <row r="599">
      <c r="A599" s="201"/>
      <c r="B599" s="201"/>
      <c r="C599" s="198"/>
      <c r="D599" s="198"/>
      <c r="E599" s="198"/>
      <c r="F599" s="198"/>
      <c r="G599" s="198"/>
      <c r="H599" s="198"/>
      <c r="I599" s="198"/>
      <c r="J599" s="198"/>
      <c r="K599" s="198"/>
      <c r="M599" s="198"/>
      <c r="N599" s="198"/>
      <c r="O599" s="198"/>
      <c r="P599" s="198"/>
      <c r="Q599" s="198"/>
      <c r="R599" s="198"/>
      <c r="S599" s="198"/>
      <c r="T599" s="198"/>
      <c r="U599" s="198"/>
      <c r="V599" s="198"/>
      <c r="W599" s="198"/>
      <c r="X599" s="198"/>
      <c r="Y599" s="198"/>
      <c r="Z599" s="198"/>
      <c r="AA599" s="198"/>
    </row>
    <row r="600">
      <c r="A600" s="201"/>
      <c r="B600" s="201"/>
      <c r="C600" s="198"/>
      <c r="D600" s="198"/>
      <c r="E600" s="198"/>
      <c r="F600" s="198"/>
      <c r="G600" s="198"/>
      <c r="H600" s="198"/>
      <c r="I600" s="198"/>
      <c r="J600" s="198"/>
      <c r="K600" s="198"/>
      <c r="M600" s="198"/>
      <c r="N600" s="198"/>
      <c r="O600" s="198"/>
      <c r="P600" s="198"/>
      <c r="Q600" s="198"/>
      <c r="R600" s="198"/>
      <c r="S600" s="198"/>
      <c r="T600" s="198"/>
      <c r="U600" s="198"/>
      <c r="V600" s="198"/>
      <c r="W600" s="198"/>
      <c r="X600" s="198"/>
      <c r="Y600" s="198"/>
      <c r="Z600" s="198"/>
      <c r="AA600" s="198"/>
    </row>
    <row r="601">
      <c r="A601" s="201"/>
      <c r="B601" s="201"/>
      <c r="C601" s="198"/>
      <c r="D601" s="198"/>
      <c r="E601" s="198"/>
      <c r="F601" s="198"/>
      <c r="G601" s="198"/>
      <c r="H601" s="198"/>
      <c r="I601" s="198"/>
      <c r="J601" s="198"/>
      <c r="K601" s="198"/>
      <c r="M601" s="198"/>
      <c r="N601" s="198"/>
      <c r="O601" s="198"/>
      <c r="P601" s="198"/>
      <c r="Q601" s="198"/>
      <c r="R601" s="198"/>
      <c r="S601" s="198"/>
      <c r="T601" s="198"/>
      <c r="U601" s="198"/>
      <c r="V601" s="198"/>
      <c r="W601" s="198"/>
      <c r="X601" s="198"/>
      <c r="Y601" s="198"/>
      <c r="Z601" s="198"/>
      <c r="AA601" s="198"/>
    </row>
    <row r="602">
      <c r="A602" s="201"/>
      <c r="B602" s="201"/>
      <c r="C602" s="198"/>
      <c r="D602" s="198"/>
      <c r="E602" s="198"/>
      <c r="F602" s="198"/>
      <c r="G602" s="198"/>
      <c r="H602" s="198"/>
      <c r="I602" s="198"/>
      <c r="J602" s="198"/>
      <c r="K602" s="198"/>
      <c r="M602" s="198"/>
      <c r="N602" s="198"/>
      <c r="O602" s="198"/>
      <c r="P602" s="198"/>
      <c r="Q602" s="198"/>
      <c r="R602" s="198"/>
      <c r="S602" s="198"/>
      <c r="T602" s="198"/>
      <c r="U602" s="198"/>
      <c r="V602" s="198"/>
      <c r="W602" s="198"/>
      <c r="X602" s="198"/>
      <c r="Y602" s="198"/>
      <c r="Z602" s="198"/>
      <c r="AA602" s="198"/>
    </row>
    <row r="603">
      <c r="A603" s="201"/>
      <c r="B603" s="201"/>
      <c r="C603" s="198"/>
      <c r="D603" s="198"/>
      <c r="E603" s="198"/>
      <c r="F603" s="198"/>
      <c r="G603" s="198"/>
      <c r="H603" s="198"/>
      <c r="I603" s="198"/>
      <c r="J603" s="198"/>
      <c r="K603" s="198"/>
      <c r="M603" s="198"/>
      <c r="N603" s="198"/>
      <c r="O603" s="198"/>
      <c r="P603" s="198"/>
      <c r="Q603" s="198"/>
      <c r="R603" s="198"/>
      <c r="S603" s="198"/>
      <c r="T603" s="198"/>
      <c r="U603" s="198"/>
      <c r="V603" s="198"/>
      <c r="W603" s="198"/>
      <c r="X603" s="198"/>
      <c r="Y603" s="198"/>
      <c r="Z603" s="198"/>
      <c r="AA603" s="198"/>
    </row>
    <row r="604">
      <c r="A604" s="201"/>
      <c r="B604" s="201"/>
      <c r="C604" s="198"/>
      <c r="D604" s="198"/>
      <c r="E604" s="198"/>
      <c r="F604" s="198"/>
      <c r="G604" s="198"/>
      <c r="H604" s="198"/>
      <c r="I604" s="198"/>
      <c r="J604" s="198"/>
      <c r="K604" s="198"/>
      <c r="M604" s="198"/>
      <c r="N604" s="198"/>
      <c r="O604" s="198"/>
      <c r="P604" s="198"/>
      <c r="Q604" s="198"/>
      <c r="R604" s="198"/>
      <c r="S604" s="198"/>
      <c r="T604" s="198"/>
      <c r="U604" s="198"/>
      <c r="V604" s="198"/>
      <c r="W604" s="198"/>
      <c r="X604" s="198"/>
      <c r="Y604" s="198"/>
      <c r="Z604" s="198"/>
      <c r="AA604" s="198"/>
    </row>
    <row r="605">
      <c r="A605" s="201"/>
      <c r="B605" s="201"/>
      <c r="C605" s="198"/>
      <c r="D605" s="198"/>
      <c r="E605" s="198"/>
      <c r="F605" s="198"/>
      <c r="G605" s="198"/>
      <c r="H605" s="198"/>
      <c r="I605" s="198"/>
      <c r="J605" s="198"/>
      <c r="K605" s="198"/>
      <c r="M605" s="198"/>
      <c r="N605" s="198"/>
      <c r="O605" s="198"/>
      <c r="P605" s="198"/>
      <c r="Q605" s="198"/>
      <c r="R605" s="198"/>
      <c r="S605" s="198"/>
      <c r="T605" s="198"/>
      <c r="U605" s="198"/>
      <c r="V605" s="198"/>
      <c r="W605" s="198"/>
      <c r="X605" s="198"/>
      <c r="Y605" s="198"/>
      <c r="Z605" s="198"/>
      <c r="AA605" s="198"/>
    </row>
    <row r="606">
      <c r="A606" s="201"/>
      <c r="B606" s="201"/>
      <c r="C606" s="198"/>
      <c r="D606" s="198"/>
      <c r="E606" s="198"/>
      <c r="F606" s="198"/>
      <c r="G606" s="198"/>
      <c r="H606" s="198"/>
      <c r="I606" s="198"/>
      <c r="J606" s="198"/>
      <c r="K606" s="198"/>
      <c r="M606" s="198"/>
      <c r="N606" s="198"/>
      <c r="O606" s="198"/>
      <c r="P606" s="198"/>
      <c r="Q606" s="198"/>
      <c r="R606" s="198"/>
      <c r="S606" s="198"/>
      <c r="T606" s="198"/>
      <c r="U606" s="198"/>
      <c r="V606" s="198"/>
      <c r="W606" s="198"/>
      <c r="X606" s="198"/>
      <c r="Y606" s="198"/>
      <c r="Z606" s="198"/>
      <c r="AA606" s="198"/>
    </row>
    <row r="607">
      <c r="A607" s="201"/>
      <c r="B607" s="201"/>
      <c r="C607" s="198"/>
      <c r="D607" s="198"/>
      <c r="E607" s="198"/>
      <c r="F607" s="198"/>
      <c r="G607" s="198"/>
      <c r="H607" s="198"/>
      <c r="I607" s="198"/>
      <c r="J607" s="198"/>
      <c r="K607" s="198"/>
      <c r="M607" s="198"/>
      <c r="N607" s="198"/>
      <c r="O607" s="198"/>
      <c r="P607" s="198"/>
      <c r="Q607" s="198"/>
      <c r="R607" s="198"/>
      <c r="S607" s="198"/>
      <c r="T607" s="198"/>
      <c r="U607" s="198"/>
      <c r="V607" s="198"/>
      <c r="W607" s="198"/>
      <c r="X607" s="198"/>
      <c r="Y607" s="198"/>
      <c r="Z607" s="198"/>
      <c r="AA607" s="198"/>
    </row>
    <row r="608">
      <c r="A608" s="201"/>
      <c r="B608" s="201"/>
      <c r="C608" s="198"/>
      <c r="D608" s="198"/>
      <c r="E608" s="198"/>
      <c r="F608" s="198"/>
      <c r="G608" s="198"/>
      <c r="H608" s="198"/>
      <c r="I608" s="198"/>
      <c r="J608" s="198"/>
      <c r="K608" s="198"/>
      <c r="M608" s="198"/>
      <c r="N608" s="198"/>
      <c r="O608" s="198"/>
      <c r="P608" s="198"/>
      <c r="Q608" s="198"/>
      <c r="R608" s="198"/>
      <c r="S608" s="198"/>
      <c r="T608" s="198"/>
      <c r="U608" s="198"/>
      <c r="V608" s="198"/>
      <c r="W608" s="198"/>
      <c r="X608" s="198"/>
      <c r="Y608" s="198"/>
      <c r="Z608" s="198"/>
      <c r="AA608" s="198"/>
    </row>
    <row r="609">
      <c r="A609" s="201"/>
      <c r="B609" s="201"/>
      <c r="C609" s="198"/>
      <c r="D609" s="198"/>
      <c r="E609" s="198"/>
      <c r="F609" s="198"/>
      <c r="G609" s="198"/>
      <c r="H609" s="198"/>
      <c r="I609" s="198"/>
      <c r="J609" s="198"/>
      <c r="K609" s="198"/>
      <c r="M609" s="198"/>
      <c r="N609" s="198"/>
      <c r="O609" s="198"/>
      <c r="P609" s="198"/>
      <c r="Q609" s="198"/>
      <c r="R609" s="198"/>
      <c r="S609" s="198"/>
      <c r="T609" s="198"/>
      <c r="U609" s="198"/>
      <c r="V609" s="198"/>
      <c r="W609" s="198"/>
      <c r="X609" s="198"/>
      <c r="Y609" s="198"/>
      <c r="Z609" s="198"/>
      <c r="AA609" s="198"/>
    </row>
    <row r="610">
      <c r="A610" s="201"/>
      <c r="B610" s="201"/>
      <c r="C610" s="198"/>
      <c r="D610" s="198"/>
      <c r="E610" s="198"/>
      <c r="F610" s="198"/>
      <c r="G610" s="198"/>
      <c r="H610" s="198"/>
      <c r="I610" s="198"/>
      <c r="J610" s="198"/>
      <c r="K610" s="198"/>
      <c r="M610" s="198"/>
      <c r="N610" s="198"/>
      <c r="O610" s="198"/>
      <c r="P610" s="198"/>
      <c r="Q610" s="198"/>
      <c r="R610" s="198"/>
      <c r="S610" s="198"/>
      <c r="T610" s="198"/>
      <c r="U610" s="198"/>
      <c r="V610" s="198"/>
      <c r="W610" s="198"/>
      <c r="X610" s="198"/>
      <c r="Y610" s="198"/>
      <c r="Z610" s="198"/>
      <c r="AA610" s="198"/>
    </row>
    <row r="611">
      <c r="A611" s="201"/>
      <c r="B611" s="201"/>
      <c r="C611" s="198"/>
      <c r="D611" s="198"/>
      <c r="E611" s="198"/>
      <c r="F611" s="198"/>
      <c r="G611" s="198"/>
      <c r="H611" s="198"/>
      <c r="I611" s="198"/>
      <c r="J611" s="198"/>
      <c r="K611" s="198"/>
      <c r="M611" s="198"/>
      <c r="N611" s="198"/>
      <c r="O611" s="198"/>
      <c r="P611" s="198"/>
      <c r="Q611" s="198"/>
      <c r="R611" s="198"/>
      <c r="S611" s="198"/>
      <c r="T611" s="198"/>
      <c r="U611" s="198"/>
      <c r="V611" s="198"/>
      <c r="W611" s="198"/>
      <c r="X611" s="198"/>
      <c r="Y611" s="198"/>
      <c r="Z611" s="198"/>
      <c r="AA611" s="198"/>
    </row>
    <row r="612">
      <c r="A612" s="201"/>
      <c r="B612" s="201"/>
      <c r="C612" s="198"/>
      <c r="D612" s="198"/>
      <c r="E612" s="198"/>
      <c r="F612" s="198"/>
      <c r="G612" s="198"/>
      <c r="H612" s="198"/>
      <c r="I612" s="198"/>
      <c r="J612" s="198"/>
      <c r="K612" s="198"/>
      <c r="M612" s="198"/>
      <c r="N612" s="198"/>
      <c r="O612" s="198"/>
      <c r="P612" s="198"/>
      <c r="Q612" s="198"/>
      <c r="R612" s="198"/>
      <c r="S612" s="198"/>
      <c r="T612" s="198"/>
      <c r="U612" s="198"/>
      <c r="V612" s="198"/>
      <c r="W612" s="198"/>
      <c r="X612" s="198"/>
      <c r="Y612" s="198"/>
      <c r="Z612" s="198"/>
      <c r="AA612" s="198"/>
    </row>
    <row r="613">
      <c r="A613" s="201"/>
      <c r="B613" s="201"/>
      <c r="C613" s="198"/>
      <c r="D613" s="198"/>
      <c r="E613" s="198"/>
      <c r="F613" s="198"/>
      <c r="G613" s="198"/>
      <c r="H613" s="198"/>
      <c r="I613" s="198"/>
      <c r="J613" s="198"/>
      <c r="K613" s="198"/>
      <c r="M613" s="198"/>
      <c r="N613" s="198"/>
      <c r="O613" s="198"/>
      <c r="P613" s="198"/>
      <c r="Q613" s="198"/>
      <c r="R613" s="198"/>
      <c r="S613" s="198"/>
      <c r="T613" s="198"/>
      <c r="U613" s="198"/>
      <c r="V613" s="198"/>
      <c r="W613" s="198"/>
      <c r="X613" s="198"/>
      <c r="Y613" s="198"/>
      <c r="Z613" s="198"/>
      <c r="AA613" s="198"/>
    </row>
    <row r="614">
      <c r="A614" s="201"/>
      <c r="B614" s="201"/>
      <c r="C614" s="198"/>
      <c r="D614" s="198"/>
      <c r="E614" s="198"/>
      <c r="F614" s="198"/>
      <c r="G614" s="198"/>
      <c r="H614" s="198"/>
      <c r="I614" s="198"/>
      <c r="J614" s="198"/>
      <c r="K614" s="198"/>
      <c r="M614" s="198"/>
      <c r="N614" s="198"/>
      <c r="O614" s="198"/>
      <c r="P614" s="198"/>
      <c r="Q614" s="198"/>
      <c r="R614" s="198"/>
      <c r="S614" s="198"/>
      <c r="T614" s="198"/>
      <c r="U614" s="198"/>
      <c r="V614" s="198"/>
      <c r="W614" s="198"/>
      <c r="X614" s="198"/>
      <c r="Y614" s="198"/>
      <c r="Z614" s="198"/>
      <c r="AA614" s="198"/>
    </row>
    <row r="615">
      <c r="A615" s="201"/>
      <c r="B615" s="201"/>
      <c r="C615" s="198"/>
      <c r="D615" s="198"/>
      <c r="E615" s="198"/>
      <c r="F615" s="198"/>
      <c r="G615" s="198"/>
      <c r="H615" s="198"/>
      <c r="I615" s="198"/>
      <c r="J615" s="198"/>
      <c r="K615" s="198"/>
      <c r="M615" s="198"/>
      <c r="N615" s="198"/>
      <c r="O615" s="198"/>
      <c r="P615" s="198"/>
      <c r="Q615" s="198"/>
      <c r="R615" s="198"/>
      <c r="S615" s="198"/>
      <c r="T615" s="198"/>
      <c r="U615" s="198"/>
      <c r="V615" s="198"/>
      <c r="W615" s="198"/>
      <c r="X615" s="198"/>
      <c r="Y615" s="198"/>
      <c r="Z615" s="198"/>
      <c r="AA615" s="198"/>
    </row>
    <row r="616">
      <c r="A616" s="201"/>
      <c r="B616" s="201"/>
      <c r="C616" s="198"/>
      <c r="D616" s="198"/>
      <c r="E616" s="198"/>
      <c r="F616" s="198"/>
      <c r="G616" s="198"/>
      <c r="H616" s="198"/>
      <c r="I616" s="198"/>
      <c r="J616" s="198"/>
      <c r="K616" s="198"/>
      <c r="M616" s="198"/>
      <c r="N616" s="198"/>
      <c r="O616" s="198"/>
      <c r="P616" s="198"/>
      <c r="Q616" s="198"/>
      <c r="R616" s="198"/>
      <c r="S616" s="198"/>
      <c r="T616" s="198"/>
      <c r="U616" s="198"/>
      <c r="V616" s="198"/>
      <c r="W616" s="198"/>
      <c r="X616" s="198"/>
      <c r="Y616" s="198"/>
      <c r="Z616" s="198"/>
      <c r="AA616" s="198"/>
    </row>
    <row r="617">
      <c r="A617" s="201"/>
      <c r="B617" s="201"/>
      <c r="C617" s="198"/>
      <c r="D617" s="198"/>
      <c r="E617" s="198"/>
      <c r="F617" s="198"/>
      <c r="G617" s="198"/>
      <c r="H617" s="198"/>
      <c r="I617" s="198"/>
      <c r="J617" s="198"/>
      <c r="K617" s="198"/>
      <c r="M617" s="198"/>
      <c r="N617" s="198"/>
      <c r="O617" s="198"/>
      <c r="P617" s="198"/>
      <c r="Q617" s="198"/>
      <c r="R617" s="198"/>
      <c r="S617" s="198"/>
      <c r="T617" s="198"/>
      <c r="U617" s="198"/>
      <c r="V617" s="198"/>
      <c r="W617" s="198"/>
      <c r="X617" s="198"/>
      <c r="Y617" s="198"/>
      <c r="Z617" s="198"/>
      <c r="AA617" s="198"/>
    </row>
    <row r="618">
      <c r="A618" s="201"/>
      <c r="B618" s="201"/>
      <c r="C618" s="198"/>
      <c r="D618" s="198"/>
      <c r="E618" s="198"/>
      <c r="F618" s="198"/>
      <c r="G618" s="198"/>
      <c r="H618" s="198"/>
      <c r="I618" s="198"/>
      <c r="J618" s="198"/>
      <c r="K618" s="198"/>
      <c r="M618" s="198"/>
      <c r="N618" s="198"/>
      <c r="O618" s="198"/>
      <c r="P618" s="198"/>
      <c r="Q618" s="198"/>
      <c r="R618" s="198"/>
      <c r="S618" s="198"/>
      <c r="T618" s="198"/>
      <c r="U618" s="198"/>
      <c r="V618" s="198"/>
      <c r="W618" s="198"/>
      <c r="X618" s="198"/>
      <c r="Y618" s="198"/>
      <c r="Z618" s="198"/>
      <c r="AA618" s="198"/>
    </row>
    <row r="619">
      <c r="A619" s="201"/>
      <c r="B619" s="201"/>
      <c r="C619" s="198"/>
      <c r="D619" s="198"/>
      <c r="E619" s="198"/>
      <c r="F619" s="198"/>
      <c r="G619" s="198"/>
      <c r="H619" s="198"/>
      <c r="I619" s="198"/>
      <c r="J619" s="198"/>
      <c r="K619" s="198"/>
      <c r="M619" s="198"/>
      <c r="N619" s="198"/>
      <c r="O619" s="198"/>
      <c r="P619" s="198"/>
      <c r="Q619" s="198"/>
      <c r="R619" s="198"/>
      <c r="S619" s="198"/>
      <c r="T619" s="198"/>
      <c r="U619" s="198"/>
      <c r="V619" s="198"/>
      <c r="W619" s="198"/>
      <c r="X619" s="198"/>
      <c r="Y619" s="198"/>
      <c r="Z619" s="198"/>
      <c r="AA619" s="198"/>
    </row>
    <row r="620">
      <c r="A620" s="201"/>
      <c r="B620" s="201"/>
      <c r="C620" s="198"/>
      <c r="D620" s="198"/>
      <c r="E620" s="198"/>
      <c r="F620" s="198"/>
      <c r="G620" s="198"/>
      <c r="H620" s="198"/>
      <c r="I620" s="198"/>
      <c r="J620" s="198"/>
      <c r="K620" s="198"/>
      <c r="M620" s="198"/>
      <c r="N620" s="198"/>
      <c r="O620" s="198"/>
      <c r="P620" s="198"/>
      <c r="Q620" s="198"/>
      <c r="R620" s="198"/>
      <c r="S620" s="198"/>
      <c r="T620" s="198"/>
      <c r="U620" s="198"/>
      <c r="V620" s="198"/>
      <c r="W620" s="198"/>
      <c r="X620" s="198"/>
      <c r="Y620" s="198"/>
      <c r="Z620" s="198"/>
      <c r="AA620" s="198"/>
    </row>
    <row r="621">
      <c r="A621" s="201"/>
      <c r="B621" s="201"/>
      <c r="C621" s="198"/>
      <c r="D621" s="198"/>
      <c r="E621" s="198"/>
      <c r="F621" s="198"/>
      <c r="G621" s="198"/>
      <c r="H621" s="198"/>
      <c r="I621" s="198"/>
      <c r="J621" s="198"/>
      <c r="K621" s="198"/>
      <c r="M621" s="198"/>
      <c r="N621" s="198"/>
      <c r="O621" s="198"/>
      <c r="P621" s="198"/>
      <c r="Q621" s="198"/>
      <c r="R621" s="198"/>
      <c r="S621" s="198"/>
      <c r="T621" s="198"/>
      <c r="U621" s="198"/>
      <c r="V621" s="198"/>
      <c r="W621" s="198"/>
      <c r="X621" s="198"/>
      <c r="Y621" s="198"/>
      <c r="Z621" s="198"/>
      <c r="AA621" s="198"/>
    </row>
    <row r="622">
      <c r="A622" s="201"/>
      <c r="B622" s="201"/>
      <c r="C622" s="198"/>
      <c r="D622" s="198"/>
      <c r="E622" s="198"/>
      <c r="F622" s="198"/>
      <c r="G622" s="198"/>
      <c r="H622" s="198"/>
      <c r="I622" s="198"/>
      <c r="J622" s="198"/>
      <c r="K622" s="198"/>
      <c r="M622" s="198"/>
      <c r="N622" s="198"/>
      <c r="O622" s="198"/>
      <c r="P622" s="198"/>
      <c r="Q622" s="198"/>
      <c r="R622" s="198"/>
      <c r="S622" s="198"/>
      <c r="T622" s="198"/>
      <c r="U622" s="198"/>
      <c r="V622" s="198"/>
      <c r="W622" s="198"/>
      <c r="X622" s="198"/>
      <c r="Y622" s="198"/>
      <c r="Z622" s="198"/>
      <c r="AA622" s="198"/>
    </row>
    <row r="623">
      <c r="A623" s="201"/>
      <c r="B623" s="201"/>
      <c r="C623" s="198"/>
      <c r="D623" s="198"/>
      <c r="E623" s="198"/>
      <c r="F623" s="198"/>
      <c r="G623" s="198"/>
      <c r="H623" s="198"/>
      <c r="I623" s="198"/>
      <c r="J623" s="198"/>
      <c r="K623" s="198"/>
      <c r="M623" s="198"/>
      <c r="N623" s="198"/>
      <c r="O623" s="198"/>
      <c r="P623" s="198"/>
      <c r="Q623" s="198"/>
      <c r="R623" s="198"/>
      <c r="S623" s="198"/>
      <c r="T623" s="198"/>
      <c r="U623" s="198"/>
      <c r="V623" s="198"/>
      <c r="W623" s="198"/>
      <c r="X623" s="198"/>
      <c r="Y623" s="198"/>
      <c r="Z623" s="198"/>
      <c r="AA623" s="198"/>
    </row>
    <row r="624">
      <c r="A624" s="201"/>
      <c r="B624" s="201"/>
      <c r="C624" s="198"/>
      <c r="D624" s="198"/>
      <c r="E624" s="198"/>
      <c r="F624" s="198"/>
      <c r="G624" s="198"/>
      <c r="H624" s="198"/>
      <c r="I624" s="198"/>
      <c r="J624" s="198"/>
      <c r="K624" s="198"/>
      <c r="M624" s="198"/>
      <c r="N624" s="198"/>
      <c r="O624" s="198"/>
      <c r="P624" s="198"/>
      <c r="Q624" s="198"/>
      <c r="R624" s="198"/>
      <c r="S624" s="198"/>
      <c r="T624" s="198"/>
      <c r="U624" s="198"/>
      <c r="V624" s="198"/>
      <c r="W624" s="198"/>
      <c r="X624" s="198"/>
      <c r="Y624" s="198"/>
      <c r="Z624" s="198"/>
      <c r="AA624" s="198"/>
    </row>
    <row r="625">
      <c r="A625" s="201"/>
      <c r="B625" s="201"/>
      <c r="C625" s="198"/>
      <c r="D625" s="198"/>
      <c r="E625" s="198"/>
      <c r="F625" s="198"/>
      <c r="G625" s="198"/>
      <c r="H625" s="198"/>
      <c r="I625" s="198"/>
      <c r="J625" s="198"/>
      <c r="K625" s="198"/>
      <c r="M625" s="198"/>
      <c r="N625" s="198"/>
      <c r="O625" s="198"/>
      <c r="P625" s="198"/>
      <c r="Q625" s="198"/>
      <c r="R625" s="198"/>
      <c r="S625" s="198"/>
      <c r="T625" s="198"/>
      <c r="U625" s="198"/>
      <c r="V625" s="198"/>
      <c r="W625" s="198"/>
      <c r="X625" s="198"/>
      <c r="Y625" s="198"/>
      <c r="Z625" s="198"/>
      <c r="AA625" s="198"/>
    </row>
    <row r="626">
      <c r="A626" s="201"/>
      <c r="B626" s="201"/>
      <c r="C626" s="198"/>
      <c r="D626" s="198"/>
      <c r="E626" s="198"/>
      <c r="F626" s="198"/>
      <c r="G626" s="198"/>
      <c r="H626" s="198"/>
      <c r="I626" s="198"/>
      <c r="J626" s="198"/>
      <c r="K626" s="198"/>
      <c r="M626" s="198"/>
      <c r="N626" s="198"/>
      <c r="O626" s="198"/>
      <c r="P626" s="198"/>
      <c r="Q626" s="198"/>
      <c r="R626" s="198"/>
      <c r="S626" s="198"/>
      <c r="T626" s="198"/>
      <c r="U626" s="198"/>
      <c r="V626" s="198"/>
      <c r="W626" s="198"/>
      <c r="X626" s="198"/>
      <c r="Y626" s="198"/>
      <c r="Z626" s="198"/>
      <c r="AA626" s="198"/>
    </row>
    <row r="627">
      <c r="A627" s="201"/>
      <c r="B627" s="201"/>
      <c r="C627" s="198"/>
      <c r="D627" s="198"/>
      <c r="E627" s="198"/>
      <c r="F627" s="198"/>
      <c r="G627" s="198"/>
      <c r="H627" s="198"/>
      <c r="I627" s="198"/>
      <c r="J627" s="198"/>
      <c r="K627" s="198"/>
      <c r="M627" s="198"/>
      <c r="N627" s="198"/>
      <c r="O627" s="198"/>
      <c r="P627" s="198"/>
      <c r="Q627" s="198"/>
      <c r="R627" s="198"/>
      <c r="S627" s="198"/>
      <c r="T627" s="198"/>
      <c r="U627" s="198"/>
      <c r="V627" s="198"/>
      <c r="W627" s="198"/>
      <c r="X627" s="198"/>
      <c r="Y627" s="198"/>
      <c r="Z627" s="198"/>
      <c r="AA627" s="198"/>
    </row>
    <row r="628">
      <c r="A628" s="201"/>
      <c r="B628" s="201"/>
      <c r="C628" s="198"/>
      <c r="D628" s="198"/>
      <c r="E628" s="198"/>
      <c r="F628" s="198"/>
      <c r="G628" s="198"/>
      <c r="H628" s="198"/>
      <c r="I628" s="198"/>
      <c r="J628" s="198"/>
      <c r="K628" s="198"/>
      <c r="M628" s="198"/>
      <c r="N628" s="198"/>
      <c r="O628" s="198"/>
      <c r="P628" s="198"/>
      <c r="Q628" s="198"/>
      <c r="R628" s="198"/>
      <c r="S628" s="198"/>
      <c r="T628" s="198"/>
      <c r="U628" s="198"/>
      <c r="V628" s="198"/>
      <c r="W628" s="198"/>
      <c r="X628" s="198"/>
      <c r="Y628" s="198"/>
      <c r="Z628" s="198"/>
      <c r="AA628" s="198"/>
    </row>
    <row r="629">
      <c r="A629" s="201"/>
      <c r="B629" s="201"/>
      <c r="C629" s="198"/>
      <c r="D629" s="198"/>
      <c r="E629" s="198"/>
      <c r="F629" s="198"/>
      <c r="G629" s="198"/>
      <c r="H629" s="198"/>
      <c r="I629" s="198"/>
      <c r="J629" s="198"/>
      <c r="K629" s="198"/>
      <c r="M629" s="198"/>
      <c r="N629" s="198"/>
      <c r="O629" s="198"/>
      <c r="P629" s="198"/>
      <c r="Q629" s="198"/>
      <c r="R629" s="198"/>
      <c r="S629" s="198"/>
      <c r="T629" s="198"/>
      <c r="U629" s="198"/>
      <c r="V629" s="198"/>
      <c r="W629" s="198"/>
      <c r="X629" s="198"/>
      <c r="Y629" s="198"/>
      <c r="Z629" s="198"/>
      <c r="AA629" s="198"/>
    </row>
    <row r="630">
      <c r="A630" s="201"/>
      <c r="B630" s="201"/>
      <c r="C630" s="198"/>
      <c r="D630" s="198"/>
      <c r="E630" s="198"/>
      <c r="F630" s="198"/>
      <c r="G630" s="198"/>
      <c r="H630" s="198"/>
      <c r="I630" s="198"/>
      <c r="J630" s="198"/>
      <c r="K630" s="198"/>
      <c r="M630" s="198"/>
      <c r="N630" s="198"/>
      <c r="O630" s="198"/>
      <c r="P630" s="198"/>
      <c r="Q630" s="198"/>
      <c r="R630" s="198"/>
      <c r="S630" s="198"/>
      <c r="T630" s="198"/>
      <c r="U630" s="198"/>
      <c r="V630" s="198"/>
      <c r="W630" s="198"/>
      <c r="X630" s="198"/>
      <c r="Y630" s="198"/>
      <c r="Z630" s="198"/>
      <c r="AA630" s="198"/>
    </row>
    <row r="631">
      <c r="A631" s="201"/>
      <c r="B631" s="201"/>
      <c r="C631" s="198"/>
      <c r="D631" s="198"/>
      <c r="E631" s="198"/>
      <c r="F631" s="198"/>
      <c r="G631" s="198"/>
      <c r="H631" s="198"/>
      <c r="I631" s="198"/>
      <c r="J631" s="198"/>
      <c r="K631" s="198"/>
      <c r="M631" s="198"/>
      <c r="N631" s="198"/>
      <c r="O631" s="198"/>
      <c r="P631" s="198"/>
      <c r="Q631" s="198"/>
      <c r="R631" s="198"/>
      <c r="S631" s="198"/>
      <c r="T631" s="198"/>
      <c r="U631" s="198"/>
      <c r="V631" s="198"/>
      <c r="W631" s="198"/>
      <c r="X631" s="198"/>
      <c r="Y631" s="198"/>
      <c r="Z631" s="198"/>
      <c r="AA631" s="198"/>
    </row>
    <row r="632">
      <c r="A632" s="201"/>
      <c r="B632" s="201"/>
      <c r="C632" s="198"/>
      <c r="D632" s="198"/>
      <c r="E632" s="198"/>
      <c r="F632" s="198"/>
      <c r="G632" s="198"/>
      <c r="H632" s="198"/>
      <c r="I632" s="198"/>
      <c r="J632" s="198"/>
      <c r="K632" s="198"/>
      <c r="M632" s="198"/>
      <c r="N632" s="198"/>
      <c r="O632" s="198"/>
      <c r="P632" s="198"/>
      <c r="Q632" s="198"/>
      <c r="R632" s="198"/>
      <c r="S632" s="198"/>
      <c r="T632" s="198"/>
      <c r="U632" s="198"/>
      <c r="V632" s="198"/>
      <c r="W632" s="198"/>
      <c r="X632" s="198"/>
      <c r="Y632" s="198"/>
      <c r="Z632" s="198"/>
      <c r="AA632" s="198"/>
    </row>
    <row r="633">
      <c r="A633" s="201"/>
      <c r="B633" s="201"/>
      <c r="C633" s="198"/>
      <c r="D633" s="198"/>
      <c r="E633" s="198"/>
      <c r="F633" s="198"/>
      <c r="G633" s="198"/>
      <c r="H633" s="198"/>
      <c r="I633" s="198"/>
      <c r="J633" s="198"/>
      <c r="K633" s="198"/>
      <c r="M633" s="198"/>
      <c r="N633" s="198"/>
      <c r="O633" s="198"/>
      <c r="P633" s="198"/>
      <c r="Q633" s="198"/>
      <c r="R633" s="198"/>
      <c r="S633" s="198"/>
      <c r="T633" s="198"/>
      <c r="U633" s="198"/>
      <c r="V633" s="198"/>
      <c r="W633" s="198"/>
      <c r="X633" s="198"/>
      <c r="Y633" s="198"/>
      <c r="Z633" s="198"/>
      <c r="AA633" s="198"/>
    </row>
    <row r="634">
      <c r="A634" s="201"/>
      <c r="B634" s="201"/>
      <c r="C634" s="198"/>
      <c r="D634" s="198"/>
      <c r="E634" s="198"/>
      <c r="F634" s="198"/>
      <c r="G634" s="198"/>
      <c r="H634" s="198"/>
      <c r="I634" s="198"/>
      <c r="J634" s="198"/>
      <c r="K634" s="198"/>
      <c r="M634" s="198"/>
      <c r="N634" s="198"/>
      <c r="O634" s="198"/>
      <c r="P634" s="198"/>
      <c r="Q634" s="198"/>
      <c r="R634" s="198"/>
      <c r="S634" s="198"/>
      <c r="T634" s="198"/>
      <c r="U634" s="198"/>
      <c r="V634" s="198"/>
      <c r="W634" s="198"/>
      <c r="X634" s="198"/>
      <c r="Y634" s="198"/>
      <c r="Z634" s="198"/>
      <c r="AA634" s="198"/>
    </row>
    <row r="635">
      <c r="A635" s="201"/>
      <c r="B635" s="201"/>
      <c r="C635" s="198"/>
      <c r="D635" s="198"/>
      <c r="E635" s="198"/>
      <c r="F635" s="198"/>
      <c r="G635" s="198"/>
      <c r="H635" s="198"/>
      <c r="I635" s="198"/>
      <c r="J635" s="198"/>
      <c r="K635" s="198"/>
      <c r="M635" s="198"/>
      <c r="N635" s="198"/>
      <c r="O635" s="198"/>
      <c r="P635" s="198"/>
      <c r="Q635" s="198"/>
      <c r="R635" s="198"/>
      <c r="S635" s="198"/>
      <c r="T635" s="198"/>
      <c r="U635" s="198"/>
      <c r="V635" s="198"/>
      <c r="W635" s="198"/>
      <c r="X635" s="198"/>
      <c r="Y635" s="198"/>
      <c r="Z635" s="198"/>
      <c r="AA635" s="198"/>
    </row>
    <row r="636">
      <c r="A636" s="201"/>
      <c r="B636" s="201"/>
      <c r="C636" s="198"/>
      <c r="D636" s="198"/>
      <c r="E636" s="198"/>
      <c r="F636" s="198"/>
      <c r="G636" s="198"/>
      <c r="H636" s="198"/>
      <c r="I636" s="198"/>
      <c r="J636" s="198"/>
      <c r="K636" s="198"/>
      <c r="M636" s="198"/>
      <c r="N636" s="198"/>
      <c r="O636" s="198"/>
      <c r="P636" s="198"/>
      <c r="Q636" s="198"/>
      <c r="R636" s="198"/>
      <c r="S636" s="198"/>
      <c r="T636" s="198"/>
      <c r="U636" s="198"/>
      <c r="V636" s="198"/>
      <c r="W636" s="198"/>
      <c r="X636" s="198"/>
      <c r="Y636" s="198"/>
      <c r="Z636" s="198"/>
      <c r="AA636" s="198"/>
    </row>
    <row r="637">
      <c r="A637" s="201"/>
      <c r="B637" s="201"/>
      <c r="C637" s="198"/>
      <c r="D637" s="198"/>
      <c r="E637" s="198"/>
      <c r="F637" s="198"/>
      <c r="G637" s="198"/>
      <c r="H637" s="198"/>
      <c r="I637" s="198"/>
      <c r="J637" s="198"/>
      <c r="K637" s="198"/>
      <c r="M637" s="198"/>
      <c r="N637" s="198"/>
      <c r="O637" s="198"/>
      <c r="P637" s="198"/>
      <c r="Q637" s="198"/>
      <c r="R637" s="198"/>
      <c r="S637" s="198"/>
      <c r="T637" s="198"/>
      <c r="U637" s="198"/>
      <c r="V637" s="198"/>
      <c r="W637" s="198"/>
      <c r="X637" s="198"/>
      <c r="Y637" s="198"/>
      <c r="Z637" s="198"/>
      <c r="AA637" s="198"/>
    </row>
    <row r="638">
      <c r="A638" s="201"/>
      <c r="B638" s="201"/>
      <c r="C638" s="198"/>
      <c r="D638" s="198"/>
      <c r="E638" s="198"/>
      <c r="F638" s="198"/>
      <c r="G638" s="198"/>
      <c r="H638" s="198"/>
      <c r="I638" s="198"/>
      <c r="J638" s="198"/>
      <c r="K638" s="198"/>
      <c r="M638" s="198"/>
      <c r="N638" s="198"/>
      <c r="O638" s="198"/>
      <c r="P638" s="198"/>
      <c r="Q638" s="198"/>
      <c r="R638" s="198"/>
      <c r="S638" s="198"/>
      <c r="T638" s="198"/>
      <c r="U638" s="198"/>
      <c r="V638" s="198"/>
      <c r="W638" s="198"/>
      <c r="X638" s="198"/>
      <c r="Y638" s="198"/>
      <c r="Z638" s="198"/>
      <c r="AA638" s="198"/>
    </row>
    <row r="639">
      <c r="A639" s="201"/>
      <c r="B639" s="201"/>
      <c r="C639" s="198"/>
      <c r="D639" s="198"/>
      <c r="E639" s="198"/>
      <c r="F639" s="198"/>
      <c r="G639" s="198"/>
      <c r="H639" s="198"/>
      <c r="I639" s="198"/>
      <c r="J639" s="198"/>
      <c r="K639" s="198"/>
      <c r="M639" s="198"/>
      <c r="N639" s="198"/>
      <c r="O639" s="198"/>
      <c r="P639" s="198"/>
      <c r="Q639" s="198"/>
      <c r="R639" s="198"/>
      <c r="S639" s="198"/>
      <c r="T639" s="198"/>
      <c r="U639" s="198"/>
      <c r="V639" s="198"/>
      <c r="W639" s="198"/>
      <c r="X639" s="198"/>
      <c r="Y639" s="198"/>
      <c r="Z639" s="198"/>
      <c r="AA639" s="198"/>
    </row>
    <row r="640">
      <c r="A640" s="201"/>
      <c r="B640" s="201"/>
      <c r="C640" s="198"/>
      <c r="D640" s="198"/>
      <c r="E640" s="198"/>
      <c r="F640" s="198"/>
      <c r="G640" s="198"/>
      <c r="H640" s="198"/>
      <c r="I640" s="198"/>
      <c r="J640" s="198"/>
      <c r="K640" s="198"/>
      <c r="M640" s="198"/>
      <c r="N640" s="198"/>
      <c r="O640" s="198"/>
      <c r="P640" s="198"/>
      <c r="Q640" s="198"/>
      <c r="R640" s="198"/>
      <c r="S640" s="198"/>
      <c r="T640" s="198"/>
      <c r="U640" s="198"/>
      <c r="V640" s="198"/>
      <c r="W640" s="198"/>
      <c r="X640" s="198"/>
      <c r="Y640" s="198"/>
      <c r="Z640" s="198"/>
      <c r="AA640" s="198"/>
    </row>
    <row r="641">
      <c r="A641" s="201"/>
      <c r="B641" s="201"/>
      <c r="C641" s="198"/>
      <c r="D641" s="198"/>
      <c r="E641" s="198"/>
      <c r="F641" s="198"/>
      <c r="G641" s="198"/>
      <c r="H641" s="198"/>
      <c r="I641" s="198"/>
      <c r="J641" s="198"/>
      <c r="K641" s="198"/>
      <c r="M641" s="198"/>
      <c r="N641" s="198"/>
      <c r="O641" s="198"/>
      <c r="P641" s="198"/>
      <c r="Q641" s="198"/>
      <c r="R641" s="198"/>
      <c r="S641" s="198"/>
      <c r="T641" s="198"/>
      <c r="U641" s="198"/>
      <c r="V641" s="198"/>
      <c r="W641" s="198"/>
      <c r="X641" s="198"/>
      <c r="Y641" s="198"/>
      <c r="Z641" s="198"/>
      <c r="AA641" s="198"/>
    </row>
    <row r="642">
      <c r="A642" s="201"/>
      <c r="B642" s="201"/>
      <c r="C642" s="198"/>
      <c r="D642" s="198"/>
      <c r="E642" s="198"/>
      <c r="F642" s="198"/>
      <c r="G642" s="198"/>
      <c r="H642" s="198"/>
      <c r="I642" s="198"/>
      <c r="J642" s="198"/>
      <c r="K642" s="198"/>
      <c r="M642" s="198"/>
      <c r="N642" s="198"/>
      <c r="O642" s="198"/>
      <c r="P642" s="198"/>
      <c r="Q642" s="198"/>
      <c r="R642" s="198"/>
      <c r="S642" s="198"/>
      <c r="T642" s="198"/>
      <c r="U642" s="198"/>
      <c r="V642" s="198"/>
      <c r="W642" s="198"/>
      <c r="X642" s="198"/>
      <c r="Y642" s="198"/>
      <c r="Z642" s="198"/>
      <c r="AA642" s="198"/>
    </row>
    <row r="643">
      <c r="A643" s="201"/>
      <c r="B643" s="201"/>
      <c r="C643" s="198"/>
      <c r="D643" s="198"/>
      <c r="E643" s="198"/>
      <c r="F643" s="198"/>
      <c r="G643" s="198"/>
      <c r="H643" s="198"/>
      <c r="I643" s="198"/>
      <c r="J643" s="198"/>
      <c r="K643" s="198"/>
      <c r="M643" s="198"/>
      <c r="N643" s="198"/>
      <c r="O643" s="198"/>
      <c r="P643" s="198"/>
      <c r="Q643" s="198"/>
      <c r="R643" s="198"/>
      <c r="S643" s="198"/>
      <c r="T643" s="198"/>
      <c r="U643" s="198"/>
      <c r="V643" s="198"/>
      <c r="W643" s="198"/>
      <c r="X643" s="198"/>
      <c r="Y643" s="198"/>
      <c r="Z643" s="198"/>
      <c r="AA643" s="198"/>
    </row>
    <row r="644">
      <c r="A644" s="201"/>
      <c r="B644" s="201"/>
      <c r="C644" s="198"/>
      <c r="D644" s="198"/>
      <c r="E644" s="198"/>
      <c r="F644" s="198"/>
      <c r="G644" s="198"/>
      <c r="H644" s="198"/>
      <c r="I644" s="198"/>
      <c r="J644" s="198"/>
      <c r="K644" s="198"/>
      <c r="M644" s="198"/>
      <c r="N644" s="198"/>
      <c r="O644" s="198"/>
      <c r="P644" s="198"/>
      <c r="Q644" s="198"/>
      <c r="R644" s="198"/>
      <c r="S644" s="198"/>
      <c r="T644" s="198"/>
      <c r="U644" s="198"/>
      <c r="V644" s="198"/>
      <c r="W644" s="198"/>
      <c r="X644" s="198"/>
      <c r="Y644" s="198"/>
      <c r="Z644" s="198"/>
      <c r="AA644" s="198"/>
    </row>
    <row r="645">
      <c r="A645" s="201"/>
      <c r="B645" s="201"/>
      <c r="C645" s="198"/>
      <c r="D645" s="198"/>
      <c r="E645" s="198"/>
      <c r="F645" s="198"/>
      <c r="G645" s="198"/>
      <c r="H645" s="198"/>
      <c r="I645" s="198"/>
      <c r="J645" s="198"/>
      <c r="K645" s="198"/>
      <c r="M645" s="198"/>
      <c r="N645" s="198"/>
      <c r="O645" s="198"/>
      <c r="P645" s="198"/>
      <c r="Q645" s="198"/>
      <c r="R645" s="198"/>
      <c r="S645" s="198"/>
      <c r="T645" s="198"/>
      <c r="U645" s="198"/>
      <c r="V645" s="198"/>
      <c r="W645" s="198"/>
      <c r="X645" s="198"/>
      <c r="Y645" s="198"/>
      <c r="Z645" s="198"/>
      <c r="AA645" s="198"/>
    </row>
    <row r="646">
      <c r="A646" s="201"/>
      <c r="B646" s="201"/>
      <c r="C646" s="198"/>
      <c r="D646" s="198"/>
      <c r="E646" s="198"/>
      <c r="F646" s="198"/>
      <c r="G646" s="198"/>
      <c r="H646" s="198"/>
      <c r="I646" s="198"/>
      <c r="J646" s="198"/>
      <c r="K646" s="198"/>
      <c r="M646" s="198"/>
      <c r="N646" s="198"/>
      <c r="O646" s="198"/>
      <c r="P646" s="198"/>
      <c r="Q646" s="198"/>
      <c r="R646" s="198"/>
      <c r="S646" s="198"/>
      <c r="T646" s="198"/>
      <c r="U646" s="198"/>
      <c r="V646" s="198"/>
      <c r="W646" s="198"/>
      <c r="X646" s="198"/>
      <c r="Y646" s="198"/>
      <c r="Z646" s="198"/>
      <c r="AA646" s="198"/>
    </row>
    <row r="647">
      <c r="A647" s="201"/>
      <c r="B647" s="201"/>
      <c r="C647" s="198"/>
      <c r="D647" s="198"/>
      <c r="E647" s="198"/>
      <c r="F647" s="198"/>
      <c r="G647" s="198"/>
      <c r="H647" s="198"/>
      <c r="I647" s="198"/>
      <c r="J647" s="198"/>
      <c r="K647" s="198"/>
      <c r="M647" s="198"/>
      <c r="N647" s="198"/>
      <c r="O647" s="198"/>
      <c r="P647" s="198"/>
      <c r="Q647" s="198"/>
      <c r="R647" s="198"/>
      <c r="S647" s="198"/>
      <c r="T647" s="198"/>
      <c r="U647" s="198"/>
      <c r="V647" s="198"/>
      <c r="W647" s="198"/>
      <c r="X647" s="198"/>
      <c r="Y647" s="198"/>
      <c r="Z647" s="198"/>
      <c r="AA647" s="198"/>
    </row>
    <row r="648">
      <c r="A648" s="201"/>
      <c r="B648" s="201"/>
      <c r="C648" s="198"/>
      <c r="D648" s="198"/>
      <c r="E648" s="198"/>
      <c r="F648" s="198"/>
      <c r="G648" s="198"/>
      <c r="H648" s="198"/>
      <c r="I648" s="198"/>
      <c r="J648" s="198"/>
      <c r="K648" s="198"/>
      <c r="M648" s="198"/>
      <c r="N648" s="198"/>
      <c r="O648" s="198"/>
      <c r="P648" s="198"/>
      <c r="Q648" s="198"/>
      <c r="R648" s="198"/>
      <c r="S648" s="198"/>
      <c r="T648" s="198"/>
      <c r="U648" s="198"/>
      <c r="V648" s="198"/>
      <c r="W648" s="198"/>
      <c r="X648" s="198"/>
      <c r="Y648" s="198"/>
      <c r="Z648" s="198"/>
      <c r="AA648" s="198"/>
    </row>
    <row r="649">
      <c r="A649" s="201"/>
      <c r="B649" s="201"/>
      <c r="C649" s="198"/>
      <c r="D649" s="198"/>
      <c r="E649" s="198"/>
      <c r="F649" s="198"/>
      <c r="G649" s="198"/>
      <c r="H649" s="198"/>
      <c r="I649" s="198"/>
      <c r="J649" s="198"/>
      <c r="K649" s="198"/>
      <c r="M649" s="198"/>
      <c r="N649" s="198"/>
      <c r="O649" s="198"/>
      <c r="P649" s="198"/>
      <c r="Q649" s="198"/>
      <c r="R649" s="198"/>
      <c r="S649" s="198"/>
      <c r="T649" s="198"/>
      <c r="U649" s="198"/>
      <c r="V649" s="198"/>
      <c r="W649" s="198"/>
      <c r="X649" s="198"/>
      <c r="Y649" s="198"/>
      <c r="Z649" s="198"/>
      <c r="AA649" s="198"/>
    </row>
    <row r="650">
      <c r="A650" s="201"/>
      <c r="B650" s="201"/>
      <c r="C650" s="198"/>
      <c r="D650" s="198"/>
      <c r="E650" s="198"/>
      <c r="F650" s="198"/>
      <c r="G650" s="198"/>
      <c r="H650" s="198"/>
      <c r="I650" s="198"/>
      <c r="J650" s="198"/>
      <c r="K650" s="198"/>
      <c r="M650" s="198"/>
      <c r="N650" s="198"/>
      <c r="O650" s="198"/>
      <c r="P650" s="198"/>
      <c r="Q650" s="198"/>
      <c r="R650" s="198"/>
      <c r="S650" s="198"/>
      <c r="T650" s="198"/>
      <c r="U650" s="198"/>
      <c r="V650" s="198"/>
      <c r="W650" s="198"/>
      <c r="X650" s="198"/>
      <c r="Y650" s="198"/>
      <c r="Z650" s="198"/>
      <c r="AA650" s="198"/>
    </row>
    <row r="651">
      <c r="A651" s="201"/>
      <c r="B651" s="201"/>
      <c r="C651" s="198"/>
      <c r="D651" s="198"/>
      <c r="E651" s="198"/>
      <c r="F651" s="198"/>
      <c r="G651" s="198"/>
      <c r="H651" s="198"/>
      <c r="I651" s="198"/>
      <c r="J651" s="198"/>
      <c r="K651" s="198"/>
      <c r="M651" s="198"/>
      <c r="N651" s="198"/>
      <c r="O651" s="198"/>
      <c r="P651" s="198"/>
      <c r="Q651" s="198"/>
      <c r="R651" s="198"/>
      <c r="S651" s="198"/>
      <c r="T651" s="198"/>
      <c r="U651" s="198"/>
      <c r="V651" s="198"/>
      <c r="W651" s="198"/>
      <c r="X651" s="198"/>
      <c r="Y651" s="198"/>
      <c r="Z651" s="198"/>
      <c r="AA651" s="198"/>
    </row>
    <row r="652">
      <c r="A652" s="201"/>
      <c r="B652" s="201"/>
      <c r="C652" s="198"/>
      <c r="D652" s="198"/>
      <c r="E652" s="198"/>
      <c r="F652" s="198"/>
      <c r="G652" s="198"/>
      <c r="H652" s="198"/>
      <c r="I652" s="198"/>
      <c r="J652" s="198"/>
      <c r="K652" s="198"/>
      <c r="M652" s="198"/>
      <c r="N652" s="198"/>
      <c r="O652" s="198"/>
      <c r="P652" s="198"/>
      <c r="Q652" s="198"/>
      <c r="R652" s="198"/>
      <c r="S652" s="198"/>
      <c r="T652" s="198"/>
      <c r="U652" s="198"/>
      <c r="V652" s="198"/>
      <c r="W652" s="198"/>
      <c r="X652" s="198"/>
      <c r="Y652" s="198"/>
      <c r="Z652" s="198"/>
      <c r="AA652" s="198"/>
    </row>
    <row r="653">
      <c r="A653" s="201"/>
      <c r="B653" s="201"/>
      <c r="C653" s="198"/>
      <c r="D653" s="198"/>
      <c r="E653" s="198"/>
      <c r="F653" s="198"/>
      <c r="G653" s="198"/>
      <c r="H653" s="198"/>
      <c r="I653" s="198"/>
      <c r="J653" s="198"/>
      <c r="K653" s="198"/>
      <c r="M653" s="198"/>
      <c r="N653" s="198"/>
      <c r="O653" s="198"/>
      <c r="P653" s="198"/>
      <c r="Q653" s="198"/>
      <c r="R653" s="198"/>
      <c r="S653" s="198"/>
      <c r="T653" s="198"/>
      <c r="U653" s="198"/>
      <c r="V653" s="198"/>
      <c r="W653" s="198"/>
      <c r="X653" s="198"/>
      <c r="Y653" s="198"/>
      <c r="Z653" s="198"/>
      <c r="AA653" s="198"/>
    </row>
    <row r="654">
      <c r="A654" s="201"/>
      <c r="B654" s="201"/>
      <c r="C654" s="198"/>
      <c r="D654" s="198"/>
      <c r="E654" s="198"/>
      <c r="F654" s="198"/>
      <c r="G654" s="198"/>
      <c r="H654" s="198"/>
      <c r="I654" s="198"/>
      <c r="J654" s="198"/>
      <c r="K654" s="198"/>
      <c r="M654" s="198"/>
      <c r="N654" s="198"/>
      <c r="O654" s="198"/>
      <c r="P654" s="198"/>
      <c r="Q654" s="198"/>
      <c r="R654" s="198"/>
      <c r="S654" s="198"/>
      <c r="T654" s="198"/>
      <c r="U654" s="198"/>
      <c r="V654" s="198"/>
      <c r="W654" s="198"/>
      <c r="X654" s="198"/>
      <c r="Y654" s="198"/>
      <c r="Z654" s="198"/>
      <c r="AA654" s="198"/>
    </row>
    <row r="655">
      <c r="A655" s="201"/>
      <c r="B655" s="201"/>
      <c r="C655" s="198"/>
      <c r="D655" s="198"/>
      <c r="E655" s="198"/>
      <c r="F655" s="198"/>
      <c r="G655" s="198"/>
      <c r="H655" s="198"/>
      <c r="I655" s="198"/>
      <c r="J655" s="198"/>
      <c r="K655" s="198"/>
      <c r="M655" s="198"/>
      <c r="N655" s="198"/>
      <c r="O655" s="198"/>
      <c r="P655" s="198"/>
      <c r="Q655" s="198"/>
      <c r="R655" s="198"/>
      <c r="S655" s="198"/>
      <c r="T655" s="198"/>
      <c r="U655" s="198"/>
      <c r="V655" s="198"/>
      <c r="W655" s="198"/>
      <c r="X655" s="198"/>
      <c r="Y655" s="198"/>
      <c r="Z655" s="198"/>
      <c r="AA655" s="198"/>
    </row>
    <row r="656">
      <c r="A656" s="201"/>
      <c r="B656" s="201"/>
      <c r="C656" s="198"/>
      <c r="D656" s="198"/>
      <c r="E656" s="198"/>
      <c r="F656" s="198"/>
      <c r="G656" s="198"/>
      <c r="H656" s="198"/>
      <c r="I656" s="198"/>
      <c r="J656" s="198"/>
      <c r="K656" s="198"/>
      <c r="M656" s="198"/>
      <c r="N656" s="198"/>
      <c r="O656" s="198"/>
      <c r="P656" s="198"/>
      <c r="Q656" s="198"/>
      <c r="R656" s="198"/>
      <c r="S656" s="198"/>
      <c r="T656" s="198"/>
      <c r="U656" s="198"/>
      <c r="V656" s="198"/>
      <c r="W656" s="198"/>
      <c r="X656" s="198"/>
      <c r="Y656" s="198"/>
      <c r="Z656" s="198"/>
      <c r="AA656" s="198"/>
    </row>
    <row r="657">
      <c r="A657" s="201"/>
      <c r="B657" s="201"/>
      <c r="C657" s="198"/>
      <c r="D657" s="198"/>
      <c r="E657" s="198"/>
      <c r="F657" s="198"/>
      <c r="G657" s="198"/>
      <c r="H657" s="198"/>
      <c r="I657" s="198"/>
      <c r="J657" s="198"/>
      <c r="K657" s="198"/>
      <c r="M657" s="198"/>
      <c r="N657" s="198"/>
      <c r="O657" s="198"/>
      <c r="P657" s="198"/>
      <c r="Q657" s="198"/>
      <c r="R657" s="198"/>
      <c r="S657" s="198"/>
      <c r="T657" s="198"/>
      <c r="U657" s="198"/>
      <c r="V657" s="198"/>
      <c r="W657" s="198"/>
      <c r="X657" s="198"/>
      <c r="Y657" s="198"/>
      <c r="Z657" s="198"/>
      <c r="AA657" s="198"/>
    </row>
    <row r="658">
      <c r="A658" s="201"/>
      <c r="B658" s="201"/>
      <c r="C658" s="198"/>
      <c r="D658" s="198"/>
      <c r="E658" s="198"/>
      <c r="F658" s="198"/>
      <c r="G658" s="198"/>
      <c r="H658" s="198"/>
      <c r="I658" s="198"/>
      <c r="J658" s="198"/>
      <c r="K658" s="198"/>
      <c r="M658" s="198"/>
      <c r="N658" s="198"/>
      <c r="O658" s="198"/>
      <c r="P658" s="198"/>
      <c r="Q658" s="198"/>
      <c r="R658" s="198"/>
      <c r="S658" s="198"/>
      <c r="T658" s="198"/>
      <c r="U658" s="198"/>
      <c r="V658" s="198"/>
      <c r="W658" s="198"/>
      <c r="X658" s="198"/>
      <c r="Y658" s="198"/>
      <c r="Z658" s="198"/>
      <c r="AA658" s="198"/>
    </row>
    <row r="659">
      <c r="A659" s="201"/>
      <c r="B659" s="201"/>
      <c r="C659" s="198"/>
      <c r="D659" s="198"/>
      <c r="E659" s="198"/>
      <c r="F659" s="198"/>
      <c r="G659" s="198"/>
      <c r="H659" s="198"/>
      <c r="I659" s="198"/>
      <c r="J659" s="198"/>
      <c r="K659" s="198"/>
      <c r="M659" s="198"/>
      <c r="N659" s="198"/>
      <c r="O659" s="198"/>
      <c r="P659" s="198"/>
      <c r="Q659" s="198"/>
      <c r="R659" s="198"/>
      <c r="S659" s="198"/>
      <c r="T659" s="198"/>
      <c r="U659" s="198"/>
      <c r="V659" s="198"/>
      <c r="W659" s="198"/>
      <c r="X659" s="198"/>
      <c r="Y659" s="198"/>
      <c r="Z659" s="198"/>
      <c r="AA659" s="198"/>
    </row>
    <row r="660">
      <c r="A660" s="201"/>
      <c r="B660" s="201"/>
      <c r="C660" s="198"/>
      <c r="D660" s="198"/>
      <c r="E660" s="198"/>
      <c r="F660" s="198"/>
      <c r="G660" s="198"/>
      <c r="H660" s="198"/>
      <c r="I660" s="198"/>
      <c r="J660" s="198"/>
      <c r="K660" s="198"/>
      <c r="M660" s="198"/>
      <c r="N660" s="198"/>
      <c r="O660" s="198"/>
      <c r="P660" s="198"/>
      <c r="Q660" s="198"/>
      <c r="R660" s="198"/>
      <c r="S660" s="198"/>
      <c r="T660" s="198"/>
      <c r="U660" s="198"/>
      <c r="V660" s="198"/>
      <c r="W660" s="198"/>
      <c r="X660" s="198"/>
      <c r="Y660" s="198"/>
      <c r="Z660" s="198"/>
      <c r="AA660" s="198"/>
    </row>
    <row r="661">
      <c r="A661" s="201"/>
      <c r="B661" s="201"/>
      <c r="C661" s="198"/>
      <c r="D661" s="198"/>
      <c r="E661" s="198"/>
      <c r="F661" s="198"/>
      <c r="G661" s="198"/>
      <c r="H661" s="198"/>
      <c r="I661" s="198"/>
      <c r="J661" s="198"/>
      <c r="K661" s="198"/>
      <c r="M661" s="198"/>
      <c r="N661" s="198"/>
      <c r="O661" s="198"/>
      <c r="P661" s="198"/>
      <c r="Q661" s="198"/>
      <c r="R661" s="198"/>
      <c r="S661" s="198"/>
      <c r="T661" s="198"/>
      <c r="U661" s="198"/>
      <c r="V661" s="198"/>
      <c r="W661" s="198"/>
      <c r="X661" s="198"/>
      <c r="Y661" s="198"/>
      <c r="Z661" s="198"/>
      <c r="AA661" s="198"/>
    </row>
    <row r="662">
      <c r="A662" s="201"/>
      <c r="B662" s="201"/>
      <c r="C662" s="198"/>
      <c r="D662" s="198"/>
      <c r="E662" s="198"/>
      <c r="F662" s="198"/>
      <c r="G662" s="198"/>
      <c r="H662" s="198"/>
      <c r="I662" s="198"/>
      <c r="J662" s="198"/>
      <c r="K662" s="198"/>
      <c r="M662" s="198"/>
      <c r="N662" s="198"/>
      <c r="O662" s="198"/>
      <c r="P662" s="198"/>
      <c r="Q662" s="198"/>
      <c r="R662" s="198"/>
      <c r="S662" s="198"/>
      <c r="T662" s="198"/>
      <c r="U662" s="198"/>
      <c r="V662" s="198"/>
      <c r="W662" s="198"/>
      <c r="X662" s="198"/>
      <c r="Y662" s="198"/>
      <c r="Z662" s="198"/>
      <c r="AA662" s="198"/>
    </row>
    <row r="663">
      <c r="A663" s="201"/>
      <c r="B663" s="201"/>
      <c r="C663" s="198"/>
      <c r="D663" s="198"/>
      <c r="E663" s="198"/>
      <c r="F663" s="198"/>
      <c r="G663" s="198"/>
      <c r="H663" s="198"/>
      <c r="I663" s="198"/>
      <c r="J663" s="198"/>
      <c r="K663" s="198"/>
      <c r="M663" s="198"/>
      <c r="N663" s="198"/>
      <c r="O663" s="198"/>
      <c r="P663" s="198"/>
      <c r="Q663" s="198"/>
      <c r="R663" s="198"/>
      <c r="S663" s="198"/>
      <c r="T663" s="198"/>
      <c r="U663" s="198"/>
      <c r="V663" s="198"/>
      <c r="W663" s="198"/>
      <c r="X663" s="198"/>
      <c r="Y663" s="198"/>
      <c r="Z663" s="198"/>
      <c r="AA663" s="198"/>
    </row>
    <row r="664">
      <c r="A664" s="201"/>
      <c r="B664" s="201"/>
      <c r="C664" s="198"/>
      <c r="D664" s="198"/>
      <c r="E664" s="198"/>
      <c r="F664" s="198"/>
      <c r="G664" s="198"/>
      <c r="H664" s="198"/>
      <c r="I664" s="198"/>
      <c r="J664" s="198"/>
      <c r="K664" s="198"/>
      <c r="M664" s="198"/>
      <c r="N664" s="198"/>
      <c r="O664" s="198"/>
      <c r="P664" s="198"/>
      <c r="Q664" s="198"/>
      <c r="R664" s="198"/>
      <c r="S664" s="198"/>
      <c r="T664" s="198"/>
      <c r="U664" s="198"/>
      <c r="V664" s="198"/>
      <c r="W664" s="198"/>
      <c r="X664" s="198"/>
      <c r="Y664" s="198"/>
      <c r="Z664" s="198"/>
      <c r="AA664" s="198"/>
    </row>
    <row r="665">
      <c r="A665" s="201"/>
      <c r="B665" s="201"/>
      <c r="C665" s="198"/>
      <c r="D665" s="198"/>
      <c r="E665" s="198"/>
      <c r="F665" s="198"/>
      <c r="G665" s="198"/>
      <c r="H665" s="198"/>
      <c r="I665" s="198"/>
      <c r="J665" s="198"/>
      <c r="K665" s="198"/>
      <c r="M665" s="198"/>
      <c r="N665" s="198"/>
      <c r="O665" s="198"/>
      <c r="P665" s="198"/>
      <c r="Q665" s="198"/>
      <c r="R665" s="198"/>
      <c r="S665" s="198"/>
      <c r="T665" s="198"/>
      <c r="U665" s="198"/>
      <c r="V665" s="198"/>
      <c r="W665" s="198"/>
      <c r="X665" s="198"/>
      <c r="Y665" s="198"/>
      <c r="Z665" s="198"/>
      <c r="AA665" s="198"/>
    </row>
    <row r="666">
      <c r="A666" s="201"/>
      <c r="B666" s="201"/>
      <c r="C666" s="198"/>
      <c r="D666" s="198"/>
      <c r="E666" s="198"/>
      <c r="F666" s="198"/>
      <c r="G666" s="198"/>
      <c r="H666" s="198"/>
      <c r="I666" s="198"/>
      <c r="J666" s="198"/>
      <c r="K666" s="198"/>
      <c r="M666" s="198"/>
      <c r="N666" s="198"/>
      <c r="O666" s="198"/>
      <c r="P666" s="198"/>
      <c r="Q666" s="198"/>
      <c r="R666" s="198"/>
      <c r="S666" s="198"/>
      <c r="T666" s="198"/>
      <c r="U666" s="198"/>
      <c r="V666" s="198"/>
      <c r="W666" s="198"/>
      <c r="X666" s="198"/>
      <c r="Y666" s="198"/>
      <c r="Z666" s="198"/>
      <c r="AA666" s="198"/>
    </row>
    <row r="667">
      <c r="A667" s="201"/>
      <c r="B667" s="201"/>
      <c r="C667" s="198"/>
      <c r="D667" s="198"/>
      <c r="E667" s="198"/>
      <c r="F667" s="198"/>
      <c r="G667" s="198"/>
      <c r="H667" s="198"/>
      <c r="I667" s="198"/>
      <c r="J667" s="198"/>
      <c r="K667" s="198"/>
      <c r="M667" s="198"/>
      <c r="N667" s="198"/>
      <c r="O667" s="198"/>
      <c r="P667" s="198"/>
      <c r="Q667" s="198"/>
      <c r="R667" s="198"/>
      <c r="S667" s="198"/>
      <c r="T667" s="198"/>
      <c r="U667" s="198"/>
      <c r="V667" s="198"/>
      <c r="W667" s="198"/>
      <c r="X667" s="198"/>
      <c r="Y667" s="198"/>
      <c r="Z667" s="198"/>
      <c r="AA667" s="198"/>
    </row>
    <row r="668">
      <c r="A668" s="201"/>
      <c r="B668" s="201"/>
      <c r="C668" s="198"/>
      <c r="D668" s="198"/>
      <c r="E668" s="198"/>
      <c r="F668" s="198"/>
      <c r="G668" s="198"/>
      <c r="H668" s="198"/>
      <c r="I668" s="198"/>
      <c r="J668" s="198"/>
      <c r="K668" s="198"/>
      <c r="M668" s="198"/>
      <c r="N668" s="198"/>
      <c r="O668" s="198"/>
      <c r="P668" s="198"/>
      <c r="Q668" s="198"/>
      <c r="R668" s="198"/>
      <c r="S668" s="198"/>
      <c r="T668" s="198"/>
      <c r="U668" s="198"/>
      <c r="V668" s="198"/>
      <c r="W668" s="198"/>
      <c r="X668" s="198"/>
      <c r="Y668" s="198"/>
      <c r="Z668" s="198"/>
      <c r="AA668" s="198"/>
    </row>
    <row r="669">
      <c r="A669" s="201"/>
      <c r="B669" s="201"/>
      <c r="C669" s="198"/>
      <c r="D669" s="198"/>
      <c r="E669" s="198"/>
      <c r="F669" s="198"/>
      <c r="G669" s="198"/>
      <c r="H669" s="198"/>
      <c r="I669" s="198"/>
      <c r="J669" s="198"/>
      <c r="K669" s="198"/>
      <c r="M669" s="198"/>
      <c r="N669" s="198"/>
      <c r="O669" s="198"/>
      <c r="P669" s="198"/>
      <c r="Q669" s="198"/>
      <c r="R669" s="198"/>
      <c r="S669" s="198"/>
      <c r="T669" s="198"/>
      <c r="U669" s="198"/>
      <c r="V669" s="198"/>
      <c r="W669" s="198"/>
      <c r="X669" s="198"/>
      <c r="Y669" s="198"/>
      <c r="Z669" s="198"/>
      <c r="AA669" s="198"/>
    </row>
    <row r="670">
      <c r="A670" s="201"/>
      <c r="B670" s="201"/>
      <c r="C670" s="198"/>
      <c r="D670" s="198"/>
      <c r="E670" s="198"/>
      <c r="F670" s="198"/>
      <c r="G670" s="198"/>
      <c r="H670" s="198"/>
      <c r="I670" s="198"/>
      <c r="J670" s="198"/>
      <c r="K670" s="198"/>
      <c r="M670" s="198"/>
      <c r="N670" s="198"/>
      <c r="O670" s="198"/>
      <c r="P670" s="198"/>
      <c r="Q670" s="198"/>
      <c r="R670" s="198"/>
      <c r="S670" s="198"/>
      <c r="T670" s="198"/>
      <c r="U670" s="198"/>
      <c r="V670" s="198"/>
      <c r="W670" s="198"/>
      <c r="X670" s="198"/>
      <c r="Y670" s="198"/>
      <c r="Z670" s="198"/>
      <c r="AA670" s="198"/>
    </row>
    <row r="671">
      <c r="A671" s="201"/>
      <c r="B671" s="201"/>
      <c r="C671" s="198"/>
      <c r="D671" s="198"/>
      <c r="E671" s="198"/>
      <c r="F671" s="198"/>
      <c r="G671" s="198"/>
      <c r="H671" s="198"/>
      <c r="I671" s="198"/>
      <c r="J671" s="198"/>
      <c r="K671" s="198"/>
      <c r="M671" s="198"/>
      <c r="N671" s="198"/>
      <c r="O671" s="198"/>
      <c r="P671" s="198"/>
      <c r="Q671" s="198"/>
      <c r="R671" s="198"/>
      <c r="S671" s="198"/>
      <c r="T671" s="198"/>
      <c r="U671" s="198"/>
      <c r="V671" s="198"/>
      <c r="W671" s="198"/>
      <c r="X671" s="198"/>
      <c r="Y671" s="198"/>
      <c r="Z671" s="198"/>
      <c r="AA671" s="198"/>
    </row>
    <row r="672">
      <c r="A672" s="201"/>
      <c r="B672" s="201"/>
      <c r="C672" s="198"/>
      <c r="D672" s="198"/>
      <c r="E672" s="198"/>
      <c r="F672" s="198"/>
      <c r="G672" s="198"/>
      <c r="H672" s="198"/>
      <c r="I672" s="198"/>
      <c r="J672" s="198"/>
      <c r="K672" s="198"/>
      <c r="M672" s="198"/>
      <c r="N672" s="198"/>
      <c r="O672" s="198"/>
      <c r="P672" s="198"/>
      <c r="Q672" s="198"/>
      <c r="R672" s="198"/>
      <c r="S672" s="198"/>
      <c r="T672" s="198"/>
      <c r="U672" s="198"/>
      <c r="V672" s="198"/>
      <c r="W672" s="198"/>
      <c r="X672" s="198"/>
      <c r="Y672" s="198"/>
      <c r="Z672" s="198"/>
      <c r="AA672" s="198"/>
    </row>
    <row r="673">
      <c r="A673" s="201"/>
      <c r="B673" s="201"/>
      <c r="C673" s="198"/>
      <c r="D673" s="198"/>
      <c r="E673" s="198"/>
      <c r="F673" s="198"/>
      <c r="G673" s="198"/>
      <c r="H673" s="198"/>
      <c r="I673" s="198"/>
      <c r="J673" s="198"/>
      <c r="K673" s="198"/>
      <c r="M673" s="198"/>
      <c r="N673" s="198"/>
      <c r="O673" s="198"/>
      <c r="P673" s="198"/>
      <c r="Q673" s="198"/>
      <c r="R673" s="198"/>
      <c r="S673" s="198"/>
      <c r="T673" s="198"/>
      <c r="U673" s="198"/>
      <c r="V673" s="198"/>
      <c r="W673" s="198"/>
      <c r="X673" s="198"/>
      <c r="Y673" s="198"/>
      <c r="Z673" s="198"/>
      <c r="AA673" s="198"/>
    </row>
    <row r="674">
      <c r="A674" s="201"/>
      <c r="B674" s="201"/>
      <c r="C674" s="198"/>
      <c r="D674" s="198"/>
      <c r="E674" s="198"/>
      <c r="F674" s="198"/>
      <c r="G674" s="198"/>
      <c r="H674" s="198"/>
      <c r="I674" s="198"/>
      <c r="J674" s="198"/>
      <c r="K674" s="198"/>
      <c r="M674" s="198"/>
      <c r="N674" s="198"/>
      <c r="O674" s="198"/>
      <c r="P674" s="198"/>
      <c r="Q674" s="198"/>
      <c r="R674" s="198"/>
      <c r="S674" s="198"/>
      <c r="T674" s="198"/>
      <c r="U674" s="198"/>
      <c r="V674" s="198"/>
      <c r="W674" s="198"/>
      <c r="X674" s="198"/>
      <c r="Y674" s="198"/>
      <c r="Z674" s="198"/>
      <c r="AA674" s="198"/>
    </row>
    <row r="675">
      <c r="A675" s="201"/>
      <c r="B675" s="201"/>
      <c r="C675" s="198"/>
      <c r="D675" s="198"/>
      <c r="E675" s="198"/>
      <c r="F675" s="198"/>
      <c r="G675" s="198"/>
      <c r="H675" s="198"/>
      <c r="I675" s="198"/>
      <c r="J675" s="198"/>
      <c r="K675" s="198"/>
      <c r="M675" s="198"/>
      <c r="N675" s="198"/>
      <c r="O675" s="198"/>
      <c r="P675" s="198"/>
      <c r="Q675" s="198"/>
      <c r="R675" s="198"/>
      <c r="S675" s="198"/>
      <c r="T675" s="198"/>
      <c r="U675" s="198"/>
      <c r="V675" s="198"/>
      <c r="W675" s="198"/>
      <c r="X675" s="198"/>
      <c r="Y675" s="198"/>
      <c r="Z675" s="198"/>
      <c r="AA675" s="198"/>
    </row>
    <row r="676">
      <c r="A676" s="201"/>
      <c r="B676" s="201"/>
      <c r="C676" s="198"/>
      <c r="D676" s="198"/>
      <c r="E676" s="198"/>
      <c r="F676" s="198"/>
      <c r="G676" s="198"/>
      <c r="H676" s="198"/>
      <c r="I676" s="198"/>
      <c r="J676" s="198"/>
      <c r="K676" s="198"/>
      <c r="M676" s="198"/>
      <c r="N676" s="198"/>
      <c r="O676" s="198"/>
      <c r="P676" s="198"/>
      <c r="Q676" s="198"/>
      <c r="R676" s="198"/>
      <c r="S676" s="198"/>
      <c r="T676" s="198"/>
      <c r="U676" s="198"/>
      <c r="V676" s="198"/>
      <c r="W676" s="198"/>
      <c r="X676" s="198"/>
      <c r="Y676" s="198"/>
      <c r="Z676" s="198"/>
      <c r="AA676" s="198"/>
    </row>
    <row r="677">
      <c r="A677" s="201"/>
      <c r="B677" s="201"/>
      <c r="C677" s="198"/>
      <c r="D677" s="198"/>
      <c r="E677" s="198"/>
      <c r="F677" s="198"/>
      <c r="G677" s="198"/>
      <c r="H677" s="198"/>
      <c r="I677" s="198"/>
      <c r="J677" s="198"/>
      <c r="K677" s="198"/>
      <c r="M677" s="198"/>
      <c r="N677" s="198"/>
      <c r="O677" s="198"/>
      <c r="P677" s="198"/>
      <c r="Q677" s="198"/>
      <c r="R677" s="198"/>
      <c r="S677" s="198"/>
      <c r="T677" s="198"/>
      <c r="U677" s="198"/>
      <c r="V677" s="198"/>
      <c r="W677" s="198"/>
      <c r="X677" s="198"/>
      <c r="Y677" s="198"/>
      <c r="Z677" s="198"/>
      <c r="AA677" s="198"/>
    </row>
    <row r="678">
      <c r="A678" s="201"/>
      <c r="B678" s="201"/>
      <c r="C678" s="198"/>
      <c r="D678" s="198"/>
      <c r="E678" s="198"/>
      <c r="F678" s="198"/>
      <c r="G678" s="198"/>
      <c r="H678" s="198"/>
      <c r="I678" s="198"/>
      <c r="J678" s="198"/>
      <c r="K678" s="198"/>
      <c r="M678" s="198"/>
      <c r="N678" s="198"/>
      <c r="O678" s="198"/>
      <c r="P678" s="198"/>
      <c r="Q678" s="198"/>
      <c r="R678" s="198"/>
      <c r="S678" s="198"/>
      <c r="T678" s="198"/>
      <c r="U678" s="198"/>
      <c r="V678" s="198"/>
      <c r="W678" s="198"/>
      <c r="X678" s="198"/>
      <c r="Y678" s="198"/>
      <c r="Z678" s="198"/>
      <c r="AA678" s="198"/>
    </row>
    <row r="679">
      <c r="A679" s="201"/>
      <c r="B679" s="201"/>
      <c r="C679" s="198"/>
      <c r="D679" s="198"/>
      <c r="E679" s="198"/>
      <c r="F679" s="198"/>
      <c r="G679" s="198"/>
      <c r="H679" s="198"/>
      <c r="I679" s="198"/>
      <c r="J679" s="198"/>
      <c r="K679" s="198"/>
      <c r="M679" s="198"/>
      <c r="N679" s="198"/>
      <c r="O679" s="198"/>
      <c r="P679" s="198"/>
      <c r="Q679" s="198"/>
      <c r="R679" s="198"/>
      <c r="S679" s="198"/>
      <c r="T679" s="198"/>
      <c r="U679" s="198"/>
      <c r="V679" s="198"/>
      <c r="W679" s="198"/>
      <c r="X679" s="198"/>
      <c r="Y679" s="198"/>
      <c r="Z679" s="198"/>
      <c r="AA679" s="198"/>
    </row>
    <row r="680">
      <c r="A680" s="201"/>
      <c r="B680" s="201"/>
      <c r="C680" s="198"/>
      <c r="D680" s="198"/>
      <c r="E680" s="198"/>
      <c r="F680" s="198"/>
      <c r="G680" s="198"/>
      <c r="H680" s="198"/>
      <c r="I680" s="198"/>
      <c r="J680" s="198"/>
      <c r="K680" s="198"/>
      <c r="M680" s="198"/>
      <c r="N680" s="198"/>
      <c r="O680" s="198"/>
      <c r="P680" s="198"/>
      <c r="Q680" s="198"/>
      <c r="R680" s="198"/>
      <c r="S680" s="198"/>
      <c r="T680" s="198"/>
      <c r="U680" s="198"/>
      <c r="V680" s="198"/>
      <c r="W680" s="198"/>
      <c r="X680" s="198"/>
      <c r="Y680" s="198"/>
      <c r="Z680" s="198"/>
      <c r="AA680" s="198"/>
    </row>
    <row r="681">
      <c r="A681" s="201"/>
      <c r="B681" s="201"/>
      <c r="C681" s="198"/>
      <c r="D681" s="198"/>
      <c r="E681" s="198"/>
      <c r="F681" s="198"/>
      <c r="G681" s="198"/>
      <c r="H681" s="198"/>
      <c r="I681" s="198"/>
      <c r="J681" s="198"/>
      <c r="K681" s="198"/>
      <c r="M681" s="198"/>
      <c r="N681" s="198"/>
      <c r="O681" s="198"/>
      <c r="P681" s="198"/>
      <c r="Q681" s="198"/>
      <c r="R681" s="198"/>
      <c r="S681" s="198"/>
      <c r="T681" s="198"/>
      <c r="U681" s="198"/>
      <c r="V681" s="198"/>
      <c r="W681" s="198"/>
      <c r="X681" s="198"/>
      <c r="Y681" s="198"/>
      <c r="Z681" s="198"/>
      <c r="AA681" s="198"/>
    </row>
    <row r="682">
      <c r="A682" s="201"/>
      <c r="B682" s="201"/>
      <c r="C682" s="198"/>
      <c r="D682" s="198"/>
      <c r="E682" s="198"/>
      <c r="F682" s="198"/>
      <c r="G682" s="198"/>
      <c r="H682" s="198"/>
      <c r="I682" s="198"/>
      <c r="J682" s="198"/>
      <c r="K682" s="198"/>
      <c r="M682" s="198"/>
      <c r="N682" s="198"/>
      <c r="O682" s="198"/>
      <c r="P682" s="198"/>
      <c r="Q682" s="198"/>
      <c r="R682" s="198"/>
      <c r="S682" s="198"/>
      <c r="T682" s="198"/>
      <c r="U682" s="198"/>
      <c r="V682" s="198"/>
      <c r="W682" s="198"/>
      <c r="X682" s="198"/>
      <c r="Y682" s="198"/>
      <c r="Z682" s="198"/>
      <c r="AA682" s="198"/>
    </row>
    <row r="683">
      <c r="A683" s="201"/>
      <c r="B683" s="201"/>
      <c r="C683" s="198"/>
      <c r="D683" s="198"/>
      <c r="E683" s="198"/>
      <c r="F683" s="198"/>
      <c r="G683" s="198"/>
      <c r="H683" s="198"/>
      <c r="I683" s="198"/>
      <c r="J683" s="198"/>
      <c r="K683" s="198"/>
      <c r="M683" s="198"/>
      <c r="N683" s="198"/>
      <c r="O683" s="198"/>
      <c r="P683" s="198"/>
      <c r="Q683" s="198"/>
      <c r="R683" s="198"/>
      <c r="S683" s="198"/>
      <c r="T683" s="198"/>
      <c r="U683" s="198"/>
      <c r="V683" s="198"/>
      <c r="W683" s="198"/>
      <c r="X683" s="198"/>
      <c r="Y683" s="198"/>
      <c r="Z683" s="198"/>
      <c r="AA683" s="198"/>
    </row>
    <row r="684">
      <c r="A684" s="201"/>
      <c r="B684" s="201"/>
      <c r="C684" s="198"/>
      <c r="D684" s="198"/>
      <c r="E684" s="198"/>
      <c r="F684" s="198"/>
      <c r="G684" s="198"/>
      <c r="H684" s="198"/>
      <c r="I684" s="198"/>
      <c r="J684" s="198"/>
      <c r="K684" s="198"/>
      <c r="M684" s="198"/>
      <c r="N684" s="198"/>
      <c r="O684" s="198"/>
      <c r="P684" s="198"/>
      <c r="Q684" s="198"/>
      <c r="R684" s="198"/>
      <c r="S684" s="198"/>
      <c r="T684" s="198"/>
      <c r="U684" s="198"/>
      <c r="V684" s="198"/>
      <c r="W684" s="198"/>
      <c r="X684" s="198"/>
      <c r="Y684" s="198"/>
      <c r="Z684" s="198"/>
      <c r="AA684" s="198"/>
    </row>
    <row r="685">
      <c r="A685" s="201"/>
      <c r="B685" s="201"/>
      <c r="C685" s="198"/>
      <c r="D685" s="198"/>
      <c r="E685" s="198"/>
      <c r="F685" s="198"/>
      <c r="G685" s="198"/>
      <c r="H685" s="198"/>
      <c r="I685" s="198"/>
      <c r="J685" s="198"/>
      <c r="K685" s="198"/>
      <c r="M685" s="198"/>
      <c r="N685" s="198"/>
      <c r="O685" s="198"/>
      <c r="P685" s="198"/>
      <c r="Q685" s="198"/>
      <c r="R685" s="198"/>
      <c r="S685" s="198"/>
      <c r="T685" s="198"/>
      <c r="U685" s="198"/>
      <c r="V685" s="198"/>
      <c r="W685" s="198"/>
      <c r="X685" s="198"/>
      <c r="Y685" s="198"/>
      <c r="Z685" s="198"/>
      <c r="AA685" s="198"/>
    </row>
    <row r="686">
      <c r="A686" s="201"/>
      <c r="B686" s="201"/>
      <c r="C686" s="198"/>
      <c r="D686" s="198"/>
      <c r="E686" s="198"/>
      <c r="F686" s="198"/>
      <c r="G686" s="198"/>
      <c r="H686" s="198"/>
      <c r="I686" s="198"/>
      <c r="J686" s="198"/>
      <c r="K686" s="198"/>
      <c r="M686" s="198"/>
      <c r="N686" s="198"/>
      <c r="O686" s="198"/>
      <c r="P686" s="198"/>
      <c r="Q686" s="198"/>
      <c r="R686" s="198"/>
      <c r="S686" s="198"/>
      <c r="T686" s="198"/>
      <c r="U686" s="198"/>
      <c r="V686" s="198"/>
      <c r="W686" s="198"/>
      <c r="X686" s="198"/>
      <c r="Y686" s="198"/>
      <c r="Z686" s="198"/>
      <c r="AA686" s="198"/>
    </row>
    <row r="687">
      <c r="A687" s="201"/>
      <c r="B687" s="201"/>
      <c r="C687" s="198"/>
      <c r="D687" s="198"/>
      <c r="E687" s="198"/>
      <c r="F687" s="198"/>
      <c r="G687" s="198"/>
      <c r="H687" s="198"/>
      <c r="I687" s="198"/>
      <c r="J687" s="198"/>
      <c r="K687" s="198"/>
      <c r="M687" s="198"/>
      <c r="N687" s="198"/>
      <c r="O687" s="198"/>
      <c r="P687" s="198"/>
      <c r="Q687" s="198"/>
      <c r="R687" s="198"/>
      <c r="S687" s="198"/>
      <c r="T687" s="198"/>
      <c r="U687" s="198"/>
      <c r="V687" s="198"/>
      <c r="W687" s="198"/>
      <c r="X687" s="198"/>
      <c r="Y687" s="198"/>
      <c r="Z687" s="198"/>
      <c r="AA687" s="198"/>
    </row>
    <row r="688">
      <c r="A688" s="201"/>
      <c r="B688" s="201"/>
      <c r="C688" s="198"/>
      <c r="D688" s="198"/>
      <c r="E688" s="198"/>
      <c r="F688" s="198"/>
      <c r="G688" s="198"/>
      <c r="H688" s="198"/>
      <c r="I688" s="198"/>
      <c r="J688" s="198"/>
      <c r="K688" s="198"/>
      <c r="M688" s="198"/>
      <c r="N688" s="198"/>
      <c r="O688" s="198"/>
      <c r="P688" s="198"/>
      <c r="Q688" s="198"/>
      <c r="R688" s="198"/>
      <c r="S688" s="198"/>
      <c r="T688" s="198"/>
      <c r="U688" s="198"/>
      <c r="V688" s="198"/>
      <c r="W688" s="198"/>
      <c r="X688" s="198"/>
      <c r="Y688" s="198"/>
      <c r="Z688" s="198"/>
      <c r="AA688" s="198"/>
    </row>
    <row r="689">
      <c r="A689" s="201"/>
      <c r="B689" s="201"/>
      <c r="C689" s="198"/>
      <c r="D689" s="198"/>
      <c r="E689" s="198"/>
      <c r="F689" s="198"/>
      <c r="G689" s="198"/>
      <c r="H689" s="198"/>
      <c r="I689" s="198"/>
      <c r="J689" s="198"/>
      <c r="K689" s="198"/>
      <c r="M689" s="198"/>
      <c r="N689" s="198"/>
      <c r="O689" s="198"/>
      <c r="P689" s="198"/>
      <c r="Q689" s="198"/>
      <c r="R689" s="198"/>
      <c r="S689" s="198"/>
      <c r="T689" s="198"/>
      <c r="U689" s="198"/>
      <c r="V689" s="198"/>
      <c r="W689" s="198"/>
      <c r="X689" s="198"/>
      <c r="Y689" s="198"/>
      <c r="Z689" s="198"/>
      <c r="AA689" s="198"/>
    </row>
    <row r="690">
      <c r="A690" s="201"/>
      <c r="B690" s="201"/>
      <c r="C690" s="198"/>
      <c r="D690" s="198"/>
      <c r="E690" s="198"/>
      <c r="F690" s="198"/>
      <c r="G690" s="198"/>
      <c r="H690" s="198"/>
      <c r="I690" s="198"/>
      <c r="J690" s="198"/>
      <c r="K690" s="198"/>
      <c r="M690" s="198"/>
      <c r="N690" s="198"/>
      <c r="O690" s="198"/>
      <c r="P690" s="198"/>
      <c r="Q690" s="198"/>
      <c r="R690" s="198"/>
      <c r="S690" s="198"/>
      <c r="T690" s="198"/>
      <c r="U690" s="198"/>
      <c r="V690" s="198"/>
      <c r="W690" s="198"/>
      <c r="X690" s="198"/>
      <c r="Y690" s="198"/>
      <c r="Z690" s="198"/>
      <c r="AA690" s="198"/>
    </row>
    <row r="691">
      <c r="A691" s="201"/>
      <c r="B691" s="201"/>
      <c r="C691" s="198"/>
      <c r="D691" s="198"/>
      <c r="E691" s="198"/>
      <c r="F691" s="198"/>
      <c r="G691" s="198"/>
      <c r="H691" s="198"/>
      <c r="I691" s="198"/>
      <c r="J691" s="198"/>
      <c r="K691" s="198"/>
      <c r="M691" s="198"/>
      <c r="N691" s="198"/>
      <c r="O691" s="198"/>
      <c r="P691" s="198"/>
      <c r="Q691" s="198"/>
      <c r="R691" s="198"/>
      <c r="S691" s="198"/>
      <c r="T691" s="198"/>
      <c r="U691" s="198"/>
      <c r="V691" s="198"/>
      <c r="W691" s="198"/>
      <c r="X691" s="198"/>
      <c r="Y691" s="198"/>
      <c r="Z691" s="198"/>
      <c r="AA691" s="198"/>
    </row>
    <row r="692">
      <c r="A692" s="201"/>
      <c r="B692" s="201"/>
      <c r="C692" s="198"/>
      <c r="D692" s="198"/>
      <c r="E692" s="198"/>
      <c r="F692" s="198"/>
      <c r="G692" s="198"/>
      <c r="H692" s="198"/>
      <c r="I692" s="198"/>
      <c r="J692" s="198"/>
      <c r="K692" s="198"/>
      <c r="M692" s="198"/>
      <c r="N692" s="198"/>
      <c r="O692" s="198"/>
      <c r="P692" s="198"/>
      <c r="Q692" s="198"/>
      <c r="R692" s="198"/>
      <c r="S692" s="198"/>
      <c r="T692" s="198"/>
      <c r="U692" s="198"/>
      <c r="V692" s="198"/>
      <c r="W692" s="198"/>
      <c r="X692" s="198"/>
      <c r="Y692" s="198"/>
      <c r="Z692" s="198"/>
      <c r="AA692" s="198"/>
    </row>
    <row r="693">
      <c r="A693" s="201"/>
      <c r="B693" s="201"/>
      <c r="C693" s="198"/>
      <c r="D693" s="198"/>
      <c r="E693" s="198"/>
      <c r="F693" s="198"/>
      <c r="G693" s="198"/>
      <c r="H693" s="198"/>
      <c r="I693" s="198"/>
      <c r="J693" s="198"/>
      <c r="K693" s="198"/>
      <c r="M693" s="198"/>
      <c r="N693" s="198"/>
      <c r="O693" s="198"/>
      <c r="P693" s="198"/>
      <c r="Q693" s="198"/>
      <c r="R693" s="198"/>
      <c r="S693" s="198"/>
      <c r="T693" s="198"/>
      <c r="U693" s="198"/>
      <c r="V693" s="198"/>
      <c r="W693" s="198"/>
      <c r="X693" s="198"/>
      <c r="Y693" s="198"/>
      <c r="Z693" s="198"/>
      <c r="AA693" s="198"/>
    </row>
    <row r="694">
      <c r="A694" s="201"/>
      <c r="B694" s="201"/>
      <c r="C694" s="198"/>
      <c r="D694" s="198"/>
      <c r="E694" s="198"/>
      <c r="F694" s="198"/>
      <c r="G694" s="198"/>
      <c r="H694" s="198"/>
      <c r="I694" s="198"/>
      <c r="J694" s="198"/>
      <c r="K694" s="198"/>
      <c r="M694" s="198"/>
      <c r="N694" s="198"/>
      <c r="O694" s="198"/>
      <c r="P694" s="198"/>
      <c r="Q694" s="198"/>
      <c r="R694" s="198"/>
      <c r="S694" s="198"/>
      <c r="T694" s="198"/>
      <c r="U694" s="198"/>
      <c r="V694" s="198"/>
      <c r="W694" s="198"/>
      <c r="X694" s="198"/>
      <c r="Y694" s="198"/>
      <c r="Z694" s="198"/>
      <c r="AA694" s="198"/>
    </row>
    <row r="695">
      <c r="A695" s="201"/>
      <c r="B695" s="201"/>
      <c r="C695" s="198"/>
      <c r="D695" s="198"/>
      <c r="E695" s="198"/>
      <c r="F695" s="198"/>
      <c r="G695" s="198"/>
      <c r="H695" s="198"/>
      <c r="I695" s="198"/>
      <c r="J695" s="198"/>
      <c r="K695" s="198"/>
      <c r="M695" s="198"/>
      <c r="N695" s="198"/>
      <c r="O695" s="198"/>
      <c r="P695" s="198"/>
      <c r="Q695" s="198"/>
      <c r="R695" s="198"/>
      <c r="S695" s="198"/>
      <c r="T695" s="198"/>
      <c r="U695" s="198"/>
      <c r="V695" s="198"/>
      <c r="W695" s="198"/>
      <c r="X695" s="198"/>
      <c r="Y695" s="198"/>
      <c r="Z695" s="198"/>
      <c r="AA695" s="198"/>
    </row>
    <row r="696">
      <c r="A696" s="201"/>
      <c r="B696" s="201"/>
      <c r="C696" s="198"/>
      <c r="D696" s="198"/>
      <c r="E696" s="198"/>
      <c r="F696" s="198"/>
      <c r="G696" s="198"/>
      <c r="H696" s="198"/>
      <c r="I696" s="198"/>
      <c r="J696" s="198"/>
      <c r="K696" s="198"/>
      <c r="M696" s="198"/>
      <c r="N696" s="198"/>
      <c r="O696" s="198"/>
      <c r="P696" s="198"/>
      <c r="Q696" s="198"/>
      <c r="R696" s="198"/>
      <c r="S696" s="198"/>
      <c r="T696" s="198"/>
      <c r="U696" s="198"/>
      <c r="V696" s="198"/>
      <c r="W696" s="198"/>
      <c r="X696" s="198"/>
      <c r="Y696" s="198"/>
      <c r="Z696" s="198"/>
      <c r="AA696" s="198"/>
    </row>
    <row r="697">
      <c r="A697" s="201"/>
      <c r="B697" s="201"/>
      <c r="C697" s="198"/>
      <c r="D697" s="198"/>
      <c r="E697" s="198"/>
      <c r="F697" s="198"/>
      <c r="G697" s="198"/>
      <c r="H697" s="198"/>
      <c r="I697" s="198"/>
      <c r="J697" s="198"/>
      <c r="K697" s="198"/>
      <c r="M697" s="198"/>
      <c r="N697" s="198"/>
      <c r="O697" s="198"/>
      <c r="P697" s="198"/>
      <c r="Q697" s="198"/>
      <c r="R697" s="198"/>
      <c r="S697" s="198"/>
      <c r="T697" s="198"/>
      <c r="U697" s="198"/>
      <c r="V697" s="198"/>
      <c r="W697" s="198"/>
      <c r="X697" s="198"/>
      <c r="Y697" s="198"/>
      <c r="Z697" s="198"/>
      <c r="AA697" s="198"/>
    </row>
    <row r="698">
      <c r="A698" s="201"/>
      <c r="B698" s="201"/>
      <c r="C698" s="198"/>
      <c r="D698" s="198"/>
      <c r="E698" s="198"/>
      <c r="F698" s="198"/>
      <c r="G698" s="198"/>
      <c r="H698" s="198"/>
      <c r="I698" s="198"/>
      <c r="J698" s="198"/>
      <c r="K698" s="198"/>
      <c r="M698" s="198"/>
      <c r="N698" s="198"/>
      <c r="O698" s="198"/>
      <c r="P698" s="198"/>
      <c r="Q698" s="198"/>
      <c r="R698" s="198"/>
      <c r="S698" s="198"/>
      <c r="T698" s="198"/>
      <c r="U698" s="198"/>
      <c r="V698" s="198"/>
      <c r="W698" s="198"/>
      <c r="X698" s="198"/>
      <c r="Y698" s="198"/>
      <c r="Z698" s="198"/>
      <c r="AA698" s="198"/>
    </row>
    <row r="699">
      <c r="A699" s="201"/>
      <c r="B699" s="201"/>
      <c r="C699" s="198"/>
      <c r="D699" s="198"/>
      <c r="E699" s="198"/>
      <c r="F699" s="198"/>
      <c r="G699" s="198"/>
      <c r="H699" s="198"/>
      <c r="I699" s="198"/>
      <c r="J699" s="198"/>
      <c r="K699" s="198"/>
      <c r="M699" s="198"/>
      <c r="N699" s="198"/>
      <c r="O699" s="198"/>
      <c r="P699" s="198"/>
      <c r="Q699" s="198"/>
      <c r="R699" s="198"/>
      <c r="S699" s="198"/>
      <c r="T699" s="198"/>
      <c r="U699" s="198"/>
      <c r="V699" s="198"/>
      <c r="W699" s="198"/>
      <c r="X699" s="198"/>
      <c r="Y699" s="198"/>
      <c r="Z699" s="198"/>
      <c r="AA699" s="198"/>
    </row>
    <row r="700">
      <c r="A700" s="201"/>
      <c r="B700" s="201"/>
      <c r="C700" s="198"/>
      <c r="D700" s="198"/>
      <c r="E700" s="198"/>
      <c r="F700" s="198"/>
      <c r="G700" s="198"/>
      <c r="H700" s="198"/>
      <c r="I700" s="198"/>
      <c r="J700" s="198"/>
      <c r="K700" s="198"/>
      <c r="M700" s="198"/>
      <c r="N700" s="198"/>
      <c r="O700" s="198"/>
      <c r="P700" s="198"/>
      <c r="Q700" s="198"/>
      <c r="R700" s="198"/>
      <c r="S700" s="198"/>
      <c r="T700" s="198"/>
      <c r="U700" s="198"/>
      <c r="V700" s="198"/>
      <c r="W700" s="198"/>
      <c r="X700" s="198"/>
      <c r="Y700" s="198"/>
      <c r="Z700" s="198"/>
      <c r="AA700" s="198"/>
    </row>
    <row r="701">
      <c r="A701" s="201"/>
      <c r="B701" s="201"/>
      <c r="C701" s="198"/>
      <c r="D701" s="198"/>
      <c r="E701" s="198"/>
      <c r="F701" s="198"/>
      <c r="G701" s="198"/>
      <c r="H701" s="198"/>
      <c r="I701" s="198"/>
      <c r="J701" s="198"/>
      <c r="K701" s="198"/>
      <c r="M701" s="198"/>
      <c r="N701" s="198"/>
      <c r="O701" s="198"/>
      <c r="P701" s="198"/>
      <c r="Q701" s="198"/>
      <c r="R701" s="198"/>
      <c r="S701" s="198"/>
      <c r="T701" s="198"/>
      <c r="U701" s="198"/>
      <c r="V701" s="198"/>
      <c r="W701" s="198"/>
      <c r="X701" s="198"/>
      <c r="Y701" s="198"/>
      <c r="Z701" s="198"/>
      <c r="AA701" s="198"/>
    </row>
    <row r="702">
      <c r="A702" s="201"/>
      <c r="B702" s="201"/>
      <c r="C702" s="198"/>
      <c r="D702" s="198"/>
      <c r="E702" s="198"/>
      <c r="F702" s="198"/>
      <c r="G702" s="198"/>
      <c r="H702" s="198"/>
      <c r="I702" s="198"/>
      <c r="J702" s="198"/>
      <c r="K702" s="198"/>
      <c r="M702" s="198"/>
      <c r="N702" s="198"/>
      <c r="O702" s="198"/>
      <c r="P702" s="198"/>
      <c r="Q702" s="198"/>
      <c r="R702" s="198"/>
      <c r="S702" s="198"/>
      <c r="T702" s="198"/>
      <c r="U702" s="198"/>
      <c r="V702" s="198"/>
      <c r="W702" s="198"/>
      <c r="X702" s="198"/>
      <c r="Y702" s="198"/>
      <c r="Z702" s="198"/>
      <c r="AA702" s="198"/>
    </row>
    <row r="703">
      <c r="A703" s="201"/>
      <c r="B703" s="201"/>
      <c r="C703" s="198"/>
      <c r="D703" s="198"/>
      <c r="E703" s="198"/>
      <c r="F703" s="198"/>
      <c r="G703" s="198"/>
      <c r="H703" s="198"/>
      <c r="I703" s="198"/>
      <c r="J703" s="198"/>
      <c r="K703" s="198"/>
      <c r="M703" s="198"/>
      <c r="N703" s="198"/>
      <c r="O703" s="198"/>
      <c r="P703" s="198"/>
      <c r="Q703" s="198"/>
      <c r="R703" s="198"/>
      <c r="S703" s="198"/>
      <c r="T703" s="198"/>
      <c r="U703" s="198"/>
      <c r="V703" s="198"/>
      <c r="W703" s="198"/>
      <c r="X703" s="198"/>
      <c r="Y703" s="198"/>
      <c r="Z703" s="198"/>
      <c r="AA703" s="198"/>
    </row>
    <row r="704">
      <c r="A704" s="201"/>
      <c r="B704" s="201"/>
      <c r="C704" s="198"/>
      <c r="D704" s="198"/>
      <c r="E704" s="198"/>
      <c r="F704" s="198"/>
      <c r="G704" s="198"/>
      <c r="H704" s="198"/>
      <c r="I704" s="198"/>
      <c r="J704" s="198"/>
      <c r="K704" s="198"/>
      <c r="M704" s="198"/>
      <c r="N704" s="198"/>
      <c r="O704" s="198"/>
      <c r="P704" s="198"/>
      <c r="Q704" s="198"/>
      <c r="R704" s="198"/>
      <c r="S704" s="198"/>
      <c r="T704" s="198"/>
      <c r="U704" s="198"/>
      <c r="V704" s="198"/>
      <c r="W704" s="198"/>
      <c r="X704" s="198"/>
      <c r="Y704" s="198"/>
      <c r="Z704" s="198"/>
      <c r="AA704" s="198"/>
    </row>
    <row r="705">
      <c r="A705" s="201"/>
      <c r="B705" s="201"/>
      <c r="C705" s="198"/>
      <c r="D705" s="198"/>
      <c r="E705" s="198"/>
      <c r="F705" s="198"/>
      <c r="G705" s="198"/>
      <c r="H705" s="198"/>
      <c r="I705" s="198"/>
      <c r="J705" s="198"/>
      <c r="K705" s="198"/>
      <c r="M705" s="198"/>
      <c r="N705" s="198"/>
      <c r="O705" s="198"/>
      <c r="P705" s="198"/>
      <c r="Q705" s="198"/>
      <c r="R705" s="198"/>
      <c r="S705" s="198"/>
      <c r="T705" s="198"/>
      <c r="U705" s="198"/>
      <c r="V705" s="198"/>
      <c r="W705" s="198"/>
      <c r="X705" s="198"/>
      <c r="Y705" s="198"/>
      <c r="Z705" s="198"/>
      <c r="AA705" s="198"/>
    </row>
    <row r="706">
      <c r="A706" s="201"/>
      <c r="B706" s="201"/>
      <c r="C706" s="198"/>
      <c r="D706" s="198"/>
      <c r="E706" s="198"/>
      <c r="F706" s="198"/>
      <c r="G706" s="198"/>
      <c r="H706" s="198"/>
      <c r="I706" s="198"/>
      <c r="J706" s="198"/>
      <c r="K706" s="198"/>
      <c r="M706" s="198"/>
      <c r="N706" s="198"/>
      <c r="O706" s="198"/>
      <c r="P706" s="198"/>
      <c r="Q706" s="198"/>
      <c r="R706" s="198"/>
      <c r="S706" s="198"/>
      <c r="T706" s="198"/>
      <c r="U706" s="198"/>
      <c r="V706" s="198"/>
      <c r="W706" s="198"/>
      <c r="X706" s="198"/>
      <c r="Y706" s="198"/>
      <c r="Z706" s="198"/>
      <c r="AA706" s="198"/>
    </row>
    <row r="707">
      <c r="A707" s="201"/>
      <c r="B707" s="201"/>
      <c r="C707" s="198"/>
      <c r="D707" s="198"/>
      <c r="E707" s="198"/>
      <c r="F707" s="198"/>
      <c r="G707" s="198"/>
      <c r="H707" s="198"/>
      <c r="I707" s="198"/>
      <c r="J707" s="198"/>
      <c r="K707" s="198"/>
      <c r="M707" s="198"/>
      <c r="N707" s="198"/>
      <c r="O707" s="198"/>
      <c r="P707" s="198"/>
      <c r="Q707" s="198"/>
      <c r="R707" s="198"/>
      <c r="S707" s="198"/>
      <c r="T707" s="198"/>
      <c r="U707" s="198"/>
      <c r="V707" s="198"/>
      <c r="W707" s="198"/>
      <c r="X707" s="198"/>
      <c r="Y707" s="198"/>
      <c r="Z707" s="198"/>
      <c r="AA707" s="198"/>
    </row>
    <row r="708">
      <c r="A708" s="201"/>
      <c r="B708" s="201"/>
      <c r="C708" s="198"/>
      <c r="D708" s="198"/>
      <c r="E708" s="198"/>
      <c r="F708" s="198"/>
      <c r="G708" s="198"/>
      <c r="H708" s="198"/>
      <c r="I708" s="198"/>
      <c r="J708" s="198"/>
      <c r="K708" s="198"/>
      <c r="M708" s="198"/>
      <c r="N708" s="198"/>
      <c r="O708" s="198"/>
      <c r="P708" s="198"/>
      <c r="Q708" s="198"/>
      <c r="R708" s="198"/>
      <c r="S708" s="198"/>
      <c r="T708" s="198"/>
      <c r="U708" s="198"/>
      <c r="V708" s="198"/>
      <c r="W708" s="198"/>
      <c r="X708" s="198"/>
      <c r="Y708" s="198"/>
      <c r="Z708" s="198"/>
      <c r="AA708" s="198"/>
    </row>
    <row r="709">
      <c r="A709" s="201"/>
      <c r="B709" s="201"/>
      <c r="C709" s="198"/>
      <c r="D709" s="198"/>
      <c r="E709" s="198"/>
      <c r="F709" s="198"/>
      <c r="G709" s="198"/>
      <c r="H709" s="198"/>
      <c r="I709" s="198"/>
      <c r="J709" s="198"/>
      <c r="K709" s="198"/>
      <c r="M709" s="198"/>
      <c r="N709" s="198"/>
      <c r="O709" s="198"/>
      <c r="P709" s="198"/>
      <c r="Q709" s="198"/>
      <c r="R709" s="198"/>
      <c r="S709" s="198"/>
      <c r="T709" s="198"/>
      <c r="U709" s="198"/>
      <c r="V709" s="198"/>
      <c r="W709" s="198"/>
      <c r="X709" s="198"/>
      <c r="Y709" s="198"/>
      <c r="Z709" s="198"/>
      <c r="AA709" s="198"/>
    </row>
    <row r="710">
      <c r="A710" s="201"/>
      <c r="B710" s="201"/>
      <c r="C710" s="198"/>
      <c r="D710" s="198"/>
      <c r="E710" s="198"/>
      <c r="F710" s="198"/>
      <c r="G710" s="198"/>
      <c r="H710" s="198"/>
      <c r="I710" s="198"/>
      <c r="J710" s="198"/>
      <c r="K710" s="198"/>
      <c r="M710" s="198"/>
      <c r="N710" s="198"/>
      <c r="O710" s="198"/>
      <c r="P710" s="198"/>
      <c r="Q710" s="198"/>
      <c r="R710" s="198"/>
      <c r="S710" s="198"/>
      <c r="T710" s="198"/>
      <c r="U710" s="198"/>
      <c r="V710" s="198"/>
      <c r="W710" s="198"/>
      <c r="X710" s="198"/>
      <c r="Y710" s="198"/>
      <c r="Z710" s="198"/>
      <c r="AA710" s="198"/>
    </row>
    <row r="711">
      <c r="A711" s="201"/>
      <c r="B711" s="201"/>
      <c r="C711" s="198"/>
      <c r="D711" s="198"/>
      <c r="E711" s="198"/>
      <c r="F711" s="198"/>
      <c r="G711" s="198"/>
      <c r="H711" s="198"/>
      <c r="I711" s="198"/>
      <c r="J711" s="198"/>
      <c r="K711" s="198"/>
      <c r="M711" s="198"/>
      <c r="N711" s="198"/>
      <c r="O711" s="198"/>
      <c r="P711" s="198"/>
      <c r="Q711" s="198"/>
      <c r="R711" s="198"/>
      <c r="S711" s="198"/>
      <c r="T711" s="198"/>
      <c r="U711" s="198"/>
      <c r="V711" s="198"/>
      <c r="W711" s="198"/>
      <c r="X711" s="198"/>
      <c r="Y711" s="198"/>
      <c r="Z711" s="198"/>
      <c r="AA711" s="198"/>
    </row>
    <row r="712">
      <c r="A712" s="201"/>
      <c r="B712" s="201"/>
      <c r="C712" s="198"/>
      <c r="D712" s="198"/>
      <c r="E712" s="198"/>
      <c r="F712" s="198"/>
      <c r="G712" s="198"/>
      <c r="H712" s="198"/>
      <c r="I712" s="198"/>
      <c r="J712" s="198"/>
      <c r="K712" s="198"/>
      <c r="M712" s="198"/>
      <c r="N712" s="198"/>
      <c r="O712" s="198"/>
      <c r="P712" s="198"/>
      <c r="Q712" s="198"/>
      <c r="R712" s="198"/>
      <c r="S712" s="198"/>
      <c r="T712" s="198"/>
      <c r="U712" s="198"/>
      <c r="V712" s="198"/>
      <c r="W712" s="198"/>
      <c r="X712" s="198"/>
      <c r="Y712" s="198"/>
      <c r="Z712" s="198"/>
      <c r="AA712" s="198"/>
    </row>
    <row r="713">
      <c r="A713" s="201"/>
      <c r="B713" s="201"/>
      <c r="C713" s="198"/>
      <c r="D713" s="198"/>
      <c r="E713" s="198"/>
      <c r="F713" s="198"/>
      <c r="G713" s="198"/>
      <c r="H713" s="198"/>
      <c r="I713" s="198"/>
      <c r="J713" s="198"/>
      <c r="K713" s="198"/>
      <c r="M713" s="198"/>
      <c r="N713" s="198"/>
      <c r="O713" s="198"/>
      <c r="P713" s="198"/>
      <c r="Q713" s="198"/>
      <c r="R713" s="198"/>
      <c r="S713" s="198"/>
      <c r="T713" s="198"/>
      <c r="U713" s="198"/>
      <c r="V713" s="198"/>
      <c r="W713" s="198"/>
      <c r="X713" s="198"/>
      <c r="Y713" s="198"/>
      <c r="Z713" s="198"/>
      <c r="AA713" s="198"/>
    </row>
    <row r="714">
      <c r="A714" s="201"/>
      <c r="B714" s="201"/>
      <c r="C714" s="198"/>
      <c r="D714" s="198"/>
      <c r="E714" s="198"/>
      <c r="F714" s="198"/>
      <c r="G714" s="198"/>
      <c r="H714" s="198"/>
      <c r="I714" s="198"/>
      <c r="J714" s="198"/>
      <c r="K714" s="198"/>
      <c r="M714" s="198"/>
      <c r="N714" s="198"/>
      <c r="O714" s="198"/>
      <c r="P714" s="198"/>
      <c r="Q714" s="198"/>
      <c r="R714" s="198"/>
      <c r="S714" s="198"/>
      <c r="T714" s="198"/>
      <c r="U714" s="198"/>
      <c r="V714" s="198"/>
      <c r="W714" s="198"/>
      <c r="X714" s="198"/>
      <c r="Y714" s="198"/>
      <c r="Z714" s="198"/>
      <c r="AA714" s="198"/>
    </row>
    <row r="715">
      <c r="A715" s="201"/>
      <c r="B715" s="201"/>
      <c r="C715" s="198"/>
      <c r="D715" s="198"/>
      <c r="E715" s="198"/>
      <c r="F715" s="198"/>
      <c r="G715" s="198"/>
      <c r="H715" s="198"/>
      <c r="I715" s="198"/>
      <c r="J715" s="198"/>
      <c r="K715" s="198"/>
      <c r="M715" s="198"/>
      <c r="N715" s="198"/>
      <c r="O715" s="198"/>
      <c r="P715" s="198"/>
      <c r="Q715" s="198"/>
      <c r="R715" s="198"/>
      <c r="S715" s="198"/>
      <c r="T715" s="198"/>
      <c r="U715" s="198"/>
      <c r="V715" s="198"/>
      <c r="W715" s="198"/>
      <c r="X715" s="198"/>
      <c r="Y715" s="198"/>
      <c r="Z715" s="198"/>
      <c r="AA715" s="198"/>
    </row>
    <row r="716">
      <c r="A716" s="201"/>
      <c r="B716" s="201"/>
      <c r="C716" s="198"/>
      <c r="D716" s="198"/>
      <c r="E716" s="198"/>
      <c r="F716" s="198"/>
      <c r="G716" s="198"/>
      <c r="H716" s="198"/>
      <c r="I716" s="198"/>
      <c r="J716" s="198"/>
      <c r="K716" s="198"/>
      <c r="M716" s="198"/>
      <c r="N716" s="198"/>
      <c r="O716" s="198"/>
      <c r="P716" s="198"/>
      <c r="Q716" s="198"/>
      <c r="R716" s="198"/>
      <c r="S716" s="198"/>
      <c r="T716" s="198"/>
      <c r="U716" s="198"/>
      <c r="V716" s="198"/>
      <c r="W716" s="198"/>
      <c r="X716" s="198"/>
      <c r="Y716" s="198"/>
      <c r="Z716" s="198"/>
      <c r="AA716" s="198"/>
    </row>
    <row r="717">
      <c r="A717" s="201"/>
      <c r="B717" s="201"/>
      <c r="C717" s="198"/>
      <c r="D717" s="198"/>
      <c r="E717" s="198"/>
      <c r="F717" s="198"/>
      <c r="G717" s="198"/>
      <c r="H717" s="198"/>
      <c r="I717" s="198"/>
      <c r="J717" s="198"/>
      <c r="K717" s="198"/>
      <c r="M717" s="198"/>
      <c r="N717" s="198"/>
      <c r="O717" s="198"/>
      <c r="P717" s="198"/>
      <c r="Q717" s="198"/>
      <c r="R717" s="198"/>
      <c r="S717" s="198"/>
      <c r="T717" s="198"/>
      <c r="U717" s="198"/>
      <c r="V717" s="198"/>
      <c r="W717" s="198"/>
      <c r="X717" s="198"/>
      <c r="Y717" s="198"/>
      <c r="Z717" s="198"/>
      <c r="AA717" s="198"/>
    </row>
    <row r="718">
      <c r="A718" s="201"/>
      <c r="B718" s="201"/>
      <c r="C718" s="198"/>
      <c r="D718" s="198"/>
      <c r="E718" s="198"/>
      <c r="F718" s="198"/>
      <c r="G718" s="198"/>
      <c r="H718" s="198"/>
      <c r="I718" s="198"/>
      <c r="J718" s="198"/>
      <c r="K718" s="198"/>
      <c r="M718" s="198"/>
      <c r="N718" s="198"/>
      <c r="O718" s="198"/>
      <c r="P718" s="198"/>
      <c r="Q718" s="198"/>
      <c r="R718" s="198"/>
      <c r="S718" s="198"/>
      <c r="T718" s="198"/>
      <c r="U718" s="198"/>
      <c r="V718" s="198"/>
      <c r="W718" s="198"/>
      <c r="X718" s="198"/>
      <c r="Y718" s="198"/>
      <c r="Z718" s="198"/>
      <c r="AA718" s="198"/>
    </row>
    <row r="719">
      <c r="A719" s="201"/>
      <c r="B719" s="201"/>
      <c r="C719" s="198"/>
      <c r="D719" s="198"/>
      <c r="E719" s="198"/>
      <c r="F719" s="198"/>
      <c r="G719" s="198"/>
      <c r="H719" s="198"/>
      <c r="I719" s="198"/>
      <c r="J719" s="198"/>
      <c r="K719" s="198"/>
      <c r="M719" s="198"/>
      <c r="N719" s="198"/>
      <c r="O719" s="198"/>
      <c r="P719" s="198"/>
      <c r="Q719" s="198"/>
      <c r="R719" s="198"/>
      <c r="S719" s="198"/>
      <c r="T719" s="198"/>
      <c r="U719" s="198"/>
      <c r="V719" s="198"/>
      <c r="W719" s="198"/>
      <c r="X719" s="198"/>
      <c r="Y719" s="198"/>
      <c r="Z719" s="198"/>
      <c r="AA719" s="198"/>
    </row>
    <row r="720">
      <c r="A720" s="201"/>
      <c r="B720" s="201"/>
      <c r="C720" s="198"/>
      <c r="D720" s="198"/>
      <c r="E720" s="198"/>
      <c r="F720" s="198"/>
      <c r="G720" s="198"/>
      <c r="H720" s="198"/>
      <c r="I720" s="198"/>
      <c r="J720" s="198"/>
      <c r="K720" s="198"/>
      <c r="M720" s="198"/>
      <c r="N720" s="198"/>
      <c r="O720" s="198"/>
      <c r="P720" s="198"/>
      <c r="Q720" s="198"/>
      <c r="R720" s="198"/>
      <c r="S720" s="198"/>
      <c r="T720" s="198"/>
      <c r="U720" s="198"/>
      <c r="V720" s="198"/>
      <c r="W720" s="198"/>
      <c r="X720" s="198"/>
      <c r="Y720" s="198"/>
      <c r="Z720" s="198"/>
      <c r="AA720" s="198"/>
    </row>
    <row r="721">
      <c r="A721" s="201"/>
      <c r="B721" s="201"/>
      <c r="C721" s="198"/>
      <c r="D721" s="198"/>
      <c r="E721" s="198"/>
      <c r="F721" s="198"/>
      <c r="G721" s="198"/>
      <c r="H721" s="198"/>
      <c r="I721" s="198"/>
      <c r="J721" s="198"/>
      <c r="K721" s="198"/>
      <c r="M721" s="198"/>
      <c r="N721" s="198"/>
      <c r="O721" s="198"/>
      <c r="P721" s="198"/>
      <c r="Q721" s="198"/>
      <c r="R721" s="198"/>
      <c r="S721" s="198"/>
      <c r="T721" s="198"/>
      <c r="U721" s="198"/>
      <c r="V721" s="198"/>
      <c r="W721" s="198"/>
      <c r="X721" s="198"/>
      <c r="Y721" s="198"/>
      <c r="Z721" s="198"/>
      <c r="AA721" s="198"/>
    </row>
    <row r="722">
      <c r="A722" s="201"/>
      <c r="B722" s="201"/>
      <c r="C722" s="198"/>
      <c r="D722" s="198"/>
      <c r="E722" s="198"/>
      <c r="F722" s="198"/>
      <c r="G722" s="198"/>
      <c r="H722" s="198"/>
      <c r="I722" s="198"/>
      <c r="J722" s="198"/>
      <c r="K722" s="198"/>
      <c r="M722" s="198"/>
      <c r="N722" s="198"/>
      <c r="O722" s="198"/>
      <c r="P722" s="198"/>
      <c r="Q722" s="198"/>
      <c r="R722" s="198"/>
      <c r="S722" s="198"/>
      <c r="T722" s="198"/>
      <c r="U722" s="198"/>
      <c r="V722" s="198"/>
      <c r="W722" s="198"/>
      <c r="X722" s="198"/>
      <c r="Y722" s="198"/>
      <c r="Z722" s="198"/>
      <c r="AA722" s="198"/>
    </row>
    <row r="723">
      <c r="A723" s="201"/>
      <c r="B723" s="201"/>
      <c r="C723" s="198"/>
      <c r="D723" s="198"/>
      <c r="E723" s="198"/>
      <c r="F723" s="198"/>
      <c r="G723" s="198"/>
      <c r="H723" s="198"/>
      <c r="I723" s="198"/>
      <c r="J723" s="198"/>
      <c r="K723" s="198"/>
      <c r="M723" s="198"/>
      <c r="N723" s="198"/>
      <c r="O723" s="198"/>
      <c r="P723" s="198"/>
      <c r="Q723" s="198"/>
      <c r="R723" s="198"/>
      <c r="S723" s="198"/>
      <c r="T723" s="198"/>
      <c r="U723" s="198"/>
      <c r="V723" s="198"/>
      <c r="W723" s="198"/>
      <c r="X723" s="198"/>
      <c r="Y723" s="198"/>
      <c r="Z723" s="198"/>
      <c r="AA723" s="198"/>
    </row>
    <row r="724">
      <c r="A724" s="201"/>
      <c r="B724" s="201"/>
      <c r="C724" s="198"/>
      <c r="D724" s="198"/>
      <c r="E724" s="198"/>
      <c r="F724" s="198"/>
      <c r="G724" s="198"/>
      <c r="H724" s="198"/>
      <c r="I724" s="198"/>
      <c r="J724" s="198"/>
      <c r="K724" s="198"/>
      <c r="M724" s="198"/>
      <c r="N724" s="198"/>
      <c r="O724" s="198"/>
      <c r="P724" s="198"/>
      <c r="Q724" s="198"/>
      <c r="R724" s="198"/>
      <c r="S724" s="198"/>
      <c r="T724" s="198"/>
      <c r="U724" s="198"/>
      <c r="V724" s="198"/>
      <c r="W724" s="198"/>
      <c r="X724" s="198"/>
      <c r="Y724" s="198"/>
      <c r="Z724" s="198"/>
      <c r="AA724" s="198"/>
    </row>
    <row r="725">
      <c r="A725" s="201"/>
      <c r="B725" s="201"/>
      <c r="C725" s="198"/>
      <c r="D725" s="198"/>
      <c r="E725" s="198"/>
      <c r="F725" s="198"/>
      <c r="G725" s="198"/>
      <c r="H725" s="198"/>
      <c r="I725" s="198"/>
      <c r="J725" s="198"/>
      <c r="K725" s="198"/>
      <c r="M725" s="198"/>
      <c r="N725" s="198"/>
      <c r="O725" s="198"/>
      <c r="P725" s="198"/>
      <c r="Q725" s="198"/>
      <c r="R725" s="198"/>
      <c r="S725" s="198"/>
      <c r="T725" s="198"/>
      <c r="U725" s="198"/>
      <c r="V725" s="198"/>
      <c r="W725" s="198"/>
      <c r="X725" s="198"/>
      <c r="Y725" s="198"/>
      <c r="Z725" s="198"/>
      <c r="AA725" s="198"/>
    </row>
    <row r="726">
      <c r="A726" s="201"/>
      <c r="B726" s="201"/>
      <c r="C726" s="198"/>
      <c r="D726" s="198"/>
      <c r="E726" s="198"/>
      <c r="F726" s="198"/>
      <c r="G726" s="198"/>
      <c r="H726" s="198"/>
      <c r="I726" s="198"/>
      <c r="J726" s="198"/>
      <c r="K726" s="198"/>
      <c r="M726" s="198"/>
      <c r="N726" s="198"/>
      <c r="O726" s="198"/>
      <c r="P726" s="198"/>
      <c r="Q726" s="198"/>
      <c r="R726" s="198"/>
      <c r="S726" s="198"/>
      <c r="T726" s="198"/>
      <c r="U726" s="198"/>
      <c r="V726" s="198"/>
      <c r="W726" s="198"/>
      <c r="X726" s="198"/>
      <c r="Y726" s="198"/>
      <c r="Z726" s="198"/>
      <c r="AA726" s="198"/>
    </row>
    <row r="727">
      <c r="A727" s="201"/>
      <c r="B727" s="201"/>
      <c r="C727" s="198"/>
      <c r="D727" s="198"/>
      <c r="E727" s="198"/>
      <c r="F727" s="198"/>
      <c r="G727" s="198"/>
      <c r="H727" s="198"/>
      <c r="I727" s="198"/>
      <c r="J727" s="198"/>
      <c r="K727" s="198"/>
      <c r="M727" s="198"/>
      <c r="N727" s="198"/>
      <c r="O727" s="198"/>
      <c r="P727" s="198"/>
      <c r="Q727" s="198"/>
      <c r="R727" s="198"/>
      <c r="S727" s="198"/>
      <c r="T727" s="198"/>
      <c r="U727" s="198"/>
      <c r="V727" s="198"/>
      <c r="W727" s="198"/>
      <c r="X727" s="198"/>
      <c r="Y727" s="198"/>
      <c r="Z727" s="198"/>
      <c r="AA727" s="198"/>
    </row>
    <row r="728">
      <c r="A728" s="201"/>
      <c r="B728" s="201"/>
      <c r="C728" s="198"/>
      <c r="D728" s="198"/>
      <c r="E728" s="198"/>
      <c r="F728" s="198"/>
      <c r="G728" s="198"/>
      <c r="H728" s="198"/>
      <c r="I728" s="198"/>
      <c r="J728" s="198"/>
      <c r="K728" s="198"/>
      <c r="M728" s="198"/>
      <c r="N728" s="198"/>
      <c r="O728" s="198"/>
      <c r="P728" s="198"/>
      <c r="Q728" s="198"/>
      <c r="R728" s="198"/>
      <c r="S728" s="198"/>
      <c r="T728" s="198"/>
      <c r="U728" s="198"/>
      <c r="V728" s="198"/>
      <c r="W728" s="198"/>
      <c r="X728" s="198"/>
      <c r="Y728" s="198"/>
      <c r="Z728" s="198"/>
      <c r="AA728" s="198"/>
    </row>
    <row r="729">
      <c r="A729" s="201"/>
      <c r="B729" s="201"/>
      <c r="C729" s="198"/>
      <c r="D729" s="198"/>
      <c r="E729" s="198"/>
      <c r="F729" s="198"/>
      <c r="G729" s="198"/>
      <c r="H729" s="198"/>
      <c r="I729" s="198"/>
      <c r="J729" s="198"/>
      <c r="K729" s="198"/>
      <c r="M729" s="198"/>
      <c r="N729" s="198"/>
      <c r="O729" s="198"/>
      <c r="P729" s="198"/>
      <c r="Q729" s="198"/>
      <c r="R729" s="198"/>
      <c r="S729" s="198"/>
      <c r="T729" s="198"/>
      <c r="U729" s="198"/>
      <c r="V729" s="198"/>
      <c r="W729" s="198"/>
      <c r="X729" s="198"/>
      <c r="Y729" s="198"/>
      <c r="Z729" s="198"/>
      <c r="AA729" s="198"/>
    </row>
    <row r="730">
      <c r="A730" s="201"/>
      <c r="B730" s="201"/>
      <c r="C730" s="198"/>
      <c r="D730" s="198"/>
      <c r="E730" s="198"/>
      <c r="F730" s="198"/>
      <c r="G730" s="198"/>
      <c r="H730" s="198"/>
      <c r="I730" s="198"/>
      <c r="J730" s="198"/>
      <c r="K730" s="198"/>
      <c r="M730" s="198"/>
      <c r="N730" s="198"/>
      <c r="O730" s="198"/>
      <c r="P730" s="198"/>
      <c r="Q730" s="198"/>
      <c r="R730" s="198"/>
      <c r="S730" s="198"/>
      <c r="T730" s="198"/>
      <c r="U730" s="198"/>
      <c r="V730" s="198"/>
      <c r="W730" s="198"/>
      <c r="X730" s="198"/>
      <c r="Y730" s="198"/>
      <c r="Z730" s="198"/>
      <c r="AA730" s="198"/>
    </row>
    <row r="731">
      <c r="A731" s="201"/>
      <c r="B731" s="201"/>
      <c r="C731" s="198"/>
      <c r="D731" s="198"/>
      <c r="E731" s="198"/>
      <c r="F731" s="198"/>
      <c r="G731" s="198"/>
      <c r="H731" s="198"/>
      <c r="I731" s="198"/>
      <c r="J731" s="198"/>
      <c r="K731" s="198"/>
      <c r="M731" s="198"/>
      <c r="N731" s="198"/>
      <c r="O731" s="198"/>
      <c r="P731" s="198"/>
      <c r="Q731" s="198"/>
      <c r="R731" s="198"/>
      <c r="S731" s="198"/>
      <c r="T731" s="198"/>
      <c r="U731" s="198"/>
      <c r="V731" s="198"/>
      <c r="W731" s="198"/>
      <c r="X731" s="198"/>
      <c r="Y731" s="198"/>
      <c r="Z731" s="198"/>
      <c r="AA731" s="198"/>
    </row>
    <row r="732">
      <c r="A732" s="201"/>
      <c r="B732" s="201"/>
      <c r="C732" s="198"/>
      <c r="D732" s="198"/>
      <c r="E732" s="198"/>
      <c r="F732" s="198"/>
      <c r="G732" s="198"/>
      <c r="H732" s="198"/>
      <c r="I732" s="198"/>
      <c r="J732" s="198"/>
      <c r="K732" s="198"/>
      <c r="M732" s="198"/>
      <c r="N732" s="198"/>
      <c r="O732" s="198"/>
      <c r="P732" s="198"/>
      <c r="Q732" s="198"/>
      <c r="R732" s="198"/>
      <c r="S732" s="198"/>
      <c r="T732" s="198"/>
      <c r="U732" s="198"/>
      <c r="V732" s="198"/>
      <c r="W732" s="198"/>
      <c r="X732" s="198"/>
      <c r="Y732" s="198"/>
      <c r="Z732" s="198"/>
      <c r="AA732" s="198"/>
    </row>
    <row r="733">
      <c r="A733" s="201"/>
      <c r="B733" s="201"/>
      <c r="C733" s="198"/>
      <c r="D733" s="198"/>
      <c r="E733" s="198"/>
      <c r="F733" s="198"/>
      <c r="G733" s="198"/>
      <c r="H733" s="198"/>
      <c r="I733" s="198"/>
      <c r="J733" s="198"/>
      <c r="K733" s="198"/>
      <c r="M733" s="198"/>
      <c r="N733" s="198"/>
      <c r="O733" s="198"/>
      <c r="P733" s="198"/>
      <c r="Q733" s="198"/>
      <c r="R733" s="198"/>
      <c r="S733" s="198"/>
      <c r="T733" s="198"/>
      <c r="U733" s="198"/>
      <c r="V733" s="198"/>
      <c r="W733" s="198"/>
      <c r="X733" s="198"/>
      <c r="Y733" s="198"/>
      <c r="Z733" s="198"/>
      <c r="AA733" s="198"/>
    </row>
    <row r="734">
      <c r="A734" s="201"/>
      <c r="B734" s="201"/>
      <c r="C734" s="198"/>
      <c r="D734" s="198"/>
      <c r="E734" s="198"/>
      <c r="F734" s="198"/>
      <c r="G734" s="198"/>
      <c r="H734" s="198"/>
      <c r="I734" s="198"/>
      <c r="J734" s="198"/>
      <c r="K734" s="198"/>
      <c r="M734" s="198"/>
      <c r="N734" s="198"/>
      <c r="O734" s="198"/>
      <c r="P734" s="198"/>
      <c r="Q734" s="198"/>
      <c r="R734" s="198"/>
      <c r="S734" s="198"/>
      <c r="T734" s="198"/>
      <c r="U734" s="198"/>
      <c r="V734" s="198"/>
      <c r="W734" s="198"/>
      <c r="X734" s="198"/>
      <c r="Y734" s="198"/>
      <c r="Z734" s="198"/>
      <c r="AA734" s="198"/>
    </row>
    <row r="735">
      <c r="A735" s="201"/>
      <c r="B735" s="201"/>
      <c r="C735" s="198"/>
      <c r="D735" s="198"/>
      <c r="E735" s="198"/>
      <c r="F735" s="198"/>
      <c r="G735" s="198"/>
      <c r="H735" s="198"/>
      <c r="I735" s="198"/>
      <c r="J735" s="198"/>
      <c r="K735" s="198"/>
      <c r="M735" s="198"/>
      <c r="N735" s="198"/>
      <c r="O735" s="198"/>
      <c r="P735" s="198"/>
      <c r="Q735" s="198"/>
      <c r="R735" s="198"/>
      <c r="S735" s="198"/>
      <c r="T735" s="198"/>
      <c r="U735" s="198"/>
      <c r="V735" s="198"/>
      <c r="W735" s="198"/>
      <c r="X735" s="198"/>
      <c r="Y735" s="198"/>
      <c r="Z735" s="198"/>
      <c r="AA735" s="198"/>
    </row>
    <row r="736">
      <c r="A736" s="201"/>
      <c r="B736" s="201"/>
      <c r="C736" s="198"/>
      <c r="D736" s="198"/>
      <c r="E736" s="198"/>
      <c r="F736" s="198"/>
      <c r="G736" s="198"/>
      <c r="H736" s="198"/>
      <c r="I736" s="198"/>
      <c r="J736" s="198"/>
      <c r="K736" s="198"/>
      <c r="M736" s="198"/>
      <c r="N736" s="198"/>
      <c r="O736" s="198"/>
      <c r="P736" s="198"/>
      <c r="Q736" s="198"/>
      <c r="R736" s="198"/>
      <c r="S736" s="198"/>
      <c r="T736" s="198"/>
      <c r="U736" s="198"/>
      <c r="V736" s="198"/>
      <c r="W736" s="198"/>
      <c r="X736" s="198"/>
      <c r="Y736" s="198"/>
      <c r="Z736" s="198"/>
      <c r="AA736" s="198"/>
    </row>
    <row r="737">
      <c r="A737" s="201"/>
      <c r="B737" s="201"/>
      <c r="C737" s="198"/>
      <c r="D737" s="198"/>
      <c r="E737" s="198"/>
      <c r="F737" s="198"/>
      <c r="G737" s="198"/>
      <c r="H737" s="198"/>
      <c r="I737" s="198"/>
      <c r="J737" s="198"/>
      <c r="K737" s="198"/>
      <c r="M737" s="198"/>
      <c r="N737" s="198"/>
      <c r="O737" s="198"/>
      <c r="P737" s="198"/>
      <c r="Q737" s="198"/>
      <c r="R737" s="198"/>
      <c r="S737" s="198"/>
      <c r="T737" s="198"/>
      <c r="U737" s="198"/>
      <c r="V737" s="198"/>
      <c r="W737" s="198"/>
      <c r="X737" s="198"/>
      <c r="Y737" s="198"/>
      <c r="Z737" s="198"/>
      <c r="AA737" s="198"/>
    </row>
    <row r="738">
      <c r="A738" s="201"/>
      <c r="B738" s="201"/>
      <c r="C738" s="198"/>
      <c r="D738" s="198"/>
      <c r="E738" s="198"/>
      <c r="F738" s="198"/>
      <c r="G738" s="198"/>
      <c r="H738" s="198"/>
      <c r="I738" s="198"/>
      <c r="J738" s="198"/>
      <c r="K738" s="198"/>
      <c r="M738" s="198"/>
      <c r="N738" s="198"/>
      <c r="O738" s="198"/>
      <c r="P738" s="198"/>
      <c r="Q738" s="198"/>
      <c r="R738" s="198"/>
      <c r="S738" s="198"/>
      <c r="T738" s="198"/>
      <c r="U738" s="198"/>
      <c r="V738" s="198"/>
      <c r="W738" s="198"/>
      <c r="X738" s="198"/>
      <c r="Y738" s="198"/>
      <c r="Z738" s="198"/>
      <c r="AA738" s="198"/>
    </row>
    <row r="739">
      <c r="A739" s="201"/>
      <c r="B739" s="201"/>
      <c r="C739" s="198"/>
      <c r="D739" s="198"/>
      <c r="E739" s="198"/>
      <c r="F739" s="198"/>
      <c r="G739" s="198"/>
      <c r="H739" s="198"/>
      <c r="I739" s="198"/>
      <c r="J739" s="198"/>
      <c r="K739" s="198"/>
      <c r="M739" s="198"/>
      <c r="N739" s="198"/>
      <c r="O739" s="198"/>
      <c r="P739" s="198"/>
      <c r="Q739" s="198"/>
      <c r="R739" s="198"/>
      <c r="S739" s="198"/>
      <c r="T739" s="198"/>
      <c r="U739" s="198"/>
      <c r="V739" s="198"/>
      <c r="W739" s="198"/>
      <c r="X739" s="198"/>
      <c r="Y739" s="198"/>
      <c r="Z739" s="198"/>
      <c r="AA739" s="198"/>
    </row>
    <row r="740">
      <c r="A740" s="201"/>
      <c r="B740" s="201"/>
      <c r="C740" s="198"/>
      <c r="D740" s="198"/>
      <c r="E740" s="198"/>
      <c r="F740" s="198"/>
      <c r="G740" s="198"/>
      <c r="H740" s="198"/>
      <c r="I740" s="198"/>
      <c r="J740" s="198"/>
      <c r="K740" s="198"/>
      <c r="M740" s="198"/>
      <c r="N740" s="198"/>
      <c r="O740" s="198"/>
      <c r="P740" s="198"/>
      <c r="Q740" s="198"/>
      <c r="R740" s="198"/>
      <c r="S740" s="198"/>
      <c r="T740" s="198"/>
      <c r="U740" s="198"/>
      <c r="V740" s="198"/>
      <c r="W740" s="198"/>
      <c r="X740" s="198"/>
      <c r="Y740" s="198"/>
      <c r="Z740" s="198"/>
      <c r="AA740" s="198"/>
    </row>
    <row r="741">
      <c r="A741" s="201"/>
      <c r="B741" s="201"/>
      <c r="C741" s="198"/>
      <c r="D741" s="198"/>
      <c r="E741" s="198"/>
      <c r="F741" s="198"/>
      <c r="G741" s="198"/>
      <c r="H741" s="198"/>
      <c r="I741" s="198"/>
      <c r="J741" s="198"/>
      <c r="K741" s="198"/>
      <c r="M741" s="198"/>
      <c r="N741" s="198"/>
      <c r="O741" s="198"/>
      <c r="P741" s="198"/>
      <c r="Q741" s="198"/>
      <c r="R741" s="198"/>
      <c r="S741" s="198"/>
      <c r="T741" s="198"/>
      <c r="U741" s="198"/>
      <c r="V741" s="198"/>
      <c r="W741" s="198"/>
      <c r="X741" s="198"/>
      <c r="Y741" s="198"/>
      <c r="Z741" s="198"/>
      <c r="AA741" s="198"/>
    </row>
    <row r="742">
      <c r="A742" s="201"/>
      <c r="B742" s="201"/>
      <c r="C742" s="198"/>
      <c r="D742" s="198"/>
      <c r="E742" s="198"/>
      <c r="F742" s="198"/>
      <c r="G742" s="198"/>
      <c r="H742" s="198"/>
      <c r="I742" s="198"/>
      <c r="J742" s="198"/>
      <c r="K742" s="198"/>
      <c r="M742" s="198"/>
      <c r="N742" s="198"/>
      <c r="O742" s="198"/>
      <c r="P742" s="198"/>
      <c r="Q742" s="198"/>
      <c r="R742" s="198"/>
      <c r="S742" s="198"/>
      <c r="T742" s="198"/>
      <c r="U742" s="198"/>
      <c r="V742" s="198"/>
      <c r="W742" s="198"/>
      <c r="X742" s="198"/>
      <c r="Y742" s="198"/>
      <c r="Z742" s="198"/>
      <c r="AA742" s="198"/>
    </row>
    <row r="743">
      <c r="A743" s="201"/>
      <c r="B743" s="201"/>
      <c r="C743" s="198"/>
      <c r="D743" s="198"/>
      <c r="E743" s="198"/>
      <c r="F743" s="198"/>
      <c r="G743" s="198"/>
      <c r="H743" s="198"/>
      <c r="I743" s="198"/>
      <c r="J743" s="198"/>
      <c r="K743" s="198"/>
      <c r="M743" s="198"/>
      <c r="N743" s="198"/>
      <c r="O743" s="198"/>
      <c r="P743" s="198"/>
      <c r="Q743" s="198"/>
      <c r="R743" s="198"/>
      <c r="S743" s="198"/>
      <c r="T743" s="198"/>
      <c r="U743" s="198"/>
      <c r="V743" s="198"/>
      <c r="W743" s="198"/>
      <c r="X743" s="198"/>
      <c r="Y743" s="198"/>
      <c r="Z743" s="198"/>
      <c r="AA743" s="198"/>
    </row>
    <row r="744">
      <c r="A744" s="201"/>
      <c r="B744" s="201"/>
      <c r="C744" s="198"/>
      <c r="D744" s="198"/>
      <c r="E744" s="198"/>
      <c r="F744" s="198"/>
      <c r="G744" s="198"/>
      <c r="H744" s="198"/>
      <c r="I744" s="198"/>
      <c r="J744" s="198"/>
      <c r="K744" s="198"/>
      <c r="M744" s="198"/>
      <c r="N744" s="198"/>
      <c r="O744" s="198"/>
      <c r="P744" s="198"/>
      <c r="Q744" s="198"/>
      <c r="R744" s="198"/>
      <c r="S744" s="198"/>
      <c r="T744" s="198"/>
      <c r="U744" s="198"/>
      <c r="V744" s="198"/>
      <c r="W744" s="198"/>
      <c r="X744" s="198"/>
      <c r="Y744" s="198"/>
      <c r="Z744" s="198"/>
      <c r="AA744" s="198"/>
    </row>
    <row r="745">
      <c r="A745" s="201"/>
      <c r="B745" s="201"/>
      <c r="C745" s="198"/>
      <c r="D745" s="198"/>
      <c r="E745" s="198"/>
      <c r="F745" s="198"/>
      <c r="G745" s="198"/>
      <c r="H745" s="198"/>
      <c r="I745" s="198"/>
      <c r="J745" s="198"/>
      <c r="K745" s="198"/>
      <c r="M745" s="198"/>
      <c r="N745" s="198"/>
      <c r="O745" s="198"/>
      <c r="P745" s="198"/>
      <c r="Q745" s="198"/>
      <c r="R745" s="198"/>
      <c r="S745" s="198"/>
      <c r="T745" s="198"/>
      <c r="U745" s="198"/>
      <c r="V745" s="198"/>
      <c r="W745" s="198"/>
      <c r="X745" s="198"/>
      <c r="Y745" s="198"/>
      <c r="Z745" s="198"/>
      <c r="AA745" s="198"/>
    </row>
    <row r="746">
      <c r="A746" s="201"/>
      <c r="B746" s="201"/>
      <c r="C746" s="198"/>
      <c r="D746" s="198"/>
      <c r="E746" s="198"/>
      <c r="F746" s="198"/>
      <c r="G746" s="198"/>
      <c r="H746" s="198"/>
      <c r="I746" s="198"/>
      <c r="J746" s="198"/>
      <c r="K746" s="198"/>
      <c r="M746" s="198"/>
      <c r="N746" s="198"/>
      <c r="O746" s="198"/>
      <c r="P746" s="198"/>
      <c r="Q746" s="198"/>
      <c r="R746" s="198"/>
      <c r="S746" s="198"/>
      <c r="T746" s="198"/>
      <c r="U746" s="198"/>
      <c r="V746" s="198"/>
      <c r="W746" s="198"/>
      <c r="X746" s="198"/>
      <c r="Y746" s="198"/>
      <c r="Z746" s="198"/>
      <c r="AA746" s="198"/>
    </row>
    <row r="747">
      <c r="A747" s="201"/>
      <c r="B747" s="201"/>
      <c r="C747" s="198"/>
      <c r="D747" s="198"/>
      <c r="E747" s="198"/>
      <c r="F747" s="198"/>
      <c r="G747" s="198"/>
      <c r="H747" s="198"/>
      <c r="I747" s="198"/>
      <c r="J747" s="198"/>
      <c r="K747" s="198"/>
      <c r="M747" s="198"/>
      <c r="N747" s="198"/>
      <c r="O747" s="198"/>
      <c r="P747" s="198"/>
      <c r="Q747" s="198"/>
      <c r="R747" s="198"/>
      <c r="S747" s="198"/>
      <c r="T747" s="198"/>
      <c r="U747" s="198"/>
      <c r="V747" s="198"/>
      <c r="W747" s="198"/>
      <c r="X747" s="198"/>
      <c r="Y747" s="198"/>
      <c r="Z747" s="198"/>
      <c r="AA747" s="198"/>
    </row>
    <row r="748">
      <c r="A748" s="201"/>
      <c r="B748" s="201"/>
      <c r="C748" s="198"/>
      <c r="D748" s="198"/>
      <c r="E748" s="198"/>
      <c r="F748" s="198"/>
      <c r="G748" s="198"/>
      <c r="H748" s="198"/>
      <c r="I748" s="198"/>
      <c r="J748" s="198"/>
      <c r="K748" s="198"/>
      <c r="M748" s="198"/>
      <c r="N748" s="198"/>
      <c r="O748" s="198"/>
      <c r="P748" s="198"/>
      <c r="Q748" s="198"/>
      <c r="R748" s="198"/>
      <c r="S748" s="198"/>
      <c r="T748" s="198"/>
      <c r="U748" s="198"/>
      <c r="V748" s="198"/>
      <c r="W748" s="198"/>
      <c r="X748" s="198"/>
      <c r="Y748" s="198"/>
      <c r="Z748" s="198"/>
      <c r="AA748" s="198"/>
    </row>
    <row r="749">
      <c r="A749" s="201"/>
      <c r="B749" s="201"/>
      <c r="C749" s="198"/>
      <c r="D749" s="198"/>
      <c r="E749" s="198"/>
      <c r="F749" s="198"/>
      <c r="G749" s="198"/>
      <c r="H749" s="198"/>
      <c r="I749" s="198"/>
      <c r="J749" s="198"/>
      <c r="K749" s="198"/>
      <c r="M749" s="198"/>
      <c r="N749" s="198"/>
      <c r="O749" s="198"/>
      <c r="P749" s="198"/>
      <c r="Q749" s="198"/>
      <c r="R749" s="198"/>
      <c r="S749" s="198"/>
      <c r="T749" s="198"/>
      <c r="U749" s="198"/>
      <c r="V749" s="198"/>
      <c r="W749" s="198"/>
      <c r="X749" s="198"/>
      <c r="Y749" s="198"/>
      <c r="Z749" s="198"/>
      <c r="AA749" s="198"/>
    </row>
    <row r="750">
      <c r="A750" s="201"/>
      <c r="B750" s="201"/>
      <c r="C750" s="198"/>
      <c r="D750" s="198"/>
      <c r="E750" s="198"/>
      <c r="F750" s="198"/>
      <c r="G750" s="198"/>
      <c r="H750" s="198"/>
      <c r="I750" s="198"/>
      <c r="J750" s="198"/>
      <c r="K750" s="198"/>
      <c r="M750" s="198"/>
      <c r="N750" s="198"/>
      <c r="O750" s="198"/>
      <c r="P750" s="198"/>
      <c r="Q750" s="198"/>
      <c r="R750" s="198"/>
      <c r="S750" s="198"/>
      <c r="T750" s="198"/>
      <c r="U750" s="198"/>
      <c r="V750" s="198"/>
      <c r="W750" s="198"/>
      <c r="X750" s="198"/>
      <c r="Y750" s="198"/>
      <c r="Z750" s="198"/>
      <c r="AA750" s="198"/>
    </row>
    <row r="751">
      <c r="A751" s="201"/>
      <c r="B751" s="201"/>
      <c r="C751" s="198"/>
      <c r="D751" s="198"/>
      <c r="E751" s="198"/>
      <c r="F751" s="198"/>
      <c r="G751" s="198"/>
      <c r="H751" s="198"/>
      <c r="I751" s="198"/>
      <c r="J751" s="198"/>
      <c r="K751" s="198"/>
      <c r="M751" s="198"/>
      <c r="N751" s="198"/>
      <c r="O751" s="198"/>
      <c r="P751" s="198"/>
      <c r="Q751" s="198"/>
      <c r="R751" s="198"/>
      <c r="S751" s="198"/>
      <c r="T751" s="198"/>
      <c r="U751" s="198"/>
      <c r="V751" s="198"/>
      <c r="W751" s="198"/>
      <c r="X751" s="198"/>
      <c r="Y751" s="198"/>
      <c r="Z751" s="198"/>
      <c r="AA751" s="198"/>
    </row>
    <row r="752">
      <c r="A752" s="201"/>
      <c r="B752" s="201"/>
      <c r="C752" s="198"/>
      <c r="D752" s="198"/>
      <c r="E752" s="198"/>
      <c r="F752" s="198"/>
      <c r="G752" s="198"/>
      <c r="H752" s="198"/>
      <c r="I752" s="198"/>
      <c r="J752" s="198"/>
      <c r="K752" s="198"/>
      <c r="M752" s="198"/>
      <c r="N752" s="198"/>
      <c r="O752" s="198"/>
      <c r="P752" s="198"/>
      <c r="Q752" s="198"/>
      <c r="R752" s="198"/>
      <c r="S752" s="198"/>
      <c r="T752" s="198"/>
      <c r="U752" s="198"/>
      <c r="V752" s="198"/>
      <c r="W752" s="198"/>
      <c r="X752" s="198"/>
      <c r="Y752" s="198"/>
      <c r="Z752" s="198"/>
      <c r="AA752" s="198"/>
    </row>
    <row r="753">
      <c r="A753" s="201"/>
      <c r="B753" s="201"/>
      <c r="C753" s="198"/>
      <c r="D753" s="198"/>
      <c r="E753" s="198"/>
      <c r="F753" s="198"/>
      <c r="G753" s="198"/>
      <c r="H753" s="198"/>
      <c r="I753" s="198"/>
      <c r="J753" s="198"/>
      <c r="K753" s="198"/>
      <c r="M753" s="198"/>
      <c r="N753" s="198"/>
      <c r="O753" s="198"/>
      <c r="P753" s="198"/>
      <c r="Q753" s="198"/>
      <c r="R753" s="198"/>
      <c r="S753" s="198"/>
      <c r="T753" s="198"/>
      <c r="U753" s="198"/>
      <c r="V753" s="198"/>
      <c r="W753" s="198"/>
      <c r="X753" s="198"/>
      <c r="Y753" s="198"/>
      <c r="Z753" s="198"/>
      <c r="AA753" s="198"/>
    </row>
    <row r="754">
      <c r="A754" s="201"/>
      <c r="B754" s="201"/>
      <c r="C754" s="198"/>
      <c r="D754" s="198"/>
      <c r="E754" s="198"/>
      <c r="F754" s="198"/>
      <c r="G754" s="198"/>
      <c r="H754" s="198"/>
      <c r="I754" s="198"/>
      <c r="J754" s="198"/>
      <c r="K754" s="198"/>
      <c r="M754" s="198"/>
      <c r="N754" s="198"/>
      <c r="O754" s="198"/>
      <c r="P754" s="198"/>
      <c r="Q754" s="198"/>
      <c r="R754" s="198"/>
      <c r="S754" s="198"/>
      <c r="T754" s="198"/>
      <c r="U754" s="198"/>
      <c r="V754" s="198"/>
      <c r="W754" s="198"/>
      <c r="X754" s="198"/>
      <c r="Y754" s="198"/>
      <c r="Z754" s="198"/>
      <c r="AA754" s="198"/>
    </row>
    <row r="755">
      <c r="A755" s="201"/>
      <c r="B755" s="201"/>
      <c r="C755" s="198"/>
      <c r="D755" s="198"/>
      <c r="E755" s="198"/>
      <c r="F755" s="198"/>
      <c r="G755" s="198"/>
      <c r="H755" s="198"/>
      <c r="I755" s="198"/>
      <c r="J755" s="198"/>
      <c r="K755" s="198"/>
      <c r="M755" s="198"/>
      <c r="N755" s="198"/>
      <c r="O755" s="198"/>
      <c r="P755" s="198"/>
      <c r="Q755" s="198"/>
      <c r="R755" s="198"/>
      <c r="S755" s="198"/>
      <c r="T755" s="198"/>
      <c r="U755" s="198"/>
      <c r="V755" s="198"/>
      <c r="W755" s="198"/>
      <c r="X755" s="198"/>
      <c r="Y755" s="198"/>
      <c r="Z755" s="198"/>
      <c r="AA755" s="198"/>
    </row>
    <row r="756">
      <c r="A756" s="201"/>
      <c r="B756" s="201"/>
      <c r="C756" s="198"/>
      <c r="D756" s="198"/>
      <c r="E756" s="198"/>
      <c r="F756" s="198"/>
      <c r="G756" s="198"/>
      <c r="H756" s="198"/>
      <c r="I756" s="198"/>
      <c r="J756" s="198"/>
      <c r="K756" s="198"/>
      <c r="M756" s="198"/>
      <c r="N756" s="198"/>
      <c r="O756" s="198"/>
      <c r="P756" s="198"/>
      <c r="Q756" s="198"/>
      <c r="R756" s="198"/>
      <c r="S756" s="198"/>
      <c r="T756" s="198"/>
      <c r="U756" s="198"/>
      <c r="V756" s="198"/>
      <c r="W756" s="198"/>
      <c r="X756" s="198"/>
      <c r="Y756" s="198"/>
      <c r="Z756" s="198"/>
      <c r="AA756" s="198"/>
    </row>
    <row r="757">
      <c r="A757" s="201"/>
      <c r="B757" s="201"/>
      <c r="C757" s="198"/>
      <c r="D757" s="198"/>
      <c r="E757" s="198"/>
      <c r="F757" s="198"/>
      <c r="G757" s="198"/>
      <c r="H757" s="198"/>
      <c r="I757" s="198"/>
      <c r="J757" s="198"/>
      <c r="K757" s="198"/>
      <c r="M757" s="198"/>
      <c r="N757" s="198"/>
      <c r="O757" s="198"/>
      <c r="P757" s="198"/>
      <c r="Q757" s="198"/>
      <c r="R757" s="198"/>
      <c r="S757" s="198"/>
      <c r="T757" s="198"/>
      <c r="U757" s="198"/>
      <c r="V757" s="198"/>
      <c r="W757" s="198"/>
      <c r="X757" s="198"/>
      <c r="Y757" s="198"/>
      <c r="Z757" s="198"/>
      <c r="AA757" s="198"/>
    </row>
    <row r="758">
      <c r="A758" s="201"/>
      <c r="B758" s="201"/>
      <c r="C758" s="198"/>
      <c r="D758" s="198"/>
      <c r="E758" s="198"/>
      <c r="F758" s="198"/>
      <c r="G758" s="198"/>
      <c r="H758" s="198"/>
      <c r="I758" s="198"/>
      <c r="J758" s="198"/>
      <c r="K758" s="198"/>
      <c r="M758" s="198"/>
      <c r="N758" s="198"/>
      <c r="O758" s="198"/>
      <c r="P758" s="198"/>
      <c r="Q758" s="198"/>
      <c r="R758" s="198"/>
      <c r="S758" s="198"/>
      <c r="T758" s="198"/>
      <c r="U758" s="198"/>
      <c r="V758" s="198"/>
      <c r="W758" s="198"/>
      <c r="X758" s="198"/>
      <c r="Y758" s="198"/>
      <c r="Z758" s="198"/>
      <c r="AA758" s="198"/>
    </row>
    <row r="759">
      <c r="A759" s="201"/>
      <c r="B759" s="201"/>
      <c r="C759" s="198"/>
      <c r="D759" s="198"/>
      <c r="E759" s="198"/>
      <c r="F759" s="198"/>
      <c r="G759" s="198"/>
      <c r="H759" s="198"/>
      <c r="I759" s="198"/>
      <c r="J759" s="198"/>
      <c r="K759" s="198"/>
      <c r="M759" s="198"/>
      <c r="N759" s="198"/>
      <c r="O759" s="198"/>
      <c r="P759" s="198"/>
      <c r="Q759" s="198"/>
      <c r="R759" s="198"/>
      <c r="S759" s="198"/>
      <c r="T759" s="198"/>
      <c r="U759" s="198"/>
      <c r="V759" s="198"/>
      <c r="W759" s="198"/>
      <c r="X759" s="198"/>
      <c r="Y759" s="198"/>
      <c r="Z759" s="198"/>
      <c r="AA759" s="198"/>
    </row>
    <row r="760">
      <c r="A760" s="201"/>
      <c r="B760" s="201"/>
      <c r="C760" s="198"/>
      <c r="D760" s="198"/>
      <c r="E760" s="198"/>
      <c r="F760" s="198"/>
      <c r="G760" s="198"/>
      <c r="H760" s="198"/>
      <c r="I760" s="198"/>
      <c r="J760" s="198"/>
      <c r="K760" s="198"/>
      <c r="M760" s="198"/>
      <c r="N760" s="198"/>
      <c r="O760" s="198"/>
      <c r="P760" s="198"/>
      <c r="Q760" s="198"/>
      <c r="R760" s="198"/>
      <c r="S760" s="198"/>
      <c r="T760" s="198"/>
      <c r="U760" s="198"/>
      <c r="V760" s="198"/>
      <c r="W760" s="198"/>
      <c r="X760" s="198"/>
      <c r="Y760" s="198"/>
      <c r="Z760" s="198"/>
      <c r="AA760" s="198"/>
    </row>
    <row r="761">
      <c r="A761" s="201"/>
      <c r="B761" s="201"/>
      <c r="C761" s="198"/>
      <c r="D761" s="198"/>
      <c r="E761" s="198"/>
      <c r="F761" s="198"/>
      <c r="G761" s="198"/>
      <c r="H761" s="198"/>
      <c r="I761" s="198"/>
      <c r="J761" s="198"/>
      <c r="K761" s="198"/>
      <c r="M761" s="198"/>
      <c r="N761" s="198"/>
      <c r="O761" s="198"/>
      <c r="P761" s="198"/>
      <c r="Q761" s="198"/>
      <c r="R761" s="198"/>
      <c r="S761" s="198"/>
      <c r="T761" s="198"/>
      <c r="U761" s="198"/>
      <c r="V761" s="198"/>
      <c r="W761" s="198"/>
      <c r="X761" s="198"/>
      <c r="Y761" s="198"/>
      <c r="Z761" s="198"/>
      <c r="AA761" s="198"/>
    </row>
    <row r="762">
      <c r="A762" s="201"/>
      <c r="B762" s="201"/>
      <c r="C762" s="198"/>
      <c r="D762" s="198"/>
      <c r="E762" s="198"/>
      <c r="F762" s="198"/>
      <c r="G762" s="198"/>
      <c r="H762" s="198"/>
      <c r="I762" s="198"/>
      <c r="J762" s="198"/>
      <c r="K762" s="198"/>
      <c r="M762" s="198"/>
      <c r="N762" s="198"/>
      <c r="O762" s="198"/>
      <c r="P762" s="198"/>
      <c r="Q762" s="198"/>
      <c r="R762" s="198"/>
      <c r="S762" s="198"/>
      <c r="T762" s="198"/>
      <c r="U762" s="198"/>
      <c r="V762" s="198"/>
      <c r="W762" s="198"/>
      <c r="X762" s="198"/>
      <c r="Y762" s="198"/>
      <c r="Z762" s="198"/>
      <c r="AA762" s="198"/>
    </row>
    <row r="763">
      <c r="A763" s="201"/>
      <c r="B763" s="201"/>
      <c r="C763" s="198"/>
      <c r="D763" s="198"/>
      <c r="E763" s="198"/>
      <c r="F763" s="198"/>
      <c r="G763" s="198"/>
      <c r="H763" s="198"/>
      <c r="I763" s="198"/>
      <c r="J763" s="198"/>
      <c r="K763" s="198"/>
      <c r="M763" s="198"/>
      <c r="N763" s="198"/>
      <c r="O763" s="198"/>
      <c r="P763" s="198"/>
      <c r="Q763" s="198"/>
      <c r="R763" s="198"/>
      <c r="S763" s="198"/>
      <c r="T763" s="198"/>
      <c r="U763" s="198"/>
      <c r="V763" s="198"/>
      <c r="W763" s="198"/>
      <c r="X763" s="198"/>
      <c r="Y763" s="198"/>
      <c r="Z763" s="198"/>
      <c r="AA763" s="198"/>
    </row>
    <row r="764">
      <c r="A764" s="201"/>
      <c r="B764" s="201"/>
      <c r="C764" s="198"/>
      <c r="D764" s="198"/>
      <c r="E764" s="198"/>
      <c r="F764" s="198"/>
      <c r="G764" s="198"/>
      <c r="H764" s="198"/>
      <c r="I764" s="198"/>
      <c r="J764" s="198"/>
      <c r="K764" s="198"/>
      <c r="M764" s="198"/>
      <c r="N764" s="198"/>
      <c r="O764" s="198"/>
      <c r="P764" s="198"/>
      <c r="Q764" s="198"/>
      <c r="R764" s="198"/>
      <c r="S764" s="198"/>
      <c r="T764" s="198"/>
      <c r="U764" s="198"/>
      <c r="V764" s="198"/>
      <c r="W764" s="198"/>
      <c r="X764" s="198"/>
      <c r="Y764" s="198"/>
      <c r="Z764" s="198"/>
      <c r="AA764" s="198"/>
    </row>
    <row r="765">
      <c r="A765" s="201"/>
      <c r="B765" s="201"/>
      <c r="C765" s="198"/>
      <c r="D765" s="198"/>
      <c r="E765" s="198"/>
      <c r="F765" s="198"/>
      <c r="G765" s="198"/>
      <c r="H765" s="198"/>
      <c r="I765" s="198"/>
      <c r="J765" s="198"/>
      <c r="K765" s="198"/>
      <c r="M765" s="198"/>
      <c r="N765" s="198"/>
      <c r="O765" s="198"/>
      <c r="P765" s="198"/>
      <c r="Q765" s="198"/>
      <c r="R765" s="198"/>
      <c r="S765" s="198"/>
      <c r="T765" s="198"/>
      <c r="U765" s="198"/>
      <c r="V765" s="198"/>
      <c r="W765" s="198"/>
      <c r="X765" s="198"/>
      <c r="Y765" s="198"/>
      <c r="Z765" s="198"/>
      <c r="AA765" s="198"/>
    </row>
    <row r="766">
      <c r="A766" s="201"/>
      <c r="B766" s="201"/>
      <c r="C766" s="198"/>
      <c r="D766" s="198"/>
      <c r="E766" s="198"/>
      <c r="F766" s="198"/>
      <c r="G766" s="198"/>
      <c r="H766" s="198"/>
      <c r="I766" s="198"/>
      <c r="J766" s="198"/>
      <c r="K766" s="198"/>
      <c r="M766" s="198"/>
      <c r="N766" s="198"/>
      <c r="O766" s="198"/>
      <c r="P766" s="198"/>
      <c r="Q766" s="198"/>
      <c r="R766" s="198"/>
      <c r="S766" s="198"/>
      <c r="T766" s="198"/>
      <c r="U766" s="198"/>
      <c r="V766" s="198"/>
      <c r="W766" s="198"/>
      <c r="X766" s="198"/>
      <c r="Y766" s="198"/>
      <c r="Z766" s="198"/>
      <c r="AA766" s="198"/>
    </row>
    <row r="767">
      <c r="A767" s="201"/>
      <c r="B767" s="201"/>
      <c r="C767" s="198"/>
      <c r="D767" s="198"/>
      <c r="E767" s="198"/>
      <c r="F767" s="198"/>
      <c r="G767" s="198"/>
      <c r="H767" s="198"/>
      <c r="I767" s="198"/>
      <c r="J767" s="198"/>
      <c r="K767" s="198"/>
      <c r="M767" s="198"/>
      <c r="N767" s="198"/>
      <c r="O767" s="198"/>
      <c r="P767" s="198"/>
      <c r="Q767" s="198"/>
      <c r="R767" s="198"/>
      <c r="S767" s="198"/>
      <c r="T767" s="198"/>
      <c r="U767" s="198"/>
      <c r="V767" s="198"/>
      <c r="W767" s="198"/>
      <c r="X767" s="198"/>
      <c r="Y767" s="198"/>
      <c r="Z767" s="198"/>
      <c r="AA767" s="198"/>
    </row>
    <row r="768">
      <c r="A768" s="201"/>
      <c r="B768" s="201"/>
      <c r="C768" s="198"/>
      <c r="D768" s="198"/>
      <c r="E768" s="198"/>
      <c r="F768" s="198"/>
      <c r="G768" s="198"/>
      <c r="H768" s="198"/>
      <c r="I768" s="198"/>
      <c r="J768" s="198"/>
      <c r="K768" s="198"/>
      <c r="M768" s="198"/>
      <c r="N768" s="198"/>
      <c r="O768" s="198"/>
      <c r="P768" s="198"/>
      <c r="Q768" s="198"/>
      <c r="R768" s="198"/>
      <c r="S768" s="198"/>
      <c r="T768" s="198"/>
      <c r="U768" s="198"/>
      <c r="V768" s="198"/>
      <c r="W768" s="198"/>
      <c r="X768" s="198"/>
      <c r="Y768" s="198"/>
      <c r="Z768" s="198"/>
      <c r="AA768" s="198"/>
    </row>
    <row r="769">
      <c r="A769" s="201"/>
      <c r="B769" s="201"/>
      <c r="C769" s="198"/>
      <c r="D769" s="198"/>
      <c r="E769" s="198"/>
      <c r="F769" s="198"/>
      <c r="G769" s="198"/>
      <c r="H769" s="198"/>
      <c r="I769" s="198"/>
      <c r="J769" s="198"/>
      <c r="K769" s="198"/>
      <c r="M769" s="198"/>
      <c r="N769" s="198"/>
      <c r="O769" s="198"/>
      <c r="P769" s="198"/>
      <c r="Q769" s="198"/>
      <c r="R769" s="198"/>
      <c r="S769" s="198"/>
      <c r="T769" s="198"/>
      <c r="U769" s="198"/>
      <c r="V769" s="198"/>
      <c r="W769" s="198"/>
      <c r="X769" s="198"/>
      <c r="Y769" s="198"/>
      <c r="Z769" s="198"/>
      <c r="AA769" s="198"/>
    </row>
    <row r="770">
      <c r="A770" s="201"/>
      <c r="B770" s="201"/>
      <c r="C770" s="198"/>
      <c r="D770" s="198"/>
      <c r="E770" s="198"/>
      <c r="F770" s="198"/>
      <c r="G770" s="198"/>
      <c r="H770" s="198"/>
      <c r="I770" s="198"/>
      <c r="J770" s="198"/>
      <c r="K770" s="198"/>
      <c r="M770" s="198"/>
      <c r="N770" s="198"/>
      <c r="O770" s="198"/>
      <c r="P770" s="198"/>
      <c r="Q770" s="198"/>
      <c r="R770" s="198"/>
      <c r="S770" s="198"/>
      <c r="T770" s="198"/>
      <c r="U770" s="198"/>
      <c r="V770" s="198"/>
      <c r="W770" s="198"/>
      <c r="X770" s="198"/>
      <c r="Y770" s="198"/>
      <c r="Z770" s="198"/>
      <c r="AA770" s="198"/>
    </row>
    <row r="771">
      <c r="A771" s="201"/>
      <c r="B771" s="201"/>
      <c r="C771" s="198"/>
      <c r="D771" s="198"/>
      <c r="E771" s="198"/>
      <c r="F771" s="198"/>
      <c r="G771" s="198"/>
      <c r="H771" s="198"/>
      <c r="I771" s="198"/>
      <c r="J771" s="198"/>
      <c r="K771" s="198"/>
      <c r="M771" s="198"/>
      <c r="N771" s="198"/>
      <c r="O771" s="198"/>
      <c r="P771" s="198"/>
      <c r="Q771" s="198"/>
      <c r="R771" s="198"/>
      <c r="S771" s="198"/>
      <c r="T771" s="198"/>
      <c r="U771" s="198"/>
      <c r="V771" s="198"/>
      <c r="W771" s="198"/>
      <c r="X771" s="198"/>
      <c r="Y771" s="198"/>
      <c r="Z771" s="198"/>
      <c r="AA771" s="198"/>
    </row>
    <row r="772">
      <c r="A772" s="201"/>
      <c r="B772" s="201"/>
      <c r="C772" s="198"/>
      <c r="D772" s="198"/>
      <c r="E772" s="198"/>
      <c r="F772" s="198"/>
      <c r="G772" s="198"/>
      <c r="H772" s="198"/>
      <c r="I772" s="198"/>
      <c r="J772" s="198"/>
      <c r="K772" s="198"/>
      <c r="M772" s="198"/>
      <c r="N772" s="198"/>
      <c r="O772" s="198"/>
      <c r="P772" s="198"/>
      <c r="Q772" s="198"/>
      <c r="R772" s="198"/>
      <c r="S772" s="198"/>
      <c r="T772" s="198"/>
      <c r="U772" s="198"/>
      <c r="V772" s="198"/>
      <c r="W772" s="198"/>
      <c r="X772" s="198"/>
      <c r="Y772" s="198"/>
      <c r="Z772" s="198"/>
      <c r="AA772" s="198"/>
    </row>
    <row r="773">
      <c r="A773" s="201"/>
      <c r="B773" s="201"/>
      <c r="C773" s="198"/>
      <c r="D773" s="198"/>
      <c r="E773" s="198"/>
      <c r="F773" s="198"/>
      <c r="G773" s="198"/>
      <c r="H773" s="198"/>
      <c r="I773" s="198"/>
      <c r="J773" s="198"/>
      <c r="K773" s="198"/>
      <c r="M773" s="198"/>
      <c r="N773" s="198"/>
      <c r="O773" s="198"/>
      <c r="P773" s="198"/>
      <c r="Q773" s="198"/>
      <c r="R773" s="198"/>
      <c r="S773" s="198"/>
      <c r="T773" s="198"/>
      <c r="U773" s="198"/>
      <c r="V773" s="198"/>
      <c r="W773" s="198"/>
      <c r="X773" s="198"/>
      <c r="Y773" s="198"/>
      <c r="Z773" s="198"/>
      <c r="AA773" s="198"/>
    </row>
    <row r="774">
      <c r="A774" s="201"/>
      <c r="B774" s="201"/>
      <c r="C774" s="198"/>
      <c r="D774" s="198"/>
      <c r="E774" s="198"/>
      <c r="F774" s="198"/>
      <c r="G774" s="198"/>
      <c r="H774" s="198"/>
      <c r="I774" s="198"/>
      <c r="J774" s="198"/>
      <c r="K774" s="198"/>
      <c r="M774" s="198"/>
      <c r="N774" s="198"/>
      <c r="O774" s="198"/>
      <c r="P774" s="198"/>
      <c r="Q774" s="198"/>
      <c r="R774" s="198"/>
      <c r="S774" s="198"/>
      <c r="T774" s="198"/>
      <c r="U774" s="198"/>
      <c r="V774" s="198"/>
      <c r="W774" s="198"/>
      <c r="X774" s="198"/>
      <c r="Y774" s="198"/>
      <c r="Z774" s="198"/>
      <c r="AA774" s="198"/>
    </row>
    <row r="775">
      <c r="A775" s="201"/>
      <c r="B775" s="201"/>
      <c r="C775" s="198"/>
      <c r="D775" s="198"/>
      <c r="E775" s="198"/>
      <c r="F775" s="198"/>
      <c r="G775" s="198"/>
      <c r="H775" s="198"/>
      <c r="I775" s="198"/>
      <c r="J775" s="198"/>
      <c r="K775" s="198"/>
      <c r="M775" s="198"/>
      <c r="N775" s="198"/>
      <c r="O775" s="198"/>
      <c r="P775" s="198"/>
      <c r="Q775" s="198"/>
      <c r="R775" s="198"/>
      <c r="S775" s="198"/>
      <c r="T775" s="198"/>
      <c r="U775" s="198"/>
      <c r="V775" s="198"/>
      <c r="W775" s="198"/>
      <c r="X775" s="198"/>
      <c r="Y775" s="198"/>
      <c r="Z775" s="198"/>
      <c r="AA775" s="198"/>
    </row>
    <row r="776">
      <c r="A776" s="201"/>
      <c r="B776" s="201"/>
      <c r="C776" s="198"/>
      <c r="D776" s="198"/>
      <c r="E776" s="198"/>
      <c r="F776" s="198"/>
      <c r="G776" s="198"/>
      <c r="H776" s="198"/>
      <c r="I776" s="198"/>
      <c r="J776" s="198"/>
      <c r="K776" s="198"/>
      <c r="M776" s="198"/>
      <c r="N776" s="198"/>
      <c r="O776" s="198"/>
      <c r="P776" s="198"/>
      <c r="Q776" s="198"/>
      <c r="R776" s="198"/>
      <c r="S776" s="198"/>
      <c r="T776" s="198"/>
      <c r="U776" s="198"/>
      <c r="V776" s="198"/>
      <c r="W776" s="198"/>
      <c r="X776" s="198"/>
      <c r="Y776" s="198"/>
      <c r="Z776" s="198"/>
      <c r="AA776" s="198"/>
    </row>
    <row r="777">
      <c r="A777" s="201"/>
      <c r="B777" s="201"/>
      <c r="C777" s="198"/>
      <c r="D777" s="198"/>
      <c r="E777" s="198"/>
      <c r="F777" s="198"/>
      <c r="G777" s="198"/>
      <c r="H777" s="198"/>
      <c r="I777" s="198"/>
      <c r="J777" s="198"/>
      <c r="K777" s="198"/>
      <c r="M777" s="198"/>
      <c r="N777" s="198"/>
      <c r="O777" s="198"/>
      <c r="P777" s="198"/>
      <c r="Q777" s="198"/>
      <c r="R777" s="198"/>
      <c r="S777" s="198"/>
      <c r="T777" s="198"/>
      <c r="U777" s="198"/>
      <c r="V777" s="198"/>
      <c r="W777" s="198"/>
      <c r="X777" s="198"/>
      <c r="Y777" s="198"/>
      <c r="Z777" s="198"/>
      <c r="AA777" s="198"/>
    </row>
    <row r="778">
      <c r="A778" s="201"/>
      <c r="B778" s="201"/>
      <c r="C778" s="198"/>
      <c r="D778" s="198"/>
      <c r="E778" s="198"/>
      <c r="F778" s="198"/>
      <c r="G778" s="198"/>
      <c r="H778" s="198"/>
      <c r="I778" s="198"/>
      <c r="J778" s="198"/>
      <c r="K778" s="198"/>
      <c r="M778" s="198"/>
      <c r="N778" s="198"/>
      <c r="O778" s="198"/>
      <c r="P778" s="198"/>
      <c r="Q778" s="198"/>
      <c r="R778" s="198"/>
      <c r="S778" s="198"/>
      <c r="T778" s="198"/>
      <c r="U778" s="198"/>
      <c r="V778" s="198"/>
      <c r="W778" s="198"/>
      <c r="X778" s="198"/>
      <c r="Y778" s="198"/>
      <c r="Z778" s="198"/>
      <c r="AA778" s="198"/>
    </row>
    <row r="779">
      <c r="A779" s="201"/>
      <c r="B779" s="201"/>
      <c r="C779" s="198"/>
      <c r="D779" s="198"/>
      <c r="E779" s="198"/>
      <c r="F779" s="198"/>
      <c r="G779" s="198"/>
      <c r="H779" s="198"/>
      <c r="I779" s="198"/>
      <c r="J779" s="198"/>
      <c r="K779" s="198"/>
      <c r="M779" s="198"/>
      <c r="N779" s="198"/>
      <c r="O779" s="198"/>
      <c r="P779" s="198"/>
      <c r="Q779" s="198"/>
      <c r="R779" s="198"/>
      <c r="S779" s="198"/>
      <c r="T779" s="198"/>
      <c r="U779" s="198"/>
      <c r="V779" s="198"/>
      <c r="W779" s="198"/>
      <c r="X779" s="198"/>
      <c r="Y779" s="198"/>
      <c r="Z779" s="198"/>
      <c r="AA779" s="198"/>
    </row>
    <row r="780">
      <c r="A780" s="201"/>
      <c r="B780" s="201"/>
      <c r="C780" s="198"/>
      <c r="D780" s="198"/>
      <c r="E780" s="198"/>
      <c r="F780" s="198"/>
      <c r="G780" s="198"/>
      <c r="H780" s="198"/>
      <c r="I780" s="198"/>
      <c r="J780" s="198"/>
      <c r="K780" s="198"/>
      <c r="M780" s="198"/>
      <c r="N780" s="198"/>
      <c r="O780" s="198"/>
      <c r="P780" s="198"/>
      <c r="Q780" s="198"/>
      <c r="R780" s="198"/>
      <c r="S780" s="198"/>
      <c r="T780" s="198"/>
      <c r="U780" s="198"/>
      <c r="V780" s="198"/>
      <c r="W780" s="198"/>
      <c r="X780" s="198"/>
      <c r="Y780" s="198"/>
      <c r="Z780" s="198"/>
      <c r="AA780" s="198"/>
    </row>
    <row r="781">
      <c r="A781" s="201"/>
      <c r="B781" s="201"/>
      <c r="C781" s="198"/>
      <c r="D781" s="198"/>
      <c r="E781" s="198"/>
      <c r="F781" s="198"/>
      <c r="G781" s="198"/>
      <c r="H781" s="198"/>
      <c r="I781" s="198"/>
      <c r="J781" s="198"/>
      <c r="K781" s="198"/>
      <c r="M781" s="198"/>
      <c r="N781" s="198"/>
      <c r="O781" s="198"/>
      <c r="P781" s="198"/>
      <c r="Q781" s="198"/>
      <c r="R781" s="198"/>
      <c r="S781" s="198"/>
      <c r="T781" s="198"/>
      <c r="U781" s="198"/>
      <c r="V781" s="198"/>
      <c r="W781" s="198"/>
      <c r="X781" s="198"/>
      <c r="Y781" s="198"/>
      <c r="Z781" s="198"/>
      <c r="AA781" s="198"/>
    </row>
    <row r="782">
      <c r="A782" s="201"/>
      <c r="B782" s="201"/>
      <c r="C782" s="198"/>
      <c r="D782" s="198"/>
      <c r="E782" s="198"/>
      <c r="F782" s="198"/>
      <c r="G782" s="198"/>
      <c r="H782" s="198"/>
      <c r="I782" s="198"/>
      <c r="J782" s="198"/>
      <c r="K782" s="198"/>
      <c r="M782" s="198"/>
      <c r="N782" s="198"/>
      <c r="O782" s="198"/>
      <c r="P782" s="198"/>
      <c r="Q782" s="198"/>
      <c r="R782" s="198"/>
      <c r="S782" s="198"/>
      <c r="T782" s="198"/>
      <c r="U782" s="198"/>
      <c r="V782" s="198"/>
      <c r="W782" s="198"/>
      <c r="X782" s="198"/>
      <c r="Y782" s="198"/>
      <c r="Z782" s="198"/>
      <c r="AA782" s="198"/>
    </row>
    <row r="783">
      <c r="A783" s="201"/>
      <c r="B783" s="201"/>
      <c r="C783" s="198"/>
      <c r="D783" s="198"/>
      <c r="E783" s="198"/>
      <c r="F783" s="198"/>
      <c r="G783" s="198"/>
      <c r="H783" s="198"/>
      <c r="I783" s="198"/>
      <c r="J783" s="198"/>
      <c r="K783" s="198"/>
      <c r="M783" s="198"/>
      <c r="N783" s="198"/>
      <c r="O783" s="198"/>
      <c r="P783" s="198"/>
      <c r="Q783" s="198"/>
      <c r="R783" s="198"/>
      <c r="S783" s="198"/>
      <c r="T783" s="198"/>
      <c r="U783" s="198"/>
      <c r="V783" s="198"/>
      <c r="W783" s="198"/>
      <c r="X783" s="198"/>
      <c r="Y783" s="198"/>
      <c r="Z783" s="198"/>
      <c r="AA783" s="198"/>
    </row>
    <row r="784">
      <c r="A784" s="201"/>
      <c r="B784" s="201"/>
      <c r="C784" s="198"/>
      <c r="D784" s="198"/>
      <c r="E784" s="198"/>
      <c r="F784" s="198"/>
      <c r="G784" s="198"/>
      <c r="H784" s="198"/>
      <c r="I784" s="198"/>
      <c r="J784" s="198"/>
      <c r="K784" s="198"/>
      <c r="M784" s="198"/>
      <c r="N784" s="198"/>
      <c r="O784" s="198"/>
      <c r="P784" s="198"/>
      <c r="Q784" s="198"/>
      <c r="R784" s="198"/>
      <c r="S784" s="198"/>
      <c r="T784" s="198"/>
      <c r="U784" s="198"/>
      <c r="V784" s="198"/>
      <c r="W784" s="198"/>
      <c r="X784" s="198"/>
      <c r="Y784" s="198"/>
      <c r="Z784" s="198"/>
      <c r="AA784" s="198"/>
    </row>
    <row r="785">
      <c r="A785" s="201"/>
      <c r="B785" s="201"/>
      <c r="C785" s="198"/>
      <c r="D785" s="198"/>
      <c r="E785" s="198"/>
      <c r="F785" s="198"/>
      <c r="G785" s="198"/>
      <c r="H785" s="198"/>
      <c r="I785" s="198"/>
      <c r="J785" s="198"/>
      <c r="K785" s="198"/>
      <c r="M785" s="198"/>
      <c r="N785" s="198"/>
      <c r="O785" s="198"/>
      <c r="P785" s="198"/>
      <c r="Q785" s="198"/>
      <c r="R785" s="198"/>
      <c r="S785" s="198"/>
      <c r="T785" s="198"/>
      <c r="U785" s="198"/>
      <c r="V785" s="198"/>
      <c r="W785" s="198"/>
      <c r="X785" s="198"/>
      <c r="Y785" s="198"/>
      <c r="Z785" s="198"/>
      <c r="AA785" s="198"/>
    </row>
    <row r="786">
      <c r="A786" s="201"/>
      <c r="B786" s="201"/>
      <c r="C786" s="198"/>
      <c r="D786" s="198"/>
      <c r="E786" s="198"/>
      <c r="F786" s="198"/>
      <c r="G786" s="198"/>
      <c r="H786" s="198"/>
      <c r="I786" s="198"/>
      <c r="J786" s="198"/>
      <c r="K786" s="198"/>
      <c r="M786" s="198"/>
      <c r="N786" s="198"/>
      <c r="O786" s="198"/>
      <c r="P786" s="198"/>
      <c r="Q786" s="198"/>
      <c r="R786" s="198"/>
      <c r="S786" s="198"/>
      <c r="T786" s="198"/>
      <c r="U786" s="198"/>
      <c r="V786" s="198"/>
      <c r="W786" s="198"/>
      <c r="X786" s="198"/>
      <c r="Y786" s="198"/>
      <c r="Z786" s="198"/>
      <c r="AA786" s="198"/>
    </row>
    <row r="787">
      <c r="A787" s="201"/>
      <c r="B787" s="201"/>
      <c r="C787" s="198"/>
      <c r="D787" s="198"/>
      <c r="E787" s="198"/>
      <c r="F787" s="198"/>
      <c r="G787" s="198"/>
      <c r="H787" s="198"/>
      <c r="I787" s="198"/>
      <c r="J787" s="198"/>
      <c r="K787" s="198"/>
      <c r="M787" s="198"/>
      <c r="N787" s="198"/>
      <c r="O787" s="198"/>
      <c r="P787" s="198"/>
      <c r="Q787" s="198"/>
      <c r="R787" s="198"/>
      <c r="S787" s="198"/>
      <c r="T787" s="198"/>
      <c r="U787" s="198"/>
      <c r="V787" s="198"/>
      <c r="W787" s="198"/>
      <c r="X787" s="198"/>
      <c r="Y787" s="198"/>
      <c r="Z787" s="198"/>
      <c r="AA787" s="198"/>
    </row>
    <row r="788">
      <c r="A788" s="201"/>
      <c r="B788" s="201"/>
      <c r="C788" s="198"/>
      <c r="D788" s="198"/>
      <c r="E788" s="198"/>
      <c r="F788" s="198"/>
      <c r="G788" s="198"/>
      <c r="H788" s="198"/>
      <c r="I788" s="198"/>
      <c r="J788" s="198"/>
      <c r="K788" s="198"/>
      <c r="M788" s="198"/>
      <c r="N788" s="198"/>
      <c r="O788" s="198"/>
      <c r="P788" s="198"/>
      <c r="Q788" s="198"/>
      <c r="R788" s="198"/>
      <c r="S788" s="198"/>
      <c r="T788" s="198"/>
      <c r="U788" s="198"/>
      <c r="V788" s="198"/>
      <c r="W788" s="198"/>
      <c r="X788" s="198"/>
      <c r="Y788" s="198"/>
      <c r="Z788" s="198"/>
      <c r="AA788" s="198"/>
    </row>
    <row r="789">
      <c r="A789" s="201"/>
      <c r="B789" s="201"/>
      <c r="C789" s="198"/>
      <c r="D789" s="198"/>
      <c r="E789" s="198"/>
      <c r="F789" s="198"/>
      <c r="G789" s="198"/>
      <c r="H789" s="198"/>
      <c r="I789" s="198"/>
      <c r="J789" s="198"/>
      <c r="K789" s="198"/>
      <c r="M789" s="198"/>
      <c r="N789" s="198"/>
      <c r="O789" s="198"/>
      <c r="P789" s="198"/>
      <c r="Q789" s="198"/>
      <c r="R789" s="198"/>
      <c r="S789" s="198"/>
      <c r="T789" s="198"/>
      <c r="U789" s="198"/>
      <c r="V789" s="198"/>
      <c r="W789" s="198"/>
      <c r="X789" s="198"/>
      <c r="Y789" s="198"/>
      <c r="Z789" s="198"/>
      <c r="AA789" s="198"/>
    </row>
    <row r="790">
      <c r="A790" s="201"/>
      <c r="B790" s="201"/>
      <c r="C790" s="198"/>
      <c r="D790" s="198"/>
      <c r="E790" s="198"/>
      <c r="F790" s="198"/>
      <c r="G790" s="198"/>
      <c r="H790" s="198"/>
      <c r="I790" s="198"/>
      <c r="J790" s="198"/>
      <c r="K790" s="198"/>
      <c r="M790" s="198"/>
      <c r="N790" s="198"/>
      <c r="O790" s="198"/>
      <c r="P790" s="198"/>
      <c r="Q790" s="198"/>
      <c r="R790" s="198"/>
      <c r="S790" s="198"/>
      <c r="T790" s="198"/>
      <c r="U790" s="198"/>
      <c r="V790" s="198"/>
      <c r="W790" s="198"/>
      <c r="X790" s="198"/>
      <c r="Y790" s="198"/>
      <c r="Z790" s="198"/>
      <c r="AA790" s="198"/>
    </row>
    <row r="791">
      <c r="A791" s="201"/>
      <c r="B791" s="201"/>
      <c r="C791" s="198"/>
      <c r="D791" s="198"/>
      <c r="E791" s="198"/>
      <c r="F791" s="198"/>
      <c r="G791" s="198"/>
      <c r="H791" s="198"/>
      <c r="I791" s="198"/>
      <c r="J791" s="198"/>
      <c r="K791" s="198"/>
      <c r="M791" s="198"/>
      <c r="N791" s="198"/>
      <c r="O791" s="198"/>
      <c r="P791" s="198"/>
      <c r="Q791" s="198"/>
      <c r="R791" s="198"/>
      <c r="S791" s="198"/>
      <c r="T791" s="198"/>
      <c r="U791" s="198"/>
      <c r="V791" s="198"/>
      <c r="W791" s="198"/>
      <c r="X791" s="198"/>
      <c r="Y791" s="198"/>
      <c r="Z791" s="198"/>
      <c r="AA791" s="198"/>
    </row>
    <row r="792">
      <c r="A792" s="201"/>
      <c r="B792" s="201"/>
      <c r="C792" s="198"/>
      <c r="D792" s="198"/>
      <c r="E792" s="198"/>
      <c r="F792" s="198"/>
      <c r="G792" s="198"/>
      <c r="H792" s="198"/>
      <c r="I792" s="198"/>
      <c r="J792" s="198"/>
      <c r="K792" s="198"/>
      <c r="M792" s="198"/>
      <c r="N792" s="198"/>
      <c r="O792" s="198"/>
      <c r="P792" s="198"/>
      <c r="Q792" s="198"/>
      <c r="R792" s="198"/>
      <c r="S792" s="198"/>
      <c r="T792" s="198"/>
      <c r="U792" s="198"/>
      <c r="V792" s="198"/>
      <c r="W792" s="198"/>
      <c r="X792" s="198"/>
      <c r="Y792" s="198"/>
      <c r="Z792" s="198"/>
      <c r="AA792" s="198"/>
    </row>
    <row r="793">
      <c r="A793" s="201"/>
      <c r="B793" s="201"/>
      <c r="C793" s="198"/>
      <c r="D793" s="198"/>
      <c r="E793" s="198"/>
      <c r="F793" s="198"/>
      <c r="G793" s="198"/>
      <c r="H793" s="198"/>
      <c r="I793" s="198"/>
      <c r="J793" s="198"/>
      <c r="K793" s="198"/>
      <c r="M793" s="198"/>
      <c r="N793" s="198"/>
      <c r="O793" s="198"/>
      <c r="P793" s="198"/>
      <c r="Q793" s="198"/>
      <c r="R793" s="198"/>
      <c r="S793" s="198"/>
      <c r="T793" s="198"/>
      <c r="U793" s="198"/>
      <c r="V793" s="198"/>
      <c r="W793" s="198"/>
      <c r="X793" s="198"/>
      <c r="Y793" s="198"/>
      <c r="Z793" s="198"/>
      <c r="AA793" s="198"/>
    </row>
    <row r="794">
      <c r="A794" s="201"/>
      <c r="B794" s="201"/>
      <c r="C794" s="198"/>
      <c r="D794" s="198"/>
      <c r="E794" s="198"/>
      <c r="F794" s="198"/>
      <c r="G794" s="198"/>
      <c r="H794" s="198"/>
      <c r="I794" s="198"/>
      <c r="J794" s="198"/>
      <c r="K794" s="198"/>
      <c r="M794" s="198"/>
      <c r="N794" s="198"/>
      <c r="O794" s="198"/>
      <c r="P794" s="198"/>
      <c r="Q794" s="198"/>
      <c r="R794" s="198"/>
      <c r="S794" s="198"/>
      <c r="T794" s="198"/>
      <c r="U794" s="198"/>
      <c r="V794" s="198"/>
      <c r="W794" s="198"/>
      <c r="X794" s="198"/>
      <c r="Y794" s="198"/>
      <c r="Z794" s="198"/>
      <c r="AA794" s="198"/>
    </row>
    <row r="795">
      <c r="A795" s="201"/>
      <c r="B795" s="201"/>
      <c r="C795" s="198"/>
      <c r="D795" s="198"/>
      <c r="E795" s="198"/>
      <c r="F795" s="198"/>
      <c r="G795" s="198"/>
      <c r="H795" s="198"/>
      <c r="I795" s="198"/>
      <c r="J795" s="198"/>
      <c r="K795" s="198"/>
      <c r="M795" s="198"/>
      <c r="N795" s="198"/>
      <c r="O795" s="198"/>
      <c r="P795" s="198"/>
      <c r="Q795" s="198"/>
      <c r="R795" s="198"/>
      <c r="S795" s="198"/>
      <c r="T795" s="198"/>
      <c r="U795" s="198"/>
      <c r="V795" s="198"/>
      <c r="W795" s="198"/>
      <c r="X795" s="198"/>
      <c r="Y795" s="198"/>
      <c r="Z795" s="198"/>
      <c r="AA795" s="198"/>
    </row>
    <row r="796">
      <c r="A796" s="201"/>
      <c r="B796" s="201"/>
      <c r="C796" s="198"/>
      <c r="D796" s="198"/>
      <c r="E796" s="198"/>
      <c r="F796" s="198"/>
      <c r="G796" s="198"/>
      <c r="H796" s="198"/>
      <c r="I796" s="198"/>
      <c r="J796" s="198"/>
      <c r="K796" s="198"/>
      <c r="M796" s="198"/>
      <c r="N796" s="198"/>
      <c r="O796" s="198"/>
      <c r="P796" s="198"/>
      <c r="Q796" s="198"/>
      <c r="R796" s="198"/>
      <c r="S796" s="198"/>
      <c r="T796" s="198"/>
      <c r="U796" s="198"/>
      <c r="V796" s="198"/>
      <c r="W796" s="198"/>
      <c r="X796" s="198"/>
      <c r="Y796" s="198"/>
      <c r="Z796" s="198"/>
      <c r="AA796" s="198"/>
    </row>
    <row r="797">
      <c r="A797" s="201"/>
      <c r="B797" s="201"/>
      <c r="C797" s="198"/>
      <c r="D797" s="198"/>
      <c r="E797" s="198"/>
      <c r="F797" s="198"/>
      <c r="G797" s="198"/>
      <c r="H797" s="198"/>
      <c r="I797" s="198"/>
      <c r="J797" s="198"/>
      <c r="K797" s="198"/>
      <c r="M797" s="198"/>
      <c r="N797" s="198"/>
      <c r="O797" s="198"/>
      <c r="P797" s="198"/>
      <c r="Q797" s="198"/>
      <c r="R797" s="198"/>
      <c r="S797" s="198"/>
      <c r="T797" s="198"/>
      <c r="U797" s="198"/>
      <c r="V797" s="198"/>
      <c r="W797" s="198"/>
      <c r="X797" s="198"/>
      <c r="Y797" s="198"/>
      <c r="Z797" s="198"/>
      <c r="AA797" s="198"/>
    </row>
    <row r="798">
      <c r="A798" s="201"/>
      <c r="B798" s="201"/>
      <c r="C798" s="198"/>
      <c r="D798" s="198"/>
      <c r="E798" s="198"/>
      <c r="F798" s="198"/>
      <c r="G798" s="198"/>
      <c r="H798" s="198"/>
      <c r="I798" s="198"/>
      <c r="J798" s="198"/>
      <c r="K798" s="198"/>
      <c r="M798" s="198"/>
      <c r="N798" s="198"/>
      <c r="O798" s="198"/>
      <c r="P798" s="198"/>
      <c r="Q798" s="198"/>
      <c r="R798" s="198"/>
      <c r="S798" s="198"/>
      <c r="T798" s="198"/>
      <c r="U798" s="198"/>
      <c r="V798" s="198"/>
      <c r="W798" s="198"/>
      <c r="X798" s="198"/>
      <c r="Y798" s="198"/>
      <c r="Z798" s="198"/>
      <c r="AA798" s="198"/>
    </row>
    <row r="799">
      <c r="A799" s="201"/>
      <c r="B799" s="201"/>
      <c r="C799" s="198"/>
      <c r="D799" s="198"/>
      <c r="E799" s="198"/>
      <c r="F799" s="198"/>
      <c r="G799" s="198"/>
      <c r="H799" s="198"/>
      <c r="I799" s="198"/>
      <c r="J799" s="198"/>
      <c r="K799" s="198"/>
      <c r="M799" s="198"/>
      <c r="N799" s="198"/>
      <c r="O799" s="198"/>
      <c r="P799" s="198"/>
      <c r="Q799" s="198"/>
      <c r="R799" s="198"/>
      <c r="S799" s="198"/>
      <c r="T799" s="198"/>
      <c r="U799" s="198"/>
      <c r="V799" s="198"/>
      <c r="W799" s="198"/>
      <c r="X799" s="198"/>
      <c r="Y799" s="198"/>
      <c r="Z799" s="198"/>
      <c r="AA799" s="198"/>
    </row>
    <row r="800">
      <c r="A800" s="201"/>
      <c r="B800" s="201"/>
      <c r="C800" s="198"/>
      <c r="D800" s="198"/>
      <c r="E800" s="198"/>
      <c r="F800" s="198"/>
      <c r="G800" s="198"/>
      <c r="H800" s="198"/>
      <c r="I800" s="198"/>
      <c r="J800" s="198"/>
      <c r="K800" s="198"/>
      <c r="M800" s="198"/>
      <c r="N800" s="198"/>
      <c r="O800" s="198"/>
      <c r="P800" s="198"/>
      <c r="Q800" s="198"/>
      <c r="R800" s="198"/>
      <c r="S800" s="198"/>
      <c r="T800" s="198"/>
      <c r="U800" s="198"/>
      <c r="V800" s="198"/>
      <c r="W800" s="198"/>
      <c r="X800" s="198"/>
      <c r="Y800" s="198"/>
      <c r="Z800" s="198"/>
      <c r="AA800" s="198"/>
    </row>
    <row r="801">
      <c r="A801" s="201"/>
      <c r="B801" s="201"/>
      <c r="C801" s="198"/>
      <c r="D801" s="198"/>
      <c r="E801" s="198"/>
      <c r="F801" s="198"/>
      <c r="G801" s="198"/>
      <c r="H801" s="198"/>
      <c r="I801" s="198"/>
      <c r="J801" s="198"/>
      <c r="K801" s="198"/>
      <c r="M801" s="198"/>
      <c r="N801" s="198"/>
      <c r="O801" s="198"/>
      <c r="P801" s="198"/>
      <c r="Q801" s="198"/>
      <c r="R801" s="198"/>
      <c r="S801" s="198"/>
      <c r="T801" s="198"/>
      <c r="U801" s="198"/>
      <c r="V801" s="198"/>
      <c r="W801" s="198"/>
      <c r="X801" s="198"/>
      <c r="Y801" s="198"/>
      <c r="Z801" s="198"/>
      <c r="AA801" s="198"/>
    </row>
    <row r="802">
      <c r="A802" s="201"/>
      <c r="B802" s="201"/>
      <c r="C802" s="198"/>
      <c r="D802" s="198"/>
      <c r="E802" s="198"/>
      <c r="F802" s="198"/>
      <c r="G802" s="198"/>
      <c r="H802" s="198"/>
      <c r="I802" s="198"/>
      <c r="J802" s="198"/>
      <c r="K802" s="198"/>
      <c r="M802" s="198"/>
      <c r="N802" s="198"/>
      <c r="O802" s="198"/>
      <c r="P802" s="198"/>
      <c r="Q802" s="198"/>
      <c r="R802" s="198"/>
      <c r="S802" s="198"/>
      <c r="T802" s="198"/>
      <c r="U802" s="198"/>
      <c r="V802" s="198"/>
      <c r="W802" s="198"/>
      <c r="X802" s="198"/>
      <c r="Y802" s="198"/>
      <c r="Z802" s="198"/>
      <c r="AA802" s="198"/>
    </row>
    <row r="803">
      <c r="A803" s="201"/>
      <c r="B803" s="201"/>
      <c r="C803" s="198"/>
      <c r="D803" s="198"/>
      <c r="E803" s="198"/>
      <c r="F803" s="198"/>
      <c r="G803" s="198"/>
      <c r="H803" s="198"/>
      <c r="I803" s="198"/>
      <c r="J803" s="198"/>
      <c r="K803" s="198"/>
      <c r="M803" s="198"/>
      <c r="N803" s="198"/>
      <c r="O803" s="198"/>
      <c r="P803" s="198"/>
      <c r="Q803" s="198"/>
      <c r="R803" s="198"/>
      <c r="S803" s="198"/>
      <c r="T803" s="198"/>
      <c r="U803" s="198"/>
      <c r="V803" s="198"/>
      <c r="W803" s="198"/>
      <c r="X803" s="198"/>
      <c r="Y803" s="198"/>
      <c r="Z803" s="198"/>
      <c r="AA803" s="198"/>
    </row>
    <row r="804">
      <c r="A804" s="201"/>
      <c r="B804" s="201"/>
      <c r="C804" s="198"/>
      <c r="D804" s="198"/>
      <c r="E804" s="198"/>
      <c r="F804" s="198"/>
      <c r="G804" s="198"/>
      <c r="H804" s="198"/>
      <c r="I804" s="198"/>
      <c r="J804" s="198"/>
      <c r="K804" s="198"/>
      <c r="M804" s="198"/>
      <c r="N804" s="198"/>
      <c r="O804" s="198"/>
      <c r="P804" s="198"/>
      <c r="Q804" s="198"/>
      <c r="R804" s="198"/>
      <c r="S804" s="198"/>
      <c r="T804" s="198"/>
      <c r="U804" s="198"/>
      <c r="V804" s="198"/>
      <c r="W804" s="198"/>
      <c r="X804" s="198"/>
      <c r="Y804" s="198"/>
      <c r="Z804" s="198"/>
      <c r="AA804" s="198"/>
    </row>
    <row r="805">
      <c r="A805" s="201"/>
      <c r="B805" s="201"/>
      <c r="C805" s="198"/>
      <c r="D805" s="198"/>
      <c r="E805" s="198"/>
      <c r="F805" s="198"/>
      <c r="G805" s="198"/>
      <c r="H805" s="198"/>
      <c r="I805" s="198"/>
      <c r="J805" s="198"/>
      <c r="K805" s="198"/>
      <c r="M805" s="198"/>
      <c r="N805" s="198"/>
      <c r="O805" s="198"/>
      <c r="P805" s="198"/>
      <c r="Q805" s="198"/>
      <c r="R805" s="198"/>
      <c r="S805" s="198"/>
      <c r="T805" s="198"/>
      <c r="U805" s="198"/>
      <c r="V805" s="198"/>
      <c r="W805" s="198"/>
      <c r="X805" s="198"/>
      <c r="Y805" s="198"/>
      <c r="Z805" s="198"/>
      <c r="AA805" s="198"/>
    </row>
    <row r="806">
      <c r="A806" s="201"/>
      <c r="B806" s="201"/>
      <c r="C806" s="198"/>
      <c r="D806" s="198"/>
      <c r="E806" s="198"/>
      <c r="F806" s="198"/>
      <c r="G806" s="198"/>
      <c r="H806" s="198"/>
      <c r="I806" s="198"/>
      <c r="J806" s="198"/>
      <c r="K806" s="198"/>
      <c r="M806" s="198"/>
      <c r="N806" s="198"/>
      <c r="O806" s="198"/>
      <c r="P806" s="198"/>
      <c r="Q806" s="198"/>
      <c r="R806" s="198"/>
      <c r="S806" s="198"/>
      <c r="T806" s="198"/>
      <c r="U806" s="198"/>
      <c r="V806" s="198"/>
      <c r="W806" s="198"/>
      <c r="X806" s="198"/>
      <c r="Y806" s="198"/>
      <c r="Z806" s="198"/>
      <c r="AA806" s="198"/>
    </row>
    <row r="807">
      <c r="A807" s="201"/>
      <c r="B807" s="201"/>
      <c r="C807" s="198"/>
      <c r="D807" s="198"/>
      <c r="E807" s="198"/>
      <c r="F807" s="198"/>
      <c r="G807" s="198"/>
      <c r="H807" s="198"/>
      <c r="I807" s="198"/>
      <c r="J807" s="198"/>
      <c r="K807" s="198"/>
      <c r="M807" s="198"/>
      <c r="N807" s="198"/>
      <c r="O807" s="198"/>
      <c r="P807" s="198"/>
      <c r="Q807" s="198"/>
      <c r="R807" s="198"/>
      <c r="S807" s="198"/>
      <c r="T807" s="198"/>
      <c r="U807" s="198"/>
      <c r="V807" s="198"/>
      <c r="W807" s="198"/>
      <c r="X807" s="198"/>
      <c r="Y807" s="198"/>
      <c r="Z807" s="198"/>
      <c r="AA807" s="198"/>
    </row>
    <row r="808">
      <c r="A808" s="201"/>
      <c r="B808" s="201"/>
      <c r="C808" s="198"/>
      <c r="D808" s="198"/>
      <c r="E808" s="198"/>
      <c r="F808" s="198"/>
      <c r="G808" s="198"/>
      <c r="H808" s="198"/>
      <c r="I808" s="198"/>
      <c r="J808" s="198"/>
      <c r="K808" s="198"/>
      <c r="M808" s="198"/>
      <c r="N808" s="198"/>
      <c r="O808" s="198"/>
      <c r="P808" s="198"/>
      <c r="Q808" s="198"/>
      <c r="R808" s="198"/>
      <c r="S808" s="198"/>
      <c r="T808" s="198"/>
      <c r="U808" s="198"/>
      <c r="V808" s="198"/>
      <c r="W808" s="198"/>
      <c r="X808" s="198"/>
      <c r="Y808" s="198"/>
      <c r="Z808" s="198"/>
      <c r="AA808" s="198"/>
    </row>
    <row r="809">
      <c r="A809" s="201"/>
      <c r="B809" s="201"/>
      <c r="C809" s="198"/>
      <c r="D809" s="198"/>
      <c r="E809" s="198"/>
      <c r="F809" s="198"/>
      <c r="G809" s="198"/>
      <c r="H809" s="198"/>
      <c r="I809" s="198"/>
      <c r="J809" s="198"/>
      <c r="K809" s="198"/>
      <c r="M809" s="198"/>
      <c r="N809" s="198"/>
      <c r="O809" s="198"/>
      <c r="P809" s="198"/>
      <c r="Q809" s="198"/>
      <c r="R809" s="198"/>
      <c r="S809" s="198"/>
      <c r="T809" s="198"/>
      <c r="U809" s="198"/>
      <c r="V809" s="198"/>
      <c r="W809" s="198"/>
      <c r="X809" s="198"/>
      <c r="Y809" s="198"/>
      <c r="Z809" s="198"/>
      <c r="AA809" s="198"/>
    </row>
    <row r="810">
      <c r="A810" s="201"/>
      <c r="B810" s="201"/>
      <c r="C810" s="198"/>
      <c r="D810" s="198"/>
      <c r="E810" s="198"/>
      <c r="F810" s="198"/>
      <c r="G810" s="198"/>
      <c r="H810" s="198"/>
      <c r="I810" s="198"/>
      <c r="J810" s="198"/>
      <c r="K810" s="198"/>
      <c r="M810" s="198"/>
      <c r="N810" s="198"/>
      <c r="O810" s="198"/>
      <c r="P810" s="198"/>
      <c r="Q810" s="198"/>
      <c r="R810" s="198"/>
      <c r="S810" s="198"/>
      <c r="T810" s="198"/>
      <c r="U810" s="198"/>
      <c r="V810" s="198"/>
      <c r="W810" s="198"/>
      <c r="X810" s="198"/>
      <c r="Y810" s="198"/>
      <c r="Z810" s="198"/>
      <c r="AA810" s="198"/>
    </row>
    <row r="811">
      <c r="A811" s="201"/>
      <c r="B811" s="201"/>
      <c r="C811" s="198"/>
      <c r="D811" s="198"/>
      <c r="E811" s="198"/>
      <c r="F811" s="198"/>
      <c r="G811" s="198"/>
      <c r="H811" s="198"/>
      <c r="I811" s="198"/>
      <c r="J811" s="198"/>
      <c r="K811" s="198"/>
      <c r="M811" s="198"/>
      <c r="N811" s="198"/>
      <c r="O811" s="198"/>
      <c r="P811" s="198"/>
      <c r="Q811" s="198"/>
      <c r="R811" s="198"/>
      <c r="S811" s="198"/>
      <c r="T811" s="198"/>
      <c r="U811" s="198"/>
      <c r="V811" s="198"/>
      <c r="W811" s="198"/>
      <c r="X811" s="198"/>
      <c r="Y811" s="198"/>
      <c r="Z811" s="198"/>
      <c r="AA811" s="198"/>
    </row>
    <row r="812">
      <c r="A812" s="201"/>
      <c r="B812" s="201"/>
      <c r="C812" s="198"/>
      <c r="D812" s="198"/>
      <c r="E812" s="198"/>
      <c r="F812" s="198"/>
      <c r="G812" s="198"/>
      <c r="H812" s="198"/>
      <c r="I812" s="198"/>
      <c r="J812" s="198"/>
      <c r="K812" s="198"/>
      <c r="M812" s="198"/>
      <c r="N812" s="198"/>
      <c r="O812" s="198"/>
      <c r="P812" s="198"/>
      <c r="Q812" s="198"/>
      <c r="R812" s="198"/>
      <c r="S812" s="198"/>
      <c r="T812" s="198"/>
      <c r="U812" s="198"/>
      <c r="V812" s="198"/>
      <c r="W812" s="198"/>
      <c r="X812" s="198"/>
      <c r="Y812" s="198"/>
      <c r="Z812" s="198"/>
      <c r="AA812" s="198"/>
    </row>
    <row r="813">
      <c r="A813" s="201"/>
      <c r="B813" s="201"/>
      <c r="C813" s="198"/>
      <c r="D813" s="198"/>
      <c r="E813" s="198"/>
      <c r="F813" s="198"/>
      <c r="G813" s="198"/>
      <c r="H813" s="198"/>
      <c r="I813" s="198"/>
      <c r="J813" s="198"/>
      <c r="K813" s="198"/>
      <c r="M813" s="198"/>
      <c r="N813" s="198"/>
      <c r="O813" s="198"/>
      <c r="P813" s="198"/>
      <c r="Q813" s="198"/>
      <c r="R813" s="198"/>
      <c r="S813" s="198"/>
      <c r="T813" s="198"/>
      <c r="U813" s="198"/>
      <c r="V813" s="198"/>
      <c r="W813" s="198"/>
      <c r="X813" s="198"/>
      <c r="Y813" s="198"/>
      <c r="Z813" s="198"/>
      <c r="AA813" s="198"/>
    </row>
    <row r="814">
      <c r="A814" s="201"/>
      <c r="B814" s="201"/>
      <c r="C814" s="198"/>
      <c r="D814" s="198"/>
      <c r="E814" s="198"/>
      <c r="F814" s="198"/>
      <c r="G814" s="198"/>
      <c r="H814" s="198"/>
      <c r="I814" s="198"/>
      <c r="J814" s="198"/>
      <c r="K814" s="198"/>
      <c r="M814" s="198"/>
      <c r="N814" s="198"/>
      <c r="O814" s="198"/>
      <c r="P814" s="198"/>
      <c r="Q814" s="198"/>
      <c r="R814" s="198"/>
      <c r="S814" s="198"/>
      <c r="T814" s="198"/>
      <c r="U814" s="198"/>
      <c r="V814" s="198"/>
      <c r="W814" s="198"/>
      <c r="X814" s="198"/>
      <c r="Y814" s="198"/>
      <c r="Z814" s="198"/>
      <c r="AA814" s="198"/>
    </row>
    <row r="815">
      <c r="A815" s="201"/>
      <c r="B815" s="201"/>
      <c r="C815" s="198"/>
      <c r="D815" s="198"/>
      <c r="E815" s="198"/>
      <c r="F815" s="198"/>
      <c r="G815" s="198"/>
      <c r="H815" s="198"/>
      <c r="I815" s="198"/>
      <c r="J815" s="198"/>
      <c r="K815" s="198"/>
      <c r="M815" s="198"/>
      <c r="N815" s="198"/>
      <c r="O815" s="198"/>
      <c r="P815" s="198"/>
      <c r="Q815" s="198"/>
      <c r="R815" s="198"/>
      <c r="S815" s="198"/>
      <c r="T815" s="198"/>
      <c r="U815" s="198"/>
      <c r="V815" s="198"/>
      <c r="W815" s="198"/>
      <c r="X815" s="198"/>
      <c r="Y815" s="198"/>
      <c r="Z815" s="198"/>
      <c r="AA815" s="198"/>
    </row>
    <row r="816">
      <c r="A816" s="201"/>
      <c r="B816" s="201"/>
      <c r="C816" s="198"/>
      <c r="D816" s="198"/>
      <c r="E816" s="198"/>
      <c r="F816" s="198"/>
      <c r="G816" s="198"/>
      <c r="H816" s="198"/>
      <c r="I816" s="198"/>
      <c r="J816" s="198"/>
      <c r="K816" s="198"/>
      <c r="M816" s="198"/>
      <c r="N816" s="198"/>
      <c r="O816" s="198"/>
      <c r="P816" s="198"/>
      <c r="Q816" s="198"/>
      <c r="R816" s="198"/>
      <c r="S816" s="198"/>
      <c r="T816" s="198"/>
      <c r="U816" s="198"/>
      <c r="V816" s="198"/>
      <c r="W816" s="198"/>
      <c r="X816" s="198"/>
      <c r="Y816" s="198"/>
      <c r="Z816" s="198"/>
      <c r="AA816" s="198"/>
    </row>
    <row r="817">
      <c r="A817" s="201"/>
      <c r="B817" s="201"/>
      <c r="C817" s="198"/>
      <c r="D817" s="198"/>
      <c r="E817" s="198"/>
      <c r="F817" s="198"/>
      <c r="G817" s="198"/>
      <c r="H817" s="198"/>
      <c r="I817" s="198"/>
      <c r="J817" s="198"/>
      <c r="K817" s="198"/>
      <c r="M817" s="198"/>
      <c r="N817" s="198"/>
      <c r="O817" s="198"/>
      <c r="P817" s="198"/>
      <c r="Q817" s="198"/>
      <c r="R817" s="198"/>
      <c r="S817" s="198"/>
      <c r="T817" s="198"/>
      <c r="U817" s="198"/>
      <c r="V817" s="198"/>
      <c r="W817" s="198"/>
      <c r="X817" s="198"/>
      <c r="Y817" s="198"/>
      <c r="Z817" s="198"/>
      <c r="AA817" s="198"/>
    </row>
    <row r="818">
      <c r="A818" s="201"/>
      <c r="B818" s="201"/>
      <c r="C818" s="198"/>
      <c r="D818" s="198"/>
      <c r="E818" s="198"/>
      <c r="F818" s="198"/>
      <c r="G818" s="198"/>
      <c r="H818" s="198"/>
      <c r="I818" s="198"/>
      <c r="J818" s="198"/>
      <c r="K818" s="198"/>
      <c r="M818" s="198"/>
      <c r="N818" s="198"/>
      <c r="O818" s="198"/>
      <c r="P818" s="198"/>
      <c r="Q818" s="198"/>
      <c r="R818" s="198"/>
      <c r="S818" s="198"/>
      <c r="T818" s="198"/>
      <c r="U818" s="198"/>
      <c r="V818" s="198"/>
      <c r="W818" s="198"/>
      <c r="X818" s="198"/>
      <c r="Y818" s="198"/>
      <c r="Z818" s="198"/>
      <c r="AA818" s="198"/>
    </row>
    <row r="819">
      <c r="A819" s="201"/>
      <c r="B819" s="201"/>
      <c r="C819" s="198"/>
      <c r="D819" s="198"/>
      <c r="E819" s="198"/>
      <c r="F819" s="198"/>
      <c r="G819" s="198"/>
      <c r="H819" s="198"/>
      <c r="I819" s="198"/>
      <c r="J819" s="198"/>
      <c r="K819" s="198"/>
      <c r="M819" s="198"/>
      <c r="N819" s="198"/>
      <c r="O819" s="198"/>
      <c r="P819" s="198"/>
      <c r="Q819" s="198"/>
      <c r="R819" s="198"/>
      <c r="S819" s="198"/>
      <c r="T819" s="198"/>
      <c r="U819" s="198"/>
      <c r="V819" s="198"/>
      <c r="W819" s="198"/>
      <c r="X819" s="198"/>
      <c r="Y819" s="198"/>
      <c r="Z819" s="198"/>
      <c r="AA819" s="198"/>
    </row>
    <row r="820">
      <c r="A820" s="201"/>
      <c r="B820" s="201"/>
      <c r="C820" s="198"/>
      <c r="D820" s="198"/>
      <c r="E820" s="198"/>
      <c r="F820" s="198"/>
      <c r="G820" s="198"/>
      <c r="H820" s="198"/>
      <c r="I820" s="198"/>
      <c r="J820" s="198"/>
      <c r="K820" s="198"/>
      <c r="M820" s="198"/>
      <c r="N820" s="198"/>
      <c r="O820" s="198"/>
      <c r="P820" s="198"/>
      <c r="Q820" s="198"/>
      <c r="R820" s="198"/>
      <c r="S820" s="198"/>
      <c r="T820" s="198"/>
      <c r="U820" s="198"/>
      <c r="V820" s="198"/>
      <c r="W820" s="198"/>
      <c r="X820" s="198"/>
      <c r="Y820" s="198"/>
      <c r="Z820" s="198"/>
      <c r="AA820" s="198"/>
    </row>
    <row r="821">
      <c r="A821" s="201"/>
      <c r="B821" s="201"/>
      <c r="C821" s="198"/>
      <c r="D821" s="198"/>
      <c r="E821" s="198"/>
      <c r="F821" s="198"/>
      <c r="G821" s="198"/>
      <c r="H821" s="198"/>
      <c r="I821" s="198"/>
      <c r="J821" s="198"/>
      <c r="K821" s="198"/>
      <c r="M821" s="198"/>
      <c r="N821" s="198"/>
      <c r="O821" s="198"/>
      <c r="P821" s="198"/>
      <c r="Q821" s="198"/>
      <c r="R821" s="198"/>
      <c r="S821" s="198"/>
      <c r="T821" s="198"/>
      <c r="U821" s="198"/>
      <c r="V821" s="198"/>
      <c r="W821" s="198"/>
      <c r="X821" s="198"/>
      <c r="Y821" s="198"/>
      <c r="Z821" s="198"/>
      <c r="AA821" s="198"/>
    </row>
    <row r="822">
      <c r="A822" s="201"/>
      <c r="B822" s="201"/>
      <c r="C822" s="198"/>
      <c r="D822" s="198"/>
      <c r="E822" s="198"/>
      <c r="F822" s="198"/>
      <c r="G822" s="198"/>
      <c r="H822" s="198"/>
      <c r="I822" s="198"/>
      <c r="J822" s="198"/>
      <c r="K822" s="198"/>
      <c r="M822" s="198"/>
      <c r="N822" s="198"/>
      <c r="O822" s="198"/>
      <c r="P822" s="198"/>
      <c r="Q822" s="198"/>
      <c r="R822" s="198"/>
      <c r="S822" s="198"/>
      <c r="T822" s="198"/>
      <c r="U822" s="198"/>
      <c r="V822" s="198"/>
      <c r="W822" s="198"/>
      <c r="X822" s="198"/>
      <c r="Y822" s="198"/>
      <c r="Z822" s="198"/>
      <c r="AA822" s="198"/>
    </row>
    <row r="823">
      <c r="A823" s="201"/>
      <c r="B823" s="201"/>
      <c r="C823" s="198"/>
      <c r="D823" s="198"/>
      <c r="E823" s="198"/>
      <c r="F823" s="198"/>
      <c r="G823" s="198"/>
      <c r="H823" s="198"/>
      <c r="I823" s="198"/>
      <c r="J823" s="198"/>
      <c r="K823" s="198"/>
      <c r="M823" s="198"/>
      <c r="N823" s="198"/>
      <c r="O823" s="198"/>
      <c r="P823" s="198"/>
      <c r="Q823" s="198"/>
      <c r="R823" s="198"/>
      <c r="S823" s="198"/>
      <c r="T823" s="198"/>
      <c r="U823" s="198"/>
      <c r="V823" s="198"/>
      <c r="W823" s="198"/>
      <c r="X823" s="198"/>
      <c r="Y823" s="198"/>
      <c r="Z823" s="198"/>
      <c r="AA823" s="198"/>
    </row>
    <row r="824">
      <c r="A824" s="201"/>
      <c r="B824" s="201"/>
      <c r="C824" s="198"/>
      <c r="D824" s="198"/>
      <c r="E824" s="198"/>
      <c r="F824" s="198"/>
      <c r="G824" s="198"/>
      <c r="H824" s="198"/>
      <c r="I824" s="198"/>
      <c r="J824" s="198"/>
      <c r="K824" s="198"/>
      <c r="M824" s="198"/>
      <c r="N824" s="198"/>
      <c r="O824" s="198"/>
      <c r="P824" s="198"/>
      <c r="Q824" s="198"/>
      <c r="R824" s="198"/>
      <c r="S824" s="198"/>
      <c r="T824" s="198"/>
      <c r="U824" s="198"/>
      <c r="V824" s="198"/>
      <c r="W824" s="198"/>
      <c r="X824" s="198"/>
      <c r="Y824" s="198"/>
      <c r="Z824" s="198"/>
      <c r="AA824" s="198"/>
    </row>
    <row r="825">
      <c r="A825" s="201"/>
      <c r="B825" s="201"/>
      <c r="C825" s="198"/>
      <c r="D825" s="198"/>
      <c r="E825" s="198"/>
      <c r="F825" s="198"/>
      <c r="G825" s="198"/>
      <c r="H825" s="198"/>
      <c r="I825" s="198"/>
      <c r="J825" s="198"/>
      <c r="K825" s="198"/>
      <c r="M825" s="198"/>
      <c r="N825" s="198"/>
      <c r="O825" s="198"/>
      <c r="P825" s="198"/>
      <c r="Q825" s="198"/>
      <c r="R825" s="198"/>
      <c r="S825" s="198"/>
      <c r="T825" s="198"/>
      <c r="U825" s="198"/>
      <c r="V825" s="198"/>
      <c r="W825" s="198"/>
      <c r="X825" s="198"/>
      <c r="Y825" s="198"/>
      <c r="Z825" s="198"/>
      <c r="AA825" s="198"/>
    </row>
    <row r="826">
      <c r="A826" s="201"/>
      <c r="B826" s="201"/>
      <c r="C826" s="198"/>
      <c r="D826" s="198"/>
      <c r="E826" s="198"/>
      <c r="F826" s="198"/>
      <c r="G826" s="198"/>
      <c r="H826" s="198"/>
      <c r="I826" s="198"/>
      <c r="J826" s="198"/>
      <c r="K826" s="198"/>
      <c r="M826" s="198"/>
      <c r="N826" s="198"/>
      <c r="O826" s="198"/>
      <c r="P826" s="198"/>
      <c r="Q826" s="198"/>
      <c r="R826" s="198"/>
      <c r="S826" s="198"/>
      <c r="T826" s="198"/>
      <c r="U826" s="198"/>
      <c r="V826" s="198"/>
      <c r="W826" s="198"/>
      <c r="X826" s="198"/>
      <c r="Y826" s="198"/>
      <c r="Z826" s="198"/>
      <c r="AA826" s="198"/>
    </row>
    <row r="827">
      <c r="A827" s="201"/>
      <c r="B827" s="201"/>
      <c r="C827" s="198"/>
      <c r="D827" s="198"/>
      <c r="E827" s="198"/>
      <c r="F827" s="198"/>
      <c r="G827" s="198"/>
      <c r="H827" s="198"/>
      <c r="I827" s="198"/>
      <c r="J827" s="198"/>
      <c r="K827" s="198"/>
      <c r="M827" s="198"/>
      <c r="N827" s="198"/>
      <c r="O827" s="198"/>
      <c r="P827" s="198"/>
      <c r="Q827" s="198"/>
      <c r="R827" s="198"/>
      <c r="S827" s="198"/>
      <c r="T827" s="198"/>
      <c r="U827" s="198"/>
      <c r="V827" s="198"/>
      <c r="W827" s="198"/>
      <c r="X827" s="198"/>
      <c r="Y827" s="198"/>
      <c r="Z827" s="198"/>
      <c r="AA827" s="198"/>
    </row>
    <row r="828">
      <c r="A828" s="201"/>
      <c r="B828" s="201"/>
      <c r="C828" s="198"/>
      <c r="D828" s="198"/>
      <c r="E828" s="198"/>
      <c r="F828" s="198"/>
      <c r="G828" s="198"/>
      <c r="H828" s="198"/>
      <c r="I828" s="198"/>
      <c r="J828" s="198"/>
      <c r="K828" s="198"/>
      <c r="M828" s="198"/>
      <c r="N828" s="198"/>
      <c r="O828" s="198"/>
      <c r="P828" s="198"/>
      <c r="Q828" s="198"/>
      <c r="R828" s="198"/>
      <c r="S828" s="198"/>
      <c r="T828" s="198"/>
      <c r="U828" s="198"/>
      <c r="V828" s="198"/>
      <c r="W828" s="198"/>
      <c r="X828" s="198"/>
      <c r="Y828" s="198"/>
      <c r="Z828" s="198"/>
      <c r="AA828" s="198"/>
    </row>
    <row r="829">
      <c r="A829" s="201"/>
      <c r="B829" s="201"/>
      <c r="C829" s="198"/>
      <c r="D829" s="198"/>
      <c r="E829" s="198"/>
      <c r="F829" s="198"/>
      <c r="G829" s="198"/>
      <c r="H829" s="198"/>
      <c r="I829" s="198"/>
      <c r="J829" s="198"/>
      <c r="K829" s="198"/>
      <c r="M829" s="198"/>
      <c r="N829" s="198"/>
      <c r="O829" s="198"/>
      <c r="P829" s="198"/>
      <c r="Q829" s="198"/>
      <c r="R829" s="198"/>
      <c r="S829" s="198"/>
      <c r="T829" s="198"/>
      <c r="U829" s="198"/>
      <c r="V829" s="198"/>
      <c r="W829" s="198"/>
      <c r="X829" s="198"/>
      <c r="Y829" s="198"/>
      <c r="Z829" s="198"/>
      <c r="AA829" s="198"/>
    </row>
    <row r="830">
      <c r="A830" s="201"/>
      <c r="B830" s="201"/>
      <c r="C830" s="198"/>
      <c r="D830" s="198"/>
      <c r="E830" s="198"/>
      <c r="F830" s="198"/>
      <c r="G830" s="198"/>
      <c r="H830" s="198"/>
      <c r="I830" s="198"/>
      <c r="J830" s="198"/>
      <c r="K830" s="198"/>
      <c r="M830" s="198"/>
      <c r="N830" s="198"/>
      <c r="O830" s="198"/>
      <c r="P830" s="198"/>
      <c r="Q830" s="198"/>
      <c r="R830" s="198"/>
      <c r="S830" s="198"/>
      <c r="T830" s="198"/>
      <c r="U830" s="198"/>
      <c r="V830" s="198"/>
      <c r="W830" s="198"/>
      <c r="X830" s="198"/>
      <c r="Y830" s="198"/>
      <c r="Z830" s="198"/>
      <c r="AA830" s="198"/>
    </row>
    <row r="831">
      <c r="A831" s="201"/>
      <c r="B831" s="201"/>
      <c r="C831" s="198"/>
      <c r="D831" s="198"/>
      <c r="E831" s="198"/>
      <c r="F831" s="198"/>
      <c r="G831" s="198"/>
      <c r="H831" s="198"/>
      <c r="I831" s="198"/>
      <c r="J831" s="198"/>
      <c r="K831" s="198"/>
      <c r="M831" s="198"/>
      <c r="N831" s="198"/>
      <c r="O831" s="198"/>
      <c r="P831" s="198"/>
      <c r="Q831" s="198"/>
      <c r="R831" s="198"/>
      <c r="S831" s="198"/>
      <c r="T831" s="198"/>
      <c r="U831" s="198"/>
      <c r="V831" s="198"/>
      <c r="W831" s="198"/>
      <c r="X831" s="198"/>
      <c r="Y831" s="198"/>
      <c r="Z831" s="198"/>
      <c r="AA831" s="198"/>
    </row>
    <row r="832">
      <c r="A832" s="201"/>
      <c r="B832" s="201"/>
      <c r="C832" s="198"/>
      <c r="D832" s="198"/>
      <c r="E832" s="198"/>
      <c r="F832" s="198"/>
      <c r="G832" s="198"/>
      <c r="H832" s="198"/>
      <c r="I832" s="198"/>
      <c r="J832" s="198"/>
      <c r="K832" s="198"/>
      <c r="M832" s="198"/>
      <c r="N832" s="198"/>
      <c r="O832" s="198"/>
      <c r="P832" s="198"/>
      <c r="Q832" s="198"/>
      <c r="R832" s="198"/>
      <c r="S832" s="198"/>
      <c r="T832" s="198"/>
      <c r="U832" s="198"/>
      <c r="V832" s="198"/>
      <c r="W832" s="198"/>
      <c r="X832" s="198"/>
      <c r="Y832" s="198"/>
      <c r="Z832" s="198"/>
      <c r="AA832" s="198"/>
    </row>
    <row r="833">
      <c r="A833" s="201"/>
      <c r="B833" s="201"/>
      <c r="C833" s="198"/>
      <c r="D833" s="198"/>
      <c r="E833" s="198"/>
      <c r="F833" s="198"/>
      <c r="G833" s="198"/>
      <c r="H833" s="198"/>
      <c r="I833" s="198"/>
      <c r="J833" s="198"/>
      <c r="K833" s="198"/>
      <c r="M833" s="198"/>
      <c r="N833" s="198"/>
      <c r="O833" s="198"/>
      <c r="P833" s="198"/>
      <c r="Q833" s="198"/>
      <c r="R833" s="198"/>
      <c r="S833" s="198"/>
      <c r="T833" s="198"/>
      <c r="U833" s="198"/>
      <c r="V833" s="198"/>
      <c r="W833" s="198"/>
      <c r="X833" s="198"/>
      <c r="Y833" s="198"/>
      <c r="Z833" s="198"/>
      <c r="AA833" s="198"/>
    </row>
    <row r="834">
      <c r="A834" s="201"/>
      <c r="B834" s="201"/>
      <c r="C834" s="198"/>
      <c r="D834" s="198"/>
      <c r="E834" s="198"/>
      <c r="F834" s="198"/>
      <c r="G834" s="198"/>
      <c r="H834" s="198"/>
      <c r="I834" s="198"/>
      <c r="J834" s="198"/>
      <c r="K834" s="198"/>
      <c r="M834" s="198"/>
      <c r="N834" s="198"/>
      <c r="O834" s="198"/>
      <c r="P834" s="198"/>
      <c r="Q834" s="198"/>
      <c r="R834" s="198"/>
      <c r="S834" s="198"/>
      <c r="T834" s="198"/>
      <c r="U834" s="198"/>
      <c r="V834" s="198"/>
      <c r="W834" s="198"/>
      <c r="X834" s="198"/>
      <c r="Y834" s="198"/>
      <c r="Z834" s="198"/>
      <c r="AA834" s="198"/>
    </row>
    <row r="835">
      <c r="A835" s="201"/>
      <c r="B835" s="201"/>
      <c r="C835" s="198"/>
      <c r="D835" s="198"/>
      <c r="E835" s="198"/>
      <c r="F835" s="198"/>
      <c r="G835" s="198"/>
      <c r="H835" s="198"/>
      <c r="I835" s="198"/>
      <c r="J835" s="198"/>
      <c r="K835" s="198"/>
      <c r="M835" s="198"/>
      <c r="N835" s="198"/>
      <c r="O835" s="198"/>
      <c r="P835" s="198"/>
      <c r="Q835" s="198"/>
      <c r="R835" s="198"/>
      <c r="S835" s="198"/>
      <c r="T835" s="198"/>
      <c r="U835" s="198"/>
      <c r="V835" s="198"/>
      <c r="W835" s="198"/>
      <c r="X835" s="198"/>
      <c r="Y835" s="198"/>
      <c r="Z835" s="198"/>
      <c r="AA835" s="198"/>
    </row>
    <row r="836">
      <c r="A836" s="201"/>
      <c r="B836" s="201"/>
      <c r="C836" s="198"/>
      <c r="D836" s="198"/>
      <c r="E836" s="198"/>
      <c r="F836" s="198"/>
      <c r="G836" s="198"/>
      <c r="H836" s="198"/>
      <c r="I836" s="198"/>
      <c r="J836" s="198"/>
      <c r="K836" s="198"/>
      <c r="M836" s="198"/>
      <c r="N836" s="198"/>
      <c r="O836" s="198"/>
      <c r="P836" s="198"/>
      <c r="Q836" s="198"/>
      <c r="R836" s="198"/>
      <c r="S836" s="198"/>
      <c r="T836" s="198"/>
      <c r="U836" s="198"/>
      <c r="V836" s="198"/>
      <c r="W836" s="198"/>
      <c r="X836" s="198"/>
      <c r="Y836" s="198"/>
      <c r="Z836" s="198"/>
      <c r="AA836" s="198"/>
    </row>
    <row r="837">
      <c r="A837" s="201"/>
      <c r="B837" s="201"/>
      <c r="C837" s="198"/>
      <c r="D837" s="198"/>
      <c r="E837" s="198"/>
      <c r="F837" s="198"/>
      <c r="G837" s="198"/>
      <c r="H837" s="198"/>
      <c r="I837" s="198"/>
      <c r="J837" s="198"/>
      <c r="K837" s="198"/>
      <c r="M837" s="198"/>
      <c r="N837" s="198"/>
      <c r="O837" s="198"/>
      <c r="P837" s="198"/>
      <c r="Q837" s="198"/>
      <c r="R837" s="198"/>
      <c r="S837" s="198"/>
      <c r="T837" s="198"/>
      <c r="U837" s="198"/>
      <c r="V837" s="198"/>
      <c r="W837" s="198"/>
      <c r="X837" s="198"/>
      <c r="Y837" s="198"/>
      <c r="Z837" s="198"/>
      <c r="AA837" s="198"/>
    </row>
    <row r="838">
      <c r="A838" s="201"/>
      <c r="B838" s="201"/>
      <c r="C838" s="198"/>
      <c r="D838" s="198"/>
      <c r="E838" s="198"/>
      <c r="F838" s="198"/>
      <c r="G838" s="198"/>
      <c r="H838" s="198"/>
      <c r="I838" s="198"/>
      <c r="J838" s="198"/>
      <c r="K838" s="198"/>
      <c r="M838" s="198"/>
      <c r="N838" s="198"/>
      <c r="O838" s="198"/>
      <c r="P838" s="198"/>
      <c r="Q838" s="198"/>
      <c r="R838" s="198"/>
      <c r="S838" s="198"/>
      <c r="T838" s="198"/>
      <c r="U838" s="198"/>
      <c r="V838" s="198"/>
      <c r="W838" s="198"/>
      <c r="X838" s="198"/>
      <c r="Y838" s="198"/>
      <c r="Z838" s="198"/>
      <c r="AA838" s="198"/>
    </row>
    <row r="839">
      <c r="A839" s="201"/>
      <c r="B839" s="201"/>
      <c r="C839" s="198"/>
      <c r="D839" s="198"/>
      <c r="E839" s="198"/>
      <c r="F839" s="198"/>
      <c r="G839" s="198"/>
      <c r="H839" s="198"/>
      <c r="I839" s="198"/>
      <c r="J839" s="198"/>
      <c r="K839" s="198"/>
      <c r="M839" s="198"/>
      <c r="N839" s="198"/>
      <c r="O839" s="198"/>
      <c r="P839" s="198"/>
      <c r="Q839" s="198"/>
      <c r="R839" s="198"/>
      <c r="S839" s="198"/>
      <c r="T839" s="198"/>
      <c r="U839" s="198"/>
      <c r="V839" s="198"/>
      <c r="W839" s="198"/>
      <c r="X839" s="198"/>
      <c r="Y839" s="198"/>
      <c r="Z839" s="198"/>
      <c r="AA839" s="198"/>
    </row>
    <row r="840">
      <c r="A840" s="201"/>
      <c r="B840" s="201"/>
      <c r="C840" s="198"/>
      <c r="D840" s="198"/>
      <c r="E840" s="198"/>
      <c r="F840" s="198"/>
      <c r="G840" s="198"/>
      <c r="H840" s="198"/>
      <c r="I840" s="198"/>
      <c r="J840" s="198"/>
      <c r="K840" s="198"/>
      <c r="M840" s="198"/>
      <c r="N840" s="198"/>
      <c r="O840" s="198"/>
      <c r="P840" s="198"/>
      <c r="Q840" s="198"/>
      <c r="R840" s="198"/>
      <c r="S840" s="198"/>
      <c r="T840" s="198"/>
      <c r="U840" s="198"/>
      <c r="V840" s="198"/>
      <c r="W840" s="198"/>
      <c r="X840" s="198"/>
      <c r="Y840" s="198"/>
      <c r="Z840" s="198"/>
      <c r="AA840" s="198"/>
    </row>
    <row r="841">
      <c r="A841" s="201"/>
      <c r="B841" s="201"/>
      <c r="C841" s="198"/>
      <c r="D841" s="198"/>
      <c r="E841" s="198"/>
      <c r="F841" s="198"/>
      <c r="G841" s="198"/>
      <c r="H841" s="198"/>
      <c r="I841" s="198"/>
      <c r="J841" s="198"/>
      <c r="K841" s="198"/>
      <c r="M841" s="198"/>
      <c r="N841" s="198"/>
      <c r="O841" s="198"/>
      <c r="P841" s="198"/>
      <c r="Q841" s="198"/>
      <c r="R841" s="198"/>
      <c r="S841" s="198"/>
      <c r="T841" s="198"/>
      <c r="U841" s="198"/>
      <c r="V841" s="198"/>
      <c r="W841" s="198"/>
      <c r="X841" s="198"/>
      <c r="Y841" s="198"/>
      <c r="Z841" s="198"/>
      <c r="AA841" s="198"/>
    </row>
    <row r="842">
      <c r="A842" s="201"/>
      <c r="B842" s="201"/>
      <c r="C842" s="198"/>
      <c r="D842" s="198"/>
      <c r="E842" s="198"/>
      <c r="F842" s="198"/>
      <c r="G842" s="198"/>
      <c r="H842" s="198"/>
      <c r="I842" s="198"/>
      <c r="J842" s="198"/>
      <c r="K842" s="198"/>
      <c r="M842" s="198"/>
      <c r="N842" s="198"/>
      <c r="O842" s="198"/>
      <c r="P842" s="198"/>
      <c r="Q842" s="198"/>
      <c r="R842" s="198"/>
      <c r="S842" s="198"/>
      <c r="T842" s="198"/>
      <c r="U842" s="198"/>
      <c r="V842" s="198"/>
      <c r="W842" s="198"/>
      <c r="X842" s="198"/>
      <c r="Y842" s="198"/>
      <c r="Z842" s="198"/>
      <c r="AA842" s="198"/>
    </row>
    <row r="843">
      <c r="A843" s="201"/>
      <c r="B843" s="201"/>
      <c r="C843" s="198"/>
      <c r="D843" s="198"/>
      <c r="E843" s="198"/>
      <c r="F843" s="198"/>
      <c r="G843" s="198"/>
      <c r="H843" s="198"/>
      <c r="I843" s="198"/>
      <c r="J843" s="198"/>
      <c r="K843" s="198"/>
      <c r="M843" s="198"/>
      <c r="N843" s="198"/>
      <c r="O843" s="198"/>
      <c r="P843" s="198"/>
      <c r="Q843" s="198"/>
      <c r="R843" s="198"/>
      <c r="S843" s="198"/>
      <c r="T843" s="198"/>
      <c r="U843" s="198"/>
      <c r="V843" s="198"/>
      <c r="W843" s="198"/>
      <c r="X843" s="198"/>
      <c r="Y843" s="198"/>
      <c r="Z843" s="198"/>
      <c r="AA843" s="198"/>
    </row>
    <row r="844">
      <c r="A844" s="201"/>
      <c r="B844" s="201"/>
      <c r="C844" s="198"/>
      <c r="D844" s="198"/>
      <c r="E844" s="198"/>
      <c r="F844" s="198"/>
      <c r="G844" s="198"/>
      <c r="H844" s="198"/>
      <c r="I844" s="198"/>
      <c r="J844" s="198"/>
      <c r="K844" s="198"/>
      <c r="M844" s="198"/>
      <c r="N844" s="198"/>
      <c r="O844" s="198"/>
      <c r="P844" s="198"/>
      <c r="Q844" s="198"/>
      <c r="R844" s="198"/>
      <c r="S844" s="198"/>
      <c r="T844" s="198"/>
      <c r="U844" s="198"/>
      <c r="V844" s="198"/>
      <c r="W844" s="198"/>
      <c r="X844" s="198"/>
      <c r="Y844" s="198"/>
      <c r="Z844" s="198"/>
      <c r="AA844" s="198"/>
    </row>
    <row r="845">
      <c r="A845" s="201"/>
      <c r="B845" s="201"/>
      <c r="C845" s="198"/>
      <c r="D845" s="198"/>
      <c r="E845" s="198"/>
      <c r="F845" s="198"/>
      <c r="G845" s="198"/>
      <c r="H845" s="198"/>
      <c r="I845" s="198"/>
      <c r="J845" s="198"/>
      <c r="K845" s="198"/>
      <c r="M845" s="198"/>
      <c r="N845" s="198"/>
      <c r="O845" s="198"/>
      <c r="P845" s="198"/>
      <c r="Q845" s="198"/>
      <c r="R845" s="198"/>
      <c r="S845" s="198"/>
      <c r="T845" s="198"/>
      <c r="U845" s="198"/>
      <c r="V845" s="198"/>
      <c r="W845" s="198"/>
      <c r="X845" s="198"/>
      <c r="Y845" s="198"/>
      <c r="Z845" s="198"/>
      <c r="AA845" s="198"/>
    </row>
    <row r="846">
      <c r="A846" s="201"/>
      <c r="B846" s="201"/>
      <c r="C846" s="198"/>
      <c r="D846" s="198"/>
      <c r="E846" s="198"/>
      <c r="F846" s="198"/>
      <c r="G846" s="198"/>
      <c r="H846" s="198"/>
      <c r="I846" s="198"/>
      <c r="J846" s="198"/>
      <c r="K846" s="198"/>
      <c r="M846" s="198"/>
      <c r="N846" s="198"/>
      <c r="O846" s="198"/>
      <c r="P846" s="198"/>
      <c r="Q846" s="198"/>
      <c r="R846" s="198"/>
      <c r="S846" s="198"/>
      <c r="T846" s="198"/>
      <c r="U846" s="198"/>
      <c r="V846" s="198"/>
      <c r="W846" s="198"/>
      <c r="X846" s="198"/>
      <c r="Y846" s="198"/>
      <c r="Z846" s="198"/>
      <c r="AA846" s="198"/>
    </row>
    <row r="847">
      <c r="A847" s="201"/>
      <c r="B847" s="201"/>
      <c r="C847" s="198"/>
      <c r="D847" s="198"/>
      <c r="E847" s="198"/>
      <c r="F847" s="198"/>
      <c r="G847" s="198"/>
      <c r="H847" s="198"/>
      <c r="I847" s="198"/>
      <c r="J847" s="198"/>
      <c r="K847" s="198"/>
      <c r="M847" s="198"/>
      <c r="N847" s="198"/>
      <c r="O847" s="198"/>
      <c r="P847" s="198"/>
      <c r="Q847" s="198"/>
      <c r="R847" s="198"/>
      <c r="S847" s="198"/>
      <c r="T847" s="198"/>
      <c r="U847" s="198"/>
      <c r="V847" s="198"/>
      <c r="W847" s="198"/>
      <c r="X847" s="198"/>
      <c r="Y847" s="198"/>
      <c r="Z847" s="198"/>
      <c r="AA847" s="198"/>
    </row>
    <row r="848">
      <c r="A848" s="201"/>
      <c r="B848" s="201"/>
      <c r="C848" s="198"/>
      <c r="D848" s="198"/>
      <c r="E848" s="198"/>
      <c r="F848" s="198"/>
      <c r="G848" s="198"/>
      <c r="H848" s="198"/>
      <c r="I848" s="198"/>
      <c r="J848" s="198"/>
      <c r="K848" s="198"/>
      <c r="M848" s="198"/>
      <c r="N848" s="198"/>
      <c r="O848" s="198"/>
      <c r="P848" s="198"/>
      <c r="Q848" s="198"/>
      <c r="R848" s="198"/>
      <c r="S848" s="198"/>
      <c r="T848" s="198"/>
      <c r="U848" s="198"/>
      <c r="V848" s="198"/>
      <c r="W848" s="198"/>
      <c r="X848" s="198"/>
      <c r="Y848" s="198"/>
      <c r="Z848" s="198"/>
      <c r="AA848" s="198"/>
    </row>
    <row r="849">
      <c r="A849" s="201"/>
      <c r="B849" s="201"/>
      <c r="C849" s="198"/>
      <c r="D849" s="198"/>
      <c r="E849" s="198"/>
      <c r="F849" s="198"/>
      <c r="G849" s="198"/>
      <c r="H849" s="198"/>
      <c r="I849" s="198"/>
      <c r="J849" s="198"/>
      <c r="K849" s="198"/>
      <c r="M849" s="198"/>
      <c r="N849" s="198"/>
      <c r="O849" s="198"/>
      <c r="P849" s="198"/>
      <c r="Q849" s="198"/>
      <c r="R849" s="198"/>
      <c r="S849" s="198"/>
      <c r="T849" s="198"/>
      <c r="U849" s="198"/>
      <c r="V849" s="198"/>
      <c r="W849" s="198"/>
      <c r="X849" s="198"/>
      <c r="Y849" s="198"/>
      <c r="Z849" s="198"/>
      <c r="AA849" s="198"/>
    </row>
    <row r="850">
      <c r="A850" s="201"/>
      <c r="B850" s="201"/>
      <c r="C850" s="198"/>
      <c r="D850" s="198"/>
      <c r="E850" s="198"/>
      <c r="F850" s="198"/>
      <c r="G850" s="198"/>
      <c r="H850" s="198"/>
      <c r="I850" s="198"/>
      <c r="J850" s="198"/>
      <c r="K850" s="198"/>
      <c r="M850" s="198"/>
      <c r="N850" s="198"/>
      <c r="O850" s="198"/>
      <c r="P850" s="198"/>
      <c r="Q850" s="198"/>
      <c r="R850" s="198"/>
      <c r="S850" s="198"/>
      <c r="T850" s="198"/>
      <c r="U850" s="198"/>
      <c r="V850" s="198"/>
      <c r="W850" s="198"/>
      <c r="X850" s="198"/>
      <c r="Y850" s="198"/>
      <c r="Z850" s="198"/>
      <c r="AA850" s="198"/>
    </row>
    <row r="851">
      <c r="A851" s="201"/>
      <c r="B851" s="201"/>
      <c r="C851" s="198"/>
      <c r="D851" s="198"/>
      <c r="E851" s="198"/>
      <c r="F851" s="198"/>
      <c r="G851" s="198"/>
      <c r="H851" s="198"/>
      <c r="I851" s="198"/>
      <c r="J851" s="198"/>
      <c r="K851" s="198"/>
      <c r="M851" s="198"/>
      <c r="N851" s="198"/>
      <c r="O851" s="198"/>
      <c r="P851" s="198"/>
      <c r="Q851" s="198"/>
      <c r="R851" s="198"/>
      <c r="S851" s="198"/>
      <c r="T851" s="198"/>
      <c r="U851" s="198"/>
      <c r="V851" s="198"/>
      <c r="W851" s="198"/>
      <c r="X851" s="198"/>
      <c r="Y851" s="198"/>
      <c r="Z851" s="198"/>
      <c r="AA851" s="198"/>
    </row>
    <row r="852">
      <c r="A852" s="201"/>
      <c r="B852" s="201"/>
      <c r="C852" s="198"/>
      <c r="D852" s="198"/>
      <c r="E852" s="198"/>
      <c r="F852" s="198"/>
      <c r="G852" s="198"/>
      <c r="H852" s="198"/>
      <c r="I852" s="198"/>
      <c r="J852" s="198"/>
      <c r="K852" s="198"/>
      <c r="M852" s="198"/>
      <c r="N852" s="198"/>
      <c r="O852" s="198"/>
      <c r="P852" s="198"/>
      <c r="Q852" s="198"/>
      <c r="R852" s="198"/>
      <c r="S852" s="198"/>
      <c r="T852" s="198"/>
      <c r="U852" s="198"/>
      <c r="V852" s="198"/>
      <c r="W852" s="198"/>
      <c r="X852" s="198"/>
      <c r="Y852" s="198"/>
      <c r="Z852" s="198"/>
      <c r="AA852" s="198"/>
    </row>
    <row r="853">
      <c r="A853" s="201"/>
      <c r="B853" s="201"/>
      <c r="C853" s="198"/>
      <c r="D853" s="198"/>
      <c r="E853" s="198"/>
      <c r="F853" s="198"/>
      <c r="G853" s="198"/>
      <c r="H853" s="198"/>
      <c r="I853" s="198"/>
      <c r="J853" s="198"/>
      <c r="K853" s="198"/>
      <c r="M853" s="198"/>
      <c r="N853" s="198"/>
      <c r="O853" s="198"/>
      <c r="P853" s="198"/>
      <c r="Q853" s="198"/>
      <c r="R853" s="198"/>
      <c r="S853" s="198"/>
      <c r="T853" s="198"/>
      <c r="U853" s="198"/>
      <c r="V853" s="198"/>
      <c r="W853" s="198"/>
      <c r="X853" s="198"/>
      <c r="Y853" s="198"/>
      <c r="Z853" s="198"/>
      <c r="AA853" s="198"/>
    </row>
    <row r="854">
      <c r="A854" s="201"/>
      <c r="B854" s="201"/>
      <c r="C854" s="198"/>
      <c r="D854" s="198"/>
      <c r="E854" s="198"/>
      <c r="F854" s="198"/>
      <c r="G854" s="198"/>
      <c r="H854" s="198"/>
      <c r="I854" s="198"/>
      <c r="J854" s="198"/>
      <c r="K854" s="198"/>
      <c r="M854" s="198"/>
      <c r="N854" s="198"/>
      <c r="O854" s="198"/>
      <c r="P854" s="198"/>
      <c r="Q854" s="198"/>
      <c r="R854" s="198"/>
      <c r="S854" s="198"/>
      <c r="T854" s="198"/>
      <c r="U854" s="198"/>
      <c r="V854" s="198"/>
      <c r="W854" s="198"/>
      <c r="X854" s="198"/>
      <c r="Y854" s="198"/>
      <c r="Z854" s="198"/>
      <c r="AA854" s="198"/>
    </row>
    <row r="855">
      <c r="A855" s="201"/>
      <c r="B855" s="201"/>
      <c r="C855" s="198"/>
      <c r="D855" s="198"/>
      <c r="E855" s="198"/>
      <c r="F855" s="198"/>
      <c r="G855" s="198"/>
      <c r="H855" s="198"/>
      <c r="I855" s="198"/>
      <c r="J855" s="198"/>
      <c r="K855" s="198"/>
      <c r="M855" s="198"/>
      <c r="N855" s="198"/>
      <c r="O855" s="198"/>
      <c r="P855" s="198"/>
      <c r="Q855" s="198"/>
      <c r="R855" s="198"/>
      <c r="S855" s="198"/>
      <c r="T855" s="198"/>
      <c r="U855" s="198"/>
      <c r="V855" s="198"/>
      <c r="W855" s="198"/>
      <c r="X855" s="198"/>
      <c r="Y855" s="198"/>
      <c r="Z855" s="198"/>
      <c r="AA855" s="198"/>
    </row>
    <row r="856">
      <c r="A856" s="201"/>
      <c r="B856" s="201"/>
      <c r="C856" s="198"/>
      <c r="D856" s="198"/>
      <c r="E856" s="198"/>
      <c r="F856" s="198"/>
      <c r="G856" s="198"/>
      <c r="H856" s="198"/>
      <c r="I856" s="198"/>
      <c r="J856" s="198"/>
      <c r="K856" s="198"/>
      <c r="M856" s="198"/>
      <c r="N856" s="198"/>
      <c r="O856" s="198"/>
      <c r="P856" s="198"/>
      <c r="Q856" s="198"/>
      <c r="R856" s="198"/>
      <c r="S856" s="198"/>
      <c r="T856" s="198"/>
      <c r="U856" s="198"/>
      <c r="V856" s="198"/>
      <c r="W856" s="198"/>
      <c r="X856" s="198"/>
      <c r="Y856" s="198"/>
      <c r="Z856" s="198"/>
      <c r="AA856" s="198"/>
    </row>
    <row r="857">
      <c r="A857" s="201"/>
      <c r="B857" s="201"/>
      <c r="C857" s="198"/>
      <c r="D857" s="198"/>
      <c r="E857" s="198"/>
      <c r="F857" s="198"/>
      <c r="G857" s="198"/>
      <c r="H857" s="198"/>
      <c r="I857" s="198"/>
      <c r="J857" s="198"/>
      <c r="K857" s="198"/>
      <c r="M857" s="198"/>
      <c r="N857" s="198"/>
      <c r="O857" s="198"/>
      <c r="P857" s="198"/>
      <c r="Q857" s="198"/>
      <c r="R857" s="198"/>
      <c r="S857" s="198"/>
      <c r="T857" s="198"/>
      <c r="U857" s="198"/>
      <c r="V857" s="198"/>
      <c r="W857" s="198"/>
      <c r="X857" s="198"/>
      <c r="Y857" s="198"/>
      <c r="Z857" s="198"/>
      <c r="AA857" s="198"/>
    </row>
    <row r="858">
      <c r="A858" s="201"/>
      <c r="B858" s="201"/>
      <c r="C858" s="198"/>
      <c r="D858" s="198"/>
      <c r="E858" s="198"/>
      <c r="F858" s="198"/>
      <c r="G858" s="198"/>
      <c r="H858" s="198"/>
      <c r="I858" s="198"/>
      <c r="J858" s="198"/>
      <c r="K858" s="198"/>
      <c r="M858" s="198"/>
      <c r="N858" s="198"/>
      <c r="O858" s="198"/>
      <c r="P858" s="198"/>
      <c r="Q858" s="198"/>
      <c r="R858" s="198"/>
      <c r="S858" s="198"/>
      <c r="T858" s="198"/>
      <c r="U858" s="198"/>
      <c r="V858" s="198"/>
      <c r="W858" s="198"/>
      <c r="X858" s="198"/>
      <c r="Y858" s="198"/>
      <c r="Z858" s="198"/>
      <c r="AA858" s="198"/>
    </row>
    <row r="859">
      <c r="A859" s="201"/>
      <c r="B859" s="201"/>
      <c r="C859" s="198"/>
      <c r="D859" s="198"/>
      <c r="E859" s="198"/>
      <c r="F859" s="198"/>
      <c r="G859" s="198"/>
      <c r="H859" s="198"/>
      <c r="I859" s="198"/>
      <c r="J859" s="198"/>
      <c r="K859" s="198"/>
      <c r="M859" s="198"/>
      <c r="N859" s="198"/>
      <c r="O859" s="198"/>
      <c r="P859" s="198"/>
      <c r="Q859" s="198"/>
      <c r="R859" s="198"/>
      <c r="S859" s="198"/>
      <c r="T859" s="198"/>
      <c r="U859" s="198"/>
      <c r="V859" s="198"/>
      <c r="W859" s="198"/>
      <c r="X859" s="198"/>
      <c r="Y859" s="198"/>
      <c r="Z859" s="198"/>
      <c r="AA859" s="198"/>
    </row>
    <row r="860">
      <c r="A860" s="201"/>
      <c r="B860" s="201"/>
      <c r="C860" s="198"/>
      <c r="D860" s="198"/>
      <c r="E860" s="198"/>
      <c r="F860" s="198"/>
      <c r="G860" s="198"/>
      <c r="H860" s="198"/>
      <c r="I860" s="198"/>
      <c r="J860" s="198"/>
      <c r="K860" s="198"/>
      <c r="M860" s="198"/>
      <c r="N860" s="198"/>
      <c r="O860" s="198"/>
      <c r="P860" s="198"/>
      <c r="Q860" s="198"/>
      <c r="R860" s="198"/>
      <c r="S860" s="198"/>
      <c r="T860" s="198"/>
      <c r="U860" s="198"/>
      <c r="V860" s="198"/>
      <c r="W860" s="198"/>
      <c r="X860" s="198"/>
      <c r="Y860" s="198"/>
      <c r="Z860" s="198"/>
      <c r="AA860" s="198"/>
    </row>
    <row r="861">
      <c r="A861" s="201"/>
      <c r="B861" s="201"/>
      <c r="C861" s="198"/>
      <c r="D861" s="198"/>
      <c r="E861" s="198"/>
      <c r="F861" s="198"/>
      <c r="G861" s="198"/>
      <c r="H861" s="198"/>
      <c r="I861" s="198"/>
      <c r="J861" s="198"/>
      <c r="K861" s="198"/>
      <c r="M861" s="198"/>
      <c r="N861" s="198"/>
      <c r="O861" s="198"/>
      <c r="P861" s="198"/>
      <c r="Q861" s="198"/>
      <c r="R861" s="198"/>
      <c r="S861" s="198"/>
      <c r="T861" s="198"/>
      <c r="U861" s="198"/>
      <c r="V861" s="198"/>
      <c r="W861" s="198"/>
      <c r="X861" s="198"/>
      <c r="Y861" s="198"/>
      <c r="Z861" s="198"/>
      <c r="AA861" s="198"/>
    </row>
    <row r="862">
      <c r="A862" s="201"/>
      <c r="B862" s="201"/>
      <c r="C862" s="198"/>
      <c r="D862" s="198"/>
      <c r="E862" s="198"/>
      <c r="F862" s="198"/>
      <c r="G862" s="198"/>
      <c r="H862" s="198"/>
      <c r="I862" s="198"/>
      <c r="J862" s="198"/>
      <c r="K862" s="198"/>
      <c r="M862" s="198"/>
      <c r="N862" s="198"/>
      <c r="O862" s="198"/>
      <c r="P862" s="198"/>
      <c r="Q862" s="198"/>
      <c r="R862" s="198"/>
      <c r="S862" s="198"/>
      <c r="T862" s="198"/>
      <c r="U862" s="198"/>
      <c r="V862" s="198"/>
      <c r="W862" s="198"/>
      <c r="X862" s="198"/>
      <c r="Y862" s="198"/>
      <c r="Z862" s="198"/>
      <c r="AA862" s="198"/>
    </row>
    <row r="863">
      <c r="A863" s="201"/>
      <c r="B863" s="201"/>
      <c r="C863" s="198"/>
      <c r="D863" s="198"/>
      <c r="E863" s="198"/>
      <c r="F863" s="198"/>
      <c r="G863" s="198"/>
      <c r="H863" s="198"/>
      <c r="I863" s="198"/>
      <c r="J863" s="198"/>
      <c r="K863" s="198"/>
      <c r="M863" s="198"/>
      <c r="N863" s="198"/>
      <c r="O863" s="198"/>
      <c r="P863" s="198"/>
      <c r="Q863" s="198"/>
      <c r="R863" s="198"/>
      <c r="S863" s="198"/>
      <c r="T863" s="198"/>
      <c r="U863" s="198"/>
      <c r="V863" s="198"/>
      <c r="W863" s="198"/>
      <c r="X863" s="198"/>
      <c r="Y863" s="198"/>
      <c r="Z863" s="198"/>
      <c r="AA863" s="198"/>
    </row>
    <row r="864">
      <c r="A864" s="201"/>
      <c r="B864" s="201"/>
      <c r="C864" s="198"/>
      <c r="D864" s="198"/>
      <c r="E864" s="198"/>
      <c r="F864" s="198"/>
      <c r="G864" s="198"/>
      <c r="H864" s="198"/>
      <c r="I864" s="198"/>
      <c r="J864" s="198"/>
      <c r="K864" s="198"/>
      <c r="M864" s="198"/>
      <c r="N864" s="198"/>
      <c r="O864" s="198"/>
      <c r="P864" s="198"/>
      <c r="Q864" s="198"/>
      <c r="R864" s="198"/>
      <c r="S864" s="198"/>
      <c r="T864" s="198"/>
      <c r="U864" s="198"/>
      <c r="V864" s="198"/>
      <c r="W864" s="198"/>
      <c r="X864" s="198"/>
      <c r="Y864" s="198"/>
      <c r="Z864" s="198"/>
      <c r="AA864" s="198"/>
    </row>
    <row r="865">
      <c r="A865" s="201"/>
      <c r="B865" s="201"/>
      <c r="C865" s="198"/>
      <c r="D865" s="198"/>
      <c r="E865" s="198"/>
      <c r="F865" s="198"/>
      <c r="G865" s="198"/>
      <c r="H865" s="198"/>
      <c r="I865" s="198"/>
      <c r="J865" s="198"/>
      <c r="K865" s="198"/>
      <c r="M865" s="198"/>
      <c r="N865" s="198"/>
      <c r="O865" s="198"/>
      <c r="P865" s="198"/>
      <c r="Q865" s="198"/>
      <c r="R865" s="198"/>
      <c r="S865" s="198"/>
      <c r="T865" s="198"/>
      <c r="U865" s="198"/>
      <c r="V865" s="198"/>
      <c r="W865" s="198"/>
      <c r="X865" s="198"/>
      <c r="Y865" s="198"/>
      <c r="Z865" s="198"/>
      <c r="AA865" s="198"/>
    </row>
    <row r="866">
      <c r="A866" s="201"/>
      <c r="B866" s="201"/>
      <c r="C866" s="198"/>
      <c r="D866" s="198"/>
      <c r="E866" s="198"/>
      <c r="F866" s="198"/>
      <c r="G866" s="198"/>
      <c r="H866" s="198"/>
      <c r="I866" s="198"/>
      <c r="J866" s="198"/>
      <c r="K866" s="198"/>
      <c r="M866" s="198"/>
      <c r="N866" s="198"/>
      <c r="O866" s="198"/>
      <c r="P866" s="198"/>
      <c r="Q866" s="198"/>
      <c r="R866" s="198"/>
      <c r="S866" s="198"/>
      <c r="T866" s="198"/>
      <c r="U866" s="198"/>
      <c r="V866" s="198"/>
      <c r="W866" s="198"/>
      <c r="X866" s="198"/>
      <c r="Y866" s="198"/>
      <c r="Z866" s="198"/>
      <c r="AA866" s="198"/>
    </row>
    <row r="867">
      <c r="A867" s="201"/>
      <c r="B867" s="201"/>
      <c r="C867" s="198"/>
      <c r="D867" s="198"/>
      <c r="E867" s="198"/>
      <c r="F867" s="198"/>
      <c r="G867" s="198"/>
      <c r="H867" s="198"/>
      <c r="I867" s="198"/>
      <c r="J867" s="198"/>
      <c r="K867" s="198"/>
      <c r="M867" s="198"/>
      <c r="N867" s="198"/>
      <c r="O867" s="198"/>
      <c r="P867" s="198"/>
      <c r="Q867" s="198"/>
      <c r="R867" s="198"/>
      <c r="S867" s="198"/>
      <c r="T867" s="198"/>
      <c r="U867" s="198"/>
      <c r="V867" s="198"/>
      <c r="W867" s="198"/>
      <c r="X867" s="198"/>
      <c r="Y867" s="198"/>
      <c r="Z867" s="198"/>
      <c r="AA867" s="198"/>
    </row>
    <row r="868">
      <c r="A868" s="201"/>
      <c r="B868" s="201"/>
      <c r="C868" s="198"/>
      <c r="D868" s="198"/>
      <c r="E868" s="198"/>
      <c r="F868" s="198"/>
      <c r="G868" s="198"/>
      <c r="H868" s="198"/>
      <c r="I868" s="198"/>
      <c r="J868" s="198"/>
      <c r="K868" s="198"/>
      <c r="M868" s="198"/>
      <c r="N868" s="198"/>
      <c r="O868" s="198"/>
      <c r="P868" s="198"/>
      <c r="Q868" s="198"/>
      <c r="R868" s="198"/>
      <c r="S868" s="198"/>
      <c r="T868" s="198"/>
      <c r="U868" s="198"/>
      <c r="V868" s="198"/>
      <c r="W868" s="198"/>
      <c r="X868" s="198"/>
      <c r="Y868" s="198"/>
      <c r="Z868" s="198"/>
      <c r="AA868" s="198"/>
    </row>
    <row r="869">
      <c r="A869" s="201"/>
      <c r="B869" s="201"/>
      <c r="C869" s="198"/>
      <c r="D869" s="198"/>
      <c r="E869" s="198"/>
      <c r="F869" s="198"/>
      <c r="G869" s="198"/>
      <c r="H869" s="198"/>
      <c r="I869" s="198"/>
      <c r="J869" s="198"/>
      <c r="K869" s="198"/>
      <c r="M869" s="198"/>
      <c r="N869" s="198"/>
      <c r="O869" s="198"/>
      <c r="P869" s="198"/>
      <c r="Q869" s="198"/>
      <c r="R869" s="198"/>
      <c r="S869" s="198"/>
      <c r="T869" s="198"/>
      <c r="U869" s="198"/>
      <c r="V869" s="198"/>
      <c r="W869" s="198"/>
      <c r="X869" s="198"/>
      <c r="Y869" s="198"/>
      <c r="Z869" s="198"/>
      <c r="AA869" s="198"/>
    </row>
    <row r="870">
      <c r="A870" s="201"/>
      <c r="B870" s="201"/>
      <c r="C870" s="198"/>
      <c r="D870" s="198"/>
      <c r="E870" s="198"/>
      <c r="F870" s="198"/>
      <c r="G870" s="198"/>
      <c r="H870" s="198"/>
      <c r="I870" s="198"/>
      <c r="J870" s="198"/>
      <c r="K870" s="198"/>
      <c r="M870" s="198"/>
      <c r="N870" s="198"/>
      <c r="O870" s="198"/>
      <c r="P870" s="198"/>
      <c r="Q870" s="198"/>
      <c r="R870" s="198"/>
      <c r="S870" s="198"/>
      <c r="T870" s="198"/>
      <c r="U870" s="198"/>
      <c r="V870" s="198"/>
      <c r="W870" s="198"/>
      <c r="X870" s="198"/>
      <c r="Y870" s="198"/>
      <c r="Z870" s="198"/>
      <c r="AA870" s="198"/>
    </row>
    <row r="871">
      <c r="A871" s="201"/>
      <c r="B871" s="201"/>
      <c r="C871" s="198"/>
      <c r="D871" s="198"/>
      <c r="E871" s="198"/>
      <c r="F871" s="198"/>
      <c r="G871" s="198"/>
      <c r="H871" s="198"/>
      <c r="I871" s="198"/>
      <c r="J871" s="198"/>
      <c r="K871" s="198"/>
      <c r="M871" s="198"/>
      <c r="N871" s="198"/>
      <c r="O871" s="198"/>
      <c r="P871" s="198"/>
      <c r="Q871" s="198"/>
      <c r="R871" s="198"/>
      <c r="S871" s="198"/>
      <c r="T871" s="198"/>
      <c r="U871" s="198"/>
      <c r="V871" s="198"/>
      <c r="W871" s="198"/>
      <c r="X871" s="198"/>
      <c r="Y871" s="198"/>
      <c r="Z871" s="198"/>
      <c r="AA871" s="198"/>
    </row>
    <row r="872">
      <c r="A872" s="201"/>
      <c r="B872" s="201"/>
      <c r="C872" s="198"/>
      <c r="D872" s="198"/>
      <c r="E872" s="198"/>
      <c r="F872" s="198"/>
      <c r="G872" s="198"/>
      <c r="H872" s="198"/>
      <c r="I872" s="198"/>
      <c r="J872" s="198"/>
      <c r="K872" s="198"/>
      <c r="M872" s="198"/>
      <c r="N872" s="198"/>
      <c r="O872" s="198"/>
      <c r="P872" s="198"/>
      <c r="Q872" s="198"/>
      <c r="R872" s="198"/>
      <c r="S872" s="198"/>
      <c r="T872" s="198"/>
      <c r="U872" s="198"/>
      <c r="V872" s="198"/>
      <c r="W872" s="198"/>
      <c r="X872" s="198"/>
      <c r="Y872" s="198"/>
      <c r="Z872" s="198"/>
      <c r="AA872" s="198"/>
    </row>
    <row r="873">
      <c r="A873" s="201"/>
      <c r="B873" s="201"/>
      <c r="C873" s="198"/>
      <c r="D873" s="198"/>
      <c r="E873" s="198"/>
      <c r="F873" s="198"/>
      <c r="G873" s="198"/>
      <c r="H873" s="198"/>
      <c r="I873" s="198"/>
      <c r="J873" s="198"/>
      <c r="K873" s="198"/>
      <c r="M873" s="198"/>
      <c r="N873" s="198"/>
      <c r="O873" s="198"/>
      <c r="P873" s="198"/>
      <c r="Q873" s="198"/>
      <c r="R873" s="198"/>
      <c r="S873" s="198"/>
      <c r="T873" s="198"/>
      <c r="U873" s="198"/>
      <c r="V873" s="198"/>
      <c r="W873" s="198"/>
      <c r="X873" s="198"/>
      <c r="Y873" s="198"/>
      <c r="Z873" s="198"/>
      <c r="AA873" s="198"/>
    </row>
    <row r="874">
      <c r="A874" s="201"/>
      <c r="B874" s="201"/>
      <c r="C874" s="198"/>
      <c r="D874" s="198"/>
      <c r="E874" s="198"/>
      <c r="F874" s="198"/>
      <c r="G874" s="198"/>
      <c r="H874" s="198"/>
      <c r="I874" s="198"/>
      <c r="J874" s="198"/>
      <c r="K874" s="198"/>
      <c r="M874" s="198"/>
      <c r="N874" s="198"/>
      <c r="O874" s="198"/>
      <c r="P874" s="198"/>
      <c r="Q874" s="198"/>
      <c r="R874" s="198"/>
      <c r="S874" s="198"/>
      <c r="T874" s="198"/>
      <c r="U874" s="198"/>
      <c r="V874" s="198"/>
      <c r="W874" s="198"/>
      <c r="X874" s="198"/>
      <c r="Y874" s="198"/>
      <c r="Z874" s="198"/>
      <c r="AA874" s="198"/>
    </row>
    <row r="875">
      <c r="A875" s="201"/>
      <c r="B875" s="201"/>
      <c r="C875" s="198"/>
      <c r="D875" s="198"/>
      <c r="E875" s="198"/>
      <c r="F875" s="198"/>
      <c r="G875" s="198"/>
      <c r="H875" s="198"/>
      <c r="I875" s="198"/>
      <c r="J875" s="198"/>
      <c r="K875" s="198"/>
      <c r="M875" s="198"/>
      <c r="N875" s="198"/>
      <c r="O875" s="198"/>
      <c r="P875" s="198"/>
      <c r="Q875" s="198"/>
      <c r="R875" s="198"/>
      <c r="S875" s="198"/>
      <c r="T875" s="198"/>
      <c r="U875" s="198"/>
      <c r="V875" s="198"/>
      <c r="W875" s="198"/>
      <c r="X875" s="198"/>
      <c r="Y875" s="198"/>
      <c r="Z875" s="198"/>
      <c r="AA875" s="198"/>
    </row>
    <row r="876">
      <c r="A876" s="201"/>
      <c r="B876" s="201"/>
      <c r="C876" s="198"/>
      <c r="D876" s="198"/>
      <c r="E876" s="198"/>
      <c r="F876" s="198"/>
      <c r="G876" s="198"/>
      <c r="H876" s="198"/>
      <c r="I876" s="198"/>
      <c r="J876" s="198"/>
      <c r="K876" s="198"/>
      <c r="M876" s="198"/>
      <c r="N876" s="198"/>
      <c r="O876" s="198"/>
      <c r="P876" s="198"/>
      <c r="Q876" s="198"/>
      <c r="R876" s="198"/>
      <c r="S876" s="198"/>
      <c r="T876" s="198"/>
      <c r="U876" s="198"/>
      <c r="V876" s="198"/>
      <c r="W876" s="198"/>
      <c r="X876" s="198"/>
      <c r="Y876" s="198"/>
      <c r="Z876" s="198"/>
      <c r="AA876" s="198"/>
    </row>
    <row r="877">
      <c r="A877" s="201"/>
      <c r="B877" s="201"/>
      <c r="C877" s="198"/>
      <c r="D877" s="198"/>
      <c r="E877" s="198"/>
      <c r="F877" s="198"/>
      <c r="G877" s="198"/>
      <c r="H877" s="198"/>
      <c r="I877" s="198"/>
      <c r="J877" s="198"/>
      <c r="K877" s="198"/>
      <c r="M877" s="198"/>
      <c r="N877" s="198"/>
      <c r="O877" s="198"/>
      <c r="P877" s="198"/>
      <c r="Q877" s="198"/>
      <c r="R877" s="198"/>
      <c r="S877" s="198"/>
      <c r="T877" s="198"/>
      <c r="U877" s="198"/>
      <c r="V877" s="198"/>
      <c r="W877" s="198"/>
      <c r="X877" s="198"/>
      <c r="Y877" s="198"/>
      <c r="Z877" s="198"/>
      <c r="AA877" s="198"/>
    </row>
    <row r="878">
      <c r="A878" s="201"/>
      <c r="B878" s="201"/>
      <c r="C878" s="198"/>
      <c r="D878" s="198"/>
      <c r="E878" s="198"/>
      <c r="F878" s="198"/>
      <c r="G878" s="198"/>
      <c r="H878" s="198"/>
      <c r="I878" s="198"/>
      <c r="J878" s="198"/>
      <c r="K878" s="198"/>
      <c r="M878" s="198"/>
      <c r="N878" s="198"/>
      <c r="O878" s="198"/>
      <c r="P878" s="198"/>
      <c r="Q878" s="198"/>
      <c r="R878" s="198"/>
      <c r="S878" s="198"/>
      <c r="T878" s="198"/>
      <c r="U878" s="198"/>
      <c r="V878" s="198"/>
      <c r="W878" s="198"/>
      <c r="X878" s="198"/>
      <c r="Y878" s="198"/>
      <c r="Z878" s="198"/>
      <c r="AA878" s="198"/>
    </row>
    <row r="879">
      <c r="A879" s="201"/>
      <c r="B879" s="201"/>
      <c r="C879" s="198"/>
      <c r="D879" s="198"/>
      <c r="E879" s="198"/>
      <c r="F879" s="198"/>
      <c r="G879" s="198"/>
      <c r="H879" s="198"/>
      <c r="I879" s="198"/>
      <c r="J879" s="198"/>
      <c r="K879" s="198"/>
      <c r="M879" s="198"/>
      <c r="N879" s="198"/>
      <c r="O879" s="198"/>
      <c r="P879" s="198"/>
      <c r="Q879" s="198"/>
      <c r="R879" s="198"/>
      <c r="S879" s="198"/>
      <c r="T879" s="198"/>
      <c r="U879" s="198"/>
      <c r="V879" s="198"/>
      <c r="W879" s="198"/>
      <c r="X879" s="198"/>
      <c r="Y879" s="198"/>
      <c r="Z879" s="198"/>
      <c r="AA879" s="198"/>
    </row>
    <row r="880">
      <c r="A880" s="201"/>
      <c r="B880" s="201"/>
      <c r="C880" s="198"/>
      <c r="D880" s="198"/>
      <c r="E880" s="198"/>
      <c r="F880" s="198"/>
      <c r="G880" s="198"/>
      <c r="H880" s="198"/>
      <c r="I880" s="198"/>
      <c r="J880" s="198"/>
      <c r="K880" s="198"/>
      <c r="M880" s="198"/>
      <c r="N880" s="198"/>
      <c r="O880" s="198"/>
      <c r="P880" s="198"/>
      <c r="Q880" s="198"/>
      <c r="R880" s="198"/>
      <c r="S880" s="198"/>
      <c r="T880" s="198"/>
      <c r="U880" s="198"/>
      <c r="V880" s="198"/>
      <c r="W880" s="198"/>
      <c r="X880" s="198"/>
      <c r="Y880" s="198"/>
      <c r="Z880" s="198"/>
      <c r="AA880" s="198"/>
    </row>
    <row r="881">
      <c r="A881" s="201"/>
      <c r="B881" s="201"/>
      <c r="C881" s="198"/>
      <c r="D881" s="198"/>
      <c r="E881" s="198"/>
      <c r="F881" s="198"/>
      <c r="G881" s="198"/>
      <c r="H881" s="198"/>
      <c r="I881" s="198"/>
      <c r="J881" s="198"/>
      <c r="K881" s="198"/>
      <c r="M881" s="198"/>
      <c r="N881" s="198"/>
      <c r="O881" s="198"/>
      <c r="P881" s="198"/>
      <c r="Q881" s="198"/>
      <c r="R881" s="198"/>
      <c r="S881" s="198"/>
      <c r="T881" s="198"/>
      <c r="U881" s="198"/>
      <c r="V881" s="198"/>
      <c r="W881" s="198"/>
      <c r="X881" s="198"/>
      <c r="Y881" s="198"/>
      <c r="Z881" s="198"/>
      <c r="AA881" s="198"/>
    </row>
    <row r="882">
      <c r="A882" s="201"/>
      <c r="B882" s="201"/>
      <c r="C882" s="198"/>
      <c r="D882" s="198"/>
      <c r="E882" s="198"/>
      <c r="F882" s="198"/>
      <c r="G882" s="198"/>
      <c r="H882" s="198"/>
      <c r="I882" s="198"/>
      <c r="J882" s="198"/>
      <c r="K882" s="198"/>
      <c r="M882" s="198"/>
      <c r="N882" s="198"/>
      <c r="O882" s="198"/>
      <c r="P882" s="198"/>
      <c r="Q882" s="198"/>
      <c r="R882" s="198"/>
      <c r="S882" s="198"/>
      <c r="T882" s="198"/>
      <c r="U882" s="198"/>
      <c r="V882" s="198"/>
      <c r="W882" s="198"/>
      <c r="X882" s="198"/>
      <c r="Y882" s="198"/>
      <c r="Z882" s="198"/>
      <c r="AA882" s="198"/>
    </row>
    <row r="883">
      <c r="A883" s="201"/>
      <c r="B883" s="201"/>
      <c r="C883" s="198"/>
      <c r="D883" s="198"/>
      <c r="E883" s="198"/>
      <c r="F883" s="198"/>
      <c r="G883" s="198"/>
      <c r="H883" s="198"/>
      <c r="I883" s="198"/>
      <c r="J883" s="198"/>
      <c r="K883" s="198"/>
      <c r="M883" s="198"/>
      <c r="N883" s="198"/>
      <c r="O883" s="198"/>
      <c r="P883" s="198"/>
      <c r="Q883" s="198"/>
      <c r="R883" s="198"/>
      <c r="S883" s="198"/>
      <c r="T883" s="198"/>
      <c r="U883" s="198"/>
      <c r="V883" s="198"/>
      <c r="W883" s="198"/>
      <c r="X883" s="198"/>
      <c r="Y883" s="198"/>
      <c r="Z883" s="198"/>
      <c r="AA883" s="198"/>
    </row>
    <row r="884">
      <c r="A884" s="201"/>
      <c r="B884" s="201"/>
      <c r="C884" s="198"/>
      <c r="D884" s="198"/>
      <c r="E884" s="198"/>
      <c r="F884" s="198"/>
      <c r="G884" s="198"/>
      <c r="H884" s="198"/>
      <c r="I884" s="198"/>
      <c r="J884" s="198"/>
      <c r="K884" s="198"/>
      <c r="M884" s="198"/>
      <c r="N884" s="198"/>
      <c r="O884" s="198"/>
      <c r="P884" s="198"/>
      <c r="Q884" s="198"/>
      <c r="R884" s="198"/>
      <c r="S884" s="198"/>
      <c r="T884" s="198"/>
      <c r="U884" s="198"/>
      <c r="V884" s="198"/>
      <c r="W884" s="198"/>
      <c r="X884" s="198"/>
      <c r="Y884" s="198"/>
      <c r="Z884" s="198"/>
      <c r="AA884" s="198"/>
    </row>
    <row r="885">
      <c r="A885" s="201"/>
      <c r="B885" s="201"/>
      <c r="C885" s="198"/>
      <c r="D885" s="198"/>
      <c r="E885" s="198"/>
      <c r="F885" s="198"/>
      <c r="G885" s="198"/>
      <c r="H885" s="198"/>
      <c r="I885" s="198"/>
      <c r="J885" s="198"/>
      <c r="K885" s="198"/>
      <c r="M885" s="198"/>
      <c r="N885" s="198"/>
      <c r="O885" s="198"/>
      <c r="P885" s="198"/>
      <c r="Q885" s="198"/>
      <c r="R885" s="198"/>
      <c r="S885" s="198"/>
      <c r="T885" s="198"/>
      <c r="U885" s="198"/>
      <c r="V885" s="198"/>
      <c r="W885" s="198"/>
      <c r="X885" s="198"/>
      <c r="Y885" s="198"/>
      <c r="Z885" s="198"/>
      <c r="AA885" s="198"/>
    </row>
    <row r="886">
      <c r="A886" s="201"/>
      <c r="B886" s="201"/>
      <c r="C886" s="198"/>
      <c r="D886" s="198"/>
      <c r="E886" s="198"/>
      <c r="F886" s="198"/>
      <c r="G886" s="198"/>
      <c r="H886" s="198"/>
      <c r="I886" s="198"/>
      <c r="J886" s="198"/>
      <c r="K886" s="198"/>
      <c r="M886" s="198"/>
      <c r="N886" s="198"/>
      <c r="O886" s="198"/>
      <c r="P886" s="198"/>
      <c r="Q886" s="198"/>
      <c r="R886" s="198"/>
      <c r="S886" s="198"/>
      <c r="T886" s="198"/>
      <c r="U886" s="198"/>
      <c r="V886" s="198"/>
      <c r="W886" s="198"/>
      <c r="X886" s="198"/>
      <c r="Y886" s="198"/>
      <c r="Z886" s="198"/>
      <c r="AA886" s="198"/>
    </row>
    <row r="887">
      <c r="A887" s="201"/>
      <c r="B887" s="201"/>
      <c r="C887" s="198"/>
      <c r="D887" s="198"/>
      <c r="E887" s="198"/>
      <c r="F887" s="198"/>
      <c r="G887" s="198"/>
      <c r="H887" s="198"/>
      <c r="I887" s="198"/>
      <c r="J887" s="198"/>
      <c r="K887" s="198"/>
      <c r="M887" s="198"/>
      <c r="N887" s="198"/>
      <c r="O887" s="198"/>
      <c r="P887" s="198"/>
      <c r="Q887" s="198"/>
      <c r="R887" s="198"/>
      <c r="S887" s="198"/>
      <c r="T887" s="198"/>
      <c r="U887" s="198"/>
      <c r="V887" s="198"/>
      <c r="W887" s="198"/>
      <c r="X887" s="198"/>
      <c r="Y887" s="198"/>
      <c r="Z887" s="198"/>
      <c r="AA887" s="198"/>
    </row>
    <row r="888">
      <c r="A888" s="201"/>
      <c r="B888" s="201"/>
      <c r="C888" s="198"/>
      <c r="D888" s="198"/>
      <c r="E888" s="198"/>
      <c r="F888" s="198"/>
      <c r="G888" s="198"/>
      <c r="H888" s="198"/>
      <c r="I888" s="198"/>
      <c r="J888" s="198"/>
      <c r="K888" s="198"/>
      <c r="M888" s="198"/>
      <c r="N888" s="198"/>
      <c r="O888" s="198"/>
      <c r="P888" s="198"/>
      <c r="Q888" s="198"/>
      <c r="R888" s="198"/>
      <c r="S888" s="198"/>
      <c r="T888" s="198"/>
      <c r="U888" s="198"/>
      <c r="V888" s="198"/>
      <c r="W888" s="198"/>
      <c r="X888" s="198"/>
      <c r="Y888" s="198"/>
      <c r="Z888" s="198"/>
      <c r="AA888" s="198"/>
    </row>
    <row r="889">
      <c r="A889" s="201"/>
      <c r="B889" s="201"/>
      <c r="C889" s="198"/>
      <c r="D889" s="198"/>
      <c r="E889" s="198"/>
      <c r="F889" s="198"/>
      <c r="G889" s="198"/>
      <c r="H889" s="198"/>
      <c r="I889" s="198"/>
      <c r="J889" s="198"/>
      <c r="K889" s="198"/>
      <c r="M889" s="198"/>
      <c r="N889" s="198"/>
      <c r="O889" s="198"/>
      <c r="P889" s="198"/>
      <c r="Q889" s="198"/>
      <c r="R889" s="198"/>
      <c r="S889" s="198"/>
      <c r="T889" s="198"/>
      <c r="U889" s="198"/>
      <c r="V889" s="198"/>
      <c r="W889" s="198"/>
      <c r="X889" s="198"/>
      <c r="Y889" s="198"/>
      <c r="Z889" s="198"/>
      <c r="AA889" s="198"/>
    </row>
    <row r="890">
      <c r="A890" s="201"/>
      <c r="B890" s="201"/>
      <c r="C890" s="198"/>
      <c r="D890" s="198"/>
      <c r="E890" s="198"/>
      <c r="F890" s="198"/>
      <c r="G890" s="198"/>
      <c r="H890" s="198"/>
      <c r="I890" s="198"/>
      <c r="J890" s="198"/>
      <c r="K890" s="198"/>
      <c r="M890" s="198"/>
      <c r="N890" s="198"/>
      <c r="O890" s="198"/>
      <c r="P890" s="198"/>
      <c r="Q890" s="198"/>
      <c r="R890" s="198"/>
      <c r="S890" s="198"/>
      <c r="T890" s="198"/>
      <c r="U890" s="198"/>
      <c r="V890" s="198"/>
      <c r="W890" s="198"/>
      <c r="X890" s="198"/>
      <c r="Y890" s="198"/>
      <c r="Z890" s="198"/>
      <c r="AA890" s="198"/>
    </row>
    <row r="891">
      <c r="A891" s="201"/>
      <c r="B891" s="201"/>
      <c r="C891" s="198"/>
      <c r="D891" s="198"/>
      <c r="E891" s="198"/>
      <c r="F891" s="198"/>
      <c r="G891" s="198"/>
      <c r="H891" s="198"/>
      <c r="I891" s="198"/>
      <c r="J891" s="198"/>
      <c r="K891" s="198"/>
      <c r="M891" s="198"/>
      <c r="N891" s="198"/>
      <c r="O891" s="198"/>
      <c r="P891" s="198"/>
      <c r="Q891" s="198"/>
      <c r="R891" s="198"/>
      <c r="S891" s="198"/>
      <c r="T891" s="198"/>
      <c r="U891" s="198"/>
      <c r="V891" s="198"/>
      <c r="W891" s="198"/>
      <c r="X891" s="198"/>
      <c r="Y891" s="198"/>
      <c r="Z891" s="198"/>
      <c r="AA891" s="198"/>
    </row>
    <row r="892">
      <c r="A892" s="201"/>
      <c r="B892" s="201"/>
      <c r="C892" s="198"/>
      <c r="D892" s="198"/>
      <c r="E892" s="198"/>
      <c r="F892" s="198"/>
      <c r="G892" s="198"/>
      <c r="H892" s="198"/>
      <c r="I892" s="198"/>
      <c r="J892" s="198"/>
      <c r="K892" s="198"/>
      <c r="M892" s="198"/>
      <c r="N892" s="198"/>
      <c r="O892" s="198"/>
      <c r="P892" s="198"/>
      <c r="Q892" s="198"/>
      <c r="R892" s="198"/>
      <c r="S892" s="198"/>
      <c r="T892" s="198"/>
      <c r="U892" s="198"/>
      <c r="V892" s="198"/>
      <c r="W892" s="198"/>
      <c r="X892" s="198"/>
      <c r="Y892" s="198"/>
      <c r="Z892" s="198"/>
      <c r="AA892" s="198"/>
    </row>
    <row r="893">
      <c r="A893" s="201"/>
      <c r="B893" s="201"/>
      <c r="C893" s="198"/>
      <c r="D893" s="198"/>
      <c r="E893" s="198"/>
      <c r="F893" s="198"/>
      <c r="G893" s="198"/>
      <c r="H893" s="198"/>
      <c r="I893" s="198"/>
      <c r="J893" s="198"/>
      <c r="K893" s="198"/>
      <c r="M893" s="198"/>
      <c r="N893" s="198"/>
      <c r="O893" s="198"/>
      <c r="P893" s="198"/>
      <c r="Q893" s="198"/>
      <c r="R893" s="198"/>
      <c r="S893" s="198"/>
      <c r="T893" s="198"/>
      <c r="U893" s="198"/>
      <c r="V893" s="198"/>
      <c r="W893" s="198"/>
      <c r="X893" s="198"/>
      <c r="Y893" s="198"/>
      <c r="Z893" s="198"/>
      <c r="AA893" s="198"/>
    </row>
    <row r="894">
      <c r="A894" s="201"/>
      <c r="B894" s="201"/>
      <c r="C894" s="198"/>
      <c r="D894" s="198"/>
      <c r="E894" s="198"/>
      <c r="F894" s="198"/>
      <c r="G894" s="198"/>
      <c r="H894" s="198"/>
      <c r="I894" s="198"/>
      <c r="J894" s="198"/>
      <c r="K894" s="198"/>
      <c r="M894" s="198"/>
      <c r="N894" s="198"/>
      <c r="O894" s="198"/>
      <c r="P894" s="198"/>
      <c r="Q894" s="198"/>
      <c r="R894" s="198"/>
      <c r="S894" s="198"/>
      <c r="T894" s="198"/>
      <c r="U894" s="198"/>
      <c r="V894" s="198"/>
      <c r="W894" s="198"/>
      <c r="X894" s="198"/>
      <c r="Y894" s="198"/>
      <c r="Z894" s="198"/>
      <c r="AA894" s="198"/>
    </row>
    <row r="895">
      <c r="A895" s="201"/>
      <c r="B895" s="201"/>
      <c r="C895" s="198"/>
      <c r="D895" s="198"/>
      <c r="E895" s="198"/>
      <c r="F895" s="198"/>
      <c r="G895" s="198"/>
      <c r="H895" s="198"/>
      <c r="I895" s="198"/>
      <c r="J895" s="198"/>
      <c r="K895" s="198"/>
      <c r="M895" s="198"/>
      <c r="N895" s="198"/>
      <c r="O895" s="198"/>
      <c r="P895" s="198"/>
      <c r="Q895" s="198"/>
      <c r="R895" s="198"/>
      <c r="S895" s="198"/>
      <c r="T895" s="198"/>
      <c r="U895" s="198"/>
      <c r="V895" s="198"/>
      <c r="W895" s="198"/>
      <c r="X895" s="198"/>
      <c r="Y895" s="198"/>
      <c r="Z895" s="198"/>
      <c r="AA895" s="198"/>
    </row>
    <row r="896">
      <c r="A896" s="201"/>
      <c r="B896" s="201"/>
      <c r="C896" s="198"/>
      <c r="D896" s="198"/>
      <c r="E896" s="198"/>
      <c r="F896" s="198"/>
      <c r="G896" s="198"/>
      <c r="H896" s="198"/>
      <c r="I896" s="198"/>
      <c r="J896" s="198"/>
      <c r="K896" s="198"/>
      <c r="M896" s="198"/>
      <c r="N896" s="198"/>
      <c r="O896" s="198"/>
      <c r="P896" s="198"/>
      <c r="Q896" s="198"/>
      <c r="R896" s="198"/>
      <c r="S896" s="198"/>
      <c r="T896" s="198"/>
      <c r="U896" s="198"/>
      <c r="V896" s="198"/>
      <c r="W896" s="198"/>
      <c r="X896" s="198"/>
      <c r="Y896" s="198"/>
      <c r="Z896" s="198"/>
      <c r="AA896" s="198"/>
    </row>
    <row r="897">
      <c r="A897" s="201"/>
      <c r="B897" s="201"/>
      <c r="C897" s="198"/>
      <c r="D897" s="198"/>
      <c r="E897" s="198"/>
      <c r="F897" s="198"/>
      <c r="G897" s="198"/>
      <c r="H897" s="198"/>
      <c r="I897" s="198"/>
      <c r="J897" s="198"/>
      <c r="K897" s="198"/>
      <c r="M897" s="198"/>
      <c r="N897" s="198"/>
      <c r="O897" s="198"/>
      <c r="P897" s="198"/>
      <c r="Q897" s="198"/>
      <c r="R897" s="198"/>
      <c r="S897" s="198"/>
      <c r="T897" s="198"/>
      <c r="U897" s="198"/>
      <c r="V897" s="198"/>
      <c r="W897" s="198"/>
      <c r="X897" s="198"/>
      <c r="Y897" s="198"/>
      <c r="Z897" s="198"/>
      <c r="AA897" s="198"/>
    </row>
    <row r="898">
      <c r="A898" s="201"/>
      <c r="B898" s="201"/>
      <c r="C898" s="198"/>
      <c r="D898" s="198"/>
      <c r="E898" s="198"/>
      <c r="F898" s="198"/>
      <c r="G898" s="198"/>
      <c r="H898" s="198"/>
      <c r="I898" s="198"/>
      <c r="J898" s="198"/>
      <c r="K898" s="198"/>
      <c r="M898" s="198"/>
      <c r="N898" s="198"/>
      <c r="O898" s="198"/>
      <c r="P898" s="198"/>
      <c r="Q898" s="198"/>
      <c r="R898" s="198"/>
      <c r="S898" s="198"/>
      <c r="T898" s="198"/>
      <c r="U898" s="198"/>
      <c r="V898" s="198"/>
      <c r="W898" s="198"/>
      <c r="X898" s="198"/>
      <c r="Y898" s="198"/>
      <c r="Z898" s="198"/>
      <c r="AA898" s="198"/>
    </row>
    <row r="899">
      <c r="A899" s="201"/>
      <c r="B899" s="201"/>
      <c r="C899" s="198"/>
      <c r="D899" s="198"/>
      <c r="E899" s="198"/>
      <c r="F899" s="198"/>
      <c r="G899" s="198"/>
      <c r="H899" s="198"/>
      <c r="I899" s="198"/>
      <c r="J899" s="198"/>
      <c r="K899" s="198"/>
      <c r="M899" s="198"/>
      <c r="N899" s="198"/>
      <c r="O899" s="198"/>
      <c r="P899" s="198"/>
      <c r="Q899" s="198"/>
      <c r="R899" s="198"/>
      <c r="S899" s="198"/>
      <c r="T899" s="198"/>
      <c r="U899" s="198"/>
      <c r="V899" s="198"/>
      <c r="W899" s="198"/>
      <c r="X899" s="198"/>
      <c r="Y899" s="198"/>
      <c r="Z899" s="198"/>
      <c r="AA899" s="198"/>
    </row>
    <row r="900">
      <c r="A900" s="201"/>
      <c r="B900" s="201"/>
      <c r="C900" s="198"/>
      <c r="D900" s="198"/>
      <c r="E900" s="198"/>
      <c r="F900" s="198"/>
      <c r="G900" s="198"/>
      <c r="H900" s="198"/>
      <c r="I900" s="198"/>
      <c r="J900" s="198"/>
      <c r="K900" s="198"/>
      <c r="M900" s="198"/>
      <c r="N900" s="198"/>
      <c r="O900" s="198"/>
      <c r="P900" s="198"/>
      <c r="Q900" s="198"/>
      <c r="R900" s="198"/>
      <c r="S900" s="198"/>
      <c r="T900" s="198"/>
      <c r="U900" s="198"/>
      <c r="V900" s="198"/>
      <c r="W900" s="198"/>
      <c r="X900" s="198"/>
      <c r="Y900" s="198"/>
      <c r="Z900" s="198"/>
      <c r="AA900" s="198"/>
    </row>
    <row r="901">
      <c r="A901" s="201"/>
      <c r="B901" s="201"/>
      <c r="C901" s="198"/>
      <c r="D901" s="198"/>
      <c r="E901" s="198"/>
      <c r="F901" s="198"/>
      <c r="G901" s="198"/>
      <c r="H901" s="198"/>
      <c r="I901" s="198"/>
      <c r="J901" s="198"/>
      <c r="K901" s="198"/>
      <c r="M901" s="198"/>
      <c r="N901" s="198"/>
      <c r="O901" s="198"/>
      <c r="P901" s="198"/>
      <c r="Q901" s="198"/>
      <c r="R901" s="198"/>
      <c r="S901" s="198"/>
      <c r="T901" s="198"/>
      <c r="U901" s="198"/>
      <c r="V901" s="198"/>
      <c r="W901" s="198"/>
      <c r="X901" s="198"/>
      <c r="Y901" s="198"/>
      <c r="Z901" s="198"/>
      <c r="AA901" s="198"/>
    </row>
    <row r="902">
      <c r="A902" s="201"/>
      <c r="B902" s="201"/>
      <c r="C902" s="198"/>
      <c r="D902" s="198"/>
      <c r="E902" s="198"/>
      <c r="F902" s="198"/>
      <c r="G902" s="198"/>
      <c r="H902" s="198"/>
      <c r="I902" s="198"/>
      <c r="J902" s="198"/>
      <c r="K902" s="198"/>
      <c r="M902" s="198"/>
      <c r="N902" s="198"/>
      <c r="O902" s="198"/>
      <c r="P902" s="198"/>
      <c r="Q902" s="198"/>
      <c r="R902" s="198"/>
      <c r="S902" s="198"/>
      <c r="T902" s="198"/>
      <c r="U902" s="198"/>
      <c r="V902" s="198"/>
      <c r="W902" s="198"/>
      <c r="X902" s="198"/>
      <c r="Y902" s="198"/>
      <c r="Z902" s="198"/>
      <c r="AA902" s="198"/>
    </row>
    <row r="903">
      <c r="A903" s="201"/>
      <c r="B903" s="201"/>
      <c r="C903" s="198"/>
      <c r="D903" s="198"/>
      <c r="E903" s="198"/>
      <c r="F903" s="198"/>
      <c r="G903" s="198"/>
      <c r="H903" s="198"/>
      <c r="I903" s="198"/>
      <c r="J903" s="198"/>
      <c r="K903" s="198"/>
      <c r="M903" s="198"/>
      <c r="N903" s="198"/>
      <c r="O903" s="198"/>
      <c r="P903" s="198"/>
      <c r="Q903" s="198"/>
      <c r="R903" s="198"/>
      <c r="S903" s="198"/>
      <c r="T903" s="198"/>
      <c r="U903" s="198"/>
      <c r="V903" s="198"/>
      <c r="W903" s="198"/>
      <c r="X903" s="198"/>
      <c r="Y903" s="198"/>
      <c r="Z903" s="198"/>
      <c r="AA903" s="198"/>
    </row>
    <row r="904">
      <c r="A904" s="201"/>
      <c r="B904" s="201"/>
      <c r="C904" s="198"/>
      <c r="D904" s="198"/>
      <c r="E904" s="198"/>
      <c r="F904" s="198"/>
      <c r="G904" s="198"/>
      <c r="H904" s="198"/>
      <c r="I904" s="198"/>
      <c r="J904" s="198"/>
      <c r="K904" s="198"/>
      <c r="M904" s="198"/>
      <c r="N904" s="198"/>
      <c r="O904" s="198"/>
      <c r="P904" s="198"/>
      <c r="Q904" s="198"/>
      <c r="R904" s="198"/>
      <c r="S904" s="198"/>
      <c r="T904" s="198"/>
      <c r="U904" s="198"/>
      <c r="V904" s="198"/>
      <c r="W904" s="198"/>
      <c r="X904" s="198"/>
      <c r="Y904" s="198"/>
      <c r="Z904" s="198"/>
      <c r="AA904" s="198"/>
    </row>
    <row r="905">
      <c r="A905" s="201"/>
      <c r="B905" s="201"/>
      <c r="C905" s="198"/>
      <c r="D905" s="198"/>
      <c r="E905" s="198"/>
      <c r="F905" s="198"/>
      <c r="G905" s="198"/>
      <c r="H905" s="198"/>
      <c r="I905" s="198"/>
      <c r="J905" s="198"/>
      <c r="K905" s="198"/>
      <c r="M905" s="198"/>
      <c r="N905" s="198"/>
      <c r="O905" s="198"/>
      <c r="P905" s="198"/>
      <c r="Q905" s="198"/>
      <c r="R905" s="198"/>
      <c r="S905" s="198"/>
      <c r="T905" s="198"/>
      <c r="U905" s="198"/>
      <c r="V905" s="198"/>
      <c r="W905" s="198"/>
      <c r="X905" s="198"/>
      <c r="Y905" s="198"/>
      <c r="Z905" s="198"/>
      <c r="AA905" s="198"/>
    </row>
    <row r="906">
      <c r="A906" s="201"/>
      <c r="B906" s="201"/>
      <c r="C906" s="198"/>
      <c r="D906" s="198"/>
      <c r="E906" s="198"/>
      <c r="F906" s="198"/>
      <c r="G906" s="198"/>
      <c r="H906" s="198"/>
      <c r="I906" s="198"/>
      <c r="J906" s="198"/>
      <c r="K906" s="198"/>
      <c r="M906" s="198"/>
      <c r="N906" s="198"/>
      <c r="O906" s="198"/>
      <c r="P906" s="198"/>
      <c r="Q906" s="198"/>
      <c r="R906" s="198"/>
      <c r="S906" s="198"/>
      <c r="T906" s="198"/>
      <c r="U906" s="198"/>
      <c r="V906" s="198"/>
      <c r="W906" s="198"/>
      <c r="X906" s="198"/>
      <c r="Y906" s="198"/>
      <c r="Z906" s="198"/>
      <c r="AA906" s="198"/>
    </row>
    <row r="907">
      <c r="A907" s="201"/>
      <c r="B907" s="201"/>
      <c r="C907" s="198"/>
      <c r="D907" s="198"/>
      <c r="E907" s="198"/>
      <c r="F907" s="198"/>
      <c r="G907" s="198"/>
      <c r="H907" s="198"/>
      <c r="I907" s="198"/>
      <c r="J907" s="198"/>
      <c r="K907" s="198"/>
      <c r="M907" s="198"/>
      <c r="N907" s="198"/>
      <c r="O907" s="198"/>
      <c r="P907" s="198"/>
      <c r="Q907" s="198"/>
      <c r="R907" s="198"/>
      <c r="S907" s="198"/>
      <c r="T907" s="198"/>
      <c r="U907" s="198"/>
      <c r="V907" s="198"/>
      <c r="W907" s="198"/>
      <c r="X907" s="198"/>
      <c r="Y907" s="198"/>
      <c r="Z907" s="198"/>
      <c r="AA907" s="198"/>
    </row>
    <row r="908">
      <c r="A908" s="201"/>
      <c r="B908" s="201"/>
      <c r="C908" s="198"/>
      <c r="D908" s="198"/>
      <c r="E908" s="198"/>
      <c r="F908" s="198"/>
      <c r="G908" s="198"/>
      <c r="H908" s="198"/>
      <c r="I908" s="198"/>
      <c r="J908" s="198"/>
      <c r="K908" s="198"/>
      <c r="M908" s="198"/>
      <c r="N908" s="198"/>
      <c r="O908" s="198"/>
      <c r="P908" s="198"/>
      <c r="Q908" s="198"/>
      <c r="R908" s="198"/>
      <c r="S908" s="198"/>
      <c r="T908" s="198"/>
      <c r="U908" s="198"/>
      <c r="V908" s="198"/>
      <c r="W908" s="198"/>
      <c r="X908" s="198"/>
      <c r="Y908" s="198"/>
      <c r="Z908" s="198"/>
      <c r="AA908" s="198"/>
    </row>
    <row r="909">
      <c r="A909" s="201"/>
      <c r="B909" s="201"/>
      <c r="C909" s="198"/>
      <c r="D909" s="198"/>
      <c r="E909" s="198"/>
      <c r="F909" s="198"/>
      <c r="G909" s="198"/>
      <c r="H909" s="198"/>
      <c r="I909" s="198"/>
      <c r="J909" s="198"/>
      <c r="K909" s="198"/>
      <c r="M909" s="198"/>
      <c r="N909" s="198"/>
      <c r="O909" s="198"/>
      <c r="P909" s="198"/>
      <c r="Q909" s="198"/>
      <c r="R909" s="198"/>
      <c r="S909" s="198"/>
      <c r="T909" s="198"/>
      <c r="U909" s="198"/>
      <c r="V909" s="198"/>
      <c r="W909" s="198"/>
      <c r="X909" s="198"/>
      <c r="Y909" s="198"/>
      <c r="Z909" s="198"/>
      <c r="AA909" s="198"/>
    </row>
    <row r="910">
      <c r="A910" s="201"/>
      <c r="B910" s="201"/>
      <c r="C910" s="198"/>
      <c r="D910" s="198"/>
      <c r="E910" s="198"/>
      <c r="F910" s="198"/>
      <c r="G910" s="198"/>
      <c r="H910" s="198"/>
      <c r="I910" s="198"/>
      <c r="J910" s="198"/>
      <c r="K910" s="198"/>
      <c r="M910" s="198"/>
      <c r="N910" s="198"/>
      <c r="O910" s="198"/>
      <c r="P910" s="198"/>
      <c r="Q910" s="198"/>
      <c r="R910" s="198"/>
      <c r="S910" s="198"/>
      <c r="T910" s="198"/>
      <c r="U910" s="198"/>
      <c r="V910" s="198"/>
      <c r="W910" s="198"/>
      <c r="X910" s="198"/>
      <c r="Y910" s="198"/>
      <c r="Z910" s="198"/>
      <c r="AA910" s="198"/>
    </row>
    <row r="911">
      <c r="A911" s="201"/>
      <c r="B911" s="201"/>
      <c r="C911" s="198"/>
      <c r="D911" s="198"/>
      <c r="E911" s="198"/>
      <c r="F911" s="198"/>
      <c r="G911" s="198"/>
      <c r="H911" s="198"/>
      <c r="I911" s="198"/>
      <c r="J911" s="198"/>
      <c r="K911" s="198"/>
      <c r="M911" s="198"/>
      <c r="N911" s="198"/>
      <c r="O911" s="198"/>
      <c r="P911" s="198"/>
      <c r="Q911" s="198"/>
      <c r="R911" s="198"/>
      <c r="S911" s="198"/>
      <c r="T911" s="198"/>
      <c r="U911" s="198"/>
      <c r="V911" s="198"/>
      <c r="W911" s="198"/>
      <c r="X911" s="198"/>
      <c r="Y911" s="198"/>
      <c r="Z911" s="198"/>
      <c r="AA911" s="198"/>
    </row>
    <row r="912">
      <c r="A912" s="201"/>
      <c r="B912" s="201"/>
      <c r="C912" s="198"/>
      <c r="D912" s="198"/>
      <c r="E912" s="198"/>
      <c r="F912" s="198"/>
      <c r="G912" s="198"/>
      <c r="H912" s="198"/>
      <c r="I912" s="198"/>
      <c r="J912" s="198"/>
      <c r="K912" s="198"/>
      <c r="M912" s="198"/>
      <c r="N912" s="198"/>
      <c r="O912" s="198"/>
      <c r="P912" s="198"/>
      <c r="Q912" s="198"/>
      <c r="R912" s="198"/>
      <c r="S912" s="198"/>
      <c r="T912" s="198"/>
      <c r="U912" s="198"/>
      <c r="V912" s="198"/>
      <c r="W912" s="198"/>
      <c r="X912" s="198"/>
      <c r="Y912" s="198"/>
      <c r="Z912" s="198"/>
      <c r="AA912" s="198"/>
    </row>
    <row r="913">
      <c r="A913" s="201"/>
      <c r="B913" s="201"/>
      <c r="C913" s="198"/>
      <c r="D913" s="198"/>
      <c r="E913" s="198"/>
      <c r="F913" s="198"/>
      <c r="G913" s="198"/>
      <c r="H913" s="198"/>
      <c r="I913" s="198"/>
      <c r="J913" s="198"/>
      <c r="K913" s="198"/>
      <c r="M913" s="198"/>
      <c r="N913" s="198"/>
      <c r="O913" s="198"/>
      <c r="P913" s="198"/>
      <c r="Q913" s="198"/>
      <c r="R913" s="198"/>
      <c r="S913" s="198"/>
      <c r="T913" s="198"/>
      <c r="U913" s="198"/>
      <c r="V913" s="198"/>
      <c r="W913" s="198"/>
      <c r="X913" s="198"/>
      <c r="Y913" s="198"/>
      <c r="Z913" s="198"/>
      <c r="AA913" s="198"/>
    </row>
    <row r="914">
      <c r="A914" s="201"/>
      <c r="B914" s="201"/>
      <c r="C914" s="198"/>
      <c r="D914" s="198"/>
      <c r="E914" s="198"/>
      <c r="F914" s="198"/>
      <c r="G914" s="198"/>
      <c r="H914" s="198"/>
      <c r="I914" s="198"/>
      <c r="J914" s="198"/>
      <c r="K914" s="198"/>
      <c r="M914" s="198"/>
      <c r="N914" s="198"/>
      <c r="O914" s="198"/>
      <c r="P914" s="198"/>
      <c r="Q914" s="198"/>
      <c r="R914" s="198"/>
      <c r="S914" s="198"/>
      <c r="T914" s="198"/>
      <c r="U914" s="198"/>
      <c r="V914" s="198"/>
      <c r="W914" s="198"/>
      <c r="X914" s="198"/>
      <c r="Y914" s="198"/>
      <c r="Z914" s="198"/>
      <c r="AA914" s="198"/>
    </row>
    <row r="915">
      <c r="A915" s="201"/>
      <c r="B915" s="201"/>
      <c r="C915" s="198"/>
      <c r="D915" s="198"/>
      <c r="E915" s="198"/>
      <c r="F915" s="198"/>
      <c r="G915" s="198"/>
      <c r="H915" s="198"/>
      <c r="I915" s="198"/>
      <c r="J915" s="198"/>
      <c r="K915" s="198"/>
      <c r="M915" s="198"/>
      <c r="N915" s="198"/>
      <c r="O915" s="198"/>
      <c r="P915" s="198"/>
      <c r="Q915" s="198"/>
      <c r="R915" s="198"/>
      <c r="S915" s="198"/>
      <c r="T915" s="198"/>
      <c r="U915" s="198"/>
      <c r="V915" s="198"/>
      <c r="W915" s="198"/>
      <c r="X915" s="198"/>
      <c r="Y915" s="198"/>
      <c r="Z915" s="198"/>
      <c r="AA915" s="198"/>
    </row>
    <row r="916">
      <c r="A916" s="201"/>
      <c r="B916" s="201"/>
      <c r="C916" s="198"/>
      <c r="D916" s="198"/>
      <c r="E916" s="198"/>
      <c r="F916" s="198"/>
      <c r="G916" s="198"/>
      <c r="H916" s="198"/>
      <c r="I916" s="198"/>
      <c r="J916" s="198"/>
      <c r="K916" s="198"/>
      <c r="M916" s="198"/>
      <c r="N916" s="198"/>
      <c r="O916" s="198"/>
      <c r="P916" s="198"/>
      <c r="Q916" s="198"/>
      <c r="R916" s="198"/>
      <c r="S916" s="198"/>
      <c r="T916" s="198"/>
      <c r="U916" s="198"/>
      <c r="V916" s="198"/>
      <c r="W916" s="198"/>
      <c r="X916" s="198"/>
      <c r="Y916" s="198"/>
      <c r="Z916" s="198"/>
      <c r="AA916" s="198"/>
    </row>
    <row r="917">
      <c r="A917" s="201"/>
      <c r="B917" s="201"/>
      <c r="C917" s="198"/>
      <c r="D917" s="198"/>
      <c r="E917" s="198"/>
      <c r="F917" s="198"/>
      <c r="G917" s="198"/>
      <c r="H917" s="198"/>
      <c r="I917" s="198"/>
      <c r="J917" s="198"/>
      <c r="K917" s="198"/>
      <c r="M917" s="198"/>
      <c r="N917" s="198"/>
      <c r="O917" s="198"/>
      <c r="P917" s="198"/>
      <c r="Q917" s="198"/>
      <c r="R917" s="198"/>
      <c r="S917" s="198"/>
      <c r="T917" s="198"/>
      <c r="U917" s="198"/>
      <c r="V917" s="198"/>
      <c r="W917" s="198"/>
      <c r="X917" s="198"/>
      <c r="Y917" s="198"/>
      <c r="Z917" s="198"/>
      <c r="AA917" s="198"/>
    </row>
    <row r="918">
      <c r="A918" s="201"/>
      <c r="B918" s="201"/>
      <c r="C918" s="198"/>
      <c r="D918" s="198"/>
      <c r="E918" s="198"/>
      <c r="F918" s="198"/>
      <c r="G918" s="198"/>
      <c r="H918" s="198"/>
      <c r="I918" s="198"/>
      <c r="J918" s="198"/>
      <c r="K918" s="198"/>
      <c r="M918" s="198"/>
      <c r="N918" s="198"/>
      <c r="O918" s="198"/>
      <c r="P918" s="198"/>
      <c r="Q918" s="198"/>
      <c r="R918" s="198"/>
      <c r="S918" s="198"/>
      <c r="T918" s="198"/>
      <c r="U918" s="198"/>
      <c r="V918" s="198"/>
      <c r="W918" s="198"/>
      <c r="X918" s="198"/>
      <c r="Y918" s="198"/>
      <c r="Z918" s="198"/>
      <c r="AA918" s="198"/>
    </row>
    <row r="919">
      <c r="A919" s="201"/>
      <c r="B919" s="201"/>
      <c r="C919" s="198"/>
      <c r="D919" s="198"/>
      <c r="E919" s="198"/>
      <c r="F919" s="198"/>
      <c r="G919" s="198"/>
      <c r="H919" s="198"/>
      <c r="I919" s="198"/>
      <c r="J919" s="198"/>
      <c r="K919" s="198"/>
      <c r="M919" s="198"/>
      <c r="N919" s="198"/>
      <c r="O919" s="198"/>
      <c r="P919" s="198"/>
      <c r="Q919" s="198"/>
      <c r="R919" s="198"/>
      <c r="S919" s="198"/>
      <c r="T919" s="198"/>
      <c r="U919" s="198"/>
      <c r="V919" s="198"/>
      <c r="W919" s="198"/>
      <c r="X919" s="198"/>
      <c r="Y919" s="198"/>
      <c r="Z919" s="198"/>
      <c r="AA919" s="198"/>
    </row>
    <row r="920">
      <c r="A920" s="201"/>
      <c r="B920" s="201"/>
      <c r="C920" s="198"/>
      <c r="D920" s="198"/>
      <c r="E920" s="198"/>
      <c r="F920" s="198"/>
      <c r="G920" s="198"/>
      <c r="H920" s="198"/>
      <c r="I920" s="198"/>
      <c r="J920" s="198"/>
      <c r="K920" s="198"/>
      <c r="M920" s="198"/>
      <c r="N920" s="198"/>
      <c r="O920" s="198"/>
      <c r="P920" s="198"/>
      <c r="Q920" s="198"/>
      <c r="R920" s="198"/>
      <c r="S920" s="198"/>
      <c r="T920" s="198"/>
      <c r="U920" s="198"/>
      <c r="V920" s="198"/>
      <c r="W920" s="198"/>
      <c r="X920" s="198"/>
      <c r="Y920" s="198"/>
      <c r="Z920" s="198"/>
      <c r="AA920" s="198"/>
    </row>
    <row r="921">
      <c r="A921" s="201"/>
      <c r="B921" s="201"/>
      <c r="C921" s="198"/>
      <c r="D921" s="198"/>
      <c r="E921" s="198"/>
      <c r="F921" s="198"/>
      <c r="G921" s="198"/>
      <c r="H921" s="198"/>
      <c r="I921" s="198"/>
      <c r="J921" s="198"/>
      <c r="K921" s="198"/>
      <c r="M921" s="198"/>
      <c r="N921" s="198"/>
      <c r="O921" s="198"/>
      <c r="P921" s="198"/>
      <c r="Q921" s="198"/>
      <c r="R921" s="198"/>
      <c r="S921" s="198"/>
      <c r="T921" s="198"/>
      <c r="U921" s="198"/>
      <c r="V921" s="198"/>
      <c r="W921" s="198"/>
      <c r="X921" s="198"/>
      <c r="Y921" s="198"/>
      <c r="Z921" s="198"/>
      <c r="AA921" s="198"/>
    </row>
    <row r="922">
      <c r="A922" s="201"/>
      <c r="B922" s="201"/>
      <c r="C922" s="198"/>
      <c r="D922" s="198"/>
      <c r="E922" s="198"/>
      <c r="F922" s="198"/>
      <c r="G922" s="198"/>
      <c r="H922" s="198"/>
      <c r="I922" s="198"/>
      <c r="J922" s="198"/>
      <c r="K922" s="198"/>
      <c r="M922" s="198"/>
      <c r="N922" s="198"/>
      <c r="O922" s="198"/>
      <c r="P922" s="198"/>
      <c r="Q922" s="198"/>
      <c r="R922" s="198"/>
      <c r="S922" s="198"/>
      <c r="T922" s="198"/>
      <c r="U922" s="198"/>
      <c r="V922" s="198"/>
      <c r="W922" s="198"/>
      <c r="X922" s="198"/>
      <c r="Y922" s="198"/>
      <c r="Z922" s="198"/>
      <c r="AA922" s="198"/>
    </row>
    <row r="923">
      <c r="A923" s="201"/>
      <c r="B923" s="201"/>
      <c r="C923" s="198"/>
      <c r="D923" s="198"/>
      <c r="E923" s="198"/>
      <c r="F923" s="198"/>
      <c r="G923" s="198"/>
      <c r="H923" s="198"/>
      <c r="I923" s="198"/>
      <c r="J923" s="198"/>
      <c r="K923" s="198"/>
      <c r="M923" s="198"/>
      <c r="N923" s="198"/>
      <c r="O923" s="198"/>
      <c r="P923" s="198"/>
      <c r="Q923" s="198"/>
      <c r="R923" s="198"/>
      <c r="S923" s="198"/>
      <c r="T923" s="198"/>
      <c r="U923" s="198"/>
      <c r="V923" s="198"/>
      <c r="W923" s="198"/>
      <c r="X923" s="198"/>
      <c r="Y923" s="198"/>
      <c r="Z923" s="198"/>
      <c r="AA923" s="198"/>
    </row>
    <row r="924">
      <c r="A924" s="201"/>
      <c r="B924" s="201"/>
      <c r="C924" s="198"/>
      <c r="D924" s="198"/>
      <c r="E924" s="198"/>
      <c r="F924" s="198"/>
      <c r="G924" s="198"/>
      <c r="H924" s="198"/>
      <c r="I924" s="198"/>
      <c r="J924" s="198"/>
      <c r="K924" s="198"/>
      <c r="M924" s="198"/>
      <c r="N924" s="198"/>
      <c r="O924" s="198"/>
      <c r="P924" s="198"/>
      <c r="Q924" s="198"/>
      <c r="R924" s="198"/>
      <c r="S924" s="198"/>
      <c r="T924" s="198"/>
      <c r="U924" s="198"/>
      <c r="V924" s="198"/>
      <c r="W924" s="198"/>
      <c r="X924" s="198"/>
      <c r="Y924" s="198"/>
      <c r="Z924" s="198"/>
      <c r="AA924" s="198"/>
    </row>
    <row r="925">
      <c r="A925" s="201"/>
      <c r="B925" s="201"/>
      <c r="C925" s="198"/>
      <c r="D925" s="198"/>
      <c r="E925" s="198"/>
      <c r="F925" s="198"/>
      <c r="G925" s="198"/>
      <c r="H925" s="198"/>
      <c r="I925" s="198"/>
      <c r="J925" s="198"/>
      <c r="K925" s="198"/>
      <c r="M925" s="198"/>
      <c r="N925" s="198"/>
      <c r="O925" s="198"/>
      <c r="P925" s="198"/>
      <c r="Q925" s="198"/>
      <c r="R925" s="198"/>
      <c r="S925" s="198"/>
      <c r="T925" s="198"/>
      <c r="U925" s="198"/>
      <c r="V925" s="198"/>
      <c r="W925" s="198"/>
      <c r="X925" s="198"/>
      <c r="Y925" s="198"/>
      <c r="Z925" s="198"/>
      <c r="AA925" s="198"/>
    </row>
    <row r="926">
      <c r="A926" s="201"/>
      <c r="B926" s="201"/>
      <c r="C926" s="198"/>
      <c r="D926" s="198"/>
      <c r="E926" s="198"/>
      <c r="F926" s="198"/>
      <c r="G926" s="198"/>
      <c r="H926" s="198"/>
      <c r="I926" s="198"/>
      <c r="J926" s="198"/>
      <c r="K926" s="198"/>
      <c r="M926" s="198"/>
      <c r="N926" s="198"/>
      <c r="O926" s="198"/>
      <c r="P926" s="198"/>
      <c r="Q926" s="198"/>
      <c r="R926" s="198"/>
      <c r="S926" s="198"/>
      <c r="T926" s="198"/>
      <c r="U926" s="198"/>
      <c r="V926" s="198"/>
      <c r="W926" s="198"/>
      <c r="X926" s="198"/>
      <c r="Y926" s="198"/>
      <c r="Z926" s="198"/>
      <c r="AA926" s="198"/>
    </row>
    <row r="927">
      <c r="A927" s="201"/>
      <c r="B927" s="201"/>
      <c r="C927" s="198"/>
      <c r="D927" s="198"/>
      <c r="E927" s="198"/>
      <c r="F927" s="198"/>
      <c r="G927" s="198"/>
      <c r="H927" s="198"/>
      <c r="I927" s="198"/>
      <c r="J927" s="198"/>
      <c r="K927" s="198"/>
      <c r="M927" s="198"/>
      <c r="N927" s="198"/>
      <c r="O927" s="198"/>
      <c r="P927" s="198"/>
      <c r="Q927" s="198"/>
      <c r="R927" s="198"/>
      <c r="S927" s="198"/>
      <c r="T927" s="198"/>
      <c r="U927" s="198"/>
      <c r="V927" s="198"/>
      <c r="W927" s="198"/>
      <c r="X927" s="198"/>
      <c r="Y927" s="198"/>
      <c r="Z927" s="198"/>
      <c r="AA927" s="198"/>
    </row>
    <row r="928">
      <c r="A928" s="201"/>
      <c r="B928" s="201"/>
      <c r="C928" s="198"/>
      <c r="D928" s="198"/>
      <c r="E928" s="198"/>
      <c r="F928" s="198"/>
      <c r="G928" s="198"/>
      <c r="H928" s="198"/>
      <c r="I928" s="198"/>
      <c r="J928" s="198"/>
      <c r="K928" s="198"/>
      <c r="M928" s="198"/>
      <c r="N928" s="198"/>
      <c r="O928" s="198"/>
      <c r="P928" s="198"/>
      <c r="Q928" s="198"/>
      <c r="R928" s="198"/>
      <c r="S928" s="198"/>
      <c r="T928" s="198"/>
      <c r="U928" s="198"/>
      <c r="V928" s="198"/>
      <c r="W928" s="198"/>
      <c r="X928" s="198"/>
      <c r="Y928" s="198"/>
      <c r="Z928" s="198"/>
      <c r="AA928" s="198"/>
    </row>
    <row r="929">
      <c r="A929" s="201"/>
      <c r="B929" s="201"/>
      <c r="C929" s="198"/>
      <c r="D929" s="198"/>
      <c r="E929" s="198"/>
      <c r="F929" s="198"/>
      <c r="G929" s="198"/>
      <c r="H929" s="198"/>
      <c r="I929" s="198"/>
      <c r="J929" s="198"/>
      <c r="K929" s="198"/>
      <c r="M929" s="198"/>
      <c r="N929" s="198"/>
      <c r="O929" s="198"/>
      <c r="P929" s="198"/>
      <c r="Q929" s="198"/>
      <c r="R929" s="198"/>
      <c r="S929" s="198"/>
      <c r="T929" s="198"/>
      <c r="U929" s="198"/>
      <c r="V929" s="198"/>
      <c r="W929" s="198"/>
      <c r="X929" s="198"/>
      <c r="Y929" s="198"/>
      <c r="Z929" s="198"/>
      <c r="AA929" s="198"/>
    </row>
    <row r="930">
      <c r="A930" s="201"/>
      <c r="B930" s="201"/>
      <c r="C930" s="198"/>
      <c r="D930" s="198"/>
      <c r="E930" s="198"/>
      <c r="F930" s="198"/>
      <c r="G930" s="198"/>
      <c r="H930" s="198"/>
      <c r="I930" s="198"/>
      <c r="J930" s="198"/>
      <c r="K930" s="198"/>
      <c r="M930" s="198"/>
      <c r="N930" s="198"/>
      <c r="O930" s="198"/>
      <c r="P930" s="198"/>
      <c r="Q930" s="198"/>
      <c r="R930" s="198"/>
      <c r="S930" s="198"/>
      <c r="T930" s="198"/>
      <c r="U930" s="198"/>
      <c r="V930" s="198"/>
      <c r="W930" s="198"/>
      <c r="X930" s="198"/>
      <c r="Y930" s="198"/>
      <c r="Z930" s="198"/>
      <c r="AA930" s="198"/>
    </row>
    <row r="931">
      <c r="A931" s="201"/>
      <c r="B931" s="201"/>
      <c r="C931" s="198"/>
      <c r="D931" s="198"/>
      <c r="E931" s="198"/>
      <c r="F931" s="198"/>
      <c r="G931" s="198"/>
      <c r="H931" s="198"/>
      <c r="I931" s="198"/>
      <c r="J931" s="198"/>
      <c r="K931" s="198"/>
      <c r="M931" s="198"/>
      <c r="N931" s="198"/>
      <c r="O931" s="198"/>
      <c r="P931" s="198"/>
      <c r="Q931" s="198"/>
      <c r="R931" s="198"/>
      <c r="S931" s="198"/>
      <c r="T931" s="198"/>
      <c r="U931" s="198"/>
      <c r="V931" s="198"/>
      <c r="W931" s="198"/>
      <c r="X931" s="198"/>
      <c r="Y931" s="198"/>
      <c r="Z931" s="198"/>
      <c r="AA931" s="198"/>
    </row>
    <row r="932">
      <c r="A932" s="201"/>
      <c r="B932" s="201"/>
      <c r="C932" s="198"/>
      <c r="D932" s="198"/>
      <c r="E932" s="198"/>
      <c r="F932" s="198"/>
      <c r="G932" s="198"/>
      <c r="H932" s="198"/>
      <c r="I932" s="198"/>
      <c r="J932" s="198"/>
      <c r="K932" s="198"/>
      <c r="M932" s="198"/>
      <c r="N932" s="198"/>
      <c r="O932" s="198"/>
      <c r="P932" s="198"/>
      <c r="Q932" s="198"/>
      <c r="R932" s="198"/>
      <c r="S932" s="198"/>
      <c r="T932" s="198"/>
      <c r="U932" s="198"/>
      <c r="V932" s="198"/>
      <c r="W932" s="198"/>
      <c r="X932" s="198"/>
      <c r="Y932" s="198"/>
      <c r="Z932" s="198"/>
      <c r="AA932" s="198"/>
    </row>
    <row r="933">
      <c r="A933" s="201"/>
      <c r="B933" s="201"/>
      <c r="C933" s="198"/>
      <c r="D933" s="198"/>
      <c r="E933" s="198"/>
      <c r="F933" s="198"/>
      <c r="G933" s="198"/>
      <c r="H933" s="198"/>
      <c r="I933" s="198"/>
      <c r="J933" s="198"/>
      <c r="K933" s="198"/>
      <c r="M933" s="198"/>
      <c r="N933" s="198"/>
      <c r="O933" s="198"/>
      <c r="P933" s="198"/>
      <c r="Q933" s="198"/>
      <c r="R933" s="198"/>
      <c r="S933" s="198"/>
      <c r="T933" s="198"/>
      <c r="U933" s="198"/>
      <c r="V933" s="198"/>
      <c r="W933" s="198"/>
      <c r="X933" s="198"/>
      <c r="Y933" s="198"/>
      <c r="Z933" s="198"/>
      <c r="AA933" s="198"/>
    </row>
    <row r="934">
      <c r="A934" s="201"/>
      <c r="B934" s="201"/>
      <c r="C934" s="198"/>
      <c r="D934" s="198"/>
      <c r="E934" s="198"/>
      <c r="F934" s="198"/>
      <c r="G934" s="198"/>
      <c r="H934" s="198"/>
      <c r="I934" s="198"/>
      <c r="J934" s="198"/>
      <c r="K934" s="198"/>
      <c r="M934" s="198"/>
      <c r="N934" s="198"/>
      <c r="O934" s="198"/>
      <c r="P934" s="198"/>
      <c r="Q934" s="198"/>
      <c r="R934" s="198"/>
      <c r="S934" s="198"/>
      <c r="T934" s="198"/>
      <c r="U934" s="198"/>
      <c r="V934" s="198"/>
      <c r="W934" s="198"/>
      <c r="X934" s="198"/>
      <c r="Y934" s="198"/>
      <c r="Z934" s="198"/>
      <c r="AA934" s="198"/>
    </row>
    <row r="935">
      <c r="A935" s="201"/>
      <c r="B935" s="201"/>
      <c r="C935" s="198"/>
      <c r="D935" s="198"/>
      <c r="E935" s="198"/>
      <c r="F935" s="198"/>
      <c r="G935" s="198"/>
      <c r="H935" s="198"/>
      <c r="I935" s="198"/>
      <c r="J935" s="198"/>
      <c r="K935" s="198"/>
      <c r="M935" s="198"/>
      <c r="N935" s="198"/>
      <c r="O935" s="198"/>
      <c r="P935" s="198"/>
      <c r="Q935" s="198"/>
      <c r="R935" s="198"/>
      <c r="S935" s="198"/>
      <c r="T935" s="198"/>
      <c r="U935" s="198"/>
      <c r="V935" s="198"/>
      <c r="W935" s="198"/>
      <c r="X935" s="198"/>
      <c r="Y935" s="198"/>
      <c r="Z935" s="198"/>
      <c r="AA935" s="198"/>
    </row>
    <row r="936">
      <c r="A936" s="201"/>
      <c r="B936" s="201"/>
      <c r="C936" s="198"/>
      <c r="D936" s="198"/>
      <c r="E936" s="198"/>
      <c r="F936" s="198"/>
      <c r="G936" s="198"/>
      <c r="H936" s="198"/>
      <c r="I936" s="198"/>
      <c r="J936" s="198"/>
      <c r="K936" s="198"/>
      <c r="M936" s="198"/>
      <c r="N936" s="198"/>
      <c r="O936" s="198"/>
      <c r="P936" s="198"/>
      <c r="Q936" s="198"/>
      <c r="R936" s="198"/>
      <c r="S936" s="198"/>
      <c r="T936" s="198"/>
      <c r="U936" s="198"/>
      <c r="V936" s="198"/>
      <c r="W936" s="198"/>
      <c r="X936" s="198"/>
      <c r="Y936" s="198"/>
      <c r="Z936" s="198"/>
      <c r="AA936" s="198"/>
    </row>
    <row r="937">
      <c r="A937" s="201"/>
      <c r="B937" s="201"/>
      <c r="C937" s="198"/>
      <c r="D937" s="198"/>
      <c r="E937" s="198"/>
      <c r="F937" s="198"/>
      <c r="G937" s="198"/>
      <c r="H937" s="198"/>
      <c r="I937" s="198"/>
      <c r="J937" s="198"/>
      <c r="K937" s="198"/>
      <c r="M937" s="198"/>
      <c r="N937" s="198"/>
      <c r="O937" s="198"/>
      <c r="P937" s="198"/>
      <c r="Q937" s="198"/>
      <c r="R937" s="198"/>
      <c r="S937" s="198"/>
      <c r="T937" s="198"/>
      <c r="U937" s="198"/>
      <c r="V937" s="198"/>
      <c r="W937" s="198"/>
      <c r="X937" s="198"/>
      <c r="Y937" s="198"/>
      <c r="Z937" s="198"/>
      <c r="AA937" s="198"/>
    </row>
    <row r="938">
      <c r="A938" s="201"/>
      <c r="B938" s="201"/>
      <c r="C938" s="198"/>
      <c r="D938" s="198"/>
      <c r="E938" s="198"/>
      <c r="F938" s="198"/>
      <c r="G938" s="198"/>
      <c r="H938" s="198"/>
      <c r="I938" s="198"/>
      <c r="J938" s="198"/>
      <c r="K938" s="198"/>
      <c r="M938" s="198"/>
      <c r="N938" s="198"/>
      <c r="O938" s="198"/>
      <c r="P938" s="198"/>
      <c r="Q938" s="198"/>
      <c r="R938" s="198"/>
      <c r="S938" s="198"/>
      <c r="T938" s="198"/>
      <c r="U938" s="198"/>
      <c r="V938" s="198"/>
      <c r="W938" s="198"/>
      <c r="X938" s="198"/>
      <c r="Y938" s="198"/>
      <c r="Z938" s="198"/>
      <c r="AA938" s="198"/>
    </row>
    <row r="939">
      <c r="A939" s="201"/>
      <c r="B939" s="201"/>
      <c r="C939" s="198"/>
      <c r="D939" s="198"/>
      <c r="E939" s="198"/>
      <c r="F939" s="198"/>
      <c r="G939" s="198"/>
      <c r="H939" s="198"/>
      <c r="I939" s="198"/>
      <c r="J939" s="198"/>
      <c r="K939" s="198"/>
      <c r="M939" s="198"/>
      <c r="N939" s="198"/>
      <c r="O939" s="198"/>
      <c r="P939" s="198"/>
      <c r="Q939" s="198"/>
      <c r="R939" s="198"/>
      <c r="S939" s="198"/>
      <c r="T939" s="198"/>
      <c r="U939" s="198"/>
      <c r="V939" s="198"/>
      <c r="W939" s="198"/>
      <c r="X939" s="198"/>
      <c r="Y939" s="198"/>
      <c r="Z939" s="198"/>
      <c r="AA939" s="198"/>
    </row>
    <row r="940">
      <c r="A940" s="201"/>
      <c r="B940" s="201"/>
      <c r="C940" s="198"/>
      <c r="D940" s="198"/>
      <c r="E940" s="198"/>
      <c r="F940" s="198"/>
      <c r="G940" s="198"/>
      <c r="H940" s="198"/>
      <c r="I940" s="198"/>
      <c r="J940" s="198"/>
      <c r="K940" s="198"/>
      <c r="M940" s="198"/>
      <c r="N940" s="198"/>
      <c r="O940" s="198"/>
      <c r="P940" s="198"/>
      <c r="Q940" s="198"/>
      <c r="R940" s="198"/>
      <c r="S940" s="198"/>
      <c r="T940" s="198"/>
      <c r="U940" s="198"/>
      <c r="V940" s="198"/>
      <c r="W940" s="198"/>
      <c r="X940" s="198"/>
      <c r="Y940" s="198"/>
      <c r="Z940" s="198"/>
      <c r="AA940" s="198"/>
    </row>
    <row r="941">
      <c r="A941" s="201"/>
      <c r="B941" s="201"/>
      <c r="C941" s="198"/>
      <c r="D941" s="198"/>
      <c r="E941" s="198"/>
      <c r="F941" s="198"/>
      <c r="G941" s="198"/>
      <c r="H941" s="198"/>
      <c r="I941" s="198"/>
      <c r="J941" s="198"/>
      <c r="K941" s="198"/>
      <c r="M941" s="198"/>
      <c r="N941" s="198"/>
      <c r="O941" s="198"/>
      <c r="P941" s="198"/>
      <c r="Q941" s="198"/>
      <c r="R941" s="198"/>
      <c r="S941" s="198"/>
      <c r="T941" s="198"/>
      <c r="U941" s="198"/>
      <c r="V941" s="198"/>
      <c r="W941" s="198"/>
      <c r="X941" s="198"/>
      <c r="Y941" s="198"/>
      <c r="Z941" s="198"/>
      <c r="AA941" s="198"/>
    </row>
    <row r="942">
      <c r="A942" s="201"/>
      <c r="B942" s="201"/>
      <c r="C942" s="198"/>
      <c r="D942" s="198"/>
      <c r="E942" s="198"/>
      <c r="F942" s="198"/>
      <c r="G942" s="198"/>
      <c r="H942" s="198"/>
      <c r="I942" s="198"/>
      <c r="J942" s="198"/>
      <c r="K942" s="198"/>
      <c r="M942" s="198"/>
      <c r="N942" s="198"/>
      <c r="O942" s="198"/>
      <c r="P942" s="198"/>
      <c r="Q942" s="198"/>
      <c r="R942" s="198"/>
      <c r="S942" s="198"/>
      <c r="T942" s="198"/>
      <c r="U942" s="198"/>
      <c r="V942" s="198"/>
      <c r="W942" s="198"/>
      <c r="X942" s="198"/>
      <c r="Y942" s="198"/>
      <c r="Z942" s="198"/>
      <c r="AA942" s="198"/>
    </row>
    <row r="943">
      <c r="A943" s="201"/>
      <c r="B943" s="201"/>
      <c r="C943" s="198"/>
      <c r="D943" s="198"/>
      <c r="E943" s="198"/>
      <c r="F943" s="198"/>
      <c r="G943" s="198"/>
      <c r="H943" s="198"/>
      <c r="I943" s="198"/>
      <c r="J943" s="198"/>
      <c r="K943" s="198"/>
      <c r="M943" s="198"/>
      <c r="N943" s="198"/>
      <c r="O943" s="198"/>
      <c r="P943" s="198"/>
      <c r="Q943" s="198"/>
      <c r="R943" s="198"/>
      <c r="S943" s="198"/>
      <c r="T943" s="198"/>
      <c r="U943" s="198"/>
      <c r="V943" s="198"/>
      <c r="W943" s="198"/>
      <c r="X943" s="198"/>
      <c r="Y943" s="198"/>
      <c r="Z943" s="198"/>
      <c r="AA943" s="198"/>
    </row>
    <row r="944">
      <c r="A944" s="201"/>
      <c r="B944" s="201"/>
      <c r="C944" s="198"/>
      <c r="D944" s="198"/>
      <c r="E944" s="198"/>
      <c r="F944" s="198"/>
      <c r="G944" s="198"/>
      <c r="H944" s="198"/>
      <c r="I944" s="198"/>
      <c r="J944" s="198"/>
      <c r="K944" s="198"/>
      <c r="M944" s="198"/>
      <c r="N944" s="198"/>
      <c r="O944" s="198"/>
      <c r="P944" s="198"/>
      <c r="Q944" s="198"/>
      <c r="R944" s="198"/>
      <c r="S944" s="198"/>
      <c r="T944" s="198"/>
      <c r="U944" s="198"/>
      <c r="V944" s="198"/>
      <c r="W944" s="198"/>
      <c r="X944" s="198"/>
      <c r="Y944" s="198"/>
      <c r="Z944" s="198"/>
      <c r="AA944" s="198"/>
    </row>
    <row r="945">
      <c r="A945" s="201"/>
      <c r="B945" s="201"/>
      <c r="C945" s="198"/>
      <c r="D945" s="198"/>
      <c r="E945" s="198"/>
      <c r="F945" s="198"/>
      <c r="G945" s="198"/>
      <c r="H945" s="198"/>
      <c r="I945" s="198"/>
      <c r="J945" s="198"/>
      <c r="K945" s="198"/>
      <c r="M945" s="198"/>
      <c r="N945" s="198"/>
      <c r="O945" s="198"/>
      <c r="P945" s="198"/>
      <c r="Q945" s="198"/>
      <c r="R945" s="198"/>
      <c r="S945" s="198"/>
      <c r="T945" s="198"/>
      <c r="U945" s="198"/>
      <c r="V945" s="198"/>
      <c r="W945" s="198"/>
      <c r="X945" s="198"/>
      <c r="Y945" s="198"/>
      <c r="Z945" s="198"/>
      <c r="AA945" s="198"/>
    </row>
    <row r="946">
      <c r="A946" s="201"/>
      <c r="B946" s="201"/>
      <c r="C946" s="198"/>
      <c r="D946" s="198"/>
      <c r="E946" s="198"/>
      <c r="F946" s="198"/>
      <c r="G946" s="198"/>
      <c r="H946" s="198"/>
      <c r="I946" s="198"/>
      <c r="J946" s="198"/>
      <c r="K946" s="198"/>
      <c r="M946" s="198"/>
      <c r="N946" s="198"/>
      <c r="O946" s="198"/>
      <c r="P946" s="198"/>
      <c r="Q946" s="198"/>
      <c r="R946" s="198"/>
      <c r="S946" s="198"/>
      <c r="T946" s="198"/>
      <c r="U946" s="198"/>
      <c r="V946" s="198"/>
      <c r="W946" s="198"/>
      <c r="X946" s="198"/>
      <c r="Y946" s="198"/>
      <c r="Z946" s="198"/>
      <c r="AA946" s="198"/>
    </row>
    <row r="947">
      <c r="A947" s="201"/>
      <c r="B947" s="201"/>
      <c r="C947" s="198"/>
      <c r="D947" s="198"/>
      <c r="E947" s="198"/>
      <c r="F947" s="198"/>
      <c r="G947" s="198"/>
      <c r="H947" s="198"/>
      <c r="I947" s="198"/>
      <c r="J947" s="198"/>
      <c r="K947" s="198"/>
      <c r="M947" s="198"/>
      <c r="N947" s="198"/>
      <c r="O947" s="198"/>
      <c r="P947" s="198"/>
      <c r="Q947" s="198"/>
      <c r="R947" s="198"/>
      <c r="S947" s="198"/>
      <c r="T947" s="198"/>
      <c r="U947" s="198"/>
      <c r="V947" s="198"/>
      <c r="W947" s="198"/>
      <c r="X947" s="198"/>
      <c r="Y947" s="198"/>
      <c r="Z947" s="198"/>
      <c r="AA947" s="198"/>
    </row>
    <row r="948">
      <c r="A948" s="201"/>
      <c r="B948" s="201"/>
      <c r="C948" s="198"/>
      <c r="D948" s="198"/>
      <c r="E948" s="198"/>
      <c r="F948" s="198"/>
      <c r="G948" s="198"/>
      <c r="H948" s="198"/>
      <c r="I948" s="198"/>
      <c r="J948" s="198"/>
      <c r="K948" s="198"/>
      <c r="M948" s="198"/>
      <c r="N948" s="198"/>
      <c r="O948" s="198"/>
      <c r="P948" s="198"/>
      <c r="Q948" s="198"/>
      <c r="R948" s="198"/>
      <c r="S948" s="198"/>
      <c r="T948" s="198"/>
      <c r="U948" s="198"/>
      <c r="V948" s="198"/>
      <c r="W948" s="198"/>
      <c r="X948" s="198"/>
      <c r="Y948" s="198"/>
      <c r="Z948" s="198"/>
      <c r="AA948" s="198"/>
    </row>
    <row r="949">
      <c r="A949" s="201"/>
      <c r="B949" s="201"/>
      <c r="C949" s="198"/>
      <c r="D949" s="198"/>
      <c r="E949" s="198"/>
      <c r="F949" s="198"/>
      <c r="G949" s="198"/>
      <c r="H949" s="198"/>
      <c r="I949" s="198"/>
      <c r="J949" s="198"/>
      <c r="K949" s="198"/>
      <c r="M949" s="198"/>
      <c r="N949" s="198"/>
      <c r="O949" s="198"/>
      <c r="P949" s="198"/>
      <c r="Q949" s="198"/>
      <c r="R949" s="198"/>
      <c r="S949" s="198"/>
      <c r="T949" s="198"/>
      <c r="U949" s="198"/>
      <c r="V949" s="198"/>
      <c r="W949" s="198"/>
      <c r="X949" s="198"/>
      <c r="Y949" s="198"/>
      <c r="Z949" s="198"/>
      <c r="AA949" s="198"/>
    </row>
    <row r="950">
      <c r="A950" s="201"/>
      <c r="B950" s="201"/>
      <c r="C950" s="198"/>
      <c r="D950" s="198"/>
      <c r="E950" s="198"/>
      <c r="F950" s="198"/>
      <c r="G950" s="198"/>
      <c r="H950" s="198"/>
      <c r="I950" s="198"/>
      <c r="J950" s="198"/>
      <c r="K950" s="198"/>
      <c r="M950" s="198"/>
      <c r="N950" s="198"/>
      <c r="O950" s="198"/>
      <c r="P950" s="198"/>
      <c r="Q950" s="198"/>
      <c r="R950" s="198"/>
      <c r="S950" s="198"/>
      <c r="T950" s="198"/>
      <c r="U950" s="198"/>
      <c r="V950" s="198"/>
      <c r="W950" s="198"/>
      <c r="X950" s="198"/>
      <c r="Y950" s="198"/>
      <c r="Z950" s="198"/>
      <c r="AA950" s="198"/>
    </row>
    <row r="951">
      <c r="A951" s="201"/>
      <c r="B951" s="201"/>
      <c r="C951" s="198"/>
      <c r="D951" s="198"/>
      <c r="E951" s="198"/>
      <c r="F951" s="198"/>
      <c r="G951" s="198"/>
      <c r="H951" s="198"/>
      <c r="I951" s="198"/>
      <c r="J951" s="198"/>
      <c r="K951" s="198"/>
      <c r="M951" s="198"/>
      <c r="N951" s="198"/>
      <c r="O951" s="198"/>
      <c r="P951" s="198"/>
      <c r="Q951" s="198"/>
      <c r="R951" s="198"/>
      <c r="S951" s="198"/>
      <c r="T951" s="198"/>
      <c r="U951" s="198"/>
      <c r="V951" s="198"/>
      <c r="W951" s="198"/>
      <c r="X951" s="198"/>
      <c r="Y951" s="198"/>
      <c r="Z951" s="198"/>
      <c r="AA951" s="198"/>
    </row>
    <row r="952">
      <c r="A952" s="201"/>
      <c r="B952" s="201"/>
      <c r="C952" s="198"/>
      <c r="D952" s="198"/>
      <c r="E952" s="198"/>
      <c r="F952" s="198"/>
      <c r="G952" s="198"/>
      <c r="H952" s="198"/>
      <c r="I952" s="198"/>
      <c r="J952" s="198"/>
      <c r="K952" s="198"/>
      <c r="M952" s="198"/>
      <c r="N952" s="198"/>
      <c r="O952" s="198"/>
      <c r="P952" s="198"/>
      <c r="Q952" s="198"/>
      <c r="R952" s="198"/>
      <c r="S952" s="198"/>
      <c r="T952" s="198"/>
      <c r="U952" s="198"/>
      <c r="V952" s="198"/>
      <c r="W952" s="198"/>
      <c r="X952" s="198"/>
      <c r="Y952" s="198"/>
      <c r="Z952" s="198"/>
      <c r="AA952" s="198"/>
    </row>
    <row r="953">
      <c r="A953" s="201"/>
      <c r="B953" s="201"/>
      <c r="C953" s="198"/>
      <c r="D953" s="198"/>
      <c r="E953" s="198"/>
      <c r="F953" s="198"/>
      <c r="G953" s="198"/>
      <c r="H953" s="198"/>
      <c r="I953" s="198"/>
      <c r="J953" s="198"/>
      <c r="K953" s="198"/>
      <c r="M953" s="198"/>
      <c r="N953" s="198"/>
      <c r="O953" s="198"/>
      <c r="P953" s="198"/>
      <c r="Q953" s="198"/>
      <c r="R953" s="198"/>
      <c r="S953" s="198"/>
      <c r="T953" s="198"/>
      <c r="U953" s="198"/>
      <c r="V953" s="198"/>
      <c r="W953" s="198"/>
      <c r="X953" s="198"/>
      <c r="Y953" s="198"/>
      <c r="Z953" s="198"/>
      <c r="AA953" s="198"/>
    </row>
    <row r="954">
      <c r="A954" s="201"/>
      <c r="B954" s="201"/>
      <c r="C954" s="198"/>
      <c r="D954" s="198"/>
      <c r="E954" s="198"/>
      <c r="F954" s="198"/>
      <c r="G954" s="198"/>
      <c r="H954" s="198"/>
      <c r="I954" s="198"/>
      <c r="J954" s="198"/>
      <c r="K954" s="198"/>
      <c r="M954" s="198"/>
      <c r="N954" s="198"/>
      <c r="O954" s="198"/>
      <c r="P954" s="198"/>
      <c r="Q954" s="198"/>
      <c r="R954" s="198"/>
      <c r="S954" s="198"/>
      <c r="T954" s="198"/>
      <c r="U954" s="198"/>
      <c r="V954" s="198"/>
      <c r="W954" s="198"/>
      <c r="X954" s="198"/>
      <c r="Y954" s="198"/>
      <c r="Z954" s="198"/>
      <c r="AA954" s="198"/>
    </row>
    <row r="955">
      <c r="A955" s="201"/>
      <c r="B955" s="201"/>
      <c r="C955" s="198"/>
      <c r="D955" s="198"/>
      <c r="E955" s="198"/>
      <c r="F955" s="198"/>
      <c r="G955" s="198"/>
      <c r="H955" s="198"/>
      <c r="I955" s="198"/>
      <c r="J955" s="198"/>
      <c r="K955" s="198"/>
      <c r="M955" s="198"/>
      <c r="N955" s="198"/>
      <c r="O955" s="198"/>
      <c r="P955" s="198"/>
      <c r="Q955" s="198"/>
      <c r="R955" s="198"/>
      <c r="S955" s="198"/>
      <c r="T955" s="198"/>
      <c r="U955" s="198"/>
      <c r="V955" s="198"/>
      <c r="W955" s="198"/>
      <c r="X955" s="198"/>
      <c r="Y955" s="198"/>
      <c r="Z955" s="198"/>
      <c r="AA955" s="198"/>
    </row>
    <row r="956">
      <c r="A956" s="201"/>
      <c r="B956" s="201"/>
      <c r="C956" s="198"/>
      <c r="D956" s="198"/>
      <c r="E956" s="198"/>
      <c r="F956" s="198"/>
      <c r="G956" s="198"/>
      <c r="H956" s="198"/>
      <c r="I956" s="198"/>
      <c r="J956" s="198"/>
      <c r="K956" s="198"/>
      <c r="M956" s="198"/>
      <c r="N956" s="198"/>
      <c r="O956" s="198"/>
      <c r="P956" s="198"/>
      <c r="Q956" s="198"/>
      <c r="R956" s="198"/>
      <c r="S956" s="198"/>
      <c r="T956" s="198"/>
      <c r="U956" s="198"/>
      <c r="V956" s="198"/>
      <c r="W956" s="198"/>
      <c r="X956" s="198"/>
      <c r="Y956" s="198"/>
      <c r="Z956" s="198"/>
      <c r="AA956" s="198"/>
    </row>
    <row r="957">
      <c r="A957" s="201"/>
      <c r="B957" s="201"/>
      <c r="C957" s="198"/>
      <c r="D957" s="198"/>
      <c r="E957" s="198"/>
      <c r="F957" s="198"/>
      <c r="G957" s="198"/>
      <c r="H957" s="198"/>
      <c r="I957" s="198"/>
      <c r="J957" s="198"/>
      <c r="K957" s="198"/>
      <c r="M957" s="198"/>
      <c r="N957" s="198"/>
      <c r="O957" s="198"/>
      <c r="P957" s="198"/>
      <c r="Q957" s="198"/>
      <c r="R957" s="198"/>
      <c r="S957" s="198"/>
      <c r="T957" s="198"/>
      <c r="U957" s="198"/>
      <c r="V957" s="198"/>
      <c r="W957" s="198"/>
      <c r="X957" s="198"/>
      <c r="Y957" s="198"/>
      <c r="Z957" s="198"/>
      <c r="AA957" s="198"/>
    </row>
    <row r="958">
      <c r="A958" s="201"/>
      <c r="B958" s="201"/>
      <c r="C958" s="198"/>
      <c r="D958" s="198"/>
      <c r="E958" s="198"/>
      <c r="F958" s="198"/>
      <c r="G958" s="198"/>
      <c r="H958" s="198"/>
      <c r="I958" s="198"/>
      <c r="J958" s="198"/>
      <c r="K958" s="198"/>
      <c r="M958" s="198"/>
      <c r="N958" s="198"/>
      <c r="O958" s="198"/>
      <c r="P958" s="198"/>
      <c r="Q958" s="198"/>
      <c r="R958" s="198"/>
      <c r="S958" s="198"/>
      <c r="T958" s="198"/>
      <c r="U958" s="198"/>
      <c r="V958" s="198"/>
      <c r="W958" s="198"/>
      <c r="X958" s="198"/>
      <c r="Y958" s="198"/>
      <c r="Z958" s="198"/>
      <c r="AA958" s="198"/>
    </row>
    <row r="959">
      <c r="A959" s="201"/>
      <c r="B959" s="201"/>
      <c r="C959" s="198"/>
      <c r="D959" s="198"/>
      <c r="E959" s="198"/>
      <c r="F959" s="198"/>
      <c r="G959" s="198"/>
      <c r="H959" s="198"/>
      <c r="I959" s="198"/>
      <c r="J959" s="198"/>
      <c r="K959" s="198"/>
      <c r="M959" s="198"/>
      <c r="N959" s="198"/>
      <c r="O959" s="198"/>
      <c r="P959" s="198"/>
      <c r="Q959" s="198"/>
      <c r="R959" s="198"/>
      <c r="S959" s="198"/>
      <c r="T959" s="198"/>
      <c r="U959" s="198"/>
      <c r="V959" s="198"/>
      <c r="W959" s="198"/>
      <c r="X959" s="198"/>
      <c r="Y959" s="198"/>
      <c r="Z959" s="198"/>
      <c r="AA959" s="198"/>
    </row>
    <row r="960">
      <c r="A960" s="201"/>
      <c r="B960" s="201"/>
      <c r="C960" s="198"/>
      <c r="D960" s="198"/>
      <c r="E960" s="198"/>
      <c r="F960" s="198"/>
      <c r="G960" s="198"/>
      <c r="H960" s="198"/>
      <c r="I960" s="198"/>
      <c r="J960" s="198"/>
      <c r="K960" s="198"/>
      <c r="M960" s="198"/>
      <c r="N960" s="198"/>
      <c r="O960" s="198"/>
      <c r="P960" s="198"/>
      <c r="Q960" s="198"/>
      <c r="R960" s="198"/>
      <c r="S960" s="198"/>
      <c r="T960" s="198"/>
      <c r="U960" s="198"/>
      <c r="V960" s="198"/>
      <c r="W960" s="198"/>
      <c r="X960" s="198"/>
      <c r="Y960" s="198"/>
      <c r="Z960" s="198"/>
      <c r="AA960" s="198"/>
    </row>
    <row r="961">
      <c r="A961" s="201"/>
      <c r="B961" s="201"/>
      <c r="C961" s="198"/>
      <c r="D961" s="198"/>
      <c r="E961" s="198"/>
      <c r="F961" s="198"/>
      <c r="G961" s="198"/>
      <c r="H961" s="198"/>
      <c r="I961" s="198"/>
      <c r="J961" s="198"/>
      <c r="K961" s="198"/>
      <c r="M961" s="198"/>
      <c r="N961" s="198"/>
      <c r="O961" s="198"/>
      <c r="P961" s="198"/>
      <c r="Q961" s="198"/>
      <c r="R961" s="198"/>
      <c r="S961" s="198"/>
      <c r="T961" s="198"/>
      <c r="U961" s="198"/>
      <c r="V961" s="198"/>
      <c r="W961" s="198"/>
      <c r="X961" s="198"/>
      <c r="Y961" s="198"/>
      <c r="Z961" s="198"/>
      <c r="AA961" s="198"/>
    </row>
    <row r="962">
      <c r="A962" s="201"/>
      <c r="B962" s="201"/>
      <c r="C962" s="198"/>
      <c r="D962" s="198"/>
      <c r="E962" s="198"/>
      <c r="F962" s="198"/>
      <c r="G962" s="198"/>
      <c r="H962" s="198"/>
      <c r="I962" s="198"/>
      <c r="J962" s="198"/>
      <c r="K962" s="198"/>
      <c r="M962" s="198"/>
      <c r="N962" s="198"/>
      <c r="O962" s="198"/>
      <c r="P962" s="198"/>
      <c r="Q962" s="198"/>
      <c r="R962" s="198"/>
      <c r="S962" s="198"/>
      <c r="T962" s="198"/>
      <c r="U962" s="198"/>
      <c r="V962" s="198"/>
      <c r="W962" s="198"/>
      <c r="X962" s="198"/>
      <c r="Y962" s="198"/>
      <c r="Z962" s="198"/>
      <c r="AA962" s="198"/>
    </row>
    <row r="963">
      <c r="A963" s="201"/>
      <c r="B963" s="201"/>
      <c r="C963" s="198"/>
      <c r="D963" s="198"/>
      <c r="E963" s="198"/>
      <c r="F963" s="198"/>
      <c r="G963" s="198"/>
      <c r="H963" s="198"/>
      <c r="I963" s="198"/>
      <c r="J963" s="198"/>
      <c r="K963" s="198"/>
      <c r="M963" s="198"/>
      <c r="N963" s="198"/>
      <c r="O963" s="198"/>
      <c r="P963" s="198"/>
      <c r="Q963" s="198"/>
      <c r="R963" s="198"/>
      <c r="S963" s="198"/>
      <c r="T963" s="198"/>
      <c r="U963" s="198"/>
      <c r="V963" s="198"/>
      <c r="W963" s="198"/>
      <c r="X963" s="198"/>
      <c r="Y963" s="198"/>
      <c r="Z963" s="198"/>
      <c r="AA963" s="198"/>
    </row>
    <row r="964">
      <c r="A964" s="201"/>
      <c r="B964" s="201"/>
      <c r="C964" s="198"/>
      <c r="D964" s="198"/>
      <c r="E964" s="198"/>
      <c r="F964" s="198"/>
      <c r="G964" s="198"/>
      <c r="H964" s="198"/>
      <c r="I964" s="198"/>
      <c r="J964" s="198"/>
      <c r="K964" s="198"/>
      <c r="M964" s="198"/>
      <c r="N964" s="198"/>
      <c r="O964" s="198"/>
      <c r="P964" s="198"/>
      <c r="Q964" s="198"/>
      <c r="R964" s="198"/>
      <c r="S964" s="198"/>
      <c r="T964" s="198"/>
      <c r="U964" s="198"/>
      <c r="V964" s="198"/>
      <c r="W964" s="198"/>
      <c r="X964" s="198"/>
      <c r="Y964" s="198"/>
      <c r="Z964" s="198"/>
      <c r="AA964" s="198"/>
    </row>
    <row r="965">
      <c r="A965" s="201"/>
      <c r="B965" s="201"/>
      <c r="C965" s="198"/>
      <c r="D965" s="198"/>
      <c r="E965" s="198"/>
      <c r="F965" s="198"/>
      <c r="G965" s="198"/>
      <c r="H965" s="198"/>
      <c r="I965" s="198"/>
      <c r="J965" s="198"/>
      <c r="K965" s="198"/>
      <c r="M965" s="198"/>
      <c r="N965" s="198"/>
      <c r="O965" s="198"/>
      <c r="P965" s="198"/>
      <c r="Q965" s="198"/>
      <c r="R965" s="198"/>
      <c r="S965" s="198"/>
      <c r="T965" s="198"/>
      <c r="U965" s="198"/>
      <c r="V965" s="198"/>
      <c r="W965" s="198"/>
      <c r="X965" s="198"/>
      <c r="Y965" s="198"/>
      <c r="Z965" s="198"/>
      <c r="AA965" s="198"/>
    </row>
    <row r="966">
      <c r="A966" s="201"/>
      <c r="B966" s="201"/>
      <c r="C966" s="198"/>
      <c r="D966" s="198"/>
      <c r="E966" s="198"/>
      <c r="F966" s="198"/>
      <c r="G966" s="198"/>
      <c r="H966" s="198"/>
      <c r="I966" s="198"/>
      <c r="J966" s="198"/>
      <c r="K966" s="198"/>
      <c r="M966" s="198"/>
      <c r="N966" s="198"/>
      <c r="O966" s="198"/>
      <c r="P966" s="198"/>
      <c r="Q966" s="198"/>
      <c r="R966" s="198"/>
      <c r="S966" s="198"/>
      <c r="T966" s="198"/>
      <c r="U966" s="198"/>
      <c r="V966" s="198"/>
      <c r="W966" s="198"/>
      <c r="X966" s="198"/>
      <c r="Y966" s="198"/>
      <c r="Z966" s="198"/>
      <c r="AA966" s="198"/>
    </row>
    <row r="967">
      <c r="A967" s="201"/>
      <c r="B967" s="201"/>
      <c r="C967" s="198"/>
      <c r="D967" s="198"/>
      <c r="E967" s="198"/>
      <c r="F967" s="198"/>
      <c r="G967" s="198"/>
      <c r="H967" s="198"/>
      <c r="I967" s="198"/>
      <c r="J967" s="198"/>
      <c r="K967" s="198"/>
      <c r="M967" s="198"/>
      <c r="N967" s="198"/>
      <c r="O967" s="198"/>
      <c r="P967" s="198"/>
      <c r="Q967" s="198"/>
      <c r="R967" s="198"/>
      <c r="S967" s="198"/>
      <c r="T967" s="198"/>
      <c r="U967" s="198"/>
      <c r="V967" s="198"/>
      <c r="W967" s="198"/>
      <c r="X967" s="198"/>
      <c r="Y967" s="198"/>
      <c r="Z967" s="198"/>
      <c r="AA967" s="198"/>
    </row>
    <row r="968">
      <c r="A968" s="201"/>
      <c r="B968" s="201"/>
      <c r="C968" s="198"/>
      <c r="D968" s="198"/>
      <c r="E968" s="198"/>
      <c r="F968" s="198"/>
      <c r="G968" s="198"/>
      <c r="H968" s="198"/>
      <c r="I968" s="198"/>
      <c r="J968" s="198"/>
      <c r="K968" s="198"/>
      <c r="M968" s="198"/>
      <c r="N968" s="198"/>
      <c r="O968" s="198"/>
      <c r="P968" s="198"/>
      <c r="Q968" s="198"/>
      <c r="R968" s="198"/>
      <c r="S968" s="198"/>
      <c r="T968" s="198"/>
      <c r="U968" s="198"/>
      <c r="V968" s="198"/>
      <c r="W968" s="198"/>
      <c r="X968" s="198"/>
      <c r="Y968" s="198"/>
      <c r="Z968" s="198"/>
      <c r="AA968" s="198"/>
    </row>
    <row r="969">
      <c r="A969" s="201"/>
      <c r="B969" s="201"/>
      <c r="C969" s="198"/>
      <c r="D969" s="198"/>
      <c r="E969" s="198"/>
      <c r="F969" s="198"/>
      <c r="G969" s="198"/>
      <c r="H969" s="198"/>
      <c r="I969" s="198"/>
      <c r="J969" s="198"/>
      <c r="K969" s="198"/>
      <c r="M969" s="198"/>
      <c r="N969" s="198"/>
      <c r="O969" s="198"/>
      <c r="P969" s="198"/>
      <c r="Q969" s="198"/>
      <c r="R969" s="198"/>
      <c r="S969" s="198"/>
      <c r="T969" s="198"/>
      <c r="U969" s="198"/>
      <c r="V969" s="198"/>
      <c r="W969" s="198"/>
      <c r="X969" s="198"/>
      <c r="Y969" s="198"/>
      <c r="Z969" s="198"/>
      <c r="AA969" s="198"/>
    </row>
    <row r="970">
      <c r="A970" s="201"/>
      <c r="B970" s="201"/>
      <c r="C970" s="198"/>
      <c r="D970" s="198"/>
      <c r="E970" s="198"/>
      <c r="F970" s="198"/>
      <c r="G970" s="198"/>
      <c r="H970" s="198"/>
      <c r="I970" s="198"/>
      <c r="J970" s="198"/>
      <c r="K970" s="198"/>
      <c r="M970" s="198"/>
      <c r="N970" s="198"/>
      <c r="O970" s="198"/>
      <c r="P970" s="198"/>
      <c r="Q970" s="198"/>
      <c r="R970" s="198"/>
      <c r="S970" s="198"/>
      <c r="T970" s="198"/>
      <c r="U970" s="198"/>
      <c r="V970" s="198"/>
      <c r="W970" s="198"/>
      <c r="X970" s="198"/>
      <c r="Y970" s="198"/>
      <c r="Z970" s="198"/>
      <c r="AA970" s="198"/>
    </row>
    <row r="971">
      <c r="A971" s="201"/>
      <c r="B971" s="201"/>
      <c r="C971" s="198"/>
      <c r="D971" s="198"/>
      <c r="E971" s="198"/>
      <c r="F971" s="198"/>
      <c r="G971" s="198"/>
      <c r="H971" s="198"/>
      <c r="I971" s="198"/>
      <c r="J971" s="198"/>
      <c r="K971" s="198"/>
      <c r="M971" s="198"/>
      <c r="N971" s="198"/>
      <c r="O971" s="198"/>
      <c r="P971" s="198"/>
      <c r="Q971" s="198"/>
      <c r="R971" s="198"/>
      <c r="S971" s="198"/>
      <c r="T971" s="198"/>
      <c r="U971" s="198"/>
      <c r="V971" s="198"/>
      <c r="W971" s="198"/>
      <c r="X971" s="198"/>
      <c r="Y971" s="198"/>
      <c r="Z971" s="198"/>
      <c r="AA971" s="198"/>
    </row>
    <row r="972">
      <c r="A972" s="201"/>
      <c r="B972" s="201"/>
      <c r="C972" s="198"/>
      <c r="D972" s="198"/>
      <c r="E972" s="198"/>
      <c r="F972" s="198"/>
      <c r="G972" s="198"/>
      <c r="H972" s="198"/>
      <c r="I972" s="198"/>
      <c r="J972" s="198"/>
      <c r="K972" s="198"/>
      <c r="M972" s="198"/>
      <c r="N972" s="198"/>
      <c r="O972" s="198"/>
      <c r="P972" s="198"/>
      <c r="Q972" s="198"/>
      <c r="R972" s="198"/>
      <c r="S972" s="198"/>
      <c r="T972" s="198"/>
      <c r="U972" s="198"/>
      <c r="V972" s="198"/>
      <c r="W972" s="198"/>
      <c r="X972" s="198"/>
      <c r="Y972" s="198"/>
      <c r="Z972" s="198"/>
      <c r="AA972" s="198"/>
    </row>
    <row r="973">
      <c r="A973" s="201"/>
      <c r="B973" s="201"/>
      <c r="C973" s="198"/>
      <c r="D973" s="198"/>
      <c r="E973" s="198"/>
      <c r="F973" s="198"/>
      <c r="G973" s="198"/>
      <c r="H973" s="198"/>
      <c r="I973" s="198"/>
      <c r="J973" s="198"/>
      <c r="K973" s="198"/>
      <c r="M973" s="198"/>
      <c r="N973" s="198"/>
      <c r="O973" s="198"/>
      <c r="P973" s="198"/>
      <c r="Q973" s="198"/>
      <c r="R973" s="198"/>
      <c r="S973" s="198"/>
      <c r="T973" s="198"/>
      <c r="U973" s="198"/>
      <c r="V973" s="198"/>
      <c r="W973" s="198"/>
      <c r="X973" s="198"/>
      <c r="Y973" s="198"/>
      <c r="Z973" s="198"/>
      <c r="AA973" s="198"/>
    </row>
    <row r="974">
      <c r="A974" s="201"/>
      <c r="B974" s="201"/>
      <c r="C974" s="198"/>
      <c r="D974" s="198"/>
      <c r="E974" s="198"/>
      <c r="F974" s="198"/>
      <c r="G974" s="198"/>
      <c r="H974" s="198"/>
      <c r="I974" s="198"/>
      <c r="J974" s="198"/>
      <c r="K974" s="198"/>
      <c r="M974" s="198"/>
      <c r="N974" s="198"/>
      <c r="O974" s="198"/>
      <c r="P974" s="198"/>
      <c r="Q974" s="198"/>
      <c r="R974" s="198"/>
      <c r="S974" s="198"/>
      <c r="T974" s="198"/>
      <c r="U974" s="198"/>
      <c r="V974" s="198"/>
      <c r="W974" s="198"/>
      <c r="X974" s="198"/>
      <c r="Y974" s="198"/>
      <c r="Z974" s="198"/>
      <c r="AA974" s="198"/>
    </row>
    <row r="975">
      <c r="A975" s="201"/>
      <c r="B975" s="201"/>
      <c r="C975" s="198"/>
      <c r="D975" s="198"/>
      <c r="E975" s="198"/>
      <c r="F975" s="198"/>
      <c r="G975" s="198"/>
      <c r="H975" s="198"/>
      <c r="I975" s="198"/>
      <c r="J975" s="198"/>
      <c r="K975" s="198"/>
      <c r="M975" s="198"/>
      <c r="N975" s="198"/>
      <c r="O975" s="198"/>
      <c r="P975" s="198"/>
      <c r="Q975" s="198"/>
      <c r="R975" s="198"/>
      <c r="S975" s="198"/>
      <c r="T975" s="198"/>
      <c r="U975" s="198"/>
      <c r="V975" s="198"/>
      <c r="W975" s="198"/>
      <c r="X975" s="198"/>
      <c r="Y975" s="198"/>
      <c r="Z975" s="198"/>
      <c r="AA975" s="198"/>
    </row>
    <row r="976">
      <c r="A976" s="201"/>
      <c r="B976" s="201"/>
      <c r="C976" s="198"/>
      <c r="D976" s="198"/>
      <c r="E976" s="198"/>
      <c r="F976" s="198"/>
      <c r="G976" s="198"/>
      <c r="H976" s="198"/>
      <c r="I976" s="198"/>
      <c r="J976" s="198"/>
      <c r="K976" s="198"/>
      <c r="M976" s="198"/>
      <c r="N976" s="198"/>
      <c r="O976" s="198"/>
      <c r="P976" s="198"/>
      <c r="Q976" s="198"/>
      <c r="R976" s="198"/>
      <c r="S976" s="198"/>
      <c r="T976" s="198"/>
      <c r="U976" s="198"/>
      <c r="V976" s="198"/>
      <c r="W976" s="198"/>
      <c r="X976" s="198"/>
      <c r="Y976" s="198"/>
      <c r="Z976" s="198"/>
      <c r="AA976" s="198"/>
    </row>
    <row r="977">
      <c r="A977" s="201"/>
      <c r="B977" s="201"/>
      <c r="C977" s="198"/>
      <c r="D977" s="198"/>
      <c r="E977" s="198"/>
      <c r="F977" s="198"/>
      <c r="G977" s="198"/>
      <c r="H977" s="198"/>
      <c r="I977" s="198"/>
      <c r="J977" s="198"/>
      <c r="K977" s="198"/>
      <c r="M977" s="198"/>
      <c r="N977" s="198"/>
      <c r="O977" s="198"/>
      <c r="P977" s="198"/>
      <c r="Q977" s="198"/>
      <c r="R977" s="198"/>
      <c r="S977" s="198"/>
      <c r="T977" s="198"/>
      <c r="U977" s="198"/>
      <c r="V977" s="198"/>
      <c r="W977" s="198"/>
      <c r="X977" s="198"/>
      <c r="Y977" s="198"/>
      <c r="Z977" s="198"/>
      <c r="AA977" s="198"/>
    </row>
    <row r="978">
      <c r="A978" s="201"/>
      <c r="B978" s="201"/>
      <c r="C978" s="198"/>
      <c r="D978" s="198"/>
      <c r="E978" s="198"/>
      <c r="F978" s="198"/>
      <c r="G978" s="198"/>
      <c r="H978" s="198"/>
      <c r="I978" s="198"/>
      <c r="J978" s="198"/>
      <c r="K978" s="198"/>
      <c r="M978" s="198"/>
      <c r="N978" s="198"/>
      <c r="O978" s="198"/>
      <c r="P978" s="198"/>
      <c r="Q978" s="198"/>
      <c r="R978" s="198"/>
      <c r="S978" s="198"/>
      <c r="T978" s="198"/>
      <c r="U978" s="198"/>
      <c r="V978" s="198"/>
      <c r="W978" s="198"/>
      <c r="X978" s="198"/>
      <c r="Y978" s="198"/>
      <c r="Z978" s="198"/>
      <c r="AA978" s="198"/>
    </row>
    <row r="979">
      <c r="A979" s="201"/>
      <c r="B979" s="201"/>
      <c r="C979" s="198"/>
      <c r="D979" s="198"/>
      <c r="E979" s="198"/>
      <c r="F979" s="198"/>
      <c r="G979" s="198"/>
      <c r="H979" s="198"/>
      <c r="I979" s="198"/>
      <c r="J979" s="198"/>
      <c r="K979" s="198"/>
      <c r="M979" s="198"/>
      <c r="N979" s="198"/>
      <c r="O979" s="198"/>
      <c r="P979" s="198"/>
      <c r="Q979" s="198"/>
      <c r="R979" s="198"/>
      <c r="S979" s="198"/>
      <c r="T979" s="198"/>
      <c r="U979" s="198"/>
      <c r="V979" s="198"/>
      <c r="W979" s="198"/>
      <c r="X979" s="198"/>
      <c r="Y979" s="198"/>
      <c r="Z979" s="198"/>
      <c r="AA979" s="198"/>
    </row>
    <row r="980">
      <c r="A980" s="201"/>
      <c r="B980" s="201"/>
      <c r="C980" s="198"/>
      <c r="D980" s="198"/>
      <c r="E980" s="198"/>
      <c r="F980" s="198"/>
      <c r="G980" s="198"/>
      <c r="H980" s="198"/>
      <c r="I980" s="198"/>
      <c r="J980" s="198"/>
      <c r="K980" s="198"/>
      <c r="M980" s="198"/>
      <c r="N980" s="198"/>
      <c r="O980" s="198"/>
      <c r="P980" s="198"/>
      <c r="Q980" s="198"/>
      <c r="R980" s="198"/>
      <c r="S980" s="198"/>
      <c r="T980" s="198"/>
      <c r="U980" s="198"/>
      <c r="V980" s="198"/>
      <c r="W980" s="198"/>
      <c r="X980" s="198"/>
      <c r="Y980" s="198"/>
      <c r="Z980" s="198"/>
      <c r="AA980" s="198"/>
    </row>
    <row r="981">
      <c r="A981" s="201"/>
      <c r="B981" s="201"/>
      <c r="C981" s="198"/>
      <c r="D981" s="198"/>
      <c r="E981" s="198"/>
      <c r="F981" s="198"/>
      <c r="G981" s="198"/>
      <c r="H981" s="198"/>
      <c r="I981" s="198"/>
      <c r="J981" s="198"/>
      <c r="K981" s="198"/>
      <c r="M981" s="198"/>
      <c r="N981" s="198"/>
      <c r="O981" s="198"/>
      <c r="P981" s="198"/>
      <c r="Q981" s="198"/>
      <c r="R981" s="198"/>
      <c r="S981" s="198"/>
      <c r="T981" s="198"/>
      <c r="U981" s="198"/>
      <c r="V981" s="198"/>
      <c r="W981" s="198"/>
      <c r="X981" s="198"/>
      <c r="Y981" s="198"/>
      <c r="Z981" s="198"/>
      <c r="AA981" s="198"/>
    </row>
    <row r="982">
      <c r="A982" s="201"/>
      <c r="B982" s="201"/>
      <c r="C982" s="198"/>
      <c r="D982" s="198"/>
      <c r="E982" s="198"/>
      <c r="F982" s="198"/>
      <c r="G982" s="198"/>
      <c r="H982" s="198"/>
      <c r="I982" s="198"/>
      <c r="J982" s="198"/>
      <c r="K982" s="198"/>
      <c r="M982" s="198"/>
      <c r="N982" s="198"/>
      <c r="O982" s="198"/>
      <c r="P982" s="198"/>
      <c r="Q982" s="198"/>
      <c r="R982" s="198"/>
      <c r="S982" s="198"/>
      <c r="T982" s="198"/>
      <c r="U982" s="198"/>
      <c r="V982" s="198"/>
      <c r="W982" s="198"/>
      <c r="X982" s="198"/>
      <c r="Y982" s="198"/>
      <c r="Z982" s="198"/>
      <c r="AA982" s="198"/>
    </row>
    <row r="983">
      <c r="A983" s="201"/>
      <c r="B983" s="201"/>
      <c r="C983" s="198"/>
      <c r="D983" s="198"/>
      <c r="E983" s="198"/>
      <c r="F983" s="198"/>
      <c r="G983" s="198"/>
      <c r="H983" s="198"/>
      <c r="I983" s="198"/>
      <c r="J983" s="198"/>
      <c r="K983" s="198"/>
      <c r="M983" s="198"/>
      <c r="N983" s="198"/>
      <c r="O983" s="198"/>
      <c r="P983" s="198"/>
      <c r="Q983" s="198"/>
      <c r="R983" s="198"/>
      <c r="S983" s="198"/>
      <c r="T983" s="198"/>
      <c r="U983" s="198"/>
      <c r="V983" s="198"/>
      <c r="W983" s="198"/>
      <c r="X983" s="198"/>
      <c r="Y983" s="198"/>
      <c r="Z983" s="198"/>
      <c r="AA983" s="198"/>
    </row>
    <row r="984">
      <c r="A984" s="201"/>
      <c r="B984" s="201"/>
      <c r="C984" s="198"/>
      <c r="D984" s="198"/>
      <c r="E984" s="198"/>
      <c r="F984" s="198"/>
      <c r="G984" s="198"/>
      <c r="H984" s="198"/>
      <c r="I984" s="198"/>
      <c r="J984" s="198"/>
      <c r="K984" s="198"/>
      <c r="M984" s="198"/>
      <c r="N984" s="198"/>
      <c r="O984" s="198"/>
      <c r="P984" s="198"/>
      <c r="Q984" s="198"/>
      <c r="R984" s="198"/>
      <c r="S984" s="198"/>
      <c r="T984" s="198"/>
      <c r="U984" s="198"/>
      <c r="V984" s="198"/>
      <c r="W984" s="198"/>
      <c r="X984" s="198"/>
      <c r="Y984" s="198"/>
      <c r="Z984" s="198"/>
      <c r="AA984" s="198"/>
    </row>
    <row r="985">
      <c r="A985" s="201"/>
      <c r="B985" s="201"/>
      <c r="C985" s="198"/>
      <c r="D985" s="198"/>
      <c r="E985" s="198"/>
      <c r="F985" s="198"/>
      <c r="G985" s="198"/>
      <c r="H985" s="198"/>
      <c r="I985" s="198"/>
      <c r="J985" s="198"/>
      <c r="K985" s="198"/>
      <c r="M985" s="198"/>
      <c r="N985" s="198"/>
      <c r="O985" s="198"/>
      <c r="P985" s="198"/>
      <c r="Q985" s="198"/>
      <c r="R985" s="198"/>
      <c r="S985" s="198"/>
      <c r="T985" s="198"/>
      <c r="U985" s="198"/>
      <c r="V985" s="198"/>
      <c r="W985" s="198"/>
      <c r="X985" s="198"/>
      <c r="Y985" s="198"/>
      <c r="Z985" s="198"/>
      <c r="AA985" s="198"/>
    </row>
    <row r="986">
      <c r="A986" s="201"/>
      <c r="B986" s="201"/>
      <c r="C986" s="198"/>
      <c r="D986" s="198"/>
      <c r="E986" s="198"/>
      <c r="F986" s="198"/>
      <c r="G986" s="198"/>
      <c r="H986" s="198"/>
      <c r="I986" s="198"/>
      <c r="J986" s="198"/>
      <c r="K986" s="198"/>
      <c r="M986" s="198"/>
      <c r="N986" s="198"/>
      <c r="O986" s="198"/>
      <c r="P986" s="198"/>
      <c r="Q986" s="198"/>
      <c r="R986" s="198"/>
      <c r="S986" s="198"/>
      <c r="T986" s="198"/>
      <c r="U986" s="198"/>
      <c r="V986" s="198"/>
      <c r="W986" s="198"/>
      <c r="X986" s="198"/>
      <c r="Y986" s="198"/>
      <c r="Z986" s="198"/>
      <c r="AA986" s="198"/>
    </row>
    <row r="987">
      <c r="A987" s="201"/>
      <c r="B987" s="201"/>
      <c r="C987" s="198"/>
      <c r="D987" s="198"/>
      <c r="E987" s="198"/>
      <c r="F987" s="198"/>
      <c r="G987" s="198"/>
      <c r="H987" s="198"/>
      <c r="I987" s="198"/>
      <c r="J987" s="198"/>
      <c r="K987" s="198"/>
      <c r="M987" s="198"/>
      <c r="N987" s="198"/>
      <c r="O987" s="198"/>
      <c r="P987" s="198"/>
      <c r="Q987" s="198"/>
      <c r="R987" s="198"/>
      <c r="S987" s="198"/>
      <c r="T987" s="198"/>
      <c r="U987" s="198"/>
      <c r="V987" s="198"/>
      <c r="W987" s="198"/>
      <c r="X987" s="198"/>
      <c r="Y987" s="198"/>
      <c r="Z987" s="198"/>
      <c r="AA987" s="198"/>
    </row>
    <row r="988">
      <c r="A988" s="201"/>
      <c r="B988" s="201"/>
      <c r="C988" s="198"/>
      <c r="D988" s="198"/>
      <c r="E988" s="198"/>
      <c r="F988" s="198"/>
      <c r="G988" s="198"/>
      <c r="H988" s="198"/>
      <c r="I988" s="198"/>
      <c r="J988" s="198"/>
      <c r="K988" s="198"/>
      <c r="M988" s="198"/>
      <c r="N988" s="198"/>
      <c r="O988" s="198"/>
      <c r="P988" s="198"/>
      <c r="Q988" s="198"/>
      <c r="R988" s="198"/>
      <c r="S988" s="198"/>
      <c r="T988" s="198"/>
      <c r="U988" s="198"/>
      <c r="V988" s="198"/>
      <c r="W988" s="198"/>
      <c r="X988" s="198"/>
      <c r="Y988" s="198"/>
      <c r="Z988" s="198"/>
      <c r="AA988" s="198"/>
    </row>
    <row r="989">
      <c r="A989" s="201"/>
      <c r="B989" s="201"/>
      <c r="C989" s="198"/>
      <c r="D989" s="198"/>
      <c r="E989" s="198"/>
      <c r="F989" s="198"/>
      <c r="G989" s="198"/>
      <c r="H989" s="198"/>
      <c r="I989" s="198"/>
      <c r="J989" s="198"/>
      <c r="K989" s="198"/>
      <c r="M989" s="198"/>
      <c r="N989" s="198"/>
      <c r="O989" s="198"/>
      <c r="P989" s="198"/>
      <c r="Q989" s="198"/>
      <c r="R989" s="198"/>
      <c r="S989" s="198"/>
      <c r="T989" s="198"/>
      <c r="U989" s="198"/>
      <c r="V989" s="198"/>
      <c r="W989" s="198"/>
      <c r="X989" s="198"/>
      <c r="Y989" s="198"/>
      <c r="Z989" s="198"/>
      <c r="AA989" s="198"/>
    </row>
    <row r="990">
      <c r="A990" s="201"/>
      <c r="B990" s="201"/>
      <c r="C990" s="198"/>
      <c r="D990" s="198"/>
      <c r="E990" s="198"/>
      <c r="F990" s="198"/>
      <c r="G990" s="198"/>
      <c r="H990" s="198"/>
      <c r="I990" s="198"/>
      <c r="J990" s="198"/>
      <c r="K990" s="198"/>
      <c r="M990" s="198"/>
      <c r="N990" s="198"/>
      <c r="O990" s="198"/>
      <c r="P990" s="198"/>
      <c r="Q990" s="198"/>
      <c r="R990" s="198"/>
      <c r="S990" s="198"/>
      <c r="T990" s="198"/>
      <c r="U990" s="198"/>
      <c r="V990" s="198"/>
      <c r="W990" s="198"/>
      <c r="X990" s="198"/>
      <c r="Y990" s="198"/>
      <c r="Z990" s="198"/>
      <c r="AA990" s="198"/>
    </row>
    <row r="991">
      <c r="A991" s="201"/>
      <c r="B991" s="201"/>
      <c r="C991" s="198"/>
      <c r="D991" s="198"/>
      <c r="E991" s="198"/>
      <c r="F991" s="198"/>
      <c r="G991" s="198"/>
      <c r="H991" s="198"/>
      <c r="I991" s="198"/>
      <c r="J991" s="198"/>
      <c r="K991" s="198"/>
      <c r="M991" s="198"/>
      <c r="N991" s="198"/>
      <c r="O991" s="198"/>
      <c r="P991" s="198"/>
      <c r="Q991" s="198"/>
      <c r="R991" s="198"/>
      <c r="S991" s="198"/>
      <c r="T991" s="198"/>
      <c r="U991" s="198"/>
      <c r="V991" s="198"/>
      <c r="W991" s="198"/>
      <c r="X991" s="198"/>
      <c r="Y991" s="198"/>
      <c r="Z991" s="198"/>
      <c r="AA991" s="198"/>
    </row>
    <row r="992">
      <c r="A992" s="201"/>
      <c r="B992" s="201"/>
      <c r="C992" s="198"/>
      <c r="D992" s="198"/>
      <c r="E992" s="198"/>
      <c r="F992" s="198"/>
      <c r="G992" s="198"/>
      <c r="H992" s="198"/>
      <c r="I992" s="198"/>
      <c r="J992" s="198"/>
      <c r="K992" s="198"/>
      <c r="M992" s="198"/>
      <c r="N992" s="198"/>
      <c r="O992" s="198"/>
      <c r="P992" s="198"/>
      <c r="Q992" s="198"/>
      <c r="R992" s="198"/>
      <c r="S992" s="198"/>
      <c r="T992" s="198"/>
      <c r="U992" s="198"/>
      <c r="V992" s="198"/>
      <c r="W992" s="198"/>
      <c r="X992" s="198"/>
      <c r="Y992" s="198"/>
      <c r="Z992" s="198"/>
      <c r="AA992" s="198"/>
    </row>
    <row r="993">
      <c r="A993" s="201"/>
      <c r="B993" s="201"/>
      <c r="C993" s="198"/>
      <c r="D993" s="198"/>
      <c r="E993" s="198"/>
      <c r="F993" s="198"/>
      <c r="G993" s="198"/>
      <c r="H993" s="198"/>
      <c r="I993" s="198"/>
      <c r="J993" s="198"/>
      <c r="K993" s="198"/>
      <c r="M993" s="198"/>
      <c r="N993" s="198"/>
      <c r="O993" s="198"/>
      <c r="P993" s="198"/>
      <c r="Q993" s="198"/>
      <c r="R993" s="198"/>
      <c r="S993" s="198"/>
      <c r="T993" s="198"/>
      <c r="U993" s="198"/>
      <c r="V993" s="198"/>
      <c r="W993" s="198"/>
      <c r="X993" s="198"/>
      <c r="Y993" s="198"/>
      <c r="Z993" s="198"/>
      <c r="AA993" s="198"/>
    </row>
    <row r="994">
      <c r="A994" s="201"/>
      <c r="B994" s="201"/>
      <c r="C994" s="198"/>
      <c r="D994" s="198"/>
      <c r="E994" s="198"/>
      <c r="F994" s="198"/>
      <c r="G994" s="198"/>
      <c r="H994" s="198"/>
      <c r="I994" s="198"/>
      <c r="J994" s="198"/>
      <c r="K994" s="198"/>
      <c r="M994" s="198"/>
      <c r="N994" s="198"/>
      <c r="O994" s="198"/>
      <c r="P994" s="198"/>
      <c r="Q994" s="198"/>
      <c r="R994" s="198"/>
      <c r="S994" s="198"/>
      <c r="T994" s="198"/>
      <c r="U994" s="198"/>
      <c r="V994" s="198"/>
      <c r="W994" s="198"/>
      <c r="X994" s="198"/>
      <c r="Y994" s="198"/>
      <c r="Z994" s="198"/>
      <c r="AA994" s="198"/>
    </row>
    <row r="995">
      <c r="A995" s="201"/>
      <c r="B995" s="201"/>
      <c r="C995" s="198"/>
      <c r="D995" s="198"/>
      <c r="E995" s="198"/>
      <c r="F995" s="198"/>
      <c r="G995" s="198"/>
      <c r="H995" s="198"/>
      <c r="I995" s="198"/>
      <c r="J995" s="198"/>
      <c r="K995" s="198"/>
      <c r="M995" s="198"/>
      <c r="N995" s="198"/>
      <c r="O995" s="198"/>
      <c r="P995" s="198"/>
      <c r="Q995" s="198"/>
      <c r="R995" s="198"/>
      <c r="S995" s="198"/>
      <c r="T995" s="198"/>
      <c r="U995" s="198"/>
      <c r="V995" s="198"/>
      <c r="W995" s="198"/>
      <c r="X995" s="198"/>
      <c r="Y995" s="198"/>
      <c r="Z995" s="198"/>
      <c r="AA995" s="198"/>
    </row>
    <row r="996">
      <c r="A996" s="201"/>
      <c r="B996" s="201"/>
      <c r="C996" s="198"/>
      <c r="D996" s="198"/>
      <c r="E996" s="198"/>
      <c r="F996" s="198"/>
      <c r="G996" s="198"/>
      <c r="H996" s="198"/>
      <c r="I996" s="198"/>
      <c r="J996" s="198"/>
      <c r="K996" s="198"/>
      <c r="M996" s="198"/>
      <c r="N996" s="198"/>
      <c r="O996" s="198"/>
      <c r="P996" s="198"/>
      <c r="Q996" s="198"/>
      <c r="R996" s="198"/>
      <c r="S996" s="198"/>
      <c r="T996" s="198"/>
      <c r="U996" s="198"/>
      <c r="V996" s="198"/>
      <c r="W996" s="198"/>
      <c r="X996" s="198"/>
      <c r="Y996" s="198"/>
      <c r="Z996" s="198"/>
      <c r="AA996" s="198"/>
    </row>
    <row r="997">
      <c r="A997" s="201"/>
      <c r="B997" s="201"/>
      <c r="C997" s="198"/>
      <c r="D997" s="198"/>
      <c r="E997" s="198"/>
      <c r="F997" s="198"/>
      <c r="G997" s="198"/>
      <c r="H997" s="198"/>
      <c r="I997" s="198"/>
      <c r="J997" s="198"/>
      <c r="K997" s="198"/>
      <c r="M997" s="198"/>
      <c r="N997" s="198"/>
      <c r="O997" s="198"/>
      <c r="P997" s="198"/>
      <c r="Q997" s="198"/>
      <c r="R997" s="198"/>
      <c r="S997" s="198"/>
      <c r="T997" s="198"/>
      <c r="U997" s="198"/>
      <c r="V997" s="198"/>
      <c r="W997" s="198"/>
      <c r="X997" s="198"/>
      <c r="Y997" s="198"/>
      <c r="Z997" s="198"/>
      <c r="AA997" s="198"/>
    </row>
    <row r="998">
      <c r="A998" s="201"/>
      <c r="B998" s="201"/>
      <c r="C998" s="198"/>
      <c r="D998" s="198"/>
      <c r="E998" s="198"/>
      <c r="F998" s="198"/>
      <c r="G998" s="198"/>
      <c r="H998" s="198"/>
      <c r="I998" s="198"/>
      <c r="J998" s="198"/>
      <c r="K998" s="198"/>
      <c r="M998" s="198"/>
      <c r="N998" s="198"/>
      <c r="O998" s="198"/>
      <c r="P998" s="198"/>
      <c r="Q998" s="198"/>
      <c r="R998" s="198"/>
      <c r="S998" s="198"/>
      <c r="T998" s="198"/>
      <c r="U998" s="198"/>
      <c r="V998" s="198"/>
      <c r="W998" s="198"/>
      <c r="X998" s="198"/>
      <c r="Y998" s="198"/>
      <c r="Z998" s="198"/>
      <c r="AA998" s="198"/>
    </row>
    <row r="999">
      <c r="A999" s="201"/>
      <c r="B999" s="201"/>
      <c r="C999" s="198"/>
      <c r="D999" s="198"/>
      <c r="E999" s="198"/>
      <c r="F999" s="198"/>
      <c r="G999" s="198"/>
      <c r="H999" s="198"/>
      <c r="I999" s="198"/>
      <c r="J999" s="198"/>
      <c r="K999" s="198"/>
      <c r="M999" s="198"/>
      <c r="N999" s="198"/>
      <c r="O999" s="198"/>
      <c r="P999" s="198"/>
      <c r="Q999" s="198"/>
      <c r="R999" s="198"/>
      <c r="S999" s="198"/>
      <c r="T999" s="198"/>
      <c r="U999" s="198"/>
      <c r="V999" s="198"/>
      <c r="W999" s="198"/>
      <c r="X999" s="198"/>
      <c r="Y999" s="198"/>
      <c r="Z999" s="198"/>
      <c r="AA999" s="198"/>
    </row>
    <row r="1000">
      <c r="A1000" s="201"/>
      <c r="B1000" s="201"/>
      <c r="C1000" s="198"/>
      <c r="D1000" s="198"/>
      <c r="E1000" s="198"/>
      <c r="F1000" s="198"/>
      <c r="G1000" s="198"/>
      <c r="H1000" s="198"/>
      <c r="I1000" s="198"/>
      <c r="J1000" s="198"/>
      <c r="K1000" s="198"/>
      <c r="M1000" s="198"/>
      <c r="N1000" s="198"/>
      <c r="O1000" s="198"/>
      <c r="P1000" s="198"/>
      <c r="Q1000" s="198"/>
      <c r="R1000" s="198"/>
      <c r="S1000" s="198"/>
      <c r="T1000" s="198"/>
      <c r="U1000" s="198"/>
      <c r="V1000" s="198"/>
      <c r="W1000" s="198"/>
      <c r="X1000" s="198"/>
      <c r="Y1000" s="198"/>
      <c r="Z1000" s="198"/>
      <c r="AA1000" s="198"/>
    </row>
    <row r="1001">
      <c r="A1001" s="201"/>
      <c r="B1001" s="201"/>
      <c r="C1001" s="198"/>
      <c r="D1001" s="198"/>
      <c r="E1001" s="198"/>
      <c r="F1001" s="198"/>
      <c r="G1001" s="198"/>
      <c r="H1001" s="198"/>
      <c r="I1001" s="198"/>
      <c r="J1001" s="198"/>
      <c r="K1001" s="198"/>
      <c r="M1001" s="198"/>
      <c r="N1001" s="198"/>
      <c r="O1001" s="198"/>
      <c r="P1001" s="198"/>
      <c r="Q1001" s="198"/>
      <c r="R1001" s="198"/>
      <c r="S1001" s="198"/>
      <c r="T1001" s="198"/>
      <c r="U1001" s="198"/>
      <c r="V1001" s="198"/>
      <c r="W1001" s="198"/>
      <c r="X1001" s="198"/>
      <c r="Y1001" s="198"/>
      <c r="Z1001" s="198"/>
      <c r="AA1001" s="198"/>
    </row>
    <row r="1002">
      <c r="A1002" s="201"/>
      <c r="B1002" s="201"/>
      <c r="C1002" s="198"/>
      <c r="D1002" s="198"/>
      <c r="E1002" s="198"/>
      <c r="F1002" s="198"/>
      <c r="G1002" s="198"/>
      <c r="H1002" s="198"/>
      <c r="I1002" s="198"/>
      <c r="J1002" s="198"/>
      <c r="K1002" s="198"/>
      <c r="M1002" s="198"/>
      <c r="N1002" s="198"/>
      <c r="O1002" s="198"/>
      <c r="P1002" s="198"/>
      <c r="Q1002" s="198"/>
      <c r="R1002" s="198"/>
      <c r="S1002" s="198"/>
      <c r="T1002" s="198"/>
      <c r="U1002" s="198"/>
      <c r="V1002" s="198"/>
      <c r="W1002" s="198"/>
      <c r="X1002" s="198"/>
      <c r="Y1002" s="198"/>
      <c r="Z1002" s="198"/>
      <c r="AA1002" s="198"/>
    </row>
    <row r="1003">
      <c r="A1003" s="201"/>
      <c r="B1003" s="201"/>
      <c r="C1003" s="198"/>
      <c r="D1003" s="198"/>
      <c r="E1003" s="198"/>
      <c r="F1003" s="198"/>
      <c r="G1003" s="198"/>
      <c r="H1003" s="198"/>
      <c r="I1003" s="198"/>
      <c r="J1003" s="198"/>
      <c r="K1003" s="198"/>
      <c r="M1003" s="198"/>
      <c r="N1003" s="198"/>
      <c r="O1003" s="198"/>
      <c r="P1003" s="198"/>
      <c r="Q1003" s="198"/>
      <c r="R1003" s="198"/>
      <c r="S1003" s="198"/>
      <c r="T1003" s="198"/>
      <c r="U1003" s="198"/>
      <c r="V1003" s="198"/>
      <c r="W1003" s="198"/>
      <c r="X1003" s="198"/>
      <c r="Y1003" s="198"/>
      <c r="Z1003" s="198"/>
      <c r="AA1003" s="198"/>
    </row>
  </sheetData>
  <mergeCells count="4">
    <mergeCell ref="A1:D1"/>
    <mergeCell ref="A2:D2"/>
    <mergeCell ref="E2:I2"/>
    <mergeCell ref="J2:N2"/>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A1" s="145" t="s">
        <v>43</v>
      </c>
    </row>
    <row r="2">
      <c r="A2" s="145" t="s">
        <v>466</v>
      </c>
      <c r="C2" s="145" t="s">
        <v>467</v>
      </c>
      <c r="D2" s="145" t="s">
        <v>468</v>
      </c>
      <c r="E2" s="145" t="s">
        <v>469</v>
      </c>
    </row>
    <row r="3">
      <c r="A3" s="185" t="str">
        <f>IFERROR(__xludf.DUMMYFUNCTION("QUERY('All The Hats'!$A:$C, CONCATENATE(""select C where B contains '"", $A1, ""'""), 0)"),"AC05")</f>
        <v>AC05</v>
      </c>
      <c r="C3" s="185" t="str">
        <f t="array" ref="C3:C7">UNIQUE(A3:A41291)</f>
        <v>AC05</v>
      </c>
      <c r="D3" s="202">
        <f t="array" ref="D3:D41291">IF(ISBLANK(C3:C41291),,COUNTIF(A3:A41291, C3:C41291))</f>
        <v>2</v>
      </c>
      <c r="E3" s="182" t="str">
        <f t="array" ref="E3:E41291">IFERROR(VLOOKUP(C3:C41291,Hats!$C$2:$F41291,4), "")</f>
        <v>https://i.postimg.cc/jqHdQ6vn/froggy-m.png</v>
      </c>
      <c r="H3" s="185" t="str">
        <f t="array" ref="H3:H41291">IF(ISBLANK(E3:E41291),,IMAGE(E3:E41291))</f>
        <v/>
      </c>
      <c r="I3" s="185" t="str">
        <f t="array" ref="I3:N3">TRANSPOSE($H3:$H8)</f>
        <v/>
      </c>
      <c r="J3" s="185"/>
      <c r="K3" s="185"/>
      <c r="L3" s="185"/>
      <c r="M3" s="185"/>
      <c r="N3" s="185"/>
    </row>
    <row r="4">
      <c r="A4" s="185" t="str">
        <f>IFERROR(__xludf.DUMMYFUNCTION("""COMPUTED_VALUE"""),"AC14")</f>
        <v>AC14</v>
      </c>
      <c r="C4" s="185" t="s">
        <v>36</v>
      </c>
      <c r="D4" s="185">
        <v>1.0</v>
      </c>
      <c r="E4" s="182" t="s">
        <v>346</v>
      </c>
      <c r="H4" s="185"/>
    </row>
    <row r="5">
      <c r="A5" s="185" t="str">
        <f>IFERROR(__xludf.DUMMYFUNCTION("""COMPUTED_VALUE"""),"AC15")</f>
        <v>AC15</v>
      </c>
      <c r="C5" s="185" t="s">
        <v>80</v>
      </c>
      <c r="D5" s="185">
        <v>1.0</v>
      </c>
      <c r="E5" s="182" t="s">
        <v>351</v>
      </c>
      <c r="H5" s="185"/>
    </row>
    <row r="6">
      <c r="A6" s="185" t="str">
        <f>IFERROR(__xludf.DUMMYFUNCTION("""COMPUTED_VALUE"""),"AC05")</f>
        <v>AC05</v>
      </c>
      <c r="C6" s="185" t="s">
        <v>88</v>
      </c>
      <c r="D6" s="185">
        <v>1.0</v>
      </c>
      <c r="E6" s="182" t="s">
        <v>222</v>
      </c>
      <c r="H6" s="185"/>
    </row>
    <row r="7">
      <c r="A7" s="185" t="str">
        <f>IFERROR(__xludf.DUMMYFUNCTION("""COMPUTED_VALUE"""),"AC03")</f>
        <v>AC03</v>
      </c>
      <c r="C7" s="185"/>
      <c r="D7" s="185"/>
      <c r="E7" s="185" t="s">
        <v>470</v>
      </c>
      <c r="H7" s="185"/>
    </row>
    <row r="8">
      <c r="D8" s="185"/>
      <c r="E8" s="185" t="s">
        <v>470</v>
      </c>
      <c r="H8" s="185"/>
      <c r="M8" s="203" t="s">
        <v>471</v>
      </c>
    </row>
    <row r="9">
      <c r="D9" s="185"/>
      <c r="E9" s="185" t="s">
        <v>470</v>
      </c>
      <c r="H9" s="185"/>
      <c r="M9" s="203" t="s">
        <v>472</v>
      </c>
    </row>
    <row r="10">
      <c r="D10" s="185"/>
      <c r="E10" s="185" t="s">
        <v>470</v>
      </c>
      <c r="H10" s="185"/>
      <c r="M10" s="203" t="s">
        <v>473</v>
      </c>
    </row>
    <row r="11">
      <c r="D11" s="185"/>
      <c r="E11" s="185" t="s">
        <v>470</v>
      </c>
      <c r="H11" s="185"/>
      <c r="M11" s="203" t="s">
        <v>474</v>
      </c>
    </row>
    <row r="12">
      <c r="D12" s="185"/>
      <c r="E12" s="185" t="s">
        <v>470</v>
      </c>
      <c r="H12" s="185"/>
      <c r="M12" s="203" t="s">
        <v>473</v>
      </c>
    </row>
    <row r="13" ht="15.0" customHeight="1">
      <c r="D13" s="185"/>
      <c r="E13" s="185" t="s">
        <v>470</v>
      </c>
      <c r="H13" s="185"/>
      <c r="M13" s="203" t="s">
        <v>474</v>
      </c>
    </row>
    <row r="14">
      <c r="D14" s="185"/>
      <c r="E14" s="185" t="s">
        <v>470</v>
      </c>
      <c r="H14" s="185"/>
      <c r="M14" s="203" t="s">
        <v>473</v>
      </c>
    </row>
    <row r="15">
      <c r="D15" s="185"/>
      <c r="E15" s="185" t="s">
        <v>470</v>
      </c>
      <c r="H15" s="185"/>
      <c r="K15" s="204"/>
      <c r="M15" s="203" t="s">
        <v>474</v>
      </c>
    </row>
    <row r="16">
      <c r="D16" s="185"/>
      <c r="E16" s="185" t="s">
        <v>470</v>
      </c>
      <c r="H16" s="185"/>
      <c r="M16" s="203" t="s">
        <v>473</v>
      </c>
    </row>
    <row r="17">
      <c r="D17" s="185"/>
      <c r="E17" s="185" t="s">
        <v>470</v>
      </c>
      <c r="H17" s="185"/>
      <c r="M17" s="203" t="s">
        <v>474</v>
      </c>
    </row>
    <row r="18">
      <c r="D18" s="185"/>
      <c r="E18" s="185" t="s">
        <v>470</v>
      </c>
      <c r="H18" s="185"/>
      <c r="M18" s="203" t="s">
        <v>473</v>
      </c>
    </row>
    <row r="19">
      <c r="D19" s="185"/>
      <c r="E19" s="185" t="s">
        <v>470</v>
      </c>
      <c r="H19" s="185"/>
      <c r="M19" s="203" t="s">
        <v>474</v>
      </c>
    </row>
    <row r="20">
      <c r="D20" s="185"/>
      <c r="E20" s="185" t="s">
        <v>470</v>
      </c>
      <c r="H20" s="185"/>
      <c r="M20" s="203" t="s">
        <v>473</v>
      </c>
    </row>
    <row r="21">
      <c r="D21" s="185"/>
      <c r="E21" s="185" t="s">
        <v>470</v>
      </c>
      <c r="H21" s="185"/>
      <c r="M21" s="203" t="s">
        <v>474</v>
      </c>
    </row>
    <row r="22">
      <c r="D22" s="185"/>
      <c r="E22" s="185" t="s">
        <v>470</v>
      </c>
      <c r="H22" s="185"/>
    </row>
    <row r="23">
      <c r="D23" s="185"/>
      <c r="E23" s="185" t="s">
        <v>470</v>
      </c>
      <c r="H23" s="185"/>
    </row>
    <row r="24">
      <c r="D24" s="185"/>
      <c r="E24" s="185" t="s">
        <v>470</v>
      </c>
      <c r="H24" s="185"/>
    </row>
    <row r="25">
      <c r="D25" s="185"/>
      <c r="E25" s="185" t="s">
        <v>470</v>
      </c>
      <c r="H25" s="185"/>
    </row>
    <row r="26">
      <c r="D26" s="185"/>
      <c r="E26" s="185" t="s">
        <v>470</v>
      </c>
      <c r="H26" s="185"/>
      <c r="M26" s="205" t="s">
        <v>475</v>
      </c>
    </row>
    <row r="27">
      <c r="D27" s="185"/>
      <c r="E27" s="185" t="s">
        <v>470</v>
      </c>
      <c r="H27" s="185"/>
      <c r="M27" s="205" t="s">
        <v>476</v>
      </c>
    </row>
    <row r="28">
      <c r="D28" s="185"/>
      <c r="E28" s="185" t="s">
        <v>470</v>
      </c>
      <c r="H28" s="185"/>
      <c r="M28" s="205" t="s">
        <v>477</v>
      </c>
    </row>
    <row r="29">
      <c r="D29" s="185"/>
      <c r="E29" s="185" t="s">
        <v>470</v>
      </c>
      <c r="H29" s="185"/>
      <c r="M29" s="205" t="s">
        <v>478</v>
      </c>
    </row>
    <row r="30">
      <c r="D30" s="185"/>
      <c r="E30" s="185" t="s">
        <v>470</v>
      </c>
      <c r="H30" s="185"/>
      <c r="M30" s="205" t="s">
        <v>479</v>
      </c>
    </row>
    <row r="31">
      <c r="D31" s="185"/>
      <c r="E31" s="185" t="s">
        <v>470</v>
      </c>
      <c r="H31" s="185"/>
      <c r="M31" s="205" t="s">
        <v>480</v>
      </c>
    </row>
    <row r="32">
      <c r="D32" s="185"/>
      <c r="E32" s="185" t="s">
        <v>470</v>
      </c>
      <c r="H32" s="185"/>
      <c r="M32" s="205" t="s">
        <v>481</v>
      </c>
    </row>
    <row r="33">
      <c r="D33" s="185"/>
      <c r="E33" s="185" t="s">
        <v>470</v>
      </c>
      <c r="H33" s="185"/>
      <c r="M33" s="205" t="s">
        <v>482</v>
      </c>
    </row>
    <row r="34">
      <c r="D34" s="185"/>
      <c r="E34" s="185" t="s">
        <v>470</v>
      </c>
      <c r="H34" s="185"/>
    </row>
    <row r="35">
      <c r="D35" s="185"/>
      <c r="E35" s="185" t="s">
        <v>470</v>
      </c>
      <c r="H35" s="185"/>
    </row>
    <row r="36">
      <c r="D36" s="185"/>
      <c r="E36" s="185" t="s">
        <v>470</v>
      </c>
      <c r="H36" s="185"/>
    </row>
    <row r="37">
      <c r="D37" s="185"/>
      <c r="E37" s="185" t="s">
        <v>470</v>
      </c>
      <c r="H37" s="185"/>
    </row>
    <row r="38">
      <c r="D38" s="185"/>
      <c r="E38" s="185" t="s">
        <v>470</v>
      </c>
      <c r="H38" s="185"/>
    </row>
    <row r="39">
      <c r="D39" s="185"/>
      <c r="E39" s="185" t="s">
        <v>470</v>
      </c>
      <c r="H39" s="185"/>
    </row>
    <row r="40">
      <c r="D40" s="185"/>
      <c r="E40" s="185" t="s">
        <v>470</v>
      </c>
      <c r="H40" s="185"/>
    </row>
    <row r="41">
      <c r="D41" s="185"/>
      <c r="E41" s="185" t="s">
        <v>470</v>
      </c>
      <c r="H41" s="185"/>
    </row>
    <row r="42">
      <c r="D42" s="185"/>
      <c r="E42" s="185" t="s">
        <v>470</v>
      </c>
      <c r="H42" s="185"/>
    </row>
    <row r="43">
      <c r="D43" s="185"/>
      <c r="E43" s="185" t="s">
        <v>470</v>
      </c>
      <c r="H43" s="185"/>
    </row>
    <row r="44">
      <c r="D44" s="185"/>
      <c r="E44" s="185" t="s">
        <v>470</v>
      </c>
      <c r="H44" s="185"/>
    </row>
    <row r="45">
      <c r="D45" s="185"/>
      <c r="E45" s="185" t="s">
        <v>470</v>
      </c>
      <c r="H45" s="185"/>
    </row>
    <row r="46">
      <c r="D46" s="185"/>
      <c r="E46" s="185" t="s">
        <v>470</v>
      </c>
      <c r="H46" s="185"/>
    </row>
    <row r="47">
      <c r="D47" s="185"/>
      <c r="E47" s="185" t="s">
        <v>470</v>
      </c>
      <c r="H47" s="185"/>
    </row>
    <row r="48">
      <c r="D48" s="185"/>
      <c r="E48" s="185" t="s">
        <v>470</v>
      </c>
      <c r="H48" s="185"/>
    </row>
    <row r="49">
      <c r="D49" s="185"/>
      <c r="E49" s="185" t="s">
        <v>470</v>
      </c>
      <c r="H49" s="185"/>
    </row>
    <row r="50">
      <c r="D50" s="185"/>
      <c r="E50" s="185" t="s">
        <v>470</v>
      </c>
      <c r="H50" s="185"/>
    </row>
    <row r="51">
      <c r="D51" s="185"/>
      <c r="E51" s="185" t="s">
        <v>470</v>
      </c>
      <c r="H51" s="185"/>
    </row>
    <row r="52">
      <c r="D52" s="185"/>
      <c r="E52" s="185" t="s">
        <v>470</v>
      </c>
      <c r="H52" s="185"/>
    </row>
    <row r="53">
      <c r="D53" s="185"/>
      <c r="E53" s="185" t="s">
        <v>470</v>
      </c>
      <c r="H53" s="185"/>
    </row>
    <row r="54">
      <c r="D54" s="185"/>
      <c r="E54" s="185" t="s">
        <v>470</v>
      </c>
      <c r="H54" s="185"/>
    </row>
    <row r="55">
      <c r="D55" s="185"/>
      <c r="E55" s="185" t="s">
        <v>470</v>
      </c>
      <c r="H55" s="185"/>
    </row>
    <row r="56">
      <c r="D56" s="185"/>
      <c r="E56" s="185" t="s">
        <v>470</v>
      </c>
      <c r="H56" s="185"/>
    </row>
    <row r="57">
      <c r="D57" s="185"/>
      <c r="E57" s="185" t="s">
        <v>470</v>
      </c>
      <c r="H57" s="185"/>
    </row>
    <row r="58">
      <c r="D58" s="185"/>
      <c r="E58" s="185" t="s">
        <v>470</v>
      </c>
      <c r="H58" s="185"/>
    </row>
    <row r="59">
      <c r="D59" s="185"/>
      <c r="E59" s="185" t="s">
        <v>470</v>
      </c>
      <c r="H59" s="185"/>
    </row>
    <row r="60">
      <c r="D60" s="185"/>
      <c r="E60" s="185" t="s">
        <v>470</v>
      </c>
      <c r="H60" s="185"/>
    </row>
    <row r="61">
      <c r="D61" s="185"/>
      <c r="E61" s="185" t="s">
        <v>470</v>
      </c>
      <c r="H61" s="185"/>
    </row>
    <row r="62">
      <c r="D62" s="185"/>
      <c r="E62" s="185" t="s">
        <v>470</v>
      </c>
      <c r="H62" s="185"/>
    </row>
    <row r="63">
      <c r="D63" s="185"/>
      <c r="E63" s="185" t="s">
        <v>470</v>
      </c>
      <c r="H63" s="185"/>
    </row>
    <row r="64">
      <c r="D64" s="185"/>
      <c r="E64" s="185" t="s">
        <v>470</v>
      </c>
      <c r="H64" s="185"/>
    </row>
    <row r="65">
      <c r="D65" s="185"/>
      <c r="E65" s="185" t="s">
        <v>470</v>
      </c>
      <c r="H65" s="185"/>
    </row>
    <row r="66">
      <c r="D66" s="185"/>
      <c r="E66" s="185" t="s">
        <v>470</v>
      </c>
      <c r="H66" s="185"/>
    </row>
    <row r="67">
      <c r="D67" s="185"/>
      <c r="E67" s="185" t="s">
        <v>470</v>
      </c>
      <c r="H67" s="185"/>
    </row>
    <row r="68">
      <c r="D68" s="185"/>
      <c r="E68" s="185" t="s">
        <v>470</v>
      </c>
      <c r="H68" s="185"/>
    </row>
    <row r="69">
      <c r="D69" s="185"/>
      <c r="E69" s="185" t="s">
        <v>470</v>
      </c>
      <c r="H69" s="185"/>
    </row>
    <row r="70">
      <c r="D70" s="185"/>
      <c r="E70" s="185" t="s">
        <v>470</v>
      </c>
      <c r="H70" s="185"/>
    </row>
    <row r="71">
      <c r="D71" s="185"/>
      <c r="E71" s="185" t="s">
        <v>470</v>
      </c>
      <c r="H71" s="185"/>
    </row>
    <row r="72">
      <c r="D72" s="185"/>
      <c r="E72" s="185" t="s">
        <v>470</v>
      </c>
      <c r="H72" s="185"/>
    </row>
    <row r="73">
      <c r="D73" s="185"/>
      <c r="E73" s="185" t="s">
        <v>470</v>
      </c>
      <c r="H73" s="185"/>
    </row>
    <row r="74">
      <c r="D74" s="185"/>
      <c r="E74" s="185" t="s">
        <v>470</v>
      </c>
      <c r="H74" s="185"/>
    </row>
    <row r="75">
      <c r="D75" s="185"/>
      <c r="E75" s="185" t="s">
        <v>470</v>
      </c>
      <c r="H75" s="185"/>
    </row>
    <row r="76">
      <c r="D76" s="185"/>
      <c r="E76" s="185" t="s">
        <v>470</v>
      </c>
      <c r="H76" s="185"/>
    </row>
    <row r="77">
      <c r="D77" s="185"/>
      <c r="E77" s="185" t="s">
        <v>470</v>
      </c>
      <c r="H77" s="185"/>
    </row>
    <row r="78">
      <c r="D78" s="185"/>
      <c r="E78" s="185" t="s">
        <v>470</v>
      </c>
      <c r="H78" s="185"/>
    </row>
    <row r="79">
      <c r="D79" s="185"/>
      <c r="E79" s="185" t="s">
        <v>470</v>
      </c>
      <c r="H79" s="185"/>
    </row>
    <row r="80">
      <c r="D80" s="185"/>
      <c r="E80" s="185" t="s">
        <v>470</v>
      </c>
      <c r="H80" s="185"/>
    </row>
    <row r="81">
      <c r="D81" s="185"/>
      <c r="E81" s="185" t="s">
        <v>470</v>
      </c>
      <c r="H81" s="185"/>
    </row>
    <row r="82">
      <c r="D82" s="185"/>
      <c r="E82" s="185" t="s">
        <v>470</v>
      </c>
      <c r="H82" s="185"/>
    </row>
    <row r="83">
      <c r="D83" s="185"/>
      <c r="E83" s="185" t="s">
        <v>470</v>
      </c>
      <c r="H83" s="185"/>
    </row>
    <row r="84">
      <c r="D84" s="185"/>
      <c r="E84" s="185" t="s">
        <v>470</v>
      </c>
      <c r="H84" s="185"/>
    </row>
    <row r="85">
      <c r="D85" s="185"/>
      <c r="E85" s="185" t="s">
        <v>470</v>
      </c>
      <c r="H85" s="185"/>
    </row>
    <row r="86">
      <c r="D86" s="185"/>
      <c r="E86" s="185" t="s">
        <v>470</v>
      </c>
      <c r="H86" s="185"/>
    </row>
    <row r="87">
      <c r="D87" s="185"/>
      <c r="E87" s="185" t="s">
        <v>470</v>
      </c>
      <c r="H87" s="185"/>
    </row>
    <row r="88">
      <c r="D88" s="185"/>
      <c r="E88" s="185" t="s">
        <v>470</v>
      </c>
      <c r="H88" s="185"/>
    </row>
    <row r="89">
      <c r="D89" s="185"/>
      <c r="E89" s="185" t="s">
        <v>470</v>
      </c>
      <c r="H89" s="185"/>
    </row>
    <row r="90">
      <c r="D90" s="185"/>
      <c r="E90" s="185" t="s">
        <v>470</v>
      </c>
      <c r="H90" s="185"/>
    </row>
    <row r="91">
      <c r="D91" s="185"/>
      <c r="E91" s="185" t="s">
        <v>470</v>
      </c>
      <c r="H91" s="185"/>
    </row>
    <row r="92">
      <c r="D92" s="185"/>
      <c r="E92" s="185" t="s">
        <v>470</v>
      </c>
      <c r="H92" s="185"/>
    </row>
    <row r="93">
      <c r="D93" s="185"/>
      <c r="E93" s="185" t="s">
        <v>470</v>
      </c>
      <c r="H93" s="185"/>
    </row>
    <row r="94">
      <c r="D94" s="185"/>
      <c r="E94" s="185" t="s">
        <v>470</v>
      </c>
      <c r="H94" s="185"/>
    </row>
    <row r="95">
      <c r="D95" s="185"/>
      <c r="E95" s="185" t="s">
        <v>470</v>
      </c>
      <c r="H95" s="185"/>
    </row>
    <row r="96">
      <c r="D96" s="185"/>
      <c r="E96" s="185" t="s">
        <v>470</v>
      </c>
      <c r="H96" s="185"/>
    </row>
    <row r="97">
      <c r="D97" s="185"/>
      <c r="E97" s="185" t="s">
        <v>470</v>
      </c>
      <c r="H97" s="185"/>
    </row>
    <row r="98">
      <c r="D98" s="185"/>
      <c r="E98" s="185" t="s">
        <v>470</v>
      </c>
      <c r="H98" s="185"/>
    </row>
    <row r="99">
      <c r="D99" s="185"/>
      <c r="E99" s="185" t="s">
        <v>470</v>
      </c>
      <c r="H99" s="185"/>
    </row>
    <row r="100">
      <c r="D100" s="185"/>
      <c r="E100" s="185" t="s">
        <v>470</v>
      </c>
      <c r="H100" s="185"/>
    </row>
    <row r="101">
      <c r="D101" s="185"/>
      <c r="E101" s="185" t="s">
        <v>470</v>
      </c>
      <c r="H101" s="185"/>
    </row>
    <row r="102">
      <c r="D102" s="185"/>
      <c r="E102" s="185" t="s">
        <v>470</v>
      </c>
      <c r="H102" s="185"/>
    </row>
    <row r="103">
      <c r="D103" s="185"/>
      <c r="E103" s="185" t="s">
        <v>470</v>
      </c>
      <c r="H103" s="185"/>
    </row>
    <row r="104">
      <c r="D104" s="185"/>
      <c r="E104" s="185" t="s">
        <v>470</v>
      </c>
      <c r="H104" s="185"/>
    </row>
    <row r="105">
      <c r="D105" s="185"/>
      <c r="E105" s="185" t="s">
        <v>470</v>
      </c>
      <c r="H105" s="185"/>
    </row>
    <row r="106">
      <c r="D106" s="185"/>
      <c r="E106" s="185" t="s">
        <v>470</v>
      </c>
      <c r="H106" s="185"/>
    </row>
    <row r="107">
      <c r="D107" s="185"/>
      <c r="E107" s="185" t="s">
        <v>470</v>
      </c>
      <c r="H107" s="185"/>
    </row>
    <row r="108">
      <c r="D108" s="185"/>
      <c r="E108" s="185" t="s">
        <v>470</v>
      </c>
      <c r="H108" s="185"/>
    </row>
    <row r="109">
      <c r="D109" s="185"/>
      <c r="E109" s="185" t="s">
        <v>470</v>
      </c>
      <c r="H109" s="185"/>
    </row>
    <row r="110">
      <c r="D110" s="185"/>
      <c r="E110" s="185" t="s">
        <v>470</v>
      </c>
      <c r="H110" s="185"/>
    </row>
    <row r="111">
      <c r="D111" s="185"/>
      <c r="E111" s="185" t="s">
        <v>470</v>
      </c>
      <c r="H111" s="185"/>
    </row>
    <row r="112">
      <c r="D112" s="185"/>
      <c r="E112" s="185" t="s">
        <v>470</v>
      </c>
      <c r="H112" s="185"/>
    </row>
    <row r="113">
      <c r="D113" s="185"/>
      <c r="E113" s="185" t="s">
        <v>470</v>
      </c>
      <c r="H113" s="185"/>
    </row>
    <row r="114">
      <c r="D114" s="185"/>
      <c r="E114" s="185" t="s">
        <v>470</v>
      </c>
      <c r="H114" s="185"/>
    </row>
    <row r="115">
      <c r="D115" s="185"/>
      <c r="E115" s="185" t="s">
        <v>470</v>
      </c>
      <c r="H115" s="185"/>
    </row>
    <row r="116">
      <c r="D116" s="185"/>
      <c r="E116" s="185" t="s">
        <v>470</v>
      </c>
      <c r="H116" s="185"/>
    </row>
    <row r="117">
      <c r="D117" s="185"/>
      <c r="E117" s="185" t="s">
        <v>470</v>
      </c>
      <c r="H117" s="185"/>
    </row>
    <row r="118">
      <c r="D118" s="185"/>
      <c r="E118" s="185" t="s">
        <v>470</v>
      </c>
      <c r="H118" s="185"/>
    </row>
    <row r="119">
      <c r="D119" s="185"/>
      <c r="E119" s="185" t="s">
        <v>470</v>
      </c>
      <c r="H119" s="185"/>
    </row>
    <row r="120">
      <c r="D120" s="185"/>
      <c r="E120" s="185" t="s">
        <v>470</v>
      </c>
      <c r="H120" s="185"/>
    </row>
    <row r="121">
      <c r="D121" s="185"/>
      <c r="E121" s="185" t="s">
        <v>470</v>
      </c>
      <c r="H121" s="185"/>
    </row>
    <row r="122">
      <c r="D122" s="185"/>
      <c r="E122" s="185" t="s">
        <v>470</v>
      </c>
      <c r="H122" s="185"/>
    </row>
    <row r="123">
      <c r="D123" s="185"/>
      <c r="E123" s="185" t="s">
        <v>470</v>
      </c>
      <c r="H123" s="185"/>
    </row>
    <row r="124">
      <c r="D124" s="185"/>
      <c r="E124" s="185" t="s">
        <v>470</v>
      </c>
      <c r="H124" s="185"/>
    </row>
    <row r="125">
      <c r="D125" s="185"/>
      <c r="E125" s="185" t="s">
        <v>470</v>
      </c>
      <c r="H125" s="185"/>
    </row>
    <row r="126">
      <c r="D126" s="185"/>
      <c r="E126" s="185" t="s">
        <v>470</v>
      </c>
      <c r="H126" s="185"/>
    </row>
    <row r="127">
      <c r="D127" s="185"/>
      <c r="E127" s="185" t="s">
        <v>470</v>
      </c>
      <c r="H127" s="185"/>
    </row>
    <row r="128">
      <c r="D128" s="185"/>
      <c r="E128" s="185" t="s">
        <v>470</v>
      </c>
      <c r="H128" s="185"/>
    </row>
    <row r="129">
      <c r="D129" s="185"/>
      <c r="E129" s="185" t="s">
        <v>470</v>
      </c>
      <c r="H129" s="185"/>
    </row>
    <row r="130">
      <c r="D130" s="185"/>
      <c r="E130" s="185" t="s">
        <v>470</v>
      </c>
      <c r="H130" s="185"/>
    </row>
    <row r="131">
      <c r="D131" s="185"/>
      <c r="E131" s="185" t="s">
        <v>470</v>
      </c>
      <c r="H131" s="185"/>
    </row>
    <row r="132">
      <c r="D132" s="185"/>
      <c r="E132" s="185" t="s">
        <v>470</v>
      </c>
      <c r="H132" s="185"/>
    </row>
    <row r="133">
      <c r="D133" s="185"/>
      <c r="E133" s="185" t="s">
        <v>470</v>
      </c>
      <c r="H133" s="185"/>
    </row>
    <row r="134">
      <c r="D134" s="185"/>
      <c r="E134" s="185" t="s">
        <v>470</v>
      </c>
      <c r="H134" s="185"/>
    </row>
    <row r="135">
      <c r="D135" s="185"/>
      <c r="E135" s="185" t="s">
        <v>470</v>
      </c>
      <c r="H135" s="185"/>
    </row>
    <row r="136">
      <c r="D136" s="185"/>
      <c r="E136" s="185" t="s">
        <v>470</v>
      </c>
      <c r="H136" s="185"/>
    </row>
    <row r="137">
      <c r="D137" s="185"/>
      <c r="E137" s="185" t="s">
        <v>470</v>
      </c>
      <c r="H137" s="185"/>
    </row>
    <row r="138">
      <c r="D138" s="185"/>
      <c r="E138" s="185" t="s">
        <v>470</v>
      </c>
      <c r="H138" s="185"/>
    </row>
    <row r="139">
      <c r="D139" s="185"/>
      <c r="E139" s="185" t="s">
        <v>470</v>
      </c>
      <c r="H139" s="185"/>
    </row>
    <row r="140">
      <c r="D140" s="185"/>
      <c r="E140" s="185" t="s">
        <v>470</v>
      </c>
      <c r="H140" s="185"/>
    </row>
    <row r="141">
      <c r="D141" s="185"/>
      <c r="E141" s="185" t="s">
        <v>470</v>
      </c>
      <c r="H141" s="185"/>
    </row>
    <row r="142">
      <c r="D142" s="185"/>
      <c r="E142" s="185" t="s">
        <v>470</v>
      </c>
      <c r="H142" s="185"/>
    </row>
    <row r="143">
      <c r="D143" s="185"/>
      <c r="E143" s="185" t="s">
        <v>470</v>
      </c>
      <c r="H143" s="185"/>
    </row>
    <row r="144">
      <c r="D144" s="185"/>
      <c r="E144" s="185" t="s">
        <v>470</v>
      </c>
      <c r="H144" s="185"/>
    </row>
    <row r="145">
      <c r="D145" s="185"/>
      <c r="E145" s="185" t="s">
        <v>470</v>
      </c>
      <c r="H145" s="185"/>
    </row>
    <row r="146">
      <c r="D146" s="185"/>
      <c r="E146" s="185" t="s">
        <v>470</v>
      </c>
      <c r="H146" s="185"/>
    </row>
    <row r="147">
      <c r="D147" s="185"/>
      <c r="E147" s="185" t="s">
        <v>470</v>
      </c>
      <c r="H147" s="185"/>
    </row>
    <row r="148">
      <c r="D148" s="185"/>
      <c r="E148" s="185" t="s">
        <v>470</v>
      </c>
      <c r="H148" s="185"/>
    </row>
    <row r="149">
      <c r="D149" s="185"/>
      <c r="E149" s="185" t="s">
        <v>470</v>
      </c>
      <c r="H149" s="185"/>
    </row>
    <row r="150">
      <c r="D150" s="185"/>
      <c r="E150" s="185" t="s">
        <v>470</v>
      </c>
      <c r="H150" s="185"/>
    </row>
    <row r="151">
      <c r="D151" s="185"/>
      <c r="E151" s="185" t="s">
        <v>470</v>
      </c>
      <c r="H151" s="185"/>
    </row>
    <row r="152">
      <c r="D152" s="185"/>
      <c r="E152" s="185" t="s">
        <v>470</v>
      </c>
      <c r="H152" s="185"/>
    </row>
    <row r="153">
      <c r="D153" s="185"/>
      <c r="E153" s="185" t="s">
        <v>470</v>
      </c>
      <c r="H153" s="185"/>
    </row>
    <row r="154">
      <c r="D154" s="185"/>
      <c r="E154" s="185" t="s">
        <v>470</v>
      </c>
      <c r="H154" s="185"/>
    </row>
    <row r="155">
      <c r="D155" s="185"/>
      <c r="E155" s="185" t="s">
        <v>470</v>
      </c>
      <c r="H155" s="185"/>
    </row>
    <row r="156">
      <c r="D156" s="185"/>
      <c r="E156" s="185" t="s">
        <v>470</v>
      </c>
      <c r="H156" s="185"/>
    </row>
    <row r="157">
      <c r="D157" s="185"/>
      <c r="E157" s="185" t="s">
        <v>470</v>
      </c>
      <c r="H157" s="185"/>
    </row>
    <row r="158">
      <c r="D158" s="185"/>
      <c r="E158" s="185" t="s">
        <v>470</v>
      </c>
      <c r="H158" s="185"/>
    </row>
    <row r="159">
      <c r="D159" s="185"/>
      <c r="E159" s="185" t="s">
        <v>470</v>
      </c>
      <c r="H159" s="185"/>
    </row>
    <row r="160">
      <c r="D160" s="185"/>
      <c r="E160" s="185" t="s">
        <v>470</v>
      </c>
      <c r="H160" s="185"/>
    </row>
    <row r="161">
      <c r="D161" s="185"/>
      <c r="E161" s="185" t="s">
        <v>470</v>
      </c>
      <c r="H161" s="185"/>
    </row>
    <row r="162">
      <c r="D162" s="185"/>
      <c r="E162" s="185" t="s">
        <v>470</v>
      </c>
      <c r="H162" s="185"/>
    </row>
    <row r="163">
      <c r="D163" s="185"/>
      <c r="E163" s="185" t="s">
        <v>470</v>
      </c>
      <c r="H163" s="185"/>
    </row>
    <row r="164">
      <c r="D164" s="185"/>
      <c r="E164" s="185" t="s">
        <v>470</v>
      </c>
      <c r="H164" s="185"/>
    </row>
    <row r="165">
      <c r="D165" s="185"/>
      <c r="E165" s="185" t="s">
        <v>470</v>
      </c>
      <c r="H165" s="185"/>
    </row>
    <row r="166">
      <c r="D166" s="185"/>
      <c r="E166" s="185" t="s">
        <v>470</v>
      </c>
      <c r="H166" s="185"/>
    </row>
    <row r="167">
      <c r="D167" s="185"/>
      <c r="E167" s="185" t="s">
        <v>470</v>
      </c>
      <c r="H167" s="185"/>
    </row>
    <row r="168">
      <c r="D168" s="185"/>
      <c r="E168" s="185" t="s">
        <v>470</v>
      </c>
      <c r="H168" s="185"/>
    </row>
    <row r="169">
      <c r="D169" s="185"/>
      <c r="E169" s="185" t="s">
        <v>470</v>
      </c>
      <c r="H169" s="185"/>
    </row>
    <row r="170">
      <c r="D170" s="185"/>
      <c r="E170" s="185" t="s">
        <v>470</v>
      </c>
      <c r="H170" s="185"/>
    </row>
    <row r="171">
      <c r="D171" s="185"/>
      <c r="E171" s="185" t="s">
        <v>470</v>
      </c>
      <c r="H171" s="185"/>
    </row>
    <row r="172">
      <c r="D172" s="185"/>
      <c r="E172" s="185" t="s">
        <v>470</v>
      </c>
      <c r="H172" s="185"/>
    </row>
    <row r="173">
      <c r="D173" s="185"/>
      <c r="E173" s="185" t="s">
        <v>470</v>
      </c>
      <c r="H173" s="185"/>
    </row>
    <row r="174">
      <c r="D174" s="185"/>
      <c r="E174" s="185" t="s">
        <v>470</v>
      </c>
      <c r="H174" s="185"/>
    </row>
    <row r="175">
      <c r="D175" s="185"/>
      <c r="E175" s="185" t="s">
        <v>470</v>
      </c>
      <c r="H175" s="185"/>
    </row>
    <row r="176">
      <c r="D176" s="185"/>
      <c r="E176" s="185" t="s">
        <v>470</v>
      </c>
      <c r="H176" s="185"/>
    </row>
    <row r="177">
      <c r="D177" s="185"/>
      <c r="E177" s="185" t="s">
        <v>470</v>
      </c>
      <c r="H177" s="185"/>
    </row>
    <row r="178">
      <c r="D178" s="185"/>
      <c r="E178" s="185" t="s">
        <v>470</v>
      </c>
      <c r="H178" s="185"/>
    </row>
    <row r="179">
      <c r="D179" s="185"/>
      <c r="E179" s="185" t="s">
        <v>470</v>
      </c>
      <c r="H179" s="185"/>
    </row>
    <row r="180">
      <c r="D180" s="185"/>
      <c r="E180" s="185" t="s">
        <v>470</v>
      </c>
      <c r="H180" s="185"/>
    </row>
    <row r="181">
      <c r="D181" s="185"/>
      <c r="E181" s="185" t="s">
        <v>470</v>
      </c>
      <c r="H181" s="185"/>
    </row>
    <row r="182">
      <c r="D182" s="185"/>
      <c r="E182" s="185" t="s">
        <v>470</v>
      </c>
      <c r="H182" s="185"/>
    </row>
    <row r="183">
      <c r="D183" s="185"/>
      <c r="E183" s="185" t="s">
        <v>470</v>
      </c>
      <c r="H183" s="185"/>
    </row>
    <row r="184">
      <c r="D184" s="185"/>
      <c r="E184" s="185" t="s">
        <v>470</v>
      </c>
      <c r="H184" s="185"/>
    </row>
    <row r="185">
      <c r="D185" s="185"/>
      <c r="E185" s="185" t="s">
        <v>470</v>
      </c>
      <c r="H185" s="185"/>
    </row>
    <row r="186">
      <c r="D186" s="185"/>
      <c r="E186" s="185" t="s">
        <v>470</v>
      </c>
      <c r="H186" s="185"/>
    </row>
    <row r="187">
      <c r="D187" s="185"/>
      <c r="E187" s="185" t="s">
        <v>470</v>
      </c>
      <c r="H187" s="185"/>
    </row>
    <row r="188">
      <c r="D188" s="185"/>
      <c r="E188" s="185" t="s">
        <v>470</v>
      </c>
      <c r="H188" s="185"/>
    </row>
    <row r="189">
      <c r="D189" s="185"/>
      <c r="E189" s="185" t="s">
        <v>470</v>
      </c>
      <c r="H189" s="185"/>
    </row>
    <row r="190">
      <c r="D190" s="185"/>
      <c r="E190" s="185" t="s">
        <v>470</v>
      </c>
      <c r="H190" s="185"/>
    </row>
    <row r="191">
      <c r="D191" s="185"/>
      <c r="E191" s="185" t="s">
        <v>470</v>
      </c>
      <c r="H191" s="185"/>
    </row>
    <row r="192">
      <c r="D192" s="185"/>
      <c r="E192" s="185" t="s">
        <v>470</v>
      </c>
      <c r="H192" s="185"/>
    </row>
    <row r="193">
      <c r="D193" s="185"/>
      <c r="E193" s="185" t="s">
        <v>470</v>
      </c>
      <c r="H193" s="185"/>
    </row>
    <row r="194">
      <c r="D194" s="185"/>
      <c r="E194" s="185" t="s">
        <v>470</v>
      </c>
      <c r="H194" s="185"/>
    </row>
    <row r="195">
      <c r="D195" s="185"/>
      <c r="E195" s="185" t="s">
        <v>470</v>
      </c>
      <c r="H195" s="185"/>
    </row>
    <row r="196">
      <c r="D196" s="185"/>
      <c r="E196" s="185" t="s">
        <v>470</v>
      </c>
      <c r="H196" s="185"/>
    </row>
    <row r="197">
      <c r="D197" s="185"/>
      <c r="E197" s="185" t="s">
        <v>470</v>
      </c>
      <c r="H197" s="185"/>
    </row>
    <row r="198">
      <c r="D198" s="185"/>
      <c r="E198" s="185" t="s">
        <v>470</v>
      </c>
      <c r="H198" s="185"/>
    </row>
    <row r="199">
      <c r="D199" s="185"/>
      <c r="E199" s="185" t="s">
        <v>470</v>
      </c>
      <c r="H199" s="185"/>
    </row>
    <row r="200">
      <c r="D200" s="185"/>
      <c r="E200" s="185" t="s">
        <v>470</v>
      </c>
      <c r="H200" s="185"/>
    </row>
    <row r="201">
      <c r="D201" s="185"/>
      <c r="E201" s="185" t="s">
        <v>470</v>
      </c>
      <c r="H201" s="185"/>
    </row>
    <row r="202">
      <c r="D202" s="185"/>
      <c r="E202" s="185" t="s">
        <v>470</v>
      </c>
      <c r="H202" s="185"/>
    </row>
    <row r="203">
      <c r="D203" s="185"/>
      <c r="E203" s="185" t="s">
        <v>470</v>
      </c>
      <c r="H203" s="185"/>
    </row>
    <row r="204">
      <c r="D204" s="185"/>
      <c r="E204" s="185" t="s">
        <v>470</v>
      </c>
      <c r="H204" s="185"/>
    </row>
    <row r="205">
      <c r="D205" s="185"/>
      <c r="E205" s="185" t="s">
        <v>470</v>
      </c>
      <c r="H205" s="185"/>
    </row>
    <row r="206">
      <c r="D206" s="185"/>
      <c r="E206" s="185" t="s">
        <v>470</v>
      </c>
      <c r="H206" s="185"/>
    </row>
    <row r="207">
      <c r="D207" s="185"/>
      <c r="E207" s="185" t="s">
        <v>470</v>
      </c>
      <c r="H207" s="185"/>
    </row>
    <row r="208">
      <c r="D208" s="185"/>
      <c r="E208" s="185" t="s">
        <v>470</v>
      </c>
      <c r="H208" s="185"/>
    </row>
    <row r="209">
      <c r="D209" s="185"/>
      <c r="E209" s="185" t="s">
        <v>470</v>
      </c>
      <c r="H209" s="185"/>
    </row>
    <row r="210">
      <c r="D210" s="185"/>
      <c r="E210" s="185" t="s">
        <v>470</v>
      </c>
      <c r="H210" s="185"/>
    </row>
    <row r="211">
      <c r="D211" s="185"/>
      <c r="E211" s="185" t="s">
        <v>470</v>
      </c>
      <c r="H211" s="185"/>
    </row>
    <row r="212">
      <c r="D212" s="185"/>
      <c r="E212" s="185" t="s">
        <v>470</v>
      </c>
      <c r="H212" s="185"/>
    </row>
    <row r="213">
      <c r="D213" s="185"/>
      <c r="E213" s="185" t="s">
        <v>470</v>
      </c>
      <c r="H213" s="185"/>
    </row>
    <row r="214">
      <c r="D214" s="185"/>
      <c r="E214" s="185" t="s">
        <v>470</v>
      </c>
      <c r="H214" s="185"/>
    </row>
    <row r="215">
      <c r="D215" s="185"/>
      <c r="E215" s="185" t="s">
        <v>470</v>
      </c>
      <c r="H215" s="185"/>
    </row>
    <row r="216">
      <c r="D216" s="185"/>
      <c r="E216" s="185" t="s">
        <v>470</v>
      </c>
      <c r="H216" s="185"/>
    </row>
    <row r="217">
      <c r="D217" s="185"/>
      <c r="E217" s="185" t="s">
        <v>470</v>
      </c>
      <c r="H217" s="185"/>
    </row>
    <row r="218">
      <c r="D218" s="185"/>
      <c r="E218" s="185" t="s">
        <v>470</v>
      </c>
      <c r="H218" s="185"/>
    </row>
    <row r="219">
      <c r="D219" s="185"/>
      <c r="E219" s="185" t="s">
        <v>470</v>
      </c>
      <c r="H219" s="185"/>
    </row>
    <row r="220">
      <c r="D220" s="185"/>
      <c r="E220" s="185" t="s">
        <v>470</v>
      </c>
      <c r="H220" s="185"/>
    </row>
    <row r="221">
      <c r="D221" s="185"/>
      <c r="E221" s="185" t="s">
        <v>470</v>
      </c>
      <c r="H221" s="185"/>
    </row>
    <row r="222">
      <c r="D222" s="185"/>
      <c r="E222" s="185" t="s">
        <v>470</v>
      </c>
      <c r="H222" s="185"/>
    </row>
    <row r="223">
      <c r="D223" s="185"/>
      <c r="E223" s="185" t="s">
        <v>470</v>
      </c>
      <c r="H223" s="185"/>
    </row>
    <row r="224">
      <c r="D224" s="185"/>
      <c r="E224" s="185" t="s">
        <v>470</v>
      </c>
      <c r="H224" s="185"/>
    </row>
    <row r="225">
      <c r="D225" s="185"/>
      <c r="E225" s="185" t="s">
        <v>470</v>
      </c>
      <c r="H225" s="185"/>
    </row>
    <row r="226">
      <c r="D226" s="185"/>
      <c r="E226" s="185" t="s">
        <v>470</v>
      </c>
      <c r="H226" s="185"/>
    </row>
    <row r="227">
      <c r="D227" s="185"/>
      <c r="E227" s="185" t="s">
        <v>470</v>
      </c>
      <c r="H227" s="185"/>
    </row>
    <row r="228">
      <c r="D228" s="185"/>
      <c r="E228" s="185" t="s">
        <v>470</v>
      </c>
      <c r="H228" s="185"/>
    </row>
    <row r="229">
      <c r="D229" s="185"/>
      <c r="E229" s="185" t="s">
        <v>470</v>
      </c>
      <c r="H229" s="185"/>
    </row>
    <row r="230">
      <c r="D230" s="185"/>
      <c r="E230" s="185" t="s">
        <v>470</v>
      </c>
      <c r="H230" s="185"/>
    </row>
    <row r="231">
      <c r="D231" s="185"/>
      <c r="E231" s="185" t="s">
        <v>470</v>
      </c>
      <c r="H231" s="185"/>
    </row>
    <row r="232">
      <c r="D232" s="185"/>
      <c r="E232" s="185" t="s">
        <v>470</v>
      </c>
      <c r="H232" s="185"/>
    </row>
    <row r="233">
      <c r="D233" s="185"/>
      <c r="E233" s="185" t="s">
        <v>470</v>
      </c>
      <c r="H233" s="185"/>
    </row>
    <row r="234">
      <c r="D234" s="185"/>
      <c r="E234" s="185" t="s">
        <v>470</v>
      </c>
      <c r="H234" s="185"/>
    </row>
    <row r="235">
      <c r="D235" s="185"/>
      <c r="E235" s="185" t="s">
        <v>470</v>
      </c>
      <c r="H235" s="185"/>
    </row>
    <row r="236">
      <c r="D236" s="185"/>
      <c r="E236" s="185" t="s">
        <v>470</v>
      </c>
      <c r="H236" s="185"/>
    </row>
    <row r="237">
      <c r="D237" s="185"/>
      <c r="E237" s="185" t="s">
        <v>470</v>
      </c>
      <c r="H237" s="185"/>
    </row>
    <row r="238">
      <c r="D238" s="185"/>
      <c r="E238" s="185" t="s">
        <v>470</v>
      </c>
      <c r="H238" s="185"/>
    </row>
    <row r="239">
      <c r="D239" s="185"/>
      <c r="E239" s="185" t="s">
        <v>470</v>
      </c>
      <c r="H239" s="185"/>
    </row>
    <row r="240">
      <c r="D240" s="185"/>
      <c r="E240" s="185" t="s">
        <v>470</v>
      </c>
      <c r="H240" s="185"/>
    </row>
    <row r="241">
      <c r="D241" s="185"/>
      <c r="E241" s="185" t="s">
        <v>470</v>
      </c>
      <c r="H241" s="185"/>
    </row>
    <row r="242">
      <c r="D242" s="185"/>
      <c r="E242" s="185" t="s">
        <v>470</v>
      </c>
      <c r="H242" s="185"/>
    </row>
    <row r="243">
      <c r="D243" s="185"/>
      <c r="E243" s="185" t="s">
        <v>470</v>
      </c>
      <c r="H243" s="185"/>
    </row>
    <row r="244">
      <c r="D244" s="185"/>
      <c r="E244" s="185" t="s">
        <v>470</v>
      </c>
      <c r="H244" s="185"/>
    </row>
    <row r="245">
      <c r="D245" s="185"/>
      <c r="E245" s="185" t="s">
        <v>470</v>
      </c>
      <c r="H245" s="185"/>
    </row>
    <row r="246">
      <c r="D246" s="185"/>
      <c r="E246" s="185" t="s">
        <v>470</v>
      </c>
      <c r="H246" s="185"/>
    </row>
    <row r="247">
      <c r="D247" s="185"/>
      <c r="E247" s="185" t="s">
        <v>470</v>
      </c>
      <c r="H247" s="185"/>
    </row>
    <row r="248">
      <c r="D248" s="185"/>
      <c r="E248" s="185" t="s">
        <v>470</v>
      </c>
      <c r="H248" s="185"/>
    </row>
    <row r="249">
      <c r="D249" s="185"/>
      <c r="E249" s="185" t="s">
        <v>470</v>
      </c>
      <c r="H249" s="185"/>
    </row>
    <row r="250">
      <c r="D250" s="185"/>
      <c r="E250" s="185" t="s">
        <v>470</v>
      </c>
      <c r="H250" s="185"/>
    </row>
    <row r="251">
      <c r="D251" s="185"/>
      <c r="E251" s="185" t="s">
        <v>470</v>
      </c>
      <c r="H251" s="185"/>
    </row>
    <row r="252">
      <c r="D252" s="185"/>
      <c r="E252" s="185" t="s">
        <v>470</v>
      </c>
      <c r="H252" s="185"/>
    </row>
    <row r="253">
      <c r="D253" s="185"/>
      <c r="E253" s="185" t="s">
        <v>470</v>
      </c>
      <c r="H253" s="185"/>
    </row>
    <row r="254">
      <c r="D254" s="185"/>
      <c r="E254" s="185" t="s">
        <v>470</v>
      </c>
      <c r="H254" s="185"/>
    </row>
    <row r="255">
      <c r="D255" s="185"/>
      <c r="E255" s="185" t="s">
        <v>470</v>
      </c>
      <c r="H255" s="185"/>
    </row>
    <row r="256">
      <c r="D256" s="185"/>
      <c r="E256" s="185" t="s">
        <v>470</v>
      </c>
      <c r="H256" s="185"/>
    </row>
    <row r="257">
      <c r="D257" s="185"/>
      <c r="E257" s="185" t="s">
        <v>470</v>
      </c>
      <c r="H257" s="185"/>
    </row>
    <row r="258">
      <c r="D258" s="185"/>
      <c r="E258" s="185" t="s">
        <v>470</v>
      </c>
      <c r="H258" s="185"/>
    </row>
    <row r="259">
      <c r="D259" s="185"/>
      <c r="E259" s="185" t="s">
        <v>470</v>
      </c>
      <c r="H259" s="185"/>
    </row>
    <row r="260">
      <c r="D260" s="185"/>
      <c r="E260" s="185" t="s">
        <v>470</v>
      </c>
      <c r="H260" s="185"/>
    </row>
    <row r="261">
      <c r="D261" s="185"/>
      <c r="E261" s="185" t="s">
        <v>470</v>
      </c>
      <c r="H261" s="185"/>
    </row>
    <row r="262">
      <c r="D262" s="185"/>
      <c r="E262" s="185" t="s">
        <v>470</v>
      </c>
      <c r="H262" s="185"/>
    </row>
    <row r="263">
      <c r="D263" s="185"/>
      <c r="E263" s="185" t="s">
        <v>470</v>
      </c>
      <c r="H263" s="185"/>
    </row>
    <row r="264">
      <c r="D264" s="185"/>
      <c r="E264" s="185" t="s">
        <v>470</v>
      </c>
      <c r="H264" s="185"/>
    </row>
    <row r="265">
      <c r="D265" s="185"/>
      <c r="E265" s="185" t="s">
        <v>470</v>
      </c>
      <c r="H265" s="185"/>
    </row>
    <row r="266">
      <c r="D266" s="185"/>
      <c r="E266" s="185" t="s">
        <v>470</v>
      </c>
      <c r="H266" s="185"/>
    </row>
    <row r="267">
      <c r="D267" s="185"/>
      <c r="E267" s="185" t="s">
        <v>470</v>
      </c>
      <c r="H267" s="185"/>
    </row>
    <row r="268">
      <c r="D268" s="185"/>
      <c r="E268" s="185" t="s">
        <v>470</v>
      </c>
      <c r="H268" s="185"/>
    </row>
    <row r="269">
      <c r="D269" s="185"/>
      <c r="E269" s="185" t="s">
        <v>470</v>
      </c>
      <c r="H269" s="185"/>
    </row>
    <row r="270">
      <c r="D270" s="185"/>
      <c r="E270" s="185" t="s">
        <v>470</v>
      </c>
      <c r="H270" s="185"/>
    </row>
    <row r="271">
      <c r="D271" s="185"/>
      <c r="E271" s="185" t="s">
        <v>470</v>
      </c>
      <c r="H271" s="185"/>
    </row>
    <row r="272">
      <c r="D272" s="185"/>
      <c r="E272" s="185" t="s">
        <v>470</v>
      </c>
      <c r="H272" s="185"/>
    </row>
    <row r="273">
      <c r="D273" s="185"/>
      <c r="E273" s="185" t="s">
        <v>470</v>
      </c>
      <c r="H273" s="185"/>
    </row>
    <row r="274">
      <c r="D274" s="185"/>
      <c r="E274" s="185" t="s">
        <v>470</v>
      </c>
      <c r="H274" s="185"/>
    </row>
    <row r="275">
      <c r="D275" s="185"/>
      <c r="E275" s="185" t="s">
        <v>470</v>
      </c>
      <c r="H275" s="185"/>
    </row>
    <row r="276">
      <c r="D276" s="185"/>
      <c r="E276" s="185" t="s">
        <v>470</v>
      </c>
      <c r="H276" s="185"/>
    </row>
    <row r="277">
      <c r="D277" s="185"/>
      <c r="E277" s="185" t="s">
        <v>470</v>
      </c>
      <c r="H277" s="185"/>
    </row>
    <row r="278">
      <c r="D278" s="185"/>
      <c r="E278" s="185" t="s">
        <v>470</v>
      </c>
      <c r="H278" s="185"/>
    </row>
    <row r="279">
      <c r="D279" s="185"/>
      <c r="E279" s="185" t="s">
        <v>470</v>
      </c>
      <c r="H279" s="185"/>
    </row>
    <row r="280">
      <c r="D280" s="185"/>
      <c r="E280" s="185" t="s">
        <v>470</v>
      </c>
      <c r="H280" s="185"/>
    </row>
    <row r="281">
      <c r="D281" s="185"/>
      <c r="E281" s="185" t="s">
        <v>470</v>
      </c>
      <c r="H281" s="185"/>
    </row>
    <row r="282">
      <c r="D282" s="185"/>
      <c r="E282" s="185" t="s">
        <v>470</v>
      </c>
      <c r="H282" s="185"/>
    </row>
    <row r="283">
      <c r="D283" s="185"/>
      <c r="E283" s="185" t="s">
        <v>470</v>
      </c>
      <c r="H283" s="185"/>
    </row>
    <row r="284">
      <c r="D284" s="185"/>
      <c r="E284" s="185" t="s">
        <v>470</v>
      </c>
      <c r="H284" s="185"/>
    </row>
    <row r="285">
      <c r="D285" s="185"/>
      <c r="E285" s="185" t="s">
        <v>470</v>
      </c>
      <c r="H285" s="185"/>
    </row>
    <row r="286">
      <c r="D286" s="185"/>
      <c r="E286" s="185" t="s">
        <v>470</v>
      </c>
      <c r="H286" s="185"/>
    </row>
    <row r="287">
      <c r="D287" s="185"/>
      <c r="E287" s="185" t="s">
        <v>470</v>
      </c>
      <c r="H287" s="185"/>
    </row>
    <row r="288">
      <c r="D288" s="185"/>
      <c r="E288" s="185" t="s">
        <v>470</v>
      </c>
      <c r="H288" s="185"/>
    </row>
    <row r="289">
      <c r="D289" s="185"/>
      <c r="E289" s="185" t="s">
        <v>470</v>
      </c>
      <c r="H289" s="185"/>
    </row>
    <row r="290">
      <c r="D290" s="185"/>
      <c r="E290" s="185" t="s">
        <v>470</v>
      </c>
      <c r="H290" s="185"/>
    </row>
    <row r="291">
      <c r="D291" s="185"/>
      <c r="E291" s="185" t="s">
        <v>470</v>
      </c>
      <c r="H291" s="185"/>
    </row>
    <row r="292">
      <c r="D292" s="185"/>
      <c r="E292" s="185" t="s">
        <v>470</v>
      </c>
      <c r="H292" s="185"/>
    </row>
    <row r="293">
      <c r="D293" s="185"/>
      <c r="E293" s="185" t="s">
        <v>470</v>
      </c>
      <c r="H293" s="185"/>
    </row>
    <row r="294">
      <c r="D294" s="185"/>
      <c r="E294" s="185" t="s">
        <v>470</v>
      </c>
      <c r="H294" s="185"/>
    </row>
    <row r="295">
      <c r="D295" s="185"/>
      <c r="E295" s="185" t="s">
        <v>470</v>
      </c>
      <c r="H295" s="185"/>
    </row>
    <row r="296">
      <c r="D296" s="185"/>
      <c r="E296" s="185" t="s">
        <v>470</v>
      </c>
      <c r="H296" s="185"/>
    </row>
    <row r="297">
      <c r="D297" s="185"/>
      <c r="E297" s="185" t="s">
        <v>470</v>
      </c>
      <c r="H297" s="185"/>
    </row>
    <row r="298">
      <c r="D298" s="185"/>
      <c r="E298" s="185" t="s">
        <v>470</v>
      </c>
      <c r="H298" s="185"/>
    </row>
    <row r="299">
      <c r="D299" s="185"/>
      <c r="E299" s="185" t="s">
        <v>470</v>
      </c>
      <c r="H299" s="185"/>
    </row>
    <row r="300">
      <c r="D300" s="185"/>
      <c r="E300" s="185" t="s">
        <v>470</v>
      </c>
      <c r="H300" s="185"/>
    </row>
    <row r="301">
      <c r="D301" s="185"/>
      <c r="E301" s="185" t="s">
        <v>470</v>
      </c>
      <c r="H301" s="185"/>
    </row>
    <row r="302">
      <c r="D302" s="185"/>
      <c r="E302" s="185" t="s">
        <v>470</v>
      </c>
      <c r="H302" s="185"/>
    </row>
    <row r="303">
      <c r="D303" s="185"/>
      <c r="E303" s="185" t="s">
        <v>470</v>
      </c>
      <c r="H303" s="185"/>
    </row>
    <row r="304">
      <c r="D304" s="185"/>
      <c r="E304" s="185" t="s">
        <v>470</v>
      </c>
      <c r="H304" s="185"/>
    </row>
    <row r="305">
      <c r="D305" s="185"/>
      <c r="E305" s="185" t="s">
        <v>470</v>
      </c>
      <c r="H305" s="185"/>
    </row>
    <row r="306">
      <c r="D306" s="185"/>
      <c r="E306" s="185" t="s">
        <v>470</v>
      </c>
      <c r="H306" s="185"/>
    </row>
    <row r="307">
      <c r="D307" s="185"/>
      <c r="E307" s="185" t="s">
        <v>470</v>
      </c>
      <c r="H307" s="185"/>
    </row>
    <row r="308">
      <c r="D308" s="185"/>
      <c r="E308" s="185" t="s">
        <v>470</v>
      </c>
      <c r="H308" s="185"/>
    </row>
    <row r="309">
      <c r="D309" s="185"/>
      <c r="E309" s="185" t="s">
        <v>470</v>
      </c>
      <c r="H309" s="185"/>
    </row>
    <row r="310">
      <c r="D310" s="185"/>
      <c r="E310" s="185" t="s">
        <v>470</v>
      </c>
      <c r="H310" s="185"/>
    </row>
    <row r="311">
      <c r="D311" s="185"/>
      <c r="E311" s="185" t="s">
        <v>470</v>
      </c>
      <c r="H311" s="185"/>
    </row>
    <row r="312">
      <c r="D312" s="185"/>
      <c r="E312" s="185" t="s">
        <v>470</v>
      </c>
      <c r="H312" s="185"/>
    </row>
    <row r="313">
      <c r="D313" s="185"/>
      <c r="E313" s="185" t="s">
        <v>470</v>
      </c>
      <c r="H313" s="185"/>
    </row>
    <row r="314">
      <c r="D314" s="185"/>
      <c r="E314" s="185" t="s">
        <v>470</v>
      </c>
      <c r="H314" s="185"/>
    </row>
    <row r="315">
      <c r="D315" s="185"/>
      <c r="E315" s="185" t="s">
        <v>470</v>
      </c>
      <c r="H315" s="185"/>
    </row>
    <row r="316">
      <c r="D316" s="185"/>
      <c r="E316" s="185" t="s">
        <v>470</v>
      </c>
      <c r="H316" s="185"/>
    </row>
    <row r="317">
      <c r="D317" s="185"/>
      <c r="E317" s="185" t="s">
        <v>470</v>
      </c>
      <c r="H317" s="185"/>
    </row>
    <row r="318">
      <c r="D318" s="185"/>
      <c r="E318" s="185" t="s">
        <v>470</v>
      </c>
      <c r="H318" s="185"/>
    </row>
    <row r="319">
      <c r="D319" s="185"/>
      <c r="E319" s="185" t="s">
        <v>470</v>
      </c>
      <c r="H319" s="185"/>
    </row>
    <row r="320">
      <c r="D320" s="185"/>
      <c r="E320" s="185" t="s">
        <v>470</v>
      </c>
      <c r="H320" s="185"/>
    </row>
    <row r="321">
      <c r="D321" s="185"/>
      <c r="E321" s="185" t="s">
        <v>470</v>
      </c>
      <c r="H321" s="185"/>
    </row>
    <row r="322">
      <c r="D322" s="185"/>
      <c r="E322" s="185" t="s">
        <v>470</v>
      </c>
      <c r="H322" s="185"/>
    </row>
    <row r="323">
      <c r="D323" s="185"/>
      <c r="E323" s="185" t="s">
        <v>470</v>
      </c>
      <c r="H323" s="185"/>
    </row>
    <row r="324">
      <c r="D324" s="185"/>
      <c r="E324" s="185" t="s">
        <v>470</v>
      </c>
      <c r="H324" s="185"/>
    </row>
    <row r="325">
      <c r="D325" s="185"/>
      <c r="E325" s="185" t="s">
        <v>470</v>
      </c>
      <c r="H325" s="185"/>
    </row>
    <row r="326">
      <c r="D326" s="185"/>
      <c r="E326" s="185" t="s">
        <v>470</v>
      </c>
      <c r="H326" s="185"/>
    </row>
    <row r="327">
      <c r="D327" s="185"/>
      <c r="E327" s="185" t="s">
        <v>470</v>
      </c>
      <c r="H327" s="185"/>
    </row>
    <row r="328">
      <c r="D328" s="185"/>
      <c r="E328" s="185" t="s">
        <v>470</v>
      </c>
      <c r="H328" s="185"/>
    </row>
    <row r="329">
      <c r="D329" s="185"/>
      <c r="E329" s="185" t="s">
        <v>470</v>
      </c>
      <c r="H329" s="185"/>
    </row>
    <row r="330">
      <c r="D330" s="185"/>
      <c r="E330" s="185" t="s">
        <v>470</v>
      </c>
      <c r="H330" s="185"/>
    </row>
    <row r="331">
      <c r="D331" s="185"/>
      <c r="E331" s="185" t="s">
        <v>470</v>
      </c>
      <c r="H331" s="185"/>
    </row>
    <row r="332">
      <c r="D332" s="185"/>
      <c r="E332" s="185" t="s">
        <v>470</v>
      </c>
      <c r="H332" s="185"/>
    </row>
    <row r="333">
      <c r="D333" s="185"/>
      <c r="E333" s="185" t="s">
        <v>470</v>
      </c>
      <c r="H333" s="185"/>
    </row>
    <row r="334">
      <c r="D334" s="185"/>
      <c r="E334" s="185" t="s">
        <v>470</v>
      </c>
      <c r="H334" s="185"/>
    </row>
    <row r="335">
      <c r="D335" s="185"/>
      <c r="E335" s="185" t="s">
        <v>470</v>
      </c>
      <c r="H335" s="185"/>
    </row>
    <row r="336">
      <c r="D336" s="185"/>
      <c r="E336" s="185" t="s">
        <v>470</v>
      </c>
      <c r="H336" s="185"/>
    </row>
    <row r="337">
      <c r="D337" s="185"/>
      <c r="E337" s="185" t="s">
        <v>470</v>
      </c>
      <c r="H337" s="185"/>
    </row>
    <row r="338">
      <c r="D338" s="185"/>
      <c r="E338" s="185" t="s">
        <v>470</v>
      </c>
      <c r="H338" s="185"/>
    </row>
    <row r="339">
      <c r="D339" s="185"/>
      <c r="E339" s="185" t="s">
        <v>470</v>
      </c>
      <c r="H339" s="185"/>
    </row>
    <row r="340">
      <c r="D340" s="185"/>
      <c r="E340" s="185" t="s">
        <v>470</v>
      </c>
      <c r="H340" s="185"/>
    </row>
    <row r="341">
      <c r="D341" s="185"/>
      <c r="E341" s="185" t="s">
        <v>470</v>
      </c>
      <c r="H341" s="185"/>
    </row>
    <row r="342">
      <c r="D342" s="185"/>
      <c r="E342" s="185" t="s">
        <v>470</v>
      </c>
      <c r="H342" s="185"/>
    </row>
    <row r="343">
      <c r="D343" s="185"/>
      <c r="E343" s="185" t="s">
        <v>470</v>
      </c>
      <c r="H343" s="185"/>
    </row>
    <row r="344">
      <c r="D344" s="185"/>
      <c r="E344" s="185" t="s">
        <v>470</v>
      </c>
      <c r="H344" s="185"/>
    </row>
    <row r="345">
      <c r="D345" s="185"/>
      <c r="E345" s="185" t="s">
        <v>470</v>
      </c>
      <c r="H345" s="185"/>
    </row>
    <row r="346">
      <c r="D346" s="185"/>
      <c r="E346" s="185" t="s">
        <v>470</v>
      </c>
      <c r="H346" s="185"/>
    </row>
    <row r="347">
      <c r="D347" s="185"/>
      <c r="E347" s="185" t="s">
        <v>470</v>
      </c>
      <c r="H347" s="185"/>
    </row>
    <row r="348">
      <c r="D348" s="185"/>
      <c r="E348" s="185" t="s">
        <v>470</v>
      </c>
      <c r="H348" s="185"/>
    </row>
    <row r="349">
      <c r="D349" s="185"/>
      <c r="E349" s="185" t="s">
        <v>470</v>
      </c>
      <c r="H349" s="185"/>
    </row>
    <row r="350">
      <c r="D350" s="185"/>
      <c r="E350" s="185" t="s">
        <v>470</v>
      </c>
      <c r="H350" s="185"/>
    </row>
    <row r="351">
      <c r="D351" s="185"/>
      <c r="E351" s="185" t="s">
        <v>470</v>
      </c>
      <c r="H351" s="185"/>
    </row>
    <row r="352">
      <c r="D352" s="185"/>
      <c r="E352" s="185" t="s">
        <v>470</v>
      </c>
      <c r="H352" s="185"/>
    </row>
    <row r="353">
      <c r="D353" s="185"/>
      <c r="E353" s="185" t="s">
        <v>470</v>
      </c>
      <c r="H353" s="185"/>
    </row>
    <row r="354">
      <c r="D354" s="185"/>
      <c r="E354" s="185" t="s">
        <v>470</v>
      </c>
      <c r="H354" s="185"/>
    </row>
    <row r="355">
      <c r="D355" s="185"/>
      <c r="E355" s="185" t="s">
        <v>470</v>
      </c>
      <c r="H355" s="185"/>
    </row>
    <row r="356">
      <c r="D356" s="185"/>
      <c r="E356" s="185" t="s">
        <v>470</v>
      </c>
      <c r="H356" s="185"/>
    </row>
    <row r="357">
      <c r="D357" s="185"/>
      <c r="E357" s="185" t="s">
        <v>470</v>
      </c>
      <c r="H357" s="185"/>
    </row>
    <row r="358">
      <c r="D358" s="185"/>
      <c r="E358" s="185" t="s">
        <v>470</v>
      </c>
      <c r="H358" s="185"/>
    </row>
    <row r="359">
      <c r="D359" s="185"/>
      <c r="E359" s="185" t="s">
        <v>470</v>
      </c>
      <c r="H359" s="185"/>
    </row>
    <row r="360">
      <c r="D360" s="185"/>
      <c r="E360" s="185" t="s">
        <v>470</v>
      </c>
      <c r="H360" s="185"/>
    </row>
    <row r="361">
      <c r="D361" s="185"/>
      <c r="E361" s="185" t="s">
        <v>470</v>
      </c>
      <c r="H361" s="185"/>
    </row>
    <row r="362">
      <c r="D362" s="185"/>
      <c r="E362" s="185" t="s">
        <v>470</v>
      </c>
      <c r="H362" s="185"/>
    </row>
    <row r="363">
      <c r="D363" s="185"/>
      <c r="E363" s="185" t="s">
        <v>470</v>
      </c>
      <c r="H363" s="185"/>
    </row>
    <row r="364">
      <c r="D364" s="185"/>
      <c r="E364" s="185" t="s">
        <v>470</v>
      </c>
      <c r="H364" s="185"/>
    </row>
    <row r="365">
      <c r="D365" s="185"/>
      <c r="E365" s="185" t="s">
        <v>470</v>
      </c>
      <c r="H365" s="185"/>
    </row>
    <row r="366">
      <c r="D366" s="185"/>
      <c r="E366" s="185" t="s">
        <v>470</v>
      </c>
      <c r="H366" s="185"/>
    </row>
    <row r="367">
      <c r="D367" s="185"/>
      <c r="E367" s="185" t="s">
        <v>470</v>
      </c>
      <c r="H367" s="185"/>
    </row>
    <row r="368">
      <c r="D368" s="185"/>
      <c r="E368" s="185" t="s">
        <v>470</v>
      </c>
      <c r="H368" s="185"/>
    </row>
    <row r="369">
      <c r="D369" s="185"/>
      <c r="E369" s="185" t="s">
        <v>470</v>
      </c>
      <c r="H369" s="185"/>
    </row>
    <row r="370">
      <c r="D370" s="185"/>
      <c r="E370" s="185" t="s">
        <v>470</v>
      </c>
      <c r="H370" s="185"/>
    </row>
    <row r="371">
      <c r="D371" s="185"/>
      <c r="E371" s="185" t="s">
        <v>470</v>
      </c>
      <c r="H371" s="185"/>
    </row>
    <row r="372">
      <c r="D372" s="185"/>
      <c r="E372" s="185" t="s">
        <v>470</v>
      </c>
      <c r="H372" s="185"/>
    </row>
    <row r="373">
      <c r="D373" s="185"/>
      <c r="E373" s="185" t="s">
        <v>470</v>
      </c>
      <c r="H373" s="185"/>
    </row>
    <row r="374">
      <c r="D374" s="185"/>
      <c r="E374" s="185" t="s">
        <v>470</v>
      </c>
      <c r="H374" s="185"/>
    </row>
    <row r="375">
      <c r="D375" s="185"/>
      <c r="E375" s="185" t="s">
        <v>470</v>
      </c>
      <c r="H375" s="185"/>
    </row>
    <row r="376">
      <c r="D376" s="185"/>
      <c r="E376" s="185" t="s">
        <v>470</v>
      </c>
      <c r="H376" s="185"/>
    </row>
    <row r="377">
      <c r="D377" s="185"/>
      <c r="E377" s="185" t="s">
        <v>470</v>
      </c>
      <c r="H377" s="185"/>
    </row>
    <row r="378">
      <c r="D378" s="185"/>
      <c r="E378" s="185" t="s">
        <v>470</v>
      </c>
      <c r="H378" s="185"/>
    </row>
    <row r="379">
      <c r="D379" s="185"/>
      <c r="E379" s="185" t="s">
        <v>470</v>
      </c>
      <c r="H379" s="185"/>
    </row>
    <row r="380">
      <c r="D380" s="185"/>
      <c r="E380" s="185" t="s">
        <v>470</v>
      </c>
      <c r="H380" s="185"/>
    </row>
    <row r="381">
      <c r="D381" s="185"/>
      <c r="E381" s="185" t="s">
        <v>470</v>
      </c>
      <c r="H381" s="185"/>
    </row>
    <row r="382">
      <c r="D382" s="185"/>
      <c r="E382" s="185" t="s">
        <v>470</v>
      </c>
      <c r="H382" s="185"/>
    </row>
    <row r="383">
      <c r="D383" s="185"/>
      <c r="E383" s="185" t="s">
        <v>470</v>
      </c>
      <c r="H383" s="185"/>
    </row>
    <row r="384">
      <c r="D384" s="185"/>
      <c r="E384" s="185" t="s">
        <v>470</v>
      </c>
      <c r="H384" s="185"/>
    </row>
    <row r="385">
      <c r="D385" s="185"/>
      <c r="E385" s="185" t="s">
        <v>470</v>
      </c>
      <c r="H385" s="185"/>
    </row>
    <row r="386">
      <c r="D386" s="185"/>
      <c r="E386" s="185" t="s">
        <v>470</v>
      </c>
      <c r="H386" s="185"/>
    </row>
    <row r="387">
      <c r="D387" s="185"/>
      <c r="E387" s="185" t="s">
        <v>470</v>
      </c>
      <c r="H387" s="185"/>
    </row>
    <row r="388">
      <c r="D388" s="185"/>
      <c r="E388" s="185" t="s">
        <v>470</v>
      </c>
      <c r="H388" s="185"/>
    </row>
    <row r="389">
      <c r="D389" s="185"/>
      <c r="E389" s="185" t="s">
        <v>470</v>
      </c>
      <c r="H389" s="185"/>
    </row>
    <row r="390">
      <c r="D390" s="185"/>
      <c r="E390" s="185" t="s">
        <v>470</v>
      </c>
      <c r="H390" s="185"/>
    </row>
    <row r="391">
      <c r="D391" s="185"/>
      <c r="E391" s="185" t="s">
        <v>470</v>
      </c>
      <c r="H391" s="185"/>
    </row>
    <row r="392">
      <c r="D392" s="185"/>
      <c r="E392" s="185" t="s">
        <v>470</v>
      </c>
      <c r="H392" s="185"/>
    </row>
    <row r="393">
      <c r="D393" s="185"/>
      <c r="E393" s="185" t="s">
        <v>470</v>
      </c>
      <c r="H393" s="185"/>
    </row>
    <row r="394">
      <c r="D394" s="185"/>
      <c r="E394" s="185" t="s">
        <v>470</v>
      </c>
      <c r="H394" s="185"/>
    </row>
    <row r="395">
      <c r="D395" s="185"/>
      <c r="E395" s="185" t="s">
        <v>470</v>
      </c>
      <c r="H395" s="185"/>
    </row>
    <row r="396">
      <c r="D396" s="185"/>
      <c r="E396" s="185" t="s">
        <v>470</v>
      </c>
      <c r="H396" s="185"/>
    </row>
    <row r="397">
      <c r="D397" s="185"/>
      <c r="E397" s="185" t="s">
        <v>470</v>
      </c>
      <c r="H397" s="185"/>
    </row>
    <row r="398">
      <c r="D398" s="185"/>
      <c r="E398" s="185" t="s">
        <v>470</v>
      </c>
      <c r="H398" s="185"/>
    </row>
    <row r="399">
      <c r="D399" s="185"/>
      <c r="E399" s="185" t="s">
        <v>470</v>
      </c>
      <c r="H399" s="185"/>
    </row>
    <row r="400">
      <c r="D400" s="185"/>
      <c r="E400" s="185" t="s">
        <v>470</v>
      </c>
      <c r="H400" s="185"/>
    </row>
    <row r="401">
      <c r="D401" s="185"/>
      <c r="E401" s="185" t="s">
        <v>470</v>
      </c>
      <c r="H401" s="185"/>
    </row>
    <row r="402">
      <c r="D402" s="185"/>
      <c r="E402" s="185" t="s">
        <v>470</v>
      </c>
      <c r="H402" s="185"/>
    </row>
    <row r="403">
      <c r="D403" s="185"/>
      <c r="E403" s="185" t="s">
        <v>470</v>
      </c>
      <c r="H403" s="185"/>
    </row>
    <row r="404">
      <c r="D404" s="185"/>
      <c r="E404" s="185" t="s">
        <v>470</v>
      </c>
      <c r="H404" s="185"/>
    </row>
    <row r="405">
      <c r="D405" s="185"/>
      <c r="E405" s="185" t="s">
        <v>470</v>
      </c>
      <c r="H405" s="185"/>
    </row>
    <row r="406">
      <c r="D406" s="185"/>
      <c r="E406" s="185" t="s">
        <v>470</v>
      </c>
      <c r="H406" s="185"/>
    </row>
    <row r="407">
      <c r="D407" s="185"/>
      <c r="E407" s="185" t="s">
        <v>470</v>
      </c>
      <c r="H407" s="185"/>
    </row>
    <row r="408">
      <c r="D408" s="185"/>
      <c r="E408" s="185" t="s">
        <v>470</v>
      </c>
      <c r="H408" s="185"/>
    </row>
    <row r="409">
      <c r="D409" s="185"/>
      <c r="E409" s="185" t="s">
        <v>470</v>
      </c>
      <c r="H409" s="185"/>
    </row>
    <row r="410">
      <c r="D410" s="185"/>
      <c r="E410" s="185" t="s">
        <v>470</v>
      </c>
      <c r="H410" s="185"/>
    </row>
    <row r="411">
      <c r="D411" s="185"/>
      <c r="E411" s="185" t="s">
        <v>470</v>
      </c>
      <c r="H411" s="185"/>
    </row>
    <row r="412">
      <c r="D412" s="185"/>
      <c r="E412" s="185" t="s">
        <v>470</v>
      </c>
      <c r="H412" s="185"/>
    </row>
    <row r="413">
      <c r="D413" s="185"/>
      <c r="E413" s="185" t="s">
        <v>470</v>
      </c>
      <c r="H413" s="185"/>
    </row>
    <row r="414">
      <c r="D414" s="185"/>
      <c r="E414" s="185" t="s">
        <v>470</v>
      </c>
      <c r="H414" s="185"/>
    </row>
    <row r="415">
      <c r="D415" s="185"/>
      <c r="E415" s="185" t="s">
        <v>470</v>
      </c>
      <c r="H415" s="185"/>
    </row>
    <row r="416">
      <c r="D416" s="185"/>
      <c r="E416" s="185" t="s">
        <v>470</v>
      </c>
      <c r="H416" s="185"/>
    </row>
    <row r="417">
      <c r="D417" s="185"/>
      <c r="E417" s="185" t="s">
        <v>470</v>
      </c>
      <c r="H417" s="185"/>
    </row>
    <row r="418">
      <c r="D418" s="185"/>
      <c r="E418" s="185" t="s">
        <v>470</v>
      </c>
      <c r="H418" s="185"/>
    </row>
    <row r="419">
      <c r="D419" s="185"/>
      <c r="E419" s="185" t="s">
        <v>470</v>
      </c>
      <c r="H419" s="185"/>
    </row>
    <row r="420">
      <c r="D420" s="185"/>
      <c r="E420" s="185" t="s">
        <v>470</v>
      </c>
      <c r="H420" s="185"/>
    </row>
    <row r="421">
      <c r="D421" s="185"/>
      <c r="E421" s="185" t="s">
        <v>470</v>
      </c>
      <c r="H421" s="185"/>
    </row>
    <row r="422">
      <c r="D422" s="185"/>
      <c r="E422" s="185" t="s">
        <v>470</v>
      </c>
      <c r="H422" s="185"/>
    </row>
    <row r="423">
      <c r="D423" s="185"/>
      <c r="E423" s="185" t="s">
        <v>470</v>
      </c>
      <c r="H423" s="185"/>
    </row>
    <row r="424">
      <c r="D424" s="185"/>
      <c r="E424" s="185" t="s">
        <v>470</v>
      </c>
      <c r="H424" s="185"/>
    </row>
    <row r="425">
      <c r="D425" s="185"/>
      <c r="E425" s="185" t="s">
        <v>470</v>
      </c>
      <c r="H425" s="185"/>
    </row>
    <row r="426">
      <c r="D426" s="185"/>
      <c r="E426" s="185" t="s">
        <v>470</v>
      </c>
      <c r="H426" s="185"/>
    </row>
    <row r="427">
      <c r="D427" s="185"/>
      <c r="E427" s="185" t="s">
        <v>470</v>
      </c>
      <c r="H427" s="185"/>
    </row>
    <row r="428">
      <c r="D428" s="185"/>
      <c r="E428" s="185" t="s">
        <v>470</v>
      </c>
      <c r="H428" s="185"/>
    </row>
    <row r="429">
      <c r="D429" s="185"/>
      <c r="E429" s="185" t="s">
        <v>470</v>
      </c>
      <c r="H429" s="185"/>
    </row>
    <row r="430">
      <c r="D430" s="185"/>
      <c r="E430" s="185" t="s">
        <v>470</v>
      </c>
      <c r="H430" s="185"/>
    </row>
    <row r="431">
      <c r="D431" s="185"/>
      <c r="E431" s="185" t="s">
        <v>470</v>
      </c>
      <c r="H431" s="185"/>
    </row>
    <row r="432">
      <c r="D432" s="185"/>
      <c r="E432" s="185" t="s">
        <v>470</v>
      </c>
      <c r="H432" s="185"/>
    </row>
    <row r="433">
      <c r="D433" s="185"/>
      <c r="E433" s="185" t="s">
        <v>470</v>
      </c>
      <c r="H433" s="185"/>
    </row>
    <row r="434">
      <c r="D434" s="185"/>
      <c r="E434" s="185" t="s">
        <v>470</v>
      </c>
      <c r="H434" s="185"/>
    </row>
    <row r="435">
      <c r="D435" s="185"/>
      <c r="E435" s="185" t="s">
        <v>470</v>
      </c>
      <c r="H435" s="185"/>
    </row>
    <row r="436">
      <c r="D436" s="185"/>
      <c r="E436" s="185" t="s">
        <v>470</v>
      </c>
      <c r="H436" s="185"/>
    </row>
    <row r="437">
      <c r="D437" s="185"/>
      <c r="E437" s="185" t="s">
        <v>470</v>
      </c>
      <c r="H437" s="185"/>
    </row>
    <row r="438">
      <c r="D438" s="185"/>
      <c r="E438" s="185" t="s">
        <v>470</v>
      </c>
      <c r="H438" s="185"/>
    </row>
    <row r="439">
      <c r="D439" s="185"/>
      <c r="E439" s="185" t="s">
        <v>470</v>
      </c>
      <c r="H439" s="185"/>
    </row>
    <row r="440">
      <c r="D440" s="185"/>
      <c r="E440" s="185" t="s">
        <v>470</v>
      </c>
      <c r="H440" s="185"/>
    </row>
    <row r="441">
      <c r="D441" s="185"/>
      <c r="E441" s="185" t="s">
        <v>470</v>
      </c>
      <c r="H441" s="185"/>
    </row>
    <row r="442">
      <c r="D442" s="185"/>
      <c r="E442" s="185" t="s">
        <v>470</v>
      </c>
      <c r="H442" s="185"/>
    </row>
    <row r="443">
      <c r="D443" s="185"/>
      <c r="E443" s="185" t="s">
        <v>470</v>
      </c>
      <c r="H443" s="185"/>
    </row>
    <row r="444">
      <c r="D444" s="185"/>
      <c r="E444" s="185" t="s">
        <v>470</v>
      </c>
      <c r="H444" s="185"/>
    </row>
    <row r="445">
      <c r="D445" s="185"/>
      <c r="E445" s="185" t="s">
        <v>470</v>
      </c>
      <c r="H445" s="185"/>
    </row>
    <row r="446">
      <c r="D446" s="185"/>
      <c r="E446" s="185" t="s">
        <v>470</v>
      </c>
      <c r="H446" s="185"/>
    </row>
    <row r="447">
      <c r="D447" s="185"/>
      <c r="E447" s="185" t="s">
        <v>470</v>
      </c>
      <c r="H447" s="185"/>
    </row>
    <row r="448">
      <c r="D448" s="185"/>
      <c r="E448" s="185" t="s">
        <v>470</v>
      </c>
      <c r="H448" s="185"/>
    </row>
    <row r="449">
      <c r="D449" s="185"/>
      <c r="E449" s="185" t="s">
        <v>470</v>
      </c>
      <c r="H449" s="185"/>
    </row>
    <row r="450">
      <c r="D450" s="185"/>
      <c r="E450" s="185" t="s">
        <v>470</v>
      </c>
      <c r="H450" s="185"/>
    </row>
    <row r="451">
      <c r="D451" s="185"/>
      <c r="E451" s="185" t="s">
        <v>470</v>
      </c>
      <c r="H451" s="185"/>
    </row>
    <row r="452">
      <c r="D452" s="185"/>
      <c r="E452" s="185" t="s">
        <v>470</v>
      </c>
      <c r="H452" s="185"/>
    </row>
    <row r="453">
      <c r="D453" s="185"/>
      <c r="E453" s="185" t="s">
        <v>470</v>
      </c>
      <c r="H453" s="185"/>
    </row>
    <row r="454">
      <c r="D454" s="185"/>
      <c r="E454" s="185" t="s">
        <v>470</v>
      </c>
      <c r="H454" s="185"/>
    </row>
    <row r="455">
      <c r="D455" s="185"/>
      <c r="E455" s="185" t="s">
        <v>470</v>
      </c>
      <c r="H455" s="185"/>
    </row>
    <row r="456">
      <c r="D456" s="185"/>
      <c r="E456" s="185" t="s">
        <v>470</v>
      </c>
      <c r="H456" s="185"/>
    </row>
    <row r="457">
      <c r="D457" s="185"/>
      <c r="E457" s="185" t="s">
        <v>470</v>
      </c>
      <c r="H457" s="185"/>
    </row>
    <row r="458">
      <c r="D458" s="185"/>
      <c r="E458" s="185" t="s">
        <v>470</v>
      </c>
      <c r="H458" s="185"/>
    </row>
    <row r="459">
      <c r="D459" s="185"/>
      <c r="E459" s="185" t="s">
        <v>470</v>
      </c>
      <c r="H459" s="185"/>
    </row>
    <row r="460">
      <c r="D460" s="185"/>
      <c r="E460" s="185" t="s">
        <v>470</v>
      </c>
      <c r="H460" s="185"/>
    </row>
    <row r="461">
      <c r="D461" s="185"/>
      <c r="E461" s="185" t="s">
        <v>470</v>
      </c>
      <c r="H461" s="185"/>
    </row>
    <row r="462">
      <c r="D462" s="185"/>
      <c r="E462" s="185" t="s">
        <v>470</v>
      </c>
      <c r="H462" s="185"/>
    </row>
    <row r="463">
      <c r="D463" s="185"/>
      <c r="E463" s="185" t="s">
        <v>470</v>
      </c>
      <c r="H463" s="185"/>
    </row>
    <row r="464">
      <c r="D464" s="185"/>
      <c r="E464" s="185" t="s">
        <v>470</v>
      </c>
      <c r="H464" s="185"/>
    </row>
    <row r="465">
      <c r="D465" s="185"/>
      <c r="E465" s="185" t="s">
        <v>470</v>
      </c>
      <c r="H465" s="185"/>
    </row>
    <row r="466">
      <c r="D466" s="185"/>
      <c r="E466" s="185" t="s">
        <v>470</v>
      </c>
      <c r="H466" s="185"/>
    </row>
    <row r="467">
      <c r="D467" s="185"/>
      <c r="E467" s="185" t="s">
        <v>470</v>
      </c>
      <c r="H467" s="185"/>
    </row>
    <row r="468">
      <c r="D468" s="185"/>
      <c r="E468" s="185" t="s">
        <v>470</v>
      </c>
      <c r="H468" s="185"/>
    </row>
    <row r="469">
      <c r="D469" s="185"/>
      <c r="E469" s="185" t="s">
        <v>470</v>
      </c>
      <c r="H469" s="185"/>
    </row>
    <row r="470">
      <c r="D470" s="185"/>
      <c r="E470" s="185" t="s">
        <v>470</v>
      </c>
      <c r="H470" s="185"/>
    </row>
    <row r="471">
      <c r="D471" s="185"/>
      <c r="E471" s="185" t="s">
        <v>470</v>
      </c>
      <c r="H471" s="185"/>
    </row>
    <row r="472">
      <c r="D472" s="185"/>
      <c r="E472" s="185" t="s">
        <v>470</v>
      </c>
      <c r="H472" s="185"/>
    </row>
    <row r="473">
      <c r="D473" s="185"/>
      <c r="E473" s="185" t="s">
        <v>470</v>
      </c>
      <c r="H473" s="185"/>
    </row>
    <row r="474">
      <c r="D474" s="185"/>
      <c r="E474" s="185" t="s">
        <v>470</v>
      </c>
      <c r="H474" s="185"/>
    </row>
    <row r="475">
      <c r="D475" s="185"/>
      <c r="E475" s="185" t="s">
        <v>470</v>
      </c>
      <c r="H475" s="185"/>
    </row>
    <row r="476">
      <c r="D476" s="185"/>
      <c r="E476" s="185" t="s">
        <v>470</v>
      </c>
      <c r="H476" s="185"/>
    </row>
    <row r="477">
      <c r="D477" s="185"/>
      <c r="E477" s="185" t="s">
        <v>470</v>
      </c>
      <c r="H477" s="185"/>
    </row>
    <row r="478">
      <c r="D478" s="185"/>
      <c r="E478" s="185" t="s">
        <v>470</v>
      </c>
      <c r="H478" s="185"/>
    </row>
    <row r="479">
      <c r="D479" s="185"/>
      <c r="E479" s="185" t="s">
        <v>470</v>
      </c>
      <c r="H479" s="185"/>
    </row>
    <row r="480">
      <c r="D480" s="185"/>
      <c r="E480" s="185" t="s">
        <v>470</v>
      </c>
      <c r="H480" s="185"/>
    </row>
    <row r="481">
      <c r="D481" s="185"/>
      <c r="E481" s="185" t="s">
        <v>470</v>
      </c>
      <c r="H481" s="185"/>
    </row>
    <row r="482">
      <c r="D482" s="185"/>
      <c r="E482" s="185" t="s">
        <v>470</v>
      </c>
      <c r="H482" s="185"/>
    </row>
    <row r="483">
      <c r="D483" s="185"/>
      <c r="E483" s="185" t="s">
        <v>470</v>
      </c>
      <c r="H483" s="185"/>
    </row>
    <row r="484">
      <c r="D484" s="185"/>
      <c r="E484" s="185" t="s">
        <v>470</v>
      </c>
      <c r="H484" s="185"/>
    </row>
    <row r="485">
      <c r="D485" s="185"/>
      <c r="E485" s="185" t="s">
        <v>470</v>
      </c>
      <c r="H485" s="185"/>
    </row>
    <row r="486">
      <c r="D486" s="185"/>
      <c r="E486" s="185" t="s">
        <v>470</v>
      </c>
      <c r="H486" s="185"/>
    </row>
    <row r="487">
      <c r="D487" s="185"/>
      <c r="E487" s="185" t="s">
        <v>470</v>
      </c>
      <c r="H487" s="185"/>
    </row>
    <row r="488">
      <c r="D488" s="185"/>
      <c r="E488" s="185" t="s">
        <v>470</v>
      </c>
      <c r="H488" s="185"/>
    </row>
    <row r="489">
      <c r="D489" s="185"/>
      <c r="E489" s="185" t="s">
        <v>470</v>
      </c>
      <c r="H489" s="185"/>
    </row>
    <row r="490">
      <c r="D490" s="185"/>
      <c r="E490" s="185" t="s">
        <v>470</v>
      </c>
      <c r="H490" s="185"/>
    </row>
    <row r="491">
      <c r="D491" s="185"/>
      <c r="E491" s="185" t="s">
        <v>470</v>
      </c>
      <c r="H491" s="185"/>
    </row>
    <row r="492">
      <c r="D492" s="185"/>
      <c r="E492" s="185" t="s">
        <v>470</v>
      </c>
      <c r="H492" s="185"/>
    </row>
    <row r="493">
      <c r="D493" s="185"/>
      <c r="E493" s="185" t="s">
        <v>470</v>
      </c>
      <c r="H493" s="185"/>
    </row>
    <row r="494">
      <c r="D494" s="185"/>
      <c r="E494" s="185" t="s">
        <v>470</v>
      </c>
      <c r="H494" s="185"/>
    </row>
    <row r="495">
      <c r="D495" s="185"/>
      <c r="E495" s="185" t="s">
        <v>470</v>
      </c>
      <c r="H495" s="185"/>
    </row>
    <row r="496">
      <c r="D496" s="185"/>
      <c r="E496" s="185" t="s">
        <v>470</v>
      </c>
      <c r="H496" s="185"/>
    </row>
    <row r="497">
      <c r="D497" s="185"/>
      <c r="E497" s="185" t="s">
        <v>470</v>
      </c>
      <c r="H497" s="185"/>
    </row>
    <row r="498">
      <c r="D498" s="185"/>
      <c r="E498" s="185" t="s">
        <v>470</v>
      </c>
      <c r="H498" s="185"/>
    </row>
    <row r="499">
      <c r="D499" s="185"/>
      <c r="E499" s="185" t="s">
        <v>470</v>
      </c>
      <c r="H499" s="185"/>
    </row>
    <row r="500">
      <c r="D500" s="185"/>
      <c r="E500" s="185" t="s">
        <v>470</v>
      </c>
      <c r="H500" s="185"/>
    </row>
    <row r="501">
      <c r="D501" s="185"/>
      <c r="E501" s="185" t="s">
        <v>470</v>
      </c>
      <c r="H501" s="185"/>
    </row>
    <row r="502">
      <c r="D502" s="185"/>
      <c r="E502" s="185" t="s">
        <v>470</v>
      </c>
      <c r="H502" s="185"/>
    </row>
    <row r="503">
      <c r="D503" s="185"/>
      <c r="E503" s="185" t="s">
        <v>470</v>
      </c>
      <c r="H503" s="185"/>
    </row>
    <row r="504">
      <c r="D504" s="185"/>
      <c r="E504" s="185" t="s">
        <v>470</v>
      </c>
      <c r="H504" s="185"/>
    </row>
    <row r="505">
      <c r="D505" s="185"/>
      <c r="E505" s="185" t="s">
        <v>470</v>
      </c>
      <c r="H505" s="185"/>
    </row>
    <row r="506">
      <c r="D506" s="185"/>
      <c r="E506" s="185" t="s">
        <v>470</v>
      </c>
      <c r="H506" s="185"/>
    </row>
    <row r="507">
      <c r="D507" s="185"/>
      <c r="E507" s="185" t="s">
        <v>470</v>
      </c>
      <c r="H507" s="185"/>
    </row>
    <row r="508">
      <c r="D508" s="185"/>
      <c r="E508" s="185" t="s">
        <v>470</v>
      </c>
      <c r="H508" s="185"/>
    </row>
    <row r="509">
      <c r="D509" s="185"/>
      <c r="E509" s="185" t="s">
        <v>470</v>
      </c>
      <c r="H509" s="185"/>
    </row>
    <row r="510">
      <c r="D510" s="185"/>
      <c r="E510" s="185" t="s">
        <v>470</v>
      </c>
      <c r="H510" s="185"/>
    </row>
    <row r="511">
      <c r="D511" s="185"/>
      <c r="E511" s="185" t="s">
        <v>470</v>
      </c>
      <c r="H511" s="185"/>
    </row>
    <row r="512">
      <c r="D512" s="185"/>
      <c r="E512" s="185" t="s">
        <v>470</v>
      </c>
      <c r="H512" s="185"/>
    </row>
    <row r="513">
      <c r="D513" s="185"/>
      <c r="E513" s="185" t="s">
        <v>470</v>
      </c>
      <c r="H513" s="185"/>
    </row>
    <row r="514">
      <c r="D514" s="185"/>
      <c r="E514" s="185" t="s">
        <v>470</v>
      </c>
      <c r="H514" s="185"/>
    </row>
    <row r="515">
      <c r="D515" s="185"/>
      <c r="E515" s="185" t="s">
        <v>470</v>
      </c>
      <c r="H515" s="185"/>
    </row>
    <row r="516">
      <c r="D516" s="185"/>
      <c r="E516" s="185" t="s">
        <v>470</v>
      </c>
      <c r="H516" s="185"/>
    </row>
    <row r="517">
      <c r="D517" s="185"/>
      <c r="E517" s="185" t="s">
        <v>470</v>
      </c>
      <c r="H517" s="185"/>
    </row>
    <row r="518">
      <c r="D518" s="185"/>
      <c r="E518" s="185" t="s">
        <v>470</v>
      </c>
      <c r="H518" s="185"/>
    </row>
    <row r="519">
      <c r="D519" s="185"/>
      <c r="E519" s="185" t="s">
        <v>470</v>
      </c>
      <c r="H519" s="185"/>
    </row>
    <row r="520">
      <c r="D520" s="185"/>
      <c r="E520" s="185" t="s">
        <v>470</v>
      </c>
      <c r="H520" s="185"/>
    </row>
    <row r="521">
      <c r="D521" s="185"/>
      <c r="E521" s="185" t="s">
        <v>470</v>
      </c>
      <c r="H521" s="185"/>
    </row>
    <row r="522">
      <c r="D522" s="185"/>
      <c r="E522" s="185" t="s">
        <v>470</v>
      </c>
      <c r="H522" s="185"/>
    </row>
    <row r="523">
      <c r="D523" s="185"/>
      <c r="E523" s="185" t="s">
        <v>470</v>
      </c>
      <c r="H523" s="185"/>
    </row>
    <row r="524">
      <c r="D524" s="185"/>
      <c r="E524" s="185" t="s">
        <v>470</v>
      </c>
      <c r="H524" s="185"/>
    </row>
    <row r="525">
      <c r="D525" s="185"/>
      <c r="E525" s="185" t="s">
        <v>470</v>
      </c>
      <c r="H525" s="185"/>
    </row>
    <row r="526">
      <c r="D526" s="185"/>
      <c r="E526" s="185" t="s">
        <v>470</v>
      </c>
      <c r="H526" s="185"/>
    </row>
    <row r="527">
      <c r="D527" s="185"/>
      <c r="E527" s="185" t="s">
        <v>470</v>
      </c>
      <c r="H527" s="185"/>
    </row>
    <row r="528">
      <c r="D528" s="185"/>
      <c r="E528" s="185" t="s">
        <v>470</v>
      </c>
      <c r="H528" s="185"/>
    </row>
    <row r="529">
      <c r="D529" s="185"/>
      <c r="E529" s="185" t="s">
        <v>470</v>
      </c>
      <c r="H529" s="185"/>
    </row>
    <row r="530">
      <c r="D530" s="185"/>
      <c r="E530" s="185" t="s">
        <v>470</v>
      </c>
      <c r="H530" s="185"/>
    </row>
    <row r="531">
      <c r="D531" s="185"/>
      <c r="E531" s="185" t="s">
        <v>470</v>
      </c>
      <c r="H531" s="185"/>
    </row>
    <row r="532">
      <c r="D532" s="185"/>
      <c r="E532" s="185" t="s">
        <v>470</v>
      </c>
      <c r="H532" s="185"/>
    </row>
    <row r="533">
      <c r="D533" s="185"/>
      <c r="E533" s="185" t="s">
        <v>470</v>
      </c>
      <c r="H533" s="185"/>
    </row>
    <row r="534">
      <c r="D534" s="185"/>
      <c r="E534" s="185" t="s">
        <v>470</v>
      </c>
      <c r="H534" s="185"/>
    </row>
    <row r="535">
      <c r="D535" s="185"/>
      <c r="E535" s="185" t="s">
        <v>470</v>
      </c>
      <c r="H535" s="185"/>
    </row>
    <row r="536">
      <c r="D536" s="185"/>
      <c r="E536" s="185" t="s">
        <v>470</v>
      </c>
      <c r="H536" s="185"/>
    </row>
    <row r="537">
      <c r="D537" s="185"/>
      <c r="E537" s="185" t="s">
        <v>470</v>
      </c>
      <c r="H537" s="185"/>
    </row>
    <row r="538">
      <c r="D538" s="185"/>
      <c r="E538" s="185" t="s">
        <v>470</v>
      </c>
      <c r="H538" s="185"/>
    </row>
    <row r="539">
      <c r="D539" s="185"/>
      <c r="E539" s="185" t="s">
        <v>470</v>
      </c>
      <c r="H539" s="185"/>
    </row>
    <row r="540">
      <c r="D540" s="185"/>
      <c r="E540" s="185" t="s">
        <v>470</v>
      </c>
      <c r="H540" s="185"/>
    </row>
    <row r="541">
      <c r="D541" s="185"/>
      <c r="E541" s="185" t="s">
        <v>470</v>
      </c>
      <c r="H541" s="185"/>
    </row>
    <row r="542">
      <c r="D542" s="185"/>
      <c r="E542" s="185" t="s">
        <v>470</v>
      </c>
      <c r="H542" s="185"/>
    </row>
    <row r="543">
      <c r="D543" s="185"/>
      <c r="E543" s="185" t="s">
        <v>470</v>
      </c>
      <c r="H543" s="185"/>
    </row>
    <row r="544">
      <c r="D544" s="185"/>
      <c r="E544" s="185" t="s">
        <v>470</v>
      </c>
      <c r="H544" s="185"/>
    </row>
    <row r="545">
      <c r="D545" s="185"/>
      <c r="E545" s="185" t="s">
        <v>470</v>
      </c>
      <c r="H545" s="185"/>
    </row>
    <row r="546">
      <c r="D546" s="185"/>
      <c r="E546" s="185" t="s">
        <v>470</v>
      </c>
      <c r="H546" s="185"/>
    </row>
    <row r="547">
      <c r="D547" s="185"/>
      <c r="E547" s="185" t="s">
        <v>470</v>
      </c>
      <c r="H547" s="185"/>
    </row>
    <row r="548">
      <c r="D548" s="185"/>
      <c r="E548" s="185" t="s">
        <v>470</v>
      </c>
      <c r="H548" s="185"/>
    </row>
    <row r="549">
      <c r="D549" s="185"/>
      <c r="E549" s="185" t="s">
        <v>470</v>
      </c>
      <c r="H549" s="185"/>
    </row>
    <row r="550">
      <c r="D550" s="185"/>
      <c r="E550" s="185" t="s">
        <v>470</v>
      </c>
      <c r="H550" s="185"/>
    </row>
    <row r="551">
      <c r="D551" s="185"/>
      <c r="E551" s="185" t="s">
        <v>470</v>
      </c>
      <c r="H551" s="185"/>
    </row>
    <row r="552">
      <c r="D552" s="185"/>
      <c r="E552" s="185" t="s">
        <v>470</v>
      </c>
      <c r="H552" s="185"/>
    </row>
    <row r="553">
      <c r="D553" s="185"/>
      <c r="E553" s="185" t="s">
        <v>470</v>
      </c>
      <c r="H553" s="185"/>
    </row>
    <row r="554">
      <c r="D554" s="185"/>
      <c r="E554" s="185" t="s">
        <v>470</v>
      </c>
      <c r="H554" s="185"/>
    </row>
    <row r="555">
      <c r="D555" s="185"/>
      <c r="E555" s="185" t="s">
        <v>470</v>
      </c>
      <c r="H555" s="185"/>
    </row>
    <row r="556">
      <c r="D556" s="185"/>
      <c r="E556" s="185" t="s">
        <v>470</v>
      </c>
      <c r="H556" s="185"/>
    </row>
    <row r="557">
      <c r="D557" s="185"/>
      <c r="E557" s="185" t="s">
        <v>470</v>
      </c>
      <c r="H557" s="185"/>
    </row>
    <row r="558">
      <c r="D558" s="185"/>
      <c r="E558" s="185" t="s">
        <v>470</v>
      </c>
      <c r="H558" s="185"/>
    </row>
    <row r="559">
      <c r="D559" s="185"/>
      <c r="E559" s="185" t="s">
        <v>470</v>
      </c>
      <c r="H559" s="185"/>
    </row>
    <row r="560">
      <c r="D560" s="185"/>
      <c r="E560" s="185" t="s">
        <v>470</v>
      </c>
      <c r="H560" s="185"/>
    </row>
    <row r="561">
      <c r="D561" s="185"/>
      <c r="E561" s="185" t="s">
        <v>470</v>
      </c>
      <c r="H561" s="185"/>
    </row>
    <row r="562">
      <c r="D562" s="185"/>
      <c r="E562" s="185" t="s">
        <v>470</v>
      </c>
      <c r="H562" s="185"/>
    </row>
    <row r="563">
      <c r="D563" s="185"/>
      <c r="E563" s="185" t="s">
        <v>470</v>
      </c>
      <c r="H563" s="185"/>
    </row>
    <row r="564">
      <c r="D564" s="185"/>
      <c r="E564" s="185" t="s">
        <v>470</v>
      </c>
      <c r="H564" s="185"/>
    </row>
    <row r="565">
      <c r="D565" s="185"/>
      <c r="E565" s="185" t="s">
        <v>470</v>
      </c>
      <c r="H565" s="185"/>
    </row>
    <row r="566">
      <c r="D566" s="185"/>
      <c r="E566" s="185" t="s">
        <v>470</v>
      </c>
      <c r="H566" s="185"/>
    </row>
    <row r="567">
      <c r="D567" s="185"/>
      <c r="E567" s="185" t="s">
        <v>470</v>
      </c>
      <c r="H567" s="185"/>
    </row>
    <row r="568">
      <c r="D568" s="185"/>
      <c r="E568" s="185" t="s">
        <v>470</v>
      </c>
      <c r="H568" s="185"/>
    </row>
    <row r="569">
      <c r="D569" s="185"/>
      <c r="E569" s="185" t="s">
        <v>470</v>
      </c>
      <c r="H569" s="185"/>
    </row>
    <row r="570">
      <c r="D570" s="185"/>
      <c r="E570" s="185" t="s">
        <v>470</v>
      </c>
      <c r="H570" s="185"/>
    </row>
    <row r="571">
      <c r="D571" s="185"/>
      <c r="E571" s="185" t="s">
        <v>470</v>
      </c>
      <c r="H571" s="185"/>
    </row>
    <row r="572">
      <c r="D572" s="185"/>
      <c r="E572" s="185" t="s">
        <v>470</v>
      </c>
      <c r="H572" s="185"/>
    </row>
    <row r="573">
      <c r="D573" s="185"/>
      <c r="E573" s="185" t="s">
        <v>470</v>
      </c>
      <c r="H573" s="185"/>
    </row>
    <row r="574">
      <c r="D574" s="185"/>
      <c r="E574" s="185" t="s">
        <v>470</v>
      </c>
      <c r="H574" s="185"/>
    </row>
    <row r="575">
      <c r="D575" s="185"/>
      <c r="E575" s="185" t="s">
        <v>470</v>
      </c>
      <c r="H575" s="185"/>
    </row>
    <row r="576">
      <c r="D576" s="185"/>
      <c r="E576" s="185" t="s">
        <v>470</v>
      </c>
      <c r="H576" s="185"/>
    </row>
    <row r="577">
      <c r="D577" s="185"/>
      <c r="E577" s="185" t="s">
        <v>470</v>
      </c>
      <c r="H577" s="185"/>
    </row>
    <row r="578">
      <c r="D578" s="185"/>
      <c r="E578" s="185" t="s">
        <v>470</v>
      </c>
      <c r="H578" s="185"/>
    </row>
    <row r="579">
      <c r="D579" s="185"/>
      <c r="E579" s="185" t="s">
        <v>470</v>
      </c>
      <c r="H579" s="185"/>
    </row>
    <row r="580">
      <c r="D580" s="185"/>
      <c r="E580" s="185" t="s">
        <v>470</v>
      </c>
      <c r="H580" s="185"/>
    </row>
    <row r="581">
      <c r="D581" s="185"/>
      <c r="E581" s="185" t="s">
        <v>470</v>
      </c>
      <c r="H581" s="185"/>
    </row>
    <row r="582">
      <c r="D582" s="185"/>
      <c r="E582" s="185" t="s">
        <v>470</v>
      </c>
      <c r="H582" s="185"/>
    </row>
    <row r="583">
      <c r="D583" s="185"/>
      <c r="E583" s="185" t="s">
        <v>470</v>
      </c>
      <c r="H583" s="185"/>
    </row>
    <row r="584">
      <c r="D584" s="185"/>
      <c r="E584" s="185" t="s">
        <v>470</v>
      </c>
      <c r="H584" s="185"/>
    </row>
    <row r="585">
      <c r="D585" s="185"/>
      <c r="E585" s="185" t="s">
        <v>470</v>
      </c>
      <c r="H585" s="185"/>
    </row>
    <row r="586">
      <c r="D586" s="185"/>
      <c r="E586" s="185" t="s">
        <v>470</v>
      </c>
      <c r="H586" s="185"/>
    </row>
    <row r="587">
      <c r="D587" s="185"/>
      <c r="E587" s="185" t="s">
        <v>470</v>
      </c>
      <c r="H587" s="185"/>
    </row>
    <row r="588">
      <c r="D588" s="185"/>
      <c r="E588" s="185" t="s">
        <v>470</v>
      </c>
      <c r="H588" s="185"/>
    </row>
    <row r="589">
      <c r="D589" s="185"/>
      <c r="E589" s="185" t="s">
        <v>470</v>
      </c>
      <c r="H589" s="185"/>
    </row>
    <row r="590">
      <c r="D590" s="185"/>
      <c r="E590" s="185" t="s">
        <v>470</v>
      </c>
      <c r="H590" s="185"/>
    </row>
    <row r="591">
      <c r="D591" s="185"/>
      <c r="E591" s="185" t="s">
        <v>470</v>
      </c>
      <c r="H591" s="185"/>
    </row>
    <row r="592">
      <c r="D592" s="185"/>
      <c r="E592" s="185" t="s">
        <v>470</v>
      </c>
      <c r="H592" s="185"/>
    </row>
    <row r="593">
      <c r="D593" s="185"/>
      <c r="E593" s="185" t="s">
        <v>470</v>
      </c>
      <c r="H593" s="185"/>
    </row>
    <row r="594">
      <c r="D594" s="185"/>
      <c r="E594" s="185" t="s">
        <v>470</v>
      </c>
      <c r="H594" s="185"/>
    </row>
    <row r="595">
      <c r="D595" s="185"/>
      <c r="E595" s="185" t="s">
        <v>470</v>
      </c>
      <c r="H595" s="185"/>
    </row>
    <row r="596">
      <c r="D596" s="185"/>
      <c r="E596" s="185" t="s">
        <v>470</v>
      </c>
      <c r="H596" s="185"/>
    </row>
    <row r="597">
      <c r="D597" s="185"/>
      <c r="E597" s="185" t="s">
        <v>470</v>
      </c>
      <c r="H597" s="185"/>
    </row>
    <row r="598">
      <c r="D598" s="185"/>
      <c r="E598" s="185" t="s">
        <v>470</v>
      </c>
      <c r="H598" s="185"/>
    </row>
    <row r="599">
      <c r="D599" s="185"/>
      <c r="E599" s="185" t="s">
        <v>470</v>
      </c>
      <c r="H599" s="185"/>
    </row>
    <row r="600">
      <c r="D600" s="185"/>
      <c r="E600" s="185" t="s">
        <v>470</v>
      </c>
      <c r="H600" s="185"/>
    </row>
    <row r="601">
      <c r="D601" s="185"/>
      <c r="E601" s="185" t="s">
        <v>470</v>
      </c>
      <c r="H601" s="185"/>
    </row>
    <row r="602">
      <c r="D602" s="185"/>
      <c r="E602" s="185" t="s">
        <v>470</v>
      </c>
      <c r="H602" s="185"/>
    </row>
    <row r="603">
      <c r="D603" s="185"/>
      <c r="E603" s="185" t="s">
        <v>470</v>
      </c>
      <c r="H603" s="185"/>
    </row>
    <row r="604">
      <c r="D604" s="185"/>
      <c r="E604" s="185" t="s">
        <v>470</v>
      </c>
      <c r="H604" s="185"/>
    </row>
    <row r="605">
      <c r="D605" s="185"/>
      <c r="E605" s="185" t="s">
        <v>470</v>
      </c>
      <c r="H605" s="185"/>
    </row>
    <row r="606">
      <c r="D606" s="185"/>
      <c r="E606" s="185" t="s">
        <v>470</v>
      </c>
      <c r="H606" s="185"/>
    </row>
    <row r="607">
      <c r="D607" s="185"/>
      <c r="E607" s="185" t="s">
        <v>470</v>
      </c>
      <c r="H607" s="185"/>
    </row>
    <row r="608">
      <c r="D608" s="185"/>
      <c r="E608" s="185" t="s">
        <v>470</v>
      </c>
      <c r="H608" s="185"/>
    </row>
    <row r="609">
      <c r="D609" s="185"/>
      <c r="E609" s="185" t="s">
        <v>470</v>
      </c>
      <c r="H609" s="185"/>
    </row>
    <row r="610">
      <c r="D610" s="185"/>
      <c r="E610" s="185" t="s">
        <v>470</v>
      </c>
      <c r="H610" s="185"/>
    </row>
    <row r="611">
      <c r="D611" s="185"/>
      <c r="E611" s="185" t="s">
        <v>470</v>
      </c>
      <c r="H611" s="185"/>
    </row>
    <row r="612">
      <c r="D612" s="185"/>
      <c r="E612" s="185" t="s">
        <v>470</v>
      </c>
      <c r="H612" s="185"/>
    </row>
    <row r="613">
      <c r="D613" s="185"/>
      <c r="E613" s="185" t="s">
        <v>470</v>
      </c>
      <c r="H613" s="185"/>
    </row>
    <row r="614">
      <c r="D614" s="185"/>
      <c r="E614" s="185" t="s">
        <v>470</v>
      </c>
      <c r="H614" s="185"/>
    </row>
    <row r="615">
      <c r="D615" s="185"/>
      <c r="E615" s="185" t="s">
        <v>470</v>
      </c>
      <c r="H615" s="185"/>
    </row>
    <row r="616">
      <c r="D616" s="185"/>
      <c r="E616" s="185" t="s">
        <v>470</v>
      </c>
      <c r="H616" s="185"/>
    </row>
    <row r="617">
      <c r="D617" s="185"/>
      <c r="E617" s="185" t="s">
        <v>470</v>
      </c>
      <c r="H617" s="185"/>
    </row>
    <row r="618">
      <c r="D618" s="185"/>
      <c r="E618" s="185" t="s">
        <v>470</v>
      </c>
      <c r="H618" s="185"/>
    </row>
    <row r="619">
      <c r="D619" s="185"/>
      <c r="E619" s="185" t="s">
        <v>470</v>
      </c>
      <c r="H619" s="185"/>
    </row>
    <row r="620">
      <c r="D620" s="185"/>
      <c r="E620" s="185" t="s">
        <v>470</v>
      </c>
      <c r="H620" s="185"/>
    </row>
    <row r="621">
      <c r="D621" s="185"/>
      <c r="E621" s="185" t="s">
        <v>470</v>
      </c>
      <c r="H621" s="185"/>
    </row>
    <row r="622">
      <c r="D622" s="185"/>
      <c r="E622" s="185" t="s">
        <v>470</v>
      </c>
      <c r="H622" s="185"/>
    </row>
    <row r="623">
      <c r="D623" s="185"/>
      <c r="E623" s="185" t="s">
        <v>470</v>
      </c>
      <c r="H623" s="185"/>
    </row>
    <row r="624">
      <c r="D624" s="185"/>
      <c r="E624" s="185" t="s">
        <v>470</v>
      </c>
      <c r="H624" s="185"/>
    </row>
    <row r="625">
      <c r="D625" s="185"/>
      <c r="E625" s="185" t="s">
        <v>470</v>
      </c>
      <c r="H625" s="185"/>
    </row>
    <row r="626">
      <c r="D626" s="185"/>
      <c r="E626" s="185" t="s">
        <v>470</v>
      </c>
      <c r="H626" s="185"/>
    </row>
    <row r="627">
      <c r="D627" s="185"/>
      <c r="E627" s="185" t="s">
        <v>470</v>
      </c>
      <c r="H627" s="185"/>
    </row>
    <row r="628">
      <c r="D628" s="185"/>
      <c r="E628" s="185" t="s">
        <v>470</v>
      </c>
      <c r="H628" s="185"/>
    </row>
    <row r="629">
      <c r="D629" s="185"/>
      <c r="E629" s="185" t="s">
        <v>470</v>
      </c>
      <c r="H629" s="185"/>
    </row>
    <row r="630">
      <c r="D630" s="185"/>
      <c r="E630" s="185" t="s">
        <v>470</v>
      </c>
      <c r="H630" s="185"/>
    </row>
    <row r="631">
      <c r="D631" s="185"/>
      <c r="E631" s="185" t="s">
        <v>470</v>
      </c>
      <c r="H631" s="185"/>
    </row>
    <row r="632">
      <c r="D632" s="185"/>
      <c r="E632" s="185" t="s">
        <v>470</v>
      </c>
      <c r="H632" s="185"/>
    </row>
    <row r="633">
      <c r="D633" s="185"/>
      <c r="E633" s="185" t="s">
        <v>470</v>
      </c>
      <c r="H633" s="185"/>
    </row>
    <row r="634">
      <c r="D634" s="185"/>
      <c r="E634" s="185" t="s">
        <v>470</v>
      </c>
      <c r="H634" s="185"/>
    </row>
    <row r="635">
      <c r="D635" s="185"/>
      <c r="E635" s="185" t="s">
        <v>470</v>
      </c>
      <c r="H635" s="185"/>
    </row>
    <row r="636">
      <c r="D636" s="185"/>
      <c r="E636" s="185" t="s">
        <v>470</v>
      </c>
      <c r="H636" s="185"/>
    </row>
    <row r="637">
      <c r="D637" s="185"/>
      <c r="E637" s="185" t="s">
        <v>470</v>
      </c>
      <c r="H637" s="185"/>
    </row>
    <row r="638">
      <c r="D638" s="185"/>
      <c r="E638" s="185" t="s">
        <v>470</v>
      </c>
      <c r="H638" s="185"/>
    </row>
    <row r="639">
      <c r="D639" s="185"/>
      <c r="E639" s="185" t="s">
        <v>470</v>
      </c>
      <c r="H639" s="185"/>
    </row>
    <row r="640">
      <c r="D640" s="185"/>
      <c r="E640" s="185" t="s">
        <v>470</v>
      </c>
      <c r="H640" s="185"/>
    </row>
    <row r="641">
      <c r="D641" s="185"/>
      <c r="E641" s="185" t="s">
        <v>470</v>
      </c>
      <c r="H641" s="185"/>
    </row>
    <row r="642">
      <c r="D642" s="185"/>
      <c r="E642" s="185" t="s">
        <v>470</v>
      </c>
      <c r="H642" s="185"/>
    </row>
    <row r="643">
      <c r="D643" s="185"/>
      <c r="E643" s="185" t="s">
        <v>470</v>
      </c>
      <c r="H643" s="185"/>
    </row>
    <row r="644">
      <c r="D644" s="185"/>
      <c r="E644" s="185" t="s">
        <v>470</v>
      </c>
      <c r="H644" s="185"/>
    </row>
    <row r="645">
      <c r="D645" s="185"/>
      <c r="E645" s="185" t="s">
        <v>470</v>
      </c>
      <c r="H645" s="185"/>
    </row>
    <row r="646">
      <c r="D646" s="185"/>
      <c r="E646" s="185" t="s">
        <v>470</v>
      </c>
      <c r="H646" s="185"/>
    </row>
    <row r="647">
      <c r="D647" s="185"/>
      <c r="E647" s="185" t="s">
        <v>470</v>
      </c>
      <c r="H647" s="185"/>
    </row>
    <row r="648">
      <c r="D648" s="185"/>
      <c r="E648" s="185" t="s">
        <v>470</v>
      </c>
      <c r="H648" s="185"/>
    </row>
    <row r="649">
      <c r="D649" s="185"/>
      <c r="E649" s="185" t="s">
        <v>470</v>
      </c>
      <c r="H649" s="185"/>
    </row>
    <row r="650">
      <c r="D650" s="185"/>
      <c r="E650" s="185" t="s">
        <v>470</v>
      </c>
      <c r="H650" s="185"/>
    </row>
    <row r="651">
      <c r="D651" s="185"/>
      <c r="E651" s="185" t="s">
        <v>470</v>
      </c>
      <c r="H651" s="185"/>
    </row>
    <row r="652">
      <c r="D652" s="185"/>
      <c r="E652" s="185" t="s">
        <v>470</v>
      </c>
      <c r="H652" s="185"/>
    </row>
    <row r="653">
      <c r="D653" s="185"/>
      <c r="E653" s="185" t="s">
        <v>470</v>
      </c>
      <c r="H653" s="185"/>
    </row>
    <row r="654">
      <c r="D654" s="185"/>
      <c r="E654" s="185" t="s">
        <v>470</v>
      </c>
      <c r="H654" s="185"/>
    </row>
    <row r="655">
      <c r="D655" s="185"/>
      <c r="E655" s="185" t="s">
        <v>470</v>
      </c>
      <c r="H655" s="185"/>
    </row>
    <row r="656">
      <c r="D656" s="185"/>
      <c r="E656" s="185" t="s">
        <v>470</v>
      </c>
      <c r="H656" s="185"/>
    </row>
    <row r="657">
      <c r="D657" s="185"/>
      <c r="E657" s="185" t="s">
        <v>470</v>
      </c>
      <c r="H657" s="185"/>
    </row>
    <row r="658">
      <c r="D658" s="185"/>
      <c r="E658" s="185" t="s">
        <v>470</v>
      </c>
      <c r="H658" s="185"/>
    </row>
    <row r="659">
      <c r="D659" s="185"/>
      <c r="E659" s="185" t="s">
        <v>470</v>
      </c>
      <c r="H659" s="185"/>
    </row>
    <row r="660">
      <c r="D660" s="185"/>
      <c r="E660" s="185" t="s">
        <v>470</v>
      </c>
      <c r="H660" s="185"/>
    </row>
    <row r="661">
      <c r="D661" s="185"/>
      <c r="E661" s="185" t="s">
        <v>470</v>
      </c>
      <c r="H661" s="185"/>
    </row>
    <row r="662">
      <c r="D662" s="185"/>
      <c r="E662" s="185" t="s">
        <v>470</v>
      </c>
      <c r="H662" s="185"/>
    </row>
    <row r="663">
      <c r="D663" s="185"/>
      <c r="E663" s="185" t="s">
        <v>470</v>
      </c>
      <c r="H663" s="185"/>
    </row>
    <row r="664">
      <c r="D664" s="185"/>
      <c r="E664" s="185" t="s">
        <v>470</v>
      </c>
      <c r="H664" s="185"/>
    </row>
    <row r="665">
      <c r="D665" s="185"/>
      <c r="E665" s="185" t="s">
        <v>470</v>
      </c>
      <c r="H665" s="185"/>
    </row>
    <row r="666">
      <c r="D666" s="185"/>
      <c r="E666" s="185" t="s">
        <v>470</v>
      </c>
      <c r="H666" s="185"/>
    </row>
    <row r="667">
      <c r="D667" s="185"/>
      <c r="E667" s="185" t="s">
        <v>470</v>
      </c>
      <c r="H667" s="185"/>
    </row>
    <row r="668">
      <c r="D668" s="185"/>
      <c r="E668" s="185" t="s">
        <v>470</v>
      </c>
      <c r="H668" s="185"/>
    </row>
    <row r="669">
      <c r="D669" s="185"/>
      <c r="E669" s="185" t="s">
        <v>470</v>
      </c>
      <c r="H669" s="185"/>
    </row>
    <row r="670">
      <c r="D670" s="185"/>
      <c r="E670" s="185" t="s">
        <v>470</v>
      </c>
      <c r="H670" s="185"/>
    </row>
    <row r="671">
      <c r="D671" s="185"/>
      <c r="E671" s="185" t="s">
        <v>470</v>
      </c>
      <c r="H671" s="185"/>
    </row>
    <row r="672">
      <c r="D672" s="185"/>
      <c r="E672" s="185" t="s">
        <v>470</v>
      </c>
      <c r="H672" s="185"/>
    </row>
    <row r="673">
      <c r="D673" s="185"/>
      <c r="E673" s="185" t="s">
        <v>470</v>
      </c>
      <c r="H673" s="185"/>
    </row>
    <row r="674">
      <c r="D674" s="185"/>
      <c r="E674" s="185" t="s">
        <v>470</v>
      </c>
      <c r="H674" s="185"/>
    </row>
    <row r="675">
      <c r="D675" s="185"/>
      <c r="E675" s="185" t="s">
        <v>470</v>
      </c>
      <c r="H675" s="185"/>
    </row>
    <row r="676">
      <c r="D676" s="185"/>
      <c r="E676" s="185" t="s">
        <v>470</v>
      </c>
      <c r="H676" s="185"/>
    </row>
    <row r="677">
      <c r="D677" s="185"/>
      <c r="E677" s="185" t="s">
        <v>470</v>
      </c>
      <c r="H677" s="185"/>
    </row>
    <row r="678">
      <c r="D678" s="185"/>
      <c r="E678" s="185" t="s">
        <v>470</v>
      </c>
      <c r="H678" s="185"/>
    </row>
    <row r="679">
      <c r="D679" s="185"/>
      <c r="E679" s="185" t="s">
        <v>470</v>
      </c>
      <c r="H679" s="185"/>
    </row>
    <row r="680">
      <c r="D680" s="185"/>
      <c r="E680" s="185" t="s">
        <v>470</v>
      </c>
      <c r="H680" s="185"/>
    </row>
    <row r="681">
      <c r="D681" s="185"/>
      <c r="E681" s="185" t="s">
        <v>470</v>
      </c>
      <c r="H681" s="185"/>
    </row>
    <row r="682">
      <c r="D682" s="185"/>
      <c r="E682" s="185" t="s">
        <v>470</v>
      </c>
      <c r="H682" s="185"/>
    </row>
    <row r="683">
      <c r="D683" s="185"/>
      <c r="E683" s="185" t="s">
        <v>470</v>
      </c>
      <c r="H683" s="185"/>
    </row>
    <row r="684">
      <c r="D684" s="185"/>
      <c r="E684" s="185" t="s">
        <v>470</v>
      </c>
      <c r="H684" s="185"/>
    </row>
    <row r="685">
      <c r="D685" s="185"/>
      <c r="E685" s="185" t="s">
        <v>470</v>
      </c>
      <c r="H685" s="185"/>
    </row>
    <row r="686">
      <c r="D686" s="185"/>
      <c r="E686" s="185" t="s">
        <v>470</v>
      </c>
      <c r="H686" s="185"/>
    </row>
    <row r="687">
      <c r="D687" s="185"/>
      <c r="E687" s="185" t="s">
        <v>470</v>
      </c>
      <c r="H687" s="185"/>
    </row>
    <row r="688">
      <c r="D688" s="185"/>
      <c r="E688" s="185" t="s">
        <v>470</v>
      </c>
      <c r="H688" s="185"/>
    </row>
    <row r="689">
      <c r="D689" s="185"/>
      <c r="E689" s="185" t="s">
        <v>470</v>
      </c>
      <c r="H689" s="185"/>
    </row>
    <row r="690">
      <c r="D690" s="185"/>
      <c r="E690" s="185" t="s">
        <v>470</v>
      </c>
      <c r="H690" s="185"/>
    </row>
    <row r="691">
      <c r="D691" s="185"/>
      <c r="E691" s="185" t="s">
        <v>470</v>
      </c>
      <c r="H691" s="185"/>
    </row>
    <row r="692">
      <c r="D692" s="185"/>
      <c r="E692" s="185" t="s">
        <v>470</v>
      </c>
      <c r="H692" s="185"/>
    </row>
    <row r="693">
      <c r="D693" s="185"/>
      <c r="E693" s="185" t="s">
        <v>470</v>
      </c>
      <c r="H693" s="185"/>
    </row>
    <row r="694">
      <c r="D694" s="185"/>
      <c r="E694" s="185" t="s">
        <v>470</v>
      </c>
      <c r="H694" s="185"/>
    </row>
    <row r="695">
      <c r="D695" s="185"/>
      <c r="E695" s="185" t="s">
        <v>470</v>
      </c>
      <c r="H695" s="185"/>
    </row>
    <row r="696">
      <c r="D696" s="185"/>
      <c r="E696" s="185" t="s">
        <v>470</v>
      </c>
      <c r="H696" s="185"/>
    </row>
    <row r="697">
      <c r="D697" s="185"/>
      <c r="E697" s="185" t="s">
        <v>470</v>
      </c>
      <c r="H697" s="185"/>
    </row>
    <row r="698">
      <c r="D698" s="185"/>
      <c r="E698" s="185" t="s">
        <v>470</v>
      </c>
      <c r="H698" s="185"/>
    </row>
    <row r="699">
      <c r="D699" s="185"/>
      <c r="E699" s="185" t="s">
        <v>470</v>
      </c>
      <c r="H699" s="185"/>
    </row>
    <row r="700">
      <c r="D700" s="185"/>
      <c r="E700" s="185" t="s">
        <v>470</v>
      </c>
      <c r="H700" s="185"/>
    </row>
    <row r="701">
      <c r="D701" s="185"/>
      <c r="E701" s="185" t="s">
        <v>470</v>
      </c>
      <c r="H701" s="185"/>
    </row>
    <row r="702">
      <c r="D702" s="185"/>
      <c r="E702" s="185" t="s">
        <v>470</v>
      </c>
      <c r="H702" s="185"/>
    </row>
    <row r="703">
      <c r="D703" s="185"/>
      <c r="E703" s="185" t="s">
        <v>470</v>
      </c>
      <c r="H703" s="185"/>
    </row>
    <row r="704">
      <c r="D704" s="185"/>
      <c r="E704" s="185" t="s">
        <v>470</v>
      </c>
      <c r="H704" s="185"/>
    </row>
    <row r="705">
      <c r="D705" s="185"/>
      <c r="E705" s="185" t="s">
        <v>470</v>
      </c>
      <c r="H705" s="185"/>
    </row>
    <row r="706">
      <c r="D706" s="185"/>
      <c r="E706" s="185" t="s">
        <v>470</v>
      </c>
      <c r="H706" s="185"/>
    </row>
    <row r="707">
      <c r="D707" s="185"/>
      <c r="E707" s="185" t="s">
        <v>470</v>
      </c>
      <c r="H707" s="185"/>
    </row>
    <row r="708">
      <c r="D708" s="185"/>
      <c r="E708" s="185" t="s">
        <v>470</v>
      </c>
      <c r="H708" s="185"/>
    </row>
    <row r="709">
      <c r="D709" s="185"/>
      <c r="E709" s="185" t="s">
        <v>470</v>
      </c>
      <c r="H709" s="185"/>
    </row>
    <row r="710">
      <c r="D710" s="185"/>
      <c r="E710" s="185" t="s">
        <v>470</v>
      </c>
      <c r="H710" s="185"/>
    </row>
    <row r="711">
      <c r="D711" s="185"/>
      <c r="E711" s="185" t="s">
        <v>470</v>
      </c>
      <c r="H711" s="185"/>
    </row>
    <row r="712">
      <c r="D712" s="185"/>
      <c r="E712" s="185" t="s">
        <v>470</v>
      </c>
      <c r="H712" s="185"/>
    </row>
    <row r="713">
      <c r="D713" s="185"/>
      <c r="E713" s="185" t="s">
        <v>470</v>
      </c>
      <c r="H713" s="185"/>
    </row>
    <row r="714">
      <c r="D714" s="185"/>
      <c r="E714" s="185" t="s">
        <v>470</v>
      </c>
      <c r="H714" s="185"/>
    </row>
    <row r="715">
      <c r="D715" s="185"/>
      <c r="E715" s="185" t="s">
        <v>470</v>
      </c>
      <c r="H715" s="185"/>
    </row>
    <row r="716">
      <c r="D716" s="185"/>
      <c r="E716" s="185" t="s">
        <v>470</v>
      </c>
      <c r="H716" s="185"/>
    </row>
    <row r="717">
      <c r="D717" s="185"/>
      <c r="E717" s="185" t="s">
        <v>470</v>
      </c>
      <c r="H717" s="185"/>
    </row>
    <row r="718">
      <c r="D718" s="185"/>
      <c r="E718" s="185" t="s">
        <v>470</v>
      </c>
      <c r="H718" s="185"/>
    </row>
    <row r="719">
      <c r="D719" s="185"/>
      <c r="E719" s="185" t="s">
        <v>470</v>
      </c>
      <c r="H719" s="185"/>
    </row>
    <row r="720">
      <c r="D720" s="185"/>
      <c r="E720" s="185" t="s">
        <v>470</v>
      </c>
      <c r="H720" s="185"/>
    </row>
    <row r="721">
      <c r="D721" s="185"/>
      <c r="E721" s="185" t="s">
        <v>470</v>
      </c>
      <c r="H721" s="185"/>
    </row>
    <row r="722">
      <c r="D722" s="185"/>
      <c r="E722" s="185" t="s">
        <v>470</v>
      </c>
      <c r="H722" s="185"/>
    </row>
    <row r="723">
      <c r="D723" s="185"/>
      <c r="E723" s="185" t="s">
        <v>470</v>
      </c>
      <c r="H723" s="185"/>
    </row>
    <row r="724">
      <c r="D724" s="185"/>
      <c r="E724" s="185" t="s">
        <v>470</v>
      </c>
      <c r="H724" s="185"/>
    </row>
    <row r="725">
      <c r="D725" s="185"/>
      <c r="E725" s="185" t="s">
        <v>470</v>
      </c>
      <c r="H725" s="185"/>
    </row>
    <row r="726">
      <c r="D726" s="185"/>
      <c r="E726" s="185" t="s">
        <v>470</v>
      </c>
      <c r="H726" s="185"/>
    </row>
    <row r="727">
      <c r="D727" s="185"/>
      <c r="E727" s="185" t="s">
        <v>470</v>
      </c>
      <c r="H727" s="185"/>
    </row>
    <row r="728">
      <c r="D728" s="185"/>
      <c r="E728" s="185" t="s">
        <v>470</v>
      </c>
      <c r="H728" s="185"/>
    </row>
    <row r="729">
      <c r="D729" s="185"/>
      <c r="E729" s="185" t="s">
        <v>470</v>
      </c>
      <c r="H729" s="185"/>
    </row>
    <row r="730">
      <c r="D730" s="185"/>
      <c r="E730" s="185" t="s">
        <v>470</v>
      </c>
      <c r="H730" s="185"/>
    </row>
    <row r="731">
      <c r="D731" s="185"/>
      <c r="E731" s="185" t="s">
        <v>470</v>
      </c>
      <c r="H731" s="185"/>
    </row>
    <row r="732">
      <c r="D732" s="185"/>
      <c r="E732" s="185" t="s">
        <v>470</v>
      </c>
      <c r="H732" s="185"/>
    </row>
    <row r="733">
      <c r="D733" s="185"/>
      <c r="E733" s="185" t="s">
        <v>470</v>
      </c>
      <c r="H733" s="185"/>
    </row>
    <row r="734">
      <c r="D734" s="185"/>
      <c r="E734" s="185" t="s">
        <v>470</v>
      </c>
      <c r="H734" s="185"/>
    </row>
    <row r="735">
      <c r="D735" s="185"/>
      <c r="E735" s="185" t="s">
        <v>470</v>
      </c>
      <c r="H735" s="185"/>
    </row>
    <row r="736">
      <c r="D736" s="185"/>
      <c r="E736" s="185" t="s">
        <v>470</v>
      </c>
      <c r="H736" s="185"/>
    </row>
    <row r="737">
      <c r="D737" s="185"/>
      <c r="E737" s="185" t="s">
        <v>470</v>
      </c>
      <c r="H737" s="185"/>
    </row>
    <row r="738">
      <c r="D738" s="185"/>
      <c r="E738" s="185" t="s">
        <v>470</v>
      </c>
      <c r="H738" s="185"/>
    </row>
    <row r="739">
      <c r="D739" s="185"/>
      <c r="E739" s="185" t="s">
        <v>470</v>
      </c>
      <c r="H739" s="185"/>
    </row>
    <row r="740">
      <c r="D740" s="185"/>
      <c r="E740" s="185" t="s">
        <v>470</v>
      </c>
      <c r="H740" s="185"/>
    </row>
    <row r="741">
      <c r="D741" s="185"/>
      <c r="E741" s="185" t="s">
        <v>470</v>
      </c>
      <c r="H741" s="185"/>
    </row>
    <row r="742">
      <c r="D742" s="185"/>
      <c r="E742" s="185" t="s">
        <v>470</v>
      </c>
      <c r="H742" s="185"/>
    </row>
    <row r="743">
      <c r="D743" s="185"/>
      <c r="E743" s="185" t="s">
        <v>470</v>
      </c>
      <c r="H743" s="185"/>
    </row>
    <row r="744">
      <c r="D744" s="185"/>
      <c r="E744" s="185" t="s">
        <v>470</v>
      </c>
      <c r="H744" s="185"/>
    </row>
    <row r="745">
      <c r="D745" s="185"/>
      <c r="E745" s="185" t="s">
        <v>470</v>
      </c>
      <c r="H745" s="185"/>
    </row>
    <row r="746">
      <c r="D746" s="185"/>
      <c r="E746" s="185" t="s">
        <v>470</v>
      </c>
      <c r="H746" s="185"/>
    </row>
    <row r="747">
      <c r="D747" s="185"/>
      <c r="E747" s="185" t="s">
        <v>470</v>
      </c>
      <c r="H747" s="185"/>
    </row>
    <row r="748">
      <c r="D748" s="185"/>
      <c r="E748" s="185" t="s">
        <v>470</v>
      </c>
      <c r="H748" s="185"/>
    </row>
    <row r="749">
      <c r="D749" s="185"/>
      <c r="E749" s="185" t="s">
        <v>470</v>
      </c>
      <c r="H749" s="185"/>
    </row>
    <row r="750">
      <c r="D750" s="185"/>
      <c r="E750" s="185" t="s">
        <v>470</v>
      </c>
      <c r="H750" s="185"/>
    </row>
    <row r="751">
      <c r="D751" s="185"/>
      <c r="E751" s="185" t="s">
        <v>470</v>
      </c>
      <c r="H751" s="185"/>
    </row>
    <row r="752">
      <c r="D752" s="185"/>
      <c r="E752" s="185" t="s">
        <v>470</v>
      </c>
      <c r="H752" s="185"/>
    </row>
    <row r="753">
      <c r="D753" s="185"/>
      <c r="E753" s="185" t="s">
        <v>470</v>
      </c>
      <c r="H753" s="185"/>
    </row>
    <row r="754">
      <c r="D754" s="185"/>
      <c r="E754" s="185" t="s">
        <v>470</v>
      </c>
      <c r="H754" s="185"/>
    </row>
    <row r="755">
      <c r="D755" s="185"/>
      <c r="E755" s="185" t="s">
        <v>470</v>
      </c>
      <c r="H755" s="185"/>
    </row>
    <row r="756">
      <c r="D756" s="185"/>
      <c r="E756" s="185" t="s">
        <v>470</v>
      </c>
      <c r="H756" s="185"/>
    </row>
    <row r="757">
      <c r="D757" s="185"/>
      <c r="E757" s="185" t="s">
        <v>470</v>
      </c>
      <c r="H757" s="185"/>
    </row>
    <row r="758">
      <c r="D758" s="185"/>
      <c r="E758" s="185" t="s">
        <v>470</v>
      </c>
      <c r="H758" s="185"/>
    </row>
    <row r="759">
      <c r="D759" s="185"/>
      <c r="E759" s="185" t="s">
        <v>470</v>
      </c>
      <c r="H759" s="185"/>
    </row>
    <row r="760">
      <c r="D760" s="185"/>
      <c r="E760" s="185" t="s">
        <v>470</v>
      </c>
      <c r="H760" s="185"/>
    </row>
    <row r="761">
      <c r="D761" s="185"/>
      <c r="E761" s="185" t="s">
        <v>470</v>
      </c>
      <c r="H761" s="185"/>
    </row>
    <row r="762">
      <c r="D762" s="185"/>
      <c r="E762" s="185" t="s">
        <v>470</v>
      </c>
      <c r="H762" s="185"/>
    </row>
    <row r="763">
      <c r="D763" s="185"/>
      <c r="E763" s="185" t="s">
        <v>470</v>
      </c>
      <c r="H763" s="185"/>
    </row>
    <row r="764">
      <c r="D764" s="185"/>
      <c r="E764" s="185" t="s">
        <v>470</v>
      </c>
      <c r="H764" s="185"/>
    </row>
    <row r="765">
      <c r="D765" s="185"/>
      <c r="E765" s="185" t="s">
        <v>470</v>
      </c>
      <c r="H765" s="185"/>
    </row>
    <row r="766">
      <c r="D766" s="185"/>
      <c r="E766" s="185" t="s">
        <v>470</v>
      </c>
      <c r="H766" s="185"/>
    </row>
    <row r="767">
      <c r="D767" s="185"/>
      <c r="E767" s="185" t="s">
        <v>470</v>
      </c>
      <c r="H767" s="185"/>
    </row>
    <row r="768">
      <c r="D768" s="185"/>
      <c r="E768" s="185" t="s">
        <v>470</v>
      </c>
      <c r="H768" s="185"/>
    </row>
    <row r="769">
      <c r="D769" s="185"/>
      <c r="E769" s="185" t="s">
        <v>470</v>
      </c>
      <c r="H769" s="185"/>
    </row>
    <row r="770">
      <c r="D770" s="185"/>
      <c r="E770" s="185" t="s">
        <v>470</v>
      </c>
      <c r="H770" s="185"/>
    </row>
    <row r="771">
      <c r="D771" s="185"/>
      <c r="E771" s="185" t="s">
        <v>470</v>
      </c>
      <c r="H771" s="185"/>
    </row>
    <row r="772">
      <c r="D772" s="185"/>
      <c r="E772" s="185" t="s">
        <v>470</v>
      </c>
      <c r="H772" s="185"/>
    </row>
    <row r="773">
      <c r="D773" s="185"/>
      <c r="E773" s="185" t="s">
        <v>470</v>
      </c>
      <c r="H773" s="185"/>
    </row>
    <row r="774">
      <c r="D774" s="185"/>
      <c r="E774" s="185" t="s">
        <v>470</v>
      </c>
      <c r="H774" s="185"/>
    </row>
    <row r="775">
      <c r="D775" s="185"/>
      <c r="E775" s="185" t="s">
        <v>470</v>
      </c>
      <c r="H775" s="185"/>
    </row>
    <row r="776">
      <c r="D776" s="185"/>
      <c r="E776" s="185" t="s">
        <v>470</v>
      </c>
      <c r="H776" s="185"/>
    </row>
    <row r="777">
      <c r="D777" s="185"/>
      <c r="E777" s="185" t="s">
        <v>470</v>
      </c>
      <c r="H777" s="185"/>
    </row>
    <row r="778">
      <c r="D778" s="185"/>
      <c r="E778" s="185" t="s">
        <v>470</v>
      </c>
      <c r="H778" s="185"/>
    </row>
    <row r="779">
      <c r="D779" s="185"/>
      <c r="E779" s="185" t="s">
        <v>470</v>
      </c>
      <c r="H779" s="185"/>
    </row>
    <row r="780">
      <c r="D780" s="185"/>
      <c r="E780" s="185" t="s">
        <v>470</v>
      </c>
      <c r="H780" s="185"/>
    </row>
    <row r="781">
      <c r="D781" s="185"/>
      <c r="E781" s="185" t="s">
        <v>470</v>
      </c>
      <c r="H781" s="185"/>
    </row>
    <row r="782">
      <c r="D782" s="185"/>
      <c r="E782" s="185" t="s">
        <v>470</v>
      </c>
      <c r="H782" s="185"/>
    </row>
    <row r="783">
      <c r="D783" s="185"/>
      <c r="E783" s="185" t="s">
        <v>470</v>
      </c>
      <c r="H783" s="185"/>
    </row>
    <row r="784">
      <c r="D784" s="185"/>
      <c r="E784" s="185" t="s">
        <v>470</v>
      </c>
      <c r="H784" s="185"/>
    </row>
    <row r="785">
      <c r="D785" s="185"/>
      <c r="E785" s="185" t="s">
        <v>470</v>
      </c>
      <c r="H785" s="185"/>
    </row>
    <row r="786">
      <c r="D786" s="185"/>
      <c r="E786" s="185" t="s">
        <v>470</v>
      </c>
      <c r="H786" s="185"/>
    </row>
    <row r="787">
      <c r="D787" s="185"/>
      <c r="E787" s="185" t="s">
        <v>470</v>
      </c>
      <c r="H787" s="185"/>
    </row>
    <row r="788">
      <c r="D788" s="185"/>
      <c r="E788" s="185" t="s">
        <v>470</v>
      </c>
      <c r="H788" s="185"/>
    </row>
    <row r="789">
      <c r="D789" s="185"/>
      <c r="E789" s="185" t="s">
        <v>470</v>
      </c>
      <c r="H789" s="185"/>
    </row>
    <row r="790">
      <c r="D790" s="185"/>
      <c r="E790" s="185" t="s">
        <v>470</v>
      </c>
      <c r="H790" s="185"/>
    </row>
    <row r="791">
      <c r="D791" s="185"/>
      <c r="E791" s="185" t="s">
        <v>470</v>
      </c>
      <c r="H791" s="185"/>
    </row>
    <row r="792">
      <c r="D792" s="185"/>
      <c r="E792" s="185" t="s">
        <v>470</v>
      </c>
      <c r="H792" s="185"/>
    </row>
    <row r="793">
      <c r="D793" s="185"/>
      <c r="E793" s="185" t="s">
        <v>470</v>
      </c>
      <c r="H793" s="185"/>
    </row>
    <row r="794">
      <c r="D794" s="185"/>
      <c r="E794" s="185" t="s">
        <v>470</v>
      </c>
      <c r="H794" s="185"/>
    </row>
    <row r="795">
      <c r="D795" s="185"/>
      <c r="E795" s="185" t="s">
        <v>470</v>
      </c>
      <c r="H795" s="185"/>
    </row>
    <row r="796">
      <c r="D796" s="185"/>
      <c r="E796" s="185" t="s">
        <v>470</v>
      </c>
      <c r="H796" s="185"/>
    </row>
    <row r="797">
      <c r="D797" s="185"/>
      <c r="E797" s="185" t="s">
        <v>470</v>
      </c>
      <c r="H797" s="185"/>
    </row>
    <row r="798">
      <c r="D798" s="185"/>
      <c r="E798" s="185" t="s">
        <v>470</v>
      </c>
      <c r="H798" s="185"/>
    </row>
    <row r="799">
      <c r="D799" s="185"/>
      <c r="E799" s="185" t="s">
        <v>470</v>
      </c>
      <c r="H799" s="185"/>
    </row>
    <row r="800">
      <c r="D800" s="185"/>
      <c r="E800" s="185" t="s">
        <v>470</v>
      </c>
      <c r="H800" s="185"/>
    </row>
    <row r="801">
      <c r="D801" s="185"/>
      <c r="E801" s="185" t="s">
        <v>470</v>
      </c>
      <c r="H801" s="185"/>
    </row>
    <row r="802">
      <c r="D802" s="185"/>
      <c r="E802" s="185" t="s">
        <v>470</v>
      </c>
      <c r="H802" s="185"/>
    </row>
    <row r="803">
      <c r="D803" s="185"/>
      <c r="E803" s="185" t="s">
        <v>470</v>
      </c>
      <c r="H803" s="185"/>
    </row>
    <row r="804">
      <c r="D804" s="185"/>
      <c r="E804" s="185" t="s">
        <v>470</v>
      </c>
      <c r="H804" s="185"/>
    </row>
    <row r="805">
      <c r="D805" s="185"/>
      <c r="E805" s="185" t="s">
        <v>470</v>
      </c>
      <c r="H805" s="185"/>
    </row>
    <row r="806">
      <c r="D806" s="185"/>
      <c r="E806" s="185" t="s">
        <v>470</v>
      </c>
      <c r="H806" s="185"/>
    </row>
    <row r="807">
      <c r="D807" s="185"/>
      <c r="E807" s="185" t="s">
        <v>470</v>
      </c>
      <c r="H807" s="185"/>
    </row>
    <row r="808">
      <c r="D808" s="185"/>
      <c r="E808" s="185" t="s">
        <v>470</v>
      </c>
      <c r="H808" s="185"/>
    </row>
    <row r="809">
      <c r="D809" s="185"/>
      <c r="E809" s="185" t="s">
        <v>470</v>
      </c>
      <c r="H809" s="185"/>
    </row>
    <row r="810">
      <c r="D810" s="185"/>
      <c r="E810" s="185" t="s">
        <v>470</v>
      </c>
      <c r="H810" s="185"/>
    </row>
    <row r="811">
      <c r="D811" s="185"/>
      <c r="E811" s="185" t="s">
        <v>470</v>
      </c>
      <c r="H811" s="185"/>
    </row>
    <row r="812">
      <c r="D812" s="185"/>
      <c r="E812" s="185" t="s">
        <v>470</v>
      </c>
      <c r="H812" s="185"/>
    </row>
    <row r="813">
      <c r="D813" s="185"/>
      <c r="E813" s="185" t="s">
        <v>470</v>
      </c>
      <c r="H813" s="185"/>
    </row>
    <row r="814">
      <c r="D814" s="185"/>
      <c r="E814" s="185" t="s">
        <v>470</v>
      </c>
      <c r="H814" s="185"/>
    </row>
    <row r="815">
      <c r="D815" s="185"/>
      <c r="E815" s="185" t="s">
        <v>470</v>
      </c>
      <c r="H815" s="185"/>
    </row>
    <row r="816">
      <c r="D816" s="185"/>
      <c r="E816" s="185" t="s">
        <v>470</v>
      </c>
      <c r="H816" s="185"/>
    </row>
    <row r="817">
      <c r="D817" s="185"/>
      <c r="E817" s="185" t="s">
        <v>470</v>
      </c>
      <c r="H817" s="185"/>
    </row>
    <row r="818">
      <c r="D818" s="185"/>
      <c r="E818" s="185" t="s">
        <v>470</v>
      </c>
      <c r="H818" s="185"/>
    </row>
    <row r="819">
      <c r="D819" s="185"/>
      <c r="E819" s="185" t="s">
        <v>470</v>
      </c>
      <c r="H819" s="185"/>
    </row>
    <row r="820">
      <c r="D820" s="185"/>
      <c r="E820" s="185" t="s">
        <v>470</v>
      </c>
      <c r="H820" s="185"/>
    </row>
    <row r="821">
      <c r="D821" s="185"/>
      <c r="E821" s="185" t="s">
        <v>470</v>
      </c>
      <c r="H821" s="185"/>
    </row>
    <row r="822">
      <c r="D822" s="185"/>
      <c r="E822" s="185" t="s">
        <v>470</v>
      </c>
      <c r="H822" s="185"/>
    </row>
    <row r="823">
      <c r="D823" s="185"/>
      <c r="E823" s="185" t="s">
        <v>470</v>
      </c>
      <c r="H823" s="185"/>
    </row>
    <row r="824">
      <c r="D824" s="185"/>
      <c r="E824" s="185" t="s">
        <v>470</v>
      </c>
      <c r="H824" s="185"/>
    </row>
    <row r="825">
      <c r="D825" s="185"/>
      <c r="E825" s="185" t="s">
        <v>470</v>
      </c>
      <c r="H825" s="185"/>
    </row>
    <row r="826">
      <c r="D826" s="185"/>
      <c r="E826" s="185" t="s">
        <v>470</v>
      </c>
      <c r="H826" s="185"/>
    </row>
    <row r="827">
      <c r="D827" s="185"/>
      <c r="E827" s="185" t="s">
        <v>470</v>
      </c>
      <c r="H827" s="185"/>
    </row>
    <row r="828">
      <c r="D828" s="185"/>
      <c r="E828" s="185" t="s">
        <v>470</v>
      </c>
      <c r="H828" s="185"/>
    </row>
    <row r="829">
      <c r="D829" s="185"/>
      <c r="E829" s="185" t="s">
        <v>470</v>
      </c>
      <c r="H829" s="185"/>
    </row>
    <row r="830">
      <c r="D830" s="185"/>
      <c r="E830" s="185" t="s">
        <v>470</v>
      </c>
      <c r="H830" s="185"/>
    </row>
    <row r="831">
      <c r="D831" s="185"/>
      <c r="E831" s="185" t="s">
        <v>470</v>
      </c>
      <c r="H831" s="185"/>
    </row>
    <row r="832">
      <c r="D832" s="185"/>
      <c r="E832" s="185" t="s">
        <v>470</v>
      </c>
      <c r="H832" s="185"/>
    </row>
    <row r="833">
      <c r="D833" s="185"/>
      <c r="E833" s="185" t="s">
        <v>470</v>
      </c>
      <c r="H833" s="185"/>
    </row>
    <row r="834">
      <c r="D834" s="185"/>
      <c r="E834" s="185" t="s">
        <v>470</v>
      </c>
      <c r="H834" s="185"/>
    </row>
    <row r="835">
      <c r="D835" s="185"/>
      <c r="E835" s="185" t="s">
        <v>470</v>
      </c>
      <c r="H835" s="185"/>
    </row>
    <row r="836">
      <c r="D836" s="185"/>
      <c r="E836" s="185" t="s">
        <v>470</v>
      </c>
      <c r="H836" s="185"/>
    </row>
    <row r="837">
      <c r="D837" s="185"/>
      <c r="E837" s="185" t="s">
        <v>470</v>
      </c>
      <c r="H837" s="185"/>
    </row>
    <row r="838">
      <c r="D838" s="185"/>
      <c r="E838" s="185" t="s">
        <v>470</v>
      </c>
      <c r="H838" s="185"/>
    </row>
    <row r="839">
      <c r="D839" s="185"/>
      <c r="E839" s="185" t="s">
        <v>470</v>
      </c>
      <c r="H839" s="185"/>
    </row>
    <row r="840">
      <c r="D840" s="185"/>
      <c r="E840" s="185" t="s">
        <v>470</v>
      </c>
      <c r="H840" s="185"/>
    </row>
    <row r="841">
      <c r="D841" s="185"/>
      <c r="E841" s="185" t="s">
        <v>470</v>
      </c>
      <c r="H841" s="185"/>
    </row>
    <row r="842">
      <c r="D842" s="185"/>
      <c r="E842" s="185" t="s">
        <v>470</v>
      </c>
      <c r="H842" s="185"/>
    </row>
    <row r="843">
      <c r="D843" s="185"/>
      <c r="E843" s="185" t="s">
        <v>470</v>
      </c>
      <c r="H843" s="185"/>
    </row>
    <row r="844">
      <c r="D844" s="185"/>
      <c r="E844" s="185" t="s">
        <v>470</v>
      </c>
      <c r="H844" s="185"/>
    </row>
    <row r="845">
      <c r="D845" s="185"/>
      <c r="E845" s="185" t="s">
        <v>470</v>
      </c>
      <c r="H845" s="185"/>
    </row>
    <row r="846">
      <c r="D846" s="185"/>
      <c r="E846" s="185" t="s">
        <v>470</v>
      </c>
      <c r="H846" s="185"/>
    </row>
    <row r="847">
      <c r="D847" s="185"/>
      <c r="E847" s="185" t="s">
        <v>470</v>
      </c>
      <c r="H847" s="185"/>
    </row>
    <row r="848">
      <c r="D848" s="185"/>
      <c r="E848" s="185" t="s">
        <v>470</v>
      </c>
      <c r="H848" s="185"/>
    </row>
    <row r="849">
      <c r="D849" s="185"/>
      <c r="E849" s="185" t="s">
        <v>470</v>
      </c>
      <c r="H849" s="185"/>
    </row>
    <row r="850">
      <c r="D850" s="185"/>
      <c r="E850" s="185" t="s">
        <v>470</v>
      </c>
      <c r="H850" s="185"/>
    </row>
    <row r="851">
      <c r="D851" s="185"/>
      <c r="E851" s="185" t="s">
        <v>470</v>
      </c>
      <c r="H851" s="185"/>
    </row>
    <row r="852">
      <c r="D852" s="185"/>
      <c r="E852" s="185" t="s">
        <v>470</v>
      </c>
      <c r="H852" s="185"/>
    </row>
    <row r="853">
      <c r="D853" s="185"/>
      <c r="E853" s="185" t="s">
        <v>470</v>
      </c>
      <c r="H853" s="185"/>
    </row>
    <row r="854">
      <c r="D854" s="185"/>
      <c r="E854" s="185" t="s">
        <v>470</v>
      </c>
      <c r="H854" s="185"/>
    </row>
    <row r="855">
      <c r="D855" s="185"/>
      <c r="E855" s="185" t="s">
        <v>470</v>
      </c>
      <c r="H855" s="185"/>
    </row>
    <row r="856">
      <c r="D856" s="185"/>
      <c r="E856" s="185" t="s">
        <v>470</v>
      </c>
      <c r="H856" s="185"/>
    </row>
    <row r="857">
      <c r="D857" s="185"/>
      <c r="E857" s="185" t="s">
        <v>470</v>
      </c>
      <c r="H857" s="185"/>
    </row>
    <row r="858">
      <c r="D858" s="185"/>
      <c r="E858" s="185" t="s">
        <v>470</v>
      </c>
      <c r="H858" s="185"/>
    </row>
    <row r="859">
      <c r="D859" s="185"/>
      <c r="E859" s="185" t="s">
        <v>470</v>
      </c>
      <c r="H859" s="185"/>
    </row>
    <row r="860">
      <c r="D860" s="185"/>
      <c r="E860" s="185" t="s">
        <v>470</v>
      </c>
      <c r="H860" s="185"/>
    </row>
    <row r="861">
      <c r="D861" s="185"/>
      <c r="E861" s="185" t="s">
        <v>470</v>
      </c>
      <c r="H861" s="185"/>
    </row>
    <row r="862">
      <c r="D862" s="185"/>
      <c r="E862" s="185" t="s">
        <v>470</v>
      </c>
      <c r="H862" s="185"/>
    </row>
    <row r="863">
      <c r="D863" s="185"/>
      <c r="E863" s="185" t="s">
        <v>470</v>
      </c>
      <c r="H863" s="185"/>
    </row>
    <row r="864">
      <c r="D864" s="185"/>
      <c r="E864" s="185" t="s">
        <v>470</v>
      </c>
      <c r="H864" s="185"/>
    </row>
    <row r="865">
      <c r="D865" s="185"/>
      <c r="E865" s="185" t="s">
        <v>470</v>
      </c>
      <c r="H865" s="185"/>
    </row>
    <row r="866">
      <c r="D866" s="185"/>
      <c r="E866" s="185" t="s">
        <v>470</v>
      </c>
      <c r="H866" s="185"/>
    </row>
    <row r="867">
      <c r="D867" s="185"/>
      <c r="E867" s="185" t="s">
        <v>470</v>
      </c>
      <c r="H867" s="185"/>
    </row>
    <row r="868">
      <c r="D868" s="185"/>
      <c r="E868" s="185" t="s">
        <v>470</v>
      </c>
      <c r="H868" s="185"/>
    </row>
    <row r="869">
      <c r="D869" s="185"/>
      <c r="E869" s="185" t="s">
        <v>470</v>
      </c>
      <c r="H869" s="185"/>
    </row>
    <row r="870">
      <c r="D870" s="185"/>
      <c r="E870" s="185" t="s">
        <v>470</v>
      </c>
      <c r="H870" s="185"/>
    </row>
    <row r="871">
      <c r="D871" s="185"/>
      <c r="E871" s="185" t="s">
        <v>470</v>
      </c>
      <c r="H871" s="185"/>
    </row>
    <row r="872">
      <c r="D872" s="185"/>
      <c r="E872" s="185" t="s">
        <v>470</v>
      </c>
      <c r="H872" s="185"/>
    </row>
    <row r="873">
      <c r="D873" s="185"/>
      <c r="E873" s="185" t="s">
        <v>470</v>
      </c>
      <c r="H873" s="185"/>
    </row>
    <row r="874">
      <c r="D874" s="185"/>
      <c r="E874" s="185" t="s">
        <v>470</v>
      </c>
      <c r="H874" s="185"/>
    </row>
    <row r="875">
      <c r="D875" s="185"/>
      <c r="E875" s="185" t="s">
        <v>470</v>
      </c>
      <c r="H875" s="185"/>
    </row>
    <row r="876">
      <c r="D876" s="185"/>
      <c r="E876" s="185" t="s">
        <v>470</v>
      </c>
      <c r="H876" s="185"/>
    </row>
    <row r="877">
      <c r="D877" s="185"/>
      <c r="E877" s="185" t="s">
        <v>470</v>
      </c>
      <c r="H877" s="185"/>
    </row>
    <row r="878">
      <c r="D878" s="185"/>
      <c r="E878" s="185" t="s">
        <v>470</v>
      </c>
      <c r="H878" s="185"/>
    </row>
    <row r="879">
      <c r="D879" s="185"/>
      <c r="E879" s="185" t="s">
        <v>470</v>
      </c>
      <c r="H879" s="185"/>
    </row>
    <row r="880">
      <c r="D880" s="185"/>
      <c r="E880" s="185" t="s">
        <v>470</v>
      </c>
      <c r="H880" s="185"/>
    </row>
    <row r="881">
      <c r="D881" s="185"/>
      <c r="E881" s="185" t="s">
        <v>470</v>
      </c>
      <c r="H881" s="185"/>
    </row>
    <row r="882">
      <c r="D882" s="185"/>
      <c r="E882" s="185" t="s">
        <v>470</v>
      </c>
      <c r="H882" s="185"/>
    </row>
    <row r="883">
      <c r="D883" s="185"/>
      <c r="E883" s="185" t="s">
        <v>470</v>
      </c>
      <c r="H883" s="185"/>
    </row>
    <row r="884">
      <c r="D884" s="185"/>
      <c r="E884" s="185" t="s">
        <v>470</v>
      </c>
      <c r="H884" s="185"/>
    </row>
    <row r="885">
      <c r="D885" s="185"/>
      <c r="E885" s="185" t="s">
        <v>470</v>
      </c>
      <c r="H885" s="185"/>
    </row>
    <row r="886">
      <c r="D886" s="185"/>
      <c r="E886" s="185" t="s">
        <v>470</v>
      </c>
      <c r="H886" s="185"/>
    </row>
    <row r="887">
      <c r="D887" s="185"/>
      <c r="E887" s="185" t="s">
        <v>470</v>
      </c>
      <c r="H887" s="185"/>
    </row>
    <row r="888">
      <c r="D888" s="185"/>
      <c r="E888" s="185" t="s">
        <v>470</v>
      </c>
      <c r="H888" s="185"/>
    </row>
    <row r="889">
      <c r="D889" s="185"/>
      <c r="E889" s="185" t="s">
        <v>470</v>
      </c>
      <c r="H889" s="185"/>
    </row>
    <row r="890">
      <c r="D890" s="185"/>
      <c r="E890" s="185" t="s">
        <v>470</v>
      </c>
      <c r="H890" s="185"/>
    </row>
    <row r="891">
      <c r="D891" s="185"/>
      <c r="E891" s="185" t="s">
        <v>470</v>
      </c>
      <c r="H891" s="185"/>
    </row>
    <row r="892">
      <c r="D892" s="185"/>
      <c r="E892" s="185" t="s">
        <v>470</v>
      </c>
      <c r="H892" s="185"/>
    </row>
    <row r="893">
      <c r="D893" s="185"/>
      <c r="E893" s="185" t="s">
        <v>470</v>
      </c>
      <c r="H893" s="185"/>
    </row>
    <row r="894">
      <c r="D894" s="185"/>
      <c r="E894" s="185" t="s">
        <v>470</v>
      </c>
      <c r="H894" s="185"/>
    </row>
    <row r="895">
      <c r="D895" s="185"/>
      <c r="E895" s="185" t="s">
        <v>470</v>
      </c>
      <c r="H895" s="185"/>
    </row>
    <row r="896">
      <c r="D896" s="185"/>
      <c r="E896" s="185" t="s">
        <v>470</v>
      </c>
      <c r="H896" s="185"/>
    </row>
    <row r="897">
      <c r="D897" s="185"/>
      <c r="E897" s="185" t="s">
        <v>470</v>
      </c>
      <c r="H897" s="185"/>
    </row>
    <row r="898">
      <c r="D898" s="185"/>
      <c r="E898" s="185" t="s">
        <v>470</v>
      </c>
      <c r="H898" s="185"/>
    </row>
    <row r="899">
      <c r="D899" s="185"/>
      <c r="E899" s="185" t="s">
        <v>470</v>
      </c>
      <c r="H899" s="185"/>
    </row>
    <row r="900">
      <c r="D900" s="185"/>
      <c r="E900" s="185" t="s">
        <v>470</v>
      </c>
      <c r="H900" s="185"/>
    </row>
    <row r="901">
      <c r="D901" s="185"/>
      <c r="E901" s="185" t="s">
        <v>470</v>
      </c>
      <c r="H901" s="185"/>
    </row>
    <row r="902">
      <c r="D902" s="185"/>
      <c r="E902" s="185" t="s">
        <v>470</v>
      </c>
      <c r="H902" s="185"/>
    </row>
    <row r="903">
      <c r="D903" s="185"/>
      <c r="E903" s="185" t="s">
        <v>470</v>
      </c>
      <c r="H903" s="185"/>
    </row>
    <row r="904">
      <c r="D904" s="185"/>
      <c r="E904" s="185" t="s">
        <v>470</v>
      </c>
      <c r="H904" s="185"/>
    </row>
    <row r="905">
      <c r="D905" s="185"/>
      <c r="E905" s="185" t="s">
        <v>470</v>
      </c>
      <c r="H905" s="185"/>
    </row>
    <row r="906">
      <c r="D906" s="185"/>
      <c r="E906" s="185" t="s">
        <v>470</v>
      </c>
      <c r="H906" s="185"/>
    </row>
    <row r="907">
      <c r="D907" s="185"/>
      <c r="E907" s="185" t="s">
        <v>470</v>
      </c>
      <c r="H907" s="185"/>
    </row>
    <row r="908">
      <c r="D908" s="185"/>
      <c r="E908" s="185" t="s">
        <v>470</v>
      </c>
      <c r="H908" s="185"/>
    </row>
    <row r="909">
      <c r="D909" s="185"/>
      <c r="E909" s="185" t="s">
        <v>470</v>
      </c>
      <c r="H909" s="185"/>
    </row>
    <row r="910">
      <c r="D910" s="185"/>
      <c r="E910" s="185" t="s">
        <v>470</v>
      </c>
      <c r="H910" s="185"/>
    </row>
    <row r="911">
      <c r="D911" s="185"/>
      <c r="E911" s="185" t="s">
        <v>470</v>
      </c>
      <c r="H911" s="185"/>
    </row>
    <row r="912">
      <c r="D912" s="185"/>
      <c r="E912" s="185" t="s">
        <v>470</v>
      </c>
      <c r="H912" s="185"/>
    </row>
    <row r="913">
      <c r="D913" s="185"/>
      <c r="E913" s="185" t="s">
        <v>470</v>
      </c>
      <c r="H913" s="185"/>
    </row>
    <row r="914">
      <c r="D914" s="185"/>
      <c r="E914" s="185" t="s">
        <v>470</v>
      </c>
      <c r="H914" s="185"/>
    </row>
    <row r="915">
      <c r="D915" s="185"/>
      <c r="E915" s="185" t="s">
        <v>470</v>
      </c>
      <c r="H915" s="185"/>
    </row>
    <row r="916">
      <c r="D916" s="185"/>
      <c r="E916" s="185" t="s">
        <v>470</v>
      </c>
      <c r="H916" s="185"/>
    </row>
    <row r="917">
      <c r="D917" s="185"/>
      <c r="E917" s="185" t="s">
        <v>470</v>
      </c>
      <c r="H917" s="185"/>
    </row>
    <row r="918">
      <c r="D918" s="185"/>
      <c r="E918" s="185" t="s">
        <v>470</v>
      </c>
      <c r="H918" s="185"/>
    </row>
    <row r="919">
      <c r="D919" s="185"/>
      <c r="E919" s="185" t="s">
        <v>470</v>
      </c>
      <c r="H919" s="185"/>
    </row>
    <row r="920">
      <c r="D920" s="185"/>
      <c r="E920" s="185" t="s">
        <v>470</v>
      </c>
      <c r="H920" s="185"/>
    </row>
    <row r="921">
      <c r="D921" s="185"/>
      <c r="E921" s="185" t="s">
        <v>470</v>
      </c>
      <c r="H921" s="185"/>
    </row>
    <row r="922">
      <c r="D922" s="185"/>
      <c r="E922" s="185" t="s">
        <v>470</v>
      </c>
      <c r="H922" s="185"/>
    </row>
    <row r="923">
      <c r="D923" s="185"/>
      <c r="E923" s="185" t="s">
        <v>470</v>
      </c>
      <c r="H923" s="185"/>
    </row>
    <row r="924">
      <c r="D924" s="185"/>
      <c r="E924" s="185" t="s">
        <v>470</v>
      </c>
      <c r="H924" s="185"/>
    </row>
    <row r="925">
      <c r="D925" s="185"/>
      <c r="E925" s="185" t="s">
        <v>470</v>
      </c>
      <c r="H925" s="185"/>
    </row>
    <row r="926">
      <c r="D926" s="185"/>
      <c r="E926" s="185" t="s">
        <v>470</v>
      </c>
      <c r="H926" s="185"/>
    </row>
    <row r="927">
      <c r="D927" s="185"/>
      <c r="E927" s="185" t="s">
        <v>470</v>
      </c>
      <c r="H927" s="185"/>
    </row>
    <row r="928">
      <c r="D928" s="185"/>
      <c r="E928" s="185" t="s">
        <v>470</v>
      </c>
      <c r="H928" s="185"/>
    </row>
    <row r="929">
      <c r="D929" s="185"/>
      <c r="E929" s="185" t="s">
        <v>470</v>
      </c>
      <c r="H929" s="185"/>
    </row>
    <row r="930">
      <c r="D930" s="185"/>
      <c r="E930" s="185" t="s">
        <v>470</v>
      </c>
      <c r="H930" s="185"/>
    </row>
    <row r="931">
      <c r="D931" s="185"/>
      <c r="E931" s="185" t="s">
        <v>470</v>
      </c>
      <c r="H931" s="185"/>
    </row>
    <row r="932">
      <c r="D932" s="185"/>
      <c r="E932" s="185" t="s">
        <v>470</v>
      </c>
      <c r="H932" s="185"/>
    </row>
    <row r="933">
      <c r="D933" s="185"/>
      <c r="E933" s="185" t="s">
        <v>470</v>
      </c>
      <c r="H933" s="185"/>
    </row>
    <row r="934">
      <c r="D934" s="185"/>
      <c r="E934" s="185" t="s">
        <v>470</v>
      </c>
      <c r="H934" s="185"/>
    </row>
    <row r="935">
      <c r="D935" s="185"/>
      <c r="E935" s="185" t="s">
        <v>470</v>
      </c>
      <c r="H935" s="185"/>
    </row>
    <row r="936">
      <c r="D936" s="185"/>
      <c r="E936" s="185" t="s">
        <v>470</v>
      </c>
      <c r="H936" s="185"/>
    </row>
    <row r="937">
      <c r="D937" s="185"/>
      <c r="E937" s="185" t="s">
        <v>470</v>
      </c>
      <c r="H937" s="185"/>
    </row>
    <row r="938">
      <c r="D938" s="185"/>
      <c r="E938" s="185" t="s">
        <v>470</v>
      </c>
      <c r="H938" s="185"/>
    </row>
    <row r="939">
      <c r="D939" s="185"/>
      <c r="E939" s="185" t="s">
        <v>470</v>
      </c>
      <c r="H939" s="185"/>
    </row>
    <row r="940">
      <c r="D940" s="185"/>
      <c r="E940" s="185" t="s">
        <v>470</v>
      </c>
      <c r="H940" s="185"/>
    </row>
    <row r="941">
      <c r="D941" s="185"/>
      <c r="E941" s="185" t="s">
        <v>470</v>
      </c>
      <c r="H941" s="185"/>
    </row>
    <row r="942">
      <c r="D942" s="185"/>
      <c r="E942" s="185" t="s">
        <v>470</v>
      </c>
      <c r="H942" s="185"/>
    </row>
    <row r="943">
      <c r="D943" s="185"/>
      <c r="E943" s="185" t="s">
        <v>470</v>
      </c>
      <c r="H943" s="185"/>
    </row>
    <row r="944">
      <c r="D944" s="185"/>
      <c r="E944" s="185" t="s">
        <v>470</v>
      </c>
      <c r="H944" s="185"/>
    </row>
    <row r="945">
      <c r="D945" s="185"/>
      <c r="E945" s="185" t="s">
        <v>470</v>
      </c>
      <c r="H945" s="185"/>
    </row>
    <row r="946">
      <c r="D946" s="185"/>
      <c r="E946" s="185" t="s">
        <v>470</v>
      </c>
      <c r="H946" s="185"/>
    </row>
    <row r="947">
      <c r="D947" s="185"/>
      <c r="E947" s="185" t="s">
        <v>470</v>
      </c>
      <c r="H947" s="185"/>
    </row>
    <row r="948">
      <c r="D948" s="185"/>
      <c r="E948" s="185" t="s">
        <v>470</v>
      </c>
      <c r="H948" s="185"/>
    </row>
    <row r="949">
      <c r="D949" s="185"/>
      <c r="E949" s="185" t="s">
        <v>470</v>
      </c>
      <c r="H949" s="185"/>
    </row>
    <row r="950">
      <c r="D950" s="185"/>
      <c r="E950" s="185" t="s">
        <v>470</v>
      </c>
      <c r="H950" s="185"/>
    </row>
    <row r="951">
      <c r="D951" s="185"/>
      <c r="E951" s="185" t="s">
        <v>470</v>
      </c>
      <c r="H951" s="185"/>
    </row>
    <row r="952">
      <c r="D952" s="185"/>
      <c r="E952" s="185" t="s">
        <v>470</v>
      </c>
      <c r="H952" s="185"/>
    </row>
    <row r="953">
      <c r="D953" s="185"/>
      <c r="E953" s="185" t="s">
        <v>470</v>
      </c>
      <c r="H953" s="185"/>
    </row>
    <row r="954">
      <c r="D954" s="185"/>
      <c r="E954" s="185" t="s">
        <v>470</v>
      </c>
      <c r="H954" s="185"/>
    </row>
    <row r="955">
      <c r="D955" s="185"/>
      <c r="E955" s="185" t="s">
        <v>470</v>
      </c>
      <c r="H955" s="185"/>
    </row>
    <row r="956">
      <c r="D956" s="185"/>
      <c r="E956" s="185" t="s">
        <v>470</v>
      </c>
      <c r="H956" s="185"/>
    </row>
    <row r="957">
      <c r="D957" s="185"/>
      <c r="E957" s="185" t="s">
        <v>470</v>
      </c>
      <c r="H957" s="185"/>
    </row>
    <row r="958">
      <c r="D958" s="185"/>
      <c r="E958" s="185" t="s">
        <v>470</v>
      </c>
      <c r="H958" s="185"/>
    </row>
    <row r="959">
      <c r="D959" s="185"/>
      <c r="E959" s="185" t="s">
        <v>470</v>
      </c>
      <c r="H959" s="185"/>
    </row>
    <row r="960">
      <c r="D960" s="185"/>
      <c r="E960" s="185" t="s">
        <v>470</v>
      </c>
      <c r="H960" s="185"/>
    </row>
    <row r="961">
      <c r="D961" s="185"/>
      <c r="E961" s="185" t="s">
        <v>470</v>
      </c>
      <c r="H961" s="185"/>
    </row>
    <row r="962">
      <c r="D962" s="185"/>
      <c r="E962" s="185" t="s">
        <v>470</v>
      </c>
      <c r="H962" s="185"/>
    </row>
    <row r="963">
      <c r="D963" s="185"/>
      <c r="E963" s="185" t="s">
        <v>470</v>
      </c>
      <c r="H963" s="185"/>
    </row>
    <row r="964">
      <c r="D964" s="185"/>
      <c r="E964" s="185" t="s">
        <v>470</v>
      </c>
      <c r="H964" s="185"/>
    </row>
    <row r="965">
      <c r="D965" s="185"/>
      <c r="E965" s="185" t="s">
        <v>470</v>
      </c>
      <c r="H965" s="185"/>
    </row>
    <row r="966">
      <c r="D966" s="185"/>
      <c r="E966" s="185" t="s">
        <v>470</v>
      </c>
      <c r="H966" s="185"/>
    </row>
    <row r="967">
      <c r="D967" s="185"/>
      <c r="E967" s="185" t="s">
        <v>470</v>
      </c>
      <c r="H967" s="185"/>
    </row>
    <row r="968">
      <c r="D968" s="185"/>
      <c r="E968" s="185" t="s">
        <v>470</v>
      </c>
      <c r="H968" s="185"/>
    </row>
    <row r="969">
      <c r="D969" s="185"/>
      <c r="E969" s="185" t="s">
        <v>470</v>
      </c>
      <c r="H969" s="185"/>
    </row>
    <row r="970">
      <c r="D970" s="185"/>
      <c r="E970" s="185" t="s">
        <v>470</v>
      </c>
      <c r="H970" s="185"/>
    </row>
    <row r="971">
      <c r="D971" s="185"/>
      <c r="E971" s="185" t="s">
        <v>470</v>
      </c>
      <c r="H971" s="185"/>
    </row>
    <row r="972">
      <c r="D972" s="185"/>
      <c r="E972" s="185" t="s">
        <v>470</v>
      </c>
      <c r="H972" s="185"/>
    </row>
    <row r="973">
      <c r="D973" s="185"/>
      <c r="E973" s="185" t="s">
        <v>470</v>
      </c>
      <c r="H973" s="185"/>
    </row>
    <row r="974">
      <c r="D974" s="185"/>
      <c r="E974" s="185" t="s">
        <v>470</v>
      </c>
      <c r="H974" s="185"/>
    </row>
    <row r="975">
      <c r="D975" s="185"/>
      <c r="E975" s="185" t="s">
        <v>470</v>
      </c>
      <c r="H975" s="185"/>
    </row>
    <row r="976">
      <c r="D976" s="185"/>
      <c r="E976" s="185" t="s">
        <v>470</v>
      </c>
      <c r="H976" s="185"/>
    </row>
    <row r="977">
      <c r="D977" s="185"/>
      <c r="E977" s="185" t="s">
        <v>470</v>
      </c>
      <c r="H977" s="185"/>
    </row>
    <row r="978">
      <c r="D978" s="185"/>
      <c r="E978" s="185" t="s">
        <v>470</v>
      </c>
      <c r="H978" s="185"/>
    </row>
    <row r="979">
      <c r="D979" s="185"/>
      <c r="E979" s="185" t="s">
        <v>470</v>
      </c>
      <c r="H979" s="185"/>
    </row>
    <row r="980">
      <c r="D980" s="185"/>
      <c r="E980" s="185" t="s">
        <v>470</v>
      </c>
      <c r="H980" s="185"/>
    </row>
    <row r="981">
      <c r="D981" s="185"/>
      <c r="E981" s="185" t="s">
        <v>470</v>
      </c>
      <c r="H981" s="185"/>
    </row>
    <row r="982">
      <c r="D982" s="185"/>
      <c r="E982" s="185" t="s">
        <v>470</v>
      </c>
      <c r="H982" s="185"/>
    </row>
    <row r="983">
      <c r="D983" s="185"/>
      <c r="E983" s="185" t="s">
        <v>470</v>
      </c>
      <c r="H983" s="185"/>
    </row>
    <row r="984">
      <c r="D984" s="185"/>
      <c r="E984" s="185" t="s">
        <v>470</v>
      </c>
      <c r="H984" s="185"/>
    </row>
    <row r="985">
      <c r="D985" s="185"/>
      <c r="E985" s="185" t="s">
        <v>470</v>
      </c>
      <c r="H985" s="185"/>
    </row>
    <row r="986">
      <c r="D986" s="185"/>
      <c r="E986" s="185" t="s">
        <v>470</v>
      </c>
      <c r="H986" s="185"/>
    </row>
    <row r="987">
      <c r="D987" s="185"/>
      <c r="E987" s="185" t="s">
        <v>470</v>
      </c>
      <c r="H987" s="185"/>
    </row>
    <row r="988">
      <c r="D988" s="185"/>
      <c r="E988" s="185" t="s">
        <v>470</v>
      </c>
      <c r="H988" s="185"/>
    </row>
    <row r="989">
      <c r="D989" s="185"/>
      <c r="E989" s="185" t="s">
        <v>470</v>
      </c>
      <c r="H989" s="185"/>
    </row>
    <row r="990">
      <c r="D990" s="185"/>
      <c r="E990" s="185" t="s">
        <v>470</v>
      </c>
      <c r="H990" s="185"/>
    </row>
    <row r="991">
      <c r="D991" s="185"/>
      <c r="E991" s="185" t="s">
        <v>470</v>
      </c>
      <c r="H991" s="185"/>
    </row>
    <row r="992">
      <c r="D992" s="185"/>
      <c r="E992" s="185" t="s">
        <v>470</v>
      </c>
      <c r="H992" s="185"/>
    </row>
    <row r="993">
      <c r="D993" s="185"/>
      <c r="E993" s="185" t="s">
        <v>470</v>
      </c>
      <c r="H993" s="185"/>
    </row>
    <row r="994">
      <c r="D994" s="185"/>
      <c r="E994" s="185" t="s">
        <v>470</v>
      </c>
      <c r="H994" s="185"/>
    </row>
    <row r="995">
      <c r="D995" s="185"/>
      <c r="E995" s="185" t="s">
        <v>470</v>
      </c>
      <c r="H995" s="185"/>
    </row>
    <row r="996">
      <c r="D996" s="185"/>
      <c r="E996" s="185" t="s">
        <v>470</v>
      </c>
      <c r="H996" s="185"/>
    </row>
    <row r="997">
      <c r="D997" s="185"/>
      <c r="E997" s="185" t="s">
        <v>470</v>
      </c>
      <c r="H997" s="185"/>
    </row>
    <row r="998">
      <c r="D998" s="185"/>
      <c r="E998" s="185" t="s">
        <v>470</v>
      </c>
      <c r="H998" s="185"/>
    </row>
    <row r="999">
      <c r="D999" s="185"/>
      <c r="E999" s="185" t="s">
        <v>470</v>
      </c>
      <c r="H999" s="185"/>
    </row>
    <row r="1000">
      <c r="D1000" s="185"/>
      <c r="E1000" s="185" t="s">
        <v>470</v>
      </c>
      <c r="H1000" s="185"/>
    </row>
    <row r="1001">
      <c r="D1001" s="185"/>
      <c r="E1001" s="185" t="s">
        <v>470</v>
      </c>
      <c r="H1001" s="185"/>
    </row>
    <row r="1002">
      <c r="D1002" s="185"/>
      <c r="E1002" s="185" t="s">
        <v>470</v>
      </c>
      <c r="H1002" s="185"/>
    </row>
    <row r="1003">
      <c r="D1003" s="185"/>
      <c r="E1003" s="185" t="s">
        <v>470</v>
      </c>
      <c r="H1003" s="185"/>
    </row>
    <row r="1004">
      <c r="D1004" s="185"/>
      <c r="E1004" s="185" t="s">
        <v>470</v>
      </c>
      <c r="H1004" s="185"/>
    </row>
    <row r="1005">
      <c r="D1005" s="185"/>
      <c r="E1005" s="185" t="s">
        <v>470</v>
      </c>
      <c r="H1005" s="185"/>
    </row>
    <row r="1006">
      <c r="D1006" s="185"/>
      <c r="E1006" s="185" t="s">
        <v>470</v>
      </c>
      <c r="H1006" s="185"/>
    </row>
    <row r="1007">
      <c r="D1007" s="185"/>
      <c r="E1007" s="185" t="s">
        <v>470</v>
      </c>
      <c r="H1007" s="185"/>
    </row>
    <row r="1008">
      <c r="D1008" s="185"/>
      <c r="E1008" s="185" t="s">
        <v>470</v>
      </c>
      <c r="H1008" s="185"/>
    </row>
    <row r="1009">
      <c r="D1009" s="185"/>
      <c r="E1009" s="185" t="s">
        <v>470</v>
      </c>
      <c r="H1009" s="185"/>
    </row>
    <row r="1010">
      <c r="D1010" s="185"/>
      <c r="E1010" s="185" t="s">
        <v>470</v>
      </c>
      <c r="H1010" s="185"/>
    </row>
    <row r="1011">
      <c r="D1011" s="185"/>
      <c r="E1011" s="185" t="s">
        <v>470</v>
      </c>
      <c r="H1011" s="185"/>
    </row>
    <row r="1012">
      <c r="D1012" s="185"/>
      <c r="E1012" s="185" t="s">
        <v>470</v>
      </c>
      <c r="H1012" s="185"/>
    </row>
    <row r="1013">
      <c r="D1013" s="185"/>
      <c r="E1013" s="185" t="s">
        <v>470</v>
      </c>
      <c r="H1013" s="185"/>
    </row>
    <row r="1014">
      <c r="D1014" s="185"/>
      <c r="E1014" s="185" t="s">
        <v>470</v>
      </c>
      <c r="H1014" s="185"/>
    </row>
    <row r="1015">
      <c r="D1015" s="185"/>
      <c r="E1015" s="185" t="s">
        <v>470</v>
      </c>
      <c r="H1015" s="185"/>
    </row>
    <row r="1016">
      <c r="D1016" s="185"/>
      <c r="E1016" s="185" t="s">
        <v>470</v>
      </c>
      <c r="H1016" s="185"/>
    </row>
    <row r="1017">
      <c r="D1017" s="185"/>
      <c r="E1017" s="185" t="s">
        <v>470</v>
      </c>
      <c r="H1017" s="185"/>
    </row>
    <row r="1018">
      <c r="D1018" s="185"/>
      <c r="E1018" s="185" t="s">
        <v>470</v>
      </c>
      <c r="H1018" s="185"/>
    </row>
    <row r="1019">
      <c r="D1019" s="185"/>
      <c r="E1019" s="185" t="s">
        <v>470</v>
      </c>
      <c r="H1019" s="185"/>
    </row>
    <row r="1020">
      <c r="D1020" s="185"/>
      <c r="E1020" s="185" t="s">
        <v>470</v>
      </c>
      <c r="H1020" s="185"/>
    </row>
    <row r="1021">
      <c r="D1021" s="185"/>
      <c r="E1021" s="185" t="s">
        <v>470</v>
      </c>
      <c r="H1021" s="185"/>
    </row>
    <row r="1022">
      <c r="D1022" s="185"/>
      <c r="E1022" s="185" t="s">
        <v>470</v>
      </c>
      <c r="H1022" s="185"/>
    </row>
    <row r="1023">
      <c r="D1023" s="185"/>
      <c r="E1023" s="185" t="s">
        <v>470</v>
      </c>
      <c r="H1023" s="185"/>
    </row>
    <row r="1024">
      <c r="D1024" s="185"/>
      <c r="E1024" s="185" t="s">
        <v>470</v>
      </c>
      <c r="H1024" s="185"/>
    </row>
    <row r="1025">
      <c r="D1025" s="185"/>
      <c r="E1025" s="185" t="s">
        <v>470</v>
      </c>
      <c r="H1025" s="185"/>
    </row>
    <row r="1026">
      <c r="D1026" s="185"/>
      <c r="E1026" s="185" t="s">
        <v>470</v>
      </c>
      <c r="H1026" s="185"/>
    </row>
    <row r="1027">
      <c r="D1027" s="185"/>
      <c r="E1027" s="185" t="s">
        <v>470</v>
      </c>
      <c r="H1027" s="185"/>
    </row>
    <row r="1028">
      <c r="D1028" s="185"/>
      <c r="E1028" s="185" t="s">
        <v>470</v>
      </c>
      <c r="H1028" s="185"/>
    </row>
    <row r="1029">
      <c r="D1029" s="185"/>
      <c r="E1029" s="185" t="s">
        <v>470</v>
      </c>
      <c r="H1029" s="185"/>
    </row>
    <row r="1030">
      <c r="D1030" s="185"/>
      <c r="E1030" s="185" t="s">
        <v>470</v>
      </c>
      <c r="H1030" s="185"/>
    </row>
    <row r="1031">
      <c r="D1031" s="185"/>
      <c r="E1031" s="185" t="s">
        <v>470</v>
      </c>
      <c r="H1031" s="185"/>
    </row>
    <row r="1032">
      <c r="D1032" s="185"/>
      <c r="E1032" s="185" t="s">
        <v>470</v>
      </c>
      <c r="H1032" s="185"/>
    </row>
    <row r="1033">
      <c r="D1033" s="185"/>
      <c r="E1033" s="185" t="s">
        <v>470</v>
      </c>
      <c r="H1033" s="185"/>
    </row>
    <row r="1034">
      <c r="D1034" s="185"/>
      <c r="E1034" s="185" t="s">
        <v>470</v>
      </c>
      <c r="H1034" s="185"/>
    </row>
    <row r="1035">
      <c r="D1035" s="185"/>
      <c r="E1035" s="185" t="s">
        <v>470</v>
      </c>
      <c r="H1035" s="185"/>
    </row>
    <row r="1036">
      <c r="D1036" s="185"/>
      <c r="E1036" s="185" t="s">
        <v>470</v>
      </c>
      <c r="H1036" s="185"/>
    </row>
    <row r="1037">
      <c r="D1037" s="185"/>
      <c r="E1037" s="185" t="s">
        <v>470</v>
      </c>
      <c r="H1037" s="185"/>
    </row>
    <row r="1038">
      <c r="D1038" s="185"/>
      <c r="E1038" s="185" t="s">
        <v>470</v>
      </c>
      <c r="H1038" s="185"/>
    </row>
    <row r="1039">
      <c r="D1039" s="185"/>
      <c r="E1039" s="185" t="s">
        <v>470</v>
      </c>
      <c r="H1039" s="185"/>
    </row>
    <row r="1040">
      <c r="D1040" s="185"/>
      <c r="E1040" s="185" t="s">
        <v>470</v>
      </c>
      <c r="H1040" s="185"/>
    </row>
    <row r="1041">
      <c r="D1041" s="185"/>
      <c r="E1041" s="185" t="s">
        <v>470</v>
      </c>
      <c r="H1041" s="185"/>
    </row>
    <row r="1042">
      <c r="D1042" s="185"/>
      <c r="E1042" s="185" t="s">
        <v>470</v>
      </c>
      <c r="H1042" s="185"/>
    </row>
    <row r="1043">
      <c r="D1043" s="185"/>
      <c r="E1043" s="185" t="s">
        <v>470</v>
      </c>
      <c r="H1043" s="185"/>
    </row>
    <row r="1044">
      <c r="D1044" s="185"/>
      <c r="E1044" s="185" t="s">
        <v>470</v>
      </c>
      <c r="H1044" s="185"/>
    </row>
    <row r="1045">
      <c r="D1045" s="185"/>
      <c r="E1045" s="185" t="s">
        <v>470</v>
      </c>
      <c r="H1045" s="185"/>
    </row>
    <row r="1046">
      <c r="D1046" s="185"/>
      <c r="E1046" s="185" t="s">
        <v>470</v>
      </c>
      <c r="H1046" s="185"/>
    </row>
    <row r="1047">
      <c r="D1047" s="185"/>
      <c r="E1047" s="185" t="s">
        <v>470</v>
      </c>
      <c r="H1047" s="185"/>
    </row>
    <row r="1048">
      <c r="D1048" s="185"/>
      <c r="E1048" s="185" t="s">
        <v>470</v>
      </c>
      <c r="H1048" s="185"/>
    </row>
    <row r="1049">
      <c r="D1049" s="185"/>
      <c r="E1049" s="185" t="s">
        <v>470</v>
      </c>
      <c r="H1049" s="185"/>
    </row>
    <row r="1050">
      <c r="D1050" s="185"/>
      <c r="E1050" s="185" t="s">
        <v>470</v>
      </c>
      <c r="H1050" s="185"/>
    </row>
    <row r="1051">
      <c r="D1051" s="185"/>
      <c r="E1051" s="185" t="s">
        <v>470</v>
      </c>
      <c r="H1051" s="185"/>
    </row>
    <row r="1052">
      <c r="D1052" s="185"/>
      <c r="E1052" s="185" t="s">
        <v>470</v>
      </c>
      <c r="H1052" s="185"/>
    </row>
    <row r="1053">
      <c r="D1053" s="185"/>
      <c r="E1053" s="185" t="s">
        <v>470</v>
      </c>
      <c r="H1053" s="185"/>
    </row>
    <row r="1054">
      <c r="D1054" s="185"/>
      <c r="E1054" s="185" t="s">
        <v>470</v>
      </c>
      <c r="H1054" s="185"/>
    </row>
    <row r="1055">
      <c r="D1055" s="185"/>
      <c r="E1055" s="185" t="s">
        <v>470</v>
      </c>
      <c r="H1055" s="185"/>
    </row>
    <row r="1056">
      <c r="D1056" s="185"/>
      <c r="E1056" s="185" t="s">
        <v>470</v>
      </c>
      <c r="H1056" s="185"/>
    </row>
    <row r="1057">
      <c r="D1057" s="185"/>
      <c r="E1057" s="185" t="s">
        <v>470</v>
      </c>
      <c r="H1057" s="185"/>
    </row>
    <row r="1058">
      <c r="D1058" s="185"/>
      <c r="E1058" s="185" t="s">
        <v>470</v>
      </c>
      <c r="H1058" s="185"/>
    </row>
    <row r="1059">
      <c r="D1059" s="185"/>
      <c r="E1059" s="185" t="s">
        <v>470</v>
      </c>
      <c r="H1059" s="185"/>
    </row>
    <row r="1060">
      <c r="D1060" s="185"/>
      <c r="E1060" s="185" t="s">
        <v>470</v>
      </c>
      <c r="H1060" s="185"/>
    </row>
    <row r="1061">
      <c r="D1061" s="185"/>
      <c r="E1061" s="185" t="s">
        <v>470</v>
      </c>
      <c r="H1061" s="185"/>
    </row>
    <row r="1062">
      <c r="D1062" s="185"/>
      <c r="E1062" s="185" t="s">
        <v>470</v>
      </c>
      <c r="H1062" s="185"/>
    </row>
    <row r="1063">
      <c r="D1063" s="185"/>
      <c r="E1063" s="185" t="s">
        <v>470</v>
      </c>
      <c r="H1063" s="185"/>
    </row>
    <row r="1064">
      <c r="D1064" s="185"/>
      <c r="E1064" s="185" t="s">
        <v>470</v>
      </c>
      <c r="H1064" s="185"/>
    </row>
    <row r="1065">
      <c r="D1065" s="185"/>
      <c r="E1065" s="185" t="s">
        <v>470</v>
      </c>
      <c r="H1065" s="185"/>
    </row>
    <row r="1066">
      <c r="D1066" s="185"/>
      <c r="E1066" s="185" t="s">
        <v>470</v>
      </c>
      <c r="H1066" s="185"/>
    </row>
    <row r="1067">
      <c r="D1067" s="185"/>
      <c r="E1067" s="185" t="s">
        <v>470</v>
      </c>
      <c r="H1067" s="185"/>
    </row>
    <row r="1068">
      <c r="D1068" s="185"/>
      <c r="E1068" s="185" t="s">
        <v>470</v>
      </c>
      <c r="H1068" s="185"/>
    </row>
    <row r="1069">
      <c r="D1069" s="185"/>
      <c r="E1069" s="185" t="s">
        <v>470</v>
      </c>
      <c r="H1069" s="185"/>
    </row>
    <row r="1070">
      <c r="D1070" s="185"/>
      <c r="E1070" s="185" t="s">
        <v>470</v>
      </c>
      <c r="H1070" s="185"/>
    </row>
    <row r="1071">
      <c r="D1071" s="185"/>
      <c r="E1071" s="185" t="s">
        <v>470</v>
      </c>
      <c r="H1071" s="185"/>
    </row>
    <row r="1072">
      <c r="D1072" s="185"/>
      <c r="E1072" s="185" t="s">
        <v>470</v>
      </c>
      <c r="H1072" s="185"/>
    </row>
    <row r="1073">
      <c r="D1073" s="185"/>
      <c r="E1073" s="185" t="s">
        <v>470</v>
      </c>
      <c r="H1073" s="185"/>
    </row>
    <row r="1074">
      <c r="D1074" s="185"/>
      <c r="E1074" s="185" t="s">
        <v>470</v>
      </c>
      <c r="H1074" s="185"/>
    </row>
    <row r="1075">
      <c r="D1075" s="185"/>
      <c r="E1075" s="185" t="s">
        <v>470</v>
      </c>
      <c r="H1075" s="185"/>
    </row>
    <row r="1076">
      <c r="D1076" s="185"/>
      <c r="E1076" s="185" t="s">
        <v>470</v>
      </c>
      <c r="H1076" s="185"/>
    </row>
    <row r="1077">
      <c r="D1077" s="185"/>
      <c r="E1077" s="185" t="s">
        <v>470</v>
      </c>
      <c r="H1077" s="185"/>
    </row>
    <row r="1078">
      <c r="D1078" s="185"/>
      <c r="E1078" s="185" t="s">
        <v>470</v>
      </c>
      <c r="H1078" s="185"/>
    </row>
    <row r="1079">
      <c r="D1079" s="185"/>
      <c r="E1079" s="185" t="s">
        <v>470</v>
      </c>
      <c r="H1079" s="185"/>
    </row>
    <row r="1080">
      <c r="D1080" s="185"/>
      <c r="E1080" s="185" t="s">
        <v>470</v>
      </c>
      <c r="H1080" s="185"/>
    </row>
    <row r="1081">
      <c r="D1081" s="185"/>
      <c r="E1081" s="185" t="s">
        <v>470</v>
      </c>
      <c r="H1081" s="185"/>
    </row>
    <row r="1082">
      <c r="D1082" s="185"/>
      <c r="E1082" s="185" t="s">
        <v>470</v>
      </c>
      <c r="H1082" s="185"/>
    </row>
    <row r="1083">
      <c r="D1083" s="185"/>
      <c r="E1083" s="185" t="s">
        <v>470</v>
      </c>
      <c r="H1083" s="185"/>
    </row>
    <row r="1084">
      <c r="D1084" s="185"/>
      <c r="E1084" s="185" t="s">
        <v>470</v>
      </c>
      <c r="H1084" s="185"/>
    </row>
    <row r="1085">
      <c r="D1085" s="185"/>
      <c r="E1085" s="185" t="s">
        <v>470</v>
      </c>
      <c r="H1085" s="185"/>
    </row>
    <row r="1086">
      <c r="D1086" s="185"/>
      <c r="E1086" s="185" t="s">
        <v>470</v>
      </c>
      <c r="H1086" s="185"/>
    </row>
    <row r="1087">
      <c r="D1087" s="185"/>
      <c r="E1087" s="185" t="s">
        <v>470</v>
      </c>
      <c r="H1087" s="185"/>
    </row>
    <row r="1088">
      <c r="D1088" s="185"/>
      <c r="E1088" s="185" t="s">
        <v>470</v>
      </c>
      <c r="H1088" s="185"/>
    </row>
    <row r="1089">
      <c r="D1089" s="185"/>
      <c r="E1089" s="185" t="s">
        <v>470</v>
      </c>
      <c r="H1089" s="185"/>
    </row>
    <row r="1090">
      <c r="D1090" s="185"/>
      <c r="E1090" s="185" t="s">
        <v>470</v>
      </c>
      <c r="H1090" s="185"/>
    </row>
    <row r="1091">
      <c r="D1091" s="185"/>
      <c r="E1091" s="185" t="s">
        <v>470</v>
      </c>
      <c r="H1091" s="185"/>
    </row>
    <row r="1092">
      <c r="D1092" s="185"/>
      <c r="E1092" s="185" t="s">
        <v>470</v>
      </c>
      <c r="H1092" s="185"/>
    </row>
    <row r="1093">
      <c r="D1093" s="185"/>
      <c r="E1093" s="185" t="s">
        <v>470</v>
      </c>
      <c r="H1093" s="185"/>
    </row>
    <row r="1094">
      <c r="D1094" s="185"/>
      <c r="E1094" s="185" t="s">
        <v>470</v>
      </c>
      <c r="H1094" s="185"/>
    </row>
    <row r="1095">
      <c r="D1095" s="185"/>
      <c r="E1095" s="185" t="s">
        <v>470</v>
      </c>
      <c r="H1095" s="185"/>
    </row>
    <row r="1096">
      <c r="D1096" s="185"/>
      <c r="E1096" s="185" t="s">
        <v>470</v>
      </c>
      <c r="H1096" s="185"/>
    </row>
    <row r="1097">
      <c r="D1097" s="185"/>
      <c r="E1097" s="185" t="s">
        <v>470</v>
      </c>
      <c r="H1097" s="185"/>
    </row>
    <row r="1098">
      <c r="D1098" s="185"/>
      <c r="E1098" s="185" t="s">
        <v>470</v>
      </c>
      <c r="H1098" s="185"/>
    </row>
    <row r="1099">
      <c r="D1099" s="185"/>
      <c r="E1099" s="185" t="s">
        <v>470</v>
      </c>
      <c r="H1099" s="185"/>
    </row>
    <row r="1100">
      <c r="D1100" s="185"/>
      <c r="E1100" s="185" t="s">
        <v>470</v>
      </c>
      <c r="H1100" s="185"/>
    </row>
    <row r="1101">
      <c r="D1101" s="185"/>
      <c r="E1101" s="185" t="s">
        <v>470</v>
      </c>
      <c r="H1101" s="185"/>
    </row>
    <row r="1102">
      <c r="D1102" s="185"/>
      <c r="E1102" s="185" t="s">
        <v>470</v>
      </c>
      <c r="H1102" s="185"/>
    </row>
    <row r="1103">
      <c r="D1103" s="185"/>
      <c r="E1103" s="185" t="s">
        <v>470</v>
      </c>
      <c r="H1103" s="185"/>
    </row>
    <row r="1104">
      <c r="D1104" s="185"/>
      <c r="E1104" s="185" t="s">
        <v>470</v>
      </c>
      <c r="H1104" s="185"/>
    </row>
    <row r="1105">
      <c r="D1105" s="185"/>
      <c r="E1105" s="185" t="s">
        <v>470</v>
      </c>
      <c r="H1105" s="185"/>
    </row>
    <row r="1106">
      <c r="D1106" s="185"/>
      <c r="E1106" s="185" t="s">
        <v>470</v>
      </c>
      <c r="H1106" s="185"/>
    </row>
    <row r="1107">
      <c r="D1107" s="185"/>
      <c r="E1107" s="185" t="s">
        <v>470</v>
      </c>
      <c r="H1107" s="185"/>
    </row>
    <row r="1108">
      <c r="D1108" s="185"/>
      <c r="E1108" s="185" t="s">
        <v>470</v>
      </c>
      <c r="H1108" s="185"/>
    </row>
    <row r="1109">
      <c r="D1109" s="185"/>
      <c r="E1109" s="185" t="s">
        <v>470</v>
      </c>
      <c r="H1109" s="185"/>
    </row>
    <row r="1110">
      <c r="D1110" s="185"/>
      <c r="E1110" s="185" t="s">
        <v>470</v>
      </c>
      <c r="H1110" s="185"/>
    </row>
    <row r="1111">
      <c r="D1111" s="185"/>
      <c r="E1111" s="185" t="s">
        <v>470</v>
      </c>
      <c r="H1111" s="185"/>
    </row>
    <row r="1112">
      <c r="D1112" s="185"/>
      <c r="E1112" s="185" t="s">
        <v>470</v>
      </c>
      <c r="H1112" s="185"/>
    </row>
    <row r="1113">
      <c r="D1113" s="185"/>
      <c r="E1113" s="185" t="s">
        <v>470</v>
      </c>
      <c r="H1113" s="185"/>
    </row>
    <row r="1114">
      <c r="D1114" s="185"/>
      <c r="E1114" s="185" t="s">
        <v>470</v>
      </c>
      <c r="H1114" s="185"/>
    </row>
    <row r="1115">
      <c r="D1115" s="185"/>
      <c r="E1115" s="185" t="s">
        <v>470</v>
      </c>
      <c r="H1115" s="185"/>
    </row>
    <row r="1116">
      <c r="D1116" s="185"/>
      <c r="E1116" s="185" t="s">
        <v>470</v>
      </c>
      <c r="H1116" s="185"/>
    </row>
    <row r="1117">
      <c r="D1117" s="185"/>
      <c r="E1117" s="185" t="s">
        <v>470</v>
      </c>
      <c r="H1117" s="185"/>
    </row>
    <row r="1118">
      <c r="D1118" s="185"/>
      <c r="E1118" s="185" t="s">
        <v>470</v>
      </c>
      <c r="H1118" s="185"/>
    </row>
    <row r="1119">
      <c r="D1119" s="185"/>
      <c r="E1119" s="185" t="s">
        <v>470</v>
      </c>
      <c r="H1119" s="185"/>
    </row>
    <row r="1120">
      <c r="D1120" s="185"/>
      <c r="E1120" s="185" t="s">
        <v>470</v>
      </c>
      <c r="H1120" s="185"/>
    </row>
    <row r="1121">
      <c r="D1121" s="185"/>
      <c r="E1121" s="185" t="s">
        <v>470</v>
      </c>
      <c r="H1121" s="185"/>
    </row>
    <row r="1122">
      <c r="D1122" s="185"/>
      <c r="E1122" s="185" t="s">
        <v>470</v>
      </c>
      <c r="H1122" s="185"/>
    </row>
    <row r="1123">
      <c r="D1123" s="185"/>
      <c r="E1123" s="185" t="s">
        <v>470</v>
      </c>
      <c r="H1123" s="185"/>
    </row>
    <row r="1124">
      <c r="D1124" s="185"/>
      <c r="E1124" s="185" t="s">
        <v>470</v>
      </c>
      <c r="H1124" s="185"/>
    </row>
    <row r="1125">
      <c r="D1125" s="185"/>
      <c r="E1125" s="185" t="s">
        <v>470</v>
      </c>
      <c r="H1125" s="185"/>
    </row>
    <row r="1126">
      <c r="D1126" s="185"/>
      <c r="E1126" s="185" t="s">
        <v>470</v>
      </c>
      <c r="H1126" s="185"/>
    </row>
    <row r="1127">
      <c r="D1127" s="185"/>
      <c r="E1127" s="185" t="s">
        <v>470</v>
      </c>
      <c r="H1127" s="185"/>
    </row>
    <row r="1128">
      <c r="D1128" s="185"/>
      <c r="E1128" s="185" t="s">
        <v>470</v>
      </c>
      <c r="H1128" s="185"/>
    </row>
    <row r="1129">
      <c r="D1129" s="185"/>
      <c r="E1129" s="185" t="s">
        <v>470</v>
      </c>
      <c r="H1129" s="185"/>
    </row>
    <row r="1130">
      <c r="D1130" s="185"/>
      <c r="E1130" s="185" t="s">
        <v>470</v>
      </c>
      <c r="H1130" s="185"/>
    </row>
    <row r="1131">
      <c r="D1131" s="185"/>
      <c r="E1131" s="185" t="s">
        <v>470</v>
      </c>
      <c r="H1131" s="185"/>
    </row>
    <row r="1132">
      <c r="D1132" s="185"/>
      <c r="E1132" s="185" t="s">
        <v>470</v>
      </c>
      <c r="H1132" s="185"/>
    </row>
    <row r="1133">
      <c r="D1133" s="185"/>
      <c r="E1133" s="185" t="s">
        <v>470</v>
      </c>
      <c r="H1133" s="185"/>
    </row>
    <row r="1134">
      <c r="D1134" s="185"/>
      <c r="E1134" s="185" t="s">
        <v>470</v>
      </c>
      <c r="H1134" s="185"/>
    </row>
    <row r="1135">
      <c r="D1135" s="185"/>
      <c r="E1135" s="185" t="s">
        <v>470</v>
      </c>
      <c r="H1135" s="185"/>
    </row>
    <row r="1136">
      <c r="D1136" s="185"/>
      <c r="E1136" s="185" t="s">
        <v>470</v>
      </c>
      <c r="H1136" s="185"/>
    </row>
    <row r="1137">
      <c r="D1137" s="185"/>
      <c r="E1137" s="185" t="s">
        <v>470</v>
      </c>
      <c r="H1137" s="185"/>
    </row>
    <row r="1138">
      <c r="D1138" s="185"/>
      <c r="E1138" s="185" t="s">
        <v>470</v>
      </c>
      <c r="H1138" s="185"/>
    </row>
    <row r="1139">
      <c r="D1139" s="185"/>
      <c r="E1139" s="185" t="s">
        <v>470</v>
      </c>
      <c r="H1139" s="185"/>
    </row>
    <row r="1140">
      <c r="D1140" s="185"/>
      <c r="E1140" s="185" t="s">
        <v>470</v>
      </c>
      <c r="H1140" s="185"/>
    </row>
    <row r="1141">
      <c r="D1141" s="185"/>
      <c r="E1141" s="185" t="s">
        <v>470</v>
      </c>
      <c r="H1141" s="185"/>
    </row>
    <row r="1142">
      <c r="D1142" s="185"/>
      <c r="E1142" s="185" t="s">
        <v>470</v>
      </c>
      <c r="H1142" s="185"/>
    </row>
    <row r="1143">
      <c r="D1143" s="185"/>
      <c r="E1143" s="185" t="s">
        <v>470</v>
      </c>
      <c r="H1143" s="185"/>
    </row>
    <row r="1144">
      <c r="D1144" s="185"/>
      <c r="E1144" s="185" t="s">
        <v>470</v>
      </c>
      <c r="H1144" s="185"/>
    </row>
    <row r="1145">
      <c r="D1145" s="185"/>
      <c r="E1145" s="185" t="s">
        <v>470</v>
      </c>
      <c r="H1145" s="185"/>
    </row>
    <row r="1146">
      <c r="D1146" s="185"/>
      <c r="E1146" s="185" t="s">
        <v>470</v>
      </c>
      <c r="H1146" s="185"/>
    </row>
    <row r="1147">
      <c r="D1147" s="185"/>
      <c r="E1147" s="185" t="s">
        <v>470</v>
      </c>
      <c r="H1147" s="185"/>
    </row>
    <row r="1148">
      <c r="D1148" s="185"/>
      <c r="E1148" s="185" t="s">
        <v>470</v>
      </c>
      <c r="H1148" s="185"/>
    </row>
    <row r="1149">
      <c r="D1149" s="185"/>
      <c r="E1149" s="185" t="s">
        <v>470</v>
      </c>
      <c r="H1149" s="185"/>
    </row>
    <row r="1150">
      <c r="D1150" s="185"/>
      <c r="E1150" s="185" t="s">
        <v>470</v>
      </c>
      <c r="H1150" s="185"/>
    </row>
    <row r="1151">
      <c r="D1151" s="185"/>
      <c r="E1151" s="185" t="s">
        <v>470</v>
      </c>
      <c r="H1151" s="185"/>
    </row>
    <row r="1152">
      <c r="D1152" s="185"/>
      <c r="E1152" s="185" t="s">
        <v>470</v>
      </c>
      <c r="H1152" s="185"/>
    </row>
    <row r="1153">
      <c r="D1153" s="185"/>
      <c r="E1153" s="185" t="s">
        <v>470</v>
      </c>
      <c r="H1153" s="185"/>
    </row>
    <row r="1154">
      <c r="D1154" s="185"/>
      <c r="E1154" s="185" t="s">
        <v>470</v>
      </c>
      <c r="H1154" s="185"/>
    </row>
    <row r="1155">
      <c r="D1155" s="185"/>
      <c r="E1155" s="185" t="s">
        <v>470</v>
      </c>
      <c r="H1155" s="185"/>
    </row>
    <row r="1156">
      <c r="D1156" s="185"/>
      <c r="E1156" s="185" t="s">
        <v>470</v>
      </c>
      <c r="H1156" s="185"/>
    </row>
    <row r="1157">
      <c r="D1157" s="185"/>
      <c r="E1157" s="185" t="s">
        <v>470</v>
      </c>
      <c r="H1157" s="185"/>
    </row>
    <row r="1158">
      <c r="D1158" s="185"/>
      <c r="E1158" s="185" t="s">
        <v>470</v>
      </c>
      <c r="H1158" s="185"/>
    </row>
    <row r="1159">
      <c r="D1159" s="185"/>
      <c r="E1159" s="185" t="s">
        <v>470</v>
      </c>
      <c r="H1159" s="185"/>
    </row>
    <row r="1160">
      <c r="D1160" s="185"/>
      <c r="E1160" s="185" t="s">
        <v>470</v>
      </c>
      <c r="H1160" s="185"/>
    </row>
    <row r="1161">
      <c r="D1161" s="185"/>
      <c r="E1161" s="185" t="s">
        <v>470</v>
      </c>
      <c r="H1161" s="185"/>
    </row>
    <row r="1162">
      <c r="D1162" s="185"/>
      <c r="E1162" s="185" t="s">
        <v>470</v>
      </c>
      <c r="H1162" s="185"/>
    </row>
    <row r="1163">
      <c r="D1163" s="185"/>
      <c r="E1163" s="185" t="s">
        <v>470</v>
      </c>
      <c r="H1163" s="185"/>
    </row>
    <row r="1164">
      <c r="D1164" s="185"/>
      <c r="E1164" s="185" t="s">
        <v>470</v>
      </c>
      <c r="H1164" s="185"/>
    </row>
    <row r="1165">
      <c r="D1165" s="185"/>
      <c r="E1165" s="185" t="s">
        <v>470</v>
      </c>
      <c r="H1165" s="185"/>
    </row>
    <row r="1166">
      <c r="D1166" s="185"/>
      <c r="E1166" s="185" t="s">
        <v>470</v>
      </c>
      <c r="H1166" s="185"/>
    </row>
    <row r="1167">
      <c r="D1167" s="185"/>
      <c r="E1167" s="185" t="s">
        <v>470</v>
      </c>
      <c r="H1167" s="185"/>
    </row>
    <row r="1168">
      <c r="D1168" s="185"/>
      <c r="E1168" s="185" t="s">
        <v>470</v>
      </c>
      <c r="H1168" s="185"/>
    </row>
    <row r="1169">
      <c r="D1169" s="185"/>
      <c r="E1169" s="185" t="s">
        <v>470</v>
      </c>
      <c r="H1169" s="185"/>
    </row>
    <row r="1170">
      <c r="D1170" s="185"/>
      <c r="E1170" s="185" t="s">
        <v>470</v>
      </c>
      <c r="H1170" s="185"/>
    </row>
    <row r="1171">
      <c r="D1171" s="185"/>
      <c r="E1171" s="185" t="s">
        <v>470</v>
      </c>
      <c r="H1171" s="185"/>
    </row>
    <row r="1172">
      <c r="D1172" s="185"/>
      <c r="E1172" s="185" t="s">
        <v>470</v>
      </c>
      <c r="H1172" s="185"/>
    </row>
    <row r="1173">
      <c r="D1173" s="185"/>
      <c r="E1173" s="185" t="s">
        <v>470</v>
      </c>
      <c r="H1173" s="185"/>
    </row>
    <row r="1174">
      <c r="D1174" s="185"/>
      <c r="E1174" s="185" t="s">
        <v>470</v>
      </c>
      <c r="H1174" s="185"/>
    </row>
    <row r="1175">
      <c r="D1175" s="185"/>
      <c r="E1175" s="185" t="s">
        <v>470</v>
      </c>
      <c r="H1175" s="185"/>
    </row>
    <row r="1176">
      <c r="D1176" s="185"/>
      <c r="E1176" s="185" t="s">
        <v>470</v>
      </c>
      <c r="H1176" s="185"/>
    </row>
    <row r="1177">
      <c r="D1177" s="185"/>
      <c r="E1177" s="185" t="s">
        <v>470</v>
      </c>
      <c r="H1177" s="185"/>
    </row>
    <row r="1178">
      <c r="D1178" s="185"/>
      <c r="E1178" s="185" t="s">
        <v>470</v>
      </c>
      <c r="H1178" s="185"/>
    </row>
    <row r="1179">
      <c r="D1179" s="185"/>
      <c r="E1179" s="185" t="s">
        <v>470</v>
      </c>
      <c r="H1179" s="185"/>
    </row>
    <row r="1180">
      <c r="D1180" s="185"/>
      <c r="E1180" s="185" t="s">
        <v>470</v>
      </c>
      <c r="H1180" s="185"/>
    </row>
    <row r="1181">
      <c r="D1181" s="185"/>
      <c r="E1181" s="185" t="s">
        <v>470</v>
      </c>
      <c r="H1181" s="185"/>
    </row>
    <row r="1182">
      <c r="D1182" s="185"/>
      <c r="E1182" s="185" t="s">
        <v>470</v>
      </c>
      <c r="H1182" s="185"/>
    </row>
    <row r="1183">
      <c r="D1183" s="185"/>
      <c r="E1183" s="185" t="s">
        <v>470</v>
      </c>
      <c r="H1183" s="185"/>
    </row>
    <row r="1184">
      <c r="D1184" s="185"/>
      <c r="E1184" s="185" t="s">
        <v>470</v>
      </c>
      <c r="H1184" s="185"/>
    </row>
    <row r="1185">
      <c r="D1185" s="185"/>
      <c r="E1185" s="185" t="s">
        <v>470</v>
      </c>
      <c r="H1185" s="185"/>
    </row>
    <row r="1186">
      <c r="D1186" s="185"/>
      <c r="E1186" s="185" t="s">
        <v>470</v>
      </c>
      <c r="H1186" s="185"/>
    </row>
    <row r="1187">
      <c r="D1187" s="185"/>
      <c r="E1187" s="185" t="s">
        <v>470</v>
      </c>
      <c r="H1187" s="185"/>
    </row>
    <row r="1188">
      <c r="D1188" s="185"/>
      <c r="E1188" s="185" t="s">
        <v>470</v>
      </c>
      <c r="H1188" s="185"/>
    </row>
    <row r="1189">
      <c r="D1189" s="185"/>
      <c r="E1189" s="185" t="s">
        <v>470</v>
      </c>
      <c r="H1189" s="185"/>
    </row>
    <row r="1190">
      <c r="D1190" s="185"/>
      <c r="E1190" s="185" t="s">
        <v>470</v>
      </c>
      <c r="H1190" s="185"/>
    </row>
    <row r="1191">
      <c r="D1191" s="185"/>
      <c r="E1191" s="185" t="s">
        <v>470</v>
      </c>
      <c r="H1191" s="185"/>
    </row>
    <row r="1192">
      <c r="D1192" s="185"/>
      <c r="E1192" s="185" t="s">
        <v>470</v>
      </c>
      <c r="H1192" s="185"/>
    </row>
    <row r="1193">
      <c r="D1193" s="185"/>
      <c r="E1193" s="185" t="s">
        <v>470</v>
      </c>
      <c r="H1193" s="185"/>
    </row>
    <row r="1194">
      <c r="D1194" s="185"/>
      <c r="E1194" s="185" t="s">
        <v>470</v>
      </c>
      <c r="H1194" s="185"/>
    </row>
    <row r="1195">
      <c r="D1195" s="185"/>
      <c r="E1195" s="185" t="s">
        <v>470</v>
      </c>
      <c r="H1195" s="185"/>
    </row>
    <row r="1196">
      <c r="D1196" s="185"/>
      <c r="E1196" s="185" t="s">
        <v>470</v>
      </c>
      <c r="H1196" s="185"/>
    </row>
    <row r="1197">
      <c r="D1197" s="185"/>
      <c r="E1197" s="185" t="s">
        <v>470</v>
      </c>
      <c r="H1197" s="185"/>
    </row>
    <row r="1198">
      <c r="D1198" s="185"/>
      <c r="E1198" s="185" t="s">
        <v>470</v>
      </c>
      <c r="H1198" s="185"/>
    </row>
    <row r="1199">
      <c r="D1199" s="185"/>
      <c r="E1199" s="185" t="s">
        <v>470</v>
      </c>
      <c r="H1199" s="185"/>
    </row>
    <row r="1200">
      <c r="D1200" s="185"/>
      <c r="E1200" s="185" t="s">
        <v>470</v>
      </c>
      <c r="H1200" s="185"/>
    </row>
    <row r="1201">
      <c r="D1201" s="185"/>
      <c r="E1201" s="185" t="s">
        <v>470</v>
      </c>
      <c r="H1201" s="185"/>
    </row>
    <row r="1202">
      <c r="D1202" s="185"/>
      <c r="E1202" s="185" t="s">
        <v>470</v>
      </c>
      <c r="H1202" s="185"/>
    </row>
    <row r="1203">
      <c r="D1203" s="185"/>
      <c r="E1203" s="185" t="s">
        <v>470</v>
      </c>
      <c r="H1203" s="185"/>
    </row>
    <row r="1204">
      <c r="D1204" s="185"/>
      <c r="E1204" s="185" t="s">
        <v>470</v>
      </c>
      <c r="H1204" s="185"/>
    </row>
    <row r="1205">
      <c r="D1205" s="185"/>
      <c r="E1205" s="185" t="s">
        <v>470</v>
      </c>
      <c r="H1205" s="185"/>
    </row>
    <row r="1206">
      <c r="D1206" s="185"/>
      <c r="E1206" s="185" t="s">
        <v>470</v>
      </c>
      <c r="H1206" s="185"/>
    </row>
    <row r="1207">
      <c r="D1207" s="185"/>
      <c r="E1207" s="185" t="s">
        <v>470</v>
      </c>
      <c r="H1207" s="185"/>
    </row>
    <row r="1208">
      <c r="D1208" s="185"/>
      <c r="E1208" s="185" t="s">
        <v>470</v>
      </c>
      <c r="H1208" s="185"/>
    </row>
    <row r="1209">
      <c r="D1209" s="185"/>
      <c r="E1209" s="185" t="s">
        <v>470</v>
      </c>
      <c r="H1209" s="185"/>
    </row>
    <row r="1210">
      <c r="D1210" s="185"/>
      <c r="E1210" s="185" t="s">
        <v>470</v>
      </c>
      <c r="H1210" s="185"/>
    </row>
    <row r="1211">
      <c r="D1211" s="185"/>
      <c r="E1211" s="185" t="s">
        <v>470</v>
      </c>
      <c r="H1211" s="185"/>
    </row>
    <row r="1212">
      <c r="D1212" s="185"/>
      <c r="E1212" s="185" t="s">
        <v>470</v>
      </c>
      <c r="H1212" s="185"/>
    </row>
    <row r="1213">
      <c r="D1213" s="185"/>
      <c r="E1213" s="185" t="s">
        <v>470</v>
      </c>
      <c r="H1213" s="185"/>
    </row>
    <row r="1214">
      <c r="D1214" s="185"/>
      <c r="E1214" s="185" t="s">
        <v>470</v>
      </c>
      <c r="H1214" s="185"/>
    </row>
    <row r="1215">
      <c r="D1215" s="185"/>
      <c r="E1215" s="185" t="s">
        <v>470</v>
      </c>
      <c r="H1215" s="185"/>
    </row>
    <row r="1216">
      <c r="D1216" s="185"/>
      <c r="E1216" s="185" t="s">
        <v>470</v>
      </c>
      <c r="H1216" s="185"/>
    </row>
    <row r="1217">
      <c r="D1217" s="185"/>
      <c r="E1217" s="185" t="s">
        <v>470</v>
      </c>
      <c r="H1217" s="185"/>
    </row>
    <row r="1218">
      <c r="D1218" s="185"/>
      <c r="E1218" s="185" t="s">
        <v>470</v>
      </c>
      <c r="H1218" s="185"/>
    </row>
    <row r="1219">
      <c r="D1219" s="185"/>
      <c r="E1219" s="185" t="s">
        <v>470</v>
      </c>
      <c r="H1219" s="185"/>
    </row>
    <row r="1220">
      <c r="D1220" s="185"/>
      <c r="E1220" s="185" t="s">
        <v>470</v>
      </c>
      <c r="H1220" s="185"/>
    </row>
    <row r="1221">
      <c r="D1221" s="185"/>
      <c r="E1221" s="185" t="s">
        <v>470</v>
      </c>
      <c r="H1221" s="185"/>
    </row>
    <row r="1222">
      <c r="D1222" s="185"/>
      <c r="E1222" s="185" t="s">
        <v>470</v>
      </c>
      <c r="H1222" s="185"/>
    </row>
    <row r="1223">
      <c r="D1223" s="185"/>
      <c r="E1223" s="185" t="s">
        <v>470</v>
      </c>
      <c r="H1223" s="185"/>
    </row>
    <row r="1224">
      <c r="D1224" s="185"/>
      <c r="E1224" s="185" t="s">
        <v>470</v>
      </c>
      <c r="H1224" s="185"/>
    </row>
    <row r="1225">
      <c r="D1225" s="185"/>
      <c r="E1225" s="185" t="s">
        <v>470</v>
      </c>
      <c r="H1225" s="185"/>
    </row>
    <row r="1226">
      <c r="D1226" s="185"/>
      <c r="E1226" s="185" t="s">
        <v>470</v>
      </c>
      <c r="H1226" s="185"/>
    </row>
    <row r="1227">
      <c r="D1227" s="185"/>
      <c r="E1227" s="185" t="s">
        <v>470</v>
      </c>
      <c r="H1227" s="185"/>
    </row>
    <row r="1228">
      <c r="D1228" s="185"/>
      <c r="E1228" s="185" t="s">
        <v>470</v>
      </c>
      <c r="H1228" s="185"/>
    </row>
    <row r="1229">
      <c r="D1229" s="185"/>
      <c r="E1229" s="185" t="s">
        <v>470</v>
      </c>
      <c r="H1229" s="185"/>
    </row>
    <row r="1230">
      <c r="D1230" s="185"/>
      <c r="E1230" s="185" t="s">
        <v>470</v>
      </c>
      <c r="H1230" s="185"/>
    </row>
    <row r="1231">
      <c r="D1231" s="185"/>
      <c r="E1231" s="185" t="s">
        <v>470</v>
      </c>
      <c r="H1231" s="185"/>
    </row>
    <row r="1232">
      <c r="D1232" s="185"/>
      <c r="E1232" s="185" t="s">
        <v>470</v>
      </c>
      <c r="H1232" s="185"/>
    </row>
    <row r="1233">
      <c r="D1233" s="185"/>
      <c r="E1233" s="185" t="s">
        <v>470</v>
      </c>
      <c r="H1233" s="185"/>
    </row>
    <row r="1234">
      <c r="D1234" s="185"/>
      <c r="E1234" s="185" t="s">
        <v>470</v>
      </c>
      <c r="H1234" s="185"/>
    </row>
    <row r="1235">
      <c r="D1235" s="185"/>
      <c r="E1235" s="185" t="s">
        <v>470</v>
      </c>
      <c r="H1235" s="185"/>
    </row>
    <row r="1236">
      <c r="D1236" s="185"/>
      <c r="E1236" s="185" t="s">
        <v>470</v>
      </c>
      <c r="H1236" s="185"/>
    </row>
    <row r="1237">
      <c r="D1237" s="185"/>
      <c r="E1237" s="185" t="s">
        <v>470</v>
      </c>
      <c r="H1237" s="185"/>
    </row>
    <row r="1238">
      <c r="D1238" s="185"/>
      <c r="E1238" s="185" t="s">
        <v>470</v>
      </c>
      <c r="H1238" s="185"/>
    </row>
    <row r="1239">
      <c r="D1239" s="185"/>
      <c r="E1239" s="185" t="s">
        <v>470</v>
      </c>
      <c r="H1239" s="185"/>
    </row>
    <row r="1240">
      <c r="D1240" s="185"/>
      <c r="E1240" s="185" t="s">
        <v>470</v>
      </c>
      <c r="H1240" s="185"/>
    </row>
    <row r="1241">
      <c r="D1241" s="185"/>
      <c r="E1241" s="185" t="s">
        <v>470</v>
      </c>
      <c r="H1241" s="185"/>
    </row>
    <row r="1242">
      <c r="D1242" s="185"/>
      <c r="E1242" s="185" t="s">
        <v>470</v>
      </c>
      <c r="H1242" s="185"/>
    </row>
    <row r="1243">
      <c r="D1243" s="185"/>
      <c r="E1243" s="185" t="s">
        <v>470</v>
      </c>
      <c r="H1243" s="185"/>
    </row>
    <row r="1244">
      <c r="D1244" s="185"/>
      <c r="E1244" s="185" t="s">
        <v>470</v>
      </c>
      <c r="H1244" s="185"/>
    </row>
    <row r="1245">
      <c r="D1245" s="185"/>
      <c r="E1245" s="185" t="s">
        <v>470</v>
      </c>
      <c r="H1245" s="185"/>
    </row>
    <row r="1246">
      <c r="D1246" s="185"/>
      <c r="E1246" s="185" t="s">
        <v>470</v>
      </c>
      <c r="H1246" s="185"/>
    </row>
    <row r="1247">
      <c r="D1247" s="185"/>
      <c r="E1247" s="185" t="s">
        <v>470</v>
      </c>
      <c r="H1247" s="185"/>
    </row>
    <row r="1248">
      <c r="D1248" s="185"/>
      <c r="E1248" s="185" t="s">
        <v>470</v>
      </c>
      <c r="H1248" s="185"/>
    </row>
    <row r="1249">
      <c r="D1249" s="185"/>
      <c r="E1249" s="185" t="s">
        <v>470</v>
      </c>
      <c r="H1249" s="185"/>
    </row>
    <row r="1250">
      <c r="D1250" s="185"/>
      <c r="E1250" s="185" t="s">
        <v>470</v>
      </c>
      <c r="H1250" s="185"/>
    </row>
    <row r="1251">
      <c r="D1251" s="185"/>
      <c r="E1251" s="185" t="s">
        <v>470</v>
      </c>
      <c r="H1251" s="185"/>
    </row>
    <row r="1252">
      <c r="D1252" s="185"/>
      <c r="E1252" s="185" t="s">
        <v>470</v>
      </c>
      <c r="H1252" s="185"/>
    </row>
    <row r="1253">
      <c r="D1253" s="185"/>
      <c r="E1253" s="185" t="s">
        <v>470</v>
      </c>
      <c r="H1253" s="185"/>
    </row>
    <row r="1254">
      <c r="D1254" s="185"/>
      <c r="E1254" s="185" t="s">
        <v>470</v>
      </c>
      <c r="H1254" s="185"/>
    </row>
    <row r="1255">
      <c r="D1255" s="185"/>
      <c r="E1255" s="185" t="s">
        <v>470</v>
      </c>
      <c r="H1255" s="185"/>
    </row>
    <row r="1256">
      <c r="D1256" s="185"/>
      <c r="E1256" s="185" t="s">
        <v>470</v>
      </c>
      <c r="H1256" s="185"/>
    </row>
    <row r="1257">
      <c r="D1257" s="185"/>
      <c r="E1257" s="185" t="s">
        <v>470</v>
      </c>
      <c r="H1257" s="185"/>
    </row>
    <row r="1258">
      <c r="D1258" s="185"/>
      <c r="E1258" s="185" t="s">
        <v>470</v>
      </c>
      <c r="H1258" s="185"/>
    </row>
    <row r="1259">
      <c r="D1259" s="185"/>
      <c r="E1259" s="185" t="s">
        <v>470</v>
      </c>
      <c r="H1259" s="185"/>
    </row>
    <row r="1260">
      <c r="D1260" s="185"/>
      <c r="E1260" s="185" t="s">
        <v>470</v>
      </c>
      <c r="H1260" s="185"/>
    </row>
    <row r="1261">
      <c r="D1261" s="185"/>
      <c r="E1261" s="185" t="s">
        <v>470</v>
      </c>
      <c r="H1261" s="185"/>
    </row>
    <row r="1262">
      <c r="D1262" s="185"/>
      <c r="E1262" s="185" t="s">
        <v>470</v>
      </c>
      <c r="H1262" s="185"/>
    </row>
    <row r="1263">
      <c r="D1263" s="185"/>
      <c r="E1263" s="185" t="s">
        <v>470</v>
      </c>
      <c r="H1263" s="185"/>
    </row>
    <row r="1264">
      <c r="D1264" s="185"/>
      <c r="E1264" s="185" t="s">
        <v>470</v>
      </c>
      <c r="H1264" s="185"/>
    </row>
    <row r="1265">
      <c r="D1265" s="185"/>
      <c r="E1265" s="185" t="s">
        <v>470</v>
      </c>
      <c r="H1265" s="185"/>
    </row>
    <row r="1266">
      <c r="D1266" s="185"/>
      <c r="E1266" s="185" t="s">
        <v>470</v>
      </c>
      <c r="H1266" s="185"/>
    </row>
    <row r="1267">
      <c r="D1267" s="185"/>
      <c r="E1267" s="185" t="s">
        <v>470</v>
      </c>
      <c r="H1267" s="185"/>
    </row>
    <row r="1268">
      <c r="D1268" s="185"/>
      <c r="E1268" s="185" t="s">
        <v>470</v>
      </c>
      <c r="H1268" s="185"/>
    </row>
    <row r="1269">
      <c r="D1269" s="185"/>
      <c r="E1269" s="185" t="s">
        <v>470</v>
      </c>
      <c r="H1269" s="185"/>
    </row>
    <row r="1270">
      <c r="D1270" s="185"/>
      <c r="E1270" s="185" t="s">
        <v>470</v>
      </c>
      <c r="H1270" s="185"/>
    </row>
    <row r="1271">
      <c r="D1271" s="185"/>
      <c r="E1271" s="185" t="s">
        <v>470</v>
      </c>
      <c r="H1271" s="185"/>
    </row>
    <row r="1272">
      <c r="D1272" s="185"/>
      <c r="E1272" s="185" t="s">
        <v>470</v>
      </c>
      <c r="H1272" s="185"/>
    </row>
    <row r="1273">
      <c r="D1273" s="185"/>
      <c r="E1273" s="185" t="s">
        <v>470</v>
      </c>
      <c r="H1273" s="185"/>
    </row>
    <row r="1274">
      <c r="D1274" s="185"/>
      <c r="E1274" s="185" t="s">
        <v>470</v>
      </c>
      <c r="H1274" s="185"/>
    </row>
    <row r="1275">
      <c r="D1275" s="185"/>
      <c r="E1275" s="185" t="s">
        <v>470</v>
      </c>
      <c r="H1275" s="185"/>
    </row>
    <row r="1276">
      <c r="D1276" s="185"/>
      <c r="E1276" s="185" t="s">
        <v>470</v>
      </c>
      <c r="H1276" s="185"/>
    </row>
    <row r="1277">
      <c r="D1277" s="185"/>
      <c r="E1277" s="185" t="s">
        <v>470</v>
      </c>
      <c r="H1277" s="185"/>
    </row>
    <row r="1278">
      <c r="D1278" s="185"/>
      <c r="E1278" s="185" t="s">
        <v>470</v>
      </c>
      <c r="H1278" s="185"/>
    </row>
    <row r="1279">
      <c r="D1279" s="185"/>
      <c r="E1279" s="185" t="s">
        <v>470</v>
      </c>
      <c r="H1279" s="185"/>
    </row>
    <row r="1280">
      <c r="D1280" s="185"/>
      <c r="E1280" s="185" t="s">
        <v>470</v>
      </c>
      <c r="H1280" s="185"/>
    </row>
    <row r="1281">
      <c r="D1281" s="185"/>
      <c r="E1281" s="185" t="s">
        <v>470</v>
      </c>
      <c r="H1281" s="185"/>
    </row>
    <row r="1282">
      <c r="D1282" s="185"/>
      <c r="E1282" s="185" t="s">
        <v>470</v>
      </c>
      <c r="H1282" s="185"/>
    </row>
    <row r="1283">
      <c r="D1283" s="185"/>
      <c r="E1283" s="185" t="s">
        <v>470</v>
      </c>
      <c r="H1283" s="185"/>
    </row>
    <row r="1284">
      <c r="D1284" s="185"/>
      <c r="E1284" s="185" t="s">
        <v>470</v>
      </c>
      <c r="H1284" s="185"/>
    </row>
    <row r="1285">
      <c r="D1285" s="185"/>
      <c r="E1285" s="185" t="s">
        <v>470</v>
      </c>
      <c r="H1285" s="185"/>
    </row>
    <row r="1286">
      <c r="D1286" s="185"/>
      <c r="E1286" s="185" t="s">
        <v>470</v>
      </c>
      <c r="H1286" s="185"/>
    </row>
    <row r="1287">
      <c r="D1287" s="185"/>
      <c r="E1287" s="185" t="s">
        <v>470</v>
      </c>
      <c r="H1287" s="185"/>
    </row>
    <row r="1288">
      <c r="D1288" s="185"/>
      <c r="E1288" s="185" t="s">
        <v>470</v>
      </c>
      <c r="H1288" s="185"/>
    </row>
    <row r="1289">
      <c r="D1289" s="185"/>
      <c r="E1289" s="185" t="s">
        <v>470</v>
      </c>
      <c r="H1289" s="185"/>
    </row>
    <row r="1290">
      <c r="D1290" s="185"/>
      <c r="E1290" s="185" t="s">
        <v>470</v>
      </c>
      <c r="H1290" s="185"/>
    </row>
    <row r="1291">
      <c r="D1291" s="185"/>
      <c r="E1291" s="185" t="s">
        <v>470</v>
      </c>
      <c r="H1291" s="185"/>
    </row>
    <row r="1292">
      <c r="D1292" s="185"/>
      <c r="E1292" s="185" t="s">
        <v>470</v>
      </c>
      <c r="H1292" s="185"/>
    </row>
    <row r="1293">
      <c r="D1293" s="185"/>
      <c r="E1293" s="185" t="s">
        <v>470</v>
      </c>
      <c r="H1293" s="185"/>
    </row>
    <row r="1294">
      <c r="D1294" s="185"/>
      <c r="E1294" s="185" t="s">
        <v>470</v>
      </c>
      <c r="H1294" s="185"/>
    </row>
    <row r="1295">
      <c r="D1295" s="185"/>
      <c r="E1295" s="185" t="s">
        <v>470</v>
      </c>
      <c r="H1295" s="185"/>
    </row>
    <row r="1296">
      <c r="D1296" s="185"/>
      <c r="E1296" s="185" t="s">
        <v>470</v>
      </c>
      <c r="H1296" s="185"/>
    </row>
    <row r="1297">
      <c r="D1297" s="185"/>
      <c r="E1297" s="185" t="s">
        <v>470</v>
      </c>
      <c r="H1297" s="185"/>
    </row>
    <row r="1298">
      <c r="D1298" s="185"/>
      <c r="E1298" s="185" t="s">
        <v>470</v>
      </c>
      <c r="H1298" s="185"/>
    </row>
    <row r="1299">
      <c r="D1299" s="185"/>
      <c r="E1299" s="185" t="s">
        <v>470</v>
      </c>
      <c r="H1299" s="185"/>
    </row>
    <row r="1300">
      <c r="D1300" s="185"/>
      <c r="E1300" s="185" t="s">
        <v>470</v>
      </c>
      <c r="H1300" s="185"/>
    </row>
    <row r="1301">
      <c r="D1301" s="185"/>
      <c r="E1301" s="185" t="s">
        <v>470</v>
      </c>
      <c r="H1301" s="185"/>
    </row>
    <row r="1302">
      <c r="D1302" s="185"/>
      <c r="E1302" s="185" t="s">
        <v>470</v>
      </c>
      <c r="H1302" s="185"/>
    </row>
    <row r="1303">
      <c r="D1303" s="185"/>
      <c r="E1303" s="185" t="s">
        <v>470</v>
      </c>
      <c r="H1303" s="185"/>
    </row>
    <row r="1304">
      <c r="D1304" s="185"/>
      <c r="E1304" s="185" t="s">
        <v>470</v>
      </c>
      <c r="H1304" s="185"/>
    </row>
    <row r="1305">
      <c r="D1305" s="185"/>
      <c r="E1305" s="185" t="s">
        <v>470</v>
      </c>
      <c r="H1305" s="185"/>
    </row>
    <row r="1306">
      <c r="D1306" s="185"/>
      <c r="E1306" s="185" t="s">
        <v>470</v>
      </c>
      <c r="H1306" s="185"/>
    </row>
    <row r="1307">
      <c r="D1307" s="185"/>
      <c r="E1307" s="185" t="s">
        <v>470</v>
      </c>
      <c r="H1307" s="185"/>
    </row>
    <row r="1308">
      <c r="D1308" s="185"/>
      <c r="E1308" s="185" t="s">
        <v>470</v>
      </c>
      <c r="H1308" s="185"/>
    </row>
    <row r="1309">
      <c r="D1309" s="185"/>
      <c r="E1309" s="185" t="s">
        <v>470</v>
      </c>
      <c r="H1309" s="185"/>
    </row>
    <row r="1310">
      <c r="D1310" s="185"/>
      <c r="E1310" s="185" t="s">
        <v>470</v>
      </c>
      <c r="H1310" s="185"/>
    </row>
    <row r="1311">
      <c r="D1311" s="185"/>
      <c r="E1311" s="185" t="s">
        <v>470</v>
      </c>
      <c r="H1311" s="185"/>
    </row>
    <row r="1312">
      <c r="D1312" s="185"/>
      <c r="E1312" s="185" t="s">
        <v>470</v>
      </c>
      <c r="H1312" s="185"/>
    </row>
    <row r="1313">
      <c r="D1313" s="185"/>
      <c r="E1313" s="185" t="s">
        <v>470</v>
      </c>
      <c r="H1313" s="185"/>
    </row>
    <row r="1314">
      <c r="D1314" s="185"/>
      <c r="E1314" s="185" t="s">
        <v>470</v>
      </c>
      <c r="H1314" s="185"/>
    </row>
    <row r="1315">
      <c r="D1315" s="185"/>
      <c r="E1315" s="185" t="s">
        <v>470</v>
      </c>
      <c r="H1315" s="185"/>
    </row>
    <row r="1316">
      <c r="D1316" s="185"/>
      <c r="E1316" s="185" t="s">
        <v>470</v>
      </c>
      <c r="H1316" s="185"/>
    </row>
    <row r="1317">
      <c r="D1317" s="185"/>
      <c r="E1317" s="185" t="s">
        <v>470</v>
      </c>
      <c r="H1317" s="185"/>
    </row>
    <row r="1318">
      <c r="D1318" s="185"/>
      <c r="E1318" s="185" t="s">
        <v>470</v>
      </c>
      <c r="H1318" s="185"/>
    </row>
    <row r="1319">
      <c r="D1319" s="185"/>
      <c r="E1319" s="185" t="s">
        <v>470</v>
      </c>
      <c r="H1319" s="185"/>
    </row>
    <row r="1320">
      <c r="D1320" s="185"/>
      <c r="E1320" s="185" t="s">
        <v>470</v>
      </c>
      <c r="H1320" s="185"/>
    </row>
    <row r="1321">
      <c r="D1321" s="185"/>
      <c r="E1321" s="185" t="s">
        <v>470</v>
      </c>
      <c r="H1321" s="185"/>
    </row>
    <row r="1322">
      <c r="D1322" s="185"/>
      <c r="E1322" s="185" t="s">
        <v>470</v>
      </c>
      <c r="H1322" s="185"/>
    </row>
    <row r="1323">
      <c r="D1323" s="185"/>
      <c r="E1323" s="185" t="s">
        <v>470</v>
      </c>
      <c r="H1323" s="185"/>
    </row>
    <row r="1324">
      <c r="D1324" s="185"/>
      <c r="E1324" s="185" t="s">
        <v>470</v>
      </c>
      <c r="H1324" s="185"/>
    </row>
    <row r="1325">
      <c r="D1325" s="185"/>
      <c r="E1325" s="185" t="s">
        <v>470</v>
      </c>
      <c r="H1325" s="185"/>
    </row>
    <row r="1326">
      <c r="D1326" s="185"/>
      <c r="E1326" s="185" t="s">
        <v>470</v>
      </c>
      <c r="H1326" s="185"/>
    </row>
    <row r="1327">
      <c r="D1327" s="185"/>
      <c r="E1327" s="185" t="s">
        <v>470</v>
      </c>
      <c r="H1327" s="185"/>
    </row>
    <row r="1328">
      <c r="D1328" s="185"/>
      <c r="E1328" s="185" t="s">
        <v>470</v>
      </c>
      <c r="H1328" s="185"/>
    </row>
    <row r="1329">
      <c r="D1329" s="185"/>
      <c r="E1329" s="185" t="s">
        <v>470</v>
      </c>
      <c r="H1329" s="185"/>
    </row>
    <row r="1330">
      <c r="D1330" s="185"/>
      <c r="E1330" s="185" t="s">
        <v>470</v>
      </c>
      <c r="H1330" s="185"/>
    </row>
    <row r="1331">
      <c r="D1331" s="185"/>
      <c r="E1331" s="185" t="s">
        <v>470</v>
      </c>
      <c r="H1331" s="185"/>
    </row>
    <row r="1332">
      <c r="D1332" s="185"/>
      <c r="E1332" s="185" t="s">
        <v>470</v>
      </c>
      <c r="H1332" s="185"/>
    </row>
    <row r="1333">
      <c r="D1333" s="185"/>
      <c r="E1333" s="185" t="s">
        <v>470</v>
      </c>
      <c r="H1333" s="185"/>
    </row>
    <row r="1334">
      <c r="D1334" s="185"/>
      <c r="E1334" s="185" t="s">
        <v>470</v>
      </c>
      <c r="H1334" s="185"/>
    </row>
    <row r="1335">
      <c r="D1335" s="185"/>
      <c r="E1335" s="185" t="s">
        <v>470</v>
      </c>
      <c r="H1335" s="185"/>
    </row>
    <row r="1336">
      <c r="D1336" s="185"/>
      <c r="E1336" s="185" t="s">
        <v>470</v>
      </c>
      <c r="H1336" s="185"/>
    </row>
    <row r="1337">
      <c r="D1337" s="185"/>
      <c r="E1337" s="185" t="s">
        <v>470</v>
      </c>
      <c r="H1337" s="185"/>
    </row>
    <row r="1338">
      <c r="D1338" s="185"/>
      <c r="E1338" s="185" t="s">
        <v>470</v>
      </c>
      <c r="H1338" s="185"/>
    </row>
    <row r="1339">
      <c r="D1339" s="185"/>
      <c r="E1339" s="185" t="s">
        <v>470</v>
      </c>
      <c r="H1339" s="185"/>
    </row>
    <row r="1340">
      <c r="D1340" s="185"/>
      <c r="E1340" s="185" t="s">
        <v>470</v>
      </c>
      <c r="H1340" s="185"/>
    </row>
    <row r="1341">
      <c r="D1341" s="185"/>
      <c r="E1341" s="185" t="s">
        <v>470</v>
      </c>
      <c r="H1341" s="185"/>
    </row>
    <row r="1342">
      <c r="D1342" s="185"/>
      <c r="E1342" s="185" t="s">
        <v>470</v>
      </c>
      <c r="H1342" s="185"/>
    </row>
    <row r="1343">
      <c r="D1343" s="185"/>
      <c r="E1343" s="185" t="s">
        <v>470</v>
      </c>
      <c r="H1343" s="185"/>
    </row>
    <row r="1344">
      <c r="D1344" s="185"/>
      <c r="E1344" s="185" t="s">
        <v>470</v>
      </c>
      <c r="H1344" s="185"/>
    </row>
    <row r="1345">
      <c r="D1345" s="185"/>
      <c r="E1345" s="185" t="s">
        <v>470</v>
      </c>
      <c r="H1345" s="185"/>
    </row>
    <row r="1346">
      <c r="D1346" s="185"/>
      <c r="E1346" s="185" t="s">
        <v>470</v>
      </c>
      <c r="H1346" s="185"/>
    </row>
    <row r="1347">
      <c r="D1347" s="185"/>
      <c r="E1347" s="185" t="s">
        <v>470</v>
      </c>
      <c r="H1347" s="185"/>
    </row>
    <row r="1348">
      <c r="D1348" s="185"/>
      <c r="E1348" s="185" t="s">
        <v>470</v>
      </c>
      <c r="H1348" s="185"/>
    </row>
    <row r="1349">
      <c r="D1349" s="185"/>
      <c r="E1349" s="185" t="s">
        <v>470</v>
      </c>
      <c r="H1349" s="185"/>
    </row>
    <row r="1350">
      <c r="D1350" s="185"/>
      <c r="E1350" s="185" t="s">
        <v>470</v>
      </c>
      <c r="H1350" s="185"/>
    </row>
    <row r="1351">
      <c r="D1351" s="185"/>
      <c r="E1351" s="185" t="s">
        <v>470</v>
      </c>
      <c r="H1351" s="185"/>
    </row>
    <row r="1352">
      <c r="D1352" s="185"/>
      <c r="E1352" s="185" t="s">
        <v>470</v>
      </c>
      <c r="H1352" s="185"/>
    </row>
    <row r="1353">
      <c r="D1353" s="185"/>
      <c r="E1353" s="185" t="s">
        <v>470</v>
      </c>
      <c r="H1353" s="185"/>
    </row>
    <row r="1354">
      <c r="D1354" s="185"/>
      <c r="E1354" s="185" t="s">
        <v>470</v>
      </c>
      <c r="H1354" s="185"/>
    </row>
    <row r="1355">
      <c r="D1355" s="185"/>
      <c r="E1355" s="185" t="s">
        <v>470</v>
      </c>
      <c r="H1355" s="185"/>
    </row>
    <row r="1356">
      <c r="D1356" s="185"/>
      <c r="E1356" s="185" t="s">
        <v>470</v>
      </c>
      <c r="H1356" s="185"/>
    </row>
    <row r="1357">
      <c r="D1357" s="185"/>
      <c r="E1357" s="185" t="s">
        <v>470</v>
      </c>
      <c r="H1357" s="185"/>
    </row>
    <row r="1358">
      <c r="D1358" s="185"/>
      <c r="E1358" s="185" t="s">
        <v>470</v>
      </c>
      <c r="H1358" s="185"/>
    </row>
    <row r="1359">
      <c r="D1359" s="185"/>
      <c r="E1359" s="185" t="s">
        <v>470</v>
      </c>
      <c r="H1359" s="185"/>
    </row>
    <row r="1360">
      <c r="D1360" s="185"/>
      <c r="E1360" s="185" t="s">
        <v>470</v>
      </c>
      <c r="H1360" s="185"/>
    </row>
    <row r="1361">
      <c r="D1361" s="185"/>
      <c r="E1361" s="185" t="s">
        <v>470</v>
      </c>
      <c r="H1361" s="185"/>
    </row>
    <row r="1362">
      <c r="D1362" s="185"/>
      <c r="E1362" s="185" t="s">
        <v>470</v>
      </c>
      <c r="H1362" s="185"/>
    </row>
    <row r="1363">
      <c r="D1363" s="185"/>
      <c r="E1363" s="185" t="s">
        <v>470</v>
      </c>
      <c r="H1363" s="185"/>
    </row>
    <row r="1364">
      <c r="D1364" s="185"/>
      <c r="E1364" s="185" t="s">
        <v>470</v>
      </c>
      <c r="H1364" s="185"/>
    </row>
    <row r="1365">
      <c r="D1365" s="185"/>
      <c r="E1365" s="185" t="s">
        <v>470</v>
      </c>
      <c r="H1365" s="185"/>
    </row>
    <row r="1366">
      <c r="D1366" s="185"/>
      <c r="E1366" s="185" t="s">
        <v>470</v>
      </c>
      <c r="H1366" s="185"/>
    </row>
    <row r="1367">
      <c r="D1367" s="185"/>
      <c r="E1367" s="185" t="s">
        <v>470</v>
      </c>
      <c r="H1367" s="185"/>
    </row>
    <row r="1368">
      <c r="D1368" s="185"/>
      <c r="E1368" s="185" t="s">
        <v>470</v>
      </c>
      <c r="H1368" s="185"/>
    </row>
    <row r="1369">
      <c r="D1369" s="185"/>
      <c r="E1369" s="185" t="s">
        <v>470</v>
      </c>
      <c r="H1369" s="185"/>
    </row>
    <row r="1370">
      <c r="D1370" s="185"/>
      <c r="E1370" s="185" t="s">
        <v>470</v>
      </c>
      <c r="H1370" s="185"/>
    </row>
    <row r="1371">
      <c r="D1371" s="185"/>
      <c r="E1371" s="185" t="s">
        <v>470</v>
      </c>
      <c r="H1371" s="185"/>
    </row>
    <row r="1372">
      <c r="D1372" s="185"/>
      <c r="E1372" s="185" t="s">
        <v>470</v>
      </c>
      <c r="H1372" s="185"/>
    </row>
    <row r="1373">
      <c r="D1373" s="185"/>
      <c r="E1373" s="185" t="s">
        <v>470</v>
      </c>
      <c r="H1373" s="185"/>
    </row>
    <row r="1374">
      <c r="D1374" s="185"/>
      <c r="E1374" s="185" t="s">
        <v>470</v>
      </c>
      <c r="H1374" s="185"/>
    </row>
    <row r="1375">
      <c r="D1375" s="185"/>
      <c r="E1375" s="185" t="s">
        <v>470</v>
      </c>
      <c r="H1375" s="185"/>
    </row>
    <row r="1376">
      <c r="D1376" s="185"/>
      <c r="E1376" s="185" t="s">
        <v>470</v>
      </c>
      <c r="H1376" s="185"/>
    </row>
    <row r="1377">
      <c r="D1377" s="185"/>
      <c r="E1377" s="185" t="s">
        <v>470</v>
      </c>
      <c r="H1377" s="185"/>
    </row>
    <row r="1378">
      <c r="D1378" s="185"/>
      <c r="E1378" s="185" t="s">
        <v>470</v>
      </c>
      <c r="H1378" s="185"/>
    </row>
    <row r="1379">
      <c r="D1379" s="185"/>
      <c r="E1379" s="185" t="s">
        <v>470</v>
      </c>
      <c r="H1379" s="185"/>
    </row>
    <row r="1380">
      <c r="D1380" s="185"/>
      <c r="E1380" s="185" t="s">
        <v>470</v>
      </c>
      <c r="H1380" s="185"/>
    </row>
    <row r="1381">
      <c r="D1381" s="185"/>
      <c r="E1381" s="185" t="s">
        <v>470</v>
      </c>
      <c r="H1381" s="185"/>
    </row>
    <row r="1382">
      <c r="D1382" s="185"/>
      <c r="E1382" s="185" t="s">
        <v>470</v>
      </c>
      <c r="H1382" s="185"/>
    </row>
    <row r="1383">
      <c r="D1383" s="185"/>
      <c r="E1383" s="185" t="s">
        <v>470</v>
      </c>
      <c r="H1383" s="185"/>
    </row>
    <row r="1384">
      <c r="D1384" s="185"/>
      <c r="E1384" s="185" t="s">
        <v>470</v>
      </c>
      <c r="H1384" s="185"/>
    </row>
    <row r="1385">
      <c r="D1385" s="185"/>
      <c r="E1385" s="185" t="s">
        <v>470</v>
      </c>
      <c r="H1385" s="185"/>
    </row>
    <row r="1386">
      <c r="D1386" s="185"/>
      <c r="E1386" s="185" t="s">
        <v>470</v>
      </c>
      <c r="H1386" s="185"/>
    </row>
    <row r="1387">
      <c r="D1387" s="185"/>
      <c r="E1387" s="185" t="s">
        <v>470</v>
      </c>
      <c r="H1387" s="185"/>
    </row>
    <row r="1388">
      <c r="D1388" s="185"/>
      <c r="E1388" s="185" t="s">
        <v>470</v>
      </c>
      <c r="H1388" s="185"/>
    </row>
    <row r="1389">
      <c r="D1389" s="185"/>
      <c r="E1389" s="185" t="s">
        <v>470</v>
      </c>
      <c r="H1389" s="185"/>
    </row>
    <row r="1390">
      <c r="D1390" s="185"/>
      <c r="E1390" s="185" t="s">
        <v>470</v>
      </c>
      <c r="H1390" s="185"/>
    </row>
    <row r="1391">
      <c r="D1391" s="185"/>
      <c r="E1391" s="185" t="s">
        <v>470</v>
      </c>
      <c r="H1391" s="185"/>
    </row>
    <row r="1392">
      <c r="D1392" s="185"/>
      <c r="E1392" s="185" t="s">
        <v>470</v>
      </c>
      <c r="H1392" s="185"/>
    </row>
    <row r="1393">
      <c r="D1393" s="185"/>
      <c r="E1393" s="185" t="s">
        <v>470</v>
      </c>
      <c r="H1393" s="185"/>
    </row>
    <row r="1394">
      <c r="D1394" s="185"/>
      <c r="E1394" s="185" t="s">
        <v>470</v>
      </c>
      <c r="H1394" s="185"/>
    </row>
    <row r="1395">
      <c r="D1395" s="185"/>
      <c r="E1395" s="185" t="s">
        <v>470</v>
      </c>
      <c r="H1395" s="185"/>
    </row>
    <row r="1396">
      <c r="D1396" s="185"/>
      <c r="E1396" s="185" t="s">
        <v>470</v>
      </c>
      <c r="H1396" s="185"/>
    </row>
    <row r="1397">
      <c r="D1397" s="185"/>
      <c r="E1397" s="185" t="s">
        <v>470</v>
      </c>
      <c r="H1397" s="185"/>
    </row>
    <row r="1398">
      <c r="D1398" s="185"/>
      <c r="E1398" s="185" t="s">
        <v>470</v>
      </c>
      <c r="H1398" s="185"/>
    </row>
    <row r="1399">
      <c r="D1399" s="185"/>
      <c r="E1399" s="185" t="s">
        <v>470</v>
      </c>
      <c r="H1399" s="185"/>
    </row>
    <row r="1400">
      <c r="D1400" s="185"/>
      <c r="E1400" s="185" t="s">
        <v>470</v>
      </c>
      <c r="H1400" s="185"/>
    </row>
    <row r="1401">
      <c r="D1401" s="185"/>
      <c r="E1401" s="185" t="s">
        <v>470</v>
      </c>
      <c r="H1401" s="185"/>
    </row>
    <row r="1402">
      <c r="D1402" s="185"/>
      <c r="E1402" s="185" t="s">
        <v>470</v>
      </c>
      <c r="H1402" s="185"/>
    </row>
    <row r="1403">
      <c r="D1403" s="185"/>
      <c r="E1403" s="185" t="s">
        <v>470</v>
      </c>
      <c r="H1403" s="185"/>
    </row>
    <row r="1404">
      <c r="D1404" s="185"/>
      <c r="E1404" s="185" t="s">
        <v>470</v>
      </c>
      <c r="H1404" s="185"/>
    </row>
    <row r="1405">
      <c r="D1405" s="185"/>
      <c r="E1405" s="185" t="s">
        <v>470</v>
      </c>
      <c r="H1405" s="185"/>
    </row>
    <row r="1406">
      <c r="D1406" s="185"/>
      <c r="E1406" s="185" t="s">
        <v>470</v>
      </c>
      <c r="H1406" s="185"/>
    </row>
    <row r="1407">
      <c r="D1407" s="185"/>
      <c r="E1407" s="185" t="s">
        <v>470</v>
      </c>
      <c r="H1407" s="185"/>
    </row>
    <row r="1408">
      <c r="D1408" s="185"/>
      <c r="E1408" s="185" t="s">
        <v>470</v>
      </c>
      <c r="H1408" s="185"/>
    </row>
    <row r="1409">
      <c r="D1409" s="185"/>
      <c r="E1409" s="185" t="s">
        <v>470</v>
      </c>
      <c r="H1409" s="185"/>
    </row>
    <row r="1410">
      <c r="D1410" s="185"/>
      <c r="E1410" s="185" t="s">
        <v>470</v>
      </c>
      <c r="H1410" s="185"/>
    </row>
    <row r="1411">
      <c r="D1411" s="185"/>
      <c r="E1411" s="185" t="s">
        <v>470</v>
      </c>
      <c r="H1411" s="185"/>
    </row>
    <row r="1412">
      <c r="D1412" s="185"/>
      <c r="E1412" s="185" t="s">
        <v>470</v>
      </c>
      <c r="H1412" s="185"/>
    </row>
    <row r="1413">
      <c r="D1413" s="185"/>
      <c r="E1413" s="185" t="s">
        <v>470</v>
      </c>
      <c r="H1413" s="185"/>
    </row>
    <row r="1414">
      <c r="D1414" s="185"/>
      <c r="E1414" s="185" t="s">
        <v>470</v>
      </c>
      <c r="H1414" s="185"/>
    </row>
    <row r="1415">
      <c r="D1415" s="185"/>
      <c r="E1415" s="185" t="s">
        <v>470</v>
      </c>
      <c r="H1415" s="185"/>
    </row>
    <row r="1416">
      <c r="D1416" s="185"/>
      <c r="E1416" s="185" t="s">
        <v>470</v>
      </c>
      <c r="H1416" s="185"/>
    </row>
    <row r="1417">
      <c r="D1417" s="185"/>
      <c r="E1417" s="185" t="s">
        <v>470</v>
      </c>
      <c r="H1417" s="185"/>
    </row>
    <row r="1418">
      <c r="D1418" s="185"/>
      <c r="E1418" s="185" t="s">
        <v>470</v>
      </c>
      <c r="H1418" s="185"/>
    </row>
    <row r="1419">
      <c r="D1419" s="185"/>
      <c r="E1419" s="185" t="s">
        <v>470</v>
      </c>
      <c r="H1419" s="185"/>
    </row>
    <row r="1420">
      <c r="D1420" s="185"/>
      <c r="E1420" s="185" t="s">
        <v>470</v>
      </c>
      <c r="H1420" s="185"/>
    </row>
    <row r="1421">
      <c r="D1421" s="185"/>
      <c r="E1421" s="185" t="s">
        <v>470</v>
      </c>
      <c r="H1421" s="185"/>
    </row>
    <row r="1422">
      <c r="D1422" s="185"/>
      <c r="E1422" s="185" t="s">
        <v>470</v>
      </c>
      <c r="H1422" s="185"/>
    </row>
    <row r="1423">
      <c r="D1423" s="185"/>
      <c r="E1423" s="185" t="s">
        <v>470</v>
      </c>
      <c r="H1423" s="185"/>
    </row>
    <row r="1424">
      <c r="D1424" s="185"/>
      <c r="E1424" s="185" t="s">
        <v>470</v>
      </c>
      <c r="H1424" s="185"/>
    </row>
    <row r="1425">
      <c r="D1425" s="185"/>
      <c r="E1425" s="185" t="s">
        <v>470</v>
      </c>
      <c r="H1425" s="185"/>
    </row>
    <row r="1426">
      <c r="D1426" s="185"/>
      <c r="E1426" s="185" t="s">
        <v>470</v>
      </c>
      <c r="H1426" s="185"/>
    </row>
    <row r="1427">
      <c r="D1427" s="185"/>
      <c r="E1427" s="185" t="s">
        <v>470</v>
      </c>
      <c r="H1427" s="185"/>
    </row>
    <row r="1428">
      <c r="D1428" s="185"/>
      <c r="E1428" s="185" t="s">
        <v>470</v>
      </c>
      <c r="H1428" s="185"/>
    </row>
    <row r="1429">
      <c r="D1429" s="185"/>
      <c r="E1429" s="185" t="s">
        <v>470</v>
      </c>
      <c r="H1429" s="185"/>
    </row>
    <row r="1430">
      <c r="D1430" s="185"/>
      <c r="E1430" s="185" t="s">
        <v>470</v>
      </c>
      <c r="H1430" s="185"/>
    </row>
    <row r="1431">
      <c r="D1431" s="185"/>
      <c r="E1431" s="185" t="s">
        <v>470</v>
      </c>
      <c r="H1431" s="185"/>
    </row>
    <row r="1432">
      <c r="D1432" s="185"/>
      <c r="E1432" s="185" t="s">
        <v>470</v>
      </c>
      <c r="H1432" s="185"/>
    </row>
    <row r="1433">
      <c r="D1433" s="185"/>
      <c r="E1433" s="185" t="s">
        <v>470</v>
      </c>
      <c r="H1433" s="185"/>
    </row>
    <row r="1434">
      <c r="D1434" s="185"/>
      <c r="E1434" s="185" t="s">
        <v>470</v>
      </c>
      <c r="H1434" s="185"/>
    </row>
    <row r="1435">
      <c r="D1435" s="185"/>
      <c r="E1435" s="185" t="s">
        <v>470</v>
      </c>
      <c r="H1435" s="185"/>
    </row>
    <row r="1436">
      <c r="D1436" s="185"/>
      <c r="E1436" s="185" t="s">
        <v>470</v>
      </c>
      <c r="H1436" s="185"/>
    </row>
    <row r="1437">
      <c r="D1437" s="185"/>
      <c r="E1437" s="185" t="s">
        <v>470</v>
      </c>
      <c r="H1437" s="185"/>
    </row>
    <row r="1438">
      <c r="D1438" s="185"/>
      <c r="E1438" s="185" t="s">
        <v>470</v>
      </c>
      <c r="H1438" s="185"/>
    </row>
    <row r="1439">
      <c r="D1439" s="185"/>
      <c r="E1439" s="185" t="s">
        <v>470</v>
      </c>
      <c r="H1439" s="185"/>
    </row>
    <row r="1440">
      <c r="D1440" s="185"/>
      <c r="E1440" s="185" t="s">
        <v>470</v>
      </c>
      <c r="H1440" s="185"/>
    </row>
    <row r="1441">
      <c r="D1441" s="185"/>
      <c r="E1441" s="185" t="s">
        <v>470</v>
      </c>
      <c r="H1441" s="185"/>
    </row>
    <row r="1442">
      <c r="D1442" s="185"/>
      <c r="E1442" s="185" t="s">
        <v>470</v>
      </c>
      <c r="H1442" s="185"/>
    </row>
    <row r="1443">
      <c r="D1443" s="185"/>
      <c r="E1443" s="185" t="s">
        <v>470</v>
      </c>
      <c r="H1443" s="185"/>
    </row>
    <row r="1444">
      <c r="D1444" s="185"/>
      <c r="E1444" s="185" t="s">
        <v>470</v>
      </c>
      <c r="H1444" s="185"/>
    </row>
    <row r="1445">
      <c r="D1445" s="185"/>
      <c r="E1445" s="185" t="s">
        <v>470</v>
      </c>
      <c r="H1445" s="185"/>
    </row>
    <row r="1446">
      <c r="D1446" s="185"/>
      <c r="E1446" s="185" t="s">
        <v>470</v>
      </c>
      <c r="H1446" s="185"/>
    </row>
    <row r="1447">
      <c r="D1447" s="185"/>
      <c r="E1447" s="185" t="s">
        <v>470</v>
      </c>
      <c r="H1447" s="185"/>
    </row>
    <row r="1448">
      <c r="D1448" s="185"/>
      <c r="E1448" s="185" t="s">
        <v>470</v>
      </c>
      <c r="H1448" s="185"/>
    </row>
    <row r="1449">
      <c r="D1449" s="185"/>
      <c r="E1449" s="185" t="s">
        <v>470</v>
      </c>
      <c r="H1449" s="185"/>
    </row>
    <row r="1450">
      <c r="D1450" s="185"/>
      <c r="E1450" s="185" t="s">
        <v>470</v>
      </c>
      <c r="H1450" s="185"/>
    </row>
    <row r="1451">
      <c r="D1451" s="185"/>
      <c r="E1451" s="185" t="s">
        <v>470</v>
      </c>
      <c r="H1451" s="185"/>
    </row>
    <row r="1452">
      <c r="D1452" s="185"/>
      <c r="E1452" s="185" t="s">
        <v>470</v>
      </c>
      <c r="H1452" s="185"/>
    </row>
    <row r="1453">
      <c r="D1453" s="185"/>
      <c r="E1453" s="185" t="s">
        <v>470</v>
      </c>
      <c r="H1453" s="185"/>
    </row>
    <row r="1454">
      <c r="D1454" s="185"/>
      <c r="E1454" s="185" t="s">
        <v>470</v>
      </c>
      <c r="H1454" s="185"/>
    </row>
    <row r="1455">
      <c r="D1455" s="185"/>
      <c r="E1455" s="185" t="s">
        <v>470</v>
      </c>
      <c r="H1455" s="185"/>
    </row>
    <row r="1456">
      <c r="D1456" s="185"/>
      <c r="E1456" s="185" t="s">
        <v>470</v>
      </c>
      <c r="H1456" s="185"/>
    </row>
    <row r="1457">
      <c r="D1457" s="185"/>
      <c r="E1457" s="185" t="s">
        <v>470</v>
      </c>
      <c r="H1457" s="185"/>
    </row>
    <row r="1458">
      <c r="D1458" s="185"/>
      <c r="E1458" s="185" t="s">
        <v>470</v>
      </c>
      <c r="H1458" s="185"/>
    </row>
    <row r="1459">
      <c r="D1459" s="185"/>
      <c r="E1459" s="185" t="s">
        <v>470</v>
      </c>
      <c r="H1459" s="185"/>
    </row>
    <row r="1460">
      <c r="D1460" s="185"/>
      <c r="E1460" s="185" t="s">
        <v>470</v>
      </c>
      <c r="H1460" s="185"/>
    </row>
    <row r="1461">
      <c r="D1461" s="185"/>
      <c r="E1461" s="185" t="s">
        <v>470</v>
      </c>
      <c r="H1461" s="185"/>
    </row>
    <row r="1462">
      <c r="D1462" s="185"/>
      <c r="E1462" s="185" t="s">
        <v>470</v>
      </c>
      <c r="H1462" s="185"/>
    </row>
    <row r="1463">
      <c r="D1463" s="185"/>
      <c r="E1463" s="185" t="s">
        <v>470</v>
      </c>
      <c r="H1463" s="185"/>
    </row>
    <row r="1464">
      <c r="D1464" s="185"/>
      <c r="E1464" s="185" t="s">
        <v>470</v>
      </c>
      <c r="H1464" s="185"/>
    </row>
    <row r="1465">
      <c r="D1465" s="185"/>
      <c r="E1465" s="185" t="s">
        <v>470</v>
      </c>
      <c r="H1465" s="185"/>
    </row>
    <row r="1466">
      <c r="D1466" s="185"/>
      <c r="E1466" s="185" t="s">
        <v>470</v>
      </c>
      <c r="H1466" s="185"/>
    </row>
    <row r="1467">
      <c r="D1467" s="185"/>
      <c r="E1467" s="185" t="s">
        <v>470</v>
      </c>
      <c r="H1467" s="185"/>
    </row>
    <row r="1468">
      <c r="D1468" s="185"/>
      <c r="E1468" s="185" t="s">
        <v>470</v>
      </c>
      <c r="H1468" s="185"/>
    </row>
    <row r="1469">
      <c r="D1469" s="185"/>
      <c r="E1469" s="185" t="s">
        <v>470</v>
      </c>
      <c r="H1469" s="185"/>
    </row>
    <row r="1470">
      <c r="D1470" s="185"/>
      <c r="E1470" s="185" t="s">
        <v>470</v>
      </c>
      <c r="H1470" s="185"/>
    </row>
    <row r="1471">
      <c r="D1471" s="185"/>
      <c r="E1471" s="185" t="s">
        <v>470</v>
      </c>
      <c r="H1471" s="185"/>
    </row>
    <row r="1472">
      <c r="D1472" s="185"/>
      <c r="E1472" s="185" t="s">
        <v>470</v>
      </c>
      <c r="H1472" s="185"/>
    </row>
    <row r="1473">
      <c r="D1473" s="185"/>
      <c r="E1473" s="185" t="s">
        <v>470</v>
      </c>
      <c r="H1473" s="185"/>
    </row>
    <row r="1474">
      <c r="D1474" s="185"/>
      <c r="E1474" s="185" t="s">
        <v>470</v>
      </c>
      <c r="H1474" s="185"/>
    </row>
    <row r="1475">
      <c r="D1475" s="185"/>
      <c r="E1475" s="185" t="s">
        <v>470</v>
      </c>
      <c r="H1475" s="185"/>
    </row>
    <row r="1476">
      <c r="D1476" s="185"/>
      <c r="E1476" s="185" t="s">
        <v>470</v>
      </c>
      <c r="H1476" s="185"/>
    </row>
    <row r="1477">
      <c r="D1477" s="185"/>
      <c r="E1477" s="185" t="s">
        <v>470</v>
      </c>
      <c r="H1477" s="185"/>
    </row>
    <row r="1478">
      <c r="D1478" s="185"/>
      <c r="E1478" s="185" t="s">
        <v>470</v>
      </c>
      <c r="H1478" s="185"/>
    </row>
    <row r="1479">
      <c r="D1479" s="185"/>
      <c r="E1479" s="185" t="s">
        <v>470</v>
      </c>
      <c r="H1479" s="185"/>
    </row>
    <row r="1480">
      <c r="D1480" s="185"/>
      <c r="E1480" s="185" t="s">
        <v>470</v>
      </c>
      <c r="H1480" s="185"/>
    </row>
    <row r="1481">
      <c r="D1481" s="185"/>
      <c r="E1481" s="185" t="s">
        <v>470</v>
      </c>
      <c r="H1481" s="185"/>
    </row>
    <row r="1482">
      <c r="D1482" s="185"/>
      <c r="E1482" s="185" t="s">
        <v>470</v>
      </c>
      <c r="H1482" s="185"/>
    </row>
    <row r="1483">
      <c r="D1483" s="185"/>
      <c r="E1483" s="185" t="s">
        <v>470</v>
      </c>
      <c r="H1483" s="185"/>
    </row>
    <row r="1484">
      <c r="D1484" s="185"/>
      <c r="E1484" s="185" t="s">
        <v>470</v>
      </c>
      <c r="H1484" s="185"/>
    </row>
    <row r="1485">
      <c r="D1485" s="185"/>
      <c r="E1485" s="185" t="s">
        <v>470</v>
      </c>
      <c r="H1485" s="185"/>
    </row>
    <row r="1486">
      <c r="D1486" s="185"/>
      <c r="E1486" s="185" t="s">
        <v>470</v>
      </c>
      <c r="H1486" s="185"/>
    </row>
    <row r="1487">
      <c r="D1487" s="185"/>
      <c r="E1487" s="185" t="s">
        <v>470</v>
      </c>
      <c r="H1487" s="185"/>
    </row>
    <row r="1488">
      <c r="D1488" s="185"/>
      <c r="E1488" s="185" t="s">
        <v>470</v>
      </c>
      <c r="H1488" s="185"/>
    </row>
    <row r="1489">
      <c r="D1489" s="185"/>
      <c r="E1489" s="185" t="s">
        <v>470</v>
      </c>
      <c r="H1489" s="185"/>
    </row>
    <row r="1490">
      <c r="D1490" s="185"/>
      <c r="E1490" s="185" t="s">
        <v>470</v>
      </c>
      <c r="H1490" s="185"/>
    </row>
    <row r="1491">
      <c r="D1491" s="185"/>
      <c r="E1491" s="185" t="s">
        <v>470</v>
      </c>
      <c r="H1491" s="185"/>
    </row>
    <row r="1492">
      <c r="D1492" s="185"/>
      <c r="E1492" s="185" t="s">
        <v>470</v>
      </c>
      <c r="H1492" s="185"/>
    </row>
    <row r="1493">
      <c r="D1493" s="185"/>
      <c r="E1493" s="185" t="s">
        <v>470</v>
      </c>
      <c r="H1493" s="185"/>
    </row>
    <row r="1494">
      <c r="D1494" s="185"/>
      <c r="E1494" s="185" t="s">
        <v>470</v>
      </c>
      <c r="H1494" s="185"/>
    </row>
    <row r="1495">
      <c r="D1495" s="185"/>
      <c r="E1495" s="185" t="s">
        <v>470</v>
      </c>
      <c r="H1495" s="185"/>
    </row>
    <row r="1496">
      <c r="D1496" s="185"/>
      <c r="E1496" s="185" t="s">
        <v>470</v>
      </c>
      <c r="H1496" s="185"/>
    </row>
    <row r="1497">
      <c r="D1497" s="185"/>
      <c r="E1497" s="185" t="s">
        <v>470</v>
      </c>
      <c r="H1497" s="185"/>
    </row>
    <row r="1498">
      <c r="D1498" s="185"/>
      <c r="E1498" s="185" t="s">
        <v>470</v>
      </c>
      <c r="H1498" s="185"/>
    </row>
    <row r="1499">
      <c r="D1499" s="185"/>
      <c r="E1499" s="185" t="s">
        <v>470</v>
      </c>
      <c r="H1499" s="185"/>
    </row>
    <row r="1500">
      <c r="D1500" s="185"/>
      <c r="E1500" s="185" t="s">
        <v>470</v>
      </c>
      <c r="H1500" s="185"/>
    </row>
    <row r="1501">
      <c r="D1501" s="185"/>
      <c r="E1501" s="185" t="s">
        <v>470</v>
      </c>
      <c r="H1501" s="185"/>
    </row>
    <row r="1502">
      <c r="D1502" s="185"/>
      <c r="E1502" s="185" t="s">
        <v>470</v>
      </c>
      <c r="H1502" s="185"/>
    </row>
    <row r="1503">
      <c r="D1503" s="185"/>
      <c r="E1503" s="185" t="s">
        <v>470</v>
      </c>
      <c r="H1503" s="185"/>
    </row>
    <row r="1504">
      <c r="D1504" s="185"/>
      <c r="E1504" s="185" t="s">
        <v>470</v>
      </c>
      <c r="H1504" s="185"/>
    </row>
    <row r="1505">
      <c r="D1505" s="185"/>
      <c r="E1505" s="185" t="s">
        <v>470</v>
      </c>
      <c r="H1505" s="185"/>
    </row>
    <row r="1506">
      <c r="D1506" s="185"/>
      <c r="E1506" s="185" t="s">
        <v>470</v>
      </c>
      <c r="H1506" s="185"/>
    </row>
    <row r="1507">
      <c r="D1507" s="185"/>
      <c r="E1507" s="185" t="s">
        <v>470</v>
      </c>
      <c r="H1507" s="185"/>
    </row>
    <row r="1508">
      <c r="D1508" s="185"/>
      <c r="E1508" s="185" t="s">
        <v>470</v>
      </c>
      <c r="H1508" s="185"/>
    </row>
    <row r="1509">
      <c r="D1509" s="185"/>
      <c r="E1509" s="185" t="s">
        <v>470</v>
      </c>
      <c r="H1509" s="185"/>
    </row>
    <row r="1510">
      <c r="D1510" s="185"/>
      <c r="E1510" s="185" t="s">
        <v>470</v>
      </c>
      <c r="H1510" s="185"/>
    </row>
    <row r="1511">
      <c r="D1511" s="185"/>
      <c r="E1511" s="185" t="s">
        <v>470</v>
      </c>
      <c r="H1511" s="185"/>
    </row>
    <row r="1512">
      <c r="D1512" s="185"/>
      <c r="E1512" s="185" t="s">
        <v>470</v>
      </c>
      <c r="H1512" s="185"/>
    </row>
    <row r="1513">
      <c r="D1513" s="185"/>
      <c r="E1513" s="185" t="s">
        <v>470</v>
      </c>
      <c r="H1513" s="185"/>
    </row>
    <row r="1514">
      <c r="D1514" s="185"/>
      <c r="E1514" s="185" t="s">
        <v>470</v>
      </c>
      <c r="H1514" s="185"/>
    </row>
    <row r="1515">
      <c r="D1515" s="185"/>
      <c r="E1515" s="185" t="s">
        <v>470</v>
      </c>
      <c r="H1515" s="185"/>
    </row>
    <row r="1516">
      <c r="D1516" s="185"/>
      <c r="E1516" s="185" t="s">
        <v>470</v>
      </c>
      <c r="H1516" s="185"/>
    </row>
    <row r="1517">
      <c r="D1517" s="185"/>
      <c r="E1517" s="185" t="s">
        <v>470</v>
      </c>
      <c r="H1517" s="185"/>
    </row>
    <row r="1518">
      <c r="D1518" s="185"/>
      <c r="E1518" s="185" t="s">
        <v>470</v>
      </c>
      <c r="H1518" s="185"/>
    </row>
    <row r="1519">
      <c r="D1519" s="185"/>
      <c r="E1519" s="185" t="s">
        <v>470</v>
      </c>
      <c r="H1519" s="185"/>
    </row>
    <row r="1520">
      <c r="D1520" s="185"/>
      <c r="E1520" s="185" t="s">
        <v>470</v>
      </c>
      <c r="H1520" s="185"/>
    </row>
    <row r="1521">
      <c r="D1521" s="185"/>
      <c r="E1521" s="185" t="s">
        <v>470</v>
      </c>
      <c r="H1521" s="185"/>
    </row>
    <row r="1522">
      <c r="D1522" s="185"/>
      <c r="E1522" s="185" t="s">
        <v>470</v>
      </c>
      <c r="H1522" s="185"/>
    </row>
    <row r="1523">
      <c r="D1523" s="185"/>
      <c r="E1523" s="185" t="s">
        <v>470</v>
      </c>
      <c r="H1523" s="185"/>
    </row>
    <row r="1524">
      <c r="D1524" s="185"/>
      <c r="E1524" s="185" t="s">
        <v>470</v>
      </c>
      <c r="H1524" s="185"/>
    </row>
    <row r="1525">
      <c r="D1525" s="185"/>
      <c r="E1525" s="185" t="s">
        <v>470</v>
      </c>
      <c r="H1525" s="185"/>
    </row>
    <row r="1526">
      <c r="D1526" s="185"/>
      <c r="E1526" s="185" t="s">
        <v>470</v>
      </c>
      <c r="H1526" s="185"/>
    </row>
    <row r="1527">
      <c r="D1527" s="185"/>
      <c r="E1527" s="185" t="s">
        <v>470</v>
      </c>
      <c r="H1527" s="185"/>
    </row>
    <row r="1528">
      <c r="D1528" s="185"/>
      <c r="E1528" s="185" t="s">
        <v>470</v>
      </c>
      <c r="H1528" s="185"/>
    </row>
    <row r="1529">
      <c r="D1529" s="185"/>
      <c r="E1529" s="185" t="s">
        <v>470</v>
      </c>
      <c r="H1529" s="185"/>
    </row>
    <row r="1530">
      <c r="D1530" s="185"/>
      <c r="E1530" s="185" t="s">
        <v>470</v>
      </c>
      <c r="H1530" s="185"/>
    </row>
    <row r="1531">
      <c r="D1531" s="185"/>
      <c r="E1531" s="185" t="s">
        <v>470</v>
      </c>
      <c r="H1531" s="185"/>
    </row>
    <row r="1532">
      <c r="D1532" s="185"/>
      <c r="E1532" s="185" t="s">
        <v>470</v>
      </c>
      <c r="H1532" s="185"/>
    </row>
    <row r="1533">
      <c r="D1533" s="185"/>
      <c r="E1533" s="185" t="s">
        <v>470</v>
      </c>
      <c r="H1533" s="185"/>
    </row>
    <row r="1534">
      <c r="D1534" s="185"/>
      <c r="E1534" s="185" t="s">
        <v>470</v>
      </c>
      <c r="H1534" s="185"/>
    </row>
    <row r="1535">
      <c r="D1535" s="185"/>
      <c r="E1535" s="185" t="s">
        <v>470</v>
      </c>
      <c r="H1535" s="185"/>
    </row>
    <row r="1536">
      <c r="D1536" s="185"/>
      <c r="E1536" s="185" t="s">
        <v>470</v>
      </c>
      <c r="H1536" s="185"/>
    </row>
    <row r="1537">
      <c r="D1537" s="185"/>
      <c r="E1537" s="185" t="s">
        <v>470</v>
      </c>
      <c r="H1537" s="185"/>
    </row>
    <row r="1538">
      <c r="D1538" s="185"/>
      <c r="E1538" s="185" t="s">
        <v>470</v>
      </c>
      <c r="H1538" s="185"/>
    </row>
    <row r="1539">
      <c r="D1539" s="185"/>
      <c r="E1539" s="185" t="s">
        <v>470</v>
      </c>
      <c r="H1539" s="185"/>
    </row>
    <row r="1540">
      <c r="D1540" s="185"/>
      <c r="E1540" s="185" t="s">
        <v>470</v>
      </c>
      <c r="H1540" s="185"/>
    </row>
    <row r="1541">
      <c r="D1541" s="185"/>
      <c r="E1541" s="185" t="s">
        <v>470</v>
      </c>
      <c r="H1541" s="185"/>
    </row>
    <row r="1542">
      <c r="D1542" s="185"/>
      <c r="E1542" s="185" t="s">
        <v>470</v>
      </c>
      <c r="H1542" s="185"/>
    </row>
    <row r="1543">
      <c r="D1543" s="185"/>
      <c r="E1543" s="185" t="s">
        <v>470</v>
      </c>
      <c r="H1543" s="185"/>
    </row>
    <row r="1544">
      <c r="D1544" s="185"/>
      <c r="E1544" s="185" t="s">
        <v>470</v>
      </c>
      <c r="H1544" s="185"/>
    </row>
    <row r="1545">
      <c r="D1545" s="185"/>
      <c r="E1545" s="185" t="s">
        <v>470</v>
      </c>
      <c r="H1545" s="185"/>
    </row>
    <row r="1546">
      <c r="D1546" s="185"/>
      <c r="E1546" s="185" t="s">
        <v>470</v>
      </c>
      <c r="H1546" s="185"/>
    </row>
    <row r="1547">
      <c r="D1547" s="185"/>
      <c r="E1547" s="185" t="s">
        <v>470</v>
      </c>
      <c r="H1547" s="185"/>
    </row>
    <row r="1548">
      <c r="D1548" s="185"/>
      <c r="E1548" s="185" t="s">
        <v>470</v>
      </c>
      <c r="H1548" s="185"/>
    </row>
    <row r="1549">
      <c r="D1549" s="185"/>
      <c r="E1549" s="185" t="s">
        <v>470</v>
      </c>
      <c r="H1549" s="185"/>
    </row>
    <row r="1550">
      <c r="D1550" s="185"/>
      <c r="E1550" s="185" t="s">
        <v>470</v>
      </c>
      <c r="H1550" s="185"/>
    </row>
    <row r="1551">
      <c r="D1551" s="185"/>
      <c r="E1551" s="185" t="s">
        <v>470</v>
      </c>
      <c r="H1551" s="185"/>
    </row>
    <row r="1552">
      <c r="D1552" s="185"/>
      <c r="E1552" s="185" t="s">
        <v>470</v>
      </c>
      <c r="H1552" s="185"/>
    </row>
    <row r="1553">
      <c r="D1553" s="185"/>
      <c r="E1553" s="185" t="s">
        <v>470</v>
      </c>
      <c r="H1553" s="185"/>
    </row>
    <row r="1554">
      <c r="D1554" s="185"/>
      <c r="E1554" s="185" t="s">
        <v>470</v>
      </c>
      <c r="H1554" s="185"/>
    </row>
    <row r="1555">
      <c r="D1555" s="185"/>
      <c r="E1555" s="185" t="s">
        <v>470</v>
      </c>
      <c r="H1555" s="185"/>
    </row>
    <row r="1556">
      <c r="D1556" s="185"/>
      <c r="E1556" s="185" t="s">
        <v>470</v>
      </c>
      <c r="H1556" s="185"/>
    </row>
    <row r="1557">
      <c r="D1557" s="185"/>
      <c r="E1557" s="185" t="s">
        <v>470</v>
      </c>
      <c r="H1557" s="185"/>
    </row>
    <row r="1558">
      <c r="D1558" s="185"/>
      <c r="E1558" s="185" t="s">
        <v>470</v>
      </c>
      <c r="H1558" s="185"/>
    </row>
    <row r="1559">
      <c r="D1559" s="185"/>
      <c r="E1559" s="185" t="s">
        <v>470</v>
      </c>
      <c r="H1559" s="185"/>
    </row>
    <row r="1560">
      <c r="D1560" s="185"/>
      <c r="E1560" s="185" t="s">
        <v>470</v>
      </c>
      <c r="H1560" s="185"/>
    </row>
    <row r="1561">
      <c r="D1561" s="185"/>
      <c r="E1561" s="185" t="s">
        <v>470</v>
      </c>
      <c r="H1561" s="185"/>
    </row>
    <row r="1562">
      <c r="D1562" s="185"/>
      <c r="E1562" s="185" t="s">
        <v>470</v>
      </c>
      <c r="H1562" s="185"/>
    </row>
    <row r="1563">
      <c r="D1563" s="185"/>
      <c r="E1563" s="185" t="s">
        <v>470</v>
      </c>
      <c r="H1563" s="185"/>
    </row>
    <row r="1564">
      <c r="D1564" s="185"/>
      <c r="E1564" s="185" t="s">
        <v>470</v>
      </c>
      <c r="H1564" s="185"/>
    </row>
    <row r="1565">
      <c r="D1565" s="185"/>
      <c r="E1565" s="185" t="s">
        <v>470</v>
      </c>
      <c r="H1565" s="185"/>
    </row>
    <row r="1566">
      <c r="D1566" s="185"/>
      <c r="E1566" s="185" t="s">
        <v>470</v>
      </c>
      <c r="H1566" s="185"/>
    </row>
    <row r="1567">
      <c r="D1567" s="185"/>
      <c r="E1567" s="185" t="s">
        <v>470</v>
      </c>
      <c r="H1567" s="185"/>
    </row>
    <row r="1568">
      <c r="D1568" s="185"/>
      <c r="E1568" s="185" t="s">
        <v>470</v>
      </c>
      <c r="H1568" s="185"/>
    </row>
    <row r="1569">
      <c r="D1569" s="185"/>
      <c r="E1569" s="185" t="s">
        <v>470</v>
      </c>
      <c r="H1569" s="185"/>
    </row>
    <row r="1570">
      <c r="D1570" s="185"/>
      <c r="E1570" s="185" t="s">
        <v>470</v>
      </c>
      <c r="H1570" s="185"/>
    </row>
    <row r="1571">
      <c r="D1571" s="185"/>
      <c r="E1571" s="185" t="s">
        <v>470</v>
      </c>
      <c r="H1571" s="185"/>
    </row>
    <row r="1572">
      <c r="D1572" s="185"/>
      <c r="E1572" s="185" t="s">
        <v>470</v>
      </c>
      <c r="H1572" s="185"/>
    </row>
    <row r="1573">
      <c r="D1573" s="185"/>
      <c r="E1573" s="185" t="s">
        <v>470</v>
      </c>
      <c r="H1573" s="185"/>
    </row>
    <row r="1574">
      <c r="D1574" s="185"/>
      <c r="E1574" s="185" t="s">
        <v>470</v>
      </c>
      <c r="H1574" s="185"/>
    </row>
    <row r="1575">
      <c r="D1575" s="185"/>
      <c r="E1575" s="185" t="s">
        <v>470</v>
      </c>
      <c r="H1575" s="185"/>
    </row>
    <row r="1576">
      <c r="D1576" s="185"/>
      <c r="E1576" s="185" t="s">
        <v>470</v>
      </c>
      <c r="H1576" s="185"/>
    </row>
    <row r="1577">
      <c r="D1577" s="185"/>
      <c r="E1577" s="185" t="s">
        <v>470</v>
      </c>
      <c r="H1577" s="185"/>
    </row>
    <row r="1578">
      <c r="D1578" s="185"/>
      <c r="E1578" s="185" t="s">
        <v>470</v>
      </c>
      <c r="H1578" s="185"/>
    </row>
    <row r="1579">
      <c r="D1579" s="185"/>
      <c r="E1579" s="185" t="s">
        <v>470</v>
      </c>
      <c r="H1579" s="185"/>
    </row>
    <row r="1580">
      <c r="D1580" s="185"/>
      <c r="E1580" s="185" t="s">
        <v>470</v>
      </c>
      <c r="H1580" s="185"/>
    </row>
    <row r="1581">
      <c r="D1581" s="185"/>
      <c r="E1581" s="185" t="s">
        <v>470</v>
      </c>
      <c r="H1581" s="185"/>
    </row>
    <row r="1582">
      <c r="D1582" s="185"/>
      <c r="E1582" s="185" t="s">
        <v>470</v>
      </c>
      <c r="H1582" s="185"/>
    </row>
    <row r="1583">
      <c r="D1583" s="185"/>
      <c r="E1583" s="185" t="s">
        <v>470</v>
      </c>
      <c r="H1583" s="185"/>
    </row>
    <row r="1584">
      <c r="D1584" s="185"/>
      <c r="E1584" s="185" t="s">
        <v>470</v>
      </c>
      <c r="H1584" s="185"/>
    </row>
    <row r="1585">
      <c r="D1585" s="185"/>
      <c r="E1585" s="185" t="s">
        <v>470</v>
      </c>
      <c r="H1585" s="185"/>
    </row>
    <row r="1586">
      <c r="D1586" s="185"/>
      <c r="E1586" s="185" t="s">
        <v>470</v>
      </c>
      <c r="H1586" s="185"/>
    </row>
    <row r="1587">
      <c r="D1587" s="185"/>
      <c r="E1587" s="185" t="s">
        <v>470</v>
      </c>
      <c r="H1587" s="185"/>
    </row>
    <row r="1588">
      <c r="D1588" s="185"/>
      <c r="E1588" s="185" t="s">
        <v>470</v>
      </c>
      <c r="H1588" s="185"/>
    </row>
    <row r="1589">
      <c r="D1589" s="185"/>
      <c r="E1589" s="185" t="s">
        <v>470</v>
      </c>
      <c r="H1589" s="185"/>
    </row>
    <row r="1590">
      <c r="D1590" s="185"/>
      <c r="E1590" s="185" t="s">
        <v>470</v>
      </c>
      <c r="H1590" s="185"/>
    </row>
    <row r="1591">
      <c r="D1591" s="185"/>
      <c r="E1591" s="185" t="s">
        <v>470</v>
      </c>
      <c r="H1591" s="185"/>
    </row>
    <row r="1592">
      <c r="D1592" s="185"/>
      <c r="E1592" s="185" t="s">
        <v>470</v>
      </c>
      <c r="H1592" s="185"/>
    </row>
    <row r="1593">
      <c r="D1593" s="185"/>
      <c r="E1593" s="185" t="s">
        <v>470</v>
      </c>
      <c r="H1593" s="185"/>
    </row>
    <row r="1594">
      <c r="D1594" s="185"/>
      <c r="E1594" s="185" t="s">
        <v>470</v>
      </c>
      <c r="H1594" s="185"/>
    </row>
    <row r="1595">
      <c r="D1595" s="185"/>
      <c r="E1595" s="185" t="s">
        <v>470</v>
      </c>
      <c r="H1595" s="185"/>
    </row>
    <row r="1596">
      <c r="D1596" s="185"/>
      <c r="E1596" s="185" t="s">
        <v>470</v>
      </c>
      <c r="H1596" s="185"/>
    </row>
    <row r="1597">
      <c r="D1597" s="185"/>
      <c r="E1597" s="185" t="s">
        <v>470</v>
      </c>
      <c r="H1597" s="185"/>
    </row>
    <row r="1598">
      <c r="D1598" s="185"/>
      <c r="E1598" s="185" t="s">
        <v>470</v>
      </c>
      <c r="H1598" s="185"/>
    </row>
    <row r="1599">
      <c r="D1599" s="185"/>
      <c r="E1599" s="185" t="s">
        <v>470</v>
      </c>
      <c r="H1599" s="185"/>
    </row>
    <row r="1600">
      <c r="D1600" s="185"/>
      <c r="E1600" s="185" t="s">
        <v>470</v>
      </c>
      <c r="H1600" s="185"/>
    </row>
    <row r="1601">
      <c r="D1601" s="185"/>
      <c r="E1601" s="185" t="s">
        <v>470</v>
      </c>
      <c r="H1601" s="185"/>
    </row>
    <row r="1602">
      <c r="D1602" s="185"/>
      <c r="E1602" s="185" t="s">
        <v>470</v>
      </c>
      <c r="H1602" s="185"/>
    </row>
    <row r="1603">
      <c r="D1603" s="185"/>
      <c r="E1603" s="185" t="s">
        <v>470</v>
      </c>
      <c r="H1603" s="185"/>
    </row>
    <row r="1604">
      <c r="D1604" s="185"/>
      <c r="E1604" s="185" t="s">
        <v>470</v>
      </c>
      <c r="H1604" s="185"/>
    </row>
    <row r="1605">
      <c r="D1605" s="185"/>
      <c r="E1605" s="185" t="s">
        <v>470</v>
      </c>
      <c r="H1605" s="185"/>
    </row>
    <row r="1606">
      <c r="D1606" s="185"/>
      <c r="E1606" s="185" t="s">
        <v>470</v>
      </c>
      <c r="H1606" s="185"/>
    </row>
    <row r="1607">
      <c r="D1607" s="185"/>
      <c r="E1607" s="185" t="s">
        <v>470</v>
      </c>
      <c r="H1607" s="185"/>
    </row>
    <row r="1608">
      <c r="D1608" s="185"/>
      <c r="E1608" s="185" t="s">
        <v>470</v>
      </c>
      <c r="H1608" s="185"/>
    </row>
    <row r="1609">
      <c r="D1609" s="185"/>
      <c r="E1609" s="185" t="s">
        <v>470</v>
      </c>
      <c r="H1609" s="185"/>
    </row>
    <row r="1610">
      <c r="D1610" s="185"/>
      <c r="E1610" s="185" t="s">
        <v>470</v>
      </c>
      <c r="H1610" s="185"/>
    </row>
    <row r="1611">
      <c r="D1611" s="185"/>
      <c r="E1611" s="185" t="s">
        <v>470</v>
      </c>
      <c r="H1611" s="185"/>
    </row>
    <row r="1612">
      <c r="D1612" s="185"/>
      <c r="E1612" s="185" t="s">
        <v>470</v>
      </c>
      <c r="H1612" s="185"/>
    </row>
    <row r="1613">
      <c r="D1613" s="185"/>
      <c r="E1613" s="185" t="s">
        <v>470</v>
      </c>
      <c r="H1613" s="185"/>
    </row>
    <row r="1614">
      <c r="D1614" s="185"/>
      <c r="E1614" s="185" t="s">
        <v>470</v>
      </c>
      <c r="H1614" s="185"/>
    </row>
    <row r="1615">
      <c r="D1615" s="185"/>
      <c r="E1615" s="185" t="s">
        <v>470</v>
      </c>
      <c r="H1615" s="185"/>
    </row>
    <row r="1616">
      <c r="D1616" s="185"/>
      <c r="E1616" s="185" t="s">
        <v>470</v>
      </c>
      <c r="H1616" s="185"/>
    </row>
    <row r="1617">
      <c r="D1617" s="185"/>
      <c r="E1617" s="185" t="s">
        <v>470</v>
      </c>
      <c r="H1617" s="185"/>
    </row>
    <row r="1618">
      <c r="D1618" s="185"/>
      <c r="E1618" s="185" t="s">
        <v>470</v>
      </c>
      <c r="H1618" s="185"/>
    </row>
    <row r="1619">
      <c r="D1619" s="185"/>
      <c r="E1619" s="185" t="s">
        <v>470</v>
      </c>
      <c r="H1619" s="185"/>
    </row>
    <row r="1620">
      <c r="D1620" s="185"/>
      <c r="E1620" s="185" t="s">
        <v>470</v>
      </c>
      <c r="H1620" s="185"/>
    </row>
    <row r="1621">
      <c r="D1621" s="185"/>
      <c r="E1621" s="185" t="s">
        <v>470</v>
      </c>
      <c r="H1621" s="185"/>
    </row>
    <row r="1622">
      <c r="D1622" s="185"/>
      <c r="E1622" s="185" t="s">
        <v>470</v>
      </c>
      <c r="H1622" s="185"/>
    </row>
    <row r="1623">
      <c r="D1623" s="185"/>
      <c r="E1623" s="185" t="s">
        <v>470</v>
      </c>
      <c r="H1623" s="185"/>
    </row>
    <row r="1624">
      <c r="D1624" s="185"/>
      <c r="E1624" s="185" t="s">
        <v>470</v>
      </c>
      <c r="H1624" s="185"/>
    </row>
    <row r="1625">
      <c r="D1625" s="185"/>
      <c r="E1625" s="185" t="s">
        <v>470</v>
      </c>
      <c r="H1625" s="185"/>
    </row>
    <row r="1626">
      <c r="D1626" s="185"/>
      <c r="E1626" s="185" t="s">
        <v>470</v>
      </c>
      <c r="H1626" s="185"/>
    </row>
    <row r="1627">
      <c r="D1627" s="185"/>
      <c r="E1627" s="185" t="s">
        <v>470</v>
      </c>
      <c r="H1627" s="185"/>
    </row>
    <row r="1628">
      <c r="D1628" s="185"/>
      <c r="E1628" s="185" t="s">
        <v>470</v>
      </c>
      <c r="H1628" s="185"/>
    </row>
    <row r="1629">
      <c r="D1629" s="185"/>
      <c r="E1629" s="185" t="s">
        <v>470</v>
      </c>
      <c r="H1629" s="185"/>
    </row>
    <row r="1630">
      <c r="D1630" s="185"/>
      <c r="E1630" s="185" t="s">
        <v>470</v>
      </c>
      <c r="H1630" s="185"/>
    </row>
    <row r="1631">
      <c r="D1631" s="185"/>
      <c r="E1631" s="185" t="s">
        <v>470</v>
      </c>
      <c r="H1631" s="185"/>
    </row>
    <row r="1632">
      <c r="D1632" s="185"/>
      <c r="E1632" s="185" t="s">
        <v>470</v>
      </c>
      <c r="H1632" s="185"/>
    </row>
    <row r="1633">
      <c r="D1633" s="185"/>
      <c r="E1633" s="185" t="s">
        <v>470</v>
      </c>
      <c r="H1633" s="185"/>
    </row>
    <row r="1634">
      <c r="D1634" s="185"/>
      <c r="E1634" s="185" t="s">
        <v>470</v>
      </c>
      <c r="H1634" s="185"/>
    </row>
    <row r="1635">
      <c r="D1635" s="185"/>
      <c r="E1635" s="185" t="s">
        <v>470</v>
      </c>
      <c r="H1635" s="185"/>
    </row>
    <row r="1636">
      <c r="D1636" s="185"/>
      <c r="E1636" s="185" t="s">
        <v>470</v>
      </c>
      <c r="H1636" s="185"/>
    </row>
    <row r="1637">
      <c r="D1637" s="185"/>
      <c r="E1637" s="185" t="s">
        <v>470</v>
      </c>
      <c r="H1637" s="185"/>
    </row>
    <row r="1638">
      <c r="D1638" s="185"/>
      <c r="E1638" s="185" t="s">
        <v>470</v>
      </c>
      <c r="H1638" s="185"/>
    </row>
    <row r="1639">
      <c r="D1639" s="185"/>
      <c r="E1639" s="185" t="s">
        <v>470</v>
      </c>
      <c r="H1639" s="185"/>
    </row>
    <row r="1640">
      <c r="D1640" s="185"/>
      <c r="E1640" s="185" t="s">
        <v>470</v>
      </c>
      <c r="H1640" s="185"/>
    </row>
    <row r="1641">
      <c r="D1641" s="185"/>
      <c r="E1641" s="185" t="s">
        <v>470</v>
      </c>
      <c r="H1641" s="185"/>
    </row>
    <row r="1642">
      <c r="D1642" s="185"/>
      <c r="E1642" s="185" t="s">
        <v>470</v>
      </c>
      <c r="H1642" s="185"/>
    </row>
    <row r="1643">
      <c r="D1643" s="185"/>
      <c r="E1643" s="185" t="s">
        <v>470</v>
      </c>
      <c r="H1643" s="185"/>
    </row>
    <row r="1644">
      <c r="D1644" s="185"/>
      <c r="E1644" s="185" t="s">
        <v>470</v>
      </c>
      <c r="H1644" s="185"/>
    </row>
    <row r="1645">
      <c r="D1645" s="185"/>
      <c r="E1645" s="185" t="s">
        <v>470</v>
      </c>
      <c r="H1645" s="185"/>
    </row>
    <row r="1646">
      <c r="D1646" s="185"/>
      <c r="E1646" s="185" t="s">
        <v>470</v>
      </c>
      <c r="H1646" s="185"/>
    </row>
    <row r="1647">
      <c r="D1647" s="185"/>
      <c r="E1647" s="185" t="s">
        <v>470</v>
      </c>
      <c r="H1647" s="185"/>
    </row>
    <row r="1648">
      <c r="D1648" s="185"/>
      <c r="E1648" s="185" t="s">
        <v>470</v>
      </c>
      <c r="H1648" s="185"/>
    </row>
    <row r="1649">
      <c r="D1649" s="185"/>
      <c r="E1649" s="185" t="s">
        <v>470</v>
      </c>
      <c r="H1649" s="185"/>
    </row>
    <row r="1650">
      <c r="D1650" s="185"/>
      <c r="E1650" s="185" t="s">
        <v>470</v>
      </c>
      <c r="H1650" s="185"/>
    </row>
    <row r="1651">
      <c r="D1651" s="185"/>
      <c r="E1651" s="185" t="s">
        <v>470</v>
      </c>
      <c r="H1651" s="185"/>
    </row>
    <row r="1652">
      <c r="D1652" s="185"/>
      <c r="E1652" s="185" t="s">
        <v>470</v>
      </c>
      <c r="H1652" s="185"/>
    </row>
    <row r="1653">
      <c r="D1653" s="185"/>
      <c r="E1653" s="185" t="s">
        <v>470</v>
      </c>
      <c r="H1653" s="185"/>
    </row>
    <row r="1654">
      <c r="D1654" s="185"/>
      <c r="E1654" s="185" t="s">
        <v>470</v>
      </c>
      <c r="H1654" s="185"/>
    </row>
    <row r="1655">
      <c r="D1655" s="185"/>
      <c r="E1655" s="185" t="s">
        <v>470</v>
      </c>
      <c r="H1655" s="185"/>
    </row>
    <row r="1656">
      <c r="D1656" s="185"/>
      <c r="E1656" s="185" t="s">
        <v>470</v>
      </c>
      <c r="H1656" s="185"/>
    </row>
    <row r="1657">
      <c r="D1657" s="185"/>
      <c r="E1657" s="185" t="s">
        <v>470</v>
      </c>
      <c r="H1657" s="185"/>
    </row>
    <row r="1658">
      <c r="D1658" s="185"/>
      <c r="E1658" s="185" t="s">
        <v>470</v>
      </c>
      <c r="H1658" s="185"/>
    </row>
    <row r="1659">
      <c r="D1659" s="185"/>
      <c r="E1659" s="185" t="s">
        <v>470</v>
      </c>
      <c r="H1659" s="185"/>
    </row>
    <row r="1660">
      <c r="D1660" s="185"/>
      <c r="E1660" s="185" t="s">
        <v>470</v>
      </c>
      <c r="H1660" s="185"/>
    </row>
    <row r="1661">
      <c r="D1661" s="185"/>
      <c r="E1661" s="185" t="s">
        <v>470</v>
      </c>
      <c r="H1661" s="185"/>
    </row>
    <row r="1662">
      <c r="D1662" s="185"/>
      <c r="E1662" s="185" t="s">
        <v>470</v>
      </c>
      <c r="H1662" s="185"/>
    </row>
    <row r="1663">
      <c r="D1663" s="185"/>
      <c r="E1663" s="185" t="s">
        <v>470</v>
      </c>
      <c r="H1663" s="185"/>
    </row>
    <row r="1664">
      <c r="D1664" s="185"/>
      <c r="E1664" s="185" t="s">
        <v>470</v>
      </c>
      <c r="H1664" s="185"/>
    </row>
    <row r="1665">
      <c r="D1665" s="185"/>
      <c r="E1665" s="185" t="s">
        <v>470</v>
      </c>
      <c r="H1665" s="185"/>
    </row>
    <row r="1666">
      <c r="D1666" s="185"/>
      <c r="E1666" s="185" t="s">
        <v>470</v>
      </c>
      <c r="H1666" s="185"/>
    </row>
    <row r="1667">
      <c r="D1667" s="185"/>
      <c r="E1667" s="185" t="s">
        <v>470</v>
      </c>
      <c r="H1667" s="185"/>
    </row>
    <row r="1668">
      <c r="D1668" s="185"/>
      <c r="E1668" s="185" t="s">
        <v>470</v>
      </c>
      <c r="H1668" s="185"/>
    </row>
    <row r="1669">
      <c r="D1669" s="185"/>
      <c r="E1669" s="185" t="s">
        <v>470</v>
      </c>
      <c r="H1669" s="185"/>
    </row>
    <row r="1670">
      <c r="D1670" s="185"/>
      <c r="E1670" s="185" t="s">
        <v>470</v>
      </c>
      <c r="H1670" s="185"/>
    </row>
    <row r="1671">
      <c r="D1671" s="185"/>
      <c r="E1671" s="185" t="s">
        <v>470</v>
      </c>
      <c r="H1671" s="185"/>
    </row>
    <row r="1672">
      <c r="D1672" s="185"/>
      <c r="E1672" s="185" t="s">
        <v>470</v>
      </c>
      <c r="H1672" s="185"/>
    </row>
    <row r="1673">
      <c r="D1673" s="185"/>
      <c r="E1673" s="185" t="s">
        <v>470</v>
      </c>
      <c r="H1673" s="185"/>
    </row>
    <row r="1674">
      <c r="D1674" s="185"/>
      <c r="E1674" s="185" t="s">
        <v>470</v>
      </c>
      <c r="H1674" s="185"/>
    </row>
    <row r="1675">
      <c r="D1675" s="185"/>
      <c r="E1675" s="185" t="s">
        <v>470</v>
      </c>
      <c r="H1675" s="185"/>
    </row>
    <row r="1676">
      <c r="D1676" s="185"/>
      <c r="E1676" s="185" t="s">
        <v>470</v>
      </c>
      <c r="H1676" s="185"/>
    </row>
    <row r="1677">
      <c r="D1677" s="185"/>
      <c r="E1677" s="185" t="s">
        <v>470</v>
      </c>
      <c r="H1677" s="185"/>
    </row>
    <row r="1678">
      <c r="D1678" s="185"/>
      <c r="E1678" s="185" t="s">
        <v>470</v>
      </c>
      <c r="H1678" s="185"/>
    </row>
    <row r="1679">
      <c r="D1679" s="185"/>
      <c r="E1679" s="185" t="s">
        <v>470</v>
      </c>
      <c r="H1679" s="185"/>
    </row>
    <row r="1680">
      <c r="D1680" s="185"/>
      <c r="E1680" s="185" t="s">
        <v>470</v>
      </c>
      <c r="H1680" s="185"/>
    </row>
    <row r="1681">
      <c r="D1681" s="185"/>
      <c r="E1681" s="185" t="s">
        <v>470</v>
      </c>
      <c r="H1681" s="185"/>
    </row>
    <row r="1682">
      <c r="D1682" s="185"/>
      <c r="E1682" s="185" t="s">
        <v>470</v>
      </c>
      <c r="H1682" s="185"/>
    </row>
    <row r="1683">
      <c r="D1683" s="185"/>
      <c r="E1683" s="185" t="s">
        <v>470</v>
      </c>
      <c r="H1683" s="185"/>
    </row>
    <row r="1684">
      <c r="D1684" s="185"/>
      <c r="E1684" s="185" t="s">
        <v>470</v>
      </c>
      <c r="H1684" s="185"/>
    </row>
    <row r="1685">
      <c r="D1685" s="185"/>
      <c r="E1685" s="185" t="s">
        <v>470</v>
      </c>
      <c r="H1685" s="185"/>
    </row>
    <row r="1686">
      <c r="D1686" s="185"/>
      <c r="E1686" s="185" t="s">
        <v>470</v>
      </c>
      <c r="H1686" s="185"/>
    </row>
    <row r="1687">
      <c r="D1687" s="185"/>
      <c r="E1687" s="185" t="s">
        <v>470</v>
      </c>
      <c r="H1687" s="185"/>
    </row>
    <row r="1688">
      <c r="D1688" s="185"/>
      <c r="E1688" s="185" t="s">
        <v>470</v>
      </c>
      <c r="H1688" s="185"/>
    </row>
    <row r="1689">
      <c r="D1689" s="185"/>
      <c r="E1689" s="185" t="s">
        <v>470</v>
      </c>
      <c r="H1689" s="185"/>
    </row>
    <row r="1690">
      <c r="D1690" s="185"/>
      <c r="E1690" s="185" t="s">
        <v>470</v>
      </c>
      <c r="H1690" s="185"/>
    </row>
    <row r="1691">
      <c r="D1691" s="185"/>
      <c r="E1691" s="185" t="s">
        <v>470</v>
      </c>
      <c r="H1691" s="185"/>
    </row>
    <row r="1692">
      <c r="D1692" s="185"/>
      <c r="E1692" s="185" t="s">
        <v>470</v>
      </c>
      <c r="H1692" s="185"/>
    </row>
    <row r="1693">
      <c r="D1693" s="185"/>
      <c r="E1693" s="185" t="s">
        <v>470</v>
      </c>
      <c r="H1693" s="185"/>
    </row>
    <row r="1694">
      <c r="D1694" s="185"/>
      <c r="E1694" s="185" t="s">
        <v>470</v>
      </c>
      <c r="H1694" s="185"/>
    </row>
    <row r="1695">
      <c r="D1695" s="185"/>
      <c r="E1695" s="185" t="s">
        <v>470</v>
      </c>
      <c r="H1695" s="185"/>
    </row>
    <row r="1696">
      <c r="D1696" s="185"/>
      <c r="E1696" s="185" t="s">
        <v>470</v>
      </c>
      <c r="H1696" s="185"/>
    </row>
    <row r="1697">
      <c r="D1697" s="185"/>
      <c r="E1697" s="185" t="s">
        <v>470</v>
      </c>
      <c r="H1697" s="185"/>
    </row>
    <row r="1698">
      <c r="D1698" s="185"/>
      <c r="E1698" s="185" t="s">
        <v>470</v>
      </c>
      <c r="H1698" s="185"/>
    </row>
    <row r="1699">
      <c r="D1699" s="185"/>
      <c r="E1699" s="185" t="s">
        <v>470</v>
      </c>
      <c r="H1699" s="185"/>
    </row>
    <row r="1700">
      <c r="D1700" s="185"/>
      <c r="E1700" s="185" t="s">
        <v>470</v>
      </c>
      <c r="H1700" s="185"/>
    </row>
    <row r="1701">
      <c r="D1701" s="185"/>
      <c r="E1701" s="185" t="s">
        <v>470</v>
      </c>
      <c r="H1701" s="185"/>
    </row>
    <row r="1702">
      <c r="D1702" s="185"/>
      <c r="E1702" s="185" t="s">
        <v>470</v>
      </c>
      <c r="H1702" s="185"/>
    </row>
    <row r="1703">
      <c r="D1703" s="185"/>
      <c r="E1703" s="185" t="s">
        <v>470</v>
      </c>
      <c r="H1703" s="185"/>
    </row>
    <row r="1704">
      <c r="D1704" s="185"/>
      <c r="E1704" s="185" t="s">
        <v>470</v>
      </c>
      <c r="H1704" s="185"/>
    </row>
    <row r="1705">
      <c r="D1705" s="185"/>
      <c r="E1705" s="185" t="s">
        <v>470</v>
      </c>
      <c r="H1705" s="185"/>
    </row>
    <row r="1706">
      <c r="D1706" s="185"/>
      <c r="E1706" s="185" t="s">
        <v>470</v>
      </c>
      <c r="H1706" s="185"/>
    </row>
    <row r="1707">
      <c r="D1707" s="185"/>
      <c r="E1707" s="185" t="s">
        <v>470</v>
      </c>
      <c r="H1707" s="185"/>
    </row>
    <row r="1708">
      <c r="D1708" s="185"/>
      <c r="E1708" s="185" t="s">
        <v>470</v>
      </c>
      <c r="H1708" s="185"/>
    </row>
    <row r="1709">
      <c r="D1709" s="185"/>
      <c r="E1709" s="185" t="s">
        <v>470</v>
      </c>
      <c r="H1709" s="185"/>
    </row>
    <row r="1710">
      <c r="D1710" s="185"/>
      <c r="E1710" s="185" t="s">
        <v>470</v>
      </c>
      <c r="H1710" s="185"/>
    </row>
    <row r="1711">
      <c r="D1711" s="185"/>
      <c r="E1711" s="185" t="s">
        <v>470</v>
      </c>
      <c r="H1711" s="185"/>
    </row>
    <row r="1712">
      <c r="D1712" s="185"/>
      <c r="E1712" s="185" t="s">
        <v>470</v>
      </c>
      <c r="H1712" s="185"/>
    </row>
    <row r="1713">
      <c r="D1713" s="185"/>
      <c r="E1713" s="185" t="s">
        <v>470</v>
      </c>
      <c r="H1713" s="185"/>
    </row>
    <row r="1714">
      <c r="D1714" s="185"/>
      <c r="E1714" s="185" t="s">
        <v>470</v>
      </c>
      <c r="H1714" s="185"/>
    </row>
    <row r="1715">
      <c r="D1715" s="185"/>
      <c r="E1715" s="185" t="s">
        <v>470</v>
      </c>
      <c r="H1715" s="185"/>
    </row>
    <row r="1716">
      <c r="D1716" s="185"/>
      <c r="E1716" s="185" t="s">
        <v>470</v>
      </c>
      <c r="H1716" s="185"/>
    </row>
    <row r="1717">
      <c r="D1717" s="185"/>
      <c r="E1717" s="185" t="s">
        <v>470</v>
      </c>
      <c r="H1717" s="185"/>
    </row>
    <row r="1718">
      <c r="D1718" s="185"/>
      <c r="E1718" s="185" t="s">
        <v>470</v>
      </c>
      <c r="H1718" s="185"/>
    </row>
    <row r="1719">
      <c r="D1719" s="185"/>
      <c r="E1719" s="185" t="s">
        <v>470</v>
      </c>
      <c r="H1719" s="185"/>
    </row>
    <row r="1720">
      <c r="D1720" s="185"/>
      <c r="E1720" s="185" t="s">
        <v>470</v>
      </c>
      <c r="H1720" s="185"/>
    </row>
    <row r="1721">
      <c r="D1721" s="185"/>
      <c r="E1721" s="185" t="s">
        <v>470</v>
      </c>
      <c r="H1721" s="185"/>
    </row>
    <row r="1722">
      <c r="D1722" s="185"/>
      <c r="E1722" s="185" t="s">
        <v>470</v>
      </c>
      <c r="H1722" s="185"/>
    </row>
    <row r="1723">
      <c r="D1723" s="185"/>
      <c r="E1723" s="185" t="s">
        <v>470</v>
      </c>
      <c r="H1723" s="185"/>
    </row>
    <row r="1724">
      <c r="D1724" s="185"/>
      <c r="E1724" s="185" t="s">
        <v>470</v>
      </c>
      <c r="H1724" s="185"/>
    </row>
    <row r="1725">
      <c r="D1725" s="185"/>
      <c r="E1725" s="185" t="s">
        <v>470</v>
      </c>
      <c r="H1725" s="185"/>
    </row>
    <row r="1726">
      <c r="D1726" s="185"/>
      <c r="E1726" s="185" t="s">
        <v>470</v>
      </c>
      <c r="H1726" s="185"/>
    </row>
    <row r="1727">
      <c r="D1727" s="185"/>
      <c r="E1727" s="185" t="s">
        <v>470</v>
      </c>
      <c r="H1727" s="185"/>
    </row>
    <row r="1728">
      <c r="D1728" s="185"/>
      <c r="E1728" s="185" t="s">
        <v>470</v>
      </c>
      <c r="H1728" s="185"/>
    </row>
    <row r="1729">
      <c r="D1729" s="185"/>
      <c r="E1729" s="185" t="s">
        <v>470</v>
      </c>
      <c r="H1729" s="185"/>
    </row>
    <row r="1730">
      <c r="D1730" s="185"/>
      <c r="E1730" s="185" t="s">
        <v>470</v>
      </c>
      <c r="H1730" s="185"/>
    </row>
    <row r="1731">
      <c r="D1731" s="185"/>
      <c r="E1731" s="185" t="s">
        <v>470</v>
      </c>
      <c r="H1731" s="185"/>
    </row>
    <row r="1732">
      <c r="D1732" s="185"/>
      <c r="E1732" s="185" t="s">
        <v>470</v>
      </c>
      <c r="H1732" s="185"/>
    </row>
    <row r="1733">
      <c r="D1733" s="185"/>
      <c r="E1733" s="185" t="s">
        <v>470</v>
      </c>
      <c r="H1733" s="185"/>
    </row>
    <row r="1734">
      <c r="D1734" s="185"/>
      <c r="E1734" s="185" t="s">
        <v>470</v>
      </c>
      <c r="H1734" s="185"/>
    </row>
    <row r="1735">
      <c r="D1735" s="185"/>
      <c r="E1735" s="185" t="s">
        <v>470</v>
      </c>
      <c r="H1735" s="185"/>
    </row>
    <row r="1736">
      <c r="D1736" s="185"/>
      <c r="E1736" s="185" t="s">
        <v>470</v>
      </c>
      <c r="H1736" s="185"/>
    </row>
    <row r="1737">
      <c r="D1737" s="185"/>
      <c r="E1737" s="185" t="s">
        <v>470</v>
      </c>
      <c r="H1737" s="185"/>
    </row>
    <row r="1738">
      <c r="D1738" s="185"/>
      <c r="E1738" s="185" t="s">
        <v>470</v>
      </c>
      <c r="H1738" s="185"/>
    </row>
    <row r="1739">
      <c r="D1739" s="185"/>
      <c r="E1739" s="185" t="s">
        <v>470</v>
      </c>
      <c r="H1739" s="185"/>
    </row>
    <row r="1740">
      <c r="D1740" s="185"/>
      <c r="E1740" s="185" t="s">
        <v>470</v>
      </c>
      <c r="H1740" s="185"/>
    </row>
    <row r="1741">
      <c r="D1741" s="185"/>
      <c r="E1741" s="185" t="s">
        <v>470</v>
      </c>
      <c r="H1741" s="185"/>
    </row>
    <row r="1742">
      <c r="D1742" s="185"/>
      <c r="E1742" s="185" t="s">
        <v>470</v>
      </c>
      <c r="H1742" s="185"/>
    </row>
    <row r="1743">
      <c r="D1743" s="185"/>
      <c r="E1743" s="185" t="s">
        <v>470</v>
      </c>
      <c r="H1743" s="185"/>
    </row>
    <row r="1744">
      <c r="D1744" s="185"/>
      <c r="E1744" s="185" t="s">
        <v>470</v>
      </c>
      <c r="H1744" s="185"/>
    </row>
    <row r="1745">
      <c r="D1745" s="185"/>
      <c r="E1745" s="185" t="s">
        <v>470</v>
      </c>
      <c r="H1745" s="185"/>
    </row>
    <row r="1746">
      <c r="D1746" s="185"/>
      <c r="E1746" s="185" t="s">
        <v>470</v>
      </c>
      <c r="H1746" s="185"/>
    </row>
    <row r="1747">
      <c r="D1747" s="185"/>
      <c r="E1747" s="185" t="s">
        <v>470</v>
      </c>
      <c r="H1747" s="185"/>
    </row>
    <row r="1748">
      <c r="D1748" s="185"/>
      <c r="E1748" s="185" t="s">
        <v>470</v>
      </c>
      <c r="H1748" s="185"/>
    </row>
    <row r="1749">
      <c r="D1749" s="185"/>
      <c r="E1749" s="185" t="s">
        <v>470</v>
      </c>
      <c r="H1749" s="185"/>
    </row>
    <row r="1750">
      <c r="D1750" s="185"/>
      <c r="E1750" s="185" t="s">
        <v>470</v>
      </c>
      <c r="H1750" s="185"/>
    </row>
    <row r="1751">
      <c r="D1751" s="185"/>
      <c r="E1751" s="185" t="s">
        <v>470</v>
      </c>
      <c r="H1751" s="185"/>
    </row>
    <row r="1752">
      <c r="D1752" s="185"/>
      <c r="E1752" s="185" t="s">
        <v>470</v>
      </c>
      <c r="H1752" s="185"/>
    </row>
    <row r="1753">
      <c r="D1753" s="185"/>
      <c r="E1753" s="185" t="s">
        <v>470</v>
      </c>
      <c r="H1753" s="185"/>
    </row>
    <row r="1754">
      <c r="D1754" s="185"/>
      <c r="E1754" s="185" t="s">
        <v>470</v>
      </c>
      <c r="H1754" s="185"/>
    </row>
    <row r="1755">
      <c r="D1755" s="185"/>
      <c r="E1755" s="185" t="s">
        <v>470</v>
      </c>
      <c r="H1755" s="185"/>
    </row>
    <row r="1756">
      <c r="D1756" s="185"/>
      <c r="E1756" s="185" t="s">
        <v>470</v>
      </c>
      <c r="H1756" s="185"/>
    </row>
    <row r="1757">
      <c r="D1757" s="185"/>
      <c r="E1757" s="185" t="s">
        <v>470</v>
      </c>
      <c r="H1757" s="185"/>
    </row>
    <row r="1758">
      <c r="D1758" s="185"/>
      <c r="E1758" s="185" t="s">
        <v>470</v>
      </c>
      <c r="H1758" s="185"/>
    </row>
    <row r="1759">
      <c r="D1759" s="185"/>
      <c r="E1759" s="185" t="s">
        <v>470</v>
      </c>
      <c r="H1759" s="185"/>
    </row>
    <row r="1760">
      <c r="D1760" s="185"/>
      <c r="E1760" s="185" t="s">
        <v>470</v>
      </c>
      <c r="H1760" s="185"/>
    </row>
    <row r="1761">
      <c r="D1761" s="185"/>
      <c r="E1761" s="185" t="s">
        <v>470</v>
      </c>
      <c r="H1761" s="185"/>
    </row>
    <row r="1762">
      <c r="D1762" s="185"/>
      <c r="E1762" s="185" t="s">
        <v>470</v>
      </c>
      <c r="H1762" s="185"/>
    </row>
    <row r="1763">
      <c r="D1763" s="185"/>
      <c r="E1763" s="185" t="s">
        <v>470</v>
      </c>
      <c r="H1763" s="185"/>
    </row>
    <row r="1764">
      <c r="D1764" s="185"/>
      <c r="E1764" s="185" t="s">
        <v>470</v>
      </c>
      <c r="H1764" s="185"/>
    </row>
    <row r="1765">
      <c r="D1765" s="185"/>
      <c r="E1765" s="185" t="s">
        <v>470</v>
      </c>
      <c r="H1765" s="185"/>
    </row>
    <row r="1766">
      <c r="D1766" s="185"/>
      <c r="E1766" s="185" t="s">
        <v>470</v>
      </c>
      <c r="H1766" s="185"/>
    </row>
    <row r="1767">
      <c r="D1767" s="185"/>
      <c r="E1767" s="185" t="s">
        <v>470</v>
      </c>
      <c r="H1767" s="185"/>
    </row>
    <row r="1768">
      <c r="D1768" s="185"/>
      <c r="E1768" s="185" t="s">
        <v>470</v>
      </c>
      <c r="H1768" s="185"/>
    </row>
    <row r="1769">
      <c r="D1769" s="185"/>
      <c r="E1769" s="185" t="s">
        <v>470</v>
      </c>
      <c r="H1769" s="185"/>
    </row>
    <row r="1770">
      <c r="D1770" s="185"/>
      <c r="E1770" s="185" t="s">
        <v>470</v>
      </c>
      <c r="H1770" s="185"/>
    </row>
    <row r="1771">
      <c r="D1771" s="185"/>
      <c r="E1771" s="185" t="s">
        <v>470</v>
      </c>
      <c r="H1771" s="185"/>
    </row>
    <row r="1772">
      <c r="D1772" s="185"/>
      <c r="E1772" s="185" t="s">
        <v>470</v>
      </c>
      <c r="H1772" s="185"/>
    </row>
    <row r="1773">
      <c r="D1773" s="185"/>
      <c r="E1773" s="185" t="s">
        <v>470</v>
      </c>
      <c r="H1773" s="185"/>
    </row>
    <row r="1774">
      <c r="D1774" s="185"/>
      <c r="E1774" s="185" t="s">
        <v>470</v>
      </c>
      <c r="H1774" s="185"/>
    </row>
    <row r="1775">
      <c r="D1775" s="185"/>
      <c r="E1775" s="185" t="s">
        <v>470</v>
      </c>
      <c r="H1775" s="185"/>
    </row>
    <row r="1776">
      <c r="D1776" s="185"/>
      <c r="E1776" s="185" t="s">
        <v>470</v>
      </c>
      <c r="H1776" s="185"/>
    </row>
    <row r="1777">
      <c r="D1777" s="185"/>
      <c r="E1777" s="185" t="s">
        <v>470</v>
      </c>
      <c r="H1777" s="185"/>
    </row>
    <row r="1778">
      <c r="D1778" s="185"/>
      <c r="E1778" s="185" t="s">
        <v>470</v>
      </c>
      <c r="H1778" s="185"/>
    </row>
    <row r="1779">
      <c r="D1779" s="185"/>
      <c r="E1779" s="185" t="s">
        <v>470</v>
      </c>
      <c r="H1779" s="185"/>
    </row>
    <row r="1780">
      <c r="D1780" s="185"/>
      <c r="E1780" s="185" t="s">
        <v>470</v>
      </c>
      <c r="H1780" s="185"/>
    </row>
    <row r="1781">
      <c r="D1781" s="185"/>
      <c r="E1781" s="185" t="s">
        <v>470</v>
      </c>
      <c r="H1781" s="185"/>
    </row>
    <row r="1782">
      <c r="D1782" s="185"/>
      <c r="E1782" s="185" t="s">
        <v>470</v>
      </c>
      <c r="H1782" s="185"/>
    </row>
    <row r="1783">
      <c r="D1783" s="185"/>
      <c r="E1783" s="185" t="s">
        <v>470</v>
      </c>
      <c r="H1783" s="185"/>
    </row>
    <row r="1784">
      <c r="D1784" s="185"/>
      <c r="E1784" s="185" t="s">
        <v>470</v>
      </c>
      <c r="H1784" s="185"/>
    </row>
    <row r="1785">
      <c r="D1785" s="185"/>
      <c r="E1785" s="185" t="s">
        <v>470</v>
      </c>
      <c r="H1785" s="185"/>
    </row>
    <row r="1786">
      <c r="D1786" s="185"/>
      <c r="E1786" s="185" t="s">
        <v>470</v>
      </c>
      <c r="H1786" s="185"/>
    </row>
    <row r="1787">
      <c r="D1787" s="185"/>
      <c r="E1787" s="185" t="s">
        <v>470</v>
      </c>
      <c r="H1787" s="185"/>
    </row>
    <row r="1788">
      <c r="D1788" s="185"/>
      <c r="E1788" s="185" t="s">
        <v>470</v>
      </c>
      <c r="H1788" s="185"/>
    </row>
    <row r="1789">
      <c r="D1789" s="185"/>
      <c r="E1789" s="185" t="s">
        <v>470</v>
      </c>
      <c r="H1789" s="185"/>
    </row>
    <row r="1790">
      <c r="D1790" s="185"/>
      <c r="E1790" s="185" t="s">
        <v>470</v>
      </c>
      <c r="H1790" s="185"/>
    </row>
    <row r="1791">
      <c r="D1791" s="185"/>
      <c r="E1791" s="185" t="s">
        <v>470</v>
      </c>
      <c r="H1791" s="185"/>
    </row>
    <row r="1792">
      <c r="D1792" s="185"/>
      <c r="E1792" s="185" t="s">
        <v>470</v>
      </c>
      <c r="H1792" s="185"/>
    </row>
    <row r="1793">
      <c r="D1793" s="185"/>
      <c r="E1793" s="185" t="s">
        <v>470</v>
      </c>
      <c r="H1793" s="185"/>
    </row>
    <row r="1794">
      <c r="D1794" s="185"/>
      <c r="E1794" s="185" t="s">
        <v>470</v>
      </c>
      <c r="H1794" s="185"/>
    </row>
    <row r="1795">
      <c r="D1795" s="185"/>
      <c r="E1795" s="185" t="s">
        <v>470</v>
      </c>
      <c r="H1795" s="185"/>
    </row>
    <row r="1796">
      <c r="D1796" s="185"/>
      <c r="E1796" s="185" t="s">
        <v>470</v>
      </c>
      <c r="H1796" s="185"/>
    </row>
    <row r="1797">
      <c r="D1797" s="185"/>
      <c r="E1797" s="185" t="s">
        <v>470</v>
      </c>
      <c r="H1797" s="185"/>
    </row>
    <row r="1798">
      <c r="D1798" s="185"/>
      <c r="E1798" s="185" t="s">
        <v>470</v>
      </c>
      <c r="H1798" s="185"/>
    </row>
    <row r="1799">
      <c r="D1799" s="185"/>
      <c r="E1799" s="185" t="s">
        <v>470</v>
      </c>
      <c r="H1799" s="185"/>
    </row>
    <row r="1800">
      <c r="D1800" s="185"/>
      <c r="E1800" s="185" t="s">
        <v>470</v>
      </c>
      <c r="H1800" s="185"/>
    </row>
    <row r="1801">
      <c r="D1801" s="185"/>
      <c r="E1801" s="185" t="s">
        <v>470</v>
      </c>
      <c r="H1801" s="185"/>
    </row>
    <row r="1802">
      <c r="D1802" s="185"/>
      <c r="E1802" s="185" t="s">
        <v>470</v>
      </c>
      <c r="H1802" s="185"/>
    </row>
    <row r="1803">
      <c r="D1803" s="185"/>
      <c r="E1803" s="185" t="s">
        <v>470</v>
      </c>
      <c r="H1803" s="185"/>
    </row>
    <row r="1804">
      <c r="D1804" s="185"/>
      <c r="E1804" s="185" t="s">
        <v>470</v>
      </c>
      <c r="H1804" s="185"/>
    </row>
    <row r="1805">
      <c r="D1805" s="185"/>
      <c r="E1805" s="185" t="s">
        <v>470</v>
      </c>
      <c r="H1805" s="185"/>
    </row>
    <row r="1806">
      <c r="D1806" s="185"/>
      <c r="E1806" s="185" t="s">
        <v>470</v>
      </c>
      <c r="H1806" s="185"/>
    </row>
    <row r="1807">
      <c r="D1807" s="185"/>
      <c r="E1807" s="185" t="s">
        <v>470</v>
      </c>
      <c r="H1807" s="185"/>
    </row>
    <row r="1808">
      <c r="D1808" s="185"/>
      <c r="E1808" s="185" t="s">
        <v>470</v>
      </c>
      <c r="H1808" s="185"/>
    </row>
    <row r="1809">
      <c r="D1809" s="185"/>
      <c r="E1809" s="185" t="s">
        <v>470</v>
      </c>
      <c r="H1809" s="185"/>
    </row>
    <row r="1810">
      <c r="D1810" s="185"/>
      <c r="E1810" s="185" t="s">
        <v>470</v>
      </c>
      <c r="H1810" s="185"/>
    </row>
    <row r="1811">
      <c r="D1811" s="185"/>
      <c r="E1811" s="185" t="s">
        <v>470</v>
      </c>
      <c r="H1811" s="185"/>
    </row>
    <row r="1812">
      <c r="D1812" s="185"/>
      <c r="E1812" s="185" t="s">
        <v>470</v>
      </c>
      <c r="H1812" s="185"/>
    </row>
    <row r="1813">
      <c r="D1813" s="185"/>
      <c r="E1813" s="185" t="s">
        <v>470</v>
      </c>
      <c r="H1813" s="185"/>
    </row>
    <row r="1814">
      <c r="D1814" s="185"/>
      <c r="E1814" s="185" t="s">
        <v>470</v>
      </c>
      <c r="H1814" s="185"/>
    </row>
    <row r="1815">
      <c r="D1815" s="185"/>
      <c r="E1815" s="185" t="s">
        <v>470</v>
      </c>
      <c r="H1815" s="185"/>
    </row>
    <row r="1816">
      <c r="D1816" s="185"/>
      <c r="E1816" s="185" t="s">
        <v>470</v>
      </c>
      <c r="H1816" s="185"/>
    </row>
    <row r="1817">
      <c r="D1817" s="185"/>
      <c r="E1817" s="185" t="s">
        <v>470</v>
      </c>
      <c r="H1817" s="185"/>
    </row>
    <row r="1818">
      <c r="D1818" s="185"/>
      <c r="E1818" s="185" t="s">
        <v>470</v>
      </c>
      <c r="H1818" s="185"/>
    </row>
    <row r="1819">
      <c r="D1819" s="185"/>
      <c r="E1819" s="185" t="s">
        <v>470</v>
      </c>
      <c r="H1819" s="185"/>
    </row>
    <row r="1820">
      <c r="D1820" s="185"/>
      <c r="E1820" s="185" t="s">
        <v>470</v>
      </c>
      <c r="H1820" s="185"/>
    </row>
    <row r="1821">
      <c r="D1821" s="185"/>
      <c r="E1821" s="185" t="s">
        <v>470</v>
      </c>
      <c r="H1821" s="185"/>
    </row>
    <row r="1822">
      <c r="D1822" s="185"/>
      <c r="E1822" s="185" t="s">
        <v>470</v>
      </c>
      <c r="H1822" s="185"/>
    </row>
    <row r="1823">
      <c r="D1823" s="185"/>
      <c r="E1823" s="185" t="s">
        <v>470</v>
      </c>
      <c r="H1823" s="185"/>
    </row>
    <row r="1824">
      <c r="D1824" s="185"/>
      <c r="E1824" s="185" t="s">
        <v>470</v>
      </c>
      <c r="H1824" s="185"/>
    </row>
    <row r="1825">
      <c r="D1825" s="185"/>
      <c r="E1825" s="185" t="s">
        <v>470</v>
      </c>
      <c r="H1825" s="185"/>
    </row>
    <row r="1826">
      <c r="D1826" s="185"/>
      <c r="E1826" s="185" t="s">
        <v>470</v>
      </c>
      <c r="H1826" s="185"/>
    </row>
    <row r="1827">
      <c r="D1827" s="185"/>
      <c r="E1827" s="185" t="s">
        <v>470</v>
      </c>
      <c r="H1827" s="185"/>
    </row>
    <row r="1828">
      <c r="D1828" s="185"/>
      <c r="E1828" s="185" t="s">
        <v>470</v>
      </c>
      <c r="H1828" s="185"/>
    </row>
    <row r="1829">
      <c r="D1829" s="185"/>
      <c r="E1829" s="185" t="s">
        <v>470</v>
      </c>
      <c r="H1829" s="185"/>
    </row>
    <row r="1830">
      <c r="D1830" s="185"/>
      <c r="E1830" s="185" t="s">
        <v>470</v>
      </c>
      <c r="H1830" s="185"/>
    </row>
    <row r="1831">
      <c r="D1831" s="185"/>
      <c r="E1831" s="185" t="s">
        <v>470</v>
      </c>
      <c r="H1831" s="185"/>
    </row>
    <row r="1832">
      <c r="D1832" s="185"/>
      <c r="E1832" s="185" t="s">
        <v>470</v>
      </c>
      <c r="H1832" s="185"/>
    </row>
    <row r="1833">
      <c r="D1833" s="185"/>
      <c r="E1833" s="185" t="s">
        <v>470</v>
      </c>
      <c r="H1833" s="185"/>
    </row>
    <row r="1834">
      <c r="D1834" s="185"/>
      <c r="E1834" s="185" t="s">
        <v>470</v>
      </c>
      <c r="H1834" s="185"/>
    </row>
    <row r="1835">
      <c r="D1835" s="185"/>
      <c r="E1835" s="185" t="s">
        <v>470</v>
      </c>
      <c r="H1835" s="185"/>
    </row>
    <row r="1836">
      <c r="D1836" s="185"/>
      <c r="E1836" s="185" t="s">
        <v>470</v>
      </c>
      <c r="H1836" s="185"/>
    </row>
    <row r="1837">
      <c r="D1837" s="185"/>
      <c r="E1837" s="185" t="s">
        <v>470</v>
      </c>
      <c r="H1837" s="185"/>
    </row>
    <row r="1838">
      <c r="D1838" s="185"/>
      <c r="E1838" s="185" t="s">
        <v>470</v>
      </c>
      <c r="H1838" s="185"/>
    </row>
    <row r="1839">
      <c r="D1839" s="185"/>
      <c r="E1839" s="185" t="s">
        <v>470</v>
      </c>
      <c r="H1839" s="185"/>
    </row>
    <row r="1840">
      <c r="D1840" s="185"/>
      <c r="E1840" s="185" t="s">
        <v>470</v>
      </c>
      <c r="H1840" s="185"/>
    </row>
    <row r="1841">
      <c r="D1841" s="185"/>
      <c r="E1841" s="185" t="s">
        <v>470</v>
      </c>
      <c r="H1841" s="185"/>
    </row>
    <row r="1842">
      <c r="D1842" s="185"/>
      <c r="E1842" s="185" t="s">
        <v>470</v>
      </c>
      <c r="H1842" s="185"/>
    </row>
    <row r="1843">
      <c r="D1843" s="185"/>
      <c r="E1843" s="185" t="s">
        <v>470</v>
      </c>
      <c r="H1843" s="185"/>
    </row>
    <row r="1844">
      <c r="D1844" s="185"/>
      <c r="E1844" s="185" t="s">
        <v>470</v>
      </c>
      <c r="H1844" s="185"/>
    </row>
    <row r="1845">
      <c r="D1845" s="185"/>
      <c r="E1845" s="185" t="s">
        <v>470</v>
      </c>
      <c r="H1845" s="185"/>
    </row>
    <row r="1846">
      <c r="D1846" s="185"/>
      <c r="E1846" s="185" t="s">
        <v>470</v>
      </c>
      <c r="H1846" s="185"/>
    </row>
    <row r="1847">
      <c r="D1847" s="185"/>
      <c r="E1847" s="185" t="s">
        <v>470</v>
      </c>
      <c r="H1847" s="185"/>
    </row>
    <row r="1848">
      <c r="D1848" s="185"/>
      <c r="E1848" s="185" t="s">
        <v>470</v>
      </c>
      <c r="H1848" s="185"/>
    </row>
    <row r="1849">
      <c r="D1849" s="185"/>
      <c r="E1849" s="185" t="s">
        <v>470</v>
      </c>
      <c r="H1849" s="185"/>
    </row>
    <row r="1850">
      <c r="D1850" s="185"/>
      <c r="E1850" s="185" t="s">
        <v>470</v>
      </c>
      <c r="H1850" s="185"/>
    </row>
    <row r="1851">
      <c r="D1851" s="185"/>
      <c r="E1851" s="185" t="s">
        <v>470</v>
      </c>
      <c r="H1851" s="185"/>
    </row>
    <row r="1852">
      <c r="D1852" s="185"/>
      <c r="E1852" s="185" t="s">
        <v>470</v>
      </c>
      <c r="H1852" s="185"/>
    </row>
    <row r="1853">
      <c r="D1853" s="185"/>
      <c r="E1853" s="185" t="s">
        <v>470</v>
      </c>
      <c r="H1853" s="185"/>
    </row>
    <row r="1854">
      <c r="D1854" s="185"/>
      <c r="E1854" s="185" t="s">
        <v>470</v>
      </c>
      <c r="H1854" s="185"/>
    </row>
    <row r="1855">
      <c r="D1855" s="185"/>
      <c r="E1855" s="185" t="s">
        <v>470</v>
      </c>
      <c r="H1855" s="185"/>
    </row>
    <row r="1856">
      <c r="D1856" s="185"/>
      <c r="E1856" s="185" t="s">
        <v>470</v>
      </c>
      <c r="H1856" s="185"/>
    </row>
    <row r="1857">
      <c r="D1857" s="185"/>
      <c r="E1857" s="185" t="s">
        <v>470</v>
      </c>
      <c r="H1857" s="185"/>
    </row>
    <row r="1858">
      <c r="D1858" s="185"/>
      <c r="E1858" s="185" t="s">
        <v>470</v>
      </c>
      <c r="H1858" s="185"/>
    </row>
    <row r="1859">
      <c r="D1859" s="185"/>
      <c r="E1859" s="185" t="s">
        <v>470</v>
      </c>
      <c r="H1859" s="185"/>
    </row>
    <row r="1860">
      <c r="D1860" s="185"/>
      <c r="E1860" s="185" t="s">
        <v>470</v>
      </c>
      <c r="H1860" s="185"/>
    </row>
    <row r="1861">
      <c r="D1861" s="185"/>
      <c r="E1861" s="185" t="s">
        <v>470</v>
      </c>
      <c r="H1861" s="185"/>
    </row>
    <row r="1862">
      <c r="D1862" s="185"/>
      <c r="E1862" s="185" t="s">
        <v>470</v>
      </c>
      <c r="H1862" s="185"/>
    </row>
    <row r="1863">
      <c r="D1863" s="185"/>
      <c r="E1863" s="185" t="s">
        <v>470</v>
      </c>
      <c r="H1863" s="185"/>
    </row>
    <row r="1864">
      <c r="D1864" s="185"/>
      <c r="E1864" s="185" t="s">
        <v>470</v>
      </c>
      <c r="H1864" s="185"/>
    </row>
    <row r="1865">
      <c r="D1865" s="185"/>
      <c r="E1865" s="185" t="s">
        <v>470</v>
      </c>
      <c r="H1865" s="185"/>
    </row>
    <row r="1866">
      <c r="D1866" s="185"/>
      <c r="E1866" s="185" t="s">
        <v>470</v>
      </c>
      <c r="H1866" s="185"/>
    </row>
    <row r="1867">
      <c r="D1867" s="185"/>
      <c r="E1867" s="185" t="s">
        <v>470</v>
      </c>
      <c r="H1867" s="185"/>
    </row>
    <row r="1868">
      <c r="D1868" s="185"/>
      <c r="E1868" s="185" t="s">
        <v>470</v>
      </c>
      <c r="H1868" s="185"/>
    </row>
    <row r="1869">
      <c r="D1869" s="185"/>
      <c r="E1869" s="185" t="s">
        <v>470</v>
      </c>
      <c r="H1869" s="185"/>
    </row>
    <row r="1870">
      <c r="D1870" s="185"/>
      <c r="E1870" s="185" t="s">
        <v>470</v>
      </c>
      <c r="H1870" s="185"/>
    </row>
    <row r="1871">
      <c r="D1871" s="185"/>
      <c r="E1871" s="185" t="s">
        <v>470</v>
      </c>
      <c r="H1871" s="185"/>
    </row>
    <row r="1872">
      <c r="D1872" s="185"/>
      <c r="E1872" s="185" t="s">
        <v>470</v>
      </c>
      <c r="H1872" s="185"/>
    </row>
    <row r="1873">
      <c r="D1873" s="185"/>
      <c r="E1873" s="185" t="s">
        <v>470</v>
      </c>
      <c r="H1873" s="185"/>
    </row>
    <row r="1874">
      <c r="D1874" s="185"/>
      <c r="E1874" s="185" t="s">
        <v>470</v>
      </c>
      <c r="H1874" s="185"/>
    </row>
    <row r="1875">
      <c r="D1875" s="185"/>
      <c r="E1875" s="185" t="s">
        <v>470</v>
      </c>
      <c r="H1875" s="185"/>
    </row>
    <row r="1876">
      <c r="D1876" s="185"/>
      <c r="E1876" s="185" t="s">
        <v>470</v>
      </c>
      <c r="H1876" s="185"/>
    </row>
    <row r="1877">
      <c r="D1877" s="185"/>
      <c r="E1877" s="185" t="s">
        <v>470</v>
      </c>
      <c r="H1877" s="185"/>
    </row>
    <row r="1878">
      <c r="D1878" s="185"/>
      <c r="E1878" s="185" t="s">
        <v>470</v>
      </c>
      <c r="H1878" s="185"/>
    </row>
    <row r="1879">
      <c r="D1879" s="185"/>
      <c r="E1879" s="185" t="s">
        <v>470</v>
      </c>
      <c r="H1879" s="185"/>
    </row>
    <row r="1880">
      <c r="D1880" s="185"/>
      <c r="E1880" s="185" t="s">
        <v>470</v>
      </c>
      <c r="H1880" s="185"/>
    </row>
    <row r="1881">
      <c r="D1881" s="185"/>
      <c r="E1881" s="185" t="s">
        <v>470</v>
      </c>
      <c r="H1881" s="185"/>
    </row>
    <row r="1882">
      <c r="D1882" s="185"/>
      <c r="E1882" s="185" t="s">
        <v>470</v>
      </c>
      <c r="H1882" s="185"/>
    </row>
    <row r="1883">
      <c r="D1883" s="185"/>
      <c r="E1883" s="185" t="s">
        <v>470</v>
      </c>
      <c r="H1883" s="185"/>
    </row>
    <row r="1884">
      <c r="D1884" s="185"/>
      <c r="E1884" s="185" t="s">
        <v>470</v>
      </c>
      <c r="H1884" s="185"/>
    </row>
    <row r="1885">
      <c r="D1885" s="185"/>
      <c r="E1885" s="185" t="s">
        <v>470</v>
      </c>
      <c r="H1885" s="185"/>
    </row>
    <row r="1886">
      <c r="D1886" s="185"/>
      <c r="E1886" s="185" t="s">
        <v>470</v>
      </c>
      <c r="H1886" s="185"/>
    </row>
    <row r="1887">
      <c r="D1887" s="185"/>
      <c r="E1887" s="185" t="s">
        <v>470</v>
      </c>
      <c r="H1887" s="185"/>
    </row>
    <row r="1888">
      <c r="D1888" s="185"/>
      <c r="E1888" s="185" t="s">
        <v>470</v>
      </c>
      <c r="H1888" s="185"/>
    </row>
    <row r="1889">
      <c r="D1889" s="185"/>
      <c r="E1889" s="185" t="s">
        <v>470</v>
      </c>
      <c r="H1889" s="185"/>
    </row>
    <row r="1890">
      <c r="D1890" s="185"/>
      <c r="E1890" s="185" t="s">
        <v>470</v>
      </c>
      <c r="H1890" s="185"/>
    </row>
    <row r="1891">
      <c r="D1891" s="185"/>
      <c r="E1891" s="185" t="s">
        <v>470</v>
      </c>
      <c r="H1891" s="185"/>
    </row>
    <row r="1892">
      <c r="D1892" s="185"/>
      <c r="E1892" s="185" t="s">
        <v>470</v>
      </c>
      <c r="H1892" s="185"/>
    </row>
    <row r="1893">
      <c r="D1893" s="185"/>
      <c r="E1893" s="185" t="s">
        <v>470</v>
      </c>
      <c r="H1893" s="185"/>
    </row>
    <row r="1894">
      <c r="D1894" s="185"/>
      <c r="E1894" s="185" t="s">
        <v>470</v>
      </c>
      <c r="H1894" s="185"/>
    </row>
    <row r="1895">
      <c r="D1895" s="185"/>
      <c r="E1895" s="185" t="s">
        <v>470</v>
      </c>
      <c r="H1895" s="185"/>
    </row>
    <row r="1896">
      <c r="D1896" s="185"/>
      <c r="E1896" s="185" t="s">
        <v>470</v>
      </c>
      <c r="H1896" s="185"/>
    </row>
    <row r="1897">
      <c r="D1897" s="185"/>
      <c r="E1897" s="185" t="s">
        <v>470</v>
      </c>
      <c r="H1897" s="185"/>
    </row>
    <row r="1898">
      <c r="D1898" s="185"/>
      <c r="E1898" s="185" t="s">
        <v>470</v>
      </c>
      <c r="H1898" s="185"/>
    </row>
    <row r="1899">
      <c r="D1899" s="185"/>
      <c r="E1899" s="185" t="s">
        <v>470</v>
      </c>
      <c r="H1899" s="185"/>
    </row>
    <row r="1900">
      <c r="D1900" s="185"/>
      <c r="E1900" s="185" t="s">
        <v>470</v>
      </c>
      <c r="H1900" s="185"/>
    </row>
    <row r="1901">
      <c r="D1901" s="185"/>
      <c r="E1901" s="185" t="s">
        <v>470</v>
      </c>
      <c r="H1901" s="185"/>
    </row>
    <row r="1902">
      <c r="D1902" s="185"/>
      <c r="E1902" s="185" t="s">
        <v>470</v>
      </c>
      <c r="H1902" s="185"/>
    </row>
    <row r="1903">
      <c r="D1903" s="185"/>
      <c r="E1903" s="185" t="s">
        <v>470</v>
      </c>
      <c r="H1903" s="185"/>
    </row>
    <row r="1904">
      <c r="D1904" s="185"/>
      <c r="E1904" s="185" t="s">
        <v>470</v>
      </c>
      <c r="H1904" s="185"/>
    </row>
    <row r="1905">
      <c r="D1905" s="185"/>
      <c r="E1905" s="185" t="s">
        <v>470</v>
      </c>
      <c r="H1905" s="185"/>
    </row>
    <row r="1906">
      <c r="D1906" s="185"/>
      <c r="E1906" s="185" t="s">
        <v>470</v>
      </c>
      <c r="H1906" s="185"/>
    </row>
    <row r="1907">
      <c r="D1907" s="185"/>
      <c r="E1907" s="185" t="s">
        <v>470</v>
      </c>
      <c r="H1907" s="185"/>
    </row>
    <row r="1908">
      <c r="D1908" s="185"/>
      <c r="E1908" s="185" t="s">
        <v>470</v>
      </c>
      <c r="H1908" s="185"/>
    </row>
    <row r="1909">
      <c r="D1909" s="185"/>
      <c r="E1909" s="185" t="s">
        <v>470</v>
      </c>
      <c r="H1909" s="185"/>
    </row>
    <row r="1910">
      <c r="D1910" s="185"/>
      <c r="E1910" s="185" t="s">
        <v>470</v>
      </c>
      <c r="H1910" s="185"/>
    </row>
    <row r="1911">
      <c r="D1911" s="185"/>
      <c r="E1911" s="185" t="s">
        <v>470</v>
      </c>
      <c r="H1911" s="185"/>
    </row>
    <row r="1912">
      <c r="D1912" s="185"/>
      <c r="E1912" s="185" t="s">
        <v>470</v>
      </c>
      <c r="H1912" s="185"/>
    </row>
    <row r="1913">
      <c r="D1913" s="185"/>
      <c r="E1913" s="185" t="s">
        <v>470</v>
      </c>
      <c r="H1913" s="185"/>
    </row>
    <row r="1914">
      <c r="D1914" s="185"/>
      <c r="E1914" s="185" t="s">
        <v>470</v>
      </c>
      <c r="H1914" s="185"/>
    </row>
    <row r="1915">
      <c r="D1915" s="185"/>
      <c r="E1915" s="185" t="s">
        <v>470</v>
      </c>
      <c r="H1915" s="185"/>
    </row>
    <row r="1916">
      <c r="D1916" s="185"/>
      <c r="E1916" s="185" t="s">
        <v>470</v>
      </c>
      <c r="H1916" s="185"/>
    </row>
    <row r="1917">
      <c r="D1917" s="185"/>
      <c r="E1917" s="185" t="s">
        <v>470</v>
      </c>
      <c r="H1917" s="185"/>
    </row>
    <row r="1918">
      <c r="D1918" s="185"/>
      <c r="E1918" s="185" t="s">
        <v>470</v>
      </c>
      <c r="H1918" s="185"/>
    </row>
    <row r="1919">
      <c r="D1919" s="185"/>
      <c r="E1919" s="185" t="s">
        <v>470</v>
      </c>
      <c r="H1919" s="185"/>
    </row>
    <row r="1920">
      <c r="D1920" s="185"/>
      <c r="E1920" s="185" t="s">
        <v>470</v>
      </c>
      <c r="H1920" s="185"/>
    </row>
    <row r="1921">
      <c r="D1921" s="185"/>
      <c r="E1921" s="185" t="s">
        <v>470</v>
      </c>
      <c r="H1921" s="185"/>
    </row>
    <row r="1922">
      <c r="D1922" s="185"/>
      <c r="E1922" s="185" t="s">
        <v>470</v>
      </c>
      <c r="H1922" s="185"/>
    </row>
    <row r="1923">
      <c r="D1923" s="185"/>
      <c r="E1923" s="185" t="s">
        <v>470</v>
      </c>
      <c r="H1923" s="185"/>
    </row>
    <row r="1924">
      <c r="D1924" s="185"/>
      <c r="E1924" s="185" t="s">
        <v>470</v>
      </c>
      <c r="H1924" s="185"/>
    </row>
    <row r="1925">
      <c r="D1925" s="185"/>
      <c r="E1925" s="185" t="s">
        <v>470</v>
      </c>
      <c r="H1925" s="185"/>
    </row>
    <row r="1926">
      <c r="D1926" s="185"/>
      <c r="E1926" s="185" t="s">
        <v>470</v>
      </c>
      <c r="H1926" s="185"/>
    </row>
    <row r="1927">
      <c r="D1927" s="185"/>
      <c r="E1927" s="185" t="s">
        <v>470</v>
      </c>
      <c r="H1927" s="185"/>
    </row>
    <row r="1928">
      <c r="D1928" s="185"/>
      <c r="E1928" s="185" t="s">
        <v>470</v>
      </c>
      <c r="H1928" s="185"/>
    </row>
    <row r="1929">
      <c r="D1929" s="185"/>
      <c r="E1929" s="185" t="s">
        <v>470</v>
      </c>
      <c r="H1929" s="185"/>
    </row>
    <row r="1930">
      <c r="D1930" s="185"/>
      <c r="E1930" s="185" t="s">
        <v>470</v>
      </c>
      <c r="H1930" s="185"/>
    </row>
    <row r="1931">
      <c r="D1931" s="185"/>
      <c r="E1931" s="185" t="s">
        <v>470</v>
      </c>
      <c r="H1931" s="185"/>
    </row>
    <row r="1932">
      <c r="D1932" s="185"/>
      <c r="E1932" s="185" t="s">
        <v>470</v>
      </c>
      <c r="H1932" s="185"/>
    </row>
    <row r="1933">
      <c r="D1933" s="185"/>
      <c r="E1933" s="185" t="s">
        <v>470</v>
      </c>
      <c r="H1933" s="185"/>
    </row>
    <row r="1934">
      <c r="D1934" s="185"/>
      <c r="E1934" s="185" t="s">
        <v>470</v>
      </c>
      <c r="H1934" s="185"/>
    </row>
    <row r="1935">
      <c r="D1935" s="185"/>
      <c r="E1935" s="185" t="s">
        <v>470</v>
      </c>
      <c r="H1935" s="185"/>
    </row>
    <row r="1936">
      <c r="D1936" s="185"/>
      <c r="E1936" s="185" t="s">
        <v>470</v>
      </c>
      <c r="H1936" s="185"/>
    </row>
    <row r="1937">
      <c r="D1937" s="185"/>
      <c r="E1937" s="185" t="s">
        <v>470</v>
      </c>
      <c r="H1937" s="185"/>
    </row>
    <row r="1938">
      <c r="D1938" s="185"/>
      <c r="E1938" s="185" t="s">
        <v>470</v>
      </c>
      <c r="H1938" s="185"/>
    </row>
    <row r="1939">
      <c r="D1939" s="185"/>
      <c r="E1939" s="185" t="s">
        <v>470</v>
      </c>
      <c r="H1939" s="185"/>
    </row>
    <row r="1940">
      <c r="D1940" s="185"/>
      <c r="E1940" s="185" t="s">
        <v>470</v>
      </c>
      <c r="H1940" s="185"/>
    </row>
    <row r="1941">
      <c r="D1941" s="185"/>
      <c r="E1941" s="185" t="s">
        <v>470</v>
      </c>
      <c r="H1941" s="185"/>
    </row>
    <row r="1942">
      <c r="D1942" s="185"/>
      <c r="E1942" s="185" t="s">
        <v>470</v>
      </c>
      <c r="H1942" s="185"/>
    </row>
    <row r="1943">
      <c r="D1943" s="185"/>
      <c r="E1943" s="185" t="s">
        <v>470</v>
      </c>
      <c r="H1943" s="185"/>
    </row>
    <row r="1944">
      <c r="D1944" s="185"/>
      <c r="E1944" s="185" t="s">
        <v>470</v>
      </c>
      <c r="H1944" s="185"/>
    </row>
    <row r="1945">
      <c r="D1945" s="185"/>
      <c r="E1945" s="185" t="s">
        <v>470</v>
      </c>
      <c r="H1945" s="185"/>
    </row>
    <row r="1946">
      <c r="D1946" s="185"/>
      <c r="E1946" s="185" t="s">
        <v>470</v>
      </c>
      <c r="H1946" s="185"/>
    </row>
    <row r="1947">
      <c r="D1947" s="185"/>
      <c r="E1947" s="185" t="s">
        <v>470</v>
      </c>
      <c r="H1947" s="185"/>
    </row>
    <row r="1948">
      <c r="D1948" s="185"/>
      <c r="E1948" s="185" t="s">
        <v>470</v>
      </c>
      <c r="H1948" s="185"/>
    </row>
    <row r="1949">
      <c r="D1949" s="185"/>
      <c r="E1949" s="185" t="s">
        <v>470</v>
      </c>
      <c r="H1949" s="185"/>
    </row>
    <row r="1950">
      <c r="D1950" s="185"/>
      <c r="E1950" s="185" t="s">
        <v>470</v>
      </c>
      <c r="H1950" s="185"/>
    </row>
    <row r="1951">
      <c r="D1951" s="185"/>
      <c r="E1951" s="185" t="s">
        <v>470</v>
      </c>
      <c r="H1951" s="185"/>
    </row>
    <row r="1952">
      <c r="D1952" s="185"/>
      <c r="E1952" s="185" t="s">
        <v>470</v>
      </c>
      <c r="H1952" s="185"/>
    </row>
    <row r="1953">
      <c r="D1953" s="185"/>
      <c r="E1953" s="185" t="s">
        <v>470</v>
      </c>
      <c r="H1953" s="185"/>
    </row>
    <row r="1954">
      <c r="D1954" s="185"/>
      <c r="E1954" s="185" t="s">
        <v>470</v>
      </c>
      <c r="H1954" s="185"/>
    </row>
    <row r="1955">
      <c r="D1955" s="185"/>
      <c r="E1955" s="185" t="s">
        <v>470</v>
      </c>
      <c r="H1955" s="185"/>
    </row>
    <row r="1956">
      <c r="D1956" s="185"/>
      <c r="E1956" s="185" t="s">
        <v>470</v>
      </c>
      <c r="H1956" s="185"/>
    </row>
    <row r="1957">
      <c r="D1957" s="185"/>
      <c r="E1957" s="185" t="s">
        <v>470</v>
      </c>
      <c r="H1957" s="185"/>
    </row>
    <row r="1958">
      <c r="D1958" s="185"/>
      <c r="E1958" s="185" t="s">
        <v>470</v>
      </c>
      <c r="H1958" s="185"/>
    </row>
    <row r="1959">
      <c r="D1959" s="185"/>
      <c r="E1959" s="185" t="s">
        <v>470</v>
      </c>
      <c r="H1959" s="185"/>
    </row>
    <row r="1960">
      <c r="D1960" s="185"/>
      <c r="E1960" s="185" t="s">
        <v>470</v>
      </c>
      <c r="H1960" s="185"/>
    </row>
    <row r="1961">
      <c r="D1961" s="185"/>
      <c r="E1961" s="185" t="s">
        <v>470</v>
      </c>
      <c r="H1961" s="185"/>
    </row>
    <row r="1962">
      <c r="D1962" s="185"/>
      <c r="E1962" s="185" t="s">
        <v>470</v>
      </c>
      <c r="H1962" s="185"/>
    </row>
    <row r="1963">
      <c r="D1963" s="185"/>
      <c r="E1963" s="185" t="s">
        <v>470</v>
      </c>
      <c r="H1963" s="185"/>
    </row>
    <row r="1964">
      <c r="D1964" s="185"/>
      <c r="E1964" s="185" t="s">
        <v>470</v>
      </c>
      <c r="H1964" s="185"/>
    </row>
    <row r="1965">
      <c r="D1965" s="185"/>
      <c r="E1965" s="185" t="s">
        <v>470</v>
      </c>
      <c r="H1965" s="185"/>
    </row>
    <row r="1966">
      <c r="D1966" s="185"/>
      <c r="E1966" s="185" t="s">
        <v>470</v>
      </c>
      <c r="H1966" s="185"/>
    </row>
    <row r="1967">
      <c r="D1967" s="185"/>
      <c r="E1967" s="185" t="s">
        <v>470</v>
      </c>
      <c r="H1967" s="185"/>
    </row>
    <row r="1968">
      <c r="D1968" s="185"/>
      <c r="E1968" s="185" t="s">
        <v>470</v>
      </c>
      <c r="H1968" s="185"/>
    </row>
    <row r="1969">
      <c r="D1969" s="185"/>
      <c r="E1969" s="185" t="s">
        <v>470</v>
      </c>
      <c r="H1969" s="185"/>
    </row>
    <row r="1970">
      <c r="D1970" s="185"/>
      <c r="E1970" s="185" t="s">
        <v>470</v>
      </c>
      <c r="H1970" s="185"/>
    </row>
    <row r="1971">
      <c r="D1971" s="185"/>
      <c r="E1971" s="185" t="s">
        <v>470</v>
      </c>
      <c r="H1971" s="185"/>
    </row>
    <row r="1972">
      <c r="D1972" s="185"/>
      <c r="E1972" s="185" t="s">
        <v>470</v>
      </c>
      <c r="H1972" s="185"/>
    </row>
    <row r="1973">
      <c r="D1973" s="185"/>
      <c r="E1973" s="185" t="s">
        <v>470</v>
      </c>
      <c r="H1973" s="185"/>
    </row>
    <row r="1974">
      <c r="D1974" s="185"/>
      <c r="E1974" s="185" t="s">
        <v>470</v>
      </c>
      <c r="H1974" s="185"/>
    </row>
    <row r="1975">
      <c r="D1975" s="185"/>
      <c r="E1975" s="185" t="s">
        <v>470</v>
      </c>
      <c r="H1975" s="185"/>
    </row>
    <row r="1976">
      <c r="D1976" s="185"/>
      <c r="E1976" s="185" t="s">
        <v>470</v>
      </c>
      <c r="H1976" s="185"/>
    </row>
    <row r="1977">
      <c r="D1977" s="185"/>
      <c r="E1977" s="185" t="s">
        <v>470</v>
      </c>
      <c r="H1977" s="185"/>
    </row>
    <row r="1978">
      <c r="D1978" s="185"/>
      <c r="E1978" s="185" t="s">
        <v>470</v>
      </c>
      <c r="H1978" s="185"/>
    </row>
    <row r="1979">
      <c r="D1979" s="185"/>
      <c r="E1979" s="185" t="s">
        <v>470</v>
      </c>
      <c r="H1979" s="185"/>
    </row>
    <row r="1980">
      <c r="D1980" s="185"/>
      <c r="E1980" s="185" t="s">
        <v>470</v>
      </c>
      <c r="H1980" s="185"/>
    </row>
    <row r="1981">
      <c r="D1981" s="185"/>
      <c r="E1981" s="185" t="s">
        <v>470</v>
      </c>
      <c r="H1981" s="185"/>
    </row>
    <row r="1982">
      <c r="D1982" s="185"/>
      <c r="E1982" s="185" t="s">
        <v>470</v>
      </c>
      <c r="H1982" s="185"/>
    </row>
    <row r="1983">
      <c r="D1983" s="185"/>
      <c r="E1983" s="185" t="s">
        <v>470</v>
      </c>
      <c r="H1983" s="185"/>
    </row>
    <row r="1984">
      <c r="D1984" s="185"/>
      <c r="E1984" s="185" t="s">
        <v>470</v>
      </c>
      <c r="H1984" s="185"/>
    </row>
    <row r="1985">
      <c r="D1985" s="185"/>
      <c r="E1985" s="185" t="s">
        <v>470</v>
      </c>
      <c r="H1985" s="185"/>
    </row>
    <row r="1986">
      <c r="D1986" s="185"/>
      <c r="E1986" s="185" t="s">
        <v>470</v>
      </c>
      <c r="H1986" s="185"/>
    </row>
    <row r="1987">
      <c r="D1987" s="185"/>
      <c r="E1987" s="185" t="s">
        <v>470</v>
      </c>
      <c r="H1987" s="185"/>
    </row>
    <row r="1988">
      <c r="D1988" s="185"/>
      <c r="E1988" s="185" t="s">
        <v>470</v>
      </c>
      <c r="H1988" s="185"/>
    </row>
    <row r="1989">
      <c r="D1989" s="185"/>
      <c r="E1989" s="185" t="s">
        <v>470</v>
      </c>
      <c r="H1989" s="185"/>
    </row>
    <row r="1990">
      <c r="D1990" s="185"/>
      <c r="E1990" s="185" t="s">
        <v>470</v>
      </c>
      <c r="H1990" s="185"/>
    </row>
    <row r="1991">
      <c r="D1991" s="185"/>
      <c r="E1991" s="185" t="s">
        <v>470</v>
      </c>
      <c r="H1991" s="185"/>
    </row>
    <row r="1992">
      <c r="D1992" s="185"/>
      <c r="E1992" s="185" t="s">
        <v>470</v>
      </c>
      <c r="H1992" s="185"/>
    </row>
    <row r="1993">
      <c r="D1993" s="185"/>
      <c r="E1993" s="185" t="s">
        <v>470</v>
      </c>
      <c r="H1993" s="185"/>
    </row>
    <row r="1994">
      <c r="D1994" s="185"/>
      <c r="E1994" s="185" t="s">
        <v>470</v>
      </c>
      <c r="H1994" s="185"/>
    </row>
    <row r="1995">
      <c r="D1995" s="185"/>
      <c r="E1995" s="185" t="s">
        <v>470</v>
      </c>
      <c r="H1995" s="185"/>
    </row>
    <row r="1996">
      <c r="D1996" s="185"/>
      <c r="E1996" s="185" t="s">
        <v>470</v>
      </c>
      <c r="H1996" s="185"/>
    </row>
    <row r="1997">
      <c r="D1997" s="185"/>
      <c r="E1997" s="185" t="s">
        <v>470</v>
      </c>
      <c r="H1997" s="185"/>
    </row>
    <row r="1998">
      <c r="D1998" s="185"/>
      <c r="E1998" s="185" t="s">
        <v>470</v>
      </c>
      <c r="H1998" s="185"/>
    </row>
    <row r="1999">
      <c r="D1999" s="185"/>
      <c r="E1999" s="185" t="s">
        <v>470</v>
      </c>
      <c r="H1999" s="185"/>
    </row>
    <row r="2000">
      <c r="D2000" s="185"/>
      <c r="E2000" s="185" t="s">
        <v>470</v>
      </c>
      <c r="H2000" s="185"/>
    </row>
    <row r="2001">
      <c r="D2001" s="185"/>
      <c r="E2001" s="185" t="s">
        <v>470</v>
      </c>
      <c r="H2001" s="185"/>
    </row>
    <row r="2002">
      <c r="D2002" s="185"/>
      <c r="E2002" s="185" t="s">
        <v>470</v>
      </c>
      <c r="H2002" s="185"/>
    </row>
    <row r="2003">
      <c r="D2003" s="185"/>
      <c r="E2003" s="185" t="s">
        <v>470</v>
      </c>
      <c r="H2003" s="185"/>
    </row>
    <row r="2004">
      <c r="D2004" s="185"/>
      <c r="E2004" s="185" t="s">
        <v>470</v>
      </c>
      <c r="H2004" s="185"/>
    </row>
    <row r="2005">
      <c r="D2005" s="185"/>
      <c r="E2005" s="185" t="s">
        <v>470</v>
      </c>
      <c r="H2005" s="185"/>
    </row>
    <row r="2006">
      <c r="D2006" s="185"/>
      <c r="E2006" s="185" t="s">
        <v>470</v>
      </c>
      <c r="H2006" s="185"/>
    </row>
    <row r="2007">
      <c r="D2007" s="185"/>
      <c r="E2007" s="185" t="s">
        <v>470</v>
      </c>
      <c r="H2007" s="185"/>
    </row>
    <row r="2008">
      <c r="D2008" s="185"/>
      <c r="E2008" s="185" t="s">
        <v>470</v>
      </c>
      <c r="H2008" s="185"/>
    </row>
    <row r="2009">
      <c r="D2009" s="185"/>
      <c r="E2009" s="185" t="s">
        <v>470</v>
      </c>
      <c r="H2009" s="185"/>
    </row>
    <row r="2010">
      <c r="D2010" s="185"/>
      <c r="E2010" s="185" t="s">
        <v>470</v>
      </c>
      <c r="H2010" s="185"/>
    </row>
    <row r="2011">
      <c r="D2011" s="185"/>
      <c r="E2011" s="185" t="s">
        <v>470</v>
      </c>
      <c r="H2011" s="185"/>
    </row>
    <row r="2012">
      <c r="D2012" s="185"/>
      <c r="E2012" s="185" t="s">
        <v>470</v>
      </c>
      <c r="H2012" s="185"/>
    </row>
    <row r="2013">
      <c r="D2013" s="185"/>
      <c r="E2013" s="185" t="s">
        <v>470</v>
      </c>
      <c r="H2013" s="185"/>
    </row>
    <row r="2014">
      <c r="D2014" s="185"/>
      <c r="E2014" s="185" t="s">
        <v>470</v>
      </c>
      <c r="H2014" s="185"/>
    </row>
    <row r="2015">
      <c r="D2015" s="185"/>
      <c r="E2015" s="185" t="s">
        <v>470</v>
      </c>
      <c r="H2015" s="185"/>
    </row>
    <row r="2016">
      <c r="D2016" s="185"/>
      <c r="E2016" s="185" t="s">
        <v>470</v>
      </c>
      <c r="H2016" s="185"/>
    </row>
    <row r="2017">
      <c r="D2017" s="185"/>
      <c r="E2017" s="185" t="s">
        <v>470</v>
      </c>
      <c r="H2017" s="185"/>
    </row>
    <row r="2018">
      <c r="D2018" s="185"/>
      <c r="E2018" s="185" t="s">
        <v>470</v>
      </c>
      <c r="H2018" s="185"/>
    </row>
    <row r="2019">
      <c r="D2019" s="185"/>
      <c r="E2019" s="185" t="s">
        <v>470</v>
      </c>
      <c r="H2019" s="185"/>
    </row>
    <row r="2020">
      <c r="D2020" s="185"/>
      <c r="E2020" s="185" t="s">
        <v>470</v>
      </c>
      <c r="H2020" s="185"/>
    </row>
    <row r="2021">
      <c r="D2021" s="185"/>
      <c r="E2021" s="185" t="s">
        <v>470</v>
      </c>
      <c r="H2021" s="185"/>
    </row>
    <row r="2022">
      <c r="D2022" s="185"/>
      <c r="E2022" s="185" t="s">
        <v>470</v>
      </c>
      <c r="H2022" s="185"/>
    </row>
    <row r="2023">
      <c r="D2023" s="185"/>
      <c r="E2023" s="185" t="s">
        <v>470</v>
      </c>
      <c r="H2023" s="185"/>
    </row>
    <row r="2024">
      <c r="D2024" s="185"/>
      <c r="E2024" s="185" t="s">
        <v>470</v>
      </c>
      <c r="H2024" s="185"/>
    </row>
    <row r="2025">
      <c r="D2025" s="185"/>
      <c r="E2025" s="185" t="s">
        <v>470</v>
      </c>
      <c r="H2025" s="185"/>
    </row>
    <row r="2026">
      <c r="D2026" s="185"/>
      <c r="E2026" s="185" t="s">
        <v>470</v>
      </c>
      <c r="H2026" s="185"/>
    </row>
    <row r="2027">
      <c r="D2027" s="185"/>
      <c r="E2027" s="185" t="s">
        <v>470</v>
      </c>
      <c r="H2027" s="185"/>
    </row>
    <row r="2028">
      <c r="D2028" s="185"/>
      <c r="E2028" s="185" t="s">
        <v>470</v>
      </c>
      <c r="H2028" s="185"/>
    </row>
    <row r="2029">
      <c r="D2029" s="185"/>
      <c r="E2029" s="185" t="s">
        <v>470</v>
      </c>
      <c r="H2029" s="185"/>
    </row>
    <row r="2030">
      <c r="D2030" s="185"/>
      <c r="E2030" s="185" t="s">
        <v>470</v>
      </c>
      <c r="H2030" s="185"/>
    </row>
    <row r="2031">
      <c r="D2031" s="185"/>
      <c r="E2031" s="185" t="s">
        <v>470</v>
      </c>
      <c r="H2031" s="185"/>
    </row>
    <row r="2032">
      <c r="D2032" s="185"/>
      <c r="E2032" s="185" t="s">
        <v>470</v>
      </c>
      <c r="H2032" s="185"/>
    </row>
    <row r="2033">
      <c r="D2033" s="185"/>
      <c r="E2033" s="185" t="s">
        <v>470</v>
      </c>
      <c r="H2033" s="185"/>
    </row>
    <row r="2034">
      <c r="D2034" s="185"/>
      <c r="E2034" s="185" t="s">
        <v>470</v>
      </c>
      <c r="H2034" s="185"/>
    </row>
    <row r="2035">
      <c r="D2035" s="185"/>
      <c r="E2035" s="185" t="s">
        <v>470</v>
      </c>
      <c r="H2035" s="185"/>
    </row>
    <row r="2036">
      <c r="D2036" s="185"/>
      <c r="E2036" s="185" t="s">
        <v>470</v>
      </c>
      <c r="H2036" s="185"/>
    </row>
    <row r="2037">
      <c r="D2037" s="185"/>
      <c r="E2037" s="185" t="s">
        <v>470</v>
      </c>
      <c r="H2037" s="185"/>
    </row>
    <row r="2038">
      <c r="D2038" s="185"/>
      <c r="E2038" s="185" t="s">
        <v>470</v>
      </c>
      <c r="H2038" s="185"/>
    </row>
    <row r="2039">
      <c r="D2039" s="185"/>
      <c r="E2039" s="185" t="s">
        <v>470</v>
      </c>
      <c r="H2039" s="185"/>
    </row>
    <row r="2040">
      <c r="D2040" s="185"/>
      <c r="E2040" s="185" t="s">
        <v>470</v>
      </c>
      <c r="H2040" s="185"/>
    </row>
    <row r="2041">
      <c r="D2041" s="185"/>
      <c r="E2041" s="185" t="s">
        <v>470</v>
      </c>
      <c r="H2041" s="185"/>
    </row>
    <row r="2042">
      <c r="D2042" s="185"/>
      <c r="E2042" s="185" t="s">
        <v>470</v>
      </c>
      <c r="H2042" s="185"/>
    </row>
    <row r="2043">
      <c r="D2043" s="185"/>
      <c r="E2043" s="185" t="s">
        <v>470</v>
      </c>
      <c r="H2043" s="185"/>
    </row>
    <row r="2044">
      <c r="D2044" s="185"/>
      <c r="E2044" s="185" t="s">
        <v>470</v>
      </c>
      <c r="H2044" s="185"/>
    </row>
    <row r="2045">
      <c r="D2045" s="185"/>
      <c r="E2045" s="185" t="s">
        <v>470</v>
      </c>
      <c r="H2045" s="185"/>
    </row>
    <row r="2046">
      <c r="D2046" s="185"/>
      <c r="E2046" s="185" t="s">
        <v>470</v>
      </c>
      <c r="H2046" s="185"/>
    </row>
    <row r="2047">
      <c r="D2047" s="185"/>
      <c r="E2047" s="185" t="s">
        <v>470</v>
      </c>
      <c r="H2047" s="185"/>
    </row>
    <row r="2048">
      <c r="D2048" s="185"/>
      <c r="E2048" s="185" t="s">
        <v>470</v>
      </c>
      <c r="H2048" s="185"/>
    </row>
    <row r="2049">
      <c r="D2049" s="185"/>
      <c r="E2049" s="185" t="s">
        <v>470</v>
      </c>
      <c r="H2049" s="185"/>
    </row>
    <row r="2050">
      <c r="D2050" s="185"/>
      <c r="E2050" s="185" t="s">
        <v>470</v>
      </c>
      <c r="H2050" s="185"/>
    </row>
    <row r="2051">
      <c r="D2051" s="185"/>
      <c r="E2051" s="185" t="s">
        <v>470</v>
      </c>
      <c r="H2051" s="185"/>
    </row>
    <row r="2052">
      <c r="D2052" s="185"/>
      <c r="E2052" s="185" t="s">
        <v>470</v>
      </c>
      <c r="H2052" s="185"/>
    </row>
    <row r="2053">
      <c r="D2053" s="185"/>
      <c r="E2053" s="185" t="s">
        <v>470</v>
      </c>
      <c r="H2053" s="185"/>
    </row>
    <row r="2054">
      <c r="D2054" s="185"/>
      <c r="E2054" s="185" t="s">
        <v>470</v>
      </c>
      <c r="H2054" s="185"/>
    </row>
    <row r="2055">
      <c r="D2055" s="185"/>
      <c r="E2055" s="185" t="s">
        <v>470</v>
      </c>
      <c r="H2055" s="185"/>
    </row>
    <row r="2056">
      <c r="D2056" s="185"/>
      <c r="E2056" s="185" t="s">
        <v>470</v>
      </c>
      <c r="H2056" s="185"/>
    </row>
    <row r="2057">
      <c r="D2057" s="185"/>
      <c r="E2057" s="185" t="s">
        <v>470</v>
      </c>
      <c r="H2057" s="185"/>
    </row>
    <row r="2058">
      <c r="D2058" s="185"/>
      <c r="E2058" s="185" t="s">
        <v>470</v>
      </c>
      <c r="H2058" s="185"/>
    </row>
    <row r="2059">
      <c r="D2059" s="185"/>
      <c r="E2059" s="185" t="s">
        <v>470</v>
      </c>
      <c r="H2059" s="185"/>
    </row>
    <row r="2060">
      <c r="D2060" s="185"/>
      <c r="E2060" s="185" t="s">
        <v>470</v>
      </c>
      <c r="H2060" s="185"/>
    </row>
    <row r="2061">
      <c r="D2061" s="185"/>
      <c r="E2061" s="185" t="s">
        <v>470</v>
      </c>
      <c r="H2061" s="185"/>
    </row>
    <row r="2062">
      <c r="D2062" s="185"/>
      <c r="E2062" s="185" t="s">
        <v>470</v>
      </c>
      <c r="H2062" s="185"/>
    </row>
    <row r="2063">
      <c r="D2063" s="185"/>
      <c r="E2063" s="185" t="s">
        <v>470</v>
      </c>
      <c r="H2063" s="185"/>
    </row>
    <row r="2064">
      <c r="D2064" s="185"/>
      <c r="E2064" s="185" t="s">
        <v>470</v>
      </c>
      <c r="H2064" s="185"/>
    </row>
    <row r="2065">
      <c r="D2065" s="185"/>
      <c r="E2065" s="185" t="s">
        <v>470</v>
      </c>
      <c r="H2065" s="185"/>
    </row>
    <row r="2066">
      <c r="D2066" s="185"/>
      <c r="E2066" s="185" t="s">
        <v>470</v>
      </c>
      <c r="H2066" s="185"/>
    </row>
    <row r="2067">
      <c r="D2067" s="185"/>
      <c r="E2067" s="185" t="s">
        <v>470</v>
      </c>
      <c r="H2067" s="185"/>
    </row>
    <row r="2068">
      <c r="D2068" s="185"/>
      <c r="E2068" s="185" t="s">
        <v>470</v>
      </c>
      <c r="H2068" s="185"/>
    </row>
    <row r="2069">
      <c r="D2069" s="185"/>
      <c r="E2069" s="185" t="s">
        <v>470</v>
      </c>
      <c r="H2069" s="185"/>
    </row>
    <row r="2070">
      <c r="D2070" s="185"/>
      <c r="E2070" s="185" t="s">
        <v>470</v>
      </c>
      <c r="H2070" s="185"/>
    </row>
    <row r="2071">
      <c r="D2071" s="185"/>
      <c r="E2071" s="185" t="s">
        <v>470</v>
      </c>
      <c r="H2071" s="185"/>
    </row>
    <row r="2072">
      <c r="D2072" s="185"/>
      <c r="E2072" s="185" t="s">
        <v>470</v>
      </c>
      <c r="H2072" s="185"/>
    </row>
    <row r="2073">
      <c r="D2073" s="185"/>
      <c r="E2073" s="185" t="s">
        <v>470</v>
      </c>
      <c r="H2073" s="185"/>
    </row>
    <row r="2074">
      <c r="D2074" s="185"/>
      <c r="E2074" s="185" t="s">
        <v>470</v>
      </c>
      <c r="H2074" s="185"/>
    </row>
    <row r="2075">
      <c r="D2075" s="185"/>
      <c r="E2075" s="185" t="s">
        <v>470</v>
      </c>
      <c r="H2075" s="185"/>
    </row>
    <row r="2076">
      <c r="D2076" s="185"/>
      <c r="E2076" s="185" t="s">
        <v>470</v>
      </c>
      <c r="H2076" s="185"/>
    </row>
    <row r="2077">
      <c r="D2077" s="185"/>
      <c r="E2077" s="185" t="s">
        <v>470</v>
      </c>
      <c r="H2077" s="185"/>
    </row>
    <row r="2078">
      <c r="D2078" s="185"/>
      <c r="E2078" s="185" t="s">
        <v>470</v>
      </c>
      <c r="H2078" s="185"/>
    </row>
    <row r="2079">
      <c r="D2079" s="185"/>
      <c r="E2079" s="185" t="s">
        <v>470</v>
      </c>
      <c r="H2079" s="185"/>
    </row>
    <row r="2080">
      <c r="D2080" s="185"/>
      <c r="E2080" s="185" t="s">
        <v>470</v>
      </c>
      <c r="H2080" s="185"/>
    </row>
    <row r="2081">
      <c r="D2081" s="185"/>
      <c r="E2081" s="185" t="s">
        <v>470</v>
      </c>
      <c r="H2081" s="185"/>
    </row>
    <row r="2082">
      <c r="D2082" s="185"/>
      <c r="E2082" s="185" t="s">
        <v>470</v>
      </c>
      <c r="H2082" s="185"/>
    </row>
    <row r="2083">
      <c r="D2083" s="185"/>
      <c r="E2083" s="185" t="s">
        <v>470</v>
      </c>
      <c r="H2083" s="185"/>
    </row>
    <row r="2084">
      <c r="D2084" s="185"/>
      <c r="E2084" s="185" t="s">
        <v>470</v>
      </c>
      <c r="H2084" s="185"/>
    </row>
    <row r="2085">
      <c r="D2085" s="185"/>
      <c r="E2085" s="185" t="s">
        <v>470</v>
      </c>
      <c r="H2085" s="185"/>
    </row>
    <row r="2086">
      <c r="D2086" s="185"/>
      <c r="E2086" s="185" t="s">
        <v>470</v>
      </c>
      <c r="H2086" s="185"/>
    </row>
    <row r="2087">
      <c r="D2087" s="185"/>
      <c r="E2087" s="185" t="s">
        <v>470</v>
      </c>
      <c r="H2087" s="185"/>
    </row>
    <row r="2088">
      <c r="D2088" s="185"/>
      <c r="E2088" s="185" t="s">
        <v>470</v>
      </c>
      <c r="H2088" s="185"/>
    </row>
    <row r="2089">
      <c r="D2089" s="185"/>
      <c r="E2089" s="185" t="s">
        <v>470</v>
      </c>
      <c r="H2089" s="185"/>
    </row>
    <row r="2090">
      <c r="D2090" s="185"/>
      <c r="E2090" s="185" t="s">
        <v>470</v>
      </c>
      <c r="H2090" s="185"/>
    </row>
    <row r="2091">
      <c r="D2091" s="185"/>
      <c r="E2091" s="185" t="s">
        <v>470</v>
      </c>
      <c r="H2091" s="185"/>
    </row>
    <row r="2092">
      <c r="D2092" s="185"/>
      <c r="E2092" s="185" t="s">
        <v>470</v>
      </c>
      <c r="H2092" s="185"/>
    </row>
    <row r="2093">
      <c r="D2093" s="185"/>
      <c r="E2093" s="185" t="s">
        <v>470</v>
      </c>
      <c r="H2093" s="185"/>
    </row>
    <row r="2094">
      <c r="D2094" s="185"/>
      <c r="E2094" s="185" t="s">
        <v>470</v>
      </c>
      <c r="H2094" s="185"/>
    </row>
    <row r="2095">
      <c r="D2095" s="185"/>
      <c r="E2095" s="185" t="s">
        <v>470</v>
      </c>
      <c r="H2095" s="185"/>
    </row>
    <row r="2096">
      <c r="D2096" s="185"/>
      <c r="E2096" s="185" t="s">
        <v>470</v>
      </c>
      <c r="H2096" s="185"/>
    </row>
    <row r="2097">
      <c r="D2097" s="185"/>
      <c r="E2097" s="185" t="s">
        <v>470</v>
      </c>
      <c r="H2097" s="185"/>
    </row>
    <row r="2098">
      <c r="D2098" s="185"/>
      <c r="E2098" s="185" t="s">
        <v>470</v>
      </c>
      <c r="H2098" s="185"/>
    </row>
    <row r="2099">
      <c r="D2099" s="185"/>
      <c r="E2099" s="185" t="s">
        <v>470</v>
      </c>
      <c r="H2099" s="185"/>
    </row>
    <row r="2100">
      <c r="D2100" s="185"/>
      <c r="E2100" s="185" t="s">
        <v>470</v>
      </c>
      <c r="H2100" s="185"/>
    </row>
    <row r="2101">
      <c r="D2101" s="185"/>
      <c r="E2101" s="185" t="s">
        <v>470</v>
      </c>
      <c r="H2101" s="185"/>
    </row>
    <row r="2102">
      <c r="D2102" s="185"/>
      <c r="E2102" s="185" t="s">
        <v>470</v>
      </c>
      <c r="H2102" s="185"/>
    </row>
    <row r="2103">
      <c r="D2103" s="185"/>
      <c r="E2103" s="185" t="s">
        <v>470</v>
      </c>
      <c r="H2103" s="185"/>
    </row>
    <row r="2104">
      <c r="D2104" s="185"/>
      <c r="E2104" s="185" t="s">
        <v>470</v>
      </c>
      <c r="H2104" s="185"/>
    </row>
    <row r="2105">
      <c r="D2105" s="185"/>
      <c r="E2105" s="185" t="s">
        <v>470</v>
      </c>
      <c r="H2105" s="185"/>
    </row>
    <row r="2106">
      <c r="D2106" s="185"/>
      <c r="E2106" s="185" t="s">
        <v>470</v>
      </c>
      <c r="H2106" s="185"/>
    </row>
    <row r="2107">
      <c r="D2107" s="185"/>
      <c r="E2107" s="185" t="s">
        <v>470</v>
      </c>
      <c r="H2107" s="185"/>
    </row>
    <row r="2108">
      <c r="D2108" s="185"/>
      <c r="E2108" s="185" t="s">
        <v>470</v>
      </c>
      <c r="H2108" s="185"/>
    </row>
    <row r="2109">
      <c r="D2109" s="185"/>
      <c r="E2109" s="185" t="s">
        <v>470</v>
      </c>
      <c r="H2109" s="185"/>
    </row>
    <row r="2110">
      <c r="D2110" s="185"/>
      <c r="E2110" s="185" t="s">
        <v>470</v>
      </c>
      <c r="H2110" s="185"/>
    </row>
    <row r="2111">
      <c r="D2111" s="185"/>
      <c r="E2111" s="185" t="s">
        <v>470</v>
      </c>
      <c r="H2111" s="185"/>
    </row>
    <row r="2112">
      <c r="D2112" s="185"/>
      <c r="E2112" s="185" t="s">
        <v>470</v>
      </c>
      <c r="H2112" s="185"/>
    </row>
    <row r="2113">
      <c r="D2113" s="185"/>
      <c r="E2113" s="185" t="s">
        <v>470</v>
      </c>
      <c r="H2113" s="185"/>
    </row>
    <row r="2114">
      <c r="D2114" s="185"/>
      <c r="E2114" s="185" t="s">
        <v>470</v>
      </c>
      <c r="H2114" s="185"/>
    </row>
    <row r="2115">
      <c r="D2115" s="185"/>
      <c r="E2115" s="185" t="s">
        <v>470</v>
      </c>
      <c r="H2115" s="185"/>
    </row>
    <row r="2116">
      <c r="D2116" s="185"/>
      <c r="E2116" s="185" t="s">
        <v>470</v>
      </c>
      <c r="H2116" s="185"/>
    </row>
    <row r="2117">
      <c r="D2117" s="185"/>
      <c r="E2117" s="185" t="s">
        <v>470</v>
      </c>
      <c r="H2117" s="185"/>
    </row>
    <row r="2118">
      <c r="D2118" s="185"/>
      <c r="E2118" s="185" t="s">
        <v>470</v>
      </c>
      <c r="H2118" s="185"/>
    </row>
    <row r="2119">
      <c r="D2119" s="185"/>
      <c r="E2119" s="185" t="s">
        <v>470</v>
      </c>
      <c r="H2119" s="185"/>
    </row>
    <row r="2120">
      <c r="D2120" s="185"/>
      <c r="E2120" s="185" t="s">
        <v>470</v>
      </c>
      <c r="H2120" s="185"/>
    </row>
    <row r="2121">
      <c r="D2121" s="185"/>
      <c r="E2121" s="185" t="s">
        <v>470</v>
      </c>
      <c r="H2121" s="185"/>
    </row>
    <row r="2122">
      <c r="D2122" s="185"/>
      <c r="E2122" s="185" t="s">
        <v>470</v>
      </c>
      <c r="H2122" s="185"/>
    </row>
    <row r="2123">
      <c r="D2123" s="185"/>
      <c r="E2123" s="185" t="s">
        <v>470</v>
      </c>
      <c r="H2123" s="185"/>
    </row>
    <row r="2124">
      <c r="D2124" s="185"/>
      <c r="E2124" s="185" t="s">
        <v>470</v>
      </c>
      <c r="H2124" s="185"/>
    </row>
    <row r="2125">
      <c r="D2125" s="185"/>
      <c r="E2125" s="185" t="s">
        <v>470</v>
      </c>
      <c r="H2125" s="185"/>
    </row>
    <row r="2126">
      <c r="D2126" s="185"/>
      <c r="E2126" s="185" t="s">
        <v>470</v>
      </c>
      <c r="H2126" s="185"/>
    </row>
    <row r="2127">
      <c r="D2127" s="185"/>
      <c r="E2127" s="185" t="s">
        <v>470</v>
      </c>
      <c r="H2127" s="185"/>
    </row>
    <row r="2128">
      <c r="D2128" s="185"/>
      <c r="E2128" s="185" t="s">
        <v>470</v>
      </c>
      <c r="H2128" s="185"/>
    </row>
    <row r="2129">
      <c r="D2129" s="185"/>
      <c r="E2129" s="185" t="s">
        <v>470</v>
      </c>
      <c r="H2129" s="185"/>
    </row>
    <row r="2130">
      <c r="D2130" s="185"/>
      <c r="E2130" s="185" t="s">
        <v>470</v>
      </c>
      <c r="H2130" s="185"/>
    </row>
    <row r="2131">
      <c r="D2131" s="185"/>
      <c r="E2131" s="185" t="s">
        <v>470</v>
      </c>
      <c r="H2131" s="185"/>
    </row>
    <row r="2132">
      <c r="D2132" s="185"/>
      <c r="E2132" s="185" t="s">
        <v>470</v>
      </c>
      <c r="H2132" s="185"/>
    </row>
    <row r="2133">
      <c r="D2133" s="185"/>
      <c r="E2133" s="185" t="s">
        <v>470</v>
      </c>
      <c r="H2133" s="185"/>
    </row>
    <row r="2134">
      <c r="D2134" s="185"/>
      <c r="E2134" s="185" t="s">
        <v>470</v>
      </c>
      <c r="H2134" s="185"/>
    </row>
    <row r="2135">
      <c r="D2135" s="185"/>
      <c r="E2135" s="185" t="s">
        <v>470</v>
      </c>
      <c r="H2135" s="185"/>
    </row>
    <row r="2136">
      <c r="D2136" s="185"/>
      <c r="E2136" s="185" t="s">
        <v>470</v>
      </c>
      <c r="H2136" s="185"/>
    </row>
    <row r="2137">
      <c r="D2137" s="185"/>
      <c r="E2137" s="185" t="s">
        <v>470</v>
      </c>
      <c r="H2137" s="185"/>
    </row>
    <row r="2138">
      <c r="D2138" s="185"/>
      <c r="E2138" s="185" t="s">
        <v>470</v>
      </c>
      <c r="H2138" s="185"/>
    </row>
    <row r="2139">
      <c r="D2139" s="185"/>
      <c r="E2139" s="185" t="s">
        <v>470</v>
      </c>
      <c r="H2139" s="185"/>
    </row>
    <row r="2140">
      <c r="D2140" s="185"/>
      <c r="E2140" s="185" t="s">
        <v>470</v>
      </c>
      <c r="H2140" s="185"/>
    </row>
    <row r="2141">
      <c r="D2141" s="185"/>
      <c r="E2141" s="185" t="s">
        <v>470</v>
      </c>
      <c r="H2141" s="185"/>
    </row>
    <row r="2142">
      <c r="D2142" s="185"/>
      <c r="E2142" s="185" t="s">
        <v>470</v>
      </c>
      <c r="H2142" s="185"/>
    </row>
    <row r="2143">
      <c r="D2143" s="185"/>
      <c r="E2143" s="185" t="s">
        <v>470</v>
      </c>
      <c r="H2143" s="185"/>
    </row>
    <row r="2144">
      <c r="D2144" s="185"/>
      <c r="E2144" s="185" t="s">
        <v>470</v>
      </c>
      <c r="H2144" s="185"/>
    </row>
    <row r="2145">
      <c r="D2145" s="185"/>
      <c r="E2145" s="185" t="s">
        <v>470</v>
      </c>
      <c r="H2145" s="185"/>
    </row>
    <row r="2146">
      <c r="D2146" s="185"/>
      <c r="E2146" s="185" t="s">
        <v>470</v>
      </c>
      <c r="H2146" s="185"/>
    </row>
    <row r="2147">
      <c r="D2147" s="185"/>
      <c r="E2147" s="185" t="s">
        <v>470</v>
      </c>
      <c r="H2147" s="185"/>
    </row>
    <row r="2148">
      <c r="D2148" s="185"/>
      <c r="E2148" s="185" t="s">
        <v>470</v>
      </c>
      <c r="H2148" s="185"/>
    </row>
    <row r="2149">
      <c r="D2149" s="185"/>
      <c r="E2149" s="185" t="s">
        <v>470</v>
      </c>
      <c r="H2149" s="185"/>
    </row>
    <row r="2150">
      <c r="D2150" s="185"/>
      <c r="E2150" s="185" t="s">
        <v>470</v>
      </c>
      <c r="H2150" s="185"/>
    </row>
    <row r="2151">
      <c r="D2151" s="185"/>
      <c r="E2151" s="185" t="s">
        <v>470</v>
      </c>
      <c r="H2151" s="185"/>
    </row>
    <row r="2152">
      <c r="D2152" s="185"/>
      <c r="E2152" s="185" t="s">
        <v>470</v>
      </c>
      <c r="H2152" s="185"/>
    </row>
    <row r="2153">
      <c r="D2153" s="185"/>
      <c r="E2153" s="185" t="s">
        <v>470</v>
      </c>
      <c r="H2153" s="185"/>
    </row>
    <row r="2154">
      <c r="D2154" s="185"/>
      <c r="E2154" s="185" t="s">
        <v>470</v>
      </c>
      <c r="H2154" s="185"/>
    </row>
    <row r="2155">
      <c r="D2155" s="185"/>
      <c r="E2155" s="185" t="s">
        <v>470</v>
      </c>
      <c r="H2155" s="185"/>
    </row>
    <row r="2156">
      <c r="D2156" s="185"/>
      <c r="E2156" s="185" t="s">
        <v>470</v>
      </c>
      <c r="H2156" s="185"/>
    </row>
    <row r="2157">
      <c r="D2157" s="185"/>
      <c r="E2157" s="185" t="s">
        <v>470</v>
      </c>
      <c r="H2157" s="185"/>
    </row>
    <row r="2158">
      <c r="D2158" s="185"/>
      <c r="E2158" s="185" t="s">
        <v>470</v>
      </c>
      <c r="H2158" s="185"/>
    </row>
    <row r="2159">
      <c r="D2159" s="185"/>
      <c r="E2159" s="185" t="s">
        <v>470</v>
      </c>
      <c r="H2159" s="185"/>
    </row>
    <row r="2160">
      <c r="D2160" s="185"/>
      <c r="E2160" s="185" t="s">
        <v>470</v>
      </c>
      <c r="H2160" s="185"/>
    </row>
    <row r="2161">
      <c r="D2161" s="185"/>
      <c r="E2161" s="185" t="s">
        <v>470</v>
      </c>
      <c r="H2161" s="185"/>
    </row>
    <row r="2162">
      <c r="D2162" s="185"/>
      <c r="E2162" s="185" t="s">
        <v>470</v>
      </c>
      <c r="H2162" s="185"/>
    </row>
    <row r="2163">
      <c r="D2163" s="185"/>
      <c r="E2163" s="185" t="s">
        <v>470</v>
      </c>
      <c r="H2163" s="185"/>
    </row>
    <row r="2164">
      <c r="D2164" s="185"/>
      <c r="E2164" s="185" t="s">
        <v>470</v>
      </c>
      <c r="H2164" s="185"/>
    </row>
    <row r="2165">
      <c r="D2165" s="185"/>
      <c r="E2165" s="185" t="s">
        <v>470</v>
      </c>
      <c r="H2165" s="185"/>
    </row>
    <row r="2166">
      <c r="D2166" s="185"/>
      <c r="E2166" s="185" t="s">
        <v>470</v>
      </c>
      <c r="H2166" s="185"/>
    </row>
    <row r="2167">
      <c r="D2167" s="185"/>
      <c r="E2167" s="185" t="s">
        <v>470</v>
      </c>
      <c r="H2167" s="185"/>
    </row>
    <row r="2168">
      <c r="D2168" s="185"/>
      <c r="E2168" s="185" t="s">
        <v>470</v>
      </c>
      <c r="H2168" s="185"/>
    </row>
    <row r="2169">
      <c r="D2169" s="185"/>
      <c r="E2169" s="185" t="s">
        <v>470</v>
      </c>
      <c r="H2169" s="185"/>
    </row>
    <row r="2170">
      <c r="D2170" s="185"/>
      <c r="E2170" s="185" t="s">
        <v>470</v>
      </c>
      <c r="H2170" s="185"/>
    </row>
    <row r="2171">
      <c r="D2171" s="185"/>
      <c r="E2171" s="185" t="s">
        <v>470</v>
      </c>
      <c r="H2171" s="185"/>
    </row>
    <row r="2172">
      <c r="D2172" s="185"/>
      <c r="E2172" s="185" t="s">
        <v>470</v>
      </c>
      <c r="H2172" s="185"/>
    </row>
    <row r="2173">
      <c r="D2173" s="185"/>
      <c r="E2173" s="185" t="s">
        <v>470</v>
      </c>
      <c r="H2173" s="185"/>
    </row>
    <row r="2174">
      <c r="D2174" s="185"/>
      <c r="E2174" s="185" t="s">
        <v>470</v>
      </c>
      <c r="H2174" s="185"/>
    </row>
    <row r="2175">
      <c r="D2175" s="185"/>
      <c r="E2175" s="185" t="s">
        <v>470</v>
      </c>
      <c r="H2175" s="185"/>
    </row>
    <row r="2176">
      <c r="D2176" s="185"/>
      <c r="E2176" s="185" t="s">
        <v>470</v>
      </c>
      <c r="H2176" s="185"/>
    </row>
    <row r="2177">
      <c r="D2177" s="185"/>
      <c r="E2177" s="185" t="s">
        <v>470</v>
      </c>
      <c r="H2177" s="185"/>
    </row>
    <row r="2178">
      <c r="D2178" s="185"/>
      <c r="E2178" s="185" t="s">
        <v>470</v>
      </c>
      <c r="H2178" s="185"/>
    </row>
    <row r="2179">
      <c r="D2179" s="185"/>
      <c r="E2179" s="185" t="s">
        <v>470</v>
      </c>
      <c r="H2179" s="185"/>
    </row>
    <row r="2180">
      <c r="D2180" s="185"/>
      <c r="E2180" s="185" t="s">
        <v>470</v>
      </c>
      <c r="H2180" s="185"/>
    </row>
    <row r="2181">
      <c r="D2181" s="185"/>
      <c r="E2181" s="185" t="s">
        <v>470</v>
      </c>
      <c r="H2181" s="185"/>
    </row>
    <row r="2182">
      <c r="D2182" s="185"/>
      <c r="E2182" s="185" t="s">
        <v>470</v>
      </c>
      <c r="H2182" s="185"/>
    </row>
    <row r="2183">
      <c r="D2183" s="185"/>
      <c r="E2183" s="185" t="s">
        <v>470</v>
      </c>
      <c r="H2183" s="185"/>
    </row>
    <row r="2184">
      <c r="D2184" s="185"/>
      <c r="E2184" s="185" t="s">
        <v>470</v>
      </c>
      <c r="H2184" s="185"/>
    </row>
    <row r="2185">
      <c r="D2185" s="185"/>
      <c r="E2185" s="185" t="s">
        <v>470</v>
      </c>
      <c r="H2185" s="185"/>
    </row>
    <row r="2186">
      <c r="D2186" s="185"/>
      <c r="E2186" s="185" t="s">
        <v>470</v>
      </c>
      <c r="H2186" s="185"/>
    </row>
    <row r="2187">
      <c r="D2187" s="185"/>
      <c r="E2187" s="185" t="s">
        <v>470</v>
      </c>
      <c r="H2187" s="185"/>
    </row>
    <row r="2188">
      <c r="D2188" s="185"/>
      <c r="E2188" s="185" t="s">
        <v>470</v>
      </c>
      <c r="H2188" s="185"/>
    </row>
    <row r="2189">
      <c r="D2189" s="185"/>
      <c r="E2189" s="185" t="s">
        <v>470</v>
      </c>
      <c r="H2189" s="185"/>
    </row>
    <row r="2190">
      <c r="D2190" s="185"/>
      <c r="E2190" s="185" t="s">
        <v>470</v>
      </c>
      <c r="H2190" s="185"/>
    </row>
    <row r="2191">
      <c r="D2191" s="185"/>
      <c r="E2191" s="185" t="s">
        <v>470</v>
      </c>
      <c r="H2191" s="185"/>
    </row>
    <row r="2192">
      <c r="D2192" s="185"/>
      <c r="E2192" s="185" t="s">
        <v>470</v>
      </c>
      <c r="H2192" s="185"/>
    </row>
    <row r="2193">
      <c r="D2193" s="185"/>
      <c r="E2193" s="185" t="s">
        <v>470</v>
      </c>
      <c r="H2193" s="185"/>
    </row>
    <row r="2194">
      <c r="D2194" s="185"/>
      <c r="E2194" s="185" t="s">
        <v>470</v>
      </c>
      <c r="H2194" s="185"/>
    </row>
    <row r="2195">
      <c r="D2195" s="185"/>
      <c r="E2195" s="185" t="s">
        <v>470</v>
      </c>
      <c r="H2195" s="185"/>
    </row>
    <row r="2196">
      <c r="D2196" s="185"/>
      <c r="E2196" s="185" t="s">
        <v>470</v>
      </c>
      <c r="H2196" s="185"/>
    </row>
    <row r="2197">
      <c r="D2197" s="185"/>
      <c r="E2197" s="185" t="s">
        <v>470</v>
      </c>
      <c r="H2197" s="185"/>
    </row>
    <row r="2198">
      <c r="D2198" s="185"/>
      <c r="E2198" s="185" t="s">
        <v>470</v>
      </c>
      <c r="H2198" s="185"/>
    </row>
    <row r="2199">
      <c r="D2199" s="185"/>
      <c r="E2199" s="185" t="s">
        <v>470</v>
      </c>
      <c r="H2199" s="185"/>
    </row>
    <row r="2200">
      <c r="D2200" s="185"/>
      <c r="E2200" s="185" t="s">
        <v>470</v>
      </c>
      <c r="H2200" s="185"/>
    </row>
    <row r="2201">
      <c r="D2201" s="185"/>
      <c r="E2201" s="185" t="s">
        <v>470</v>
      </c>
      <c r="H2201" s="185"/>
    </row>
    <row r="2202">
      <c r="D2202" s="185"/>
      <c r="E2202" s="185" t="s">
        <v>470</v>
      </c>
      <c r="H2202" s="185"/>
    </row>
    <row r="2203">
      <c r="D2203" s="185"/>
      <c r="E2203" s="185" t="s">
        <v>470</v>
      </c>
      <c r="H2203" s="185"/>
    </row>
    <row r="2204">
      <c r="D2204" s="185"/>
      <c r="E2204" s="185" t="s">
        <v>470</v>
      </c>
      <c r="H2204" s="185"/>
    </row>
    <row r="2205">
      <c r="D2205" s="185"/>
      <c r="E2205" s="185" t="s">
        <v>470</v>
      </c>
      <c r="H2205" s="185"/>
    </row>
    <row r="2206">
      <c r="D2206" s="185"/>
      <c r="E2206" s="185" t="s">
        <v>470</v>
      </c>
      <c r="H2206" s="185"/>
    </row>
    <row r="2207">
      <c r="D2207" s="185"/>
      <c r="E2207" s="185" t="s">
        <v>470</v>
      </c>
      <c r="H2207" s="185"/>
    </row>
    <row r="2208">
      <c r="D2208" s="185"/>
      <c r="E2208" s="185" t="s">
        <v>470</v>
      </c>
      <c r="H2208" s="185"/>
    </row>
    <row r="2209">
      <c r="D2209" s="185"/>
      <c r="E2209" s="185" t="s">
        <v>470</v>
      </c>
      <c r="H2209" s="185"/>
    </row>
    <row r="2210">
      <c r="D2210" s="185"/>
      <c r="E2210" s="185" t="s">
        <v>470</v>
      </c>
      <c r="H2210" s="185"/>
    </row>
    <row r="2211">
      <c r="D2211" s="185"/>
      <c r="E2211" s="185" t="s">
        <v>470</v>
      </c>
      <c r="H2211" s="185"/>
    </row>
    <row r="2212">
      <c r="D2212" s="185"/>
      <c r="E2212" s="185" t="s">
        <v>470</v>
      </c>
      <c r="H2212" s="185"/>
    </row>
    <row r="2213">
      <c r="D2213" s="185"/>
      <c r="E2213" s="185" t="s">
        <v>470</v>
      </c>
      <c r="H2213" s="185"/>
    </row>
    <row r="2214">
      <c r="D2214" s="185"/>
      <c r="E2214" s="185" t="s">
        <v>470</v>
      </c>
      <c r="H2214" s="185"/>
    </row>
    <row r="2215">
      <c r="D2215" s="185"/>
      <c r="E2215" s="185" t="s">
        <v>470</v>
      </c>
      <c r="H2215" s="185"/>
    </row>
    <row r="2216">
      <c r="D2216" s="185"/>
      <c r="E2216" s="185" t="s">
        <v>470</v>
      </c>
      <c r="H2216" s="185"/>
    </row>
    <row r="2217">
      <c r="D2217" s="185"/>
      <c r="E2217" s="185" t="s">
        <v>470</v>
      </c>
      <c r="H2217" s="185"/>
    </row>
    <row r="2218">
      <c r="D2218" s="185"/>
      <c r="E2218" s="185" t="s">
        <v>470</v>
      </c>
      <c r="H2218" s="185"/>
    </row>
    <row r="2219">
      <c r="D2219" s="185"/>
      <c r="E2219" s="185" t="s">
        <v>470</v>
      </c>
      <c r="H2219" s="185"/>
    </row>
    <row r="2220">
      <c r="D2220" s="185"/>
      <c r="E2220" s="185" t="s">
        <v>470</v>
      </c>
      <c r="H2220" s="185"/>
    </row>
    <row r="2221">
      <c r="D2221" s="185"/>
      <c r="E2221" s="185" t="s">
        <v>470</v>
      </c>
      <c r="H2221" s="185"/>
    </row>
    <row r="2222">
      <c r="D2222" s="185"/>
      <c r="E2222" s="185" t="s">
        <v>470</v>
      </c>
      <c r="H2222" s="185"/>
    </row>
    <row r="2223">
      <c r="D2223" s="185"/>
      <c r="E2223" s="185" t="s">
        <v>470</v>
      </c>
      <c r="H2223" s="185"/>
    </row>
    <row r="2224">
      <c r="D2224" s="185"/>
      <c r="E2224" s="185" t="s">
        <v>470</v>
      </c>
      <c r="H2224" s="185"/>
    </row>
    <row r="2225">
      <c r="D2225" s="185"/>
      <c r="E2225" s="185" t="s">
        <v>470</v>
      </c>
      <c r="H2225" s="185"/>
    </row>
    <row r="2226">
      <c r="D2226" s="185"/>
      <c r="E2226" s="185" t="s">
        <v>470</v>
      </c>
      <c r="H2226" s="185"/>
    </row>
    <row r="2227">
      <c r="D2227" s="185"/>
      <c r="E2227" s="185" t="s">
        <v>470</v>
      </c>
      <c r="H2227" s="185"/>
    </row>
    <row r="2228">
      <c r="D2228" s="185"/>
      <c r="E2228" s="185" t="s">
        <v>470</v>
      </c>
      <c r="H2228" s="185"/>
    </row>
    <row r="2229">
      <c r="D2229" s="185"/>
      <c r="E2229" s="185" t="s">
        <v>470</v>
      </c>
      <c r="H2229" s="185"/>
    </row>
    <row r="2230">
      <c r="D2230" s="185"/>
      <c r="E2230" s="185" t="s">
        <v>470</v>
      </c>
      <c r="H2230" s="185"/>
    </row>
    <row r="2231">
      <c r="D2231" s="185"/>
      <c r="E2231" s="185" t="s">
        <v>470</v>
      </c>
      <c r="H2231" s="185"/>
    </row>
    <row r="2232">
      <c r="D2232" s="185"/>
      <c r="E2232" s="185" t="s">
        <v>470</v>
      </c>
      <c r="H2232" s="185"/>
    </row>
    <row r="2233">
      <c r="D2233" s="185"/>
      <c r="E2233" s="185" t="s">
        <v>470</v>
      </c>
      <c r="H2233" s="185"/>
    </row>
    <row r="2234">
      <c r="D2234" s="185"/>
      <c r="E2234" s="185" t="s">
        <v>470</v>
      </c>
      <c r="H2234" s="185"/>
    </row>
    <row r="2235">
      <c r="D2235" s="185"/>
      <c r="E2235" s="185" t="s">
        <v>470</v>
      </c>
      <c r="H2235" s="185"/>
    </row>
    <row r="2236">
      <c r="D2236" s="185"/>
      <c r="E2236" s="185" t="s">
        <v>470</v>
      </c>
      <c r="H2236" s="185"/>
    </row>
    <row r="2237">
      <c r="D2237" s="185"/>
      <c r="E2237" s="185" t="s">
        <v>470</v>
      </c>
      <c r="H2237" s="185"/>
    </row>
    <row r="2238">
      <c r="D2238" s="185"/>
      <c r="E2238" s="185" t="s">
        <v>470</v>
      </c>
      <c r="H2238" s="185"/>
    </row>
    <row r="2239">
      <c r="D2239" s="185"/>
      <c r="E2239" s="185" t="s">
        <v>470</v>
      </c>
      <c r="H2239" s="185"/>
    </row>
    <row r="2240">
      <c r="D2240" s="185"/>
      <c r="E2240" s="185" t="s">
        <v>470</v>
      </c>
      <c r="H2240" s="185"/>
    </row>
    <row r="2241">
      <c r="D2241" s="185"/>
      <c r="E2241" s="185" t="s">
        <v>470</v>
      </c>
      <c r="H2241" s="185"/>
    </row>
    <row r="2242">
      <c r="D2242" s="185"/>
      <c r="E2242" s="185" t="s">
        <v>470</v>
      </c>
      <c r="H2242" s="185"/>
    </row>
    <row r="2243">
      <c r="D2243" s="185"/>
      <c r="E2243" s="185" t="s">
        <v>470</v>
      </c>
      <c r="H2243" s="185"/>
    </row>
    <row r="2244">
      <c r="D2244" s="185"/>
      <c r="E2244" s="185" t="s">
        <v>470</v>
      </c>
      <c r="H2244" s="185"/>
    </row>
    <row r="2245">
      <c r="D2245" s="185"/>
      <c r="E2245" s="185" t="s">
        <v>470</v>
      </c>
      <c r="H2245" s="185"/>
    </row>
    <row r="2246">
      <c r="D2246" s="185"/>
      <c r="E2246" s="185" t="s">
        <v>470</v>
      </c>
      <c r="H2246" s="185"/>
    </row>
    <row r="2247">
      <c r="D2247" s="185"/>
      <c r="E2247" s="185" t="s">
        <v>470</v>
      </c>
      <c r="H2247" s="185"/>
    </row>
    <row r="2248">
      <c r="D2248" s="185"/>
      <c r="E2248" s="185" t="s">
        <v>470</v>
      </c>
      <c r="H2248" s="185"/>
    </row>
    <row r="2249">
      <c r="D2249" s="185"/>
      <c r="E2249" s="185" t="s">
        <v>470</v>
      </c>
      <c r="H2249" s="185"/>
    </row>
    <row r="2250">
      <c r="D2250" s="185"/>
      <c r="E2250" s="185" t="s">
        <v>470</v>
      </c>
      <c r="H2250" s="185"/>
    </row>
    <row r="2251">
      <c r="D2251" s="185"/>
      <c r="E2251" s="185" t="s">
        <v>470</v>
      </c>
      <c r="H2251" s="185"/>
    </row>
    <row r="2252">
      <c r="D2252" s="185"/>
      <c r="E2252" s="185" t="s">
        <v>470</v>
      </c>
      <c r="H2252" s="185"/>
    </row>
    <row r="2253">
      <c r="D2253" s="185"/>
      <c r="E2253" s="185" t="s">
        <v>470</v>
      </c>
      <c r="H2253" s="185"/>
    </row>
    <row r="2254">
      <c r="D2254" s="185"/>
      <c r="E2254" s="185" t="s">
        <v>470</v>
      </c>
      <c r="H2254" s="185"/>
    </row>
    <row r="2255">
      <c r="D2255" s="185"/>
      <c r="E2255" s="185" t="s">
        <v>470</v>
      </c>
      <c r="H2255" s="185"/>
    </row>
    <row r="2256">
      <c r="D2256" s="185"/>
      <c r="E2256" s="185" t="s">
        <v>470</v>
      </c>
      <c r="H2256" s="185"/>
    </row>
    <row r="2257">
      <c r="D2257" s="185"/>
      <c r="E2257" s="185" t="s">
        <v>470</v>
      </c>
      <c r="H2257" s="185"/>
    </row>
    <row r="2258">
      <c r="D2258" s="185"/>
      <c r="E2258" s="185" t="s">
        <v>470</v>
      </c>
      <c r="H2258" s="185"/>
    </row>
    <row r="2259">
      <c r="D2259" s="185"/>
      <c r="E2259" s="185" t="s">
        <v>470</v>
      </c>
      <c r="H2259" s="185"/>
    </row>
    <row r="2260">
      <c r="D2260" s="185"/>
      <c r="E2260" s="185" t="s">
        <v>470</v>
      </c>
      <c r="H2260" s="185"/>
    </row>
    <row r="2261">
      <c r="D2261" s="185"/>
      <c r="E2261" s="185" t="s">
        <v>470</v>
      </c>
      <c r="H2261" s="185"/>
    </row>
    <row r="2262">
      <c r="D2262" s="185"/>
      <c r="E2262" s="185" t="s">
        <v>470</v>
      </c>
      <c r="H2262" s="185"/>
    </row>
    <row r="2263">
      <c r="D2263" s="185"/>
      <c r="E2263" s="185" t="s">
        <v>470</v>
      </c>
      <c r="H2263" s="185"/>
    </row>
    <row r="2264">
      <c r="D2264" s="185"/>
      <c r="E2264" s="185" t="s">
        <v>470</v>
      </c>
      <c r="H2264" s="185"/>
    </row>
    <row r="2265">
      <c r="D2265" s="185"/>
      <c r="E2265" s="185" t="s">
        <v>470</v>
      </c>
      <c r="H2265" s="185"/>
    </row>
    <row r="2266">
      <c r="D2266" s="185"/>
      <c r="E2266" s="185" t="s">
        <v>470</v>
      </c>
      <c r="H2266" s="185"/>
    </row>
    <row r="2267">
      <c r="D2267" s="185"/>
      <c r="E2267" s="185" t="s">
        <v>470</v>
      </c>
      <c r="H2267" s="185"/>
    </row>
    <row r="2268">
      <c r="D2268" s="185"/>
      <c r="E2268" s="185" t="s">
        <v>470</v>
      </c>
      <c r="H2268" s="185"/>
    </row>
    <row r="2269">
      <c r="D2269" s="185"/>
      <c r="E2269" s="185" t="s">
        <v>470</v>
      </c>
      <c r="H2269" s="185"/>
    </row>
    <row r="2270">
      <c r="D2270" s="185"/>
      <c r="E2270" s="185" t="s">
        <v>470</v>
      </c>
      <c r="H2270" s="185"/>
    </row>
    <row r="2271">
      <c r="D2271" s="185"/>
      <c r="E2271" s="185" t="s">
        <v>470</v>
      </c>
      <c r="H2271" s="185"/>
    </row>
    <row r="2272">
      <c r="D2272" s="185"/>
      <c r="E2272" s="185" t="s">
        <v>470</v>
      </c>
      <c r="H2272" s="185"/>
    </row>
    <row r="2273">
      <c r="D2273" s="185"/>
      <c r="E2273" s="185" t="s">
        <v>470</v>
      </c>
      <c r="H2273" s="185"/>
    </row>
    <row r="2274">
      <c r="D2274" s="185"/>
      <c r="E2274" s="185" t="s">
        <v>470</v>
      </c>
      <c r="H2274" s="185"/>
    </row>
    <row r="2275">
      <c r="D2275" s="185"/>
      <c r="E2275" s="185" t="s">
        <v>470</v>
      </c>
      <c r="H2275" s="185"/>
    </row>
    <row r="2276">
      <c r="D2276" s="185"/>
      <c r="E2276" s="185" t="s">
        <v>470</v>
      </c>
      <c r="H2276" s="185"/>
    </row>
    <row r="2277">
      <c r="D2277" s="185"/>
      <c r="E2277" s="185" t="s">
        <v>470</v>
      </c>
      <c r="H2277" s="185"/>
    </row>
    <row r="2278">
      <c r="D2278" s="185"/>
      <c r="E2278" s="185" t="s">
        <v>470</v>
      </c>
      <c r="H2278" s="185"/>
    </row>
    <row r="2279">
      <c r="D2279" s="185"/>
      <c r="E2279" s="185" t="s">
        <v>470</v>
      </c>
      <c r="H2279" s="185"/>
    </row>
    <row r="2280">
      <c r="D2280" s="185"/>
      <c r="E2280" s="185" t="s">
        <v>470</v>
      </c>
      <c r="H2280" s="185"/>
    </row>
    <row r="2281">
      <c r="D2281" s="185"/>
      <c r="E2281" s="185" t="s">
        <v>470</v>
      </c>
      <c r="H2281" s="185"/>
    </row>
    <row r="2282">
      <c r="D2282" s="185"/>
      <c r="E2282" s="185" t="s">
        <v>470</v>
      </c>
      <c r="H2282" s="185"/>
    </row>
    <row r="2283">
      <c r="D2283" s="185"/>
      <c r="E2283" s="185" t="s">
        <v>470</v>
      </c>
      <c r="H2283" s="185"/>
    </row>
    <row r="2284">
      <c r="D2284" s="185"/>
      <c r="E2284" s="185" t="s">
        <v>470</v>
      </c>
      <c r="H2284" s="185"/>
    </row>
    <row r="2285">
      <c r="D2285" s="185"/>
      <c r="E2285" s="185" t="s">
        <v>470</v>
      </c>
      <c r="H2285" s="185"/>
    </row>
    <row r="2286">
      <c r="D2286" s="185"/>
      <c r="E2286" s="185" t="s">
        <v>470</v>
      </c>
      <c r="H2286" s="185"/>
    </row>
    <row r="2287">
      <c r="D2287" s="185"/>
      <c r="E2287" s="185" t="s">
        <v>470</v>
      </c>
      <c r="H2287" s="185"/>
    </row>
    <row r="2288">
      <c r="D2288" s="185"/>
      <c r="E2288" s="185" t="s">
        <v>470</v>
      </c>
      <c r="H2288" s="185"/>
    </row>
    <row r="2289">
      <c r="D2289" s="185"/>
      <c r="E2289" s="185" t="s">
        <v>470</v>
      </c>
      <c r="H2289" s="185"/>
    </row>
    <row r="2290">
      <c r="D2290" s="185"/>
      <c r="E2290" s="185" t="s">
        <v>470</v>
      </c>
      <c r="H2290" s="185"/>
    </row>
    <row r="2291">
      <c r="D2291" s="185"/>
      <c r="E2291" s="185" t="s">
        <v>470</v>
      </c>
      <c r="H2291" s="185"/>
    </row>
    <row r="2292">
      <c r="D2292" s="185"/>
      <c r="E2292" s="185" t="s">
        <v>470</v>
      </c>
      <c r="H2292" s="185"/>
    </row>
    <row r="2293">
      <c r="D2293" s="185"/>
      <c r="E2293" s="185" t="s">
        <v>470</v>
      </c>
      <c r="H2293" s="185"/>
    </row>
    <row r="2294">
      <c r="D2294" s="185"/>
      <c r="E2294" s="185" t="s">
        <v>470</v>
      </c>
      <c r="H2294" s="185"/>
    </row>
    <row r="2295">
      <c r="D2295" s="185"/>
      <c r="E2295" s="185" t="s">
        <v>470</v>
      </c>
      <c r="H2295" s="185"/>
    </row>
    <row r="2296">
      <c r="D2296" s="185"/>
      <c r="E2296" s="185" t="s">
        <v>470</v>
      </c>
      <c r="H2296" s="185"/>
    </row>
    <row r="2297">
      <c r="D2297" s="185"/>
      <c r="E2297" s="185" t="s">
        <v>470</v>
      </c>
      <c r="H2297" s="185"/>
    </row>
    <row r="2298">
      <c r="D2298" s="185"/>
      <c r="E2298" s="185" t="s">
        <v>470</v>
      </c>
      <c r="H2298" s="185"/>
    </row>
    <row r="2299">
      <c r="D2299" s="185"/>
      <c r="E2299" s="185" t="s">
        <v>470</v>
      </c>
      <c r="H2299" s="185"/>
    </row>
    <row r="2300">
      <c r="D2300" s="185"/>
      <c r="E2300" s="185" t="s">
        <v>470</v>
      </c>
      <c r="H2300" s="185"/>
    </row>
    <row r="2301">
      <c r="D2301" s="185"/>
      <c r="E2301" s="185" t="s">
        <v>470</v>
      </c>
      <c r="H2301" s="185"/>
    </row>
    <row r="2302">
      <c r="D2302" s="185"/>
      <c r="E2302" s="185" t="s">
        <v>470</v>
      </c>
      <c r="H2302" s="185"/>
    </row>
    <row r="2303">
      <c r="D2303" s="185"/>
      <c r="E2303" s="185" t="s">
        <v>470</v>
      </c>
      <c r="H2303" s="185"/>
    </row>
    <row r="2304">
      <c r="D2304" s="185"/>
      <c r="E2304" s="185" t="s">
        <v>470</v>
      </c>
      <c r="H2304" s="185"/>
    </row>
    <row r="2305">
      <c r="D2305" s="185"/>
      <c r="E2305" s="185" t="s">
        <v>470</v>
      </c>
      <c r="H2305" s="185"/>
    </row>
    <row r="2306">
      <c r="D2306" s="185"/>
      <c r="E2306" s="185" t="s">
        <v>470</v>
      </c>
      <c r="H2306" s="185"/>
    </row>
    <row r="2307">
      <c r="D2307" s="185"/>
      <c r="E2307" s="185" t="s">
        <v>470</v>
      </c>
      <c r="H2307" s="185"/>
    </row>
    <row r="2308">
      <c r="D2308" s="185"/>
      <c r="E2308" s="185" t="s">
        <v>470</v>
      </c>
      <c r="H2308" s="185"/>
    </row>
    <row r="2309">
      <c r="D2309" s="185"/>
      <c r="E2309" s="185" t="s">
        <v>470</v>
      </c>
      <c r="H2309" s="185"/>
    </row>
    <row r="2310">
      <c r="D2310" s="185"/>
      <c r="E2310" s="185" t="s">
        <v>470</v>
      </c>
      <c r="H2310" s="185"/>
    </row>
    <row r="2311">
      <c r="D2311" s="185"/>
      <c r="E2311" s="185" t="s">
        <v>470</v>
      </c>
      <c r="H2311" s="185"/>
    </row>
    <row r="2312">
      <c r="D2312" s="185"/>
      <c r="E2312" s="185" t="s">
        <v>470</v>
      </c>
      <c r="H2312" s="185"/>
    </row>
    <row r="2313">
      <c r="D2313" s="185"/>
      <c r="E2313" s="185" t="s">
        <v>470</v>
      </c>
      <c r="H2313" s="185"/>
    </row>
    <row r="2314">
      <c r="D2314" s="185"/>
      <c r="E2314" s="185" t="s">
        <v>470</v>
      </c>
      <c r="H2314" s="185"/>
    </row>
    <row r="2315">
      <c r="D2315" s="185"/>
      <c r="E2315" s="185" t="s">
        <v>470</v>
      </c>
      <c r="H2315" s="185"/>
    </row>
    <row r="2316">
      <c r="D2316" s="185"/>
      <c r="E2316" s="185" t="s">
        <v>470</v>
      </c>
      <c r="H2316" s="185"/>
    </row>
    <row r="2317">
      <c r="D2317" s="185"/>
      <c r="E2317" s="185" t="s">
        <v>470</v>
      </c>
      <c r="H2317" s="185"/>
    </row>
    <row r="2318">
      <c r="D2318" s="185"/>
      <c r="E2318" s="185" t="s">
        <v>470</v>
      </c>
      <c r="H2318" s="185"/>
    </row>
    <row r="2319">
      <c r="D2319" s="185"/>
      <c r="E2319" s="185" t="s">
        <v>470</v>
      </c>
      <c r="H2319" s="185"/>
    </row>
    <row r="2320">
      <c r="D2320" s="185"/>
      <c r="E2320" s="185" t="s">
        <v>470</v>
      </c>
      <c r="H2320" s="185"/>
    </row>
    <row r="2321">
      <c r="D2321" s="185"/>
      <c r="E2321" s="185" t="s">
        <v>470</v>
      </c>
      <c r="H2321" s="185"/>
    </row>
    <row r="2322">
      <c r="D2322" s="185"/>
      <c r="E2322" s="185" t="s">
        <v>470</v>
      </c>
      <c r="H2322" s="185"/>
    </row>
    <row r="2323">
      <c r="D2323" s="185"/>
      <c r="E2323" s="185" t="s">
        <v>470</v>
      </c>
      <c r="H2323" s="185"/>
    </row>
    <row r="2324">
      <c r="D2324" s="185"/>
      <c r="E2324" s="185" t="s">
        <v>470</v>
      </c>
      <c r="H2324" s="185"/>
    </row>
    <row r="2325">
      <c r="D2325" s="185"/>
      <c r="E2325" s="185" t="s">
        <v>470</v>
      </c>
      <c r="H2325" s="185"/>
    </row>
    <row r="2326">
      <c r="D2326" s="185"/>
      <c r="E2326" s="185" t="s">
        <v>470</v>
      </c>
      <c r="H2326" s="185"/>
    </row>
    <row r="2327">
      <c r="D2327" s="185"/>
      <c r="E2327" s="185" t="s">
        <v>470</v>
      </c>
      <c r="H2327" s="185"/>
    </row>
    <row r="2328">
      <c r="D2328" s="185"/>
      <c r="E2328" s="185" t="s">
        <v>470</v>
      </c>
      <c r="H2328" s="185"/>
    </row>
    <row r="2329">
      <c r="D2329" s="185"/>
      <c r="E2329" s="185" t="s">
        <v>470</v>
      </c>
      <c r="H2329" s="185"/>
    </row>
    <row r="2330">
      <c r="D2330" s="185"/>
      <c r="E2330" s="185" t="s">
        <v>470</v>
      </c>
      <c r="H2330" s="185"/>
    </row>
    <row r="2331">
      <c r="D2331" s="185"/>
      <c r="E2331" s="185" t="s">
        <v>470</v>
      </c>
      <c r="H2331" s="185"/>
    </row>
    <row r="2332">
      <c r="D2332" s="185"/>
      <c r="E2332" s="185" t="s">
        <v>470</v>
      </c>
      <c r="H2332" s="185"/>
    </row>
    <row r="2333">
      <c r="D2333" s="185"/>
      <c r="E2333" s="185" t="s">
        <v>470</v>
      </c>
      <c r="H2333" s="185"/>
    </row>
    <row r="2334">
      <c r="D2334" s="185"/>
      <c r="E2334" s="185" t="s">
        <v>470</v>
      </c>
      <c r="H2334" s="185"/>
    </row>
    <row r="2335">
      <c r="D2335" s="185"/>
      <c r="E2335" s="185" t="s">
        <v>470</v>
      </c>
      <c r="H2335" s="185"/>
    </row>
    <row r="2336">
      <c r="D2336" s="185"/>
      <c r="E2336" s="185" t="s">
        <v>470</v>
      </c>
      <c r="H2336" s="185"/>
    </row>
    <row r="2337">
      <c r="D2337" s="185"/>
      <c r="E2337" s="185" t="s">
        <v>470</v>
      </c>
      <c r="H2337" s="185"/>
    </row>
    <row r="2338">
      <c r="D2338" s="185"/>
      <c r="E2338" s="185" t="s">
        <v>470</v>
      </c>
      <c r="H2338" s="185"/>
    </row>
    <row r="2339">
      <c r="D2339" s="185"/>
      <c r="E2339" s="185" t="s">
        <v>470</v>
      </c>
      <c r="H2339" s="185"/>
    </row>
    <row r="2340">
      <c r="D2340" s="185"/>
      <c r="E2340" s="185" t="s">
        <v>470</v>
      </c>
      <c r="H2340" s="185"/>
    </row>
    <row r="2341">
      <c r="D2341" s="185"/>
      <c r="E2341" s="185" t="s">
        <v>470</v>
      </c>
      <c r="H2341" s="185"/>
    </row>
    <row r="2342">
      <c r="D2342" s="185"/>
      <c r="E2342" s="185" t="s">
        <v>470</v>
      </c>
      <c r="H2342" s="185"/>
    </row>
    <row r="2343">
      <c r="D2343" s="185"/>
      <c r="E2343" s="185" t="s">
        <v>470</v>
      </c>
      <c r="H2343" s="185"/>
    </row>
    <row r="2344">
      <c r="D2344" s="185"/>
      <c r="E2344" s="185" t="s">
        <v>470</v>
      </c>
      <c r="H2344" s="185"/>
    </row>
    <row r="2345">
      <c r="D2345" s="185"/>
      <c r="E2345" s="185" t="s">
        <v>470</v>
      </c>
      <c r="H2345" s="185"/>
    </row>
    <row r="2346">
      <c r="D2346" s="185"/>
      <c r="E2346" s="185" t="s">
        <v>470</v>
      </c>
      <c r="H2346" s="185"/>
    </row>
    <row r="2347">
      <c r="D2347" s="185"/>
      <c r="E2347" s="185" t="s">
        <v>470</v>
      </c>
      <c r="H2347" s="185"/>
    </row>
    <row r="2348">
      <c r="D2348" s="185"/>
      <c r="E2348" s="185" t="s">
        <v>470</v>
      </c>
      <c r="H2348" s="185"/>
    </row>
    <row r="2349">
      <c r="D2349" s="185"/>
      <c r="E2349" s="185" t="s">
        <v>470</v>
      </c>
      <c r="H2349" s="185"/>
    </row>
    <row r="2350">
      <c r="D2350" s="185"/>
      <c r="E2350" s="185" t="s">
        <v>470</v>
      </c>
      <c r="H2350" s="185"/>
    </row>
    <row r="2351">
      <c r="D2351" s="185"/>
      <c r="E2351" s="185" t="s">
        <v>470</v>
      </c>
      <c r="H2351" s="185"/>
    </row>
    <row r="2352">
      <c r="D2352" s="185"/>
      <c r="E2352" s="185" t="s">
        <v>470</v>
      </c>
      <c r="H2352" s="185"/>
    </row>
    <row r="2353">
      <c r="D2353" s="185"/>
      <c r="E2353" s="185" t="s">
        <v>470</v>
      </c>
      <c r="H2353" s="185"/>
    </row>
    <row r="2354">
      <c r="D2354" s="185"/>
      <c r="E2354" s="185" t="s">
        <v>470</v>
      </c>
      <c r="H2354" s="185"/>
    </row>
    <row r="2355">
      <c r="D2355" s="185"/>
      <c r="E2355" s="185" t="s">
        <v>470</v>
      </c>
      <c r="H2355" s="185"/>
    </row>
    <row r="2356">
      <c r="D2356" s="185"/>
      <c r="E2356" s="185" t="s">
        <v>470</v>
      </c>
      <c r="H2356" s="185"/>
    </row>
    <row r="2357">
      <c r="D2357" s="185"/>
      <c r="E2357" s="185" t="s">
        <v>470</v>
      </c>
      <c r="H2357" s="185"/>
    </row>
    <row r="2358">
      <c r="D2358" s="185"/>
      <c r="E2358" s="185" t="s">
        <v>470</v>
      </c>
      <c r="H2358" s="185"/>
    </row>
    <row r="2359">
      <c r="D2359" s="185"/>
      <c r="E2359" s="185" t="s">
        <v>470</v>
      </c>
      <c r="H2359" s="185"/>
    </row>
    <row r="2360">
      <c r="D2360" s="185"/>
      <c r="E2360" s="185" t="s">
        <v>470</v>
      </c>
      <c r="H2360" s="185"/>
    </row>
    <row r="2361">
      <c r="D2361" s="185"/>
      <c r="E2361" s="185" t="s">
        <v>470</v>
      </c>
      <c r="H2361" s="185"/>
    </row>
    <row r="2362">
      <c r="D2362" s="185"/>
      <c r="E2362" s="185" t="s">
        <v>470</v>
      </c>
      <c r="H2362" s="185"/>
    </row>
    <row r="2363">
      <c r="D2363" s="185"/>
      <c r="E2363" s="185" t="s">
        <v>470</v>
      </c>
      <c r="H2363" s="185"/>
    </row>
    <row r="2364">
      <c r="D2364" s="185"/>
      <c r="E2364" s="185" t="s">
        <v>470</v>
      </c>
      <c r="H2364" s="185"/>
    </row>
    <row r="2365">
      <c r="D2365" s="185"/>
      <c r="E2365" s="185" t="s">
        <v>470</v>
      </c>
      <c r="H2365" s="185"/>
    </row>
    <row r="2366">
      <c r="D2366" s="185"/>
      <c r="E2366" s="185" t="s">
        <v>470</v>
      </c>
      <c r="H2366" s="185"/>
    </row>
    <row r="2367">
      <c r="D2367" s="185"/>
      <c r="E2367" s="185" t="s">
        <v>470</v>
      </c>
      <c r="H2367" s="185"/>
    </row>
    <row r="2368">
      <c r="D2368" s="185"/>
      <c r="E2368" s="185" t="s">
        <v>470</v>
      </c>
      <c r="H2368" s="185"/>
    </row>
    <row r="2369">
      <c r="D2369" s="185"/>
      <c r="E2369" s="185" t="s">
        <v>470</v>
      </c>
      <c r="H2369" s="185"/>
    </row>
    <row r="2370">
      <c r="D2370" s="185"/>
      <c r="E2370" s="185" t="s">
        <v>470</v>
      </c>
      <c r="H2370" s="185"/>
    </row>
    <row r="2371">
      <c r="D2371" s="185"/>
      <c r="E2371" s="185" t="s">
        <v>470</v>
      </c>
      <c r="H2371" s="185"/>
    </row>
    <row r="2372">
      <c r="D2372" s="185"/>
      <c r="E2372" s="185" t="s">
        <v>470</v>
      </c>
      <c r="H2372" s="185"/>
    </row>
    <row r="2373">
      <c r="D2373" s="185"/>
      <c r="E2373" s="185" t="s">
        <v>470</v>
      </c>
      <c r="H2373" s="185"/>
    </row>
    <row r="2374">
      <c r="D2374" s="185"/>
      <c r="E2374" s="185" t="s">
        <v>470</v>
      </c>
      <c r="H2374" s="185"/>
    </row>
    <row r="2375">
      <c r="D2375" s="185"/>
      <c r="E2375" s="185" t="s">
        <v>470</v>
      </c>
      <c r="H2375" s="185"/>
    </row>
    <row r="2376">
      <c r="D2376" s="185"/>
      <c r="E2376" s="185" t="s">
        <v>470</v>
      </c>
      <c r="H2376" s="185"/>
    </row>
    <row r="2377">
      <c r="D2377" s="185"/>
      <c r="E2377" s="185" t="s">
        <v>470</v>
      </c>
      <c r="H2377" s="185"/>
    </row>
    <row r="2378">
      <c r="D2378" s="185"/>
      <c r="E2378" s="185" t="s">
        <v>470</v>
      </c>
      <c r="H2378" s="185"/>
    </row>
    <row r="2379">
      <c r="D2379" s="185"/>
      <c r="E2379" s="185" t="s">
        <v>470</v>
      </c>
      <c r="H2379" s="185"/>
    </row>
    <row r="2380">
      <c r="D2380" s="185"/>
      <c r="E2380" s="185" t="s">
        <v>470</v>
      </c>
      <c r="H2380" s="185"/>
    </row>
    <row r="2381">
      <c r="D2381" s="185"/>
      <c r="E2381" s="185" t="s">
        <v>470</v>
      </c>
      <c r="H2381" s="185"/>
    </row>
    <row r="2382">
      <c r="D2382" s="185"/>
      <c r="E2382" s="185" t="s">
        <v>470</v>
      </c>
      <c r="H2382" s="185"/>
    </row>
    <row r="2383">
      <c r="D2383" s="185"/>
      <c r="E2383" s="185" t="s">
        <v>470</v>
      </c>
      <c r="H2383" s="185"/>
    </row>
    <row r="2384">
      <c r="D2384" s="185"/>
      <c r="E2384" s="185" t="s">
        <v>470</v>
      </c>
      <c r="H2384" s="185"/>
    </row>
    <row r="2385">
      <c r="D2385" s="185"/>
      <c r="E2385" s="185" t="s">
        <v>470</v>
      </c>
      <c r="H2385" s="185"/>
    </row>
    <row r="2386">
      <c r="D2386" s="185"/>
      <c r="E2386" s="185" t="s">
        <v>470</v>
      </c>
      <c r="H2386" s="185"/>
    </row>
    <row r="2387">
      <c r="D2387" s="185"/>
      <c r="E2387" s="185" t="s">
        <v>470</v>
      </c>
      <c r="H2387" s="185"/>
    </row>
    <row r="2388">
      <c r="D2388" s="185"/>
      <c r="E2388" s="185" t="s">
        <v>470</v>
      </c>
      <c r="H2388" s="185"/>
    </row>
    <row r="2389">
      <c r="D2389" s="185"/>
      <c r="E2389" s="185" t="s">
        <v>470</v>
      </c>
      <c r="H2389" s="185"/>
    </row>
    <row r="2390">
      <c r="D2390" s="185"/>
      <c r="E2390" s="185" t="s">
        <v>470</v>
      </c>
      <c r="H2390" s="185"/>
    </row>
    <row r="2391">
      <c r="D2391" s="185"/>
      <c r="E2391" s="185" t="s">
        <v>470</v>
      </c>
      <c r="H2391" s="185"/>
    </row>
    <row r="2392">
      <c r="D2392" s="185"/>
      <c r="E2392" s="185" t="s">
        <v>470</v>
      </c>
      <c r="H2392" s="185"/>
    </row>
    <row r="2393">
      <c r="D2393" s="185"/>
      <c r="E2393" s="185" t="s">
        <v>470</v>
      </c>
      <c r="H2393" s="185"/>
    </row>
    <row r="2394">
      <c r="D2394" s="185"/>
      <c r="E2394" s="185" t="s">
        <v>470</v>
      </c>
      <c r="H2394" s="185"/>
    </row>
    <row r="2395">
      <c r="D2395" s="185"/>
      <c r="E2395" s="185" t="s">
        <v>470</v>
      </c>
      <c r="H2395" s="185"/>
    </row>
    <row r="2396">
      <c r="D2396" s="185"/>
      <c r="E2396" s="185" t="s">
        <v>470</v>
      </c>
      <c r="H2396" s="185"/>
    </row>
    <row r="2397">
      <c r="D2397" s="185"/>
      <c r="E2397" s="185" t="s">
        <v>470</v>
      </c>
      <c r="H2397" s="185"/>
    </row>
    <row r="2398">
      <c r="D2398" s="185"/>
      <c r="E2398" s="185" t="s">
        <v>470</v>
      </c>
      <c r="H2398" s="185"/>
    </row>
    <row r="2399">
      <c r="D2399" s="185"/>
      <c r="E2399" s="185" t="s">
        <v>470</v>
      </c>
      <c r="H2399" s="185"/>
    </row>
    <row r="2400">
      <c r="D2400" s="185"/>
      <c r="E2400" s="185" t="s">
        <v>470</v>
      </c>
      <c r="H2400" s="185"/>
    </row>
    <row r="2401">
      <c r="D2401" s="185"/>
      <c r="E2401" s="185" t="s">
        <v>470</v>
      </c>
      <c r="H2401" s="185"/>
    </row>
    <row r="2402">
      <c r="D2402" s="185"/>
      <c r="E2402" s="185" t="s">
        <v>470</v>
      </c>
      <c r="H2402" s="185"/>
    </row>
    <row r="2403">
      <c r="D2403" s="185"/>
      <c r="E2403" s="185" t="s">
        <v>470</v>
      </c>
      <c r="H2403" s="185"/>
    </row>
    <row r="2404">
      <c r="D2404" s="185"/>
      <c r="E2404" s="185" t="s">
        <v>470</v>
      </c>
      <c r="H2404" s="185"/>
    </row>
    <row r="2405">
      <c r="D2405" s="185"/>
      <c r="E2405" s="185" t="s">
        <v>470</v>
      </c>
      <c r="H2405" s="185"/>
    </row>
    <row r="2406">
      <c r="D2406" s="185"/>
      <c r="E2406" s="185" t="s">
        <v>470</v>
      </c>
      <c r="H2406" s="185"/>
    </row>
    <row r="2407">
      <c r="D2407" s="185"/>
      <c r="E2407" s="185" t="s">
        <v>470</v>
      </c>
      <c r="H2407" s="185"/>
    </row>
    <row r="2408">
      <c r="D2408" s="185"/>
      <c r="E2408" s="185" t="s">
        <v>470</v>
      </c>
      <c r="H2408" s="185"/>
    </row>
    <row r="2409">
      <c r="D2409" s="185"/>
      <c r="E2409" s="185" t="s">
        <v>470</v>
      </c>
      <c r="H2409" s="185"/>
    </row>
    <row r="2410">
      <c r="D2410" s="185"/>
      <c r="E2410" s="185" t="s">
        <v>470</v>
      </c>
      <c r="H2410" s="185"/>
    </row>
    <row r="2411">
      <c r="D2411" s="185"/>
      <c r="E2411" s="185" t="s">
        <v>470</v>
      </c>
      <c r="H2411" s="185"/>
    </row>
    <row r="2412">
      <c r="D2412" s="185"/>
      <c r="E2412" s="185" t="s">
        <v>470</v>
      </c>
      <c r="H2412" s="185"/>
    </row>
    <row r="2413">
      <c r="D2413" s="185"/>
      <c r="E2413" s="185" t="s">
        <v>470</v>
      </c>
      <c r="H2413" s="185"/>
    </row>
    <row r="2414">
      <c r="D2414" s="185"/>
      <c r="E2414" s="185" t="s">
        <v>470</v>
      </c>
      <c r="H2414" s="185"/>
    </row>
    <row r="2415">
      <c r="D2415" s="185"/>
      <c r="E2415" s="185" t="s">
        <v>470</v>
      </c>
      <c r="H2415" s="185"/>
    </row>
    <row r="2416">
      <c r="D2416" s="185"/>
      <c r="E2416" s="185" t="s">
        <v>470</v>
      </c>
      <c r="H2416" s="185"/>
    </row>
    <row r="2417">
      <c r="D2417" s="185"/>
      <c r="E2417" s="185" t="s">
        <v>470</v>
      </c>
      <c r="H2417" s="185"/>
    </row>
    <row r="2418">
      <c r="D2418" s="185"/>
      <c r="E2418" s="185" t="s">
        <v>470</v>
      </c>
      <c r="H2418" s="185"/>
    </row>
    <row r="2419">
      <c r="D2419" s="185"/>
      <c r="E2419" s="185" t="s">
        <v>470</v>
      </c>
      <c r="H2419" s="185"/>
    </row>
    <row r="2420">
      <c r="D2420" s="185"/>
      <c r="E2420" s="185" t="s">
        <v>470</v>
      </c>
      <c r="H2420" s="185"/>
    </row>
    <row r="2421">
      <c r="D2421" s="185"/>
      <c r="E2421" s="185" t="s">
        <v>470</v>
      </c>
      <c r="H2421" s="185"/>
    </row>
    <row r="2422">
      <c r="D2422" s="185"/>
      <c r="E2422" s="185" t="s">
        <v>470</v>
      </c>
      <c r="H2422" s="185"/>
    </row>
    <row r="2423">
      <c r="D2423" s="185"/>
      <c r="E2423" s="185" t="s">
        <v>470</v>
      </c>
      <c r="H2423" s="185"/>
    </row>
    <row r="2424">
      <c r="D2424" s="185"/>
      <c r="E2424" s="185" t="s">
        <v>470</v>
      </c>
      <c r="H2424" s="185"/>
    </row>
    <row r="2425">
      <c r="D2425" s="185"/>
      <c r="E2425" s="185" t="s">
        <v>470</v>
      </c>
      <c r="H2425" s="185"/>
    </row>
    <row r="2426">
      <c r="D2426" s="185"/>
      <c r="E2426" s="185" t="s">
        <v>470</v>
      </c>
      <c r="H2426" s="185"/>
    </row>
    <row r="2427">
      <c r="D2427" s="185"/>
      <c r="E2427" s="185" t="s">
        <v>470</v>
      </c>
      <c r="H2427" s="185"/>
    </row>
    <row r="2428">
      <c r="D2428" s="185"/>
      <c r="E2428" s="185" t="s">
        <v>470</v>
      </c>
      <c r="H2428" s="185"/>
    </row>
    <row r="2429">
      <c r="D2429" s="185"/>
      <c r="E2429" s="185" t="s">
        <v>470</v>
      </c>
      <c r="H2429" s="185"/>
    </row>
    <row r="2430">
      <c r="D2430" s="185"/>
      <c r="E2430" s="185" t="s">
        <v>470</v>
      </c>
      <c r="H2430" s="185"/>
    </row>
    <row r="2431">
      <c r="D2431" s="185"/>
      <c r="E2431" s="185" t="s">
        <v>470</v>
      </c>
      <c r="H2431" s="185"/>
    </row>
    <row r="2432">
      <c r="D2432" s="185"/>
      <c r="E2432" s="185" t="s">
        <v>470</v>
      </c>
      <c r="H2432" s="185"/>
    </row>
    <row r="2433">
      <c r="D2433" s="185"/>
      <c r="E2433" s="185" t="s">
        <v>470</v>
      </c>
      <c r="H2433" s="185"/>
    </row>
    <row r="2434">
      <c r="D2434" s="185"/>
      <c r="E2434" s="185" t="s">
        <v>470</v>
      </c>
      <c r="H2434" s="185"/>
    </row>
    <row r="2435">
      <c r="D2435" s="185"/>
      <c r="E2435" s="185" t="s">
        <v>470</v>
      </c>
      <c r="H2435" s="185"/>
    </row>
    <row r="2436">
      <c r="D2436" s="185"/>
      <c r="E2436" s="185" t="s">
        <v>470</v>
      </c>
      <c r="H2436" s="185"/>
    </row>
    <row r="2437">
      <c r="D2437" s="185"/>
      <c r="E2437" s="185" t="s">
        <v>470</v>
      </c>
      <c r="H2437" s="185"/>
    </row>
    <row r="2438">
      <c r="D2438" s="185"/>
      <c r="E2438" s="185" t="s">
        <v>470</v>
      </c>
      <c r="H2438" s="185"/>
    </row>
    <row r="2439">
      <c r="D2439" s="185"/>
      <c r="E2439" s="185" t="s">
        <v>470</v>
      </c>
      <c r="H2439" s="185"/>
    </row>
    <row r="2440">
      <c r="D2440" s="185"/>
      <c r="E2440" s="185" t="s">
        <v>470</v>
      </c>
      <c r="H2440" s="185"/>
    </row>
    <row r="2441">
      <c r="D2441" s="185"/>
      <c r="E2441" s="185" t="s">
        <v>470</v>
      </c>
      <c r="H2441" s="185"/>
    </row>
    <row r="2442">
      <c r="D2442" s="185"/>
      <c r="E2442" s="185" t="s">
        <v>470</v>
      </c>
      <c r="H2442" s="185"/>
    </row>
    <row r="2443">
      <c r="D2443" s="185"/>
      <c r="E2443" s="185" t="s">
        <v>470</v>
      </c>
      <c r="H2443" s="185"/>
    </row>
    <row r="2444">
      <c r="D2444" s="185"/>
      <c r="E2444" s="185" t="s">
        <v>470</v>
      </c>
      <c r="H2444" s="185"/>
    </row>
    <row r="2445">
      <c r="D2445" s="185"/>
      <c r="E2445" s="185" t="s">
        <v>470</v>
      </c>
      <c r="H2445" s="185"/>
    </row>
    <row r="2446">
      <c r="D2446" s="185"/>
      <c r="E2446" s="185" t="s">
        <v>470</v>
      </c>
      <c r="H2446" s="185"/>
    </row>
    <row r="2447">
      <c r="D2447" s="185"/>
      <c r="E2447" s="185" t="s">
        <v>470</v>
      </c>
      <c r="H2447" s="185"/>
    </row>
    <row r="2448">
      <c r="D2448" s="185"/>
      <c r="E2448" s="185" t="s">
        <v>470</v>
      </c>
      <c r="H2448" s="185"/>
    </row>
    <row r="2449">
      <c r="D2449" s="185"/>
      <c r="E2449" s="185" t="s">
        <v>470</v>
      </c>
      <c r="H2449" s="185"/>
    </row>
    <row r="2450">
      <c r="D2450" s="185"/>
      <c r="E2450" s="185" t="s">
        <v>470</v>
      </c>
      <c r="H2450" s="185"/>
    </row>
    <row r="2451">
      <c r="D2451" s="185"/>
      <c r="E2451" s="185" t="s">
        <v>470</v>
      </c>
      <c r="H2451" s="185"/>
    </row>
    <row r="2452">
      <c r="D2452" s="185"/>
      <c r="E2452" s="185" t="s">
        <v>470</v>
      </c>
      <c r="H2452" s="185"/>
    </row>
    <row r="2453">
      <c r="D2453" s="185"/>
      <c r="E2453" s="185" t="s">
        <v>470</v>
      </c>
      <c r="H2453" s="185"/>
    </row>
    <row r="2454">
      <c r="D2454" s="185"/>
      <c r="E2454" s="185" t="s">
        <v>470</v>
      </c>
      <c r="H2454" s="185"/>
    </row>
    <row r="2455">
      <c r="D2455" s="185"/>
      <c r="E2455" s="185" t="s">
        <v>470</v>
      </c>
      <c r="H2455" s="185"/>
    </row>
    <row r="2456">
      <c r="D2456" s="185"/>
      <c r="E2456" s="185" t="s">
        <v>470</v>
      </c>
      <c r="H2456" s="185"/>
    </row>
    <row r="2457">
      <c r="D2457" s="185"/>
      <c r="E2457" s="185" t="s">
        <v>470</v>
      </c>
      <c r="H2457" s="185"/>
    </row>
    <row r="2458">
      <c r="D2458" s="185"/>
      <c r="E2458" s="185" t="s">
        <v>470</v>
      </c>
      <c r="H2458" s="185"/>
    </row>
    <row r="2459">
      <c r="D2459" s="185"/>
      <c r="E2459" s="185" t="s">
        <v>470</v>
      </c>
      <c r="H2459" s="185"/>
    </row>
    <row r="2460">
      <c r="D2460" s="185"/>
      <c r="E2460" s="185" t="s">
        <v>470</v>
      </c>
      <c r="H2460" s="185"/>
    </row>
    <row r="2461">
      <c r="D2461" s="185"/>
      <c r="E2461" s="185" t="s">
        <v>470</v>
      </c>
      <c r="H2461" s="185"/>
    </row>
    <row r="2462">
      <c r="D2462" s="185"/>
      <c r="E2462" s="185" t="s">
        <v>470</v>
      </c>
      <c r="H2462" s="185"/>
    </row>
    <row r="2463">
      <c r="D2463" s="185"/>
      <c r="E2463" s="185" t="s">
        <v>470</v>
      </c>
      <c r="H2463" s="185"/>
    </row>
    <row r="2464">
      <c r="D2464" s="185"/>
      <c r="E2464" s="185" t="s">
        <v>470</v>
      </c>
      <c r="H2464" s="185"/>
    </row>
    <row r="2465">
      <c r="D2465" s="185"/>
      <c r="E2465" s="185" t="s">
        <v>470</v>
      </c>
      <c r="H2465" s="185"/>
    </row>
    <row r="2466">
      <c r="D2466" s="185"/>
      <c r="E2466" s="185" t="s">
        <v>470</v>
      </c>
      <c r="H2466" s="185"/>
    </row>
    <row r="2467">
      <c r="D2467" s="185"/>
      <c r="E2467" s="185" t="s">
        <v>470</v>
      </c>
      <c r="H2467" s="185"/>
    </row>
    <row r="2468">
      <c r="D2468" s="185"/>
      <c r="E2468" s="185" t="s">
        <v>470</v>
      </c>
      <c r="H2468" s="185"/>
    </row>
    <row r="2469">
      <c r="D2469" s="185"/>
      <c r="E2469" s="185" t="s">
        <v>470</v>
      </c>
      <c r="H2469" s="185"/>
    </row>
    <row r="2470">
      <c r="D2470" s="185"/>
      <c r="E2470" s="185" t="s">
        <v>470</v>
      </c>
      <c r="H2470" s="185"/>
    </row>
    <row r="2471">
      <c r="D2471" s="185"/>
      <c r="E2471" s="185" t="s">
        <v>470</v>
      </c>
      <c r="H2471" s="185"/>
    </row>
    <row r="2472">
      <c r="D2472" s="185"/>
      <c r="E2472" s="185" t="s">
        <v>470</v>
      </c>
      <c r="H2472" s="185"/>
    </row>
    <row r="2473">
      <c r="D2473" s="185"/>
      <c r="E2473" s="185" t="s">
        <v>470</v>
      </c>
      <c r="H2473" s="185"/>
    </row>
    <row r="2474">
      <c r="D2474" s="185"/>
      <c r="E2474" s="185" t="s">
        <v>470</v>
      </c>
      <c r="H2474" s="185"/>
    </row>
    <row r="2475">
      <c r="D2475" s="185"/>
      <c r="E2475" s="185" t="s">
        <v>470</v>
      </c>
      <c r="H2475" s="185"/>
    </row>
    <row r="2476">
      <c r="D2476" s="185"/>
      <c r="E2476" s="185" t="s">
        <v>470</v>
      </c>
      <c r="H2476" s="185"/>
    </row>
    <row r="2477">
      <c r="D2477" s="185"/>
      <c r="E2477" s="185" t="s">
        <v>470</v>
      </c>
      <c r="H2477" s="185"/>
    </row>
    <row r="2478">
      <c r="D2478" s="185"/>
      <c r="E2478" s="185" t="s">
        <v>470</v>
      </c>
      <c r="H2478" s="185"/>
    </row>
    <row r="2479">
      <c r="D2479" s="185"/>
      <c r="E2479" s="185" t="s">
        <v>470</v>
      </c>
      <c r="H2479" s="185"/>
    </row>
    <row r="2480">
      <c r="D2480" s="185"/>
      <c r="E2480" s="185" t="s">
        <v>470</v>
      </c>
      <c r="H2480" s="185"/>
    </row>
    <row r="2481">
      <c r="D2481" s="185"/>
      <c r="E2481" s="185" t="s">
        <v>470</v>
      </c>
      <c r="H2481" s="185"/>
    </row>
    <row r="2482">
      <c r="D2482" s="185"/>
      <c r="E2482" s="185" t="s">
        <v>470</v>
      </c>
      <c r="H2482" s="185"/>
    </row>
    <row r="2483">
      <c r="D2483" s="185"/>
      <c r="E2483" s="185" t="s">
        <v>470</v>
      </c>
      <c r="H2483" s="185"/>
    </row>
    <row r="2484">
      <c r="D2484" s="185"/>
      <c r="E2484" s="185" t="s">
        <v>470</v>
      </c>
      <c r="H2484" s="185"/>
    </row>
    <row r="2485">
      <c r="D2485" s="185"/>
      <c r="E2485" s="185" t="s">
        <v>470</v>
      </c>
      <c r="H2485" s="185"/>
    </row>
    <row r="2486">
      <c r="D2486" s="185"/>
      <c r="E2486" s="185" t="s">
        <v>470</v>
      </c>
      <c r="H2486" s="185"/>
    </row>
    <row r="2487">
      <c r="D2487" s="185"/>
      <c r="E2487" s="185" t="s">
        <v>470</v>
      </c>
      <c r="H2487" s="185"/>
    </row>
    <row r="2488">
      <c r="D2488" s="185"/>
      <c r="E2488" s="185" t="s">
        <v>470</v>
      </c>
      <c r="H2488" s="185"/>
    </row>
    <row r="2489">
      <c r="D2489" s="185"/>
      <c r="E2489" s="185" t="s">
        <v>470</v>
      </c>
      <c r="H2489" s="185"/>
    </row>
    <row r="2490">
      <c r="D2490" s="185"/>
      <c r="E2490" s="185" t="s">
        <v>470</v>
      </c>
      <c r="H2490" s="185"/>
    </row>
    <row r="2491">
      <c r="D2491" s="185"/>
      <c r="E2491" s="185" t="s">
        <v>470</v>
      </c>
      <c r="H2491" s="185"/>
    </row>
    <row r="2492">
      <c r="D2492" s="185"/>
      <c r="E2492" s="185" t="s">
        <v>470</v>
      </c>
      <c r="H2492" s="185"/>
    </row>
    <row r="2493">
      <c r="D2493" s="185"/>
      <c r="E2493" s="185" t="s">
        <v>470</v>
      </c>
      <c r="H2493" s="185"/>
    </row>
    <row r="2494">
      <c r="D2494" s="185"/>
      <c r="E2494" s="185" t="s">
        <v>470</v>
      </c>
      <c r="H2494" s="185"/>
    </row>
    <row r="2495">
      <c r="D2495" s="185"/>
      <c r="E2495" s="185" t="s">
        <v>470</v>
      </c>
      <c r="H2495" s="185"/>
    </row>
    <row r="2496">
      <c r="D2496" s="185"/>
      <c r="E2496" s="185" t="s">
        <v>470</v>
      </c>
      <c r="H2496" s="185"/>
    </row>
    <row r="2497">
      <c r="D2497" s="185"/>
      <c r="E2497" s="185" t="s">
        <v>470</v>
      </c>
      <c r="H2497" s="185"/>
    </row>
    <row r="2498">
      <c r="D2498" s="185"/>
      <c r="E2498" s="185" t="s">
        <v>470</v>
      </c>
      <c r="H2498" s="185"/>
    </row>
    <row r="2499">
      <c r="D2499" s="185"/>
      <c r="E2499" s="185" t="s">
        <v>470</v>
      </c>
      <c r="H2499" s="185"/>
    </row>
    <row r="2500">
      <c r="D2500" s="185"/>
      <c r="E2500" s="185" t="s">
        <v>470</v>
      </c>
      <c r="H2500" s="185"/>
    </row>
    <row r="2501">
      <c r="D2501" s="185"/>
      <c r="E2501" s="185" t="s">
        <v>470</v>
      </c>
      <c r="H2501" s="185"/>
    </row>
    <row r="2502">
      <c r="D2502" s="185"/>
      <c r="E2502" s="185" t="s">
        <v>470</v>
      </c>
      <c r="H2502" s="185"/>
    </row>
    <row r="2503">
      <c r="D2503" s="185"/>
      <c r="E2503" s="185" t="s">
        <v>470</v>
      </c>
      <c r="H2503" s="185"/>
    </row>
    <row r="2504">
      <c r="D2504" s="185"/>
      <c r="E2504" s="185" t="s">
        <v>470</v>
      </c>
      <c r="H2504" s="185"/>
    </row>
    <row r="2505">
      <c r="D2505" s="185"/>
      <c r="E2505" s="185" t="s">
        <v>470</v>
      </c>
      <c r="H2505" s="185"/>
    </row>
    <row r="2506">
      <c r="D2506" s="185"/>
      <c r="E2506" s="185" t="s">
        <v>470</v>
      </c>
      <c r="H2506" s="185"/>
    </row>
    <row r="2507">
      <c r="D2507" s="185"/>
      <c r="E2507" s="185" t="s">
        <v>470</v>
      </c>
      <c r="H2507" s="185"/>
    </row>
    <row r="2508">
      <c r="D2508" s="185"/>
      <c r="E2508" s="185" t="s">
        <v>470</v>
      </c>
      <c r="H2508" s="185"/>
    </row>
    <row r="2509">
      <c r="D2509" s="185"/>
      <c r="E2509" s="185" t="s">
        <v>470</v>
      </c>
      <c r="H2509" s="185"/>
    </row>
    <row r="2510">
      <c r="D2510" s="185"/>
      <c r="E2510" s="185" t="s">
        <v>470</v>
      </c>
      <c r="H2510" s="185"/>
    </row>
    <row r="2511">
      <c r="D2511" s="185"/>
      <c r="E2511" s="185" t="s">
        <v>470</v>
      </c>
      <c r="H2511" s="185"/>
    </row>
    <row r="2512">
      <c r="D2512" s="185"/>
      <c r="E2512" s="185" t="s">
        <v>470</v>
      </c>
      <c r="H2512" s="185"/>
    </row>
    <row r="2513">
      <c r="D2513" s="185"/>
      <c r="E2513" s="185" t="s">
        <v>470</v>
      </c>
      <c r="H2513" s="185"/>
    </row>
    <row r="2514">
      <c r="D2514" s="185"/>
      <c r="E2514" s="185" t="s">
        <v>470</v>
      </c>
      <c r="H2514" s="185"/>
    </row>
    <row r="2515">
      <c r="D2515" s="185"/>
      <c r="E2515" s="185" t="s">
        <v>470</v>
      </c>
      <c r="H2515" s="185"/>
    </row>
    <row r="2516">
      <c r="D2516" s="185"/>
      <c r="E2516" s="185" t="s">
        <v>470</v>
      </c>
      <c r="H2516" s="185"/>
    </row>
    <row r="2517">
      <c r="D2517" s="185"/>
      <c r="E2517" s="185" t="s">
        <v>470</v>
      </c>
      <c r="H2517" s="185"/>
    </row>
    <row r="2518">
      <c r="D2518" s="185"/>
      <c r="E2518" s="185" t="s">
        <v>470</v>
      </c>
      <c r="H2518" s="185"/>
    </row>
    <row r="2519">
      <c r="D2519" s="185"/>
      <c r="E2519" s="185" t="s">
        <v>470</v>
      </c>
      <c r="H2519" s="185"/>
    </row>
    <row r="2520">
      <c r="D2520" s="185"/>
      <c r="E2520" s="185" t="s">
        <v>470</v>
      </c>
      <c r="H2520" s="185"/>
    </row>
    <row r="2521">
      <c r="D2521" s="185"/>
      <c r="E2521" s="185" t="s">
        <v>470</v>
      </c>
      <c r="H2521" s="185"/>
    </row>
    <row r="2522">
      <c r="D2522" s="185"/>
      <c r="E2522" s="185" t="s">
        <v>470</v>
      </c>
      <c r="H2522" s="185"/>
    </row>
    <row r="2523">
      <c r="D2523" s="185"/>
      <c r="E2523" s="185" t="s">
        <v>470</v>
      </c>
      <c r="H2523" s="185"/>
    </row>
    <row r="2524">
      <c r="D2524" s="185"/>
      <c r="E2524" s="185" t="s">
        <v>470</v>
      </c>
      <c r="H2524" s="185"/>
    </row>
    <row r="2525">
      <c r="D2525" s="185"/>
      <c r="E2525" s="185" t="s">
        <v>470</v>
      </c>
      <c r="H2525" s="185"/>
    </row>
    <row r="2526">
      <c r="D2526" s="185"/>
      <c r="E2526" s="185" t="s">
        <v>470</v>
      </c>
      <c r="H2526" s="185"/>
    </row>
    <row r="2527">
      <c r="D2527" s="185"/>
      <c r="E2527" s="185" t="s">
        <v>470</v>
      </c>
      <c r="H2527" s="185"/>
    </row>
    <row r="2528">
      <c r="D2528" s="185"/>
      <c r="E2528" s="185" t="s">
        <v>470</v>
      </c>
      <c r="H2528" s="185"/>
    </row>
    <row r="2529">
      <c r="D2529" s="185"/>
      <c r="E2529" s="185" t="s">
        <v>470</v>
      </c>
      <c r="H2529" s="185"/>
    </row>
    <row r="2530">
      <c r="D2530" s="185"/>
      <c r="E2530" s="185" t="s">
        <v>470</v>
      </c>
      <c r="H2530" s="185"/>
    </row>
    <row r="2531">
      <c r="D2531" s="185"/>
      <c r="E2531" s="185" t="s">
        <v>470</v>
      </c>
      <c r="H2531" s="185"/>
    </row>
    <row r="2532">
      <c r="D2532" s="185"/>
      <c r="E2532" s="185" t="s">
        <v>470</v>
      </c>
      <c r="H2532" s="185"/>
    </row>
    <row r="2533">
      <c r="D2533" s="185"/>
      <c r="E2533" s="185" t="s">
        <v>470</v>
      </c>
      <c r="H2533" s="185"/>
    </row>
    <row r="2534">
      <c r="D2534" s="185"/>
      <c r="E2534" s="185" t="s">
        <v>470</v>
      </c>
      <c r="H2534" s="185"/>
    </row>
    <row r="2535">
      <c r="D2535" s="185"/>
      <c r="E2535" s="185" t="s">
        <v>470</v>
      </c>
      <c r="H2535" s="185"/>
    </row>
    <row r="2536">
      <c r="D2536" s="185"/>
      <c r="E2536" s="185" t="s">
        <v>470</v>
      </c>
      <c r="H2536" s="185"/>
    </row>
    <row r="2537">
      <c r="D2537" s="185"/>
      <c r="E2537" s="185" t="s">
        <v>470</v>
      </c>
      <c r="H2537" s="185"/>
    </row>
    <row r="2538">
      <c r="D2538" s="185"/>
      <c r="E2538" s="185" t="s">
        <v>470</v>
      </c>
      <c r="H2538" s="185"/>
    </row>
    <row r="2539">
      <c r="D2539" s="185"/>
      <c r="E2539" s="185" t="s">
        <v>470</v>
      </c>
      <c r="H2539" s="185"/>
    </row>
    <row r="2540">
      <c r="D2540" s="185"/>
      <c r="E2540" s="185" t="s">
        <v>470</v>
      </c>
      <c r="H2540" s="185"/>
    </row>
    <row r="2541">
      <c r="D2541" s="185"/>
      <c r="E2541" s="185" t="s">
        <v>470</v>
      </c>
      <c r="H2541" s="185"/>
    </row>
    <row r="2542">
      <c r="D2542" s="185"/>
      <c r="E2542" s="185" t="s">
        <v>470</v>
      </c>
      <c r="H2542" s="185"/>
    </row>
    <row r="2543">
      <c r="D2543" s="185"/>
      <c r="E2543" s="185" t="s">
        <v>470</v>
      </c>
      <c r="H2543" s="185"/>
    </row>
    <row r="2544">
      <c r="D2544" s="185"/>
      <c r="E2544" s="185" t="s">
        <v>470</v>
      </c>
      <c r="H2544" s="185"/>
    </row>
    <row r="2545">
      <c r="D2545" s="185"/>
      <c r="E2545" s="185" t="s">
        <v>470</v>
      </c>
      <c r="H2545" s="185"/>
    </row>
    <row r="2546">
      <c r="D2546" s="185"/>
      <c r="E2546" s="185" t="s">
        <v>470</v>
      </c>
      <c r="H2546" s="185"/>
    </row>
    <row r="2547">
      <c r="D2547" s="185"/>
      <c r="E2547" s="185" t="s">
        <v>470</v>
      </c>
      <c r="H2547" s="185"/>
    </row>
    <row r="2548">
      <c r="D2548" s="185"/>
      <c r="E2548" s="185" t="s">
        <v>470</v>
      </c>
      <c r="H2548" s="185"/>
    </row>
    <row r="2549">
      <c r="D2549" s="185"/>
      <c r="E2549" s="185" t="s">
        <v>470</v>
      </c>
      <c r="H2549" s="185"/>
    </row>
    <row r="2550">
      <c r="D2550" s="185"/>
      <c r="E2550" s="185" t="s">
        <v>470</v>
      </c>
      <c r="H2550" s="185"/>
    </row>
    <row r="2551">
      <c r="D2551" s="185"/>
      <c r="E2551" s="185" t="s">
        <v>470</v>
      </c>
      <c r="H2551" s="185"/>
    </row>
    <row r="2552">
      <c r="D2552" s="185"/>
      <c r="E2552" s="185" t="s">
        <v>470</v>
      </c>
      <c r="H2552" s="185"/>
    </row>
    <row r="2553">
      <c r="D2553" s="185"/>
      <c r="E2553" s="185" t="s">
        <v>470</v>
      </c>
      <c r="H2553" s="185"/>
    </row>
    <row r="2554">
      <c r="D2554" s="185"/>
      <c r="E2554" s="185" t="s">
        <v>470</v>
      </c>
      <c r="H2554" s="185"/>
    </row>
    <row r="2555">
      <c r="D2555" s="185"/>
      <c r="E2555" s="185" t="s">
        <v>470</v>
      </c>
      <c r="H2555" s="185"/>
    </row>
    <row r="2556">
      <c r="D2556" s="185"/>
      <c r="E2556" s="185" t="s">
        <v>470</v>
      </c>
      <c r="H2556" s="185"/>
    </row>
    <row r="2557">
      <c r="D2557" s="185"/>
      <c r="E2557" s="185" t="s">
        <v>470</v>
      </c>
      <c r="H2557" s="185"/>
    </row>
    <row r="2558">
      <c r="D2558" s="185"/>
      <c r="E2558" s="185" t="s">
        <v>470</v>
      </c>
      <c r="H2558" s="185"/>
    </row>
    <row r="2559">
      <c r="D2559" s="185"/>
      <c r="E2559" s="185" t="s">
        <v>470</v>
      </c>
      <c r="H2559" s="185"/>
    </row>
    <row r="2560">
      <c r="D2560" s="185"/>
      <c r="E2560" s="185" t="s">
        <v>470</v>
      </c>
      <c r="H2560" s="185"/>
    </row>
    <row r="2561">
      <c r="D2561" s="185"/>
      <c r="E2561" s="185" t="s">
        <v>470</v>
      </c>
      <c r="H2561" s="185"/>
    </row>
    <row r="2562">
      <c r="D2562" s="185"/>
      <c r="E2562" s="185" t="s">
        <v>470</v>
      </c>
      <c r="H2562" s="185"/>
    </row>
    <row r="2563">
      <c r="D2563" s="185"/>
      <c r="E2563" s="185" t="s">
        <v>470</v>
      </c>
      <c r="H2563" s="185"/>
    </row>
    <row r="2564">
      <c r="D2564" s="185"/>
      <c r="E2564" s="185" t="s">
        <v>470</v>
      </c>
      <c r="H2564" s="185"/>
    </row>
    <row r="2565">
      <c r="D2565" s="185"/>
      <c r="E2565" s="185" t="s">
        <v>470</v>
      </c>
      <c r="H2565" s="185"/>
    </row>
    <row r="2566">
      <c r="D2566" s="185"/>
      <c r="E2566" s="185" t="s">
        <v>470</v>
      </c>
      <c r="H2566" s="185"/>
    </row>
    <row r="2567">
      <c r="D2567" s="185"/>
      <c r="E2567" s="185" t="s">
        <v>470</v>
      </c>
      <c r="H2567" s="185"/>
    </row>
    <row r="2568">
      <c r="D2568" s="185"/>
      <c r="E2568" s="185" t="s">
        <v>470</v>
      </c>
      <c r="H2568" s="185"/>
    </row>
    <row r="2569">
      <c r="D2569" s="185"/>
      <c r="E2569" s="185" t="s">
        <v>470</v>
      </c>
      <c r="H2569" s="185"/>
    </row>
    <row r="2570">
      <c r="D2570" s="185"/>
      <c r="E2570" s="185" t="s">
        <v>470</v>
      </c>
      <c r="H2570" s="185"/>
    </row>
    <row r="2571">
      <c r="D2571" s="185"/>
      <c r="E2571" s="185" t="s">
        <v>470</v>
      </c>
      <c r="H2571" s="185"/>
    </row>
    <row r="2572">
      <c r="D2572" s="185"/>
      <c r="E2572" s="185" t="s">
        <v>470</v>
      </c>
      <c r="H2572" s="185"/>
    </row>
    <row r="2573">
      <c r="D2573" s="185"/>
      <c r="E2573" s="185" t="s">
        <v>470</v>
      </c>
      <c r="H2573" s="185"/>
    </row>
    <row r="2574">
      <c r="D2574" s="185"/>
      <c r="E2574" s="185" t="s">
        <v>470</v>
      </c>
      <c r="H2574" s="185"/>
    </row>
    <row r="2575">
      <c r="D2575" s="185"/>
      <c r="E2575" s="185" t="s">
        <v>470</v>
      </c>
      <c r="H2575" s="185"/>
    </row>
    <row r="2576">
      <c r="D2576" s="185"/>
      <c r="E2576" s="185" t="s">
        <v>470</v>
      </c>
      <c r="H2576" s="185"/>
    </row>
    <row r="2577">
      <c r="D2577" s="185"/>
      <c r="E2577" s="185" t="s">
        <v>470</v>
      </c>
      <c r="H2577" s="185"/>
    </row>
    <row r="2578">
      <c r="D2578" s="185"/>
      <c r="E2578" s="185" t="s">
        <v>470</v>
      </c>
      <c r="H2578" s="185"/>
    </row>
    <row r="2579">
      <c r="D2579" s="185"/>
      <c r="E2579" s="185" t="s">
        <v>470</v>
      </c>
      <c r="H2579" s="185"/>
    </row>
    <row r="2580">
      <c r="D2580" s="185"/>
      <c r="E2580" s="185" t="s">
        <v>470</v>
      </c>
      <c r="H2580" s="185"/>
    </row>
    <row r="2581">
      <c r="D2581" s="185"/>
      <c r="E2581" s="185" t="s">
        <v>470</v>
      </c>
      <c r="H2581" s="185"/>
    </row>
    <row r="2582">
      <c r="D2582" s="185"/>
      <c r="E2582" s="185" t="s">
        <v>470</v>
      </c>
      <c r="H2582" s="185"/>
    </row>
    <row r="2583">
      <c r="D2583" s="185"/>
      <c r="E2583" s="185" t="s">
        <v>470</v>
      </c>
      <c r="H2583" s="185"/>
    </row>
    <row r="2584">
      <c r="D2584" s="185"/>
      <c r="E2584" s="185" t="s">
        <v>470</v>
      </c>
      <c r="H2584" s="185"/>
    </row>
    <row r="2585">
      <c r="D2585" s="185"/>
      <c r="E2585" s="185" t="s">
        <v>470</v>
      </c>
      <c r="H2585" s="185"/>
    </row>
    <row r="2586">
      <c r="D2586" s="185"/>
      <c r="E2586" s="185" t="s">
        <v>470</v>
      </c>
      <c r="H2586" s="185"/>
    </row>
    <row r="2587">
      <c r="D2587" s="185"/>
      <c r="E2587" s="185" t="s">
        <v>470</v>
      </c>
      <c r="H2587" s="185"/>
    </row>
    <row r="2588">
      <c r="D2588" s="185"/>
      <c r="E2588" s="185" t="s">
        <v>470</v>
      </c>
      <c r="H2588" s="185"/>
    </row>
    <row r="2589">
      <c r="D2589" s="185"/>
      <c r="E2589" s="185" t="s">
        <v>470</v>
      </c>
      <c r="H2589" s="185"/>
    </row>
    <row r="2590">
      <c r="D2590" s="185"/>
      <c r="E2590" s="185" t="s">
        <v>470</v>
      </c>
      <c r="H2590" s="185"/>
    </row>
    <row r="2591">
      <c r="D2591" s="185"/>
      <c r="E2591" s="185" t="s">
        <v>470</v>
      </c>
      <c r="H2591" s="185"/>
    </row>
    <row r="2592">
      <c r="D2592" s="185"/>
      <c r="E2592" s="185" t="s">
        <v>470</v>
      </c>
      <c r="H2592" s="185"/>
    </row>
    <row r="2593">
      <c r="D2593" s="185"/>
      <c r="E2593" s="185" t="s">
        <v>470</v>
      </c>
      <c r="H2593" s="185"/>
    </row>
    <row r="2594">
      <c r="D2594" s="185"/>
      <c r="E2594" s="185" t="s">
        <v>470</v>
      </c>
      <c r="H2594" s="185"/>
    </row>
    <row r="2595">
      <c r="D2595" s="185"/>
      <c r="E2595" s="185" t="s">
        <v>470</v>
      </c>
      <c r="H2595" s="185"/>
    </row>
    <row r="2596">
      <c r="D2596" s="185"/>
      <c r="E2596" s="185" t="s">
        <v>470</v>
      </c>
      <c r="H2596" s="185"/>
    </row>
    <row r="2597">
      <c r="D2597" s="185"/>
      <c r="E2597" s="185" t="s">
        <v>470</v>
      </c>
      <c r="H2597" s="185"/>
    </row>
    <row r="2598">
      <c r="D2598" s="185"/>
      <c r="E2598" s="185" t="s">
        <v>470</v>
      </c>
      <c r="H2598" s="185"/>
    </row>
    <row r="2599">
      <c r="D2599" s="185"/>
      <c r="E2599" s="185" t="s">
        <v>470</v>
      </c>
      <c r="H2599" s="185"/>
    </row>
    <row r="2600">
      <c r="D2600" s="185"/>
      <c r="E2600" s="185" t="s">
        <v>470</v>
      </c>
      <c r="H2600" s="185"/>
    </row>
    <row r="2601">
      <c r="D2601" s="185"/>
      <c r="E2601" s="185" t="s">
        <v>470</v>
      </c>
      <c r="H2601" s="185"/>
    </row>
    <row r="2602">
      <c r="D2602" s="185"/>
      <c r="E2602" s="185" t="s">
        <v>470</v>
      </c>
      <c r="H2602" s="185"/>
    </row>
    <row r="2603">
      <c r="D2603" s="185"/>
      <c r="E2603" s="185" t="s">
        <v>470</v>
      </c>
      <c r="H2603" s="185"/>
    </row>
    <row r="2604">
      <c r="D2604" s="185"/>
      <c r="E2604" s="185" t="s">
        <v>470</v>
      </c>
      <c r="H2604" s="185"/>
    </row>
    <row r="2605">
      <c r="D2605" s="185"/>
      <c r="E2605" s="185" t="s">
        <v>470</v>
      </c>
      <c r="H2605" s="185"/>
    </row>
    <row r="2606">
      <c r="D2606" s="185"/>
      <c r="E2606" s="185" t="s">
        <v>470</v>
      </c>
      <c r="H2606" s="185"/>
    </row>
    <row r="2607">
      <c r="D2607" s="185"/>
      <c r="E2607" s="185" t="s">
        <v>470</v>
      </c>
      <c r="H2607" s="185"/>
    </row>
    <row r="2608">
      <c r="D2608" s="185"/>
      <c r="E2608" s="185" t="s">
        <v>470</v>
      </c>
      <c r="H2608" s="185"/>
    </row>
    <row r="2609">
      <c r="D2609" s="185"/>
      <c r="E2609" s="185" t="s">
        <v>470</v>
      </c>
      <c r="H2609" s="185"/>
    </row>
    <row r="2610">
      <c r="D2610" s="185"/>
      <c r="E2610" s="185" t="s">
        <v>470</v>
      </c>
      <c r="H2610" s="185"/>
    </row>
    <row r="2611">
      <c r="D2611" s="185"/>
      <c r="E2611" s="185" t="s">
        <v>470</v>
      </c>
      <c r="H2611" s="185"/>
    </row>
    <row r="2612">
      <c r="D2612" s="185"/>
      <c r="E2612" s="185" t="s">
        <v>470</v>
      </c>
      <c r="H2612" s="185"/>
    </row>
    <row r="2613">
      <c r="D2613" s="185"/>
      <c r="E2613" s="185" t="s">
        <v>470</v>
      </c>
      <c r="H2613" s="185"/>
    </row>
    <row r="2614">
      <c r="D2614" s="185"/>
      <c r="E2614" s="185" t="s">
        <v>470</v>
      </c>
      <c r="H2614" s="185"/>
    </row>
    <row r="2615">
      <c r="D2615" s="185"/>
      <c r="E2615" s="185" t="s">
        <v>470</v>
      </c>
      <c r="H2615" s="185"/>
    </row>
    <row r="2616">
      <c r="D2616" s="185"/>
      <c r="E2616" s="185" t="s">
        <v>470</v>
      </c>
      <c r="H2616" s="185"/>
    </row>
    <row r="2617">
      <c r="D2617" s="185"/>
      <c r="E2617" s="185" t="s">
        <v>470</v>
      </c>
      <c r="H2617" s="185"/>
    </row>
    <row r="2618">
      <c r="D2618" s="185"/>
      <c r="E2618" s="185" t="s">
        <v>470</v>
      </c>
      <c r="H2618" s="185"/>
    </row>
    <row r="2619">
      <c r="D2619" s="185"/>
      <c r="E2619" s="185" t="s">
        <v>470</v>
      </c>
      <c r="H2619" s="185"/>
    </row>
    <row r="2620">
      <c r="D2620" s="185"/>
      <c r="E2620" s="185" t="s">
        <v>470</v>
      </c>
      <c r="H2620" s="185"/>
    </row>
    <row r="2621">
      <c r="D2621" s="185"/>
      <c r="E2621" s="185" t="s">
        <v>470</v>
      </c>
      <c r="H2621" s="185"/>
    </row>
    <row r="2622">
      <c r="D2622" s="185"/>
      <c r="E2622" s="185" t="s">
        <v>470</v>
      </c>
      <c r="H2622" s="185"/>
    </row>
    <row r="2623">
      <c r="D2623" s="185"/>
      <c r="E2623" s="185" t="s">
        <v>470</v>
      </c>
      <c r="H2623" s="185"/>
    </row>
    <row r="2624">
      <c r="D2624" s="185"/>
      <c r="E2624" s="185" t="s">
        <v>470</v>
      </c>
      <c r="H2624" s="185"/>
    </row>
    <row r="2625">
      <c r="D2625" s="185"/>
      <c r="E2625" s="185" t="s">
        <v>470</v>
      </c>
      <c r="H2625" s="185"/>
    </row>
    <row r="2626">
      <c r="D2626" s="185"/>
      <c r="E2626" s="185" t="s">
        <v>470</v>
      </c>
      <c r="H2626" s="185"/>
    </row>
    <row r="2627">
      <c r="D2627" s="185"/>
      <c r="E2627" s="185" t="s">
        <v>470</v>
      </c>
      <c r="H2627" s="185"/>
    </row>
    <row r="2628">
      <c r="D2628" s="185"/>
      <c r="E2628" s="185" t="s">
        <v>470</v>
      </c>
      <c r="H2628" s="185"/>
    </row>
    <row r="2629">
      <c r="D2629" s="185"/>
      <c r="E2629" s="185" t="s">
        <v>470</v>
      </c>
      <c r="H2629" s="185"/>
    </row>
    <row r="2630">
      <c r="D2630" s="185"/>
      <c r="E2630" s="185" t="s">
        <v>470</v>
      </c>
      <c r="H2630" s="185"/>
    </row>
    <row r="2631">
      <c r="D2631" s="185"/>
      <c r="E2631" s="185" t="s">
        <v>470</v>
      </c>
      <c r="H2631" s="185"/>
    </row>
    <row r="2632">
      <c r="D2632" s="185"/>
      <c r="E2632" s="185" t="s">
        <v>470</v>
      </c>
      <c r="H2632" s="185"/>
    </row>
    <row r="2633">
      <c r="D2633" s="185"/>
      <c r="E2633" s="185" t="s">
        <v>470</v>
      </c>
      <c r="H2633" s="185"/>
    </row>
    <row r="2634">
      <c r="D2634" s="185"/>
      <c r="E2634" s="185" t="s">
        <v>470</v>
      </c>
      <c r="H2634" s="185"/>
    </row>
    <row r="2635">
      <c r="D2635" s="185"/>
      <c r="E2635" s="185" t="s">
        <v>470</v>
      </c>
      <c r="H2635" s="185"/>
    </row>
    <row r="2636">
      <c r="D2636" s="185"/>
      <c r="E2636" s="185" t="s">
        <v>470</v>
      </c>
      <c r="H2636" s="185"/>
    </row>
    <row r="2637">
      <c r="D2637" s="185"/>
      <c r="E2637" s="185" t="s">
        <v>470</v>
      </c>
      <c r="H2637" s="185"/>
    </row>
    <row r="2638">
      <c r="D2638" s="185"/>
      <c r="E2638" s="185" t="s">
        <v>470</v>
      </c>
      <c r="H2638" s="185"/>
    </row>
    <row r="2639">
      <c r="D2639" s="185"/>
      <c r="E2639" s="185" t="s">
        <v>470</v>
      </c>
      <c r="H2639" s="185"/>
    </row>
    <row r="2640">
      <c r="D2640" s="185"/>
      <c r="E2640" s="185" t="s">
        <v>470</v>
      </c>
      <c r="H2640" s="185"/>
    </row>
    <row r="2641">
      <c r="D2641" s="185"/>
      <c r="E2641" s="185" t="s">
        <v>470</v>
      </c>
      <c r="H2641" s="185"/>
    </row>
    <row r="2642">
      <c r="D2642" s="185"/>
      <c r="E2642" s="185" t="s">
        <v>470</v>
      </c>
      <c r="H2642" s="185"/>
    </row>
    <row r="2643">
      <c r="D2643" s="185"/>
      <c r="E2643" s="185" t="s">
        <v>470</v>
      </c>
      <c r="H2643" s="185"/>
    </row>
    <row r="2644">
      <c r="D2644" s="185"/>
      <c r="E2644" s="185" t="s">
        <v>470</v>
      </c>
      <c r="H2644" s="185"/>
    </row>
    <row r="2645">
      <c r="D2645" s="185"/>
      <c r="E2645" s="185" t="s">
        <v>470</v>
      </c>
      <c r="H2645" s="185"/>
    </row>
    <row r="2646">
      <c r="D2646" s="185"/>
      <c r="E2646" s="185" t="s">
        <v>470</v>
      </c>
      <c r="H2646" s="185"/>
    </row>
    <row r="2647">
      <c r="D2647" s="185"/>
      <c r="E2647" s="185" t="s">
        <v>470</v>
      </c>
      <c r="H2647" s="185"/>
    </row>
    <row r="2648">
      <c r="D2648" s="185"/>
      <c r="E2648" s="185" t="s">
        <v>470</v>
      </c>
      <c r="H2648" s="185"/>
    </row>
    <row r="2649">
      <c r="D2649" s="185"/>
      <c r="E2649" s="185" t="s">
        <v>470</v>
      </c>
      <c r="H2649" s="185"/>
    </row>
    <row r="2650">
      <c r="D2650" s="185"/>
      <c r="E2650" s="185" t="s">
        <v>470</v>
      </c>
      <c r="H2650" s="185"/>
    </row>
    <row r="2651">
      <c r="D2651" s="185"/>
      <c r="E2651" s="185" t="s">
        <v>470</v>
      </c>
      <c r="H2651" s="185"/>
    </row>
    <row r="2652">
      <c r="D2652" s="185"/>
      <c r="E2652" s="185" t="s">
        <v>470</v>
      </c>
      <c r="H2652" s="185"/>
    </row>
    <row r="2653">
      <c r="D2653" s="185"/>
      <c r="E2653" s="185" t="s">
        <v>470</v>
      </c>
      <c r="H2653" s="185"/>
    </row>
    <row r="2654">
      <c r="D2654" s="185"/>
      <c r="E2654" s="185" t="s">
        <v>470</v>
      </c>
      <c r="H2654" s="185"/>
    </row>
    <row r="2655">
      <c r="D2655" s="185"/>
      <c r="E2655" s="185" t="s">
        <v>470</v>
      </c>
      <c r="H2655" s="185"/>
    </row>
    <row r="2656">
      <c r="D2656" s="185"/>
      <c r="E2656" s="185" t="s">
        <v>470</v>
      </c>
      <c r="H2656" s="185"/>
    </row>
    <row r="2657">
      <c r="D2657" s="185"/>
      <c r="E2657" s="185" t="s">
        <v>470</v>
      </c>
      <c r="H2657" s="185"/>
    </row>
    <row r="2658">
      <c r="D2658" s="185"/>
      <c r="E2658" s="185" t="s">
        <v>470</v>
      </c>
      <c r="H2658" s="185"/>
    </row>
    <row r="2659">
      <c r="D2659" s="185"/>
      <c r="E2659" s="185" t="s">
        <v>470</v>
      </c>
      <c r="H2659" s="185"/>
    </row>
    <row r="2660">
      <c r="D2660" s="185"/>
      <c r="E2660" s="185" t="s">
        <v>470</v>
      </c>
      <c r="H2660" s="185"/>
    </row>
    <row r="2661">
      <c r="D2661" s="185"/>
      <c r="E2661" s="185" t="s">
        <v>470</v>
      </c>
      <c r="H2661" s="185"/>
    </row>
    <row r="2662">
      <c r="D2662" s="185"/>
      <c r="E2662" s="185" t="s">
        <v>470</v>
      </c>
      <c r="H2662" s="185"/>
    </row>
    <row r="2663">
      <c r="D2663" s="185"/>
      <c r="E2663" s="185" t="s">
        <v>470</v>
      </c>
      <c r="H2663" s="185"/>
    </row>
    <row r="2664">
      <c r="D2664" s="185"/>
      <c r="E2664" s="185" t="s">
        <v>470</v>
      </c>
      <c r="H2664" s="185"/>
    </row>
    <row r="2665">
      <c r="D2665" s="185"/>
      <c r="E2665" s="185" t="s">
        <v>470</v>
      </c>
      <c r="H2665" s="185"/>
    </row>
    <row r="2666">
      <c r="D2666" s="185"/>
      <c r="E2666" s="185" t="s">
        <v>470</v>
      </c>
      <c r="H2666" s="185"/>
    </row>
    <row r="2667">
      <c r="D2667" s="185"/>
      <c r="E2667" s="185" t="s">
        <v>470</v>
      </c>
      <c r="H2667" s="185"/>
    </row>
    <row r="2668">
      <c r="D2668" s="185"/>
      <c r="E2668" s="185" t="s">
        <v>470</v>
      </c>
      <c r="H2668" s="185"/>
    </row>
    <row r="2669">
      <c r="D2669" s="185"/>
      <c r="E2669" s="185" t="s">
        <v>470</v>
      </c>
      <c r="H2669" s="185"/>
    </row>
    <row r="2670">
      <c r="D2670" s="185"/>
      <c r="E2670" s="185" t="s">
        <v>470</v>
      </c>
      <c r="H2670" s="185"/>
    </row>
    <row r="2671">
      <c r="D2671" s="185"/>
      <c r="E2671" s="185" t="s">
        <v>470</v>
      </c>
      <c r="H2671" s="185"/>
    </row>
    <row r="2672">
      <c r="D2672" s="185"/>
      <c r="E2672" s="185" t="s">
        <v>470</v>
      </c>
      <c r="H2672" s="185"/>
    </row>
    <row r="2673">
      <c r="D2673" s="185"/>
      <c r="E2673" s="185" t="s">
        <v>470</v>
      </c>
      <c r="H2673" s="185"/>
    </row>
    <row r="2674">
      <c r="D2674" s="185"/>
      <c r="E2674" s="185" t="s">
        <v>470</v>
      </c>
      <c r="H2674" s="185"/>
    </row>
    <row r="2675">
      <c r="D2675" s="185"/>
      <c r="E2675" s="185" t="s">
        <v>470</v>
      </c>
      <c r="H2675" s="185"/>
    </row>
    <row r="2676">
      <c r="D2676" s="185"/>
      <c r="E2676" s="185" t="s">
        <v>470</v>
      </c>
      <c r="H2676" s="185"/>
    </row>
    <row r="2677">
      <c r="D2677" s="185"/>
      <c r="E2677" s="185" t="s">
        <v>470</v>
      </c>
      <c r="H2677" s="185"/>
    </row>
    <row r="2678">
      <c r="D2678" s="185"/>
      <c r="E2678" s="185" t="s">
        <v>470</v>
      </c>
      <c r="H2678" s="185"/>
    </row>
    <row r="2679">
      <c r="D2679" s="185"/>
      <c r="E2679" s="185" t="s">
        <v>470</v>
      </c>
      <c r="H2679" s="185"/>
    </row>
    <row r="2680">
      <c r="D2680" s="185"/>
      <c r="E2680" s="185" t="s">
        <v>470</v>
      </c>
      <c r="H2680" s="185"/>
    </row>
    <row r="2681">
      <c r="D2681" s="185"/>
      <c r="E2681" s="185" t="s">
        <v>470</v>
      </c>
      <c r="H2681" s="185"/>
    </row>
    <row r="2682">
      <c r="D2682" s="185"/>
      <c r="E2682" s="185" t="s">
        <v>470</v>
      </c>
      <c r="H2682" s="185"/>
    </row>
    <row r="2683">
      <c r="D2683" s="185"/>
      <c r="E2683" s="185" t="s">
        <v>470</v>
      </c>
      <c r="H2683" s="185"/>
    </row>
    <row r="2684">
      <c r="D2684" s="185"/>
      <c r="E2684" s="185" t="s">
        <v>470</v>
      </c>
      <c r="H2684" s="185"/>
    </row>
    <row r="2685">
      <c r="D2685" s="185"/>
      <c r="E2685" s="185" t="s">
        <v>470</v>
      </c>
      <c r="H2685" s="185"/>
    </row>
    <row r="2686">
      <c r="D2686" s="185"/>
      <c r="E2686" s="185" t="s">
        <v>470</v>
      </c>
      <c r="H2686" s="185"/>
    </row>
    <row r="2687">
      <c r="D2687" s="185"/>
      <c r="E2687" s="185" t="s">
        <v>470</v>
      </c>
      <c r="H2687" s="185"/>
    </row>
    <row r="2688">
      <c r="D2688" s="185"/>
      <c r="E2688" s="185" t="s">
        <v>470</v>
      </c>
      <c r="H2688" s="185"/>
    </row>
    <row r="2689">
      <c r="D2689" s="185"/>
      <c r="E2689" s="185" t="s">
        <v>470</v>
      </c>
      <c r="H2689" s="185"/>
    </row>
    <row r="2690">
      <c r="D2690" s="185"/>
      <c r="E2690" s="185" t="s">
        <v>470</v>
      </c>
      <c r="H2690" s="185"/>
    </row>
    <row r="2691">
      <c r="D2691" s="185"/>
      <c r="E2691" s="185" t="s">
        <v>470</v>
      </c>
      <c r="H2691" s="185"/>
    </row>
    <row r="2692">
      <c r="D2692" s="185"/>
      <c r="E2692" s="185" t="s">
        <v>470</v>
      </c>
      <c r="H2692" s="185"/>
    </row>
    <row r="2693">
      <c r="D2693" s="185"/>
      <c r="E2693" s="185" t="s">
        <v>470</v>
      </c>
      <c r="H2693" s="185"/>
    </row>
    <row r="2694">
      <c r="D2694" s="185"/>
      <c r="E2694" s="185" t="s">
        <v>470</v>
      </c>
      <c r="H2694" s="185"/>
    </row>
    <row r="2695">
      <c r="D2695" s="185"/>
      <c r="E2695" s="185" t="s">
        <v>470</v>
      </c>
      <c r="H2695" s="185"/>
    </row>
    <row r="2696">
      <c r="D2696" s="185"/>
      <c r="E2696" s="185" t="s">
        <v>470</v>
      </c>
      <c r="H2696" s="185"/>
    </row>
    <row r="2697">
      <c r="D2697" s="185"/>
      <c r="E2697" s="185" t="s">
        <v>470</v>
      </c>
      <c r="H2697" s="185"/>
    </row>
    <row r="2698">
      <c r="D2698" s="185"/>
      <c r="E2698" s="185" t="s">
        <v>470</v>
      </c>
      <c r="H2698" s="185"/>
    </row>
    <row r="2699">
      <c r="D2699" s="185"/>
      <c r="E2699" s="185" t="s">
        <v>470</v>
      </c>
      <c r="H2699" s="185"/>
    </row>
    <row r="2700">
      <c r="D2700" s="185"/>
      <c r="E2700" s="185" t="s">
        <v>470</v>
      </c>
      <c r="H2700" s="185"/>
    </row>
    <row r="2701">
      <c r="D2701" s="185"/>
      <c r="E2701" s="185" t="s">
        <v>470</v>
      </c>
      <c r="H2701" s="185"/>
    </row>
    <row r="2702">
      <c r="D2702" s="185"/>
      <c r="E2702" s="185" t="s">
        <v>470</v>
      </c>
      <c r="H2702" s="185"/>
    </row>
    <row r="2703">
      <c r="D2703" s="185"/>
      <c r="E2703" s="185" t="s">
        <v>470</v>
      </c>
      <c r="H2703" s="185"/>
    </row>
    <row r="2704">
      <c r="D2704" s="185"/>
      <c r="E2704" s="185" t="s">
        <v>470</v>
      </c>
      <c r="H2704" s="185"/>
    </row>
    <row r="2705">
      <c r="D2705" s="185"/>
      <c r="E2705" s="185" t="s">
        <v>470</v>
      </c>
      <c r="H2705" s="185"/>
    </row>
    <row r="2706">
      <c r="D2706" s="185"/>
      <c r="E2706" s="185" t="s">
        <v>470</v>
      </c>
      <c r="H2706" s="185"/>
    </row>
    <row r="2707">
      <c r="D2707" s="185"/>
      <c r="E2707" s="185" t="s">
        <v>470</v>
      </c>
      <c r="H2707" s="185"/>
    </row>
    <row r="2708">
      <c r="D2708" s="185"/>
      <c r="E2708" s="185" t="s">
        <v>470</v>
      </c>
      <c r="H2708" s="185"/>
    </row>
    <row r="2709">
      <c r="D2709" s="185"/>
      <c r="E2709" s="185" t="s">
        <v>470</v>
      </c>
      <c r="H2709" s="185"/>
    </row>
    <row r="2710">
      <c r="D2710" s="185"/>
      <c r="E2710" s="185" t="s">
        <v>470</v>
      </c>
      <c r="H2710" s="185"/>
    </row>
    <row r="2711">
      <c r="D2711" s="185"/>
      <c r="E2711" s="185" t="s">
        <v>470</v>
      </c>
      <c r="H2711" s="185"/>
    </row>
    <row r="2712">
      <c r="D2712" s="185"/>
      <c r="E2712" s="185" t="s">
        <v>470</v>
      </c>
      <c r="H2712" s="185"/>
    </row>
    <row r="2713">
      <c r="D2713" s="185"/>
      <c r="E2713" s="185" t="s">
        <v>470</v>
      </c>
      <c r="H2713" s="185"/>
    </row>
    <row r="2714">
      <c r="D2714" s="185"/>
      <c r="E2714" s="185" t="s">
        <v>470</v>
      </c>
      <c r="H2714" s="185"/>
    </row>
    <row r="2715">
      <c r="D2715" s="185"/>
      <c r="E2715" s="185" t="s">
        <v>470</v>
      </c>
      <c r="H2715" s="185"/>
    </row>
    <row r="2716">
      <c r="D2716" s="185"/>
      <c r="E2716" s="185" t="s">
        <v>470</v>
      </c>
      <c r="H2716" s="185"/>
    </row>
    <row r="2717">
      <c r="D2717" s="185"/>
      <c r="E2717" s="185" t="s">
        <v>470</v>
      </c>
      <c r="H2717" s="185"/>
    </row>
    <row r="2718">
      <c r="D2718" s="185"/>
      <c r="E2718" s="185" t="s">
        <v>470</v>
      </c>
      <c r="H2718" s="185"/>
    </row>
    <row r="2719">
      <c r="D2719" s="185"/>
      <c r="E2719" s="185" t="s">
        <v>470</v>
      </c>
      <c r="H2719" s="185"/>
    </row>
    <row r="2720">
      <c r="D2720" s="185"/>
      <c r="E2720" s="185" t="s">
        <v>470</v>
      </c>
      <c r="H2720" s="185"/>
    </row>
    <row r="2721">
      <c r="D2721" s="185"/>
      <c r="E2721" s="185" t="s">
        <v>470</v>
      </c>
      <c r="H2721" s="185"/>
    </row>
    <row r="2722">
      <c r="D2722" s="185"/>
      <c r="E2722" s="185" t="s">
        <v>470</v>
      </c>
      <c r="H2722" s="185"/>
    </row>
    <row r="2723">
      <c r="D2723" s="185"/>
      <c r="E2723" s="185" t="s">
        <v>470</v>
      </c>
      <c r="H2723" s="185"/>
    </row>
    <row r="2724">
      <c r="D2724" s="185"/>
      <c r="E2724" s="185" t="s">
        <v>470</v>
      </c>
      <c r="H2724" s="185"/>
    </row>
    <row r="2725">
      <c r="D2725" s="185"/>
      <c r="E2725" s="185" t="s">
        <v>470</v>
      </c>
      <c r="H2725" s="185"/>
    </row>
    <row r="2726">
      <c r="D2726" s="185"/>
      <c r="E2726" s="185" t="s">
        <v>470</v>
      </c>
      <c r="H2726" s="185"/>
    </row>
    <row r="2727">
      <c r="D2727" s="185"/>
      <c r="E2727" s="185" t="s">
        <v>470</v>
      </c>
      <c r="H2727" s="185"/>
    </row>
    <row r="2728">
      <c r="D2728" s="185"/>
      <c r="E2728" s="185" t="s">
        <v>470</v>
      </c>
      <c r="H2728" s="185"/>
    </row>
    <row r="2729">
      <c r="D2729" s="185"/>
      <c r="E2729" s="185" t="s">
        <v>470</v>
      </c>
      <c r="H2729" s="185"/>
    </row>
    <row r="2730">
      <c r="D2730" s="185"/>
      <c r="E2730" s="185" t="s">
        <v>470</v>
      </c>
      <c r="H2730" s="185"/>
    </row>
    <row r="2731">
      <c r="D2731" s="185"/>
      <c r="E2731" s="185" t="s">
        <v>470</v>
      </c>
      <c r="H2731" s="185"/>
    </row>
    <row r="2732">
      <c r="D2732" s="185"/>
      <c r="E2732" s="185" t="s">
        <v>470</v>
      </c>
      <c r="H2732" s="185"/>
    </row>
    <row r="2733">
      <c r="D2733" s="185"/>
      <c r="E2733" s="185" t="s">
        <v>470</v>
      </c>
      <c r="H2733" s="185"/>
    </row>
    <row r="2734">
      <c r="D2734" s="185"/>
      <c r="E2734" s="185" t="s">
        <v>470</v>
      </c>
      <c r="H2734" s="185"/>
    </row>
    <row r="2735">
      <c r="D2735" s="185"/>
      <c r="E2735" s="185" t="s">
        <v>470</v>
      </c>
      <c r="H2735" s="185"/>
    </row>
    <row r="2736">
      <c r="D2736" s="185"/>
      <c r="E2736" s="185" t="s">
        <v>470</v>
      </c>
      <c r="H2736" s="185"/>
    </row>
    <row r="2737">
      <c r="D2737" s="185"/>
      <c r="E2737" s="185" t="s">
        <v>470</v>
      </c>
      <c r="H2737" s="185"/>
    </row>
    <row r="2738">
      <c r="D2738" s="185"/>
      <c r="E2738" s="185" t="s">
        <v>470</v>
      </c>
      <c r="H2738" s="185"/>
    </row>
    <row r="2739">
      <c r="D2739" s="185"/>
      <c r="E2739" s="185" t="s">
        <v>470</v>
      </c>
      <c r="H2739" s="185"/>
    </row>
    <row r="2740">
      <c r="D2740" s="185"/>
      <c r="E2740" s="185" t="s">
        <v>470</v>
      </c>
      <c r="H2740" s="185"/>
    </row>
    <row r="2741">
      <c r="D2741" s="185"/>
      <c r="E2741" s="185" t="s">
        <v>470</v>
      </c>
      <c r="H2741" s="185"/>
    </row>
    <row r="2742">
      <c r="D2742" s="185"/>
      <c r="E2742" s="185" t="s">
        <v>470</v>
      </c>
      <c r="H2742" s="185"/>
    </row>
    <row r="2743">
      <c r="D2743" s="185"/>
      <c r="E2743" s="185" t="s">
        <v>470</v>
      </c>
      <c r="H2743" s="185"/>
    </row>
    <row r="2744">
      <c r="D2744" s="185"/>
      <c r="E2744" s="185" t="s">
        <v>470</v>
      </c>
      <c r="H2744" s="185"/>
    </row>
    <row r="2745">
      <c r="D2745" s="185"/>
      <c r="E2745" s="185" t="s">
        <v>470</v>
      </c>
      <c r="H2745" s="185"/>
    </row>
    <row r="2746">
      <c r="D2746" s="185"/>
      <c r="E2746" s="185" t="s">
        <v>470</v>
      </c>
      <c r="H2746" s="185"/>
    </row>
    <row r="2747">
      <c r="D2747" s="185"/>
      <c r="E2747" s="185" t="s">
        <v>470</v>
      </c>
      <c r="H2747" s="185"/>
    </row>
    <row r="2748">
      <c r="D2748" s="185"/>
      <c r="E2748" s="185" t="s">
        <v>470</v>
      </c>
      <c r="H2748" s="185"/>
    </row>
    <row r="2749">
      <c r="D2749" s="185"/>
      <c r="E2749" s="185" t="s">
        <v>470</v>
      </c>
      <c r="H2749" s="185"/>
    </row>
    <row r="2750">
      <c r="D2750" s="185"/>
      <c r="E2750" s="185" t="s">
        <v>470</v>
      </c>
      <c r="H2750" s="185"/>
    </row>
    <row r="2751">
      <c r="D2751" s="185"/>
      <c r="E2751" s="185" t="s">
        <v>470</v>
      </c>
      <c r="H2751" s="185"/>
    </row>
    <row r="2752">
      <c r="D2752" s="185"/>
      <c r="E2752" s="185" t="s">
        <v>470</v>
      </c>
      <c r="H2752" s="185"/>
    </row>
    <row r="2753">
      <c r="D2753" s="185"/>
      <c r="E2753" s="185" t="s">
        <v>470</v>
      </c>
      <c r="H2753" s="185"/>
    </row>
    <row r="2754">
      <c r="D2754" s="185"/>
      <c r="E2754" s="185" t="s">
        <v>470</v>
      </c>
      <c r="H2754" s="185"/>
    </row>
    <row r="2755">
      <c r="D2755" s="185"/>
      <c r="E2755" s="185" t="s">
        <v>470</v>
      </c>
      <c r="H2755" s="185"/>
    </row>
    <row r="2756">
      <c r="D2756" s="185"/>
      <c r="E2756" s="185" t="s">
        <v>470</v>
      </c>
      <c r="H2756" s="185"/>
    </row>
    <row r="2757">
      <c r="D2757" s="185"/>
      <c r="E2757" s="185" t="s">
        <v>470</v>
      </c>
      <c r="H2757" s="185"/>
    </row>
    <row r="2758">
      <c r="D2758" s="185"/>
      <c r="E2758" s="185" t="s">
        <v>470</v>
      </c>
      <c r="H2758" s="185"/>
    </row>
    <row r="2759">
      <c r="D2759" s="185"/>
      <c r="E2759" s="185" t="s">
        <v>470</v>
      </c>
      <c r="H2759" s="185"/>
    </row>
    <row r="2760">
      <c r="D2760" s="185"/>
      <c r="E2760" s="185" t="s">
        <v>470</v>
      </c>
      <c r="H2760" s="185"/>
    </row>
    <row r="2761">
      <c r="D2761" s="185"/>
      <c r="E2761" s="185" t="s">
        <v>470</v>
      </c>
      <c r="H2761" s="185"/>
    </row>
    <row r="2762">
      <c r="D2762" s="185"/>
      <c r="E2762" s="185" t="s">
        <v>470</v>
      </c>
      <c r="H2762" s="185"/>
    </row>
    <row r="2763">
      <c r="D2763" s="185"/>
      <c r="E2763" s="185" t="s">
        <v>470</v>
      </c>
      <c r="H2763" s="185"/>
    </row>
    <row r="2764">
      <c r="D2764" s="185"/>
      <c r="E2764" s="185" t="s">
        <v>470</v>
      </c>
      <c r="H2764" s="185"/>
    </row>
    <row r="2765">
      <c r="D2765" s="185"/>
      <c r="E2765" s="185" t="s">
        <v>470</v>
      </c>
      <c r="H2765" s="185"/>
    </row>
    <row r="2766">
      <c r="D2766" s="185"/>
      <c r="E2766" s="185" t="s">
        <v>470</v>
      </c>
      <c r="H2766" s="185"/>
    </row>
    <row r="2767">
      <c r="D2767" s="185"/>
      <c r="E2767" s="185" t="s">
        <v>470</v>
      </c>
      <c r="H2767" s="185"/>
    </row>
    <row r="2768">
      <c r="D2768" s="185"/>
      <c r="E2768" s="185" t="s">
        <v>470</v>
      </c>
      <c r="H2768" s="185"/>
    </row>
    <row r="2769">
      <c r="D2769" s="185"/>
      <c r="E2769" s="185" t="s">
        <v>470</v>
      </c>
      <c r="H2769" s="185"/>
    </row>
    <row r="2770">
      <c r="D2770" s="185"/>
      <c r="E2770" s="185" t="s">
        <v>470</v>
      </c>
      <c r="H2770" s="185"/>
    </row>
    <row r="2771">
      <c r="D2771" s="185"/>
      <c r="E2771" s="185" t="s">
        <v>470</v>
      </c>
      <c r="H2771" s="185"/>
    </row>
    <row r="2772">
      <c r="D2772" s="185"/>
      <c r="E2772" s="185" t="s">
        <v>470</v>
      </c>
      <c r="H2772" s="185"/>
    </row>
    <row r="2773">
      <c r="D2773" s="185"/>
      <c r="E2773" s="185" t="s">
        <v>470</v>
      </c>
      <c r="H2773" s="185"/>
    </row>
    <row r="2774">
      <c r="D2774" s="185"/>
      <c r="E2774" s="185" t="s">
        <v>470</v>
      </c>
      <c r="H2774" s="185"/>
    </row>
    <row r="2775">
      <c r="D2775" s="185"/>
      <c r="E2775" s="185" t="s">
        <v>470</v>
      </c>
      <c r="H2775" s="185"/>
    </row>
    <row r="2776">
      <c r="D2776" s="185"/>
      <c r="E2776" s="185" t="s">
        <v>470</v>
      </c>
      <c r="H2776" s="185"/>
    </row>
    <row r="2777">
      <c r="D2777" s="185"/>
      <c r="E2777" s="185" t="s">
        <v>470</v>
      </c>
      <c r="H2777" s="185"/>
    </row>
    <row r="2778">
      <c r="D2778" s="185"/>
      <c r="E2778" s="185" t="s">
        <v>470</v>
      </c>
      <c r="H2778" s="185"/>
    </row>
    <row r="2779">
      <c r="D2779" s="185"/>
      <c r="E2779" s="185" t="s">
        <v>470</v>
      </c>
      <c r="H2779" s="185"/>
    </row>
    <row r="2780">
      <c r="D2780" s="185"/>
      <c r="E2780" s="185" t="s">
        <v>470</v>
      </c>
      <c r="H2780" s="185"/>
    </row>
    <row r="2781">
      <c r="D2781" s="185"/>
      <c r="E2781" s="185" t="s">
        <v>470</v>
      </c>
      <c r="H2781" s="185"/>
    </row>
    <row r="2782">
      <c r="D2782" s="185"/>
      <c r="E2782" s="185" t="s">
        <v>470</v>
      </c>
      <c r="H2782" s="185"/>
    </row>
    <row r="2783">
      <c r="D2783" s="185"/>
      <c r="E2783" s="185" t="s">
        <v>470</v>
      </c>
      <c r="H2783" s="185"/>
    </row>
    <row r="2784">
      <c r="D2784" s="185"/>
      <c r="E2784" s="185" t="s">
        <v>470</v>
      </c>
      <c r="H2784" s="185"/>
    </row>
    <row r="2785">
      <c r="D2785" s="185"/>
      <c r="E2785" s="185" t="s">
        <v>470</v>
      </c>
      <c r="H2785" s="185"/>
    </row>
    <row r="2786">
      <c r="D2786" s="185"/>
      <c r="E2786" s="185" t="s">
        <v>470</v>
      </c>
      <c r="H2786" s="185"/>
    </row>
    <row r="2787">
      <c r="D2787" s="185"/>
      <c r="E2787" s="185" t="s">
        <v>470</v>
      </c>
      <c r="H2787" s="185"/>
    </row>
    <row r="2788">
      <c r="D2788" s="185"/>
      <c r="E2788" s="185" t="s">
        <v>470</v>
      </c>
      <c r="H2788" s="185"/>
    </row>
    <row r="2789">
      <c r="D2789" s="185"/>
      <c r="E2789" s="185" t="s">
        <v>470</v>
      </c>
      <c r="H2789" s="185"/>
    </row>
    <row r="2790">
      <c r="D2790" s="185"/>
      <c r="E2790" s="185" t="s">
        <v>470</v>
      </c>
      <c r="H2790" s="185"/>
    </row>
    <row r="2791">
      <c r="D2791" s="185"/>
      <c r="E2791" s="185" t="s">
        <v>470</v>
      </c>
      <c r="H2791" s="185"/>
    </row>
    <row r="2792">
      <c r="D2792" s="185"/>
      <c r="E2792" s="185" t="s">
        <v>470</v>
      </c>
      <c r="H2792" s="185"/>
    </row>
    <row r="2793">
      <c r="D2793" s="185"/>
      <c r="E2793" s="185" t="s">
        <v>470</v>
      </c>
      <c r="H2793" s="185"/>
    </row>
    <row r="2794">
      <c r="D2794" s="185"/>
      <c r="E2794" s="185" t="s">
        <v>470</v>
      </c>
      <c r="H2794" s="185"/>
    </row>
    <row r="2795">
      <c r="D2795" s="185"/>
      <c r="E2795" s="185" t="s">
        <v>470</v>
      </c>
      <c r="H2795" s="185"/>
    </row>
    <row r="2796">
      <c r="D2796" s="185"/>
      <c r="E2796" s="185" t="s">
        <v>470</v>
      </c>
      <c r="H2796" s="185"/>
    </row>
    <row r="2797">
      <c r="D2797" s="185"/>
      <c r="E2797" s="185" t="s">
        <v>470</v>
      </c>
      <c r="H2797" s="185"/>
    </row>
    <row r="2798">
      <c r="D2798" s="185"/>
      <c r="E2798" s="185" t="s">
        <v>470</v>
      </c>
      <c r="H2798" s="185"/>
    </row>
    <row r="2799">
      <c r="D2799" s="185"/>
      <c r="E2799" s="185" t="s">
        <v>470</v>
      </c>
      <c r="H2799" s="185"/>
    </row>
    <row r="2800">
      <c r="D2800" s="185"/>
      <c r="E2800" s="185" t="s">
        <v>470</v>
      </c>
      <c r="H2800" s="185"/>
    </row>
    <row r="2801">
      <c r="D2801" s="185"/>
      <c r="E2801" s="185" t="s">
        <v>470</v>
      </c>
      <c r="H2801" s="185"/>
    </row>
    <row r="2802">
      <c r="D2802" s="185"/>
      <c r="E2802" s="185" t="s">
        <v>470</v>
      </c>
      <c r="H2802" s="185"/>
    </row>
    <row r="2803">
      <c r="D2803" s="185"/>
      <c r="E2803" s="185" t="s">
        <v>470</v>
      </c>
      <c r="H2803" s="185"/>
    </row>
    <row r="2804">
      <c r="D2804" s="185"/>
      <c r="E2804" s="185" t="s">
        <v>470</v>
      </c>
      <c r="H2804" s="185"/>
    </row>
    <row r="2805">
      <c r="D2805" s="185"/>
      <c r="E2805" s="185" t="s">
        <v>470</v>
      </c>
      <c r="H2805" s="185"/>
    </row>
    <row r="2806">
      <c r="D2806" s="185"/>
      <c r="E2806" s="185" t="s">
        <v>470</v>
      </c>
      <c r="H2806" s="185"/>
    </row>
    <row r="2807">
      <c r="D2807" s="185"/>
      <c r="E2807" s="185" t="s">
        <v>470</v>
      </c>
      <c r="H2807" s="185"/>
    </row>
    <row r="2808">
      <c r="D2808" s="185"/>
      <c r="E2808" s="185" t="s">
        <v>470</v>
      </c>
      <c r="H2808" s="185"/>
    </row>
    <row r="2809">
      <c r="D2809" s="185"/>
      <c r="E2809" s="185" t="s">
        <v>470</v>
      </c>
      <c r="H2809" s="185"/>
    </row>
    <row r="2810">
      <c r="D2810" s="185"/>
      <c r="E2810" s="185" t="s">
        <v>470</v>
      </c>
      <c r="H2810" s="185"/>
    </row>
    <row r="2811">
      <c r="D2811" s="185"/>
      <c r="E2811" s="185" t="s">
        <v>470</v>
      </c>
      <c r="H2811" s="185"/>
    </row>
    <row r="2812">
      <c r="D2812" s="185"/>
      <c r="E2812" s="185" t="s">
        <v>470</v>
      </c>
      <c r="H2812" s="185"/>
    </row>
    <row r="2813">
      <c r="D2813" s="185"/>
      <c r="E2813" s="185" t="s">
        <v>470</v>
      </c>
      <c r="H2813" s="185"/>
    </row>
    <row r="2814">
      <c r="D2814" s="185"/>
      <c r="E2814" s="185" t="s">
        <v>470</v>
      </c>
      <c r="H2814" s="185"/>
    </row>
    <row r="2815">
      <c r="D2815" s="185"/>
      <c r="E2815" s="185" t="s">
        <v>470</v>
      </c>
      <c r="H2815" s="185"/>
    </row>
    <row r="2816">
      <c r="D2816" s="185"/>
      <c r="E2816" s="185" t="s">
        <v>470</v>
      </c>
      <c r="H2816" s="185"/>
    </row>
    <row r="2817">
      <c r="D2817" s="185"/>
      <c r="E2817" s="185" t="s">
        <v>470</v>
      </c>
      <c r="H2817" s="185"/>
    </row>
    <row r="2818">
      <c r="D2818" s="185"/>
      <c r="E2818" s="185" t="s">
        <v>470</v>
      </c>
      <c r="H2818" s="185"/>
    </row>
    <row r="2819">
      <c r="D2819" s="185"/>
      <c r="E2819" s="185" t="s">
        <v>470</v>
      </c>
      <c r="H2819" s="185"/>
    </row>
    <row r="2820">
      <c r="D2820" s="185"/>
      <c r="E2820" s="185" t="s">
        <v>470</v>
      </c>
      <c r="H2820" s="185"/>
    </row>
    <row r="2821">
      <c r="D2821" s="185"/>
      <c r="E2821" s="185" t="s">
        <v>470</v>
      </c>
      <c r="H2821" s="185"/>
    </row>
    <row r="2822">
      <c r="D2822" s="185"/>
      <c r="E2822" s="185" t="s">
        <v>470</v>
      </c>
      <c r="H2822" s="185"/>
    </row>
    <row r="2823">
      <c r="D2823" s="185"/>
      <c r="E2823" s="185" t="s">
        <v>470</v>
      </c>
      <c r="H2823" s="185"/>
    </row>
    <row r="2824">
      <c r="D2824" s="185"/>
      <c r="E2824" s="185" t="s">
        <v>470</v>
      </c>
      <c r="H2824" s="185"/>
    </row>
    <row r="2825">
      <c r="D2825" s="185"/>
      <c r="E2825" s="185" t="s">
        <v>470</v>
      </c>
      <c r="H2825" s="185"/>
    </row>
    <row r="2826">
      <c r="D2826" s="185"/>
      <c r="E2826" s="185" t="s">
        <v>470</v>
      </c>
      <c r="H2826" s="185"/>
    </row>
    <row r="2827">
      <c r="D2827" s="185"/>
      <c r="E2827" s="185" t="s">
        <v>470</v>
      </c>
      <c r="H2827" s="185"/>
    </row>
    <row r="2828">
      <c r="D2828" s="185"/>
      <c r="E2828" s="185" t="s">
        <v>470</v>
      </c>
      <c r="H2828" s="185"/>
    </row>
    <row r="2829">
      <c r="D2829" s="185"/>
      <c r="E2829" s="185" t="s">
        <v>470</v>
      </c>
      <c r="H2829" s="185"/>
    </row>
    <row r="2830">
      <c r="D2830" s="185"/>
      <c r="E2830" s="185" t="s">
        <v>470</v>
      </c>
      <c r="H2830" s="185"/>
    </row>
    <row r="2831">
      <c r="D2831" s="185"/>
      <c r="E2831" s="185" t="s">
        <v>470</v>
      </c>
      <c r="H2831" s="185"/>
    </row>
    <row r="2832">
      <c r="D2832" s="185"/>
      <c r="E2832" s="185" t="s">
        <v>470</v>
      </c>
      <c r="H2832" s="185"/>
    </row>
    <row r="2833">
      <c r="D2833" s="185"/>
      <c r="E2833" s="185" t="s">
        <v>470</v>
      </c>
      <c r="H2833" s="185"/>
    </row>
    <row r="2834">
      <c r="D2834" s="185"/>
      <c r="E2834" s="185" t="s">
        <v>470</v>
      </c>
      <c r="H2834" s="185"/>
    </row>
    <row r="2835">
      <c r="D2835" s="185"/>
      <c r="E2835" s="185" t="s">
        <v>470</v>
      </c>
      <c r="H2835" s="185"/>
    </row>
    <row r="2836">
      <c r="D2836" s="185"/>
      <c r="E2836" s="185" t="s">
        <v>470</v>
      </c>
      <c r="H2836" s="185"/>
    </row>
    <row r="2837">
      <c r="D2837" s="185"/>
      <c r="E2837" s="185" t="s">
        <v>470</v>
      </c>
      <c r="H2837" s="185"/>
    </row>
    <row r="2838">
      <c r="D2838" s="185"/>
      <c r="E2838" s="185" t="s">
        <v>470</v>
      </c>
      <c r="H2838" s="185"/>
    </row>
    <row r="2839">
      <c r="D2839" s="185"/>
      <c r="E2839" s="185" t="s">
        <v>470</v>
      </c>
      <c r="H2839" s="185"/>
    </row>
    <row r="2840">
      <c r="D2840" s="185"/>
      <c r="E2840" s="185" t="s">
        <v>470</v>
      </c>
      <c r="H2840" s="185"/>
    </row>
    <row r="2841">
      <c r="D2841" s="185"/>
      <c r="E2841" s="185" t="s">
        <v>470</v>
      </c>
      <c r="H2841" s="185"/>
    </row>
    <row r="2842">
      <c r="D2842" s="185"/>
      <c r="E2842" s="185" t="s">
        <v>470</v>
      </c>
      <c r="H2842" s="185"/>
    </row>
    <row r="2843">
      <c r="D2843" s="185"/>
      <c r="E2843" s="185" t="s">
        <v>470</v>
      </c>
      <c r="H2843" s="185"/>
    </row>
    <row r="2844">
      <c r="D2844" s="185"/>
      <c r="E2844" s="185" t="s">
        <v>470</v>
      </c>
      <c r="H2844" s="185"/>
    </row>
    <row r="2845">
      <c r="D2845" s="185"/>
      <c r="E2845" s="185" t="s">
        <v>470</v>
      </c>
      <c r="H2845" s="185"/>
    </row>
    <row r="2846">
      <c r="D2846" s="185"/>
      <c r="E2846" s="185" t="s">
        <v>470</v>
      </c>
      <c r="H2846" s="185"/>
    </row>
    <row r="2847">
      <c r="D2847" s="185"/>
      <c r="E2847" s="185" t="s">
        <v>470</v>
      </c>
      <c r="H2847" s="185"/>
    </row>
    <row r="2848">
      <c r="D2848" s="185"/>
      <c r="E2848" s="185" t="s">
        <v>470</v>
      </c>
      <c r="H2848" s="185"/>
    </row>
    <row r="2849">
      <c r="D2849" s="185"/>
      <c r="E2849" s="185" t="s">
        <v>470</v>
      </c>
      <c r="H2849" s="185"/>
    </row>
    <row r="2850">
      <c r="D2850" s="185"/>
      <c r="E2850" s="185" t="s">
        <v>470</v>
      </c>
      <c r="H2850" s="185"/>
    </row>
    <row r="2851">
      <c r="D2851" s="185"/>
      <c r="E2851" s="185" t="s">
        <v>470</v>
      </c>
      <c r="H2851" s="185"/>
    </row>
    <row r="2852">
      <c r="D2852" s="185"/>
      <c r="E2852" s="185" t="s">
        <v>470</v>
      </c>
      <c r="H2852" s="185"/>
    </row>
    <row r="2853">
      <c r="D2853" s="185"/>
      <c r="E2853" s="185" t="s">
        <v>470</v>
      </c>
      <c r="H2853" s="185"/>
    </row>
    <row r="2854">
      <c r="D2854" s="185"/>
      <c r="E2854" s="185" t="s">
        <v>470</v>
      </c>
      <c r="H2854" s="185"/>
    </row>
    <row r="2855">
      <c r="D2855" s="185"/>
      <c r="E2855" s="185" t="s">
        <v>470</v>
      </c>
      <c r="H2855" s="185"/>
    </row>
    <row r="2856">
      <c r="D2856" s="185"/>
      <c r="E2856" s="185" t="s">
        <v>470</v>
      </c>
      <c r="H2856" s="185"/>
    </row>
    <row r="2857">
      <c r="D2857" s="185"/>
      <c r="E2857" s="185" t="s">
        <v>470</v>
      </c>
      <c r="H2857" s="185"/>
    </row>
    <row r="2858">
      <c r="D2858" s="185"/>
      <c r="E2858" s="185" t="s">
        <v>470</v>
      </c>
      <c r="H2858" s="185"/>
    </row>
    <row r="2859">
      <c r="D2859" s="185"/>
      <c r="E2859" s="185" t="s">
        <v>470</v>
      </c>
      <c r="H2859" s="185"/>
    </row>
    <row r="2860">
      <c r="D2860" s="185"/>
      <c r="E2860" s="185" t="s">
        <v>470</v>
      </c>
      <c r="H2860" s="185"/>
    </row>
    <row r="2861">
      <c r="D2861" s="185"/>
      <c r="E2861" s="185" t="s">
        <v>470</v>
      </c>
      <c r="H2861" s="185"/>
    </row>
    <row r="2862">
      <c r="D2862" s="185"/>
      <c r="E2862" s="185" t="s">
        <v>470</v>
      </c>
      <c r="H2862" s="185"/>
    </row>
    <row r="2863">
      <c r="D2863" s="185"/>
      <c r="E2863" s="185" t="s">
        <v>470</v>
      </c>
      <c r="H2863" s="185"/>
    </row>
    <row r="2864">
      <c r="D2864" s="185"/>
      <c r="E2864" s="185" t="s">
        <v>470</v>
      </c>
      <c r="H2864" s="185"/>
    </row>
    <row r="2865">
      <c r="D2865" s="185"/>
      <c r="E2865" s="185" t="s">
        <v>470</v>
      </c>
      <c r="H2865" s="185"/>
    </row>
    <row r="2866">
      <c r="D2866" s="185"/>
      <c r="E2866" s="185" t="s">
        <v>470</v>
      </c>
      <c r="H2866" s="185"/>
    </row>
    <row r="2867">
      <c r="D2867" s="185"/>
      <c r="E2867" s="185" t="s">
        <v>470</v>
      </c>
      <c r="H2867" s="185"/>
    </row>
    <row r="2868">
      <c r="D2868" s="185"/>
      <c r="E2868" s="185" t="s">
        <v>470</v>
      </c>
      <c r="H2868" s="185"/>
    </row>
    <row r="2869">
      <c r="D2869" s="185"/>
      <c r="E2869" s="185" t="s">
        <v>470</v>
      </c>
      <c r="H2869" s="185"/>
    </row>
    <row r="2870">
      <c r="D2870" s="185"/>
      <c r="E2870" s="185" t="s">
        <v>470</v>
      </c>
      <c r="H2870" s="185"/>
    </row>
    <row r="2871">
      <c r="D2871" s="185"/>
      <c r="E2871" s="185" t="s">
        <v>470</v>
      </c>
      <c r="H2871" s="185"/>
    </row>
    <row r="2872">
      <c r="D2872" s="185"/>
      <c r="E2872" s="185" t="s">
        <v>470</v>
      </c>
      <c r="H2872" s="185"/>
    </row>
    <row r="2873">
      <c r="D2873" s="185"/>
      <c r="E2873" s="185" t="s">
        <v>470</v>
      </c>
      <c r="H2873" s="185"/>
    </row>
    <row r="2874">
      <c r="D2874" s="185"/>
      <c r="E2874" s="185" t="s">
        <v>470</v>
      </c>
      <c r="H2874" s="185"/>
    </row>
    <row r="2875">
      <c r="D2875" s="185"/>
      <c r="E2875" s="185" t="s">
        <v>470</v>
      </c>
      <c r="H2875" s="185"/>
    </row>
    <row r="2876">
      <c r="D2876" s="185"/>
      <c r="E2876" s="185" t="s">
        <v>470</v>
      </c>
      <c r="H2876" s="185"/>
    </row>
    <row r="2877">
      <c r="D2877" s="185"/>
      <c r="E2877" s="185" t="s">
        <v>470</v>
      </c>
      <c r="H2877" s="185"/>
    </row>
    <row r="2878">
      <c r="D2878" s="185"/>
      <c r="E2878" s="185" t="s">
        <v>470</v>
      </c>
      <c r="H2878" s="185"/>
    </row>
    <row r="2879">
      <c r="D2879" s="185"/>
      <c r="E2879" s="185" t="s">
        <v>470</v>
      </c>
      <c r="H2879" s="185"/>
    </row>
    <row r="2880">
      <c r="D2880" s="185"/>
      <c r="E2880" s="185" t="s">
        <v>470</v>
      </c>
      <c r="H2880" s="185"/>
    </row>
    <row r="2881">
      <c r="D2881" s="185"/>
      <c r="E2881" s="185" t="s">
        <v>470</v>
      </c>
      <c r="H2881" s="185"/>
    </row>
    <row r="2882">
      <c r="D2882" s="185"/>
      <c r="E2882" s="185" t="s">
        <v>470</v>
      </c>
      <c r="H2882" s="185"/>
    </row>
    <row r="2883">
      <c r="D2883" s="185"/>
      <c r="E2883" s="185" t="s">
        <v>470</v>
      </c>
      <c r="H2883" s="185"/>
    </row>
    <row r="2884">
      <c r="D2884" s="185"/>
      <c r="E2884" s="185" t="s">
        <v>470</v>
      </c>
      <c r="H2884" s="185"/>
    </row>
    <row r="2885">
      <c r="D2885" s="185"/>
      <c r="E2885" s="185" t="s">
        <v>470</v>
      </c>
      <c r="H2885" s="185"/>
    </row>
    <row r="2886">
      <c r="D2886" s="185"/>
      <c r="E2886" s="185" t="s">
        <v>470</v>
      </c>
      <c r="H2886" s="185"/>
    </row>
    <row r="2887">
      <c r="D2887" s="185"/>
      <c r="E2887" s="185" t="s">
        <v>470</v>
      </c>
      <c r="H2887" s="185"/>
    </row>
    <row r="2888">
      <c r="D2888" s="185"/>
      <c r="E2888" s="185" t="s">
        <v>470</v>
      </c>
      <c r="H2888" s="185"/>
    </row>
    <row r="2889">
      <c r="D2889" s="185"/>
      <c r="E2889" s="185" t="s">
        <v>470</v>
      </c>
      <c r="H2889" s="185"/>
    </row>
    <row r="2890">
      <c r="D2890" s="185"/>
      <c r="E2890" s="185" t="s">
        <v>470</v>
      </c>
      <c r="H2890" s="185"/>
    </row>
    <row r="2891">
      <c r="D2891" s="185"/>
      <c r="E2891" s="185" t="s">
        <v>470</v>
      </c>
      <c r="H2891" s="185"/>
    </row>
    <row r="2892">
      <c r="D2892" s="185"/>
      <c r="E2892" s="185" t="s">
        <v>470</v>
      </c>
      <c r="H2892" s="185"/>
    </row>
    <row r="2893">
      <c r="D2893" s="185"/>
      <c r="E2893" s="185" t="s">
        <v>470</v>
      </c>
      <c r="H2893" s="185"/>
    </row>
    <row r="2894">
      <c r="D2894" s="185"/>
      <c r="E2894" s="185" t="s">
        <v>470</v>
      </c>
      <c r="H2894" s="185"/>
    </row>
    <row r="2895">
      <c r="D2895" s="185"/>
      <c r="E2895" s="185" t="s">
        <v>470</v>
      </c>
      <c r="H2895" s="185"/>
    </row>
    <row r="2896">
      <c r="D2896" s="185"/>
      <c r="E2896" s="185" t="s">
        <v>470</v>
      </c>
      <c r="H2896" s="185"/>
    </row>
    <row r="2897">
      <c r="D2897" s="185"/>
      <c r="E2897" s="185" t="s">
        <v>470</v>
      </c>
      <c r="H2897" s="185"/>
    </row>
    <row r="2898">
      <c r="D2898" s="185"/>
      <c r="E2898" s="185" t="s">
        <v>470</v>
      </c>
      <c r="H2898" s="185"/>
    </row>
    <row r="2899">
      <c r="D2899" s="185"/>
      <c r="E2899" s="185" t="s">
        <v>470</v>
      </c>
      <c r="H2899" s="185"/>
    </row>
    <row r="2900">
      <c r="D2900" s="185"/>
      <c r="E2900" s="185" t="s">
        <v>470</v>
      </c>
      <c r="H2900" s="185"/>
    </row>
    <row r="2901">
      <c r="D2901" s="185"/>
      <c r="E2901" s="185" t="s">
        <v>470</v>
      </c>
      <c r="H2901" s="185"/>
    </row>
    <row r="2902">
      <c r="D2902" s="185"/>
      <c r="E2902" s="185" t="s">
        <v>470</v>
      </c>
      <c r="H2902" s="185"/>
    </row>
    <row r="2903">
      <c r="D2903" s="185"/>
      <c r="E2903" s="185" t="s">
        <v>470</v>
      </c>
      <c r="H2903" s="185"/>
    </row>
    <row r="2904">
      <c r="D2904" s="185"/>
      <c r="E2904" s="185" t="s">
        <v>470</v>
      </c>
      <c r="H2904" s="185"/>
    </row>
    <row r="2905">
      <c r="D2905" s="185"/>
      <c r="E2905" s="185" t="s">
        <v>470</v>
      </c>
      <c r="H2905" s="185"/>
    </row>
    <row r="2906">
      <c r="D2906" s="185"/>
      <c r="E2906" s="185" t="s">
        <v>470</v>
      </c>
      <c r="H2906" s="185"/>
    </row>
    <row r="2907">
      <c r="D2907" s="185"/>
      <c r="E2907" s="185" t="s">
        <v>470</v>
      </c>
      <c r="H2907" s="185"/>
    </row>
    <row r="2908">
      <c r="D2908" s="185"/>
      <c r="E2908" s="185" t="s">
        <v>470</v>
      </c>
      <c r="H2908" s="185"/>
    </row>
    <row r="2909">
      <c r="D2909" s="185"/>
      <c r="E2909" s="185" t="s">
        <v>470</v>
      </c>
      <c r="H2909" s="185"/>
    </row>
    <row r="2910">
      <c r="D2910" s="185"/>
      <c r="E2910" s="185" t="s">
        <v>470</v>
      </c>
      <c r="H2910" s="185"/>
    </row>
    <row r="2911">
      <c r="D2911" s="185"/>
      <c r="E2911" s="185" t="s">
        <v>470</v>
      </c>
      <c r="H2911" s="185"/>
    </row>
    <row r="2912">
      <c r="D2912" s="185"/>
      <c r="E2912" s="185" t="s">
        <v>470</v>
      </c>
      <c r="H2912" s="185"/>
    </row>
    <row r="2913">
      <c r="D2913" s="185"/>
      <c r="E2913" s="185" t="s">
        <v>470</v>
      </c>
      <c r="H2913" s="185"/>
    </row>
    <row r="2914">
      <c r="D2914" s="185"/>
      <c r="E2914" s="185" t="s">
        <v>470</v>
      </c>
      <c r="H2914" s="185"/>
    </row>
    <row r="2915">
      <c r="D2915" s="185"/>
      <c r="E2915" s="185" t="s">
        <v>470</v>
      </c>
      <c r="H2915" s="185"/>
    </row>
    <row r="2916">
      <c r="D2916" s="185"/>
      <c r="E2916" s="185" t="s">
        <v>470</v>
      </c>
      <c r="H2916" s="185"/>
    </row>
    <row r="2917">
      <c r="D2917" s="185"/>
      <c r="E2917" s="185" t="s">
        <v>470</v>
      </c>
      <c r="H2917" s="185"/>
    </row>
    <row r="2918">
      <c r="D2918" s="185"/>
      <c r="E2918" s="185" t="s">
        <v>470</v>
      </c>
      <c r="H2918" s="185"/>
    </row>
    <row r="2919">
      <c r="D2919" s="185"/>
      <c r="E2919" s="185" t="s">
        <v>470</v>
      </c>
      <c r="H2919" s="185"/>
    </row>
    <row r="2920">
      <c r="D2920" s="185"/>
      <c r="E2920" s="185" t="s">
        <v>470</v>
      </c>
      <c r="H2920" s="185"/>
    </row>
    <row r="2921">
      <c r="D2921" s="185"/>
      <c r="E2921" s="185" t="s">
        <v>470</v>
      </c>
      <c r="H2921" s="185"/>
    </row>
    <row r="2922">
      <c r="D2922" s="185"/>
      <c r="E2922" s="185" t="s">
        <v>470</v>
      </c>
      <c r="H2922" s="185"/>
    </row>
    <row r="2923">
      <c r="D2923" s="185"/>
      <c r="E2923" s="185" t="s">
        <v>470</v>
      </c>
      <c r="H2923" s="185"/>
    </row>
    <row r="2924">
      <c r="D2924" s="185"/>
      <c r="E2924" s="185" t="s">
        <v>470</v>
      </c>
      <c r="H2924" s="185"/>
    </row>
    <row r="2925">
      <c r="D2925" s="185"/>
      <c r="E2925" s="185" t="s">
        <v>470</v>
      </c>
      <c r="H2925" s="185"/>
    </row>
    <row r="2926">
      <c r="D2926" s="185"/>
      <c r="E2926" s="185" t="s">
        <v>470</v>
      </c>
      <c r="H2926" s="185"/>
    </row>
    <row r="2927">
      <c r="D2927" s="185"/>
      <c r="E2927" s="185" t="s">
        <v>470</v>
      </c>
      <c r="H2927" s="185"/>
    </row>
    <row r="2928">
      <c r="D2928" s="185"/>
      <c r="E2928" s="185" t="s">
        <v>470</v>
      </c>
      <c r="H2928" s="185"/>
    </row>
    <row r="2929">
      <c r="D2929" s="185"/>
      <c r="E2929" s="185" t="s">
        <v>470</v>
      </c>
      <c r="H2929" s="185"/>
    </row>
    <row r="2930">
      <c r="D2930" s="185"/>
      <c r="E2930" s="185" t="s">
        <v>470</v>
      </c>
      <c r="H2930" s="185"/>
    </row>
    <row r="2931">
      <c r="D2931" s="185"/>
      <c r="E2931" s="185" t="s">
        <v>470</v>
      </c>
      <c r="H2931" s="185"/>
    </row>
    <row r="2932">
      <c r="D2932" s="185"/>
      <c r="E2932" s="185" t="s">
        <v>470</v>
      </c>
      <c r="H2932" s="185"/>
    </row>
    <row r="2933">
      <c r="D2933" s="185"/>
      <c r="E2933" s="185" t="s">
        <v>470</v>
      </c>
      <c r="H2933" s="185"/>
    </row>
    <row r="2934">
      <c r="D2934" s="185"/>
      <c r="E2934" s="185" t="s">
        <v>470</v>
      </c>
      <c r="H2934" s="185"/>
    </row>
    <row r="2935">
      <c r="D2935" s="185"/>
      <c r="E2935" s="185" t="s">
        <v>470</v>
      </c>
      <c r="H2935" s="185"/>
    </row>
    <row r="2936">
      <c r="D2936" s="185"/>
      <c r="E2936" s="185" t="s">
        <v>470</v>
      </c>
      <c r="H2936" s="185"/>
    </row>
    <row r="2937">
      <c r="D2937" s="185"/>
      <c r="E2937" s="185" t="s">
        <v>470</v>
      </c>
      <c r="H2937" s="185"/>
    </row>
    <row r="2938">
      <c r="D2938" s="185"/>
      <c r="E2938" s="185" t="s">
        <v>470</v>
      </c>
      <c r="H2938" s="185"/>
    </row>
    <row r="2939">
      <c r="D2939" s="185"/>
      <c r="E2939" s="185" t="s">
        <v>470</v>
      </c>
      <c r="H2939" s="185"/>
    </row>
    <row r="2940">
      <c r="D2940" s="185"/>
      <c r="E2940" s="185" t="s">
        <v>470</v>
      </c>
      <c r="H2940" s="185"/>
    </row>
    <row r="2941">
      <c r="D2941" s="185"/>
      <c r="E2941" s="185" t="s">
        <v>470</v>
      </c>
      <c r="H2941" s="185"/>
    </row>
    <row r="2942">
      <c r="D2942" s="185"/>
      <c r="E2942" s="185" t="s">
        <v>470</v>
      </c>
      <c r="H2942" s="185"/>
    </row>
    <row r="2943">
      <c r="D2943" s="185"/>
      <c r="E2943" s="185" t="s">
        <v>470</v>
      </c>
      <c r="H2943" s="185"/>
    </row>
    <row r="2944">
      <c r="D2944" s="185"/>
      <c r="E2944" s="185" t="s">
        <v>470</v>
      </c>
      <c r="H2944" s="185"/>
    </row>
    <row r="2945">
      <c r="D2945" s="185"/>
      <c r="E2945" s="185" t="s">
        <v>470</v>
      </c>
      <c r="H2945" s="185"/>
    </row>
    <row r="2946">
      <c r="D2946" s="185"/>
      <c r="E2946" s="185" t="s">
        <v>470</v>
      </c>
      <c r="H2946" s="185"/>
    </row>
    <row r="2947">
      <c r="D2947" s="185"/>
      <c r="E2947" s="185" t="s">
        <v>470</v>
      </c>
      <c r="H2947" s="185"/>
    </row>
    <row r="2948">
      <c r="D2948" s="185"/>
      <c r="E2948" s="185" t="s">
        <v>470</v>
      </c>
      <c r="H2948" s="185"/>
    </row>
    <row r="2949">
      <c r="D2949" s="185"/>
      <c r="E2949" s="185" t="s">
        <v>470</v>
      </c>
      <c r="H2949" s="185"/>
    </row>
    <row r="2950">
      <c r="D2950" s="185"/>
      <c r="E2950" s="185" t="s">
        <v>470</v>
      </c>
      <c r="H2950" s="185"/>
    </row>
    <row r="2951">
      <c r="D2951" s="185"/>
      <c r="E2951" s="185" t="s">
        <v>470</v>
      </c>
      <c r="H2951" s="185"/>
    </row>
    <row r="2952">
      <c r="D2952" s="185"/>
      <c r="E2952" s="185" t="s">
        <v>470</v>
      </c>
      <c r="H2952" s="185"/>
    </row>
    <row r="2953">
      <c r="D2953" s="185"/>
      <c r="E2953" s="185" t="s">
        <v>470</v>
      </c>
      <c r="H2953" s="185"/>
    </row>
    <row r="2954">
      <c r="D2954" s="185"/>
      <c r="E2954" s="185" t="s">
        <v>470</v>
      </c>
      <c r="H2954" s="185"/>
    </row>
    <row r="2955">
      <c r="D2955" s="185"/>
      <c r="E2955" s="185" t="s">
        <v>470</v>
      </c>
      <c r="H2955" s="185"/>
    </row>
    <row r="2956">
      <c r="D2956" s="185"/>
      <c r="E2956" s="185" t="s">
        <v>470</v>
      </c>
      <c r="H2956" s="185"/>
    </row>
    <row r="2957">
      <c r="D2957" s="185"/>
      <c r="E2957" s="185" t="s">
        <v>470</v>
      </c>
      <c r="H2957" s="185"/>
    </row>
    <row r="2958">
      <c r="D2958" s="185"/>
      <c r="E2958" s="185" t="s">
        <v>470</v>
      </c>
      <c r="H2958" s="185"/>
    </row>
    <row r="2959">
      <c r="D2959" s="185"/>
      <c r="E2959" s="185" t="s">
        <v>470</v>
      </c>
      <c r="H2959" s="185"/>
    </row>
    <row r="2960">
      <c r="D2960" s="185"/>
      <c r="E2960" s="185" t="s">
        <v>470</v>
      </c>
      <c r="H2960" s="185"/>
    </row>
    <row r="2961">
      <c r="D2961" s="185"/>
      <c r="E2961" s="185" t="s">
        <v>470</v>
      </c>
      <c r="H2961" s="185"/>
    </row>
    <row r="2962">
      <c r="D2962" s="185"/>
      <c r="E2962" s="185" t="s">
        <v>470</v>
      </c>
      <c r="H2962" s="185"/>
    </row>
    <row r="2963">
      <c r="D2963" s="185"/>
      <c r="E2963" s="185" t="s">
        <v>470</v>
      </c>
      <c r="H2963" s="185"/>
    </row>
    <row r="2964">
      <c r="D2964" s="185"/>
      <c r="E2964" s="185" t="s">
        <v>470</v>
      </c>
      <c r="H2964" s="185"/>
    </row>
    <row r="2965">
      <c r="D2965" s="185"/>
      <c r="E2965" s="185" t="s">
        <v>470</v>
      </c>
      <c r="H2965" s="185"/>
    </row>
    <row r="2966">
      <c r="D2966" s="185"/>
      <c r="E2966" s="185" t="s">
        <v>470</v>
      </c>
      <c r="H2966" s="185"/>
    </row>
    <row r="2967">
      <c r="D2967" s="185"/>
      <c r="E2967" s="185" t="s">
        <v>470</v>
      </c>
      <c r="H2967" s="185"/>
    </row>
    <row r="2968">
      <c r="D2968" s="185"/>
      <c r="E2968" s="185" t="s">
        <v>470</v>
      </c>
      <c r="H2968" s="185"/>
    </row>
    <row r="2969">
      <c r="D2969" s="185"/>
      <c r="E2969" s="185" t="s">
        <v>470</v>
      </c>
      <c r="H2969" s="185"/>
    </row>
    <row r="2970">
      <c r="D2970" s="185"/>
      <c r="E2970" s="185" t="s">
        <v>470</v>
      </c>
      <c r="H2970" s="185"/>
    </row>
    <row r="2971">
      <c r="D2971" s="185"/>
      <c r="E2971" s="185" t="s">
        <v>470</v>
      </c>
      <c r="H2971" s="185"/>
    </row>
    <row r="2972">
      <c r="D2972" s="185"/>
      <c r="E2972" s="185" t="s">
        <v>470</v>
      </c>
      <c r="H2972" s="185"/>
    </row>
    <row r="2973">
      <c r="D2973" s="185"/>
      <c r="E2973" s="185" t="s">
        <v>470</v>
      </c>
      <c r="H2973" s="185"/>
    </row>
    <row r="2974">
      <c r="D2974" s="185"/>
      <c r="E2974" s="185" t="s">
        <v>470</v>
      </c>
      <c r="H2974" s="185"/>
    </row>
    <row r="2975">
      <c r="D2975" s="185"/>
      <c r="E2975" s="185" t="s">
        <v>470</v>
      </c>
      <c r="H2975" s="185"/>
    </row>
    <row r="2976">
      <c r="D2976" s="185"/>
      <c r="E2976" s="185" t="s">
        <v>470</v>
      </c>
      <c r="H2976" s="185"/>
    </row>
    <row r="2977">
      <c r="D2977" s="185"/>
      <c r="E2977" s="185" t="s">
        <v>470</v>
      </c>
      <c r="H2977" s="185"/>
    </row>
    <row r="2978">
      <c r="D2978" s="185"/>
      <c r="E2978" s="185" t="s">
        <v>470</v>
      </c>
      <c r="H2978" s="185"/>
    </row>
    <row r="2979">
      <c r="D2979" s="185"/>
      <c r="E2979" s="185" t="s">
        <v>470</v>
      </c>
      <c r="H2979" s="185"/>
    </row>
    <row r="2980">
      <c r="D2980" s="185"/>
      <c r="E2980" s="185" t="s">
        <v>470</v>
      </c>
      <c r="H2980" s="185"/>
    </row>
    <row r="2981">
      <c r="D2981" s="185"/>
      <c r="E2981" s="185" t="s">
        <v>470</v>
      </c>
      <c r="H2981" s="185"/>
    </row>
    <row r="2982">
      <c r="D2982" s="185"/>
      <c r="E2982" s="185" t="s">
        <v>470</v>
      </c>
      <c r="H2982" s="185"/>
    </row>
    <row r="2983">
      <c r="D2983" s="185"/>
      <c r="E2983" s="185" t="s">
        <v>470</v>
      </c>
      <c r="H2983" s="185"/>
    </row>
    <row r="2984">
      <c r="D2984" s="185"/>
      <c r="E2984" s="185" t="s">
        <v>470</v>
      </c>
      <c r="H2984" s="185"/>
    </row>
    <row r="2985">
      <c r="D2985" s="185"/>
      <c r="E2985" s="185" t="s">
        <v>470</v>
      </c>
      <c r="H2985" s="185"/>
    </row>
    <row r="2986">
      <c r="D2986" s="185"/>
      <c r="E2986" s="185" t="s">
        <v>470</v>
      </c>
      <c r="H2986" s="185"/>
    </row>
    <row r="2987">
      <c r="D2987" s="185"/>
      <c r="E2987" s="185" t="s">
        <v>470</v>
      </c>
      <c r="H2987" s="185"/>
    </row>
    <row r="2988">
      <c r="D2988" s="185"/>
      <c r="E2988" s="185" t="s">
        <v>470</v>
      </c>
      <c r="H2988" s="185"/>
    </row>
    <row r="2989">
      <c r="D2989" s="185"/>
      <c r="E2989" s="185" t="s">
        <v>470</v>
      </c>
      <c r="H2989" s="185"/>
    </row>
    <row r="2990">
      <c r="D2990" s="185"/>
      <c r="E2990" s="185" t="s">
        <v>470</v>
      </c>
      <c r="H2990" s="185"/>
    </row>
    <row r="2991">
      <c r="D2991" s="185"/>
      <c r="E2991" s="185" t="s">
        <v>470</v>
      </c>
      <c r="H2991" s="185"/>
    </row>
    <row r="2992">
      <c r="D2992" s="185"/>
      <c r="E2992" s="185" t="s">
        <v>470</v>
      </c>
      <c r="H2992" s="185"/>
    </row>
    <row r="2993">
      <c r="D2993" s="185"/>
      <c r="E2993" s="185" t="s">
        <v>470</v>
      </c>
      <c r="H2993" s="185"/>
    </row>
    <row r="2994">
      <c r="D2994" s="185"/>
      <c r="E2994" s="185" t="s">
        <v>470</v>
      </c>
      <c r="H2994" s="185"/>
    </row>
    <row r="2995">
      <c r="D2995" s="185"/>
      <c r="E2995" s="185" t="s">
        <v>470</v>
      </c>
      <c r="H2995" s="185"/>
    </row>
    <row r="2996">
      <c r="D2996" s="185"/>
      <c r="E2996" s="185" t="s">
        <v>470</v>
      </c>
      <c r="H2996" s="185"/>
    </row>
    <row r="2997">
      <c r="D2997" s="185"/>
      <c r="E2997" s="185" t="s">
        <v>470</v>
      </c>
      <c r="H2997" s="185"/>
    </row>
    <row r="2998">
      <c r="D2998" s="185"/>
      <c r="E2998" s="185" t="s">
        <v>470</v>
      </c>
      <c r="H2998" s="185"/>
    </row>
    <row r="2999">
      <c r="D2999" s="185"/>
      <c r="E2999" s="185" t="s">
        <v>470</v>
      </c>
      <c r="H2999" s="185"/>
    </row>
    <row r="3000">
      <c r="D3000" s="185"/>
      <c r="E3000" s="185" t="s">
        <v>470</v>
      </c>
      <c r="H3000" s="185"/>
    </row>
    <row r="3001">
      <c r="D3001" s="185"/>
      <c r="E3001" s="185" t="s">
        <v>470</v>
      </c>
      <c r="H3001" s="185"/>
    </row>
    <row r="3002">
      <c r="D3002" s="185"/>
      <c r="E3002" s="185" t="s">
        <v>470</v>
      </c>
      <c r="H3002" s="185"/>
    </row>
    <row r="3003">
      <c r="D3003" s="185"/>
      <c r="E3003" s="185" t="s">
        <v>470</v>
      </c>
      <c r="H3003" s="185"/>
    </row>
    <row r="3004">
      <c r="D3004" s="185"/>
      <c r="E3004" s="185" t="s">
        <v>470</v>
      </c>
      <c r="H3004" s="185"/>
    </row>
    <row r="3005">
      <c r="D3005" s="185"/>
      <c r="E3005" s="185" t="s">
        <v>470</v>
      </c>
      <c r="H3005" s="185"/>
    </row>
    <row r="3006">
      <c r="D3006" s="185"/>
      <c r="E3006" s="185" t="s">
        <v>470</v>
      </c>
      <c r="H3006" s="185"/>
    </row>
    <row r="3007">
      <c r="D3007" s="185"/>
      <c r="E3007" s="185" t="s">
        <v>470</v>
      </c>
      <c r="H3007" s="185"/>
    </row>
    <row r="3008">
      <c r="D3008" s="185"/>
      <c r="E3008" s="185" t="s">
        <v>470</v>
      </c>
      <c r="H3008" s="185"/>
    </row>
    <row r="3009">
      <c r="D3009" s="185"/>
      <c r="E3009" s="185" t="s">
        <v>470</v>
      </c>
      <c r="H3009" s="185"/>
    </row>
    <row r="3010">
      <c r="D3010" s="185"/>
      <c r="E3010" s="185" t="s">
        <v>470</v>
      </c>
      <c r="H3010" s="185"/>
    </row>
    <row r="3011">
      <c r="D3011" s="185"/>
      <c r="E3011" s="185" t="s">
        <v>470</v>
      </c>
      <c r="H3011" s="185"/>
    </row>
    <row r="3012">
      <c r="D3012" s="185"/>
      <c r="E3012" s="185" t="s">
        <v>470</v>
      </c>
      <c r="H3012" s="185"/>
    </row>
    <row r="3013">
      <c r="D3013" s="185"/>
      <c r="E3013" s="185" t="s">
        <v>470</v>
      </c>
      <c r="H3013" s="185"/>
    </row>
    <row r="3014">
      <c r="D3014" s="185"/>
      <c r="E3014" s="185" t="s">
        <v>470</v>
      </c>
      <c r="H3014" s="185"/>
    </row>
    <row r="3015">
      <c r="D3015" s="185"/>
      <c r="E3015" s="185" t="s">
        <v>470</v>
      </c>
      <c r="H3015" s="185"/>
    </row>
    <row r="3016">
      <c r="D3016" s="185"/>
      <c r="E3016" s="185" t="s">
        <v>470</v>
      </c>
      <c r="H3016" s="185"/>
    </row>
    <row r="3017">
      <c r="D3017" s="185"/>
      <c r="E3017" s="185" t="s">
        <v>470</v>
      </c>
      <c r="H3017" s="185"/>
    </row>
    <row r="3018">
      <c r="D3018" s="185"/>
      <c r="E3018" s="185" t="s">
        <v>470</v>
      </c>
      <c r="H3018" s="185"/>
    </row>
    <row r="3019">
      <c r="D3019" s="185"/>
      <c r="E3019" s="185" t="s">
        <v>470</v>
      </c>
      <c r="H3019" s="185"/>
    </row>
    <row r="3020">
      <c r="D3020" s="185"/>
      <c r="E3020" s="185" t="s">
        <v>470</v>
      </c>
      <c r="H3020" s="185"/>
    </row>
    <row r="3021">
      <c r="D3021" s="185"/>
      <c r="E3021" s="185" t="s">
        <v>470</v>
      </c>
      <c r="H3021" s="185"/>
    </row>
    <row r="3022">
      <c r="D3022" s="185"/>
      <c r="E3022" s="185" t="s">
        <v>470</v>
      </c>
      <c r="H3022" s="185"/>
    </row>
    <row r="3023">
      <c r="D3023" s="185"/>
      <c r="E3023" s="185" t="s">
        <v>470</v>
      </c>
      <c r="H3023" s="185"/>
    </row>
    <row r="3024">
      <c r="D3024" s="185"/>
      <c r="E3024" s="185" t="s">
        <v>470</v>
      </c>
      <c r="H3024" s="185"/>
    </row>
    <row r="3025">
      <c r="D3025" s="185"/>
      <c r="E3025" s="185" t="s">
        <v>470</v>
      </c>
      <c r="H3025" s="185"/>
    </row>
    <row r="3026">
      <c r="D3026" s="185"/>
      <c r="E3026" s="185" t="s">
        <v>470</v>
      </c>
      <c r="H3026" s="185"/>
    </row>
    <row r="3027">
      <c r="D3027" s="185"/>
      <c r="E3027" s="185" t="s">
        <v>470</v>
      </c>
      <c r="H3027" s="185"/>
    </row>
    <row r="3028">
      <c r="D3028" s="185"/>
      <c r="E3028" s="185" t="s">
        <v>470</v>
      </c>
      <c r="H3028" s="185"/>
    </row>
    <row r="3029">
      <c r="D3029" s="185"/>
      <c r="E3029" s="185" t="s">
        <v>470</v>
      </c>
      <c r="H3029" s="185"/>
    </row>
    <row r="3030">
      <c r="D3030" s="185"/>
      <c r="E3030" s="185" t="s">
        <v>470</v>
      </c>
      <c r="H3030" s="185"/>
    </row>
    <row r="3031">
      <c r="D3031" s="185"/>
      <c r="E3031" s="185" t="s">
        <v>470</v>
      </c>
      <c r="H3031" s="185"/>
    </row>
    <row r="3032">
      <c r="D3032" s="185"/>
      <c r="E3032" s="185" t="s">
        <v>470</v>
      </c>
      <c r="H3032" s="185"/>
    </row>
    <row r="3033">
      <c r="D3033" s="185"/>
      <c r="E3033" s="185" t="s">
        <v>470</v>
      </c>
      <c r="H3033" s="185"/>
    </row>
    <row r="3034">
      <c r="D3034" s="185"/>
      <c r="E3034" s="185" t="s">
        <v>470</v>
      </c>
      <c r="H3034" s="185"/>
    </row>
    <row r="3035">
      <c r="D3035" s="185"/>
      <c r="E3035" s="185" t="s">
        <v>470</v>
      </c>
      <c r="H3035" s="185"/>
    </row>
    <row r="3036">
      <c r="D3036" s="185"/>
      <c r="E3036" s="185" t="s">
        <v>470</v>
      </c>
      <c r="H3036" s="185"/>
    </row>
    <row r="3037">
      <c r="D3037" s="185"/>
      <c r="E3037" s="185" t="s">
        <v>470</v>
      </c>
      <c r="H3037" s="185"/>
    </row>
    <row r="3038">
      <c r="D3038" s="185"/>
      <c r="E3038" s="185" t="s">
        <v>470</v>
      </c>
      <c r="H3038" s="185"/>
    </row>
    <row r="3039">
      <c r="D3039" s="185"/>
      <c r="E3039" s="185" t="s">
        <v>470</v>
      </c>
      <c r="H3039" s="185"/>
    </row>
    <row r="3040">
      <c r="D3040" s="185"/>
      <c r="E3040" s="185" t="s">
        <v>470</v>
      </c>
      <c r="H3040" s="185"/>
    </row>
    <row r="3041">
      <c r="D3041" s="185"/>
      <c r="E3041" s="185" t="s">
        <v>470</v>
      </c>
      <c r="H3041" s="185"/>
    </row>
    <row r="3042">
      <c r="D3042" s="185"/>
      <c r="E3042" s="185" t="s">
        <v>470</v>
      </c>
      <c r="H3042" s="185"/>
    </row>
    <row r="3043">
      <c r="D3043" s="185"/>
      <c r="E3043" s="185" t="s">
        <v>470</v>
      </c>
      <c r="H3043" s="185"/>
    </row>
    <row r="3044">
      <c r="D3044" s="185"/>
      <c r="E3044" s="185" t="s">
        <v>470</v>
      </c>
      <c r="H3044" s="185"/>
    </row>
    <row r="3045">
      <c r="D3045" s="185"/>
      <c r="E3045" s="185" t="s">
        <v>470</v>
      </c>
      <c r="H3045" s="185"/>
    </row>
    <row r="3046">
      <c r="D3046" s="185"/>
      <c r="E3046" s="185" t="s">
        <v>470</v>
      </c>
      <c r="H3046" s="185"/>
    </row>
    <row r="3047">
      <c r="D3047" s="185"/>
      <c r="E3047" s="185" t="s">
        <v>470</v>
      </c>
      <c r="H3047" s="185"/>
    </row>
    <row r="3048">
      <c r="D3048" s="185"/>
      <c r="E3048" s="185" t="s">
        <v>470</v>
      </c>
      <c r="H3048" s="185"/>
    </row>
    <row r="3049">
      <c r="D3049" s="185"/>
      <c r="E3049" s="185" t="s">
        <v>470</v>
      </c>
      <c r="H3049" s="185"/>
    </row>
    <row r="3050">
      <c r="D3050" s="185"/>
      <c r="E3050" s="185" t="s">
        <v>470</v>
      </c>
      <c r="H3050" s="185"/>
    </row>
    <row r="3051">
      <c r="D3051" s="185"/>
      <c r="E3051" s="185" t="s">
        <v>470</v>
      </c>
      <c r="H3051" s="185"/>
    </row>
    <row r="3052">
      <c r="D3052" s="185"/>
      <c r="E3052" s="185" t="s">
        <v>470</v>
      </c>
      <c r="H3052" s="185"/>
    </row>
    <row r="3053">
      <c r="D3053" s="185"/>
      <c r="E3053" s="185" t="s">
        <v>470</v>
      </c>
      <c r="H3053" s="185"/>
    </row>
    <row r="3054">
      <c r="D3054" s="185"/>
      <c r="E3054" s="185" t="s">
        <v>470</v>
      </c>
      <c r="H3054" s="185"/>
    </row>
    <row r="3055">
      <c r="D3055" s="185"/>
      <c r="E3055" s="185" t="s">
        <v>470</v>
      </c>
      <c r="H3055" s="185"/>
    </row>
    <row r="3056">
      <c r="D3056" s="185"/>
      <c r="E3056" s="185" t="s">
        <v>470</v>
      </c>
      <c r="H3056" s="185"/>
    </row>
    <row r="3057">
      <c r="D3057" s="185"/>
      <c r="E3057" s="185" t="s">
        <v>470</v>
      </c>
      <c r="H3057" s="185"/>
    </row>
    <row r="3058">
      <c r="D3058" s="185"/>
      <c r="E3058" s="185" t="s">
        <v>470</v>
      </c>
      <c r="H3058" s="185"/>
    </row>
    <row r="3059">
      <c r="D3059" s="185"/>
      <c r="E3059" s="185" t="s">
        <v>470</v>
      </c>
      <c r="H3059" s="185"/>
    </row>
    <row r="3060">
      <c r="D3060" s="185"/>
      <c r="E3060" s="185" t="s">
        <v>470</v>
      </c>
      <c r="H3060" s="185"/>
    </row>
    <row r="3061">
      <c r="D3061" s="185"/>
      <c r="E3061" s="185" t="s">
        <v>470</v>
      </c>
      <c r="H3061" s="185"/>
    </row>
    <row r="3062">
      <c r="D3062" s="185"/>
      <c r="E3062" s="185" t="s">
        <v>470</v>
      </c>
      <c r="H3062" s="185"/>
    </row>
    <row r="3063">
      <c r="D3063" s="185"/>
      <c r="E3063" s="185" t="s">
        <v>470</v>
      </c>
      <c r="H3063" s="185"/>
    </row>
    <row r="3064">
      <c r="D3064" s="185"/>
      <c r="E3064" s="185" t="s">
        <v>470</v>
      </c>
      <c r="H3064" s="185"/>
    </row>
    <row r="3065">
      <c r="D3065" s="185"/>
      <c r="E3065" s="185" t="s">
        <v>470</v>
      </c>
      <c r="H3065" s="185"/>
    </row>
    <row r="3066">
      <c r="D3066" s="185"/>
      <c r="E3066" s="185" t="s">
        <v>470</v>
      </c>
      <c r="H3066" s="185"/>
    </row>
    <row r="3067">
      <c r="D3067" s="185"/>
      <c r="E3067" s="185" t="s">
        <v>470</v>
      </c>
      <c r="H3067" s="185"/>
    </row>
    <row r="3068">
      <c r="D3068" s="185"/>
      <c r="E3068" s="185" t="s">
        <v>470</v>
      </c>
      <c r="H3068" s="185"/>
    </row>
    <row r="3069">
      <c r="D3069" s="185"/>
      <c r="E3069" s="185" t="s">
        <v>470</v>
      </c>
      <c r="H3069" s="185"/>
    </row>
    <row r="3070">
      <c r="D3070" s="185"/>
      <c r="E3070" s="185" t="s">
        <v>470</v>
      </c>
      <c r="H3070" s="185"/>
    </row>
    <row r="3071">
      <c r="D3071" s="185"/>
      <c r="E3071" s="185" t="s">
        <v>470</v>
      </c>
      <c r="H3071" s="185"/>
    </row>
    <row r="3072">
      <c r="D3072" s="185"/>
      <c r="E3072" s="185" t="s">
        <v>470</v>
      </c>
      <c r="H3072" s="185"/>
    </row>
    <row r="3073">
      <c r="D3073" s="185"/>
      <c r="E3073" s="185" t="s">
        <v>470</v>
      </c>
      <c r="H3073" s="185"/>
    </row>
    <row r="3074">
      <c r="D3074" s="185"/>
      <c r="E3074" s="185" t="s">
        <v>470</v>
      </c>
      <c r="H3074" s="185"/>
    </row>
    <row r="3075">
      <c r="D3075" s="185"/>
      <c r="E3075" s="185" t="s">
        <v>470</v>
      </c>
      <c r="H3075" s="185"/>
    </row>
    <row r="3076">
      <c r="D3076" s="185"/>
      <c r="E3076" s="185" t="s">
        <v>470</v>
      </c>
      <c r="H3076" s="185"/>
    </row>
    <row r="3077">
      <c r="D3077" s="185"/>
      <c r="E3077" s="185" t="s">
        <v>470</v>
      </c>
      <c r="H3077" s="185"/>
    </row>
    <row r="3078">
      <c r="D3078" s="185"/>
      <c r="E3078" s="185" t="s">
        <v>470</v>
      </c>
      <c r="H3078" s="185"/>
    </row>
    <row r="3079">
      <c r="D3079" s="185"/>
      <c r="E3079" s="185" t="s">
        <v>470</v>
      </c>
      <c r="H3079" s="185"/>
    </row>
    <row r="3080">
      <c r="D3080" s="185"/>
      <c r="E3080" s="185" t="s">
        <v>470</v>
      </c>
      <c r="H3080" s="185"/>
    </row>
    <row r="3081">
      <c r="D3081" s="185"/>
      <c r="E3081" s="185" t="s">
        <v>470</v>
      </c>
      <c r="H3081" s="185"/>
    </row>
    <row r="3082">
      <c r="D3082" s="185"/>
      <c r="E3082" s="185" t="s">
        <v>470</v>
      </c>
      <c r="H3082" s="185"/>
    </row>
    <row r="3083">
      <c r="D3083" s="185"/>
      <c r="E3083" s="185" t="s">
        <v>470</v>
      </c>
      <c r="H3083" s="185"/>
    </row>
    <row r="3084">
      <c r="D3084" s="185"/>
      <c r="E3084" s="185" t="s">
        <v>470</v>
      </c>
      <c r="H3084" s="185"/>
    </row>
    <row r="3085">
      <c r="D3085" s="185"/>
      <c r="E3085" s="185" t="s">
        <v>470</v>
      </c>
      <c r="H3085" s="185"/>
    </row>
    <row r="3086">
      <c r="D3086" s="185"/>
      <c r="E3086" s="185" t="s">
        <v>470</v>
      </c>
      <c r="H3086" s="185"/>
    </row>
    <row r="3087">
      <c r="D3087" s="185"/>
      <c r="E3087" s="185" t="s">
        <v>470</v>
      </c>
      <c r="H3087" s="185"/>
    </row>
    <row r="3088">
      <c r="D3088" s="185"/>
      <c r="E3088" s="185" t="s">
        <v>470</v>
      </c>
      <c r="H3088" s="185"/>
    </row>
    <row r="3089">
      <c r="D3089" s="185"/>
      <c r="E3089" s="185" t="s">
        <v>470</v>
      </c>
      <c r="H3089" s="185"/>
    </row>
    <row r="3090">
      <c r="D3090" s="185"/>
      <c r="E3090" s="185" t="s">
        <v>470</v>
      </c>
      <c r="H3090" s="185"/>
    </row>
    <row r="3091">
      <c r="D3091" s="185"/>
      <c r="E3091" s="185" t="s">
        <v>470</v>
      </c>
      <c r="H3091" s="185"/>
    </row>
    <row r="3092">
      <c r="D3092" s="185"/>
      <c r="E3092" s="185" t="s">
        <v>470</v>
      </c>
      <c r="H3092" s="185"/>
    </row>
    <row r="3093">
      <c r="D3093" s="185"/>
      <c r="E3093" s="185" t="s">
        <v>470</v>
      </c>
      <c r="H3093" s="185"/>
    </row>
    <row r="3094">
      <c r="D3094" s="185"/>
      <c r="E3094" s="185" t="s">
        <v>470</v>
      </c>
      <c r="H3094" s="185"/>
    </row>
    <row r="3095">
      <c r="D3095" s="185"/>
      <c r="E3095" s="185" t="s">
        <v>470</v>
      </c>
      <c r="H3095" s="185"/>
    </row>
    <row r="3096">
      <c r="D3096" s="185"/>
      <c r="E3096" s="185" t="s">
        <v>470</v>
      </c>
      <c r="H3096" s="185"/>
    </row>
    <row r="3097">
      <c r="D3097" s="185"/>
      <c r="E3097" s="185" t="s">
        <v>470</v>
      </c>
      <c r="H3097" s="185"/>
    </row>
    <row r="3098">
      <c r="D3098" s="185"/>
      <c r="E3098" s="185" t="s">
        <v>470</v>
      </c>
      <c r="H3098" s="185"/>
    </row>
    <row r="3099">
      <c r="D3099" s="185"/>
      <c r="E3099" s="185" t="s">
        <v>470</v>
      </c>
      <c r="H3099" s="185"/>
    </row>
    <row r="3100">
      <c r="D3100" s="185"/>
      <c r="E3100" s="185" t="s">
        <v>470</v>
      </c>
      <c r="H3100" s="185"/>
    </row>
    <row r="3101">
      <c r="D3101" s="185"/>
      <c r="E3101" s="185" t="s">
        <v>470</v>
      </c>
      <c r="H3101" s="185"/>
    </row>
    <row r="3102">
      <c r="D3102" s="185"/>
      <c r="E3102" s="185" t="s">
        <v>470</v>
      </c>
      <c r="H3102" s="185"/>
    </row>
    <row r="3103">
      <c r="D3103" s="185"/>
      <c r="E3103" s="185" t="s">
        <v>470</v>
      </c>
      <c r="H3103" s="185"/>
    </row>
    <row r="3104">
      <c r="D3104" s="185"/>
      <c r="E3104" s="185" t="s">
        <v>470</v>
      </c>
      <c r="H3104" s="185"/>
    </row>
    <row r="3105">
      <c r="D3105" s="185"/>
      <c r="E3105" s="185" t="s">
        <v>470</v>
      </c>
      <c r="H3105" s="185"/>
    </row>
    <row r="3106">
      <c r="D3106" s="185"/>
      <c r="E3106" s="185" t="s">
        <v>470</v>
      </c>
      <c r="H3106" s="185"/>
    </row>
    <row r="3107">
      <c r="D3107" s="185"/>
      <c r="E3107" s="185" t="s">
        <v>470</v>
      </c>
      <c r="H3107" s="185"/>
    </row>
    <row r="3108">
      <c r="D3108" s="185"/>
      <c r="E3108" s="185" t="s">
        <v>470</v>
      </c>
      <c r="H3108" s="185"/>
    </row>
    <row r="3109">
      <c r="D3109" s="185"/>
      <c r="E3109" s="185" t="s">
        <v>470</v>
      </c>
      <c r="H3109" s="185"/>
    </row>
    <row r="3110">
      <c r="D3110" s="185"/>
      <c r="E3110" s="185" t="s">
        <v>470</v>
      </c>
      <c r="H3110" s="185"/>
    </row>
    <row r="3111">
      <c r="D3111" s="185"/>
      <c r="E3111" s="185" t="s">
        <v>470</v>
      </c>
      <c r="H3111" s="185"/>
    </row>
    <row r="3112">
      <c r="D3112" s="185"/>
      <c r="E3112" s="185" t="s">
        <v>470</v>
      </c>
      <c r="H3112" s="185"/>
    </row>
    <row r="3113">
      <c r="D3113" s="185"/>
      <c r="E3113" s="185" t="s">
        <v>470</v>
      </c>
      <c r="H3113" s="185"/>
    </row>
    <row r="3114">
      <c r="D3114" s="185"/>
      <c r="E3114" s="185" t="s">
        <v>470</v>
      </c>
      <c r="H3114" s="185"/>
    </row>
    <row r="3115">
      <c r="D3115" s="185"/>
      <c r="E3115" s="185" t="s">
        <v>470</v>
      </c>
      <c r="H3115" s="185"/>
    </row>
    <row r="3116">
      <c r="D3116" s="185"/>
      <c r="E3116" s="185" t="s">
        <v>470</v>
      </c>
      <c r="H3116" s="185"/>
    </row>
    <row r="3117">
      <c r="D3117" s="185"/>
      <c r="E3117" s="185" t="s">
        <v>470</v>
      </c>
      <c r="H3117" s="185"/>
    </row>
    <row r="3118">
      <c r="D3118" s="185"/>
      <c r="E3118" s="185" t="s">
        <v>470</v>
      </c>
      <c r="H3118" s="185"/>
    </row>
    <row r="3119">
      <c r="D3119" s="185"/>
      <c r="E3119" s="185" t="s">
        <v>470</v>
      </c>
      <c r="H3119" s="185"/>
    </row>
    <row r="3120">
      <c r="D3120" s="185"/>
      <c r="E3120" s="185" t="s">
        <v>470</v>
      </c>
      <c r="H3120" s="185"/>
    </row>
    <row r="3121">
      <c r="D3121" s="185"/>
      <c r="E3121" s="185" t="s">
        <v>470</v>
      </c>
      <c r="H3121" s="185"/>
    </row>
    <row r="3122">
      <c r="D3122" s="185"/>
      <c r="E3122" s="185" t="s">
        <v>470</v>
      </c>
      <c r="H3122" s="185"/>
    </row>
    <row r="3123">
      <c r="D3123" s="185"/>
      <c r="E3123" s="185" t="s">
        <v>470</v>
      </c>
      <c r="H3123" s="185"/>
    </row>
    <row r="3124">
      <c r="D3124" s="185"/>
      <c r="E3124" s="185" t="s">
        <v>470</v>
      </c>
      <c r="H3124" s="185"/>
    </row>
    <row r="3125">
      <c r="D3125" s="185"/>
      <c r="E3125" s="185" t="s">
        <v>470</v>
      </c>
      <c r="H3125" s="185"/>
    </row>
    <row r="3126">
      <c r="D3126" s="185"/>
      <c r="E3126" s="185" t="s">
        <v>470</v>
      </c>
      <c r="H3126" s="185"/>
    </row>
    <row r="3127">
      <c r="D3127" s="185"/>
      <c r="E3127" s="185" t="s">
        <v>470</v>
      </c>
      <c r="H3127" s="185"/>
    </row>
    <row r="3128">
      <c r="D3128" s="185"/>
      <c r="E3128" s="185" t="s">
        <v>470</v>
      </c>
      <c r="H3128" s="185"/>
    </row>
    <row r="3129">
      <c r="D3129" s="185"/>
      <c r="E3129" s="185" t="s">
        <v>470</v>
      </c>
      <c r="H3129" s="185"/>
    </row>
    <row r="3130">
      <c r="D3130" s="185"/>
      <c r="E3130" s="185" t="s">
        <v>470</v>
      </c>
      <c r="H3130" s="185"/>
    </row>
    <row r="3131">
      <c r="D3131" s="185"/>
      <c r="E3131" s="185" t="s">
        <v>470</v>
      </c>
      <c r="H3131" s="185"/>
    </row>
    <row r="3132">
      <c r="D3132" s="185"/>
      <c r="E3132" s="185" t="s">
        <v>470</v>
      </c>
      <c r="H3132" s="185"/>
    </row>
    <row r="3133">
      <c r="D3133" s="185"/>
      <c r="E3133" s="185" t="s">
        <v>470</v>
      </c>
      <c r="H3133" s="185"/>
    </row>
    <row r="3134">
      <c r="D3134" s="185"/>
      <c r="E3134" s="185" t="s">
        <v>470</v>
      </c>
      <c r="H3134" s="185"/>
    </row>
    <row r="3135">
      <c r="D3135" s="185"/>
      <c r="E3135" s="185" t="s">
        <v>470</v>
      </c>
      <c r="H3135" s="185"/>
    </row>
    <row r="3136">
      <c r="D3136" s="185"/>
      <c r="E3136" s="185" t="s">
        <v>470</v>
      </c>
      <c r="H3136" s="185"/>
    </row>
    <row r="3137">
      <c r="D3137" s="185"/>
      <c r="E3137" s="185" t="s">
        <v>470</v>
      </c>
      <c r="H3137" s="185"/>
    </row>
    <row r="3138">
      <c r="D3138" s="185"/>
      <c r="E3138" s="185" t="s">
        <v>470</v>
      </c>
      <c r="H3138" s="185"/>
    </row>
    <row r="3139">
      <c r="D3139" s="185"/>
      <c r="E3139" s="185" t="s">
        <v>470</v>
      </c>
      <c r="H3139" s="185"/>
    </row>
    <row r="3140">
      <c r="D3140" s="185"/>
      <c r="E3140" s="185" t="s">
        <v>470</v>
      </c>
      <c r="H3140" s="185"/>
    </row>
    <row r="3141">
      <c r="D3141" s="185"/>
      <c r="E3141" s="185" t="s">
        <v>470</v>
      </c>
      <c r="H3141" s="185"/>
    </row>
    <row r="3142">
      <c r="D3142" s="185"/>
      <c r="E3142" s="185" t="s">
        <v>470</v>
      </c>
      <c r="H3142" s="185"/>
    </row>
    <row r="3143">
      <c r="D3143" s="185"/>
      <c r="E3143" s="185" t="s">
        <v>470</v>
      </c>
      <c r="H3143" s="185"/>
    </row>
    <row r="3144">
      <c r="D3144" s="185"/>
      <c r="E3144" s="185" t="s">
        <v>470</v>
      </c>
      <c r="H3144" s="185"/>
    </row>
    <row r="3145">
      <c r="D3145" s="185"/>
      <c r="E3145" s="185" t="s">
        <v>470</v>
      </c>
      <c r="H3145" s="185"/>
    </row>
    <row r="3146">
      <c r="D3146" s="185"/>
      <c r="E3146" s="185" t="s">
        <v>470</v>
      </c>
      <c r="H3146" s="185"/>
    </row>
    <row r="3147">
      <c r="D3147" s="185"/>
      <c r="E3147" s="185" t="s">
        <v>470</v>
      </c>
      <c r="H3147" s="185"/>
    </row>
    <row r="3148">
      <c r="D3148" s="185"/>
      <c r="E3148" s="185" t="s">
        <v>470</v>
      </c>
      <c r="H3148" s="185"/>
    </row>
    <row r="3149">
      <c r="D3149" s="185"/>
      <c r="E3149" s="185" t="s">
        <v>470</v>
      </c>
      <c r="H3149" s="185"/>
    </row>
    <row r="3150">
      <c r="D3150" s="185"/>
      <c r="E3150" s="185" t="s">
        <v>470</v>
      </c>
      <c r="H3150" s="185"/>
    </row>
    <row r="3151">
      <c r="D3151" s="185"/>
      <c r="E3151" s="185" t="s">
        <v>470</v>
      </c>
      <c r="H3151" s="185"/>
    </row>
    <row r="3152">
      <c r="D3152" s="185"/>
      <c r="E3152" s="185" t="s">
        <v>470</v>
      </c>
      <c r="H3152" s="185"/>
    </row>
    <row r="3153">
      <c r="D3153" s="185"/>
      <c r="E3153" s="185" t="s">
        <v>470</v>
      </c>
      <c r="H3153" s="185"/>
    </row>
    <row r="3154">
      <c r="D3154" s="185"/>
      <c r="E3154" s="185" t="s">
        <v>470</v>
      </c>
      <c r="H3154" s="185"/>
    </row>
    <row r="3155">
      <c r="D3155" s="185"/>
      <c r="E3155" s="185" t="s">
        <v>470</v>
      </c>
      <c r="H3155" s="185"/>
    </row>
    <row r="3156">
      <c r="D3156" s="185"/>
      <c r="E3156" s="185" t="s">
        <v>470</v>
      </c>
      <c r="H3156" s="185"/>
    </row>
    <row r="3157">
      <c r="D3157" s="185"/>
      <c r="E3157" s="185" t="s">
        <v>470</v>
      </c>
      <c r="H3157" s="185"/>
    </row>
    <row r="3158">
      <c r="D3158" s="185"/>
      <c r="E3158" s="185" t="s">
        <v>470</v>
      </c>
      <c r="H3158" s="185"/>
    </row>
    <row r="3159">
      <c r="D3159" s="185"/>
      <c r="E3159" s="185" t="s">
        <v>470</v>
      </c>
      <c r="H3159" s="185"/>
    </row>
    <row r="3160">
      <c r="D3160" s="185"/>
      <c r="E3160" s="185" t="s">
        <v>470</v>
      </c>
      <c r="H3160" s="185"/>
    </row>
    <row r="3161">
      <c r="D3161" s="185"/>
      <c r="E3161" s="185" t="s">
        <v>470</v>
      </c>
      <c r="H3161" s="185"/>
    </row>
    <row r="3162">
      <c r="D3162" s="185"/>
      <c r="E3162" s="185" t="s">
        <v>470</v>
      </c>
      <c r="H3162" s="185"/>
    </row>
    <row r="3163">
      <c r="D3163" s="185"/>
      <c r="E3163" s="185" t="s">
        <v>470</v>
      </c>
      <c r="H3163" s="185"/>
    </row>
    <row r="3164">
      <c r="D3164" s="185"/>
      <c r="E3164" s="185" t="s">
        <v>470</v>
      </c>
      <c r="H3164" s="185"/>
    </row>
    <row r="3165">
      <c r="D3165" s="185"/>
      <c r="E3165" s="185" t="s">
        <v>470</v>
      </c>
      <c r="H3165" s="185"/>
    </row>
    <row r="3166">
      <c r="D3166" s="185"/>
      <c r="E3166" s="185" t="s">
        <v>470</v>
      </c>
      <c r="H3166" s="185"/>
    </row>
    <row r="3167">
      <c r="D3167" s="185"/>
      <c r="E3167" s="185" t="s">
        <v>470</v>
      </c>
      <c r="H3167" s="185"/>
    </row>
    <row r="3168">
      <c r="D3168" s="185"/>
      <c r="E3168" s="185" t="s">
        <v>470</v>
      </c>
      <c r="H3168" s="185"/>
    </row>
    <row r="3169">
      <c r="D3169" s="185"/>
      <c r="E3169" s="185" t="s">
        <v>470</v>
      </c>
      <c r="H3169" s="185"/>
    </row>
    <row r="3170">
      <c r="D3170" s="185"/>
      <c r="E3170" s="185" t="s">
        <v>470</v>
      </c>
      <c r="H3170" s="185"/>
    </row>
    <row r="3171">
      <c r="D3171" s="185"/>
      <c r="E3171" s="185" t="s">
        <v>470</v>
      </c>
      <c r="H3171" s="185"/>
    </row>
    <row r="3172">
      <c r="D3172" s="185"/>
      <c r="E3172" s="185" t="s">
        <v>470</v>
      </c>
      <c r="H3172" s="185"/>
    </row>
    <row r="3173">
      <c r="D3173" s="185"/>
      <c r="E3173" s="185" t="s">
        <v>470</v>
      </c>
      <c r="H3173" s="185"/>
    </row>
    <row r="3174">
      <c r="D3174" s="185"/>
      <c r="E3174" s="185" t="s">
        <v>470</v>
      </c>
      <c r="H3174" s="185"/>
    </row>
    <row r="3175">
      <c r="D3175" s="185"/>
      <c r="E3175" s="185" t="s">
        <v>470</v>
      </c>
      <c r="H3175" s="185"/>
    </row>
    <row r="3176">
      <c r="D3176" s="185"/>
      <c r="E3176" s="185" t="s">
        <v>470</v>
      </c>
      <c r="H3176" s="185"/>
    </row>
    <row r="3177">
      <c r="D3177" s="185"/>
      <c r="E3177" s="185" t="s">
        <v>470</v>
      </c>
      <c r="H3177" s="185"/>
    </row>
    <row r="3178">
      <c r="D3178" s="185"/>
      <c r="E3178" s="185" t="s">
        <v>470</v>
      </c>
      <c r="H3178" s="185"/>
    </row>
    <row r="3179">
      <c r="D3179" s="185"/>
      <c r="E3179" s="185" t="s">
        <v>470</v>
      </c>
      <c r="H3179" s="185"/>
    </row>
    <row r="3180">
      <c r="D3180" s="185"/>
      <c r="E3180" s="185" t="s">
        <v>470</v>
      </c>
      <c r="H3180" s="185"/>
    </row>
    <row r="3181">
      <c r="D3181" s="185"/>
      <c r="E3181" s="185" t="s">
        <v>470</v>
      </c>
      <c r="H3181" s="185"/>
    </row>
    <row r="3182">
      <c r="D3182" s="185"/>
      <c r="E3182" s="185" t="s">
        <v>470</v>
      </c>
      <c r="H3182" s="185"/>
    </row>
    <row r="3183">
      <c r="D3183" s="185"/>
      <c r="E3183" s="185" t="s">
        <v>470</v>
      </c>
      <c r="H3183" s="185"/>
    </row>
    <row r="3184">
      <c r="D3184" s="185"/>
      <c r="E3184" s="185" t="s">
        <v>470</v>
      </c>
      <c r="H3184" s="185"/>
    </row>
    <row r="3185">
      <c r="D3185" s="185"/>
      <c r="E3185" s="185" t="s">
        <v>470</v>
      </c>
      <c r="H3185" s="185"/>
    </row>
    <row r="3186">
      <c r="D3186" s="185"/>
      <c r="E3186" s="185" t="s">
        <v>470</v>
      </c>
      <c r="H3186" s="185"/>
    </row>
    <row r="3187">
      <c r="D3187" s="185"/>
      <c r="E3187" s="185" t="s">
        <v>470</v>
      </c>
      <c r="H3187" s="185"/>
    </row>
    <row r="3188">
      <c r="D3188" s="185"/>
      <c r="E3188" s="185" t="s">
        <v>470</v>
      </c>
      <c r="H3188" s="185"/>
    </row>
    <row r="3189">
      <c r="D3189" s="185"/>
      <c r="E3189" s="185" t="s">
        <v>470</v>
      </c>
      <c r="H3189" s="185"/>
    </row>
    <row r="3190">
      <c r="D3190" s="185"/>
      <c r="E3190" s="185" t="s">
        <v>470</v>
      </c>
      <c r="H3190" s="185"/>
    </row>
    <row r="3191">
      <c r="D3191" s="185"/>
      <c r="E3191" s="185" t="s">
        <v>470</v>
      </c>
      <c r="H3191" s="185"/>
    </row>
    <row r="3192">
      <c r="D3192" s="185"/>
      <c r="E3192" s="185" t="s">
        <v>470</v>
      </c>
      <c r="H3192" s="185"/>
    </row>
    <row r="3193">
      <c r="D3193" s="185"/>
      <c r="E3193" s="185" t="s">
        <v>470</v>
      </c>
      <c r="H3193" s="185"/>
    </row>
    <row r="3194">
      <c r="D3194" s="185"/>
      <c r="E3194" s="185" t="s">
        <v>470</v>
      </c>
      <c r="H3194" s="185"/>
    </row>
    <row r="3195">
      <c r="D3195" s="185"/>
      <c r="E3195" s="185" t="s">
        <v>470</v>
      </c>
      <c r="H3195" s="185"/>
    </row>
    <row r="3196">
      <c r="D3196" s="185"/>
      <c r="E3196" s="185" t="s">
        <v>470</v>
      </c>
      <c r="H3196" s="185"/>
    </row>
    <row r="3197">
      <c r="D3197" s="185"/>
      <c r="E3197" s="185" t="s">
        <v>470</v>
      </c>
      <c r="H3197" s="185"/>
    </row>
    <row r="3198">
      <c r="D3198" s="185"/>
      <c r="E3198" s="185" t="s">
        <v>470</v>
      </c>
      <c r="H3198" s="185"/>
    </row>
    <row r="3199">
      <c r="D3199" s="185"/>
      <c r="E3199" s="185" t="s">
        <v>470</v>
      </c>
      <c r="H3199" s="185"/>
    </row>
    <row r="3200">
      <c r="D3200" s="185"/>
      <c r="E3200" s="185" t="s">
        <v>470</v>
      </c>
      <c r="H3200" s="185"/>
    </row>
    <row r="3201">
      <c r="D3201" s="185"/>
      <c r="E3201" s="185" t="s">
        <v>470</v>
      </c>
      <c r="H3201" s="185"/>
    </row>
    <row r="3202">
      <c r="D3202" s="185"/>
      <c r="E3202" s="185" t="s">
        <v>470</v>
      </c>
      <c r="H3202" s="185"/>
    </row>
    <row r="3203">
      <c r="D3203" s="185"/>
      <c r="E3203" s="185" t="s">
        <v>470</v>
      </c>
      <c r="H3203" s="185"/>
    </row>
    <row r="3204">
      <c r="D3204" s="185"/>
      <c r="E3204" s="185" t="s">
        <v>470</v>
      </c>
      <c r="H3204" s="185"/>
    </row>
    <row r="3205">
      <c r="D3205" s="185"/>
      <c r="E3205" s="185" t="s">
        <v>470</v>
      </c>
      <c r="H3205" s="185"/>
    </row>
    <row r="3206">
      <c r="D3206" s="185"/>
      <c r="E3206" s="185" t="s">
        <v>470</v>
      </c>
      <c r="H3206" s="185"/>
    </row>
    <row r="3207">
      <c r="D3207" s="185"/>
      <c r="E3207" s="185" t="s">
        <v>470</v>
      </c>
      <c r="H3207" s="185"/>
    </row>
    <row r="3208">
      <c r="D3208" s="185"/>
      <c r="E3208" s="185" t="s">
        <v>470</v>
      </c>
      <c r="H3208" s="185"/>
    </row>
    <row r="3209">
      <c r="D3209" s="185"/>
      <c r="E3209" s="185" t="s">
        <v>470</v>
      </c>
      <c r="H3209" s="185"/>
    </row>
    <row r="3210">
      <c r="D3210" s="185"/>
      <c r="E3210" s="185" t="s">
        <v>470</v>
      </c>
      <c r="H3210" s="185"/>
    </row>
    <row r="3211">
      <c r="D3211" s="185"/>
      <c r="E3211" s="185" t="s">
        <v>470</v>
      </c>
      <c r="H3211" s="185"/>
    </row>
    <row r="3212">
      <c r="D3212" s="185"/>
      <c r="E3212" s="185" t="s">
        <v>470</v>
      </c>
      <c r="H3212" s="185"/>
    </row>
    <row r="3213">
      <c r="D3213" s="185"/>
      <c r="E3213" s="185" t="s">
        <v>470</v>
      </c>
      <c r="H3213" s="185"/>
    </row>
    <row r="3214">
      <c r="D3214" s="185"/>
      <c r="E3214" s="185" t="s">
        <v>470</v>
      </c>
      <c r="H3214" s="185"/>
    </row>
    <row r="3215">
      <c r="D3215" s="185"/>
      <c r="E3215" s="185" t="s">
        <v>470</v>
      </c>
      <c r="H3215" s="185"/>
    </row>
    <row r="3216">
      <c r="D3216" s="185"/>
      <c r="E3216" s="185" t="s">
        <v>470</v>
      </c>
      <c r="H3216" s="185"/>
    </row>
    <row r="3217">
      <c r="D3217" s="185"/>
      <c r="E3217" s="185" t="s">
        <v>470</v>
      </c>
      <c r="H3217" s="185"/>
    </row>
    <row r="3218">
      <c r="D3218" s="185"/>
      <c r="E3218" s="185" t="s">
        <v>470</v>
      </c>
      <c r="H3218" s="185"/>
    </row>
    <row r="3219">
      <c r="D3219" s="185"/>
      <c r="E3219" s="185" t="s">
        <v>470</v>
      </c>
      <c r="H3219" s="185"/>
    </row>
    <row r="3220">
      <c r="D3220" s="185"/>
      <c r="E3220" s="185" t="s">
        <v>470</v>
      </c>
      <c r="H3220" s="185"/>
    </row>
    <row r="3221">
      <c r="D3221" s="185"/>
      <c r="E3221" s="185" t="s">
        <v>470</v>
      </c>
      <c r="H3221" s="185"/>
    </row>
    <row r="3222">
      <c r="D3222" s="185"/>
      <c r="E3222" s="185" t="s">
        <v>470</v>
      </c>
      <c r="H3222" s="185"/>
    </row>
    <row r="3223">
      <c r="D3223" s="185"/>
      <c r="E3223" s="185" t="s">
        <v>470</v>
      </c>
      <c r="H3223" s="185"/>
    </row>
    <row r="3224">
      <c r="D3224" s="185"/>
      <c r="E3224" s="185" t="s">
        <v>470</v>
      </c>
      <c r="H3224" s="185"/>
    </row>
    <row r="3225">
      <c r="D3225" s="185"/>
      <c r="E3225" s="185" t="s">
        <v>470</v>
      </c>
      <c r="H3225" s="185"/>
    </row>
    <row r="3226">
      <c r="D3226" s="185"/>
      <c r="E3226" s="185" t="s">
        <v>470</v>
      </c>
      <c r="H3226" s="185"/>
    </row>
    <row r="3227">
      <c r="D3227" s="185"/>
      <c r="E3227" s="185" t="s">
        <v>470</v>
      </c>
      <c r="H3227" s="185"/>
    </row>
    <row r="3228">
      <c r="D3228" s="185"/>
      <c r="E3228" s="185" t="s">
        <v>470</v>
      </c>
      <c r="H3228" s="185"/>
    </row>
    <row r="3229">
      <c r="D3229" s="185"/>
      <c r="E3229" s="185" t="s">
        <v>470</v>
      </c>
      <c r="H3229" s="185"/>
    </row>
    <row r="3230">
      <c r="D3230" s="185"/>
      <c r="E3230" s="185" t="s">
        <v>470</v>
      </c>
      <c r="H3230" s="185"/>
    </row>
    <row r="3231">
      <c r="D3231" s="185"/>
      <c r="E3231" s="185" t="s">
        <v>470</v>
      </c>
      <c r="H3231" s="185"/>
    </row>
    <row r="3232">
      <c r="D3232" s="185"/>
      <c r="E3232" s="185" t="s">
        <v>470</v>
      </c>
      <c r="H3232" s="185"/>
    </row>
    <row r="3233">
      <c r="D3233" s="185"/>
      <c r="E3233" s="185" t="s">
        <v>470</v>
      </c>
      <c r="H3233" s="185"/>
    </row>
    <row r="3234">
      <c r="D3234" s="185"/>
      <c r="E3234" s="185" t="s">
        <v>470</v>
      </c>
      <c r="H3234" s="185"/>
    </row>
    <row r="3235">
      <c r="D3235" s="185"/>
      <c r="E3235" s="185" t="s">
        <v>470</v>
      </c>
      <c r="H3235" s="185"/>
    </row>
    <row r="3236">
      <c r="D3236" s="185"/>
      <c r="E3236" s="185" t="s">
        <v>470</v>
      </c>
      <c r="H3236" s="185"/>
    </row>
    <row r="3237">
      <c r="D3237" s="185"/>
      <c r="E3237" s="185" t="s">
        <v>470</v>
      </c>
      <c r="H3237" s="185"/>
    </row>
    <row r="3238">
      <c r="D3238" s="185"/>
      <c r="E3238" s="185" t="s">
        <v>470</v>
      </c>
      <c r="H3238" s="185"/>
    </row>
    <row r="3239">
      <c r="D3239" s="185"/>
      <c r="E3239" s="185" t="s">
        <v>470</v>
      </c>
      <c r="H3239" s="185"/>
    </row>
    <row r="3240">
      <c r="D3240" s="185"/>
      <c r="E3240" s="185" t="s">
        <v>470</v>
      </c>
      <c r="H3240" s="185"/>
    </row>
    <row r="3241">
      <c r="D3241" s="185"/>
      <c r="E3241" s="185" t="s">
        <v>470</v>
      </c>
      <c r="H3241" s="185"/>
    </row>
    <row r="3242">
      <c r="D3242" s="185"/>
      <c r="E3242" s="185" t="s">
        <v>470</v>
      </c>
      <c r="H3242" s="185"/>
    </row>
    <row r="3243">
      <c r="D3243" s="185"/>
      <c r="E3243" s="185" t="s">
        <v>470</v>
      </c>
      <c r="H3243" s="185"/>
    </row>
    <row r="3244">
      <c r="D3244" s="185"/>
      <c r="E3244" s="185" t="s">
        <v>470</v>
      </c>
      <c r="H3244" s="185"/>
    </row>
    <row r="3245">
      <c r="D3245" s="185"/>
      <c r="E3245" s="185" t="s">
        <v>470</v>
      </c>
      <c r="H3245" s="185"/>
    </row>
    <row r="3246">
      <c r="D3246" s="185"/>
      <c r="E3246" s="185" t="s">
        <v>470</v>
      </c>
      <c r="H3246" s="185"/>
    </row>
    <row r="3247">
      <c r="D3247" s="185"/>
      <c r="E3247" s="185" t="s">
        <v>470</v>
      </c>
      <c r="H3247" s="185"/>
    </row>
    <row r="3248">
      <c r="D3248" s="185"/>
      <c r="E3248" s="185" t="s">
        <v>470</v>
      </c>
      <c r="H3248" s="185"/>
    </row>
    <row r="3249">
      <c r="D3249" s="185"/>
      <c r="E3249" s="185" t="s">
        <v>470</v>
      </c>
      <c r="H3249" s="185"/>
    </row>
    <row r="3250">
      <c r="D3250" s="185"/>
      <c r="E3250" s="185" t="s">
        <v>470</v>
      </c>
      <c r="H3250" s="185"/>
    </row>
    <row r="3251">
      <c r="D3251" s="185"/>
      <c r="E3251" s="185" t="s">
        <v>470</v>
      </c>
      <c r="H3251" s="185"/>
    </row>
    <row r="3252">
      <c r="D3252" s="185"/>
      <c r="E3252" s="185" t="s">
        <v>470</v>
      </c>
      <c r="H3252" s="185"/>
    </row>
    <row r="3253">
      <c r="D3253" s="185"/>
      <c r="E3253" s="185" t="s">
        <v>470</v>
      </c>
      <c r="H3253" s="185"/>
    </row>
    <row r="3254">
      <c r="D3254" s="185"/>
      <c r="E3254" s="185" t="s">
        <v>470</v>
      </c>
      <c r="H3254" s="185"/>
    </row>
    <row r="3255">
      <c r="D3255" s="185"/>
      <c r="E3255" s="185" t="s">
        <v>470</v>
      </c>
      <c r="H3255" s="185"/>
    </row>
    <row r="3256">
      <c r="D3256" s="185"/>
      <c r="E3256" s="185" t="s">
        <v>470</v>
      </c>
      <c r="H3256" s="185"/>
    </row>
    <row r="3257">
      <c r="D3257" s="185"/>
      <c r="E3257" s="185" t="s">
        <v>470</v>
      </c>
      <c r="H3257" s="185"/>
    </row>
    <row r="3258">
      <c r="D3258" s="185"/>
      <c r="E3258" s="185" t="s">
        <v>470</v>
      </c>
      <c r="H3258" s="185"/>
    </row>
    <row r="3259">
      <c r="D3259" s="185"/>
      <c r="E3259" s="185" t="s">
        <v>470</v>
      </c>
      <c r="H3259" s="185"/>
    </row>
    <row r="3260">
      <c r="D3260" s="185"/>
      <c r="E3260" s="185" t="s">
        <v>470</v>
      </c>
      <c r="H3260" s="185"/>
    </row>
    <row r="3261">
      <c r="D3261" s="185"/>
      <c r="E3261" s="185" t="s">
        <v>470</v>
      </c>
      <c r="H3261" s="185"/>
    </row>
    <row r="3262">
      <c r="D3262" s="185"/>
      <c r="E3262" s="185" t="s">
        <v>470</v>
      </c>
      <c r="H3262" s="185"/>
    </row>
    <row r="3263">
      <c r="D3263" s="185"/>
      <c r="E3263" s="185" t="s">
        <v>470</v>
      </c>
      <c r="H3263" s="185"/>
    </row>
    <row r="3264">
      <c r="D3264" s="185"/>
      <c r="E3264" s="185" t="s">
        <v>470</v>
      </c>
      <c r="H3264" s="185"/>
    </row>
    <row r="3265">
      <c r="D3265" s="185"/>
      <c r="E3265" s="185" t="s">
        <v>470</v>
      </c>
      <c r="H3265" s="185"/>
    </row>
    <row r="3266">
      <c r="D3266" s="185"/>
      <c r="E3266" s="185" t="s">
        <v>470</v>
      </c>
      <c r="H3266" s="185"/>
    </row>
    <row r="3267">
      <c r="D3267" s="185"/>
      <c r="E3267" s="185" t="s">
        <v>470</v>
      </c>
      <c r="H3267" s="185"/>
    </row>
    <row r="3268">
      <c r="D3268" s="185"/>
      <c r="E3268" s="185" t="s">
        <v>470</v>
      </c>
      <c r="H3268" s="185"/>
    </row>
    <row r="3269">
      <c r="D3269" s="185"/>
      <c r="E3269" s="185" t="s">
        <v>470</v>
      </c>
      <c r="H3269" s="185"/>
    </row>
    <row r="3270">
      <c r="D3270" s="185"/>
      <c r="E3270" s="185" t="s">
        <v>470</v>
      </c>
      <c r="H3270" s="185"/>
    </row>
    <row r="3271">
      <c r="D3271" s="185"/>
      <c r="E3271" s="185" t="s">
        <v>470</v>
      </c>
      <c r="H3271" s="185"/>
    </row>
    <row r="3272">
      <c r="D3272" s="185"/>
      <c r="E3272" s="185" t="s">
        <v>470</v>
      </c>
      <c r="H3272" s="185"/>
    </row>
    <row r="3273">
      <c r="D3273" s="185"/>
      <c r="E3273" s="185" t="s">
        <v>470</v>
      </c>
      <c r="H3273" s="185"/>
    </row>
    <row r="3274">
      <c r="D3274" s="185"/>
      <c r="E3274" s="185" t="s">
        <v>470</v>
      </c>
      <c r="H3274" s="185"/>
    </row>
    <row r="3275">
      <c r="D3275" s="185"/>
      <c r="E3275" s="185" t="s">
        <v>470</v>
      </c>
      <c r="H3275" s="185"/>
    </row>
    <row r="3276">
      <c r="D3276" s="185"/>
      <c r="E3276" s="185" t="s">
        <v>470</v>
      </c>
      <c r="H3276" s="185"/>
    </row>
    <row r="3277">
      <c r="D3277" s="185"/>
      <c r="E3277" s="185" t="s">
        <v>470</v>
      </c>
      <c r="H3277" s="185"/>
    </row>
    <row r="3278">
      <c r="D3278" s="185"/>
      <c r="E3278" s="185" t="s">
        <v>470</v>
      </c>
      <c r="H3278" s="185"/>
    </row>
    <row r="3279">
      <c r="D3279" s="185"/>
      <c r="E3279" s="185" t="s">
        <v>470</v>
      </c>
      <c r="H3279" s="185"/>
    </row>
    <row r="3280">
      <c r="D3280" s="185"/>
      <c r="E3280" s="185" t="s">
        <v>470</v>
      </c>
      <c r="H3280" s="185"/>
    </row>
    <row r="3281">
      <c r="D3281" s="185"/>
      <c r="E3281" s="185" t="s">
        <v>470</v>
      </c>
      <c r="H3281" s="185"/>
    </row>
    <row r="3282">
      <c r="D3282" s="185"/>
      <c r="E3282" s="185" t="s">
        <v>470</v>
      </c>
      <c r="H3282" s="185"/>
    </row>
    <row r="3283">
      <c r="D3283" s="185"/>
      <c r="E3283" s="185" t="s">
        <v>470</v>
      </c>
      <c r="H3283" s="185"/>
    </row>
    <row r="3284">
      <c r="D3284" s="185"/>
      <c r="E3284" s="185" t="s">
        <v>470</v>
      </c>
      <c r="H3284" s="185"/>
    </row>
    <row r="3285">
      <c r="D3285" s="185"/>
      <c r="E3285" s="185" t="s">
        <v>470</v>
      </c>
      <c r="H3285" s="185"/>
    </row>
    <row r="3286">
      <c r="D3286" s="185"/>
      <c r="E3286" s="185" t="s">
        <v>470</v>
      </c>
      <c r="H3286" s="185"/>
    </row>
    <row r="3287">
      <c r="D3287" s="185"/>
      <c r="E3287" s="185" t="s">
        <v>470</v>
      </c>
      <c r="H3287" s="185"/>
    </row>
    <row r="3288">
      <c r="D3288" s="185"/>
      <c r="E3288" s="185" t="s">
        <v>470</v>
      </c>
      <c r="H3288" s="185"/>
    </row>
    <row r="3289">
      <c r="D3289" s="185"/>
      <c r="E3289" s="185" t="s">
        <v>470</v>
      </c>
      <c r="H3289" s="185"/>
    </row>
    <row r="3290">
      <c r="D3290" s="185"/>
      <c r="E3290" s="185" t="s">
        <v>470</v>
      </c>
      <c r="H3290" s="185"/>
    </row>
    <row r="3291">
      <c r="D3291" s="185"/>
      <c r="E3291" s="185" t="s">
        <v>470</v>
      </c>
      <c r="H3291" s="185"/>
    </row>
    <row r="3292">
      <c r="D3292" s="185"/>
      <c r="E3292" s="185" t="s">
        <v>470</v>
      </c>
      <c r="H3292" s="185"/>
    </row>
    <row r="3293">
      <c r="D3293" s="185"/>
      <c r="E3293" s="185" t="s">
        <v>470</v>
      </c>
      <c r="H3293" s="185"/>
    </row>
    <row r="3294">
      <c r="D3294" s="185"/>
      <c r="E3294" s="185" t="s">
        <v>470</v>
      </c>
      <c r="H3294" s="185"/>
    </row>
    <row r="3295">
      <c r="D3295" s="185"/>
      <c r="E3295" s="185" t="s">
        <v>470</v>
      </c>
      <c r="H3295" s="185"/>
    </row>
    <row r="3296">
      <c r="D3296" s="185"/>
      <c r="E3296" s="185" t="s">
        <v>470</v>
      </c>
      <c r="H3296" s="185"/>
    </row>
    <row r="3297">
      <c r="D3297" s="185"/>
      <c r="E3297" s="185" t="s">
        <v>470</v>
      </c>
      <c r="H3297" s="185"/>
    </row>
    <row r="3298">
      <c r="D3298" s="185"/>
      <c r="E3298" s="185" t="s">
        <v>470</v>
      </c>
      <c r="H3298" s="185"/>
    </row>
    <row r="3299">
      <c r="D3299" s="185"/>
      <c r="E3299" s="185" t="s">
        <v>470</v>
      </c>
      <c r="H3299" s="185"/>
    </row>
    <row r="3300">
      <c r="D3300" s="185"/>
      <c r="E3300" s="185" t="s">
        <v>470</v>
      </c>
      <c r="H3300" s="185"/>
    </row>
    <row r="3301">
      <c r="D3301" s="185"/>
      <c r="E3301" s="185" t="s">
        <v>470</v>
      </c>
      <c r="H3301" s="185"/>
    </row>
    <row r="3302">
      <c r="D3302" s="185"/>
      <c r="E3302" s="185" t="s">
        <v>470</v>
      </c>
      <c r="H3302" s="185"/>
    </row>
    <row r="3303">
      <c r="D3303" s="185"/>
      <c r="E3303" s="185" t="s">
        <v>470</v>
      </c>
      <c r="H3303" s="185"/>
    </row>
    <row r="3304">
      <c r="D3304" s="185"/>
      <c r="E3304" s="185" t="s">
        <v>470</v>
      </c>
      <c r="H3304" s="185"/>
    </row>
    <row r="3305">
      <c r="D3305" s="185"/>
      <c r="E3305" s="185" t="s">
        <v>470</v>
      </c>
      <c r="H3305" s="185"/>
    </row>
    <row r="3306">
      <c r="D3306" s="185"/>
      <c r="E3306" s="185" t="s">
        <v>470</v>
      </c>
      <c r="H3306" s="185"/>
    </row>
    <row r="3307">
      <c r="D3307" s="185"/>
      <c r="E3307" s="185" t="s">
        <v>470</v>
      </c>
      <c r="H3307" s="185"/>
    </row>
    <row r="3308">
      <c r="D3308" s="185"/>
      <c r="E3308" s="185" t="s">
        <v>470</v>
      </c>
      <c r="H3308" s="185"/>
    </row>
    <row r="3309">
      <c r="D3309" s="185"/>
      <c r="E3309" s="185" t="s">
        <v>470</v>
      </c>
      <c r="H3309" s="185"/>
    </row>
    <row r="3310">
      <c r="D3310" s="185"/>
      <c r="E3310" s="185" t="s">
        <v>470</v>
      </c>
      <c r="H3310" s="185"/>
    </row>
    <row r="3311">
      <c r="D3311" s="185"/>
      <c r="E3311" s="185" t="s">
        <v>470</v>
      </c>
      <c r="H3311" s="185"/>
    </row>
    <row r="3312">
      <c r="D3312" s="185"/>
      <c r="E3312" s="185" t="s">
        <v>470</v>
      </c>
      <c r="H3312" s="185"/>
    </row>
    <row r="3313">
      <c r="D3313" s="185"/>
      <c r="E3313" s="185" t="s">
        <v>470</v>
      </c>
      <c r="H3313" s="185"/>
    </row>
    <row r="3314">
      <c r="D3314" s="185"/>
      <c r="E3314" s="185" t="s">
        <v>470</v>
      </c>
      <c r="H3314" s="185"/>
    </row>
    <row r="3315">
      <c r="D3315" s="185"/>
      <c r="E3315" s="185" t="s">
        <v>470</v>
      </c>
      <c r="H3315" s="185"/>
    </row>
    <row r="3316">
      <c r="D3316" s="185"/>
      <c r="E3316" s="185" t="s">
        <v>470</v>
      </c>
      <c r="H3316" s="185"/>
    </row>
    <row r="3317">
      <c r="D3317" s="185"/>
      <c r="E3317" s="185" t="s">
        <v>470</v>
      </c>
      <c r="H3317" s="185"/>
    </row>
    <row r="3318">
      <c r="D3318" s="185"/>
      <c r="E3318" s="185" t="s">
        <v>470</v>
      </c>
      <c r="H3318" s="185"/>
    </row>
    <row r="3319">
      <c r="D3319" s="185"/>
      <c r="E3319" s="185" t="s">
        <v>470</v>
      </c>
      <c r="H3319" s="185"/>
    </row>
    <row r="3320">
      <c r="D3320" s="185"/>
      <c r="E3320" s="185" t="s">
        <v>470</v>
      </c>
      <c r="H3320" s="185"/>
    </row>
    <row r="3321">
      <c r="D3321" s="185"/>
      <c r="E3321" s="185" t="s">
        <v>470</v>
      </c>
      <c r="H3321" s="185"/>
    </row>
    <row r="3322">
      <c r="D3322" s="185"/>
      <c r="E3322" s="185" t="s">
        <v>470</v>
      </c>
      <c r="H3322" s="185"/>
    </row>
    <row r="3323">
      <c r="D3323" s="185"/>
      <c r="E3323" s="185" t="s">
        <v>470</v>
      </c>
      <c r="H3323" s="185"/>
    </row>
    <row r="3324">
      <c r="D3324" s="185"/>
      <c r="E3324" s="185" t="s">
        <v>470</v>
      </c>
      <c r="H3324" s="185"/>
    </row>
    <row r="3325">
      <c r="D3325" s="185"/>
      <c r="E3325" s="185" t="s">
        <v>470</v>
      </c>
      <c r="H3325" s="185"/>
    </row>
    <row r="3326">
      <c r="D3326" s="185"/>
      <c r="E3326" s="185" t="s">
        <v>470</v>
      </c>
      <c r="H3326" s="185"/>
    </row>
    <row r="3327">
      <c r="D3327" s="185"/>
      <c r="E3327" s="185" t="s">
        <v>470</v>
      </c>
      <c r="H3327" s="185"/>
    </row>
    <row r="3328">
      <c r="D3328" s="185"/>
      <c r="E3328" s="185" t="s">
        <v>470</v>
      </c>
      <c r="H3328" s="185"/>
    </row>
    <row r="3329">
      <c r="D3329" s="185"/>
      <c r="E3329" s="185" t="s">
        <v>470</v>
      </c>
      <c r="H3329" s="185"/>
    </row>
    <row r="3330">
      <c r="D3330" s="185"/>
      <c r="E3330" s="185" t="s">
        <v>470</v>
      </c>
      <c r="H3330" s="185"/>
    </row>
    <row r="3331">
      <c r="D3331" s="185"/>
      <c r="E3331" s="185" t="s">
        <v>470</v>
      </c>
      <c r="H3331" s="185"/>
    </row>
    <row r="3332">
      <c r="D3332" s="185"/>
      <c r="E3332" s="185" t="s">
        <v>470</v>
      </c>
      <c r="H3332" s="185"/>
    </row>
    <row r="3333">
      <c r="D3333" s="185"/>
      <c r="E3333" s="185" t="s">
        <v>470</v>
      </c>
      <c r="H3333" s="185"/>
    </row>
    <row r="3334">
      <c r="D3334" s="185"/>
      <c r="E3334" s="185" t="s">
        <v>470</v>
      </c>
      <c r="H3334" s="185"/>
    </row>
    <row r="3335">
      <c r="D3335" s="185"/>
      <c r="E3335" s="185" t="s">
        <v>470</v>
      </c>
      <c r="H3335" s="185"/>
    </row>
    <row r="3336">
      <c r="D3336" s="185"/>
      <c r="E3336" s="185" t="s">
        <v>470</v>
      </c>
      <c r="H3336" s="185"/>
    </row>
    <row r="3337">
      <c r="D3337" s="185"/>
      <c r="E3337" s="185" t="s">
        <v>470</v>
      </c>
      <c r="H3337" s="185"/>
    </row>
    <row r="3338">
      <c r="D3338" s="185"/>
      <c r="E3338" s="185" t="s">
        <v>470</v>
      </c>
      <c r="H3338" s="185"/>
    </row>
    <row r="3339">
      <c r="D3339" s="185"/>
      <c r="E3339" s="185" t="s">
        <v>470</v>
      </c>
      <c r="H3339" s="185"/>
    </row>
    <row r="3340">
      <c r="D3340" s="185"/>
      <c r="E3340" s="185" t="s">
        <v>470</v>
      </c>
      <c r="H3340" s="185"/>
    </row>
    <row r="3341">
      <c r="D3341" s="185"/>
      <c r="E3341" s="185" t="s">
        <v>470</v>
      </c>
      <c r="H3341" s="185"/>
    </row>
    <row r="3342">
      <c r="D3342" s="185"/>
      <c r="E3342" s="185" t="s">
        <v>470</v>
      </c>
      <c r="H3342" s="185"/>
    </row>
    <row r="3343">
      <c r="D3343" s="185"/>
      <c r="E3343" s="185" t="s">
        <v>470</v>
      </c>
      <c r="H3343" s="185"/>
    </row>
    <row r="3344">
      <c r="D3344" s="185"/>
      <c r="E3344" s="185" t="s">
        <v>470</v>
      </c>
      <c r="H3344" s="185"/>
    </row>
    <row r="3345">
      <c r="D3345" s="185"/>
      <c r="E3345" s="185" t="s">
        <v>470</v>
      </c>
      <c r="H3345" s="185"/>
    </row>
    <row r="3346">
      <c r="D3346" s="185"/>
      <c r="E3346" s="185" t="s">
        <v>470</v>
      </c>
      <c r="H3346" s="185"/>
    </row>
    <row r="3347">
      <c r="D3347" s="185"/>
      <c r="E3347" s="185" t="s">
        <v>470</v>
      </c>
      <c r="H3347" s="185"/>
    </row>
    <row r="3348">
      <c r="D3348" s="185"/>
      <c r="E3348" s="185" t="s">
        <v>470</v>
      </c>
      <c r="H3348" s="185"/>
    </row>
    <row r="3349">
      <c r="D3349" s="185"/>
      <c r="E3349" s="185" t="s">
        <v>470</v>
      </c>
      <c r="H3349" s="185"/>
    </row>
    <row r="3350">
      <c r="D3350" s="185"/>
      <c r="E3350" s="185" t="s">
        <v>470</v>
      </c>
      <c r="H3350" s="185"/>
    </row>
    <row r="3351">
      <c r="D3351" s="185"/>
      <c r="E3351" s="185" t="s">
        <v>470</v>
      </c>
      <c r="H3351" s="185"/>
    </row>
    <row r="3352">
      <c r="D3352" s="185"/>
      <c r="E3352" s="185" t="s">
        <v>470</v>
      </c>
      <c r="H3352" s="185"/>
    </row>
    <row r="3353">
      <c r="D3353" s="185"/>
      <c r="E3353" s="185" t="s">
        <v>470</v>
      </c>
      <c r="H3353" s="185"/>
    </row>
    <row r="3354">
      <c r="D3354" s="185"/>
      <c r="E3354" s="185" t="s">
        <v>470</v>
      </c>
      <c r="H3354" s="185"/>
    </row>
    <row r="3355">
      <c r="D3355" s="185"/>
      <c r="E3355" s="185" t="s">
        <v>470</v>
      </c>
      <c r="H3355" s="185"/>
    </row>
    <row r="3356">
      <c r="D3356" s="185"/>
      <c r="E3356" s="185" t="s">
        <v>470</v>
      </c>
      <c r="H3356" s="185"/>
    </row>
    <row r="3357">
      <c r="D3357" s="185"/>
      <c r="E3357" s="185" t="s">
        <v>470</v>
      </c>
      <c r="H3357" s="185"/>
    </row>
    <row r="3358">
      <c r="D3358" s="185"/>
      <c r="E3358" s="185" t="s">
        <v>470</v>
      </c>
      <c r="H3358" s="185"/>
    </row>
    <row r="3359">
      <c r="D3359" s="185"/>
      <c r="E3359" s="185" t="s">
        <v>470</v>
      </c>
      <c r="H3359" s="185"/>
    </row>
    <row r="3360">
      <c r="D3360" s="185"/>
      <c r="E3360" s="185" t="s">
        <v>470</v>
      </c>
      <c r="H3360" s="185"/>
    </row>
    <row r="3361">
      <c r="D3361" s="185"/>
      <c r="E3361" s="185" t="s">
        <v>470</v>
      </c>
      <c r="H3361" s="185"/>
    </row>
    <row r="3362">
      <c r="D3362" s="185"/>
      <c r="E3362" s="185" t="s">
        <v>470</v>
      </c>
      <c r="H3362" s="185"/>
    </row>
    <row r="3363">
      <c r="D3363" s="185"/>
      <c r="E3363" s="185" t="s">
        <v>470</v>
      </c>
      <c r="H3363" s="185"/>
    </row>
    <row r="3364">
      <c r="D3364" s="185"/>
      <c r="E3364" s="185" t="s">
        <v>470</v>
      </c>
      <c r="H3364" s="185"/>
    </row>
    <row r="3365">
      <c r="D3365" s="185"/>
      <c r="E3365" s="185" t="s">
        <v>470</v>
      </c>
      <c r="H3365" s="185"/>
    </row>
    <row r="3366">
      <c r="D3366" s="185"/>
      <c r="E3366" s="185" t="s">
        <v>470</v>
      </c>
      <c r="H3366" s="185"/>
    </row>
    <row r="3367">
      <c r="D3367" s="185"/>
      <c r="E3367" s="185" t="s">
        <v>470</v>
      </c>
      <c r="H3367" s="185"/>
    </row>
    <row r="3368">
      <c r="D3368" s="185"/>
      <c r="E3368" s="185" t="s">
        <v>470</v>
      </c>
      <c r="H3368" s="185"/>
    </row>
    <row r="3369">
      <c r="D3369" s="185"/>
      <c r="E3369" s="185" t="s">
        <v>470</v>
      </c>
      <c r="H3369" s="185"/>
    </row>
    <row r="3370">
      <c r="D3370" s="185"/>
      <c r="E3370" s="185" t="s">
        <v>470</v>
      </c>
      <c r="H3370" s="185"/>
    </row>
    <row r="3371">
      <c r="D3371" s="185"/>
      <c r="E3371" s="185" t="s">
        <v>470</v>
      </c>
      <c r="H3371" s="185"/>
    </row>
    <row r="3372">
      <c r="D3372" s="185"/>
      <c r="E3372" s="185" t="s">
        <v>470</v>
      </c>
      <c r="H3372" s="185"/>
    </row>
    <row r="3373">
      <c r="D3373" s="185"/>
      <c r="E3373" s="185" t="s">
        <v>470</v>
      </c>
      <c r="H3373" s="185"/>
    </row>
    <row r="3374">
      <c r="D3374" s="185"/>
      <c r="E3374" s="185" t="s">
        <v>470</v>
      </c>
      <c r="H3374" s="185"/>
    </row>
    <row r="3375">
      <c r="D3375" s="185"/>
      <c r="E3375" s="185" t="s">
        <v>470</v>
      </c>
      <c r="H3375" s="185"/>
    </row>
    <row r="3376">
      <c r="D3376" s="185"/>
      <c r="E3376" s="185" t="s">
        <v>470</v>
      </c>
      <c r="H3376" s="185"/>
    </row>
    <row r="3377">
      <c r="D3377" s="185"/>
      <c r="E3377" s="185" t="s">
        <v>470</v>
      </c>
      <c r="H3377" s="185"/>
    </row>
    <row r="3378">
      <c r="D3378" s="185"/>
      <c r="E3378" s="185" t="s">
        <v>470</v>
      </c>
      <c r="H3378" s="185"/>
    </row>
    <row r="3379">
      <c r="D3379" s="185"/>
      <c r="E3379" s="185" t="s">
        <v>470</v>
      </c>
      <c r="H3379" s="185"/>
    </row>
    <row r="3380">
      <c r="D3380" s="185"/>
      <c r="E3380" s="185" t="s">
        <v>470</v>
      </c>
      <c r="H3380" s="185"/>
    </row>
    <row r="3381">
      <c r="D3381" s="185"/>
      <c r="E3381" s="185" t="s">
        <v>470</v>
      </c>
      <c r="H3381" s="185"/>
    </row>
    <row r="3382">
      <c r="D3382" s="185"/>
      <c r="E3382" s="185" t="s">
        <v>470</v>
      </c>
      <c r="H3382" s="185"/>
    </row>
    <row r="3383">
      <c r="D3383" s="185"/>
      <c r="E3383" s="185" t="s">
        <v>470</v>
      </c>
      <c r="H3383" s="185"/>
    </row>
    <row r="3384">
      <c r="D3384" s="185"/>
      <c r="E3384" s="185" t="s">
        <v>470</v>
      </c>
      <c r="H3384" s="185"/>
    </row>
    <row r="3385">
      <c r="D3385" s="185"/>
      <c r="E3385" s="185" t="s">
        <v>470</v>
      </c>
      <c r="H3385" s="185"/>
    </row>
    <row r="3386">
      <c r="D3386" s="185"/>
      <c r="E3386" s="185" t="s">
        <v>470</v>
      </c>
      <c r="H3386" s="185"/>
    </row>
    <row r="3387">
      <c r="D3387" s="185"/>
      <c r="E3387" s="185" t="s">
        <v>470</v>
      </c>
      <c r="H3387" s="185"/>
    </row>
    <row r="3388">
      <c r="D3388" s="185"/>
      <c r="E3388" s="185" t="s">
        <v>470</v>
      </c>
      <c r="H3388" s="185"/>
    </row>
    <row r="3389">
      <c r="D3389" s="185"/>
      <c r="E3389" s="185" t="s">
        <v>470</v>
      </c>
      <c r="H3389" s="185"/>
    </row>
    <row r="3390">
      <c r="D3390" s="185"/>
      <c r="E3390" s="185" t="s">
        <v>470</v>
      </c>
      <c r="H3390" s="185"/>
    </row>
    <row r="3391">
      <c r="D3391" s="185"/>
      <c r="E3391" s="185" t="s">
        <v>470</v>
      </c>
      <c r="H3391" s="185"/>
    </row>
    <row r="3392">
      <c r="D3392" s="185"/>
      <c r="E3392" s="185" t="s">
        <v>470</v>
      </c>
      <c r="H3392" s="185"/>
    </row>
    <row r="3393">
      <c r="D3393" s="185"/>
      <c r="E3393" s="185" t="s">
        <v>470</v>
      </c>
      <c r="H3393" s="185"/>
    </row>
    <row r="3394">
      <c r="D3394" s="185"/>
      <c r="E3394" s="185" t="s">
        <v>470</v>
      </c>
      <c r="H3394" s="185"/>
    </row>
    <row r="3395">
      <c r="D3395" s="185"/>
      <c r="E3395" s="185" t="s">
        <v>470</v>
      </c>
      <c r="H3395" s="185"/>
    </row>
    <row r="3396">
      <c r="D3396" s="185"/>
      <c r="E3396" s="185" t="s">
        <v>470</v>
      </c>
      <c r="H3396" s="185"/>
    </row>
    <row r="3397">
      <c r="D3397" s="185"/>
      <c r="E3397" s="185" t="s">
        <v>470</v>
      </c>
      <c r="H3397" s="185"/>
    </row>
    <row r="3398">
      <c r="D3398" s="185"/>
      <c r="E3398" s="185" t="s">
        <v>470</v>
      </c>
      <c r="H3398" s="185"/>
    </row>
    <row r="3399">
      <c r="D3399" s="185"/>
      <c r="E3399" s="185" t="s">
        <v>470</v>
      </c>
      <c r="H3399" s="185"/>
    </row>
    <row r="3400">
      <c r="D3400" s="185"/>
      <c r="E3400" s="185" t="s">
        <v>470</v>
      </c>
      <c r="H3400" s="185"/>
    </row>
    <row r="3401">
      <c r="D3401" s="185"/>
      <c r="E3401" s="185" t="s">
        <v>470</v>
      </c>
      <c r="H3401" s="185"/>
    </row>
    <row r="3402">
      <c r="D3402" s="185"/>
      <c r="E3402" s="185" t="s">
        <v>470</v>
      </c>
      <c r="H3402" s="185"/>
    </row>
    <row r="3403">
      <c r="D3403" s="185"/>
      <c r="E3403" s="185" t="s">
        <v>470</v>
      </c>
      <c r="H3403" s="185"/>
    </row>
    <row r="3404">
      <c r="D3404" s="185"/>
      <c r="E3404" s="185" t="s">
        <v>470</v>
      </c>
      <c r="H3404" s="185"/>
    </row>
    <row r="3405">
      <c r="D3405" s="185"/>
      <c r="E3405" s="185" t="s">
        <v>470</v>
      </c>
      <c r="H3405" s="185"/>
    </row>
    <row r="3406">
      <c r="D3406" s="185"/>
      <c r="E3406" s="185" t="s">
        <v>470</v>
      </c>
      <c r="H3406" s="185"/>
    </row>
    <row r="3407">
      <c r="D3407" s="185"/>
      <c r="E3407" s="185" t="s">
        <v>470</v>
      </c>
      <c r="H3407" s="185"/>
    </row>
    <row r="3408">
      <c r="D3408" s="185"/>
      <c r="E3408" s="185" t="s">
        <v>470</v>
      </c>
      <c r="H3408" s="185"/>
    </row>
    <row r="3409">
      <c r="D3409" s="185"/>
      <c r="E3409" s="185" t="s">
        <v>470</v>
      </c>
      <c r="H3409" s="185"/>
    </row>
    <row r="3410">
      <c r="D3410" s="185"/>
      <c r="E3410" s="185" t="s">
        <v>470</v>
      </c>
      <c r="H3410" s="185"/>
    </row>
    <row r="3411">
      <c r="D3411" s="185"/>
      <c r="E3411" s="185" t="s">
        <v>470</v>
      </c>
      <c r="H3411" s="185"/>
    </row>
    <row r="3412">
      <c r="D3412" s="185"/>
      <c r="E3412" s="185" t="s">
        <v>470</v>
      </c>
      <c r="H3412" s="185"/>
    </row>
    <row r="3413">
      <c r="D3413" s="185"/>
      <c r="E3413" s="185" t="s">
        <v>470</v>
      </c>
      <c r="H3413" s="185"/>
    </row>
    <row r="3414">
      <c r="D3414" s="185"/>
      <c r="E3414" s="185" t="s">
        <v>470</v>
      </c>
      <c r="H3414" s="185"/>
    </row>
    <row r="3415">
      <c r="D3415" s="185"/>
      <c r="E3415" s="185" t="s">
        <v>470</v>
      </c>
      <c r="H3415" s="185"/>
    </row>
    <row r="3416">
      <c r="D3416" s="185"/>
      <c r="E3416" s="185" t="s">
        <v>470</v>
      </c>
      <c r="H3416" s="185"/>
    </row>
    <row r="3417">
      <c r="D3417" s="185"/>
      <c r="E3417" s="185" t="s">
        <v>470</v>
      </c>
      <c r="H3417" s="185"/>
    </row>
    <row r="3418">
      <c r="D3418" s="185"/>
      <c r="E3418" s="185" t="s">
        <v>470</v>
      </c>
      <c r="H3418" s="185"/>
    </row>
    <row r="3419">
      <c r="D3419" s="185"/>
      <c r="E3419" s="185" t="s">
        <v>470</v>
      </c>
      <c r="H3419" s="185"/>
    </row>
    <row r="3420">
      <c r="D3420" s="185"/>
      <c r="E3420" s="185" t="s">
        <v>470</v>
      </c>
      <c r="H3420" s="185"/>
    </row>
    <row r="3421">
      <c r="D3421" s="185"/>
      <c r="E3421" s="185" t="s">
        <v>470</v>
      </c>
      <c r="H3421" s="185"/>
    </row>
    <row r="3422">
      <c r="D3422" s="185"/>
      <c r="E3422" s="185" t="s">
        <v>470</v>
      </c>
      <c r="H3422" s="185"/>
    </row>
    <row r="3423">
      <c r="D3423" s="185"/>
      <c r="E3423" s="185" t="s">
        <v>470</v>
      </c>
      <c r="H3423" s="185"/>
    </row>
    <row r="3424">
      <c r="D3424" s="185"/>
      <c r="E3424" s="185" t="s">
        <v>470</v>
      </c>
      <c r="H3424" s="185"/>
    </row>
    <row r="3425">
      <c r="D3425" s="185"/>
      <c r="E3425" s="185" t="s">
        <v>470</v>
      </c>
      <c r="H3425" s="185"/>
    </row>
    <row r="3426">
      <c r="D3426" s="185"/>
      <c r="E3426" s="185" t="s">
        <v>470</v>
      </c>
      <c r="H3426" s="185"/>
    </row>
    <row r="3427">
      <c r="D3427" s="185"/>
      <c r="E3427" s="185" t="s">
        <v>470</v>
      </c>
      <c r="H3427" s="185"/>
    </row>
    <row r="3428">
      <c r="D3428" s="185"/>
      <c r="E3428" s="185" t="s">
        <v>470</v>
      </c>
      <c r="H3428" s="185"/>
    </row>
    <row r="3429">
      <c r="D3429" s="185"/>
      <c r="E3429" s="185" t="s">
        <v>470</v>
      </c>
      <c r="H3429" s="185"/>
    </row>
    <row r="3430">
      <c r="D3430" s="185"/>
      <c r="E3430" s="185" t="s">
        <v>470</v>
      </c>
      <c r="H3430" s="185"/>
    </row>
    <row r="3431">
      <c r="D3431" s="185"/>
      <c r="E3431" s="185" t="s">
        <v>470</v>
      </c>
      <c r="H3431" s="185"/>
    </row>
    <row r="3432">
      <c r="D3432" s="185"/>
      <c r="E3432" s="185" t="s">
        <v>470</v>
      </c>
      <c r="H3432" s="185"/>
    </row>
    <row r="3433">
      <c r="D3433" s="185"/>
      <c r="E3433" s="185" t="s">
        <v>470</v>
      </c>
      <c r="H3433" s="185"/>
    </row>
    <row r="3434">
      <c r="D3434" s="185"/>
      <c r="E3434" s="185" t="s">
        <v>470</v>
      </c>
      <c r="H3434" s="185"/>
    </row>
    <row r="3435">
      <c r="D3435" s="185"/>
      <c r="E3435" s="185" t="s">
        <v>470</v>
      </c>
      <c r="H3435" s="185"/>
    </row>
    <row r="3436">
      <c r="D3436" s="185"/>
      <c r="E3436" s="185" t="s">
        <v>470</v>
      </c>
      <c r="H3436" s="185"/>
    </row>
    <row r="3437">
      <c r="D3437" s="185"/>
      <c r="E3437" s="185" t="s">
        <v>470</v>
      </c>
      <c r="H3437" s="185"/>
    </row>
    <row r="3438">
      <c r="D3438" s="185"/>
      <c r="E3438" s="185" t="s">
        <v>470</v>
      </c>
      <c r="H3438" s="185"/>
    </row>
    <row r="3439">
      <c r="D3439" s="185"/>
      <c r="E3439" s="185" t="s">
        <v>470</v>
      </c>
      <c r="H3439" s="185"/>
    </row>
    <row r="3440">
      <c r="D3440" s="185"/>
      <c r="E3440" s="185" t="s">
        <v>470</v>
      </c>
      <c r="H3440" s="185"/>
    </row>
    <row r="3441">
      <c r="D3441" s="185"/>
      <c r="E3441" s="185" t="s">
        <v>470</v>
      </c>
      <c r="H3441" s="185"/>
    </row>
    <row r="3442">
      <c r="D3442" s="185"/>
      <c r="E3442" s="185" t="s">
        <v>470</v>
      </c>
      <c r="H3442" s="185"/>
    </row>
    <row r="3443">
      <c r="D3443" s="185"/>
      <c r="E3443" s="185" t="s">
        <v>470</v>
      </c>
      <c r="H3443" s="185"/>
    </row>
    <row r="3444">
      <c r="D3444" s="185"/>
      <c r="E3444" s="185" t="s">
        <v>470</v>
      </c>
      <c r="H3444" s="185"/>
    </row>
    <row r="3445">
      <c r="D3445" s="185"/>
      <c r="E3445" s="185" t="s">
        <v>470</v>
      </c>
      <c r="H3445" s="185"/>
    </row>
    <row r="3446">
      <c r="D3446" s="185"/>
      <c r="E3446" s="185" t="s">
        <v>470</v>
      </c>
      <c r="H3446" s="185"/>
    </row>
    <row r="3447">
      <c r="D3447" s="185"/>
      <c r="E3447" s="185" t="s">
        <v>470</v>
      </c>
      <c r="H3447" s="185"/>
    </row>
    <row r="3448">
      <c r="D3448" s="185"/>
      <c r="E3448" s="185" t="s">
        <v>470</v>
      </c>
      <c r="H3448" s="185"/>
    </row>
    <row r="3449">
      <c r="D3449" s="185"/>
      <c r="E3449" s="185" t="s">
        <v>470</v>
      </c>
      <c r="H3449" s="185"/>
    </row>
    <row r="3450">
      <c r="D3450" s="185"/>
      <c r="E3450" s="185" t="s">
        <v>470</v>
      </c>
      <c r="H3450" s="185"/>
    </row>
    <row r="3451">
      <c r="D3451" s="185"/>
      <c r="E3451" s="185" t="s">
        <v>470</v>
      </c>
      <c r="H3451" s="185"/>
    </row>
    <row r="3452">
      <c r="D3452" s="185"/>
      <c r="E3452" s="185" t="s">
        <v>470</v>
      </c>
      <c r="H3452" s="185"/>
    </row>
    <row r="3453">
      <c r="D3453" s="185"/>
      <c r="E3453" s="185" t="s">
        <v>470</v>
      </c>
      <c r="H3453" s="185"/>
    </row>
    <row r="3454">
      <c r="D3454" s="185"/>
      <c r="E3454" s="185" t="s">
        <v>470</v>
      </c>
      <c r="H3454" s="185"/>
    </row>
    <row r="3455">
      <c r="D3455" s="185"/>
      <c r="E3455" s="185" t="s">
        <v>470</v>
      </c>
      <c r="H3455" s="185"/>
    </row>
    <row r="3456">
      <c r="D3456" s="185"/>
      <c r="E3456" s="185" t="s">
        <v>470</v>
      </c>
      <c r="H3456" s="185"/>
    </row>
    <row r="3457">
      <c r="D3457" s="185"/>
      <c r="E3457" s="185" t="s">
        <v>470</v>
      </c>
      <c r="H3457" s="185"/>
    </row>
    <row r="3458">
      <c r="D3458" s="185"/>
      <c r="E3458" s="185" t="s">
        <v>470</v>
      </c>
      <c r="H3458" s="185"/>
    </row>
    <row r="3459">
      <c r="D3459" s="185"/>
      <c r="E3459" s="185" t="s">
        <v>470</v>
      </c>
      <c r="H3459" s="185"/>
    </row>
    <row r="3460">
      <c r="D3460" s="185"/>
      <c r="E3460" s="185" t="s">
        <v>470</v>
      </c>
      <c r="H3460" s="185"/>
    </row>
    <row r="3461">
      <c r="D3461" s="185"/>
      <c r="E3461" s="185" t="s">
        <v>470</v>
      </c>
      <c r="H3461" s="185"/>
    </row>
    <row r="3462">
      <c r="D3462" s="185"/>
      <c r="E3462" s="185" t="s">
        <v>470</v>
      </c>
      <c r="H3462" s="185"/>
    </row>
    <row r="3463">
      <c r="D3463" s="185"/>
      <c r="E3463" s="185" t="s">
        <v>470</v>
      </c>
      <c r="H3463" s="185"/>
    </row>
    <row r="3464">
      <c r="D3464" s="185"/>
      <c r="E3464" s="185" t="s">
        <v>470</v>
      </c>
      <c r="H3464" s="185"/>
    </row>
    <row r="3465">
      <c r="D3465" s="185"/>
      <c r="E3465" s="185" t="s">
        <v>470</v>
      </c>
      <c r="H3465" s="185"/>
    </row>
    <row r="3466">
      <c r="D3466" s="185"/>
      <c r="E3466" s="185" t="s">
        <v>470</v>
      </c>
      <c r="H3466" s="185"/>
    </row>
    <row r="3467">
      <c r="D3467" s="185"/>
      <c r="E3467" s="185" t="s">
        <v>470</v>
      </c>
      <c r="H3467" s="185"/>
    </row>
    <row r="3468">
      <c r="D3468" s="185"/>
      <c r="E3468" s="185" t="s">
        <v>470</v>
      </c>
      <c r="H3468" s="185"/>
    </row>
    <row r="3469">
      <c r="D3469" s="185"/>
      <c r="E3469" s="185" t="s">
        <v>470</v>
      </c>
      <c r="H3469" s="185"/>
    </row>
    <row r="3470">
      <c r="D3470" s="185"/>
      <c r="E3470" s="185" t="s">
        <v>470</v>
      </c>
      <c r="H3470" s="185"/>
    </row>
    <row r="3471">
      <c r="D3471" s="185"/>
      <c r="E3471" s="185" t="s">
        <v>470</v>
      </c>
      <c r="H3471" s="185"/>
    </row>
    <row r="3472">
      <c r="D3472" s="185"/>
      <c r="E3472" s="185" t="s">
        <v>470</v>
      </c>
      <c r="H3472" s="185"/>
    </row>
    <row r="3473">
      <c r="D3473" s="185"/>
      <c r="E3473" s="185" t="s">
        <v>470</v>
      </c>
      <c r="H3473" s="185"/>
    </row>
    <row r="3474">
      <c r="D3474" s="185"/>
      <c r="E3474" s="185" t="s">
        <v>470</v>
      </c>
      <c r="H3474" s="185"/>
    </row>
    <row r="3475">
      <c r="D3475" s="185"/>
      <c r="E3475" s="185" t="s">
        <v>470</v>
      </c>
      <c r="H3475" s="185"/>
    </row>
    <row r="3476">
      <c r="D3476" s="185"/>
      <c r="E3476" s="185" t="s">
        <v>470</v>
      </c>
      <c r="H3476" s="185"/>
    </row>
    <row r="3477">
      <c r="D3477" s="185"/>
      <c r="E3477" s="185" t="s">
        <v>470</v>
      </c>
      <c r="H3477" s="185"/>
    </row>
    <row r="3478">
      <c r="D3478" s="185"/>
      <c r="E3478" s="185" t="s">
        <v>470</v>
      </c>
      <c r="H3478" s="185"/>
    </row>
    <row r="3479">
      <c r="D3479" s="185"/>
      <c r="E3479" s="185" t="s">
        <v>470</v>
      </c>
      <c r="H3479" s="185"/>
    </row>
    <row r="3480">
      <c r="D3480" s="185"/>
      <c r="E3480" s="185" t="s">
        <v>470</v>
      </c>
      <c r="H3480" s="185"/>
    </row>
    <row r="3481">
      <c r="D3481" s="185"/>
      <c r="E3481" s="185" t="s">
        <v>470</v>
      </c>
      <c r="H3481" s="185"/>
    </row>
    <row r="3482">
      <c r="D3482" s="185"/>
      <c r="E3482" s="185" t="s">
        <v>470</v>
      </c>
      <c r="H3482" s="185"/>
    </row>
    <row r="3483">
      <c r="D3483" s="185"/>
      <c r="E3483" s="185" t="s">
        <v>470</v>
      </c>
      <c r="H3483" s="185"/>
    </row>
    <row r="3484">
      <c r="D3484" s="185"/>
      <c r="E3484" s="185" t="s">
        <v>470</v>
      </c>
      <c r="H3484" s="185"/>
    </row>
    <row r="3485">
      <c r="D3485" s="185"/>
      <c r="E3485" s="185" t="s">
        <v>470</v>
      </c>
      <c r="H3485" s="185"/>
    </row>
    <row r="3486">
      <c r="D3486" s="185"/>
      <c r="E3486" s="185" t="s">
        <v>470</v>
      </c>
      <c r="H3486" s="185"/>
    </row>
    <row r="3487">
      <c r="D3487" s="185"/>
      <c r="E3487" s="185" t="s">
        <v>470</v>
      </c>
      <c r="H3487" s="185"/>
    </row>
    <row r="3488">
      <c r="D3488" s="185"/>
      <c r="E3488" s="185" t="s">
        <v>470</v>
      </c>
      <c r="H3488" s="185"/>
    </row>
    <row r="3489">
      <c r="D3489" s="185"/>
      <c r="E3489" s="185" t="s">
        <v>470</v>
      </c>
      <c r="H3489" s="185"/>
    </row>
    <row r="3490">
      <c r="D3490" s="185"/>
      <c r="E3490" s="185" t="s">
        <v>470</v>
      </c>
      <c r="H3490" s="185"/>
    </row>
    <row r="3491">
      <c r="D3491" s="185"/>
      <c r="E3491" s="185" t="s">
        <v>470</v>
      </c>
      <c r="H3491" s="185"/>
    </row>
    <row r="3492">
      <c r="D3492" s="185"/>
      <c r="E3492" s="185" t="s">
        <v>470</v>
      </c>
      <c r="H3492" s="185"/>
    </row>
    <row r="3493">
      <c r="D3493" s="185"/>
      <c r="E3493" s="185" t="s">
        <v>470</v>
      </c>
      <c r="H3493" s="185"/>
    </row>
    <row r="3494">
      <c r="D3494" s="185"/>
      <c r="E3494" s="185" t="s">
        <v>470</v>
      </c>
      <c r="H3494" s="185"/>
    </row>
    <row r="3495">
      <c r="D3495" s="185"/>
      <c r="E3495" s="185" t="s">
        <v>470</v>
      </c>
      <c r="H3495" s="185"/>
    </row>
    <row r="3496">
      <c r="D3496" s="185"/>
      <c r="E3496" s="185" t="s">
        <v>470</v>
      </c>
      <c r="H3496" s="185"/>
    </row>
    <row r="3497">
      <c r="D3497" s="185"/>
      <c r="E3497" s="185" t="s">
        <v>470</v>
      </c>
      <c r="H3497" s="185"/>
    </row>
    <row r="3498">
      <c r="D3498" s="185"/>
      <c r="E3498" s="185" t="s">
        <v>470</v>
      </c>
      <c r="H3498" s="185"/>
    </row>
    <row r="3499">
      <c r="D3499" s="185"/>
      <c r="E3499" s="185" t="s">
        <v>470</v>
      </c>
      <c r="H3499" s="185"/>
    </row>
    <row r="3500">
      <c r="D3500" s="185"/>
      <c r="E3500" s="185" t="s">
        <v>470</v>
      </c>
      <c r="H3500" s="185"/>
    </row>
    <row r="3501">
      <c r="D3501" s="185"/>
      <c r="E3501" s="185" t="s">
        <v>470</v>
      </c>
      <c r="H3501" s="185"/>
    </row>
    <row r="3502">
      <c r="D3502" s="185"/>
      <c r="E3502" s="185" t="s">
        <v>470</v>
      </c>
      <c r="H3502" s="185"/>
    </row>
    <row r="3503">
      <c r="D3503" s="185"/>
      <c r="E3503" s="185" t="s">
        <v>470</v>
      </c>
      <c r="H3503" s="185"/>
    </row>
    <row r="3504">
      <c r="D3504" s="185"/>
      <c r="E3504" s="185" t="s">
        <v>470</v>
      </c>
      <c r="H3504" s="185"/>
    </row>
    <row r="3505">
      <c r="D3505" s="185"/>
      <c r="E3505" s="185" t="s">
        <v>470</v>
      </c>
      <c r="H3505" s="185"/>
    </row>
    <row r="3506">
      <c r="D3506" s="185"/>
      <c r="E3506" s="185" t="s">
        <v>470</v>
      </c>
      <c r="H3506" s="185"/>
    </row>
    <row r="3507">
      <c r="D3507" s="185"/>
      <c r="E3507" s="185" t="s">
        <v>470</v>
      </c>
      <c r="H3507" s="185"/>
    </row>
    <row r="3508">
      <c r="D3508" s="185"/>
      <c r="E3508" s="185" t="s">
        <v>470</v>
      </c>
      <c r="H3508" s="185"/>
    </row>
    <row r="3509">
      <c r="D3509" s="185"/>
      <c r="E3509" s="185" t="s">
        <v>470</v>
      </c>
      <c r="H3509" s="185"/>
    </row>
    <row r="3510">
      <c r="D3510" s="185"/>
      <c r="E3510" s="185" t="s">
        <v>470</v>
      </c>
      <c r="H3510" s="185"/>
    </row>
    <row r="3511">
      <c r="D3511" s="185"/>
      <c r="E3511" s="185" t="s">
        <v>470</v>
      </c>
      <c r="H3511" s="185"/>
    </row>
    <row r="3512">
      <c r="D3512" s="185"/>
      <c r="E3512" s="185" t="s">
        <v>470</v>
      </c>
      <c r="H3512" s="185"/>
    </row>
    <row r="3513">
      <c r="D3513" s="185"/>
      <c r="E3513" s="185" t="s">
        <v>470</v>
      </c>
      <c r="H3513" s="185"/>
    </row>
    <row r="3514">
      <c r="D3514" s="185"/>
      <c r="E3514" s="185" t="s">
        <v>470</v>
      </c>
      <c r="H3514" s="185"/>
    </row>
    <row r="3515">
      <c r="D3515" s="185"/>
      <c r="E3515" s="185" t="s">
        <v>470</v>
      </c>
      <c r="H3515" s="185"/>
    </row>
    <row r="3516">
      <c r="D3516" s="185"/>
      <c r="E3516" s="185" t="s">
        <v>470</v>
      </c>
      <c r="H3516" s="185"/>
    </row>
    <row r="3517">
      <c r="D3517" s="185"/>
      <c r="E3517" s="185" t="s">
        <v>470</v>
      </c>
      <c r="H3517" s="185"/>
    </row>
    <row r="3518">
      <c r="D3518" s="185"/>
      <c r="E3518" s="185" t="s">
        <v>470</v>
      </c>
      <c r="H3518" s="185"/>
    </row>
    <row r="3519">
      <c r="D3519" s="185"/>
      <c r="E3519" s="185" t="s">
        <v>470</v>
      </c>
      <c r="H3519" s="185"/>
    </row>
    <row r="3520">
      <c r="D3520" s="185"/>
      <c r="E3520" s="185" t="s">
        <v>470</v>
      </c>
      <c r="H3520" s="185"/>
    </row>
    <row r="3521">
      <c r="D3521" s="185"/>
      <c r="E3521" s="185" t="s">
        <v>470</v>
      </c>
      <c r="H3521" s="185"/>
    </row>
    <row r="3522">
      <c r="D3522" s="185"/>
      <c r="E3522" s="185" t="s">
        <v>470</v>
      </c>
      <c r="H3522" s="185"/>
    </row>
    <row r="3523">
      <c r="D3523" s="185"/>
      <c r="E3523" s="185" t="s">
        <v>470</v>
      </c>
      <c r="H3523" s="185"/>
    </row>
    <row r="3524">
      <c r="D3524" s="185"/>
      <c r="E3524" s="185" t="s">
        <v>470</v>
      </c>
      <c r="H3524" s="185"/>
    </row>
    <row r="3525">
      <c r="D3525" s="185"/>
      <c r="E3525" s="185" t="s">
        <v>470</v>
      </c>
      <c r="H3525" s="185"/>
    </row>
    <row r="3526">
      <c r="D3526" s="185"/>
      <c r="E3526" s="185" t="s">
        <v>470</v>
      </c>
      <c r="H3526" s="185"/>
    </row>
    <row r="3527">
      <c r="D3527" s="185"/>
      <c r="E3527" s="185" t="s">
        <v>470</v>
      </c>
      <c r="H3527" s="185"/>
    </row>
    <row r="3528">
      <c r="D3528" s="185"/>
      <c r="E3528" s="185" t="s">
        <v>470</v>
      </c>
      <c r="H3528" s="185"/>
    </row>
    <row r="3529">
      <c r="D3529" s="185"/>
      <c r="E3529" s="185" t="s">
        <v>470</v>
      </c>
      <c r="H3529" s="185"/>
    </row>
    <row r="3530">
      <c r="D3530" s="185"/>
      <c r="E3530" s="185" t="s">
        <v>470</v>
      </c>
      <c r="H3530" s="185"/>
    </row>
    <row r="3531">
      <c r="D3531" s="185"/>
      <c r="E3531" s="185" t="s">
        <v>470</v>
      </c>
      <c r="H3531" s="185"/>
    </row>
    <row r="3532">
      <c r="D3532" s="185"/>
      <c r="E3532" s="185" t="s">
        <v>470</v>
      </c>
      <c r="H3532" s="185"/>
    </row>
    <row r="3533">
      <c r="D3533" s="185"/>
      <c r="E3533" s="185" t="s">
        <v>470</v>
      </c>
      <c r="H3533" s="185"/>
    </row>
    <row r="3534">
      <c r="D3534" s="185"/>
      <c r="E3534" s="185" t="s">
        <v>470</v>
      </c>
      <c r="H3534" s="185"/>
    </row>
    <row r="3535">
      <c r="D3535" s="185"/>
      <c r="E3535" s="185" t="s">
        <v>470</v>
      </c>
      <c r="H3535" s="185"/>
    </row>
    <row r="3536">
      <c r="D3536" s="185"/>
      <c r="E3536" s="185" t="s">
        <v>470</v>
      </c>
      <c r="H3536" s="185"/>
    </row>
    <row r="3537">
      <c r="D3537" s="185"/>
      <c r="E3537" s="185" t="s">
        <v>470</v>
      </c>
      <c r="H3537" s="185"/>
    </row>
    <row r="3538">
      <c r="D3538" s="185"/>
      <c r="E3538" s="185" t="s">
        <v>470</v>
      </c>
      <c r="H3538" s="185"/>
    </row>
    <row r="3539">
      <c r="D3539" s="185"/>
      <c r="E3539" s="185" t="s">
        <v>470</v>
      </c>
      <c r="H3539" s="185"/>
    </row>
    <row r="3540">
      <c r="D3540" s="185"/>
      <c r="E3540" s="185" t="s">
        <v>470</v>
      </c>
      <c r="H3540" s="185"/>
    </row>
    <row r="3541">
      <c r="D3541" s="185"/>
      <c r="E3541" s="185" t="s">
        <v>470</v>
      </c>
      <c r="H3541" s="185"/>
    </row>
    <row r="3542">
      <c r="D3542" s="185"/>
      <c r="E3542" s="185" t="s">
        <v>470</v>
      </c>
      <c r="H3542" s="185"/>
    </row>
    <row r="3543">
      <c r="D3543" s="185"/>
      <c r="E3543" s="185" t="s">
        <v>470</v>
      </c>
      <c r="H3543" s="185"/>
    </row>
    <row r="3544">
      <c r="D3544" s="185"/>
      <c r="E3544" s="185" t="s">
        <v>470</v>
      </c>
      <c r="H3544" s="185"/>
    </row>
    <row r="3545">
      <c r="D3545" s="185"/>
      <c r="E3545" s="185" t="s">
        <v>470</v>
      </c>
      <c r="H3545" s="185"/>
    </row>
    <row r="3546">
      <c r="D3546" s="185"/>
      <c r="E3546" s="185" t="s">
        <v>470</v>
      </c>
      <c r="H3546" s="185"/>
    </row>
    <row r="3547">
      <c r="D3547" s="185"/>
      <c r="E3547" s="185" t="s">
        <v>470</v>
      </c>
      <c r="H3547" s="185"/>
    </row>
    <row r="3548">
      <c r="D3548" s="185"/>
      <c r="E3548" s="185" t="s">
        <v>470</v>
      </c>
      <c r="H3548" s="185"/>
    </row>
    <row r="3549">
      <c r="D3549" s="185"/>
      <c r="E3549" s="185" t="s">
        <v>470</v>
      </c>
      <c r="H3549" s="185"/>
    </row>
    <row r="3550">
      <c r="D3550" s="185"/>
      <c r="E3550" s="185" t="s">
        <v>470</v>
      </c>
      <c r="H3550" s="185"/>
    </row>
    <row r="3551">
      <c r="D3551" s="185"/>
      <c r="E3551" s="185" t="s">
        <v>470</v>
      </c>
      <c r="H3551" s="185"/>
    </row>
    <row r="3552">
      <c r="D3552" s="185"/>
      <c r="E3552" s="185" t="s">
        <v>470</v>
      </c>
      <c r="H3552" s="185"/>
    </row>
    <row r="3553">
      <c r="D3553" s="185"/>
      <c r="E3553" s="185" t="s">
        <v>470</v>
      </c>
      <c r="H3553" s="185"/>
    </row>
    <row r="3554">
      <c r="D3554" s="185"/>
      <c r="E3554" s="185" t="s">
        <v>470</v>
      </c>
      <c r="H3554" s="185"/>
    </row>
    <row r="3555">
      <c r="D3555" s="185"/>
      <c r="E3555" s="185" t="s">
        <v>470</v>
      </c>
      <c r="H3555" s="185"/>
    </row>
    <row r="3556">
      <c r="D3556" s="185"/>
      <c r="E3556" s="185" t="s">
        <v>470</v>
      </c>
      <c r="H3556" s="185"/>
    </row>
    <row r="3557">
      <c r="D3557" s="185"/>
      <c r="E3557" s="185" t="s">
        <v>470</v>
      </c>
      <c r="H3557" s="185"/>
    </row>
    <row r="3558">
      <c r="D3558" s="185"/>
      <c r="E3558" s="185" t="s">
        <v>470</v>
      </c>
      <c r="H3558" s="185"/>
    </row>
    <row r="3559">
      <c r="D3559" s="185"/>
      <c r="E3559" s="185" t="s">
        <v>470</v>
      </c>
      <c r="H3559" s="185"/>
    </row>
    <row r="3560">
      <c r="D3560" s="185"/>
      <c r="E3560" s="185" t="s">
        <v>470</v>
      </c>
      <c r="H3560" s="185"/>
    </row>
    <row r="3561">
      <c r="D3561" s="185"/>
      <c r="E3561" s="185" t="s">
        <v>470</v>
      </c>
      <c r="H3561" s="185"/>
    </row>
    <row r="3562">
      <c r="D3562" s="185"/>
      <c r="E3562" s="185" t="s">
        <v>470</v>
      </c>
      <c r="H3562" s="185"/>
    </row>
    <row r="3563">
      <c r="D3563" s="185"/>
      <c r="E3563" s="185" t="s">
        <v>470</v>
      </c>
      <c r="H3563" s="185"/>
    </row>
    <row r="3564">
      <c r="D3564" s="185"/>
      <c r="E3564" s="185" t="s">
        <v>470</v>
      </c>
      <c r="H3564" s="185"/>
    </row>
    <row r="3565">
      <c r="D3565" s="185"/>
      <c r="E3565" s="185" t="s">
        <v>470</v>
      </c>
      <c r="H3565" s="185"/>
    </row>
    <row r="3566">
      <c r="D3566" s="185"/>
      <c r="E3566" s="185" t="s">
        <v>470</v>
      </c>
      <c r="H3566" s="185"/>
    </row>
    <row r="3567">
      <c r="D3567" s="185"/>
      <c r="E3567" s="185" t="s">
        <v>470</v>
      </c>
      <c r="H3567" s="185"/>
    </row>
    <row r="3568">
      <c r="D3568" s="185"/>
      <c r="E3568" s="185" t="s">
        <v>470</v>
      </c>
      <c r="H3568" s="185"/>
    </row>
    <row r="3569">
      <c r="D3569" s="185"/>
      <c r="E3569" s="185" t="s">
        <v>470</v>
      </c>
      <c r="H3569" s="185"/>
    </row>
    <row r="3570">
      <c r="D3570" s="185"/>
      <c r="E3570" s="185" t="s">
        <v>470</v>
      </c>
      <c r="H3570" s="185"/>
    </row>
    <row r="3571">
      <c r="D3571" s="185"/>
      <c r="E3571" s="185" t="s">
        <v>470</v>
      </c>
      <c r="H3571" s="185"/>
    </row>
    <row r="3572">
      <c r="D3572" s="185"/>
      <c r="E3572" s="185" t="s">
        <v>470</v>
      </c>
      <c r="H3572" s="185"/>
    </row>
    <row r="3573">
      <c r="D3573" s="185"/>
      <c r="E3573" s="185" t="s">
        <v>470</v>
      </c>
      <c r="H3573" s="185"/>
    </row>
    <row r="3574">
      <c r="D3574" s="185"/>
      <c r="E3574" s="185" t="s">
        <v>470</v>
      </c>
      <c r="H3574" s="185"/>
    </row>
    <row r="3575">
      <c r="D3575" s="185"/>
      <c r="E3575" s="185" t="s">
        <v>470</v>
      </c>
      <c r="H3575" s="185"/>
    </row>
    <row r="3576">
      <c r="D3576" s="185"/>
      <c r="E3576" s="185" t="s">
        <v>470</v>
      </c>
      <c r="H3576" s="185"/>
    </row>
    <row r="3577">
      <c r="D3577" s="185"/>
      <c r="E3577" s="185" t="s">
        <v>470</v>
      </c>
      <c r="H3577" s="185"/>
    </row>
    <row r="3578">
      <c r="D3578" s="185"/>
      <c r="E3578" s="185" t="s">
        <v>470</v>
      </c>
      <c r="H3578" s="185"/>
    </row>
    <row r="3579">
      <c r="D3579" s="185"/>
      <c r="E3579" s="185" t="s">
        <v>470</v>
      </c>
      <c r="H3579" s="185"/>
    </row>
    <row r="3580">
      <c r="D3580" s="185"/>
      <c r="E3580" s="185" t="s">
        <v>470</v>
      </c>
      <c r="H3580" s="185"/>
    </row>
    <row r="3581">
      <c r="D3581" s="185"/>
      <c r="E3581" s="185" t="s">
        <v>470</v>
      </c>
      <c r="H3581" s="185"/>
    </row>
    <row r="3582">
      <c r="D3582" s="185"/>
      <c r="E3582" s="185" t="s">
        <v>470</v>
      </c>
      <c r="H3582" s="185"/>
    </row>
    <row r="3583">
      <c r="D3583" s="185"/>
      <c r="E3583" s="185" t="s">
        <v>470</v>
      </c>
      <c r="H3583" s="185"/>
    </row>
    <row r="3584">
      <c r="D3584" s="185"/>
      <c r="E3584" s="185" t="s">
        <v>470</v>
      </c>
      <c r="H3584" s="185"/>
    </row>
    <row r="3585">
      <c r="D3585" s="185"/>
      <c r="E3585" s="185" t="s">
        <v>470</v>
      </c>
      <c r="H3585" s="185"/>
    </row>
    <row r="3586">
      <c r="D3586" s="185"/>
      <c r="E3586" s="185" t="s">
        <v>470</v>
      </c>
      <c r="H3586" s="185"/>
    </row>
    <row r="3587">
      <c r="D3587" s="185"/>
      <c r="E3587" s="185" t="s">
        <v>470</v>
      </c>
      <c r="H3587" s="185"/>
    </row>
    <row r="3588">
      <c r="D3588" s="185"/>
      <c r="E3588" s="185" t="s">
        <v>470</v>
      </c>
      <c r="H3588" s="185"/>
    </row>
    <row r="3589">
      <c r="D3589" s="185"/>
      <c r="E3589" s="185" t="s">
        <v>470</v>
      </c>
      <c r="H3589" s="185"/>
    </row>
    <row r="3590">
      <c r="D3590" s="185"/>
      <c r="E3590" s="185" t="s">
        <v>470</v>
      </c>
      <c r="H3590" s="185"/>
    </row>
    <row r="3591">
      <c r="D3591" s="185"/>
      <c r="E3591" s="185" t="s">
        <v>470</v>
      </c>
      <c r="H3591" s="185"/>
    </row>
    <row r="3592">
      <c r="D3592" s="185"/>
      <c r="E3592" s="185" t="s">
        <v>470</v>
      </c>
      <c r="H3592" s="185"/>
    </row>
    <row r="3593">
      <c r="D3593" s="185"/>
      <c r="E3593" s="185" t="s">
        <v>470</v>
      </c>
      <c r="H3593" s="185"/>
    </row>
    <row r="3594">
      <c r="D3594" s="185"/>
      <c r="E3594" s="185" t="s">
        <v>470</v>
      </c>
      <c r="H3594" s="185"/>
    </row>
    <row r="3595">
      <c r="D3595" s="185"/>
      <c r="E3595" s="185" t="s">
        <v>470</v>
      </c>
      <c r="H3595" s="185"/>
    </row>
    <row r="3596">
      <c r="D3596" s="185"/>
      <c r="E3596" s="185" t="s">
        <v>470</v>
      </c>
      <c r="H3596" s="185"/>
    </row>
    <row r="3597">
      <c r="D3597" s="185"/>
      <c r="E3597" s="185" t="s">
        <v>470</v>
      </c>
      <c r="H3597" s="185"/>
    </row>
    <row r="3598">
      <c r="D3598" s="185"/>
      <c r="E3598" s="185" t="s">
        <v>470</v>
      </c>
      <c r="H3598" s="185"/>
    </row>
    <row r="3599">
      <c r="D3599" s="185"/>
      <c r="E3599" s="185" t="s">
        <v>470</v>
      </c>
      <c r="H3599" s="185"/>
    </row>
    <row r="3600">
      <c r="D3600" s="185"/>
      <c r="E3600" s="185" t="s">
        <v>470</v>
      </c>
      <c r="H3600" s="185"/>
    </row>
    <row r="3601">
      <c r="D3601" s="185"/>
      <c r="E3601" s="185" t="s">
        <v>470</v>
      </c>
      <c r="H3601" s="185"/>
    </row>
    <row r="3602">
      <c r="D3602" s="185"/>
      <c r="E3602" s="185" t="s">
        <v>470</v>
      </c>
      <c r="H3602" s="185"/>
    </row>
    <row r="3603">
      <c r="D3603" s="185"/>
      <c r="E3603" s="185" t="s">
        <v>470</v>
      </c>
      <c r="H3603" s="185"/>
    </row>
    <row r="3604">
      <c r="D3604" s="185"/>
      <c r="E3604" s="185" t="s">
        <v>470</v>
      </c>
      <c r="H3604" s="185"/>
    </row>
    <row r="3605">
      <c r="D3605" s="185"/>
      <c r="E3605" s="185" t="s">
        <v>470</v>
      </c>
      <c r="H3605" s="185"/>
    </row>
    <row r="3606">
      <c r="D3606" s="185"/>
      <c r="E3606" s="185" t="s">
        <v>470</v>
      </c>
      <c r="H3606" s="185"/>
    </row>
    <row r="3607">
      <c r="D3607" s="185"/>
      <c r="E3607" s="185" t="s">
        <v>470</v>
      </c>
      <c r="H3607" s="185"/>
    </row>
    <row r="3608">
      <c r="D3608" s="185"/>
      <c r="E3608" s="185" t="s">
        <v>470</v>
      </c>
      <c r="H3608" s="185"/>
    </row>
    <row r="3609">
      <c r="D3609" s="185"/>
      <c r="E3609" s="185" t="s">
        <v>470</v>
      </c>
      <c r="H3609" s="185"/>
    </row>
    <row r="3610">
      <c r="D3610" s="185"/>
      <c r="E3610" s="185" t="s">
        <v>470</v>
      </c>
      <c r="H3610" s="185"/>
    </row>
    <row r="3611">
      <c r="D3611" s="185"/>
      <c r="E3611" s="185" t="s">
        <v>470</v>
      </c>
      <c r="H3611" s="185"/>
    </row>
    <row r="3612">
      <c r="D3612" s="185"/>
      <c r="E3612" s="185" t="s">
        <v>470</v>
      </c>
      <c r="H3612" s="185"/>
    </row>
    <row r="3613">
      <c r="D3613" s="185"/>
      <c r="E3613" s="185" t="s">
        <v>470</v>
      </c>
      <c r="H3613" s="185"/>
    </row>
    <row r="3614">
      <c r="D3614" s="185"/>
      <c r="E3614" s="185" t="s">
        <v>470</v>
      </c>
      <c r="H3614" s="185"/>
    </row>
    <row r="3615">
      <c r="D3615" s="185"/>
      <c r="E3615" s="185" t="s">
        <v>470</v>
      </c>
      <c r="H3615" s="185"/>
    </row>
    <row r="3616">
      <c r="D3616" s="185"/>
      <c r="E3616" s="185" t="s">
        <v>470</v>
      </c>
      <c r="H3616" s="185"/>
    </row>
    <row r="3617">
      <c r="D3617" s="185"/>
      <c r="E3617" s="185" t="s">
        <v>470</v>
      </c>
      <c r="H3617" s="185"/>
    </row>
    <row r="3618">
      <c r="D3618" s="185"/>
      <c r="E3618" s="185" t="s">
        <v>470</v>
      </c>
      <c r="H3618" s="185"/>
    </row>
    <row r="3619">
      <c r="D3619" s="185"/>
      <c r="E3619" s="185" t="s">
        <v>470</v>
      </c>
      <c r="H3619" s="185"/>
    </row>
    <row r="3620">
      <c r="D3620" s="185"/>
      <c r="E3620" s="185" t="s">
        <v>470</v>
      </c>
      <c r="H3620" s="185"/>
    </row>
    <row r="3621">
      <c r="D3621" s="185"/>
      <c r="E3621" s="185" t="s">
        <v>470</v>
      </c>
      <c r="H3621" s="185"/>
    </row>
    <row r="3622">
      <c r="D3622" s="185"/>
      <c r="E3622" s="185" t="s">
        <v>470</v>
      </c>
      <c r="H3622" s="185"/>
    </row>
    <row r="3623">
      <c r="D3623" s="185"/>
      <c r="E3623" s="185" t="s">
        <v>470</v>
      </c>
      <c r="H3623" s="185"/>
    </row>
    <row r="3624">
      <c r="D3624" s="185"/>
      <c r="E3624" s="185" t="s">
        <v>470</v>
      </c>
      <c r="H3624" s="185"/>
    </row>
    <row r="3625">
      <c r="D3625" s="185"/>
      <c r="E3625" s="185" t="s">
        <v>470</v>
      </c>
      <c r="H3625" s="185"/>
    </row>
    <row r="3626">
      <c r="D3626" s="185"/>
      <c r="E3626" s="185" t="s">
        <v>470</v>
      </c>
      <c r="H3626" s="185"/>
    </row>
    <row r="3627">
      <c r="D3627" s="185"/>
      <c r="E3627" s="185" t="s">
        <v>470</v>
      </c>
      <c r="H3627" s="185"/>
    </row>
    <row r="3628">
      <c r="D3628" s="185"/>
      <c r="E3628" s="185" t="s">
        <v>470</v>
      </c>
      <c r="H3628" s="185"/>
    </row>
    <row r="3629">
      <c r="D3629" s="185"/>
      <c r="E3629" s="185" t="s">
        <v>470</v>
      </c>
      <c r="H3629" s="185"/>
    </row>
    <row r="3630">
      <c r="D3630" s="185"/>
      <c r="E3630" s="185" t="s">
        <v>470</v>
      </c>
      <c r="H3630" s="185"/>
    </row>
    <row r="3631">
      <c r="D3631" s="185"/>
      <c r="E3631" s="185" t="s">
        <v>470</v>
      </c>
      <c r="H3631" s="185"/>
    </row>
    <row r="3632">
      <c r="D3632" s="185"/>
      <c r="E3632" s="185" t="s">
        <v>470</v>
      </c>
      <c r="H3632" s="185"/>
    </row>
    <row r="3633">
      <c r="D3633" s="185"/>
      <c r="E3633" s="185" t="s">
        <v>470</v>
      </c>
      <c r="H3633" s="185"/>
    </row>
    <row r="3634">
      <c r="D3634" s="185"/>
      <c r="E3634" s="185" t="s">
        <v>470</v>
      </c>
      <c r="H3634" s="185"/>
    </row>
    <row r="3635">
      <c r="D3635" s="185"/>
      <c r="E3635" s="185" t="s">
        <v>470</v>
      </c>
      <c r="H3635" s="185"/>
    </row>
    <row r="3636">
      <c r="D3636" s="185"/>
      <c r="E3636" s="185" t="s">
        <v>470</v>
      </c>
      <c r="H3636" s="185"/>
    </row>
    <row r="3637">
      <c r="D3637" s="185"/>
      <c r="E3637" s="185" t="s">
        <v>470</v>
      </c>
      <c r="H3637" s="185"/>
    </row>
    <row r="3638">
      <c r="D3638" s="185"/>
      <c r="E3638" s="185" t="s">
        <v>470</v>
      </c>
      <c r="H3638" s="185"/>
    </row>
    <row r="3639">
      <c r="D3639" s="185"/>
      <c r="E3639" s="185" t="s">
        <v>470</v>
      </c>
      <c r="H3639" s="185"/>
    </row>
    <row r="3640">
      <c r="D3640" s="185"/>
      <c r="E3640" s="185" t="s">
        <v>470</v>
      </c>
      <c r="H3640" s="185"/>
    </row>
    <row r="3641">
      <c r="D3641" s="185"/>
      <c r="E3641" s="185" t="s">
        <v>470</v>
      </c>
      <c r="H3641" s="185"/>
    </row>
    <row r="3642">
      <c r="D3642" s="185"/>
      <c r="E3642" s="185" t="s">
        <v>470</v>
      </c>
      <c r="H3642" s="185"/>
    </row>
    <row r="3643">
      <c r="D3643" s="185"/>
      <c r="E3643" s="185" t="s">
        <v>470</v>
      </c>
      <c r="H3643" s="185"/>
    </row>
    <row r="3644">
      <c r="D3644" s="185"/>
      <c r="E3644" s="185" t="s">
        <v>470</v>
      </c>
      <c r="H3644" s="185"/>
    </row>
    <row r="3645">
      <c r="D3645" s="185"/>
      <c r="E3645" s="185" t="s">
        <v>470</v>
      </c>
      <c r="H3645" s="185"/>
    </row>
    <row r="3646">
      <c r="D3646" s="185"/>
      <c r="E3646" s="185" t="s">
        <v>470</v>
      </c>
      <c r="H3646" s="185"/>
    </row>
    <row r="3647">
      <c r="D3647" s="185"/>
      <c r="E3647" s="185" t="s">
        <v>470</v>
      </c>
      <c r="H3647" s="185"/>
    </row>
    <row r="3648">
      <c r="D3648" s="185"/>
      <c r="E3648" s="185" t="s">
        <v>470</v>
      </c>
      <c r="H3648" s="185"/>
    </row>
    <row r="3649">
      <c r="D3649" s="185"/>
      <c r="E3649" s="185" t="s">
        <v>470</v>
      </c>
      <c r="H3649" s="185"/>
    </row>
    <row r="3650">
      <c r="D3650" s="185"/>
      <c r="E3650" s="185" t="s">
        <v>470</v>
      </c>
      <c r="H3650" s="185"/>
    </row>
    <row r="3651">
      <c r="D3651" s="185"/>
      <c r="E3651" s="185" t="s">
        <v>470</v>
      </c>
      <c r="H3651" s="185"/>
    </row>
    <row r="3652">
      <c r="D3652" s="185"/>
      <c r="E3652" s="185" t="s">
        <v>470</v>
      </c>
      <c r="H3652" s="185"/>
    </row>
    <row r="3653">
      <c r="D3653" s="185"/>
      <c r="E3653" s="185" t="s">
        <v>470</v>
      </c>
      <c r="H3653" s="185"/>
    </row>
    <row r="3654">
      <c r="D3654" s="185"/>
      <c r="E3654" s="185" t="s">
        <v>470</v>
      </c>
      <c r="H3654" s="185"/>
    </row>
    <row r="3655">
      <c r="D3655" s="185"/>
      <c r="E3655" s="185" t="s">
        <v>470</v>
      </c>
      <c r="H3655" s="185"/>
    </row>
    <row r="3656">
      <c r="D3656" s="185"/>
      <c r="E3656" s="185" t="s">
        <v>470</v>
      </c>
      <c r="H3656" s="185"/>
    </row>
    <row r="3657">
      <c r="D3657" s="185"/>
      <c r="E3657" s="185" t="s">
        <v>470</v>
      </c>
      <c r="H3657" s="185"/>
    </row>
    <row r="3658">
      <c r="D3658" s="185"/>
      <c r="E3658" s="185" t="s">
        <v>470</v>
      </c>
      <c r="H3658" s="185"/>
    </row>
    <row r="3659">
      <c r="D3659" s="185"/>
      <c r="E3659" s="185" t="s">
        <v>470</v>
      </c>
      <c r="H3659" s="185"/>
    </row>
    <row r="3660">
      <c r="D3660" s="185"/>
      <c r="E3660" s="185" t="s">
        <v>470</v>
      </c>
      <c r="H3660" s="185"/>
    </row>
    <row r="3661">
      <c r="D3661" s="185"/>
      <c r="E3661" s="185" t="s">
        <v>470</v>
      </c>
      <c r="H3661" s="185"/>
    </row>
    <row r="3662">
      <c r="D3662" s="185"/>
      <c r="E3662" s="185" t="s">
        <v>470</v>
      </c>
      <c r="H3662" s="185"/>
    </row>
    <row r="3663">
      <c r="D3663" s="185"/>
      <c r="E3663" s="185" t="s">
        <v>470</v>
      </c>
      <c r="H3663" s="185"/>
    </row>
    <row r="3664">
      <c r="D3664" s="185"/>
      <c r="E3664" s="185" t="s">
        <v>470</v>
      </c>
      <c r="H3664" s="185"/>
    </row>
    <row r="3665">
      <c r="D3665" s="185"/>
      <c r="E3665" s="185" t="s">
        <v>470</v>
      </c>
      <c r="H3665" s="185"/>
    </row>
    <row r="3666">
      <c r="D3666" s="185"/>
      <c r="E3666" s="185" t="s">
        <v>470</v>
      </c>
      <c r="H3666" s="185"/>
    </row>
    <row r="3667">
      <c r="D3667" s="185"/>
      <c r="E3667" s="185" t="s">
        <v>470</v>
      </c>
      <c r="H3667" s="185"/>
    </row>
    <row r="3668">
      <c r="D3668" s="185"/>
      <c r="E3668" s="185" t="s">
        <v>470</v>
      </c>
      <c r="H3668" s="185"/>
    </row>
    <row r="3669">
      <c r="D3669" s="185"/>
      <c r="E3669" s="185" t="s">
        <v>470</v>
      </c>
      <c r="H3669" s="185"/>
    </row>
    <row r="3670">
      <c r="D3670" s="185"/>
      <c r="E3670" s="185" t="s">
        <v>470</v>
      </c>
      <c r="H3670" s="185"/>
    </row>
    <row r="3671">
      <c r="D3671" s="185"/>
      <c r="E3671" s="185" t="s">
        <v>470</v>
      </c>
      <c r="H3671" s="185"/>
    </row>
    <row r="3672">
      <c r="D3672" s="185"/>
      <c r="E3672" s="185" t="s">
        <v>470</v>
      </c>
      <c r="H3672" s="185"/>
    </row>
    <row r="3673">
      <c r="D3673" s="185"/>
      <c r="E3673" s="185" t="s">
        <v>470</v>
      </c>
      <c r="H3673" s="185"/>
    </row>
    <row r="3674">
      <c r="D3674" s="185"/>
      <c r="E3674" s="185" t="s">
        <v>470</v>
      </c>
      <c r="H3674" s="185"/>
    </row>
    <row r="3675">
      <c r="D3675" s="185"/>
      <c r="E3675" s="185" t="s">
        <v>470</v>
      </c>
      <c r="H3675" s="185"/>
    </row>
    <row r="3676">
      <c r="D3676" s="185"/>
      <c r="E3676" s="185" t="s">
        <v>470</v>
      </c>
      <c r="H3676" s="185"/>
    </row>
    <row r="3677">
      <c r="D3677" s="185"/>
      <c r="E3677" s="185" t="s">
        <v>470</v>
      </c>
      <c r="H3677" s="185"/>
    </row>
    <row r="3678">
      <c r="D3678" s="185"/>
      <c r="E3678" s="185" t="s">
        <v>470</v>
      </c>
      <c r="H3678" s="185"/>
    </row>
    <row r="3679">
      <c r="D3679" s="185"/>
      <c r="E3679" s="185" t="s">
        <v>470</v>
      </c>
      <c r="H3679" s="185"/>
    </row>
    <row r="3680">
      <c r="D3680" s="185"/>
      <c r="E3680" s="185" t="s">
        <v>470</v>
      </c>
      <c r="H3680" s="185"/>
    </row>
    <row r="3681">
      <c r="D3681" s="185"/>
      <c r="E3681" s="185" t="s">
        <v>470</v>
      </c>
      <c r="H3681" s="185"/>
    </row>
    <row r="3682">
      <c r="D3682" s="185"/>
      <c r="E3682" s="185" t="s">
        <v>470</v>
      </c>
      <c r="H3682" s="185"/>
    </row>
    <row r="3683">
      <c r="D3683" s="185"/>
      <c r="E3683" s="185" t="s">
        <v>470</v>
      </c>
      <c r="H3683" s="185"/>
    </row>
    <row r="3684">
      <c r="D3684" s="185"/>
      <c r="E3684" s="185" t="s">
        <v>470</v>
      </c>
      <c r="H3684" s="185"/>
    </row>
    <row r="3685">
      <c r="D3685" s="185"/>
      <c r="E3685" s="185" t="s">
        <v>470</v>
      </c>
      <c r="H3685" s="185"/>
    </row>
    <row r="3686">
      <c r="D3686" s="185"/>
      <c r="E3686" s="185" t="s">
        <v>470</v>
      </c>
      <c r="H3686" s="185"/>
    </row>
    <row r="3687">
      <c r="D3687" s="185"/>
      <c r="E3687" s="185" t="s">
        <v>470</v>
      </c>
      <c r="H3687" s="185"/>
    </row>
    <row r="3688">
      <c r="D3688" s="185"/>
      <c r="E3688" s="185" t="s">
        <v>470</v>
      </c>
      <c r="H3688" s="185"/>
    </row>
    <row r="3689">
      <c r="D3689" s="185"/>
      <c r="E3689" s="185" t="s">
        <v>470</v>
      </c>
      <c r="H3689" s="185"/>
    </row>
    <row r="3690">
      <c r="D3690" s="185"/>
      <c r="E3690" s="185" t="s">
        <v>470</v>
      </c>
      <c r="H3690" s="185"/>
    </row>
    <row r="3691">
      <c r="D3691" s="185"/>
      <c r="E3691" s="185" t="s">
        <v>470</v>
      </c>
      <c r="H3691" s="185"/>
    </row>
    <row r="3692">
      <c r="D3692" s="185"/>
      <c r="E3692" s="185" t="s">
        <v>470</v>
      </c>
      <c r="H3692" s="185"/>
    </row>
    <row r="3693">
      <c r="D3693" s="185"/>
      <c r="E3693" s="185" t="s">
        <v>470</v>
      </c>
      <c r="H3693" s="185"/>
    </row>
    <row r="3694">
      <c r="D3694" s="185"/>
      <c r="E3694" s="185" t="s">
        <v>470</v>
      </c>
      <c r="H3694" s="185"/>
    </row>
    <row r="3695">
      <c r="D3695" s="185"/>
      <c r="E3695" s="185" t="s">
        <v>470</v>
      </c>
      <c r="H3695" s="185"/>
    </row>
    <row r="3696">
      <c r="D3696" s="185"/>
      <c r="E3696" s="185" t="s">
        <v>470</v>
      </c>
      <c r="H3696" s="185"/>
    </row>
    <row r="3697">
      <c r="D3697" s="185"/>
      <c r="E3697" s="185" t="s">
        <v>470</v>
      </c>
      <c r="H3697" s="185"/>
    </row>
    <row r="3698">
      <c r="D3698" s="185"/>
      <c r="E3698" s="185" t="s">
        <v>470</v>
      </c>
      <c r="H3698" s="185"/>
    </row>
    <row r="3699">
      <c r="D3699" s="185"/>
      <c r="E3699" s="185" t="s">
        <v>470</v>
      </c>
      <c r="H3699" s="185"/>
    </row>
    <row r="3700">
      <c r="D3700" s="185"/>
      <c r="E3700" s="185" t="s">
        <v>470</v>
      </c>
      <c r="H3700" s="185"/>
    </row>
    <row r="3701">
      <c r="D3701" s="185"/>
      <c r="E3701" s="185" t="s">
        <v>470</v>
      </c>
      <c r="H3701" s="185"/>
    </row>
    <row r="3702">
      <c r="D3702" s="185"/>
      <c r="E3702" s="185" t="s">
        <v>470</v>
      </c>
      <c r="H3702" s="185"/>
    </row>
    <row r="3703">
      <c r="D3703" s="185"/>
      <c r="E3703" s="185" t="s">
        <v>470</v>
      </c>
      <c r="H3703" s="185"/>
    </row>
    <row r="3704">
      <c r="D3704" s="185"/>
      <c r="E3704" s="185" t="s">
        <v>470</v>
      </c>
      <c r="H3704" s="185"/>
    </row>
    <row r="3705">
      <c r="D3705" s="185"/>
      <c r="E3705" s="185" t="s">
        <v>470</v>
      </c>
      <c r="H3705" s="185"/>
    </row>
    <row r="3706">
      <c r="D3706" s="185"/>
      <c r="E3706" s="185" t="s">
        <v>470</v>
      </c>
      <c r="H3706" s="185"/>
    </row>
    <row r="3707">
      <c r="D3707" s="185"/>
      <c r="E3707" s="185" t="s">
        <v>470</v>
      </c>
      <c r="H3707" s="185"/>
    </row>
    <row r="3708">
      <c r="D3708" s="185"/>
      <c r="E3708" s="185" t="s">
        <v>470</v>
      </c>
      <c r="H3708" s="185"/>
    </row>
    <row r="3709">
      <c r="D3709" s="185"/>
      <c r="E3709" s="185" t="s">
        <v>470</v>
      </c>
      <c r="H3709" s="185"/>
    </row>
    <row r="3710">
      <c r="D3710" s="185"/>
      <c r="E3710" s="185" t="s">
        <v>470</v>
      </c>
      <c r="H3710" s="185"/>
    </row>
    <row r="3711">
      <c r="D3711" s="185"/>
      <c r="E3711" s="185" t="s">
        <v>470</v>
      </c>
      <c r="H3711" s="185"/>
    </row>
    <row r="3712">
      <c r="D3712" s="185"/>
      <c r="E3712" s="185" t="s">
        <v>470</v>
      </c>
      <c r="H3712" s="185"/>
    </row>
    <row r="3713">
      <c r="D3713" s="185"/>
      <c r="E3713" s="185" t="s">
        <v>470</v>
      </c>
      <c r="H3713" s="185"/>
    </row>
    <row r="3714">
      <c r="D3714" s="185"/>
      <c r="E3714" s="185" t="s">
        <v>470</v>
      </c>
      <c r="H3714" s="185"/>
    </row>
    <row r="3715">
      <c r="D3715" s="185"/>
      <c r="E3715" s="185" t="s">
        <v>470</v>
      </c>
      <c r="H3715" s="185"/>
    </row>
    <row r="3716">
      <c r="D3716" s="185"/>
      <c r="E3716" s="185" t="s">
        <v>470</v>
      </c>
      <c r="H3716" s="185"/>
    </row>
    <row r="3717">
      <c r="D3717" s="185"/>
      <c r="E3717" s="185" t="s">
        <v>470</v>
      </c>
      <c r="H3717" s="185"/>
    </row>
    <row r="3718">
      <c r="D3718" s="185"/>
      <c r="E3718" s="185" t="s">
        <v>470</v>
      </c>
      <c r="H3718" s="185"/>
    </row>
    <row r="3719">
      <c r="D3719" s="185"/>
      <c r="E3719" s="185" t="s">
        <v>470</v>
      </c>
      <c r="H3719" s="185"/>
    </row>
    <row r="3720">
      <c r="D3720" s="185"/>
      <c r="E3720" s="185" t="s">
        <v>470</v>
      </c>
      <c r="H3720" s="185"/>
    </row>
    <row r="3721">
      <c r="D3721" s="185"/>
      <c r="E3721" s="185" t="s">
        <v>470</v>
      </c>
      <c r="H3721" s="185"/>
    </row>
    <row r="3722">
      <c r="D3722" s="185"/>
      <c r="E3722" s="185" t="s">
        <v>470</v>
      </c>
      <c r="H3722" s="185"/>
    </row>
    <row r="3723">
      <c r="D3723" s="185"/>
      <c r="E3723" s="185" t="s">
        <v>470</v>
      </c>
      <c r="H3723" s="185"/>
    </row>
    <row r="3724">
      <c r="D3724" s="185"/>
      <c r="E3724" s="185" t="s">
        <v>470</v>
      </c>
      <c r="H3724" s="185"/>
    </row>
    <row r="3725">
      <c r="D3725" s="185"/>
      <c r="E3725" s="185" t="s">
        <v>470</v>
      </c>
      <c r="H3725" s="185"/>
    </row>
    <row r="3726">
      <c r="D3726" s="185"/>
      <c r="E3726" s="185" t="s">
        <v>470</v>
      </c>
      <c r="H3726" s="185"/>
    </row>
    <row r="3727">
      <c r="D3727" s="185"/>
      <c r="E3727" s="185" t="s">
        <v>470</v>
      </c>
      <c r="H3727" s="185"/>
    </row>
    <row r="3728">
      <c r="D3728" s="185"/>
      <c r="E3728" s="185" t="s">
        <v>470</v>
      </c>
      <c r="H3728" s="185"/>
    </row>
    <row r="3729">
      <c r="D3729" s="185"/>
      <c r="E3729" s="185" t="s">
        <v>470</v>
      </c>
      <c r="H3729" s="185"/>
    </row>
    <row r="3730">
      <c r="D3730" s="185"/>
      <c r="E3730" s="185" t="s">
        <v>470</v>
      </c>
      <c r="H3730" s="185"/>
    </row>
    <row r="3731">
      <c r="D3731" s="185"/>
      <c r="E3731" s="185" t="s">
        <v>470</v>
      </c>
      <c r="H3731" s="185"/>
    </row>
    <row r="3732">
      <c r="D3732" s="185"/>
      <c r="E3732" s="185" t="s">
        <v>470</v>
      </c>
      <c r="H3732" s="185"/>
    </row>
    <row r="3733">
      <c r="D3733" s="185"/>
      <c r="E3733" s="185" t="s">
        <v>470</v>
      </c>
      <c r="H3733" s="185"/>
    </row>
    <row r="3734">
      <c r="D3734" s="185"/>
      <c r="E3734" s="185" t="s">
        <v>470</v>
      </c>
      <c r="H3734" s="185"/>
    </row>
    <row r="3735">
      <c r="D3735" s="185"/>
      <c r="E3735" s="185" t="s">
        <v>470</v>
      </c>
      <c r="H3735" s="185"/>
    </row>
    <row r="3736">
      <c r="D3736" s="185"/>
      <c r="E3736" s="185" t="s">
        <v>470</v>
      </c>
      <c r="H3736" s="185"/>
    </row>
    <row r="3737">
      <c r="D3737" s="185"/>
      <c r="E3737" s="185" t="s">
        <v>470</v>
      </c>
      <c r="H3737" s="185"/>
    </row>
    <row r="3738">
      <c r="D3738" s="185"/>
      <c r="E3738" s="185" t="s">
        <v>470</v>
      </c>
      <c r="H3738" s="185"/>
    </row>
    <row r="3739">
      <c r="D3739" s="185"/>
      <c r="E3739" s="185" t="s">
        <v>470</v>
      </c>
      <c r="H3739" s="185"/>
    </row>
    <row r="3740">
      <c r="D3740" s="185"/>
      <c r="E3740" s="185" t="s">
        <v>470</v>
      </c>
      <c r="H3740" s="185"/>
    </row>
    <row r="3741">
      <c r="D3741" s="185"/>
      <c r="E3741" s="185" t="s">
        <v>470</v>
      </c>
      <c r="H3741" s="185"/>
    </row>
    <row r="3742">
      <c r="D3742" s="185"/>
      <c r="E3742" s="185" t="s">
        <v>470</v>
      </c>
      <c r="H3742" s="185"/>
    </row>
    <row r="3743">
      <c r="D3743" s="185"/>
      <c r="E3743" s="185" t="s">
        <v>470</v>
      </c>
      <c r="H3743" s="185"/>
    </row>
    <row r="3744">
      <c r="D3744" s="185"/>
      <c r="E3744" s="185" t="s">
        <v>470</v>
      </c>
      <c r="H3744" s="185"/>
    </row>
    <row r="3745">
      <c r="D3745" s="185"/>
      <c r="E3745" s="185" t="s">
        <v>470</v>
      </c>
      <c r="H3745" s="185"/>
    </row>
    <row r="3746">
      <c r="D3746" s="185"/>
      <c r="E3746" s="185" t="s">
        <v>470</v>
      </c>
      <c r="H3746" s="185"/>
    </row>
    <row r="3747">
      <c r="D3747" s="185"/>
      <c r="E3747" s="185" t="s">
        <v>470</v>
      </c>
      <c r="H3747" s="185"/>
    </row>
    <row r="3748">
      <c r="D3748" s="185"/>
      <c r="E3748" s="185" t="s">
        <v>470</v>
      </c>
      <c r="H3748" s="185"/>
    </row>
    <row r="3749">
      <c r="D3749" s="185"/>
      <c r="E3749" s="185" t="s">
        <v>470</v>
      </c>
      <c r="H3749" s="185"/>
    </row>
    <row r="3750">
      <c r="D3750" s="185"/>
      <c r="E3750" s="185" t="s">
        <v>470</v>
      </c>
      <c r="H3750" s="185"/>
    </row>
    <row r="3751">
      <c r="D3751" s="185"/>
      <c r="E3751" s="185" t="s">
        <v>470</v>
      </c>
      <c r="H3751" s="185"/>
    </row>
    <row r="3752">
      <c r="D3752" s="185"/>
      <c r="E3752" s="185" t="s">
        <v>470</v>
      </c>
      <c r="H3752" s="185"/>
    </row>
    <row r="3753">
      <c r="D3753" s="185"/>
      <c r="E3753" s="185" t="s">
        <v>470</v>
      </c>
      <c r="H3753" s="185"/>
    </row>
    <row r="3754">
      <c r="D3754" s="185"/>
      <c r="E3754" s="185" t="s">
        <v>470</v>
      </c>
      <c r="H3754" s="185"/>
    </row>
    <row r="3755">
      <c r="D3755" s="185"/>
      <c r="E3755" s="185" t="s">
        <v>470</v>
      </c>
      <c r="H3755" s="185"/>
    </row>
    <row r="3756">
      <c r="D3756" s="185"/>
      <c r="E3756" s="185" t="s">
        <v>470</v>
      </c>
      <c r="H3756" s="185"/>
    </row>
    <row r="3757">
      <c r="D3757" s="185"/>
      <c r="E3757" s="185" t="s">
        <v>470</v>
      </c>
      <c r="H3757" s="185"/>
    </row>
    <row r="3758">
      <c r="D3758" s="185"/>
      <c r="E3758" s="185" t="s">
        <v>470</v>
      </c>
      <c r="H3758" s="185"/>
    </row>
    <row r="3759">
      <c r="D3759" s="185"/>
      <c r="E3759" s="185" t="s">
        <v>470</v>
      </c>
      <c r="H3759" s="185"/>
    </row>
    <row r="3760">
      <c r="D3760" s="185"/>
      <c r="E3760" s="185" t="s">
        <v>470</v>
      </c>
      <c r="H3760" s="185"/>
    </row>
    <row r="3761">
      <c r="D3761" s="185"/>
      <c r="E3761" s="185" t="s">
        <v>470</v>
      </c>
      <c r="H3761" s="185"/>
    </row>
    <row r="3762">
      <c r="D3762" s="185"/>
      <c r="E3762" s="185" t="s">
        <v>470</v>
      </c>
      <c r="H3762" s="185"/>
    </row>
    <row r="3763">
      <c r="D3763" s="185"/>
      <c r="E3763" s="185" t="s">
        <v>470</v>
      </c>
      <c r="H3763" s="185"/>
    </row>
    <row r="3764">
      <c r="D3764" s="185"/>
      <c r="E3764" s="185" t="s">
        <v>470</v>
      </c>
      <c r="H3764" s="185"/>
    </row>
    <row r="3765">
      <c r="D3765" s="185"/>
      <c r="E3765" s="185" t="s">
        <v>470</v>
      </c>
      <c r="H3765" s="185"/>
    </row>
    <row r="3766">
      <c r="D3766" s="185"/>
      <c r="E3766" s="185" t="s">
        <v>470</v>
      </c>
      <c r="H3766" s="185"/>
    </row>
    <row r="3767">
      <c r="D3767" s="185"/>
      <c r="E3767" s="185" t="s">
        <v>470</v>
      </c>
      <c r="H3767" s="185"/>
    </row>
    <row r="3768">
      <c r="D3768" s="185"/>
      <c r="E3768" s="185" t="s">
        <v>470</v>
      </c>
      <c r="H3768" s="185"/>
    </row>
    <row r="3769">
      <c r="D3769" s="185"/>
      <c r="E3769" s="185" t="s">
        <v>470</v>
      </c>
      <c r="H3769" s="185"/>
    </row>
    <row r="3770">
      <c r="D3770" s="185"/>
      <c r="E3770" s="185" t="s">
        <v>470</v>
      </c>
      <c r="H3770" s="185"/>
    </row>
    <row r="3771">
      <c r="D3771" s="185"/>
      <c r="E3771" s="185" t="s">
        <v>470</v>
      </c>
      <c r="H3771" s="185"/>
    </row>
    <row r="3772">
      <c r="D3772" s="185"/>
      <c r="E3772" s="185" t="s">
        <v>470</v>
      </c>
      <c r="H3772" s="185"/>
    </row>
    <row r="3773">
      <c r="D3773" s="185"/>
      <c r="E3773" s="185" t="s">
        <v>470</v>
      </c>
      <c r="H3773" s="185"/>
    </row>
    <row r="3774">
      <c r="D3774" s="185"/>
      <c r="E3774" s="185" t="s">
        <v>470</v>
      </c>
      <c r="H3774" s="185"/>
    </row>
    <row r="3775">
      <c r="D3775" s="185"/>
      <c r="E3775" s="185" t="s">
        <v>470</v>
      </c>
      <c r="H3775" s="185"/>
    </row>
    <row r="3776">
      <c r="D3776" s="185"/>
      <c r="E3776" s="185" t="s">
        <v>470</v>
      </c>
      <c r="H3776" s="185"/>
    </row>
    <row r="3777">
      <c r="D3777" s="185"/>
      <c r="E3777" s="185" t="s">
        <v>470</v>
      </c>
      <c r="H3777" s="185"/>
    </row>
    <row r="3778">
      <c r="D3778" s="185"/>
      <c r="E3778" s="185" t="s">
        <v>470</v>
      </c>
      <c r="H3778" s="185"/>
    </row>
    <row r="3779">
      <c r="D3779" s="185"/>
      <c r="E3779" s="185" t="s">
        <v>470</v>
      </c>
      <c r="H3779" s="185"/>
    </row>
    <row r="3780">
      <c r="D3780" s="185"/>
      <c r="E3780" s="185" t="s">
        <v>470</v>
      </c>
      <c r="H3780" s="185"/>
    </row>
    <row r="3781">
      <c r="D3781" s="185"/>
      <c r="E3781" s="185" t="s">
        <v>470</v>
      </c>
      <c r="H3781" s="185"/>
    </row>
    <row r="3782">
      <c r="D3782" s="185"/>
      <c r="E3782" s="185" t="s">
        <v>470</v>
      </c>
      <c r="H3782" s="185"/>
    </row>
    <row r="3783">
      <c r="D3783" s="185"/>
      <c r="E3783" s="185" t="s">
        <v>470</v>
      </c>
      <c r="H3783" s="185"/>
    </row>
    <row r="3784">
      <c r="D3784" s="185"/>
      <c r="E3784" s="185" t="s">
        <v>470</v>
      </c>
      <c r="H3784" s="185"/>
    </row>
    <row r="3785">
      <c r="D3785" s="185"/>
      <c r="E3785" s="185" t="s">
        <v>470</v>
      </c>
      <c r="H3785" s="185"/>
    </row>
    <row r="3786">
      <c r="D3786" s="185"/>
      <c r="E3786" s="185" t="s">
        <v>470</v>
      </c>
      <c r="H3786" s="185"/>
    </row>
    <row r="3787">
      <c r="D3787" s="185"/>
      <c r="E3787" s="185" t="s">
        <v>470</v>
      </c>
      <c r="H3787" s="185"/>
    </row>
    <row r="3788">
      <c r="D3788" s="185"/>
      <c r="E3788" s="185" t="s">
        <v>470</v>
      </c>
      <c r="H3788" s="185"/>
    </row>
    <row r="3789">
      <c r="D3789" s="185"/>
      <c r="E3789" s="185" t="s">
        <v>470</v>
      </c>
      <c r="H3789" s="185"/>
    </row>
    <row r="3790">
      <c r="D3790" s="185"/>
      <c r="E3790" s="185" t="s">
        <v>470</v>
      </c>
      <c r="H3790" s="185"/>
    </row>
    <row r="3791">
      <c r="D3791" s="185"/>
      <c r="E3791" s="185" t="s">
        <v>470</v>
      </c>
      <c r="H3791" s="185"/>
    </row>
    <row r="3792">
      <c r="D3792" s="185"/>
      <c r="E3792" s="185" t="s">
        <v>470</v>
      </c>
      <c r="H3792" s="185"/>
    </row>
    <row r="3793">
      <c r="D3793" s="185"/>
      <c r="E3793" s="185" t="s">
        <v>470</v>
      </c>
      <c r="H3793" s="185"/>
    </row>
    <row r="3794">
      <c r="D3794" s="185"/>
      <c r="E3794" s="185" t="s">
        <v>470</v>
      </c>
      <c r="H3794" s="185"/>
    </row>
    <row r="3795">
      <c r="D3795" s="185"/>
      <c r="E3795" s="185" t="s">
        <v>470</v>
      </c>
      <c r="H3795" s="185"/>
    </row>
    <row r="3796">
      <c r="D3796" s="185"/>
      <c r="E3796" s="185" t="s">
        <v>470</v>
      </c>
      <c r="H3796" s="185"/>
    </row>
    <row r="3797">
      <c r="D3797" s="185"/>
      <c r="E3797" s="185" t="s">
        <v>470</v>
      </c>
      <c r="H3797" s="185"/>
    </row>
    <row r="3798">
      <c r="D3798" s="185"/>
      <c r="E3798" s="185" t="s">
        <v>470</v>
      </c>
      <c r="H3798" s="185"/>
    </row>
    <row r="3799">
      <c r="D3799" s="185"/>
      <c r="E3799" s="185" t="s">
        <v>470</v>
      </c>
      <c r="H3799" s="185"/>
    </row>
    <row r="3800">
      <c r="D3800" s="185"/>
      <c r="E3800" s="185" t="s">
        <v>470</v>
      </c>
      <c r="H3800" s="185"/>
    </row>
    <row r="3801">
      <c r="D3801" s="185"/>
      <c r="E3801" s="185" t="s">
        <v>470</v>
      </c>
      <c r="H3801" s="185"/>
    </row>
    <row r="3802">
      <c r="D3802" s="185"/>
      <c r="E3802" s="185" t="s">
        <v>470</v>
      </c>
      <c r="H3802" s="185"/>
    </row>
    <row r="3803">
      <c r="D3803" s="185"/>
      <c r="E3803" s="185" t="s">
        <v>470</v>
      </c>
      <c r="H3803" s="185"/>
    </row>
    <row r="3804">
      <c r="D3804" s="185"/>
      <c r="E3804" s="185" t="s">
        <v>470</v>
      </c>
      <c r="H3804" s="185"/>
    </row>
    <row r="3805">
      <c r="D3805" s="185"/>
      <c r="E3805" s="185" t="s">
        <v>470</v>
      </c>
      <c r="H3805" s="185"/>
    </row>
    <row r="3806">
      <c r="D3806" s="185"/>
      <c r="E3806" s="185" t="s">
        <v>470</v>
      </c>
      <c r="H3806" s="185"/>
    </row>
    <row r="3807">
      <c r="D3807" s="185"/>
      <c r="E3807" s="185" t="s">
        <v>470</v>
      </c>
      <c r="H3807" s="185"/>
    </row>
    <row r="3808">
      <c r="D3808" s="185"/>
      <c r="E3808" s="185" t="s">
        <v>470</v>
      </c>
      <c r="H3808" s="185"/>
    </row>
    <row r="3809">
      <c r="D3809" s="185"/>
      <c r="E3809" s="185" t="s">
        <v>470</v>
      </c>
      <c r="H3809" s="185"/>
    </row>
    <row r="3810">
      <c r="D3810" s="185"/>
      <c r="E3810" s="185" t="s">
        <v>470</v>
      </c>
      <c r="H3810" s="185"/>
    </row>
    <row r="3811">
      <c r="D3811" s="185"/>
      <c r="E3811" s="185" t="s">
        <v>470</v>
      </c>
      <c r="H3811" s="185"/>
    </row>
    <row r="3812">
      <c r="D3812" s="185"/>
      <c r="E3812" s="185" t="s">
        <v>470</v>
      </c>
      <c r="H3812" s="185"/>
    </row>
    <row r="3813">
      <c r="D3813" s="185"/>
      <c r="E3813" s="185" t="s">
        <v>470</v>
      </c>
      <c r="H3813" s="185"/>
    </row>
    <row r="3814">
      <c r="D3814" s="185"/>
      <c r="E3814" s="185" t="s">
        <v>470</v>
      </c>
      <c r="H3814" s="185"/>
    </row>
    <row r="3815">
      <c r="D3815" s="185"/>
      <c r="E3815" s="185" t="s">
        <v>470</v>
      </c>
      <c r="H3815" s="185"/>
    </row>
    <row r="3816">
      <c r="D3816" s="185"/>
      <c r="E3816" s="185" t="s">
        <v>470</v>
      </c>
      <c r="H3816" s="185"/>
    </row>
    <row r="3817">
      <c r="D3817" s="185"/>
      <c r="E3817" s="185" t="s">
        <v>470</v>
      </c>
      <c r="H3817" s="185"/>
    </row>
    <row r="3818">
      <c r="D3818" s="185"/>
      <c r="E3818" s="185" t="s">
        <v>470</v>
      </c>
      <c r="H3818" s="185"/>
    </row>
    <row r="3819">
      <c r="D3819" s="185"/>
      <c r="E3819" s="185" t="s">
        <v>470</v>
      </c>
      <c r="H3819" s="185"/>
    </row>
    <row r="3820">
      <c r="D3820" s="185"/>
      <c r="E3820" s="185" t="s">
        <v>470</v>
      </c>
      <c r="H3820" s="185"/>
    </row>
    <row r="3821">
      <c r="D3821" s="185"/>
      <c r="E3821" s="185" t="s">
        <v>470</v>
      </c>
      <c r="H3821" s="185"/>
    </row>
    <row r="3822">
      <c r="D3822" s="185"/>
      <c r="E3822" s="185" t="s">
        <v>470</v>
      </c>
      <c r="H3822" s="185"/>
    </row>
    <row r="3823">
      <c r="D3823" s="185"/>
      <c r="E3823" s="185" t="s">
        <v>470</v>
      </c>
      <c r="H3823" s="185"/>
    </row>
    <row r="3824">
      <c r="D3824" s="185"/>
      <c r="E3824" s="185" t="s">
        <v>470</v>
      </c>
      <c r="H3824" s="185"/>
    </row>
    <row r="3825">
      <c r="D3825" s="185"/>
      <c r="E3825" s="185" t="s">
        <v>470</v>
      </c>
      <c r="H3825" s="185"/>
    </row>
    <row r="3826">
      <c r="D3826" s="185"/>
      <c r="E3826" s="185" t="s">
        <v>470</v>
      </c>
      <c r="H3826" s="185"/>
    </row>
    <row r="3827">
      <c r="D3827" s="185"/>
      <c r="E3827" s="185" t="s">
        <v>470</v>
      </c>
      <c r="H3827" s="185"/>
    </row>
    <row r="3828">
      <c r="D3828" s="185"/>
      <c r="E3828" s="185" t="s">
        <v>470</v>
      </c>
      <c r="H3828" s="185"/>
    </row>
    <row r="3829">
      <c r="D3829" s="185"/>
      <c r="E3829" s="185" t="s">
        <v>470</v>
      </c>
      <c r="H3829" s="185"/>
    </row>
    <row r="3830">
      <c r="D3830" s="185"/>
      <c r="E3830" s="185" t="s">
        <v>470</v>
      </c>
      <c r="H3830" s="185"/>
    </row>
    <row r="3831">
      <c r="D3831" s="185"/>
      <c r="E3831" s="185" t="s">
        <v>470</v>
      </c>
      <c r="H3831" s="185"/>
    </row>
    <row r="3832">
      <c r="D3832" s="185"/>
      <c r="E3832" s="185" t="s">
        <v>470</v>
      </c>
      <c r="H3832" s="185"/>
    </row>
    <row r="3833">
      <c r="D3833" s="185"/>
      <c r="E3833" s="185" t="s">
        <v>470</v>
      </c>
      <c r="H3833" s="185"/>
    </row>
    <row r="3834">
      <c r="D3834" s="185"/>
      <c r="E3834" s="185" t="s">
        <v>470</v>
      </c>
      <c r="H3834" s="185"/>
    </row>
    <row r="3835">
      <c r="D3835" s="185"/>
      <c r="E3835" s="185" t="s">
        <v>470</v>
      </c>
      <c r="H3835" s="185"/>
    </row>
    <row r="3836">
      <c r="D3836" s="185"/>
      <c r="E3836" s="185" t="s">
        <v>470</v>
      </c>
      <c r="H3836" s="185"/>
    </row>
    <row r="3837">
      <c r="D3837" s="185"/>
      <c r="E3837" s="185" t="s">
        <v>470</v>
      </c>
      <c r="H3837" s="185"/>
    </row>
    <row r="3838">
      <c r="D3838" s="185"/>
      <c r="E3838" s="185" t="s">
        <v>470</v>
      </c>
      <c r="H3838" s="185"/>
    </row>
    <row r="3839">
      <c r="D3839" s="185"/>
      <c r="E3839" s="185" t="s">
        <v>470</v>
      </c>
      <c r="H3839" s="185"/>
    </row>
    <row r="3840">
      <c r="D3840" s="185"/>
      <c r="E3840" s="185" t="s">
        <v>470</v>
      </c>
      <c r="H3840" s="185"/>
    </row>
    <row r="3841">
      <c r="D3841" s="185"/>
      <c r="E3841" s="185" t="s">
        <v>470</v>
      </c>
      <c r="H3841" s="185"/>
    </row>
    <row r="3842">
      <c r="D3842" s="185"/>
      <c r="E3842" s="185" t="s">
        <v>470</v>
      </c>
      <c r="H3842" s="185"/>
    </row>
    <row r="3843">
      <c r="D3843" s="185"/>
      <c r="E3843" s="185" t="s">
        <v>470</v>
      </c>
      <c r="H3843" s="185"/>
    </row>
    <row r="3844">
      <c r="D3844" s="185"/>
      <c r="E3844" s="185" t="s">
        <v>470</v>
      </c>
      <c r="H3844" s="185"/>
    </row>
    <row r="3845">
      <c r="D3845" s="185"/>
      <c r="E3845" s="185" t="s">
        <v>470</v>
      </c>
      <c r="H3845" s="185"/>
    </row>
    <row r="3846">
      <c r="D3846" s="185"/>
      <c r="E3846" s="185" t="s">
        <v>470</v>
      </c>
      <c r="H3846" s="185"/>
    </row>
    <row r="3847">
      <c r="D3847" s="185"/>
      <c r="E3847" s="185" t="s">
        <v>470</v>
      </c>
      <c r="H3847" s="185"/>
    </row>
    <row r="3848">
      <c r="D3848" s="185"/>
      <c r="E3848" s="185" t="s">
        <v>470</v>
      </c>
      <c r="H3848" s="185"/>
    </row>
    <row r="3849">
      <c r="D3849" s="185"/>
      <c r="E3849" s="185" t="s">
        <v>470</v>
      </c>
      <c r="H3849" s="185"/>
    </row>
    <row r="3850">
      <c r="D3850" s="185"/>
      <c r="E3850" s="185" t="s">
        <v>470</v>
      </c>
      <c r="H3850" s="185"/>
    </row>
    <row r="3851">
      <c r="D3851" s="185"/>
      <c r="E3851" s="185" t="s">
        <v>470</v>
      </c>
      <c r="H3851" s="185"/>
    </row>
    <row r="3852">
      <c r="D3852" s="185"/>
      <c r="E3852" s="185" t="s">
        <v>470</v>
      </c>
      <c r="H3852" s="185"/>
    </row>
    <row r="3853">
      <c r="D3853" s="185"/>
      <c r="E3853" s="185" t="s">
        <v>470</v>
      </c>
      <c r="H3853" s="185"/>
    </row>
    <row r="3854">
      <c r="D3854" s="185"/>
      <c r="E3854" s="185" t="s">
        <v>470</v>
      </c>
      <c r="H3854" s="185"/>
    </row>
    <row r="3855">
      <c r="D3855" s="185"/>
      <c r="E3855" s="185" t="s">
        <v>470</v>
      </c>
      <c r="H3855" s="185"/>
    </row>
    <row r="3856">
      <c r="D3856" s="185"/>
      <c r="E3856" s="185" t="s">
        <v>470</v>
      </c>
      <c r="H3856" s="185"/>
    </row>
    <row r="3857">
      <c r="D3857" s="185"/>
      <c r="E3857" s="185" t="s">
        <v>470</v>
      </c>
      <c r="H3857" s="185"/>
    </row>
    <row r="3858">
      <c r="D3858" s="185"/>
      <c r="E3858" s="185" t="s">
        <v>470</v>
      </c>
      <c r="H3858" s="185"/>
    </row>
    <row r="3859">
      <c r="D3859" s="185"/>
      <c r="E3859" s="185" t="s">
        <v>470</v>
      </c>
      <c r="H3859" s="185"/>
    </row>
    <row r="3860">
      <c r="D3860" s="185"/>
      <c r="E3860" s="185" t="s">
        <v>470</v>
      </c>
      <c r="H3860" s="185"/>
    </row>
    <row r="3861">
      <c r="D3861" s="185"/>
      <c r="E3861" s="185" t="s">
        <v>470</v>
      </c>
      <c r="H3861" s="185"/>
    </row>
    <row r="3862">
      <c r="D3862" s="185"/>
      <c r="E3862" s="185" t="s">
        <v>470</v>
      </c>
      <c r="H3862" s="185"/>
    </row>
    <row r="3863">
      <c r="D3863" s="185"/>
      <c r="E3863" s="185" t="s">
        <v>470</v>
      </c>
      <c r="H3863" s="185"/>
    </row>
    <row r="3864">
      <c r="D3864" s="185"/>
      <c r="E3864" s="185" t="s">
        <v>470</v>
      </c>
      <c r="H3864" s="185"/>
    </row>
    <row r="3865">
      <c r="D3865" s="185"/>
      <c r="E3865" s="185" t="s">
        <v>470</v>
      </c>
      <c r="H3865" s="185"/>
    </row>
    <row r="3866">
      <c r="D3866" s="185"/>
      <c r="E3866" s="185" t="s">
        <v>470</v>
      </c>
      <c r="H3866" s="185"/>
    </row>
    <row r="3867">
      <c r="D3867" s="185"/>
      <c r="E3867" s="185" t="s">
        <v>470</v>
      </c>
      <c r="H3867" s="185"/>
    </row>
    <row r="3868">
      <c r="D3868" s="185"/>
      <c r="E3868" s="185" t="s">
        <v>470</v>
      </c>
      <c r="H3868" s="185"/>
    </row>
    <row r="3869">
      <c r="D3869" s="185"/>
      <c r="E3869" s="185" t="s">
        <v>470</v>
      </c>
      <c r="H3869" s="185"/>
    </row>
    <row r="3870">
      <c r="D3870" s="185"/>
      <c r="E3870" s="185" t="s">
        <v>470</v>
      </c>
      <c r="H3870" s="185"/>
    </row>
    <row r="3871">
      <c r="D3871" s="185"/>
      <c r="E3871" s="185" t="s">
        <v>470</v>
      </c>
      <c r="H3871" s="185"/>
    </row>
    <row r="3872">
      <c r="D3872" s="185"/>
      <c r="E3872" s="185" t="s">
        <v>470</v>
      </c>
      <c r="H3872" s="185"/>
    </row>
    <row r="3873">
      <c r="D3873" s="185"/>
      <c r="E3873" s="185" t="s">
        <v>470</v>
      </c>
      <c r="H3873" s="185"/>
    </row>
    <row r="3874">
      <c r="D3874" s="185"/>
      <c r="E3874" s="185" t="s">
        <v>470</v>
      </c>
      <c r="H3874" s="185"/>
    </row>
    <row r="3875">
      <c r="D3875" s="185"/>
      <c r="E3875" s="185" t="s">
        <v>470</v>
      </c>
      <c r="H3875" s="185"/>
    </row>
    <row r="3876">
      <c r="D3876" s="185"/>
      <c r="E3876" s="185" t="s">
        <v>470</v>
      </c>
      <c r="H3876" s="185"/>
    </row>
    <row r="3877">
      <c r="D3877" s="185"/>
      <c r="E3877" s="185" t="s">
        <v>470</v>
      </c>
      <c r="H3877" s="185"/>
    </row>
    <row r="3878">
      <c r="D3878" s="185"/>
      <c r="E3878" s="185" t="s">
        <v>470</v>
      </c>
      <c r="H3878" s="185"/>
    </row>
    <row r="3879">
      <c r="D3879" s="185"/>
      <c r="E3879" s="185" t="s">
        <v>470</v>
      </c>
      <c r="H3879" s="185"/>
    </row>
    <row r="3880">
      <c r="D3880" s="185"/>
      <c r="E3880" s="185" t="s">
        <v>470</v>
      </c>
      <c r="H3880" s="185"/>
    </row>
    <row r="3881">
      <c r="D3881" s="185"/>
      <c r="E3881" s="185" t="s">
        <v>470</v>
      </c>
      <c r="H3881" s="185"/>
    </row>
    <row r="3882">
      <c r="D3882" s="185"/>
      <c r="E3882" s="185" t="s">
        <v>470</v>
      </c>
      <c r="H3882" s="185"/>
    </row>
    <row r="3883">
      <c r="D3883" s="185"/>
      <c r="E3883" s="185" t="s">
        <v>470</v>
      </c>
      <c r="H3883" s="185"/>
    </row>
    <row r="3884">
      <c r="D3884" s="185"/>
      <c r="E3884" s="185" t="s">
        <v>470</v>
      </c>
      <c r="H3884" s="185"/>
    </row>
    <row r="3885">
      <c r="D3885" s="185"/>
      <c r="E3885" s="185" t="s">
        <v>470</v>
      </c>
      <c r="H3885" s="185"/>
    </row>
    <row r="3886">
      <c r="D3886" s="185"/>
      <c r="E3886" s="185" t="s">
        <v>470</v>
      </c>
      <c r="H3886" s="185"/>
    </row>
    <row r="3887">
      <c r="D3887" s="185"/>
      <c r="E3887" s="185" t="s">
        <v>470</v>
      </c>
      <c r="H3887" s="185"/>
    </row>
    <row r="3888">
      <c r="D3888" s="185"/>
      <c r="E3888" s="185" t="s">
        <v>470</v>
      </c>
      <c r="H3888" s="185"/>
    </row>
    <row r="3889">
      <c r="D3889" s="185"/>
      <c r="E3889" s="185" t="s">
        <v>470</v>
      </c>
      <c r="H3889" s="185"/>
    </row>
    <row r="3890">
      <c r="D3890" s="185"/>
      <c r="E3890" s="185" t="s">
        <v>470</v>
      </c>
      <c r="H3890" s="185"/>
    </row>
    <row r="3891">
      <c r="D3891" s="185"/>
      <c r="E3891" s="185" t="s">
        <v>470</v>
      </c>
      <c r="H3891" s="185"/>
    </row>
    <row r="3892">
      <c r="D3892" s="185"/>
      <c r="E3892" s="185" t="s">
        <v>470</v>
      </c>
      <c r="H3892" s="185"/>
    </row>
    <row r="3893">
      <c r="D3893" s="185"/>
      <c r="E3893" s="185" t="s">
        <v>470</v>
      </c>
      <c r="H3893" s="185"/>
    </row>
    <row r="3894">
      <c r="D3894" s="185"/>
      <c r="E3894" s="185" t="s">
        <v>470</v>
      </c>
      <c r="H3894" s="185"/>
    </row>
    <row r="3895">
      <c r="D3895" s="185"/>
      <c r="E3895" s="185" t="s">
        <v>470</v>
      </c>
      <c r="H3895" s="185"/>
    </row>
    <row r="3896">
      <c r="D3896" s="185"/>
      <c r="E3896" s="185" t="s">
        <v>470</v>
      </c>
      <c r="H3896" s="185"/>
    </row>
    <row r="3897">
      <c r="D3897" s="185"/>
      <c r="E3897" s="185" t="s">
        <v>470</v>
      </c>
      <c r="H3897" s="185"/>
    </row>
    <row r="3898">
      <c r="D3898" s="185"/>
      <c r="E3898" s="185" t="s">
        <v>470</v>
      </c>
      <c r="H3898" s="185"/>
    </row>
    <row r="3899">
      <c r="D3899" s="185"/>
      <c r="E3899" s="185" t="s">
        <v>470</v>
      </c>
      <c r="H3899" s="185"/>
    </row>
    <row r="3900">
      <c r="D3900" s="185"/>
      <c r="E3900" s="185" t="s">
        <v>470</v>
      </c>
      <c r="H3900" s="185"/>
    </row>
    <row r="3901">
      <c r="D3901" s="185"/>
      <c r="E3901" s="185" t="s">
        <v>470</v>
      </c>
      <c r="H3901" s="185"/>
    </row>
    <row r="3902">
      <c r="D3902" s="185"/>
      <c r="E3902" s="185" t="s">
        <v>470</v>
      </c>
      <c r="H3902" s="185"/>
    </row>
    <row r="3903">
      <c r="D3903" s="185"/>
      <c r="E3903" s="185" t="s">
        <v>470</v>
      </c>
      <c r="H3903" s="185"/>
    </row>
    <row r="3904">
      <c r="D3904" s="185"/>
      <c r="E3904" s="185" t="s">
        <v>470</v>
      </c>
      <c r="H3904" s="185"/>
    </row>
    <row r="3905">
      <c r="D3905" s="185"/>
      <c r="E3905" s="185" t="s">
        <v>470</v>
      </c>
      <c r="H3905" s="185"/>
    </row>
    <row r="3906">
      <c r="D3906" s="185"/>
      <c r="E3906" s="185" t="s">
        <v>470</v>
      </c>
      <c r="H3906" s="185"/>
    </row>
    <row r="3907">
      <c r="D3907" s="185"/>
      <c r="E3907" s="185" t="s">
        <v>470</v>
      </c>
      <c r="H3907" s="185"/>
    </row>
    <row r="3908">
      <c r="D3908" s="185"/>
      <c r="E3908" s="185" t="s">
        <v>470</v>
      </c>
      <c r="H3908" s="185"/>
    </row>
    <row r="3909">
      <c r="D3909" s="185"/>
      <c r="E3909" s="185" t="s">
        <v>470</v>
      </c>
      <c r="H3909" s="185"/>
    </row>
    <row r="3910">
      <c r="D3910" s="185"/>
      <c r="E3910" s="185" t="s">
        <v>470</v>
      </c>
      <c r="H3910" s="185"/>
    </row>
    <row r="3911">
      <c r="D3911" s="185"/>
      <c r="E3911" s="185" t="s">
        <v>470</v>
      </c>
      <c r="H3911" s="185"/>
    </row>
    <row r="3912">
      <c r="D3912" s="185"/>
      <c r="E3912" s="185" t="s">
        <v>470</v>
      </c>
      <c r="H3912" s="185"/>
    </row>
    <row r="3913">
      <c r="D3913" s="185"/>
      <c r="E3913" s="185" t="s">
        <v>470</v>
      </c>
      <c r="H3913" s="185"/>
    </row>
    <row r="3914">
      <c r="D3914" s="185"/>
      <c r="E3914" s="185" t="s">
        <v>470</v>
      </c>
      <c r="H3914" s="185"/>
    </row>
    <row r="3915">
      <c r="D3915" s="185"/>
      <c r="E3915" s="185" t="s">
        <v>470</v>
      </c>
      <c r="H3915" s="185"/>
    </row>
    <row r="3916">
      <c r="D3916" s="185"/>
      <c r="E3916" s="185" t="s">
        <v>470</v>
      </c>
      <c r="H3916" s="185"/>
    </row>
    <row r="3917">
      <c r="D3917" s="185"/>
      <c r="E3917" s="185" t="s">
        <v>470</v>
      </c>
      <c r="H3917" s="185"/>
    </row>
    <row r="3918">
      <c r="D3918" s="185"/>
      <c r="E3918" s="185" t="s">
        <v>470</v>
      </c>
      <c r="H3918" s="185"/>
    </row>
    <row r="3919">
      <c r="D3919" s="185"/>
      <c r="E3919" s="185" t="s">
        <v>470</v>
      </c>
      <c r="H3919" s="185"/>
    </row>
    <row r="3920">
      <c r="D3920" s="185"/>
      <c r="E3920" s="185" t="s">
        <v>470</v>
      </c>
      <c r="H3920" s="185"/>
    </row>
    <row r="3921">
      <c r="D3921" s="185"/>
      <c r="E3921" s="185" t="s">
        <v>470</v>
      </c>
      <c r="H3921" s="185"/>
    </row>
    <row r="3922">
      <c r="D3922" s="185"/>
      <c r="E3922" s="185" t="s">
        <v>470</v>
      </c>
      <c r="H3922" s="185"/>
    </row>
    <row r="3923">
      <c r="D3923" s="185"/>
      <c r="E3923" s="185" t="s">
        <v>470</v>
      </c>
      <c r="H3923" s="185"/>
    </row>
    <row r="3924">
      <c r="D3924" s="185"/>
      <c r="E3924" s="185" t="s">
        <v>470</v>
      </c>
      <c r="H3924" s="185"/>
    </row>
    <row r="3925">
      <c r="D3925" s="185"/>
      <c r="E3925" s="185" t="s">
        <v>470</v>
      </c>
      <c r="H3925" s="185"/>
    </row>
    <row r="3926">
      <c r="D3926" s="185"/>
      <c r="E3926" s="185" t="s">
        <v>470</v>
      </c>
      <c r="H3926" s="185"/>
    </row>
    <row r="3927">
      <c r="D3927" s="185"/>
      <c r="E3927" s="185" t="s">
        <v>470</v>
      </c>
      <c r="H3927" s="185"/>
    </row>
    <row r="3928">
      <c r="D3928" s="185"/>
      <c r="E3928" s="185" t="s">
        <v>470</v>
      </c>
      <c r="H3928" s="185"/>
    </row>
    <row r="3929">
      <c r="D3929" s="185"/>
      <c r="E3929" s="185" t="s">
        <v>470</v>
      </c>
      <c r="H3929" s="185"/>
    </row>
    <row r="3930">
      <c r="D3930" s="185"/>
      <c r="E3930" s="185" t="s">
        <v>470</v>
      </c>
      <c r="H3930" s="185"/>
    </row>
    <row r="3931">
      <c r="D3931" s="185"/>
      <c r="E3931" s="185" t="s">
        <v>470</v>
      </c>
      <c r="H3931" s="185"/>
    </row>
    <row r="3932">
      <c r="D3932" s="185"/>
      <c r="E3932" s="185" t="s">
        <v>470</v>
      </c>
      <c r="H3932" s="185"/>
    </row>
    <row r="3933">
      <c r="D3933" s="185"/>
      <c r="E3933" s="185" t="s">
        <v>470</v>
      </c>
      <c r="H3933" s="185"/>
    </row>
    <row r="3934">
      <c r="D3934" s="185"/>
      <c r="E3934" s="185" t="s">
        <v>470</v>
      </c>
      <c r="H3934" s="185"/>
    </row>
    <row r="3935">
      <c r="D3935" s="185"/>
      <c r="E3935" s="185" t="s">
        <v>470</v>
      </c>
      <c r="H3935" s="185"/>
    </row>
    <row r="3936">
      <c r="D3936" s="185"/>
      <c r="E3936" s="185" t="s">
        <v>470</v>
      </c>
      <c r="H3936" s="185"/>
    </row>
    <row r="3937">
      <c r="D3937" s="185"/>
      <c r="E3937" s="185" t="s">
        <v>470</v>
      </c>
      <c r="H3937" s="185"/>
    </row>
    <row r="3938">
      <c r="D3938" s="185"/>
      <c r="E3938" s="185" t="s">
        <v>470</v>
      </c>
      <c r="H3938" s="185"/>
    </row>
    <row r="3939">
      <c r="D3939" s="185"/>
      <c r="E3939" s="185" t="s">
        <v>470</v>
      </c>
      <c r="H3939" s="185"/>
    </row>
    <row r="3940">
      <c r="D3940" s="185"/>
      <c r="E3940" s="185" t="s">
        <v>470</v>
      </c>
      <c r="H3940" s="185"/>
    </row>
    <row r="3941">
      <c r="D3941" s="185"/>
      <c r="E3941" s="185" t="s">
        <v>470</v>
      </c>
      <c r="H3941" s="185"/>
    </row>
    <row r="3942">
      <c r="D3942" s="185"/>
      <c r="E3942" s="185" t="s">
        <v>470</v>
      </c>
      <c r="H3942" s="185"/>
    </row>
    <row r="3943">
      <c r="D3943" s="185"/>
      <c r="E3943" s="185" t="s">
        <v>470</v>
      </c>
      <c r="H3943" s="185"/>
    </row>
    <row r="3944">
      <c r="D3944" s="185"/>
      <c r="E3944" s="185" t="s">
        <v>470</v>
      </c>
      <c r="H3944" s="185"/>
    </row>
    <row r="3945">
      <c r="D3945" s="185"/>
      <c r="E3945" s="185" t="s">
        <v>470</v>
      </c>
      <c r="H3945" s="185"/>
    </row>
    <row r="3946">
      <c r="D3946" s="185"/>
      <c r="E3946" s="185" t="s">
        <v>470</v>
      </c>
      <c r="H3946" s="185"/>
    </row>
    <row r="3947">
      <c r="D3947" s="185"/>
      <c r="E3947" s="185" t="s">
        <v>470</v>
      </c>
      <c r="H3947" s="185"/>
    </row>
    <row r="3948">
      <c r="D3948" s="185"/>
      <c r="E3948" s="185" t="s">
        <v>470</v>
      </c>
      <c r="H3948" s="185"/>
    </row>
    <row r="3949">
      <c r="D3949" s="185"/>
      <c r="E3949" s="185" t="s">
        <v>470</v>
      </c>
      <c r="H3949" s="185"/>
    </row>
    <row r="3950">
      <c r="D3950" s="185"/>
      <c r="E3950" s="185" t="s">
        <v>470</v>
      </c>
      <c r="H3950" s="185"/>
    </row>
    <row r="3951">
      <c r="D3951" s="185"/>
      <c r="E3951" s="185" t="s">
        <v>470</v>
      </c>
      <c r="H3951" s="185"/>
    </row>
    <row r="3952">
      <c r="D3952" s="185"/>
      <c r="E3952" s="185" t="s">
        <v>470</v>
      </c>
      <c r="H3952" s="185"/>
    </row>
    <row r="3953">
      <c r="D3953" s="185"/>
      <c r="E3953" s="185" t="s">
        <v>470</v>
      </c>
      <c r="H3953" s="185"/>
    </row>
    <row r="3954">
      <c r="D3954" s="185"/>
      <c r="E3954" s="185" t="s">
        <v>470</v>
      </c>
      <c r="H3954" s="185"/>
    </row>
    <row r="3955">
      <c r="D3955" s="185"/>
      <c r="E3955" s="185" t="s">
        <v>470</v>
      </c>
      <c r="H3955" s="185"/>
    </row>
    <row r="3956">
      <c r="D3956" s="185"/>
      <c r="E3956" s="185" t="s">
        <v>470</v>
      </c>
      <c r="H3956" s="185"/>
    </row>
    <row r="3957">
      <c r="D3957" s="185"/>
      <c r="E3957" s="185" t="s">
        <v>470</v>
      </c>
      <c r="H3957" s="185"/>
    </row>
    <row r="3958">
      <c r="D3958" s="185"/>
      <c r="E3958" s="185" t="s">
        <v>470</v>
      </c>
      <c r="H3958" s="185"/>
    </row>
    <row r="3959">
      <c r="D3959" s="185"/>
      <c r="E3959" s="185" t="s">
        <v>470</v>
      </c>
      <c r="H3959" s="185"/>
    </row>
    <row r="3960">
      <c r="D3960" s="185"/>
      <c r="E3960" s="185" t="s">
        <v>470</v>
      </c>
      <c r="H3960" s="185"/>
    </row>
    <row r="3961">
      <c r="D3961" s="185"/>
      <c r="E3961" s="185" t="s">
        <v>470</v>
      </c>
      <c r="H3961" s="185"/>
    </row>
    <row r="3962">
      <c r="D3962" s="185"/>
      <c r="E3962" s="185" t="s">
        <v>470</v>
      </c>
      <c r="H3962" s="185"/>
    </row>
    <row r="3963">
      <c r="D3963" s="185"/>
      <c r="E3963" s="185" t="s">
        <v>470</v>
      </c>
      <c r="H3963" s="185"/>
    </row>
    <row r="3964">
      <c r="D3964" s="185"/>
      <c r="E3964" s="185" t="s">
        <v>470</v>
      </c>
      <c r="H3964" s="185"/>
    </row>
    <row r="3965">
      <c r="D3965" s="185"/>
      <c r="E3965" s="185" t="s">
        <v>470</v>
      </c>
      <c r="H3965" s="185"/>
    </row>
    <row r="3966">
      <c r="D3966" s="185"/>
      <c r="E3966" s="185" t="s">
        <v>470</v>
      </c>
      <c r="H3966" s="185"/>
    </row>
    <row r="3967">
      <c r="D3967" s="185"/>
      <c r="E3967" s="185" t="s">
        <v>470</v>
      </c>
      <c r="H3967" s="185"/>
    </row>
    <row r="3968">
      <c r="D3968" s="185"/>
      <c r="E3968" s="185" t="s">
        <v>470</v>
      </c>
      <c r="H3968" s="185"/>
    </row>
    <row r="3969">
      <c r="D3969" s="185"/>
      <c r="E3969" s="185" t="s">
        <v>470</v>
      </c>
      <c r="H3969" s="185"/>
    </row>
    <row r="3970">
      <c r="D3970" s="185"/>
      <c r="E3970" s="185" t="s">
        <v>470</v>
      </c>
      <c r="H3970" s="185"/>
    </row>
    <row r="3971">
      <c r="D3971" s="185"/>
      <c r="E3971" s="185" t="s">
        <v>470</v>
      </c>
      <c r="H3971" s="185"/>
    </row>
    <row r="3972">
      <c r="D3972" s="185"/>
      <c r="E3972" s="185" t="s">
        <v>470</v>
      </c>
      <c r="H3972" s="185"/>
    </row>
    <row r="3973">
      <c r="D3973" s="185"/>
      <c r="E3973" s="185" t="s">
        <v>470</v>
      </c>
      <c r="H3973" s="185"/>
    </row>
    <row r="3974">
      <c r="D3974" s="185"/>
      <c r="E3974" s="185" t="s">
        <v>470</v>
      </c>
      <c r="H3974" s="185"/>
    </row>
    <row r="3975">
      <c r="D3975" s="185"/>
      <c r="E3975" s="185" t="s">
        <v>470</v>
      </c>
      <c r="H3975" s="185"/>
    </row>
    <row r="3976">
      <c r="D3976" s="185"/>
      <c r="E3976" s="185" t="s">
        <v>470</v>
      </c>
      <c r="H3976" s="185"/>
    </row>
    <row r="3977">
      <c r="D3977" s="185"/>
      <c r="E3977" s="185" t="s">
        <v>470</v>
      </c>
      <c r="H3977" s="185"/>
    </row>
    <row r="3978">
      <c r="D3978" s="185"/>
      <c r="E3978" s="185" t="s">
        <v>470</v>
      </c>
      <c r="H3978" s="185"/>
    </row>
    <row r="3979">
      <c r="D3979" s="185"/>
      <c r="E3979" s="185" t="s">
        <v>470</v>
      </c>
      <c r="H3979" s="185"/>
    </row>
    <row r="3980">
      <c r="D3980" s="185"/>
      <c r="E3980" s="185" t="s">
        <v>470</v>
      </c>
      <c r="H3980" s="185"/>
    </row>
    <row r="3981">
      <c r="D3981" s="185"/>
      <c r="E3981" s="185" t="s">
        <v>470</v>
      </c>
      <c r="H3981" s="185"/>
    </row>
    <row r="3982">
      <c r="D3982" s="185"/>
      <c r="E3982" s="185" t="s">
        <v>470</v>
      </c>
      <c r="H3982" s="185"/>
    </row>
    <row r="3983">
      <c r="D3983" s="185"/>
      <c r="E3983" s="185" t="s">
        <v>470</v>
      </c>
      <c r="H3983" s="185"/>
    </row>
    <row r="3984">
      <c r="D3984" s="185"/>
      <c r="E3984" s="185" t="s">
        <v>470</v>
      </c>
      <c r="H3984" s="185"/>
    </row>
    <row r="3985">
      <c r="D3985" s="185"/>
      <c r="E3985" s="185" t="s">
        <v>470</v>
      </c>
      <c r="H3985" s="185"/>
    </row>
    <row r="3986">
      <c r="D3986" s="185"/>
      <c r="E3986" s="185" t="s">
        <v>470</v>
      </c>
      <c r="H3986" s="185"/>
    </row>
    <row r="3987">
      <c r="D3987" s="185"/>
      <c r="E3987" s="185" t="s">
        <v>470</v>
      </c>
      <c r="H3987" s="185"/>
    </row>
    <row r="3988">
      <c r="D3988" s="185"/>
      <c r="E3988" s="185" t="s">
        <v>470</v>
      </c>
      <c r="H3988" s="185"/>
    </row>
    <row r="3989">
      <c r="D3989" s="185"/>
      <c r="E3989" s="185" t="s">
        <v>470</v>
      </c>
      <c r="H3989" s="185"/>
    </row>
    <row r="3990">
      <c r="D3990" s="185"/>
      <c r="E3990" s="185" t="s">
        <v>470</v>
      </c>
      <c r="H3990" s="185"/>
    </row>
    <row r="3991">
      <c r="D3991" s="185"/>
      <c r="E3991" s="185" t="s">
        <v>470</v>
      </c>
      <c r="H3991" s="185"/>
    </row>
    <row r="3992">
      <c r="D3992" s="185"/>
      <c r="E3992" s="185" t="s">
        <v>470</v>
      </c>
      <c r="H3992" s="185"/>
    </row>
    <row r="3993">
      <c r="D3993" s="185"/>
      <c r="E3993" s="185" t="s">
        <v>470</v>
      </c>
      <c r="H3993" s="185"/>
    </row>
    <row r="3994">
      <c r="D3994" s="185"/>
      <c r="E3994" s="185" t="s">
        <v>470</v>
      </c>
      <c r="H3994" s="185"/>
    </row>
    <row r="3995">
      <c r="D3995" s="185"/>
      <c r="E3995" s="185" t="s">
        <v>470</v>
      </c>
      <c r="H3995" s="185"/>
    </row>
    <row r="3996">
      <c r="D3996" s="185"/>
      <c r="E3996" s="185" t="s">
        <v>470</v>
      </c>
      <c r="H3996" s="185"/>
    </row>
    <row r="3997">
      <c r="D3997" s="185"/>
      <c r="E3997" s="185" t="s">
        <v>470</v>
      </c>
      <c r="H3997" s="185"/>
    </row>
    <row r="3998">
      <c r="D3998" s="185"/>
      <c r="E3998" s="185" t="s">
        <v>470</v>
      </c>
      <c r="H3998" s="185"/>
    </row>
    <row r="3999">
      <c r="D3999" s="185"/>
      <c r="E3999" s="185" t="s">
        <v>470</v>
      </c>
      <c r="H3999" s="185"/>
    </row>
    <row r="4000">
      <c r="D4000" s="185"/>
      <c r="E4000" s="185" t="s">
        <v>470</v>
      </c>
      <c r="H4000" s="185"/>
    </row>
    <row r="4001">
      <c r="D4001" s="185"/>
      <c r="E4001" s="185" t="s">
        <v>470</v>
      </c>
      <c r="H4001" s="185"/>
    </row>
    <row r="4002">
      <c r="D4002" s="185"/>
      <c r="E4002" s="185" t="s">
        <v>470</v>
      </c>
      <c r="H4002" s="185"/>
    </row>
    <row r="4003">
      <c r="D4003" s="185"/>
      <c r="E4003" s="185" t="s">
        <v>470</v>
      </c>
      <c r="H4003" s="185"/>
    </row>
    <row r="4004">
      <c r="D4004" s="185"/>
      <c r="E4004" s="185" t="s">
        <v>470</v>
      </c>
      <c r="H4004" s="185"/>
    </row>
    <row r="4005">
      <c r="D4005" s="185"/>
      <c r="E4005" s="185" t="s">
        <v>470</v>
      </c>
      <c r="H4005" s="185"/>
    </row>
    <row r="4006">
      <c r="D4006" s="185"/>
      <c r="E4006" s="185" t="s">
        <v>470</v>
      </c>
      <c r="H4006" s="185"/>
    </row>
    <row r="4007">
      <c r="D4007" s="185"/>
      <c r="E4007" s="185" t="s">
        <v>470</v>
      </c>
      <c r="H4007" s="185"/>
    </row>
    <row r="4008">
      <c r="D4008" s="185"/>
      <c r="E4008" s="185" t="s">
        <v>470</v>
      </c>
      <c r="H4008" s="185"/>
    </row>
    <row r="4009">
      <c r="D4009" s="185"/>
      <c r="E4009" s="185" t="s">
        <v>470</v>
      </c>
      <c r="H4009" s="185"/>
    </row>
    <row r="4010">
      <c r="D4010" s="185"/>
      <c r="E4010" s="185" t="s">
        <v>470</v>
      </c>
      <c r="H4010" s="185"/>
    </row>
    <row r="4011">
      <c r="D4011" s="185"/>
      <c r="E4011" s="185" t="s">
        <v>470</v>
      </c>
      <c r="H4011" s="185"/>
    </row>
    <row r="4012">
      <c r="D4012" s="185"/>
      <c r="E4012" s="185" t="s">
        <v>470</v>
      </c>
      <c r="H4012" s="185"/>
    </row>
    <row r="4013">
      <c r="D4013" s="185"/>
      <c r="E4013" s="185" t="s">
        <v>470</v>
      </c>
      <c r="H4013" s="185"/>
    </row>
    <row r="4014">
      <c r="D4014" s="185"/>
      <c r="E4014" s="185" t="s">
        <v>470</v>
      </c>
      <c r="H4014" s="185"/>
    </row>
    <row r="4015">
      <c r="D4015" s="185"/>
      <c r="E4015" s="185" t="s">
        <v>470</v>
      </c>
      <c r="H4015" s="185"/>
    </row>
    <row r="4016">
      <c r="D4016" s="185"/>
      <c r="E4016" s="185" t="s">
        <v>470</v>
      </c>
      <c r="H4016" s="185"/>
    </row>
    <row r="4017">
      <c r="D4017" s="185"/>
      <c r="E4017" s="185" t="s">
        <v>470</v>
      </c>
      <c r="H4017" s="185"/>
    </row>
    <row r="4018">
      <c r="D4018" s="185"/>
      <c r="E4018" s="185" t="s">
        <v>470</v>
      </c>
      <c r="H4018" s="185"/>
    </row>
    <row r="4019">
      <c r="D4019" s="185"/>
      <c r="E4019" s="185" t="s">
        <v>470</v>
      </c>
      <c r="H4019" s="185"/>
    </row>
    <row r="4020">
      <c r="D4020" s="185"/>
      <c r="E4020" s="185" t="s">
        <v>470</v>
      </c>
      <c r="H4020" s="185"/>
    </row>
    <row r="4021">
      <c r="D4021" s="185"/>
      <c r="E4021" s="185" t="s">
        <v>470</v>
      </c>
      <c r="H4021" s="185"/>
    </row>
    <row r="4022">
      <c r="D4022" s="185"/>
      <c r="E4022" s="185" t="s">
        <v>470</v>
      </c>
      <c r="H4022" s="185"/>
    </row>
    <row r="4023">
      <c r="D4023" s="185"/>
      <c r="E4023" s="185" t="s">
        <v>470</v>
      </c>
      <c r="H4023" s="185"/>
    </row>
    <row r="4024">
      <c r="D4024" s="185"/>
      <c r="E4024" s="185" t="s">
        <v>470</v>
      </c>
      <c r="H4024" s="185"/>
    </row>
    <row r="4025">
      <c r="D4025" s="185"/>
      <c r="E4025" s="185" t="s">
        <v>470</v>
      </c>
      <c r="H4025" s="185"/>
    </row>
    <row r="4026">
      <c r="D4026" s="185"/>
      <c r="E4026" s="185" t="s">
        <v>470</v>
      </c>
      <c r="H4026" s="185"/>
    </row>
    <row r="4027">
      <c r="D4027" s="185"/>
      <c r="E4027" s="185" t="s">
        <v>470</v>
      </c>
      <c r="H4027" s="185"/>
    </row>
    <row r="4028">
      <c r="D4028" s="185"/>
      <c r="E4028" s="185" t="s">
        <v>470</v>
      </c>
      <c r="H4028" s="185"/>
    </row>
    <row r="4029">
      <c r="D4029" s="185"/>
      <c r="E4029" s="185" t="s">
        <v>470</v>
      </c>
      <c r="H4029" s="185"/>
    </row>
    <row r="4030">
      <c r="D4030" s="185"/>
      <c r="E4030" s="185" t="s">
        <v>470</v>
      </c>
      <c r="H4030" s="185"/>
    </row>
    <row r="4031">
      <c r="D4031" s="185"/>
      <c r="E4031" s="185" t="s">
        <v>470</v>
      </c>
      <c r="H4031" s="185"/>
    </row>
    <row r="4032">
      <c r="D4032" s="185"/>
      <c r="E4032" s="185" t="s">
        <v>470</v>
      </c>
      <c r="H4032" s="185"/>
    </row>
    <row r="4033">
      <c r="D4033" s="185"/>
      <c r="E4033" s="185" t="s">
        <v>470</v>
      </c>
      <c r="H4033" s="185"/>
    </row>
    <row r="4034">
      <c r="D4034" s="185"/>
      <c r="E4034" s="185" t="s">
        <v>470</v>
      </c>
      <c r="H4034" s="185"/>
    </row>
    <row r="4035">
      <c r="D4035" s="185"/>
      <c r="E4035" s="185" t="s">
        <v>470</v>
      </c>
      <c r="H4035" s="185"/>
    </row>
    <row r="4036">
      <c r="D4036" s="185"/>
      <c r="E4036" s="185" t="s">
        <v>470</v>
      </c>
      <c r="H4036" s="185"/>
    </row>
    <row r="4037">
      <c r="D4037" s="185"/>
      <c r="E4037" s="185" t="s">
        <v>470</v>
      </c>
      <c r="H4037" s="185"/>
    </row>
    <row r="4038">
      <c r="D4038" s="185"/>
      <c r="E4038" s="185" t="s">
        <v>470</v>
      </c>
      <c r="H4038" s="185"/>
    </row>
    <row r="4039">
      <c r="D4039" s="185"/>
      <c r="E4039" s="185" t="s">
        <v>470</v>
      </c>
      <c r="H4039" s="185"/>
    </row>
    <row r="4040">
      <c r="D4040" s="185"/>
      <c r="E4040" s="185" t="s">
        <v>470</v>
      </c>
      <c r="H4040" s="185"/>
    </row>
    <row r="4041">
      <c r="D4041" s="185"/>
      <c r="E4041" s="185" t="s">
        <v>470</v>
      </c>
      <c r="H4041" s="185"/>
    </row>
    <row r="4042">
      <c r="D4042" s="185"/>
      <c r="E4042" s="185" t="s">
        <v>470</v>
      </c>
      <c r="H4042" s="185"/>
    </row>
    <row r="4043">
      <c r="D4043" s="185"/>
      <c r="E4043" s="185" t="s">
        <v>470</v>
      </c>
      <c r="H4043" s="185"/>
    </row>
    <row r="4044">
      <c r="D4044" s="185"/>
      <c r="E4044" s="185" t="s">
        <v>470</v>
      </c>
      <c r="H4044" s="185"/>
    </row>
    <row r="4045">
      <c r="D4045" s="185"/>
      <c r="E4045" s="185" t="s">
        <v>470</v>
      </c>
      <c r="H4045" s="185"/>
    </row>
    <row r="4046">
      <c r="D4046" s="185"/>
      <c r="E4046" s="185" t="s">
        <v>470</v>
      </c>
      <c r="H4046" s="185"/>
    </row>
    <row r="4047">
      <c r="D4047" s="185"/>
      <c r="E4047" s="185" t="s">
        <v>470</v>
      </c>
      <c r="H4047" s="185"/>
    </row>
    <row r="4048">
      <c r="D4048" s="185"/>
      <c r="E4048" s="185" t="s">
        <v>470</v>
      </c>
      <c r="H4048" s="185"/>
    </row>
    <row r="4049">
      <c r="D4049" s="185"/>
      <c r="E4049" s="185" t="s">
        <v>470</v>
      </c>
      <c r="H4049" s="185"/>
    </row>
    <row r="4050">
      <c r="D4050" s="185"/>
      <c r="E4050" s="185" t="s">
        <v>470</v>
      </c>
      <c r="H4050" s="185"/>
    </row>
    <row r="4051">
      <c r="D4051" s="185"/>
      <c r="E4051" s="185" t="s">
        <v>470</v>
      </c>
      <c r="H4051" s="185"/>
    </row>
    <row r="4052">
      <c r="D4052" s="185"/>
      <c r="E4052" s="185" t="s">
        <v>470</v>
      </c>
      <c r="H4052" s="185"/>
    </row>
    <row r="4053">
      <c r="D4053" s="185"/>
      <c r="E4053" s="185" t="s">
        <v>470</v>
      </c>
      <c r="H4053" s="185"/>
    </row>
    <row r="4054">
      <c r="D4054" s="185"/>
      <c r="E4054" s="185" t="s">
        <v>470</v>
      </c>
      <c r="H4054" s="185"/>
    </row>
    <row r="4055">
      <c r="D4055" s="185"/>
      <c r="E4055" s="185" t="s">
        <v>470</v>
      </c>
      <c r="H4055" s="185"/>
    </row>
    <row r="4056">
      <c r="D4056" s="185"/>
      <c r="E4056" s="185" t="s">
        <v>470</v>
      </c>
      <c r="H4056" s="185"/>
    </row>
    <row r="4057">
      <c r="D4057" s="185"/>
      <c r="E4057" s="185" t="s">
        <v>470</v>
      </c>
      <c r="H4057" s="185"/>
    </row>
    <row r="4058">
      <c r="D4058" s="185"/>
      <c r="E4058" s="185" t="s">
        <v>470</v>
      </c>
      <c r="H4058" s="185"/>
    </row>
    <row r="4059">
      <c r="D4059" s="185"/>
      <c r="E4059" s="185" t="s">
        <v>470</v>
      </c>
      <c r="H4059" s="185"/>
    </row>
    <row r="4060">
      <c r="D4060" s="185"/>
      <c r="E4060" s="185" t="s">
        <v>470</v>
      </c>
      <c r="H4060" s="185"/>
    </row>
    <row r="4061">
      <c r="D4061" s="185"/>
      <c r="E4061" s="185" t="s">
        <v>470</v>
      </c>
      <c r="H4061" s="185"/>
    </row>
    <row r="4062">
      <c r="D4062" s="185"/>
      <c r="E4062" s="185" t="s">
        <v>470</v>
      </c>
      <c r="H4062" s="185"/>
    </row>
    <row r="4063">
      <c r="D4063" s="185"/>
      <c r="E4063" s="185" t="s">
        <v>470</v>
      </c>
      <c r="H4063" s="185"/>
    </row>
    <row r="4064">
      <c r="D4064" s="185"/>
      <c r="E4064" s="185" t="s">
        <v>470</v>
      </c>
      <c r="H4064" s="185"/>
    </row>
    <row r="4065">
      <c r="D4065" s="185"/>
      <c r="E4065" s="185" t="s">
        <v>470</v>
      </c>
      <c r="H4065" s="185"/>
    </row>
    <row r="4066">
      <c r="D4066" s="185"/>
      <c r="E4066" s="185" t="s">
        <v>470</v>
      </c>
      <c r="H4066" s="185"/>
    </row>
    <row r="4067">
      <c r="D4067" s="185"/>
      <c r="E4067" s="185" t="s">
        <v>470</v>
      </c>
      <c r="H4067" s="185"/>
    </row>
    <row r="4068">
      <c r="D4068" s="185"/>
      <c r="E4068" s="185" t="s">
        <v>470</v>
      </c>
      <c r="H4068" s="185"/>
    </row>
    <row r="4069">
      <c r="D4069" s="185"/>
      <c r="E4069" s="185" t="s">
        <v>470</v>
      </c>
      <c r="H4069" s="185"/>
    </row>
    <row r="4070">
      <c r="D4070" s="185"/>
      <c r="E4070" s="185" t="s">
        <v>470</v>
      </c>
      <c r="H4070" s="185"/>
    </row>
    <row r="4071">
      <c r="D4071" s="185"/>
      <c r="E4071" s="185" t="s">
        <v>470</v>
      </c>
      <c r="H4071" s="185"/>
    </row>
    <row r="4072">
      <c r="D4072" s="185"/>
      <c r="E4072" s="185" t="s">
        <v>470</v>
      </c>
      <c r="H4072" s="185"/>
    </row>
    <row r="4073">
      <c r="D4073" s="185"/>
      <c r="E4073" s="185" t="s">
        <v>470</v>
      </c>
      <c r="H4073" s="185"/>
    </row>
    <row r="4074">
      <c r="D4074" s="185"/>
      <c r="E4074" s="185" t="s">
        <v>470</v>
      </c>
      <c r="H4074" s="185"/>
    </row>
    <row r="4075">
      <c r="D4075" s="185"/>
      <c r="E4075" s="185" t="s">
        <v>470</v>
      </c>
      <c r="H4075" s="185"/>
    </row>
    <row r="4076">
      <c r="D4076" s="185"/>
      <c r="E4076" s="185" t="s">
        <v>470</v>
      </c>
      <c r="H4076" s="185"/>
    </row>
    <row r="4077">
      <c r="D4077" s="185"/>
      <c r="E4077" s="185" t="s">
        <v>470</v>
      </c>
      <c r="H4077" s="185"/>
    </row>
    <row r="4078">
      <c r="D4078" s="185"/>
      <c r="E4078" s="185" t="s">
        <v>470</v>
      </c>
      <c r="H4078" s="185"/>
    </row>
    <row r="4079">
      <c r="D4079" s="185"/>
      <c r="E4079" s="185" t="s">
        <v>470</v>
      </c>
      <c r="H4079" s="185"/>
    </row>
    <row r="4080">
      <c r="D4080" s="185"/>
      <c r="E4080" s="185" t="s">
        <v>470</v>
      </c>
      <c r="H4080" s="185"/>
    </row>
    <row r="4081">
      <c r="D4081" s="185"/>
      <c r="E4081" s="185" t="s">
        <v>470</v>
      </c>
      <c r="H4081" s="185"/>
    </row>
    <row r="4082">
      <c r="D4082" s="185"/>
      <c r="E4082" s="185" t="s">
        <v>470</v>
      </c>
      <c r="H4082" s="185"/>
    </row>
    <row r="4083">
      <c r="D4083" s="185"/>
      <c r="E4083" s="185" t="s">
        <v>470</v>
      </c>
      <c r="H4083" s="185"/>
    </row>
    <row r="4084">
      <c r="D4084" s="185"/>
      <c r="E4084" s="185" t="s">
        <v>470</v>
      </c>
      <c r="H4084" s="185"/>
    </row>
    <row r="4085">
      <c r="D4085" s="185"/>
      <c r="E4085" s="185" t="s">
        <v>470</v>
      </c>
      <c r="H4085" s="185"/>
    </row>
    <row r="4086">
      <c r="D4086" s="185"/>
      <c r="E4086" s="185" t="s">
        <v>470</v>
      </c>
      <c r="H4086" s="185"/>
    </row>
    <row r="4087">
      <c r="D4087" s="185"/>
      <c r="E4087" s="185" t="s">
        <v>470</v>
      </c>
      <c r="H4087" s="185"/>
    </row>
    <row r="4088">
      <c r="D4088" s="185"/>
      <c r="E4088" s="185" t="s">
        <v>470</v>
      </c>
      <c r="H4088" s="185"/>
    </row>
    <row r="4089">
      <c r="D4089" s="185"/>
      <c r="E4089" s="185" t="s">
        <v>470</v>
      </c>
      <c r="H4089" s="185"/>
    </row>
    <row r="4090">
      <c r="D4090" s="185"/>
      <c r="E4090" s="185" t="s">
        <v>470</v>
      </c>
      <c r="H4090" s="185"/>
    </row>
    <row r="4091">
      <c r="D4091" s="185"/>
      <c r="E4091" s="185" t="s">
        <v>470</v>
      </c>
      <c r="H4091" s="185"/>
    </row>
    <row r="4092">
      <c r="D4092" s="185"/>
      <c r="E4092" s="185" t="s">
        <v>470</v>
      </c>
      <c r="H4092" s="185"/>
    </row>
    <row r="4093">
      <c r="D4093" s="185"/>
      <c r="E4093" s="185" t="s">
        <v>470</v>
      </c>
      <c r="H4093" s="185"/>
    </row>
    <row r="4094">
      <c r="D4094" s="185"/>
      <c r="E4094" s="185" t="s">
        <v>470</v>
      </c>
      <c r="H4094" s="185"/>
    </row>
    <row r="4095">
      <c r="D4095" s="185"/>
      <c r="E4095" s="185" t="s">
        <v>470</v>
      </c>
      <c r="H4095" s="185"/>
    </row>
    <row r="4096">
      <c r="D4096" s="185"/>
      <c r="E4096" s="185" t="s">
        <v>470</v>
      </c>
      <c r="H4096" s="185"/>
    </row>
    <row r="4097">
      <c r="D4097" s="185"/>
      <c r="E4097" s="185" t="s">
        <v>470</v>
      </c>
      <c r="H4097" s="185"/>
    </row>
    <row r="4098">
      <c r="D4098" s="185"/>
      <c r="E4098" s="185" t="s">
        <v>470</v>
      </c>
      <c r="H4098" s="185"/>
    </row>
    <row r="4099">
      <c r="D4099" s="185"/>
      <c r="E4099" s="185" t="s">
        <v>470</v>
      </c>
      <c r="H4099" s="185"/>
    </row>
    <row r="4100">
      <c r="D4100" s="185"/>
      <c r="E4100" s="185" t="s">
        <v>470</v>
      </c>
      <c r="H4100" s="185"/>
    </row>
    <row r="4101">
      <c r="D4101" s="185"/>
      <c r="E4101" s="185" t="s">
        <v>470</v>
      </c>
      <c r="H4101" s="185"/>
    </row>
    <row r="4102">
      <c r="D4102" s="185"/>
      <c r="E4102" s="185" t="s">
        <v>470</v>
      </c>
      <c r="H4102" s="185"/>
    </row>
    <row r="4103">
      <c r="D4103" s="185"/>
      <c r="E4103" s="185" t="s">
        <v>470</v>
      </c>
      <c r="H4103" s="185"/>
    </row>
    <row r="4104">
      <c r="D4104" s="185"/>
      <c r="E4104" s="185" t="s">
        <v>470</v>
      </c>
      <c r="H4104" s="185"/>
    </row>
    <row r="4105">
      <c r="D4105" s="185"/>
      <c r="E4105" s="185" t="s">
        <v>470</v>
      </c>
      <c r="H4105" s="185"/>
    </row>
    <row r="4106">
      <c r="D4106" s="185"/>
      <c r="E4106" s="185" t="s">
        <v>470</v>
      </c>
      <c r="H4106" s="185"/>
    </row>
    <row r="4107">
      <c r="D4107" s="185"/>
      <c r="E4107" s="185" t="s">
        <v>470</v>
      </c>
      <c r="H4107" s="185"/>
    </row>
    <row r="4108">
      <c r="D4108" s="185"/>
      <c r="E4108" s="185" t="s">
        <v>470</v>
      </c>
      <c r="H4108" s="185"/>
    </row>
    <row r="4109">
      <c r="D4109" s="185"/>
      <c r="E4109" s="185" t="s">
        <v>470</v>
      </c>
      <c r="H4109" s="185"/>
    </row>
    <row r="4110">
      <c r="D4110" s="185"/>
      <c r="E4110" s="185" t="s">
        <v>470</v>
      </c>
      <c r="H4110" s="185"/>
    </row>
    <row r="4111">
      <c r="D4111" s="185"/>
      <c r="E4111" s="185" t="s">
        <v>470</v>
      </c>
      <c r="H4111" s="185"/>
    </row>
    <row r="4112">
      <c r="D4112" s="185"/>
      <c r="E4112" s="185" t="s">
        <v>470</v>
      </c>
      <c r="H4112" s="185"/>
    </row>
    <row r="4113">
      <c r="D4113" s="185"/>
      <c r="E4113" s="185" t="s">
        <v>470</v>
      </c>
      <c r="H4113" s="185"/>
    </row>
    <row r="4114">
      <c r="D4114" s="185"/>
      <c r="E4114" s="185" t="s">
        <v>470</v>
      </c>
      <c r="H4114" s="185"/>
    </row>
    <row r="4115">
      <c r="D4115" s="185"/>
      <c r="E4115" s="185" t="s">
        <v>470</v>
      </c>
      <c r="H4115" s="185"/>
    </row>
    <row r="4116">
      <c r="D4116" s="185"/>
      <c r="E4116" s="185" t="s">
        <v>470</v>
      </c>
      <c r="H4116" s="185"/>
    </row>
    <row r="4117">
      <c r="D4117" s="185"/>
      <c r="E4117" s="185" t="s">
        <v>470</v>
      </c>
      <c r="H4117" s="185"/>
    </row>
    <row r="4118">
      <c r="D4118" s="185"/>
      <c r="E4118" s="185" t="s">
        <v>470</v>
      </c>
      <c r="H4118" s="185"/>
    </row>
    <row r="4119">
      <c r="D4119" s="185"/>
      <c r="E4119" s="185" t="s">
        <v>470</v>
      </c>
      <c r="H4119" s="185"/>
    </row>
    <row r="4120">
      <c r="D4120" s="185"/>
      <c r="E4120" s="185" t="s">
        <v>470</v>
      </c>
      <c r="H4120" s="185"/>
    </row>
    <row r="4121">
      <c r="D4121" s="185"/>
      <c r="E4121" s="185" t="s">
        <v>470</v>
      </c>
      <c r="H4121" s="185"/>
    </row>
    <row r="4122">
      <c r="D4122" s="185"/>
      <c r="E4122" s="185" t="s">
        <v>470</v>
      </c>
      <c r="H4122" s="185"/>
    </row>
    <row r="4123">
      <c r="D4123" s="185"/>
      <c r="E4123" s="185" t="s">
        <v>470</v>
      </c>
      <c r="H4123" s="185"/>
    </row>
    <row r="4124">
      <c r="D4124" s="185"/>
      <c r="E4124" s="185" t="s">
        <v>470</v>
      </c>
      <c r="H4124" s="185"/>
    </row>
    <row r="4125">
      <c r="D4125" s="185"/>
      <c r="E4125" s="185" t="s">
        <v>470</v>
      </c>
      <c r="H4125" s="185"/>
    </row>
    <row r="4126">
      <c r="D4126" s="185"/>
      <c r="E4126" s="185" t="s">
        <v>470</v>
      </c>
      <c r="H4126" s="185"/>
    </row>
    <row r="4127">
      <c r="D4127" s="185"/>
      <c r="E4127" s="185" t="s">
        <v>470</v>
      </c>
      <c r="H4127" s="185"/>
    </row>
    <row r="4128">
      <c r="D4128" s="185"/>
      <c r="E4128" s="185" t="s">
        <v>470</v>
      </c>
      <c r="H4128" s="185"/>
    </row>
    <row r="4129">
      <c r="D4129" s="185"/>
      <c r="E4129" s="185" t="s">
        <v>470</v>
      </c>
      <c r="H4129" s="185"/>
    </row>
    <row r="4130">
      <c r="D4130" s="185"/>
      <c r="E4130" s="185" t="s">
        <v>470</v>
      </c>
      <c r="H4130" s="185"/>
    </row>
    <row r="4131">
      <c r="D4131" s="185"/>
      <c r="E4131" s="185" t="s">
        <v>470</v>
      </c>
      <c r="H4131" s="185"/>
    </row>
    <row r="4132">
      <c r="D4132" s="185"/>
      <c r="E4132" s="185" t="s">
        <v>470</v>
      </c>
      <c r="H4132" s="185"/>
    </row>
    <row r="4133">
      <c r="D4133" s="185"/>
      <c r="E4133" s="185" t="s">
        <v>470</v>
      </c>
      <c r="H4133" s="185"/>
    </row>
    <row r="4134">
      <c r="D4134" s="185"/>
      <c r="E4134" s="185" t="s">
        <v>470</v>
      </c>
      <c r="H4134" s="185"/>
    </row>
    <row r="4135">
      <c r="D4135" s="185"/>
      <c r="E4135" s="185" t="s">
        <v>470</v>
      </c>
      <c r="H4135" s="185"/>
    </row>
    <row r="4136">
      <c r="D4136" s="185"/>
      <c r="E4136" s="185" t="s">
        <v>470</v>
      </c>
      <c r="H4136" s="185"/>
    </row>
    <row r="4137">
      <c r="D4137" s="185"/>
      <c r="E4137" s="185" t="s">
        <v>470</v>
      </c>
      <c r="H4137" s="185"/>
    </row>
    <row r="4138">
      <c r="D4138" s="185"/>
      <c r="E4138" s="185" t="s">
        <v>470</v>
      </c>
      <c r="H4138" s="185"/>
    </row>
    <row r="4139">
      <c r="D4139" s="185"/>
      <c r="E4139" s="185" t="s">
        <v>470</v>
      </c>
      <c r="H4139" s="185"/>
    </row>
    <row r="4140">
      <c r="D4140" s="185"/>
      <c r="E4140" s="185" t="s">
        <v>470</v>
      </c>
      <c r="H4140" s="185"/>
    </row>
    <row r="4141">
      <c r="D4141" s="185"/>
      <c r="E4141" s="185" t="s">
        <v>470</v>
      </c>
      <c r="H4141" s="185"/>
    </row>
    <row r="4142">
      <c r="D4142" s="185"/>
      <c r="E4142" s="185" t="s">
        <v>470</v>
      </c>
      <c r="H4142" s="185"/>
    </row>
    <row r="4143">
      <c r="D4143" s="185"/>
      <c r="E4143" s="185" t="s">
        <v>470</v>
      </c>
      <c r="H4143" s="185"/>
    </row>
    <row r="4144">
      <c r="D4144" s="185"/>
      <c r="E4144" s="185" t="s">
        <v>470</v>
      </c>
      <c r="H4144" s="185"/>
    </row>
    <row r="4145">
      <c r="D4145" s="185"/>
      <c r="E4145" s="185" t="s">
        <v>470</v>
      </c>
      <c r="H4145" s="185"/>
    </row>
    <row r="4146">
      <c r="D4146" s="185"/>
      <c r="E4146" s="185" t="s">
        <v>470</v>
      </c>
      <c r="H4146" s="185"/>
    </row>
    <row r="4147">
      <c r="D4147" s="185"/>
      <c r="E4147" s="185" t="s">
        <v>470</v>
      </c>
      <c r="H4147" s="185"/>
    </row>
    <row r="4148">
      <c r="D4148" s="185"/>
      <c r="E4148" s="185" t="s">
        <v>470</v>
      </c>
      <c r="H4148" s="185"/>
    </row>
    <row r="4149">
      <c r="D4149" s="185"/>
      <c r="E4149" s="185" t="s">
        <v>470</v>
      </c>
      <c r="H4149" s="185"/>
    </row>
    <row r="4150">
      <c r="D4150" s="185"/>
      <c r="E4150" s="185" t="s">
        <v>470</v>
      </c>
      <c r="H4150" s="185"/>
    </row>
    <row r="4151">
      <c r="D4151" s="185"/>
      <c r="E4151" s="185" t="s">
        <v>470</v>
      </c>
      <c r="H4151" s="185"/>
    </row>
    <row r="4152">
      <c r="D4152" s="185"/>
      <c r="E4152" s="185" t="s">
        <v>470</v>
      </c>
      <c r="H4152" s="185"/>
    </row>
    <row r="4153">
      <c r="D4153" s="185"/>
      <c r="E4153" s="185" t="s">
        <v>470</v>
      </c>
      <c r="H4153" s="185"/>
    </row>
    <row r="4154">
      <c r="D4154" s="185"/>
      <c r="E4154" s="185" t="s">
        <v>470</v>
      </c>
      <c r="H4154" s="185"/>
    </row>
    <row r="4155">
      <c r="D4155" s="185"/>
      <c r="E4155" s="185" t="s">
        <v>470</v>
      </c>
      <c r="H4155" s="185"/>
    </row>
    <row r="4156">
      <c r="D4156" s="185"/>
      <c r="E4156" s="185" t="s">
        <v>470</v>
      </c>
      <c r="H4156" s="185"/>
    </row>
    <row r="4157">
      <c r="D4157" s="185"/>
      <c r="E4157" s="185" t="s">
        <v>470</v>
      </c>
      <c r="H4157" s="185"/>
    </row>
    <row r="4158">
      <c r="D4158" s="185"/>
      <c r="E4158" s="185" t="s">
        <v>470</v>
      </c>
      <c r="H4158" s="185"/>
    </row>
    <row r="4159">
      <c r="D4159" s="185"/>
      <c r="E4159" s="185" t="s">
        <v>470</v>
      </c>
      <c r="H4159" s="185"/>
    </row>
    <row r="4160">
      <c r="D4160" s="185"/>
      <c r="E4160" s="185" t="s">
        <v>470</v>
      </c>
      <c r="H4160" s="185"/>
    </row>
    <row r="4161">
      <c r="D4161" s="185"/>
      <c r="E4161" s="185" t="s">
        <v>470</v>
      </c>
      <c r="H4161" s="185"/>
    </row>
    <row r="4162">
      <c r="D4162" s="185"/>
      <c r="E4162" s="185" t="s">
        <v>470</v>
      </c>
      <c r="H4162" s="185"/>
    </row>
    <row r="4163">
      <c r="D4163" s="185"/>
      <c r="E4163" s="185" t="s">
        <v>470</v>
      </c>
      <c r="H4163" s="185"/>
    </row>
    <row r="4164">
      <c r="D4164" s="185"/>
      <c r="E4164" s="185" t="s">
        <v>470</v>
      </c>
      <c r="H4164" s="185"/>
    </row>
    <row r="4165">
      <c r="D4165" s="185"/>
      <c r="E4165" s="185" t="s">
        <v>470</v>
      </c>
      <c r="H4165" s="185"/>
    </row>
    <row r="4166">
      <c r="D4166" s="185"/>
      <c r="E4166" s="185" t="s">
        <v>470</v>
      </c>
      <c r="H4166" s="185"/>
    </row>
    <row r="4167">
      <c r="D4167" s="185"/>
      <c r="E4167" s="185" t="s">
        <v>470</v>
      </c>
      <c r="H4167" s="185"/>
    </row>
    <row r="4168">
      <c r="D4168" s="185"/>
      <c r="E4168" s="185" t="s">
        <v>470</v>
      </c>
      <c r="H4168" s="185"/>
    </row>
    <row r="4169">
      <c r="D4169" s="185"/>
      <c r="E4169" s="185" t="s">
        <v>470</v>
      </c>
      <c r="H4169" s="185"/>
    </row>
    <row r="4170">
      <c r="D4170" s="185"/>
      <c r="E4170" s="185" t="s">
        <v>470</v>
      </c>
      <c r="H4170" s="185"/>
    </row>
    <row r="4171">
      <c r="D4171" s="185"/>
      <c r="E4171" s="185" t="s">
        <v>470</v>
      </c>
      <c r="H4171" s="185"/>
    </row>
    <row r="4172">
      <c r="D4172" s="185"/>
      <c r="E4172" s="185" t="s">
        <v>470</v>
      </c>
      <c r="H4172" s="185"/>
    </row>
    <row r="4173">
      <c r="D4173" s="185"/>
      <c r="E4173" s="185" t="s">
        <v>470</v>
      </c>
      <c r="H4173" s="185"/>
    </row>
    <row r="4174">
      <c r="D4174" s="185"/>
      <c r="E4174" s="185" t="s">
        <v>470</v>
      </c>
      <c r="H4174" s="185"/>
    </row>
    <row r="4175">
      <c r="D4175" s="185"/>
      <c r="E4175" s="185" t="s">
        <v>470</v>
      </c>
      <c r="H4175" s="185"/>
    </row>
    <row r="4176">
      <c r="D4176" s="185"/>
      <c r="E4176" s="185" t="s">
        <v>470</v>
      </c>
      <c r="H4176" s="185"/>
    </row>
    <row r="4177">
      <c r="D4177" s="185"/>
      <c r="E4177" s="185" t="s">
        <v>470</v>
      </c>
      <c r="H4177" s="185"/>
    </row>
    <row r="4178">
      <c r="D4178" s="185"/>
      <c r="E4178" s="185" t="s">
        <v>470</v>
      </c>
      <c r="H4178" s="185"/>
    </row>
    <row r="4179">
      <c r="D4179" s="185"/>
      <c r="E4179" s="185" t="s">
        <v>470</v>
      </c>
      <c r="H4179" s="185"/>
    </row>
    <row r="4180">
      <c r="D4180" s="185"/>
      <c r="E4180" s="185" t="s">
        <v>470</v>
      </c>
      <c r="H4180" s="185"/>
    </row>
    <row r="4181">
      <c r="D4181" s="185"/>
      <c r="E4181" s="185" t="s">
        <v>470</v>
      </c>
      <c r="H4181" s="185"/>
    </row>
    <row r="4182">
      <c r="D4182" s="185"/>
      <c r="E4182" s="185" t="s">
        <v>470</v>
      </c>
      <c r="H4182" s="185"/>
    </row>
    <row r="4183">
      <c r="D4183" s="185"/>
      <c r="E4183" s="185" t="s">
        <v>470</v>
      </c>
      <c r="H4183" s="185"/>
    </row>
    <row r="4184">
      <c r="D4184" s="185"/>
      <c r="E4184" s="185" t="s">
        <v>470</v>
      </c>
      <c r="H4184" s="185"/>
    </row>
    <row r="4185">
      <c r="D4185" s="185"/>
      <c r="E4185" s="185" t="s">
        <v>470</v>
      </c>
      <c r="H4185" s="185"/>
    </row>
    <row r="4186">
      <c r="D4186" s="185"/>
      <c r="E4186" s="185" t="s">
        <v>470</v>
      </c>
      <c r="H4186" s="185"/>
    </row>
    <row r="4187">
      <c r="D4187" s="185"/>
      <c r="E4187" s="185" t="s">
        <v>470</v>
      </c>
      <c r="H4187" s="185"/>
    </row>
    <row r="4188">
      <c r="D4188" s="185"/>
      <c r="E4188" s="185" t="s">
        <v>470</v>
      </c>
      <c r="H4188" s="185"/>
    </row>
    <row r="4189">
      <c r="D4189" s="185"/>
      <c r="E4189" s="185" t="s">
        <v>470</v>
      </c>
      <c r="H4189" s="185"/>
    </row>
    <row r="4190">
      <c r="D4190" s="185"/>
      <c r="E4190" s="185" t="s">
        <v>470</v>
      </c>
      <c r="H4190" s="185"/>
    </row>
    <row r="4191">
      <c r="D4191" s="185"/>
      <c r="E4191" s="185" t="s">
        <v>470</v>
      </c>
      <c r="H4191" s="185"/>
    </row>
    <row r="4192">
      <c r="D4192" s="185"/>
      <c r="E4192" s="185" t="s">
        <v>470</v>
      </c>
      <c r="H4192" s="185"/>
    </row>
    <row r="4193">
      <c r="D4193" s="185"/>
      <c r="E4193" s="185" t="s">
        <v>470</v>
      </c>
      <c r="H4193" s="185"/>
    </row>
    <row r="4194">
      <c r="D4194" s="185"/>
      <c r="E4194" s="185" t="s">
        <v>470</v>
      </c>
      <c r="H4194" s="185"/>
    </row>
    <row r="4195">
      <c r="D4195" s="185"/>
      <c r="E4195" s="185" t="s">
        <v>470</v>
      </c>
      <c r="H4195" s="185"/>
    </row>
    <row r="4196">
      <c r="D4196" s="185"/>
      <c r="E4196" s="185" t="s">
        <v>470</v>
      </c>
      <c r="H4196" s="185"/>
    </row>
    <row r="4197">
      <c r="D4197" s="185"/>
      <c r="E4197" s="185" t="s">
        <v>470</v>
      </c>
      <c r="H4197" s="185"/>
    </row>
    <row r="4198">
      <c r="D4198" s="185"/>
      <c r="E4198" s="185" t="s">
        <v>470</v>
      </c>
      <c r="H4198" s="185"/>
    </row>
    <row r="4199">
      <c r="D4199" s="185"/>
      <c r="E4199" s="185" t="s">
        <v>470</v>
      </c>
      <c r="H4199" s="185"/>
    </row>
    <row r="4200">
      <c r="D4200" s="185"/>
      <c r="E4200" s="185" t="s">
        <v>470</v>
      </c>
      <c r="H4200" s="185"/>
    </row>
    <row r="4201">
      <c r="D4201" s="185"/>
      <c r="E4201" s="185" t="s">
        <v>470</v>
      </c>
      <c r="H4201" s="185"/>
    </row>
    <row r="4202">
      <c r="D4202" s="185"/>
      <c r="E4202" s="185" t="s">
        <v>470</v>
      </c>
      <c r="H4202" s="185"/>
    </row>
    <row r="4203">
      <c r="D4203" s="185"/>
      <c r="E4203" s="185" t="s">
        <v>470</v>
      </c>
      <c r="H4203" s="185"/>
    </row>
    <row r="4204">
      <c r="D4204" s="185"/>
      <c r="E4204" s="185" t="s">
        <v>470</v>
      </c>
      <c r="H4204" s="185"/>
    </row>
    <row r="4205">
      <c r="D4205" s="185"/>
      <c r="E4205" s="185" t="s">
        <v>470</v>
      </c>
      <c r="H4205" s="185"/>
    </row>
    <row r="4206">
      <c r="D4206" s="185"/>
      <c r="E4206" s="185" t="s">
        <v>470</v>
      </c>
      <c r="H4206" s="185"/>
    </row>
    <row r="4207">
      <c r="D4207" s="185"/>
      <c r="E4207" s="185" t="s">
        <v>470</v>
      </c>
      <c r="H4207" s="185"/>
    </row>
    <row r="4208">
      <c r="D4208" s="185"/>
      <c r="E4208" s="185" t="s">
        <v>470</v>
      </c>
      <c r="H4208" s="185"/>
    </row>
    <row r="4209">
      <c r="D4209" s="185"/>
      <c r="E4209" s="185" t="s">
        <v>470</v>
      </c>
      <c r="H4209" s="185"/>
    </row>
    <row r="4210">
      <c r="D4210" s="185"/>
      <c r="E4210" s="185" t="s">
        <v>470</v>
      </c>
      <c r="H4210" s="185"/>
    </row>
    <row r="4211">
      <c r="D4211" s="185"/>
      <c r="E4211" s="185" t="s">
        <v>470</v>
      </c>
      <c r="H4211" s="185"/>
    </row>
    <row r="4212">
      <c r="D4212" s="185"/>
      <c r="E4212" s="185" t="s">
        <v>470</v>
      </c>
      <c r="H4212" s="185"/>
    </row>
    <row r="4213">
      <c r="D4213" s="185"/>
      <c r="E4213" s="185" t="s">
        <v>470</v>
      </c>
      <c r="H4213" s="185"/>
    </row>
    <row r="4214">
      <c r="D4214" s="185"/>
      <c r="E4214" s="185" t="s">
        <v>470</v>
      </c>
      <c r="H4214" s="185"/>
    </row>
    <row r="4215">
      <c r="D4215" s="185"/>
      <c r="E4215" s="185" t="s">
        <v>470</v>
      </c>
      <c r="H4215" s="185"/>
    </row>
    <row r="4216">
      <c r="D4216" s="185"/>
      <c r="E4216" s="185" t="s">
        <v>470</v>
      </c>
      <c r="H4216" s="185"/>
    </row>
    <row r="4217">
      <c r="D4217" s="185"/>
      <c r="E4217" s="185" t="s">
        <v>470</v>
      </c>
      <c r="H4217" s="185"/>
    </row>
    <row r="4218">
      <c r="D4218" s="185"/>
      <c r="E4218" s="185" t="s">
        <v>470</v>
      </c>
      <c r="H4218" s="185"/>
    </row>
    <row r="4219">
      <c r="D4219" s="185"/>
      <c r="E4219" s="185" t="s">
        <v>470</v>
      </c>
      <c r="H4219" s="185"/>
    </row>
    <row r="4220">
      <c r="D4220" s="185"/>
      <c r="E4220" s="185" t="s">
        <v>470</v>
      </c>
      <c r="H4220" s="185"/>
    </row>
    <row r="4221">
      <c r="D4221" s="185"/>
      <c r="E4221" s="185" t="s">
        <v>470</v>
      </c>
      <c r="H4221" s="185"/>
    </row>
    <row r="4222">
      <c r="D4222" s="185"/>
      <c r="E4222" s="185" t="s">
        <v>470</v>
      </c>
      <c r="H4222" s="185"/>
    </row>
    <row r="4223">
      <c r="D4223" s="185"/>
      <c r="E4223" s="185" t="s">
        <v>470</v>
      </c>
      <c r="H4223" s="185"/>
    </row>
    <row r="4224">
      <c r="D4224" s="185"/>
      <c r="E4224" s="185" t="s">
        <v>470</v>
      </c>
      <c r="H4224" s="185"/>
    </row>
    <row r="4225">
      <c r="D4225" s="185"/>
      <c r="E4225" s="185" t="s">
        <v>470</v>
      </c>
      <c r="H4225" s="185"/>
    </row>
    <row r="4226">
      <c r="D4226" s="185"/>
      <c r="E4226" s="185" t="s">
        <v>470</v>
      </c>
      <c r="H4226" s="185"/>
    </row>
    <row r="4227">
      <c r="D4227" s="185"/>
      <c r="E4227" s="185" t="s">
        <v>470</v>
      </c>
      <c r="H4227" s="185"/>
    </row>
    <row r="4228">
      <c r="D4228" s="185"/>
      <c r="E4228" s="185" t="s">
        <v>470</v>
      </c>
      <c r="H4228" s="185"/>
    </row>
    <row r="4229">
      <c r="D4229" s="185"/>
      <c r="E4229" s="185" t="s">
        <v>470</v>
      </c>
      <c r="H4229" s="185"/>
    </row>
    <row r="4230">
      <c r="D4230" s="185"/>
      <c r="E4230" s="185" t="s">
        <v>470</v>
      </c>
      <c r="H4230" s="185"/>
    </row>
    <row r="4231">
      <c r="D4231" s="185"/>
      <c r="E4231" s="185" t="s">
        <v>470</v>
      </c>
      <c r="H4231" s="185"/>
    </row>
    <row r="4232">
      <c r="D4232" s="185"/>
      <c r="E4232" s="185" t="s">
        <v>470</v>
      </c>
      <c r="H4232" s="185"/>
    </row>
    <row r="4233">
      <c r="D4233" s="185"/>
      <c r="E4233" s="185" t="s">
        <v>470</v>
      </c>
      <c r="H4233" s="185"/>
    </row>
    <row r="4234">
      <c r="D4234" s="185"/>
      <c r="E4234" s="185" t="s">
        <v>470</v>
      </c>
      <c r="H4234" s="185"/>
    </row>
    <row r="4235">
      <c r="D4235" s="185"/>
      <c r="E4235" s="185" t="s">
        <v>470</v>
      </c>
      <c r="H4235" s="185"/>
    </row>
    <row r="4236">
      <c r="D4236" s="185"/>
      <c r="E4236" s="185" t="s">
        <v>470</v>
      </c>
      <c r="H4236" s="185"/>
    </row>
    <row r="4237">
      <c r="D4237" s="185"/>
      <c r="E4237" s="185" t="s">
        <v>470</v>
      </c>
      <c r="H4237" s="185"/>
    </row>
    <row r="4238">
      <c r="D4238" s="185"/>
      <c r="E4238" s="185" t="s">
        <v>470</v>
      </c>
      <c r="H4238" s="185"/>
    </row>
    <row r="4239">
      <c r="D4239" s="185"/>
      <c r="E4239" s="185" t="s">
        <v>470</v>
      </c>
      <c r="H4239" s="185"/>
    </row>
    <row r="4240">
      <c r="D4240" s="185"/>
      <c r="E4240" s="185" t="s">
        <v>470</v>
      </c>
      <c r="H4240" s="185"/>
    </row>
    <row r="4241">
      <c r="D4241" s="185"/>
      <c r="E4241" s="185" t="s">
        <v>470</v>
      </c>
      <c r="H4241" s="185"/>
    </row>
    <row r="4242">
      <c r="D4242" s="185"/>
      <c r="E4242" s="185" t="s">
        <v>470</v>
      </c>
      <c r="H4242" s="185"/>
    </row>
    <row r="4243">
      <c r="D4243" s="185"/>
      <c r="E4243" s="185" t="s">
        <v>470</v>
      </c>
      <c r="H4243" s="185"/>
    </row>
    <row r="4244">
      <c r="D4244" s="185"/>
      <c r="E4244" s="185" t="s">
        <v>470</v>
      </c>
      <c r="H4244" s="185"/>
    </row>
    <row r="4245">
      <c r="D4245" s="185"/>
      <c r="E4245" s="185" t="s">
        <v>470</v>
      </c>
      <c r="H4245" s="185"/>
    </row>
    <row r="4246">
      <c r="D4246" s="185"/>
      <c r="E4246" s="185" t="s">
        <v>470</v>
      </c>
      <c r="H4246" s="185"/>
    </row>
    <row r="4247">
      <c r="D4247" s="185"/>
      <c r="E4247" s="185" t="s">
        <v>470</v>
      </c>
      <c r="H4247" s="185"/>
    </row>
    <row r="4248">
      <c r="D4248" s="185"/>
      <c r="E4248" s="185" t="s">
        <v>470</v>
      </c>
      <c r="H4248" s="185"/>
    </row>
    <row r="4249">
      <c r="D4249" s="185"/>
      <c r="E4249" s="185" t="s">
        <v>470</v>
      </c>
      <c r="H4249" s="185"/>
    </row>
    <row r="4250">
      <c r="D4250" s="185"/>
      <c r="E4250" s="185" t="s">
        <v>470</v>
      </c>
      <c r="H4250" s="185"/>
    </row>
    <row r="4251">
      <c r="D4251" s="185"/>
      <c r="E4251" s="185" t="s">
        <v>470</v>
      </c>
      <c r="H4251" s="185"/>
    </row>
    <row r="4252">
      <c r="D4252" s="185"/>
      <c r="E4252" s="185" t="s">
        <v>470</v>
      </c>
      <c r="H4252" s="185"/>
    </row>
    <row r="4253">
      <c r="D4253" s="185"/>
      <c r="E4253" s="185" t="s">
        <v>470</v>
      </c>
      <c r="H4253" s="185"/>
    </row>
    <row r="4254">
      <c r="D4254" s="185"/>
      <c r="E4254" s="185" t="s">
        <v>470</v>
      </c>
      <c r="H4254" s="185"/>
    </row>
    <row r="4255">
      <c r="D4255" s="185"/>
      <c r="E4255" s="185" t="s">
        <v>470</v>
      </c>
      <c r="H4255" s="185"/>
    </row>
    <row r="4256">
      <c r="D4256" s="185"/>
      <c r="E4256" s="185" t="s">
        <v>470</v>
      </c>
      <c r="H4256" s="185"/>
    </row>
    <row r="4257">
      <c r="D4257" s="185"/>
      <c r="E4257" s="185" t="s">
        <v>470</v>
      </c>
      <c r="H4257" s="185"/>
    </row>
    <row r="4258">
      <c r="D4258" s="185"/>
      <c r="E4258" s="185" t="s">
        <v>470</v>
      </c>
      <c r="H4258" s="185"/>
    </row>
    <row r="4259">
      <c r="D4259" s="185"/>
      <c r="E4259" s="185" t="s">
        <v>470</v>
      </c>
      <c r="H4259" s="185"/>
    </row>
    <row r="4260">
      <c r="D4260" s="185"/>
      <c r="E4260" s="185" t="s">
        <v>470</v>
      </c>
      <c r="H4260" s="185"/>
    </row>
    <row r="4261">
      <c r="D4261" s="185"/>
      <c r="E4261" s="185" t="s">
        <v>470</v>
      </c>
      <c r="H4261" s="185"/>
    </row>
    <row r="4262">
      <c r="D4262" s="185"/>
      <c r="E4262" s="185" t="s">
        <v>470</v>
      </c>
      <c r="H4262" s="185"/>
    </row>
    <row r="4263">
      <c r="D4263" s="185"/>
      <c r="E4263" s="185" t="s">
        <v>470</v>
      </c>
      <c r="H4263" s="185"/>
    </row>
    <row r="4264">
      <c r="D4264" s="185"/>
      <c r="E4264" s="185" t="s">
        <v>470</v>
      </c>
      <c r="H4264" s="185"/>
    </row>
    <row r="4265">
      <c r="D4265" s="185"/>
      <c r="E4265" s="185" t="s">
        <v>470</v>
      </c>
      <c r="H4265" s="185"/>
    </row>
    <row r="4266">
      <c r="D4266" s="185"/>
      <c r="E4266" s="185" t="s">
        <v>470</v>
      </c>
      <c r="H4266" s="185"/>
    </row>
    <row r="4267">
      <c r="D4267" s="185"/>
      <c r="E4267" s="185" t="s">
        <v>470</v>
      </c>
      <c r="H4267" s="185"/>
    </row>
    <row r="4268">
      <c r="D4268" s="185"/>
      <c r="E4268" s="185" t="s">
        <v>470</v>
      </c>
      <c r="H4268" s="185"/>
    </row>
    <row r="4269">
      <c r="D4269" s="185"/>
      <c r="E4269" s="185" t="s">
        <v>470</v>
      </c>
      <c r="H4269" s="185"/>
    </row>
    <row r="4270">
      <c r="D4270" s="185"/>
      <c r="E4270" s="185" t="s">
        <v>470</v>
      </c>
      <c r="H4270" s="185"/>
    </row>
    <row r="4271">
      <c r="D4271" s="185"/>
      <c r="E4271" s="185" t="s">
        <v>470</v>
      </c>
      <c r="H4271" s="185"/>
    </row>
    <row r="4272">
      <c r="D4272" s="185"/>
      <c r="E4272" s="185" t="s">
        <v>470</v>
      </c>
      <c r="H4272" s="185"/>
    </row>
    <row r="4273">
      <c r="D4273" s="185"/>
      <c r="E4273" s="185" t="s">
        <v>470</v>
      </c>
      <c r="H4273" s="185"/>
    </row>
    <row r="4274">
      <c r="D4274" s="185"/>
      <c r="E4274" s="185" t="s">
        <v>470</v>
      </c>
      <c r="H4274" s="185"/>
    </row>
    <row r="4275">
      <c r="D4275" s="185"/>
      <c r="E4275" s="185" t="s">
        <v>470</v>
      </c>
      <c r="H4275" s="185"/>
    </row>
    <row r="4276">
      <c r="D4276" s="185"/>
      <c r="E4276" s="185" t="s">
        <v>470</v>
      </c>
      <c r="H4276" s="185"/>
    </row>
    <row r="4277">
      <c r="D4277" s="185"/>
      <c r="E4277" s="185" t="s">
        <v>470</v>
      </c>
      <c r="H4277" s="185"/>
    </row>
    <row r="4278">
      <c r="D4278" s="185"/>
      <c r="E4278" s="185" t="s">
        <v>470</v>
      </c>
      <c r="H4278" s="185"/>
    </row>
    <row r="4279">
      <c r="D4279" s="185"/>
      <c r="E4279" s="185" t="s">
        <v>470</v>
      </c>
      <c r="H4279" s="185"/>
    </row>
    <row r="4280">
      <c r="D4280" s="185"/>
      <c r="E4280" s="185" t="s">
        <v>470</v>
      </c>
      <c r="H4280" s="185"/>
    </row>
    <row r="4281">
      <c r="D4281" s="185"/>
      <c r="E4281" s="185" t="s">
        <v>470</v>
      </c>
      <c r="H4281" s="185"/>
    </row>
    <row r="4282">
      <c r="D4282" s="185"/>
      <c r="E4282" s="185" t="s">
        <v>470</v>
      </c>
      <c r="H4282" s="185"/>
    </row>
    <row r="4283">
      <c r="D4283" s="185"/>
      <c r="E4283" s="185" t="s">
        <v>470</v>
      </c>
      <c r="H4283" s="185"/>
    </row>
    <row r="4284">
      <c r="D4284" s="185"/>
      <c r="E4284" s="185" t="s">
        <v>470</v>
      </c>
      <c r="H4284" s="185"/>
    </row>
    <row r="4285">
      <c r="D4285" s="185"/>
      <c r="E4285" s="185" t="s">
        <v>470</v>
      </c>
      <c r="H4285" s="185"/>
    </row>
    <row r="4286">
      <c r="D4286" s="185"/>
      <c r="E4286" s="185" t="s">
        <v>470</v>
      </c>
      <c r="H4286" s="185"/>
    </row>
    <row r="4287">
      <c r="D4287" s="185"/>
      <c r="E4287" s="185" t="s">
        <v>470</v>
      </c>
      <c r="H4287" s="185"/>
    </row>
    <row r="4288">
      <c r="D4288" s="185"/>
      <c r="E4288" s="185" t="s">
        <v>470</v>
      </c>
      <c r="H4288" s="185"/>
    </row>
    <row r="4289">
      <c r="D4289" s="185"/>
      <c r="E4289" s="185" t="s">
        <v>470</v>
      </c>
      <c r="H4289" s="185"/>
    </row>
    <row r="4290">
      <c r="D4290" s="185"/>
      <c r="E4290" s="185" t="s">
        <v>470</v>
      </c>
      <c r="H4290" s="185"/>
    </row>
    <row r="4291">
      <c r="D4291" s="185"/>
      <c r="E4291" s="185" t="s">
        <v>470</v>
      </c>
      <c r="H4291" s="185"/>
    </row>
    <row r="4292">
      <c r="D4292" s="185"/>
      <c r="E4292" s="185" t="s">
        <v>470</v>
      </c>
      <c r="H4292" s="185"/>
    </row>
    <row r="4293">
      <c r="D4293" s="185"/>
      <c r="E4293" s="185" t="s">
        <v>470</v>
      </c>
      <c r="H4293" s="185"/>
    </row>
    <row r="4294">
      <c r="D4294" s="185"/>
      <c r="E4294" s="185" t="s">
        <v>470</v>
      </c>
      <c r="H4294" s="185"/>
    </row>
    <row r="4295">
      <c r="D4295" s="185"/>
      <c r="E4295" s="185" t="s">
        <v>470</v>
      </c>
      <c r="H4295" s="185"/>
    </row>
    <row r="4296">
      <c r="D4296" s="185"/>
      <c r="E4296" s="185" t="s">
        <v>470</v>
      </c>
      <c r="H4296" s="185"/>
    </row>
    <row r="4297">
      <c r="D4297" s="185"/>
      <c r="E4297" s="185" t="s">
        <v>470</v>
      </c>
      <c r="H4297" s="185"/>
    </row>
    <row r="4298">
      <c r="D4298" s="185"/>
      <c r="E4298" s="185" t="s">
        <v>470</v>
      </c>
      <c r="H4298" s="185"/>
    </row>
    <row r="4299">
      <c r="D4299" s="185"/>
      <c r="E4299" s="185" t="s">
        <v>470</v>
      </c>
      <c r="H4299" s="185"/>
    </row>
    <row r="4300">
      <c r="D4300" s="185"/>
      <c r="E4300" s="185" t="s">
        <v>470</v>
      </c>
      <c r="H4300" s="185"/>
    </row>
    <row r="4301">
      <c r="D4301" s="185"/>
      <c r="E4301" s="185" t="s">
        <v>470</v>
      </c>
      <c r="H4301" s="185"/>
    </row>
    <row r="4302">
      <c r="D4302" s="185"/>
      <c r="E4302" s="185" t="s">
        <v>470</v>
      </c>
      <c r="H4302" s="185"/>
    </row>
    <row r="4303">
      <c r="D4303" s="185"/>
      <c r="E4303" s="185" t="s">
        <v>470</v>
      </c>
      <c r="H4303" s="185"/>
    </row>
    <row r="4304">
      <c r="D4304" s="185"/>
      <c r="E4304" s="185" t="s">
        <v>470</v>
      </c>
      <c r="H4304" s="185"/>
    </row>
    <row r="4305">
      <c r="D4305" s="185"/>
      <c r="E4305" s="185" t="s">
        <v>470</v>
      </c>
      <c r="H4305" s="185"/>
    </row>
    <row r="4306">
      <c r="D4306" s="185"/>
      <c r="E4306" s="185" t="s">
        <v>470</v>
      </c>
      <c r="H4306" s="185"/>
    </row>
    <row r="4307">
      <c r="D4307" s="185"/>
      <c r="E4307" s="185" t="s">
        <v>470</v>
      </c>
      <c r="H4307" s="185"/>
    </row>
    <row r="4308">
      <c r="D4308" s="185"/>
      <c r="E4308" s="185" t="s">
        <v>470</v>
      </c>
      <c r="H4308" s="185"/>
    </row>
    <row r="4309">
      <c r="D4309" s="185"/>
      <c r="E4309" s="185" t="s">
        <v>470</v>
      </c>
      <c r="H4309" s="185"/>
    </row>
    <row r="4310">
      <c r="D4310" s="185"/>
      <c r="E4310" s="185" t="s">
        <v>470</v>
      </c>
      <c r="H4310" s="185"/>
    </row>
    <row r="4311">
      <c r="D4311" s="185"/>
      <c r="E4311" s="185" t="s">
        <v>470</v>
      </c>
      <c r="H4311" s="185"/>
    </row>
    <row r="4312">
      <c r="D4312" s="185"/>
      <c r="E4312" s="185" t="s">
        <v>470</v>
      </c>
      <c r="H4312" s="185"/>
    </row>
    <row r="4313">
      <c r="D4313" s="185"/>
      <c r="E4313" s="185" t="s">
        <v>470</v>
      </c>
      <c r="H4313" s="185"/>
    </row>
    <row r="4314">
      <c r="D4314" s="185"/>
      <c r="E4314" s="185" t="s">
        <v>470</v>
      </c>
      <c r="H4314" s="185"/>
    </row>
    <row r="4315">
      <c r="D4315" s="185"/>
      <c r="E4315" s="185" t="s">
        <v>470</v>
      </c>
      <c r="H4315" s="185"/>
    </row>
    <row r="4316">
      <c r="D4316" s="185"/>
      <c r="E4316" s="185" t="s">
        <v>470</v>
      </c>
      <c r="H4316" s="185"/>
    </row>
    <row r="4317">
      <c r="D4317" s="185"/>
      <c r="E4317" s="185" t="s">
        <v>470</v>
      </c>
      <c r="H4317" s="185"/>
    </row>
    <row r="4318">
      <c r="D4318" s="185"/>
      <c r="E4318" s="185" t="s">
        <v>470</v>
      </c>
      <c r="H4318" s="185"/>
    </row>
    <row r="4319">
      <c r="D4319" s="185"/>
      <c r="E4319" s="185" t="s">
        <v>470</v>
      </c>
      <c r="H4319" s="185"/>
    </row>
    <row r="4320">
      <c r="D4320" s="185"/>
      <c r="E4320" s="185" t="s">
        <v>470</v>
      </c>
      <c r="H4320" s="185"/>
    </row>
    <row r="4321">
      <c r="D4321" s="185"/>
      <c r="E4321" s="185" t="s">
        <v>470</v>
      </c>
      <c r="H4321" s="185"/>
    </row>
    <row r="4322">
      <c r="D4322" s="185"/>
      <c r="E4322" s="185" t="s">
        <v>470</v>
      </c>
      <c r="H4322" s="185"/>
    </row>
    <row r="4323">
      <c r="D4323" s="185"/>
      <c r="E4323" s="185" t="s">
        <v>470</v>
      </c>
      <c r="H4323" s="185"/>
    </row>
    <row r="4324">
      <c r="D4324" s="185"/>
      <c r="E4324" s="185" t="s">
        <v>470</v>
      </c>
      <c r="H4324" s="185"/>
    </row>
    <row r="4325">
      <c r="D4325" s="185"/>
      <c r="E4325" s="185" t="s">
        <v>470</v>
      </c>
      <c r="H4325" s="185"/>
    </row>
    <row r="4326">
      <c r="D4326" s="185"/>
      <c r="E4326" s="185" t="s">
        <v>470</v>
      </c>
      <c r="H4326" s="185"/>
    </row>
    <row r="4327">
      <c r="D4327" s="185"/>
      <c r="E4327" s="185" t="s">
        <v>470</v>
      </c>
      <c r="H4327" s="185"/>
    </row>
    <row r="4328">
      <c r="D4328" s="185"/>
      <c r="E4328" s="185" t="s">
        <v>470</v>
      </c>
      <c r="H4328" s="185"/>
    </row>
    <row r="4329">
      <c r="D4329" s="185"/>
      <c r="E4329" s="185" t="s">
        <v>470</v>
      </c>
      <c r="H4329" s="185"/>
    </row>
    <row r="4330">
      <c r="D4330" s="185"/>
      <c r="E4330" s="185" t="s">
        <v>470</v>
      </c>
      <c r="H4330" s="185"/>
    </row>
    <row r="4331">
      <c r="D4331" s="185"/>
      <c r="E4331" s="185" t="s">
        <v>470</v>
      </c>
      <c r="H4331" s="185"/>
    </row>
    <row r="4332">
      <c r="D4332" s="185"/>
      <c r="E4332" s="185" t="s">
        <v>470</v>
      </c>
      <c r="H4332" s="185"/>
    </row>
    <row r="4333">
      <c r="D4333" s="185"/>
      <c r="E4333" s="185" t="s">
        <v>470</v>
      </c>
      <c r="H4333" s="185"/>
    </row>
    <row r="4334">
      <c r="D4334" s="185"/>
      <c r="E4334" s="185" t="s">
        <v>470</v>
      </c>
      <c r="H4334" s="185"/>
    </row>
    <row r="4335">
      <c r="D4335" s="185"/>
      <c r="E4335" s="185" t="s">
        <v>470</v>
      </c>
      <c r="H4335" s="185"/>
    </row>
    <row r="4336">
      <c r="D4336" s="185"/>
      <c r="E4336" s="185" t="s">
        <v>470</v>
      </c>
      <c r="H4336" s="185"/>
    </row>
    <row r="4337">
      <c r="D4337" s="185"/>
      <c r="E4337" s="185" t="s">
        <v>470</v>
      </c>
      <c r="H4337" s="185"/>
    </row>
    <row r="4338">
      <c r="D4338" s="185"/>
      <c r="E4338" s="185" t="s">
        <v>470</v>
      </c>
      <c r="H4338" s="185"/>
    </row>
    <row r="4339">
      <c r="D4339" s="185"/>
      <c r="E4339" s="185" t="s">
        <v>470</v>
      </c>
      <c r="H4339" s="185"/>
    </row>
    <row r="4340">
      <c r="D4340" s="185"/>
      <c r="E4340" s="185" t="s">
        <v>470</v>
      </c>
      <c r="H4340" s="185"/>
    </row>
    <row r="4341">
      <c r="D4341" s="185"/>
      <c r="E4341" s="185" t="s">
        <v>470</v>
      </c>
      <c r="H4341" s="185"/>
    </row>
    <row r="4342">
      <c r="D4342" s="185"/>
      <c r="E4342" s="185" t="s">
        <v>470</v>
      </c>
      <c r="H4342" s="185"/>
    </row>
    <row r="4343">
      <c r="D4343" s="185"/>
      <c r="E4343" s="185" t="s">
        <v>470</v>
      </c>
      <c r="H4343" s="185"/>
    </row>
    <row r="4344">
      <c r="D4344" s="185"/>
      <c r="E4344" s="185" t="s">
        <v>470</v>
      </c>
      <c r="H4344" s="185"/>
    </row>
    <row r="4345">
      <c r="D4345" s="185"/>
      <c r="E4345" s="185" t="s">
        <v>470</v>
      </c>
      <c r="H4345" s="185"/>
    </row>
    <row r="4346">
      <c r="D4346" s="185"/>
      <c r="E4346" s="185" t="s">
        <v>470</v>
      </c>
      <c r="H4346" s="185"/>
    </row>
    <row r="4347">
      <c r="D4347" s="185"/>
      <c r="E4347" s="185" t="s">
        <v>470</v>
      </c>
      <c r="H4347" s="185"/>
    </row>
    <row r="4348">
      <c r="D4348" s="185"/>
      <c r="E4348" s="185" t="s">
        <v>470</v>
      </c>
      <c r="H4348" s="185"/>
    </row>
    <row r="4349">
      <c r="D4349" s="185"/>
      <c r="E4349" s="185" t="s">
        <v>470</v>
      </c>
      <c r="H4349" s="185"/>
    </row>
    <row r="4350">
      <c r="D4350" s="185"/>
      <c r="E4350" s="185" t="s">
        <v>470</v>
      </c>
      <c r="H4350" s="185"/>
    </row>
    <row r="4351">
      <c r="D4351" s="185"/>
      <c r="E4351" s="185" t="s">
        <v>470</v>
      </c>
      <c r="H4351" s="185"/>
    </row>
    <row r="4352">
      <c r="D4352" s="185"/>
      <c r="E4352" s="185" t="s">
        <v>470</v>
      </c>
      <c r="H4352" s="185"/>
    </row>
    <row r="4353">
      <c r="D4353" s="185"/>
      <c r="E4353" s="185" t="s">
        <v>470</v>
      </c>
      <c r="H4353" s="185"/>
    </row>
    <row r="4354">
      <c r="D4354" s="185"/>
      <c r="E4354" s="185" t="s">
        <v>470</v>
      </c>
      <c r="H4354" s="185"/>
    </row>
    <row r="4355">
      <c r="D4355" s="185"/>
      <c r="E4355" s="185" t="s">
        <v>470</v>
      </c>
      <c r="H4355" s="185"/>
    </row>
    <row r="4356">
      <c r="D4356" s="185"/>
      <c r="E4356" s="185" t="s">
        <v>470</v>
      </c>
      <c r="H4356" s="185"/>
    </row>
    <row r="4357">
      <c r="D4357" s="185"/>
      <c r="E4357" s="185" t="s">
        <v>470</v>
      </c>
      <c r="H4357" s="185"/>
    </row>
    <row r="4358">
      <c r="D4358" s="185"/>
      <c r="E4358" s="185" t="s">
        <v>470</v>
      </c>
      <c r="H4358" s="185"/>
    </row>
    <row r="4359">
      <c r="D4359" s="185"/>
      <c r="E4359" s="185" t="s">
        <v>470</v>
      </c>
      <c r="H4359" s="185"/>
    </row>
    <row r="4360">
      <c r="D4360" s="185"/>
      <c r="E4360" s="185" t="s">
        <v>470</v>
      </c>
      <c r="H4360" s="185"/>
    </row>
    <row r="4361">
      <c r="D4361" s="185"/>
      <c r="E4361" s="185" t="s">
        <v>470</v>
      </c>
      <c r="H4361" s="185"/>
    </row>
    <row r="4362">
      <c r="D4362" s="185"/>
      <c r="E4362" s="185" t="s">
        <v>470</v>
      </c>
      <c r="H4362" s="185"/>
    </row>
    <row r="4363">
      <c r="D4363" s="185"/>
      <c r="E4363" s="185" t="s">
        <v>470</v>
      </c>
      <c r="H4363" s="185"/>
    </row>
    <row r="4364">
      <c r="D4364" s="185"/>
      <c r="E4364" s="185" t="s">
        <v>470</v>
      </c>
      <c r="H4364" s="185"/>
    </row>
    <row r="4365">
      <c r="D4365" s="185"/>
      <c r="E4365" s="185" t="s">
        <v>470</v>
      </c>
      <c r="H4365" s="185"/>
    </row>
    <row r="4366">
      <c r="D4366" s="185"/>
      <c r="E4366" s="185" t="s">
        <v>470</v>
      </c>
      <c r="H4366" s="185"/>
    </row>
    <row r="4367">
      <c r="D4367" s="185"/>
      <c r="E4367" s="185" t="s">
        <v>470</v>
      </c>
      <c r="H4367" s="185"/>
    </row>
    <row r="4368">
      <c r="D4368" s="185"/>
      <c r="E4368" s="185" t="s">
        <v>470</v>
      </c>
      <c r="H4368" s="185"/>
    </row>
    <row r="4369">
      <c r="D4369" s="185"/>
      <c r="E4369" s="185" t="s">
        <v>470</v>
      </c>
      <c r="H4369" s="185"/>
    </row>
    <row r="4370">
      <c r="D4370" s="185"/>
      <c r="E4370" s="185" t="s">
        <v>470</v>
      </c>
      <c r="H4370" s="185"/>
    </row>
    <row r="4371">
      <c r="D4371" s="185"/>
      <c r="E4371" s="185" t="s">
        <v>470</v>
      </c>
      <c r="H4371" s="185"/>
    </row>
    <row r="4372">
      <c r="D4372" s="185"/>
      <c r="E4372" s="185" t="s">
        <v>470</v>
      </c>
      <c r="H4372" s="185"/>
    </row>
    <row r="4373">
      <c r="D4373" s="185"/>
      <c r="E4373" s="185" t="s">
        <v>470</v>
      </c>
      <c r="H4373" s="185"/>
    </row>
    <row r="4374">
      <c r="D4374" s="185"/>
      <c r="E4374" s="185" t="s">
        <v>470</v>
      </c>
      <c r="H4374" s="185"/>
    </row>
    <row r="4375">
      <c r="D4375" s="185"/>
      <c r="E4375" s="185" t="s">
        <v>470</v>
      </c>
      <c r="H4375" s="185"/>
    </row>
    <row r="4376">
      <c r="D4376" s="185"/>
      <c r="E4376" s="185" t="s">
        <v>470</v>
      </c>
      <c r="H4376" s="185"/>
    </row>
    <row r="4377">
      <c r="D4377" s="185"/>
      <c r="E4377" s="185" t="s">
        <v>470</v>
      </c>
      <c r="H4377" s="185"/>
    </row>
    <row r="4378">
      <c r="D4378" s="185"/>
      <c r="E4378" s="185" t="s">
        <v>470</v>
      </c>
      <c r="H4378" s="185"/>
    </row>
    <row r="4379">
      <c r="D4379" s="185"/>
      <c r="E4379" s="185" t="s">
        <v>470</v>
      </c>
      <c r="H4379" s="185"/>
    </row>
    <row r="4380">
      <c r="D4380" s="185"/>
      <c r="E4380" s="185" t="s">
        <v>470</v>
      </c>
      <c r="H4380" s="185"/>
    </row>
    <row r="4381">
      <c r="D4381" s="185"/>
      <c r="E4381" s="185" t="s">
        <v>470</v>
      </c>
      <c r="H4381" s="185"/>
    </row>
    <row r="4382">
      <c r="D4382" s="185"/>
      <c r="E4382" s="185" t="s">
        <v>470</v>
      </c>
      <c r="H4382" s="185"/>
    </row>
    <row r="4383">
      <c r="D4383" s="185"/>
      <c r="E4383" s="185" t="s">
        <v>470</v>
      </c>
      <c r="H4383" s="185"/>
    </row>
    <row r="4384">
      <c r="D4384" s="185"/>
      <c r="E4384" s="185" t="s">
        <v>470</v>
      </c>
      <c r="H4384" s="185"/>
    </row>
    <row r="4385">
      <c r="D4385" s="185"/>
      <c r="E4385" s="185" t="s">
        <v>470</v>
      </c>
      <c r="H4385" s="185"/>
    </row>
    <row r="4386">
      <c r="D4386" s="185"/>
      <c r="E4386" s="185" t="s">
        <v>470</v>
      </c>
      <c r="H4386" s="185"/>
    </row>
    <row r="4387">
      <c r="D4387" s="185"/>
      <c r="E4387" s="185" t="s">
        <v>470</v>
      </c>
      <c r="H4387" s="185"/>
    </row>
    <row r="4388">
      <c r="D4388" s="185"/>
      <c r="E4388" s="185" t="s">
        <v>470</v>
      </c>
      <c r="H4388" s="185"/>
    </row>
    <row r="4389">
      <c r="D4389" s="185"/>
      <c r="E4389" s="185" t="s">
        <v>470</v>
      </c>
      <c r="H4389" s="185"/>
    </row>
    <row r="4390">
      <c r="D4390" s="185"/>
      <c r="E4390" s="185" t="s">
        <v>470</v>
      </c>
      <c r="H4390" s="185"/>
    </row>
    <row r="4391">
      <c r="D4391" s="185"/>
      <c r="E4391" s="185" t="s">
        <v>470</v>
      </c>
      <c r="H4391" s="185"/>
    </row>
    <row r="4392">
      <c r="D4392" s="185"/>
      <c r="E4392" s="185" t="s">
        <v>470</v>
      </c>
      <c r="H4392" s="185"/>
    </row>
    <row r="4393">
      <c r="D4393" s="185"/>
      <c r="E4393" s="185" t="s">
        <v>470</v>
      </c>
      <c r="H4393" s="185"/>
    </row>
    <row r="4394">
      <c r="D4394" s="185"/>
      <c r="E4394" s="185" t="s">
        <v>470</v>
      </c>
      <c r="H4394" s="185"/>
    </row>
    <row r="4395">
      <c r="D4395" s="185"/>
      <c r="E4395" s="185" t="s">
        <v>470</v>
      </c>
      <c r="H4395" s="185"/>
    </row>
    <row r="4396">
      <c r="D4396" s="185"/>
      <c r="E4396" s="185" t="s">
        <v>470</v>
      </c>
      <c r="H4396" s="185"/>
    </row>
    <row r="4397">
      <c r="D4397" s="185"/>
      <c r="E4397" s="185" t="s">
        <v>470</v>
      </c>
      <c r="H4397" s="185"/>
    </row>
    <row r="4398">
      <c r="D4398" s="185"/>
      <c r="E4398" s="185" t="s">
        <v>470</v>
      </c>
      <c r="H4398" s="185"/>
    </row>
    <row r="4399">
      <c r="D4399" s="185"/>
      <c r="E4399" s="185" t="s">
        <v>470</v>
      </c>
      <c r="H4399" s="185"/>
    </row>
    <row r="4400">
      <c r="D4400" s="185"/>
      <c r="E4400" s="185" t="s">
        <v>470</v>
      </c>
      <c r="H4400" s="185"/>
    </row>
    <row r="4401">
      <c r="D4401" s="185"/>
      <c r="E4401" s="185" t="s">
        <v>470</v>
      </c>
      <c r="H4401" s="185"/>
    </row>
    <row r="4402">
      <c r="D4402" s="185"/>
      <c r="E4402" s="185" t="s">
        <v>470</v>
      </c>
      <c r="H4402" s="185"/>
    </row>
    <row r="4403">
      <c r="D4403" s="185"/>
      <c r="E4403" s="185" t="s">
        <v>470</v>
      </c>
      <c r="H4403" s="185"/>
    </row>
    <row r="4404">
      <c r="D4404" s="185"/>
      <c r="E4404" s="185" t="s">
        <v>470</v>
      </c>
      <c r="H4404" s="185"/>
    </row>
    <row r="4405">
      <c r="D4405" s="185"/>
      <c r="E4405" s="185" t="s">
        <v>470</v>
      </c>
      <c r="H4405" s="185"/>
    </row>
    <row r="4406">
      <c r="D4406" s="185"/>
      <c r="E4406" s="185" t="s">
        <v>470</v>
      </c>
      <c r="H4406" s="185"/>
    </row>
    <row r="4407">
      <c r="D4407" s="185"/>
      <c r="E4407" s="185" t="s">
        <v>470</v>
      </c>
      <c r="H4407" s="185"/>
    </row>
    <row r="4408">
      <c r="D4408" s="185"/>
      <c r="E4408" s="185" t="s">
        <v>470</v>
      </c>
      <c r="H4408" s="185"/>
    </row>
    <row r="4409">
      <c r="D4409" s="185"/>
      <c r="E4409" s="185" t="s">
        <v>470</v>
      </c>
      <c r="H4409" s="185"/>
    </row>
    <row r="4410">
      <c r="D4410" s="185"/>
      <c r="E4410" s="185" t="s">
        <v>470</v>
      </c>
      <c r="H4410" s="185"/>
    </row>
    <row r="4411">
      <c r="D4411" s="185"/>
      <c r="E4411" s="185" t="s">
        <v>470</v>
      </c>
      <c r="H4411" s="185"/>
    </row>
    <row r="4412">
      <c r="D4412" s="185"/>
      <c r="E4412" s="185" t="s">
        <v>470</v>
      </c>
      <c r="H4412" s="185"/>
    </row>
    <row r="4413">
      <c r="D4413" s="185"/>
      <c r="E4413" s="185" t="s">
        <v>470</v>
      </c>
      <c r="H4413" s="185"/>
    </row>
    <row r="4414">
      <c r="D4414" s="185"/>
      <c r="E4414" s="185" t="s">
        <v>470</v>
      </c>
      <c r="H4414" s="185"/>
    </row>
    <row r="4415">
      <c r="D4415" s="185"/>
      <c r="E4415" s="185" t="s">
        <v>470</v>
      </c>
      <c r="H4415" s="185"/>
    </row>
    <row r="4416">
      <c r="D4416" s="185"/>
      <c r="E4416" s="185" t="s">
        <v>470</v>
      </c>
      <c r="H4416" s="185"/>
    </row>
    <row r="4417">
      <c r="D4417" s="185"/>
      <c r="E4417" s="185" t="s">
        <v>470</v>
      </c>
      <c r="H4417" s="185"/>
    </row>
    <row r="4418">
      <c r="D4418" s="185"/>
      <c r="E4418" s="185" t="s">
        <v>470</v>
      </c>
      <c r="H4418" s="185"/>
    </row>
    <row r="4419">
      <c r="D4419" s="185"/>
      <c r="E4419" s="185" t="s">
        <v>470</v>
      </c>
      <c r="H4419" s="185"/>
    </row>
    <row r="4420">
      <c r="D4420" s="185"/>
      <c r="E4420" s="185" t="s">
        <v>470</v>
      </c>
      <c r="H4420" s="185"/>
    </row>
    <row r="4421">
      <c r="D4421" s="185"/>
      <c r="E4421" s="185" t="s">
        <v>470</v>
      </c>
      <c r="H4421" s="185"/>
    </row>
    <row r="4422">
      <c r="D4422" s="185"/>
      <c r="E4422" s="185" t="s">
        <v>470</v>
      </c>
      <c r="H4422" s="185"/>
    </row>
    <row r="4423">
      <c r="D4423" s="185"/>
      <c r="E4423" s="185" t="s">
        <v>470</v>
      </c>
      <c r="H4423" s="185"/>
    </row>
    <row r="4424">
      <c r="D4424" s="185"/>
      <c r="E4424" s="185" t="s">
        <v>470</v>
      </c>
      <c r="H4424" s="185"/>
    </row>
    <row r="4425">
      <c r="D4425" s="185"/>
      <c r="E4425" s="185" t="s">
        <v>470</v>
      </c>
      <c r="H4425" s="185"/>
    </row>
    <row r="4426">
      <c r="D4426" s="185"/>
      <c r="E4426" s="185" t="s">
        <v>470</v>
      </c>
      <c r="H4426" s="185"/>
    </row>
    <row r="4427">
      <c r="D4427" s="185"/>
      <c r="E4427" s="185" t="s">
        <v>470</v>
      </c>
      <c r="H4427" s="185"/>
    </row>
    <row r="4428">
      <c r="D4428" s="185"/>
      <c r="E4428" s="185" t="s">
        <v>470</v>
      </c>
      <c r="H4428" s="185"/>
    </row>
    <row r="4429">
      <c r="D4429" s="185"/>
      <c r="E4429" s="185" t="s">
        <v>470</v>
      </c>
      <c r="H4429" s="185"/>
    </row>
    <row r="4430">
      <c r="D4430" s="185"/>
      <c r="E4430" s="185" t="s">
        <v>470</v>
      </c>
      <c r="H4430" s="185"/>
    </row>
    <row r="4431">
      <c r="D4431" s="185"/>
      <c r="E4431" s="185" t="s">
        <v>470</v>
      </c>
      <c r="H4431" s="185"/>
    </row>
    <row r="4432">
      <c r="D4432" s="185"/>
      <c r="E4432" s="185" t="s">
        <v>470</v>
      </c>
      <c r="H4432" s="185"/>
    </row>
    <row r="4433">
      <c r="D4433" s="185"/>
      <c r="E4433" s="185" t="s">
        <v>470</v>
      </c>
      <c r="H4433" s="185"/>
    </row>
    <row r="4434">
      <c r="D4434" s="185"/>
      <c r="E4434" s="185" t="s">
        <v>470</v>
      </c>
      <c r="H4434" s="185"/>
    </row>
    <row r="4435">
      <c r="D4435" s="185"/>
      <c r="E4435" s="185" t="s">
        <v>470</v>
      </c>
      <c r="H4435" s="185"/>
    </row>
    <row r="4436">
      <c r="D4436" s="185"/>
      <c r="E4436" s="185" t="s">
        <v>470</v>
      </c>
      <c r="H4436" s="185"/>
    </row>
    <row r="4437">
      <c r="D4437" s="185"/>
      <c r="E4437" s="185" t="s">
        <v>470</v>
      </c>
      <c r="H4437" s="185"/>
    </row>
    <row r="4438">
      <c r="D4438" s="185"/>
      <c r="E4438" s="185" t="s">
        <v>470</v>
      </c>
      <c r="H4438" s="185"/>
    </row>
    <row r="4439">
      <c r="D4439" s="185"/>
      <c r="E4439" s="185" t="s">
        <v>470</v>
      </c>
      <c r="H4439" s="185"/>
    </row>
    <row r="4440">
      <c r="D4440" s="185"/>
      <c r="E4440" s="185" t="s">
        <v>470</v>
      </c>
      <c r="H4440" s="185"/>
    </row>
    <row r="4441">
      <c r="D4441" s="185"/>
      <c r="E4441" s="185" t="s">
        <v>470</v>
      </c>
      <c r="H4441" s="185"/>
    </row>
    <row r="4442">
      <c r="D4442" s="185"/>
      <c r="E4442" s="185" t="s">
        <v>470</v>
      </c>
      <c r="H4442" s="185"/>
    </row>
    <row r="4443">
      <c r="D4443" s="185"/>
      <c r="E4443" s="185" t="s">
        <v>470</v>
      </c>
      <c r="H4443" s="185"/>
    </row>
    <row r="4444">
      <c r="D4444" s="185"/>
      <c r="E4444" s="185" t="s">
        <v>470</v>
      </c>
      <c r="H4444" s="185"/>
    </row>
    <row r="4445">
      <c r="D4445" s="185"/>
      <c r="E4445" s="185" t="s">
        <v>470</v>
      </c>
      <c r="H4445" s="185"/>
    </row>
    <row r="4446">
      <c r="D4446" s="185"/>
      <c r="E4446" s="185" t="s">
        <v>470</v>
      </c>
      <c r="H4446" s="185"/>
    </row>
    <row r="4447">
      <c r="D4447" s="185"/>
      <c r="E4447" s="185" t="s">
        <v>470</v>
      </c>
      <c r="H4447" s="185"/>
    </row>
    <row r="4448">
      <c r="D4448" s="185"/>
      <c r="E4448" s="185" t="s">
        <v>470</v>
      </c>
      <c r="H4448" s="185"/>
    </row>
    <row r="4449">
      <c r="D4449" s="185"/>
      <c r="E4449" s="185" t="s">
        <v>470</v>
      </c>
      <c r="H4449" s="185"/>
    </row>
    <row r="4450">
      <c r="D4450" s="185"/>
      <c r="E4450" s="185" t="s">
        <v>470</v>
      </c>
      <c r="H4450" s="185"/>
    </row>
    <row r="4451">
      <c r="D4451" s="185"/>
      <c r="E4451" s="185" t="s">
        <v>470</v>
      </c>
      <c r="H4451" s="185"/>
    </row>
    <row r="4452">
      <c r="D4452" s="185"/>
      <c r="E4452" s="185" t="s">
        <v>470</v>
      </c>
      <c r="H4452" s="185"/>
    </row>
    <row r="4453">
      <c r="D4453" s="185"/>
      <c r="E4453" s="185" t="s">
        <v>470</v>
      </c>
      <c r="H4453" s="185"/>
    </row>
    <row r="4454">
      <c r="D4454" s="185"/>
      <c r="E4454" s="185" t="s">
        <v>470</v>
      </c>
      <c r="H4454" s="185"/>
    </row>
    <row r="4455">
      <c r="D4455" s="185"/>
      <c r="E4455" s="185" t="s">
        <v>470</v>
      </c>
      <c r="H4455" s="185"/>
    </row>
    <row r="4456">
      <c r="D4456" s="185"/>
      <c r="E4456" s="185" t="s">
        <v>470</v>
      </c>
      <c r="H4456" s="185"/>
    </row>
    <row r="4457">
      <c r="D4457" s="185"/>
      <c r="E4457" s="185" t="s">
        <v>470</v>
      </c>
      <c r="H4457" s="185"/>
    </row>
    <row r="4458">
      <c r="D4458" s="185"/>
      <c r="E4458" s="185" t="s">
        <v>470</v>
      </c>
      <c r="H4458" s="185"/>
    </row>
    <row r="4459">
      <c r="D4459" s="185"/>
      <c r="E4459" s="185" t="s">
        <v>470</v>
      </c>
      <c r="H4459" s="185"/>
    </row>
    <row r="4460">
      <c r="D4460" s="185"/>
      <c r="E4460" s="185" t="s">
        <v>470</v>
      </c>
      <c r="H4460" s="185"/>
    </row>
    <row r="4461">
      <c r="D4461" s="185"/>
      <c r="E4461" s="185" t="s">
        <v>470</v>
      </c>
      <c r="H4461" s="185"/>
    </row>
    <row r="4462">
      <c r="D4462" s="185"/>
      <c r="E4462" s="185" t="s">
        <v>470</v>
      </c>
      <c r="H4462" s="185"/>
    </row>
    <row r="4463">
      <c r="D4463" s="185"/>
      <c r="E4463" s="185" t="s">
        <v>470</v>
      </c>
      <c r="H4463" s="185"/>
    </row>
    <row r="4464">
      <c r="D4464" s="185"/>
      <c r="E4464" s="185" t="s">
        <v>470</v>
      </c>
      <c r="H4464" s="185"/>
    </row>
    <row r="4465">
      <c r="D4465" s="185"/>
      <c r="E4465" s="185" t="s">
        <v>470</v>
      </c>
      <c r="H4465" s="185"/>
    </row>
    <row r="4466">
      <c r="D4466" s="185"/>
      <c r="E4466" s="185" t="s">
        <v>470</v>
      </c>
      <c r="H4466" s="185"/>
    </row>
    <row r="4467">
      <c r="D4467" s="185"/>
      <c r="E4467" s="185" t="s">
        <v>470</v>
      </c>
      <c r="H4467" s="185"/>
    </row>
    <row r="4468">
      <c r="D4468" s="185"/>
      <c r="E4468" s="185" t="s">
        <v>470</v>
      </c>
      <c r="H4468" s="185"/>
    </row>
    <row r="4469">
      <c r="D4469" s="185"/>
      <c r="E4469" s="185" t="s">
        <v>470</v>
      </c>
      <c r="H4469" s="185"/>
    </row>
    <row r="4470">
      <c r="D4470" s="185"/>
      <c r="E4470" s="185" t="s">
        <v>470</v>
      </c>
      <c r="H4470" s="185"/>
    </row>
    <row r="4471">
      <c r="D4471" s="185"/>
      <c r="E4471" s="185" t="s">
        <v>470</v>
      </c>
      <c r="H4471" s="185"/>
    </row>
    <row r="4472">
      <c r="D4472" s="185"/>
      <c r="E4472" s="185" t="s">
        <v>470</v>
      </c>
      <c r="H4472" s="185"/>
    </row>
    <row r="4473">
      <c r="D4473" s="185"/>
      <c r="E4473" s="185" t="s">
        <v>470</v>
      </c>
      <c r="H4473" s="185"/>
    </row>
    <row r="4474">
      <c r="D4474" s="185"/>
      <c r="E4474" s="185" t="s">
        <v>470</v>
      </c>
      <c r="H4474" s="185"/>
    </row>
    <row r="4475">
      <c r="D4475" s="185"/>
      <c r="E4475" s="185" t="s">
        <v>470</v>
      </c>
      <c r="H4475" s="185"/>
    </row>
    <row r="4476">
      <c r="D4476" s="185"/>
      <c r="E4476" s="185" t="s">
        <v>470</v>
      </c>
      <c r="H4476" s="185"/>
    </row>
    <row r="4477">
      <c r="D4477" s="185"/>
      <c r="E4477" s="185" t="s">
        <v>470</v>
      </c>
      <c r="H4477" s="185"/>
    </row>
    <row r="4478">
      <c r="D4478" s="185"/>
      <c r="E4478" s="185" t="s">
        <v>470</v>
      </c>
      <c r="H4478" s="185"/>
    </row>
    <row r="4479">
      <c r="D4479" s="185"/>
      <c r="E4479" s="185" t="s">
        <v>470</v>
      </c>
      <c r="H4479" s="185"/>
    </row>
    <row r="4480">
      <c r="D4480" s="185"/>
      <c r="E4480" s="185" t="s">
        <v>470</v>
      </c>
      <c r="H4480" s="185"/>
    </row>
    <row r="4481">
      <c r="D4481" s="185"/>
      <c r="E4481" s="185" t="s">
        <v>470</v>
      </c>
      <c r="H4481" s="185"/>
    </row>
    <row r="4482">
      <c r="D4482" s="185"/>
      <c r="E4482" s="185" t="s">
        <v>470</v>
      </c>
      <c r="H4482" s="185"/>
    </row>
    <row r="4483">
      <c r="D4483" s="185"/>
      <c r="E4483" s="185" t="s">
        <v>470</v>
      </c>
      <c r="H4483" s="185"/>
    </row>
    <row r="4484">
      <c r="D4484" s="185"/>
      <c r="E4484" s="185" t="s">
        <v>470</v>
      </c>
      <c r="H4484" s="185"/>
    </row>
    <row r="4485">
      <c r="D4485" s="185"/>
      <c r="E4485" s="185" t="s">
        <v>470</v>
      </c>
      <c r="H4485" s="185"/>
    </row>
    <row r="4486">
      <c r="D4486" s="185"/>
      <c r="E4486" s="185" t="s">
        <v>470</v>
      </c>
      <c r="H4486" s="185"/>
    </row>
    <row r="4487">
      <c r="D4487" s="185"/>
      <c r="E4487" s="185" t="s">
        <v>470</v>
      </c>
      <c r="H4487" s="185"/>
    </row>
    <row r="4488">
      <c r="D4488" s="185"/>
      <c r="E4488" s="185" t="s">
        <v>470</v>
      </c>
      <c r="H4488" s="185"/>
    </row>
    <row r="4489">
      <c r="D4489" s="185"/>
      <c r="E4489" s="185" t="s">
        <v>470</v>
      </c>
      <c r="H4489" s="185"/>
    </row>
    <row r="4490">
      <c r="D4490" s="185"/>
      <c r="E4490" s="185" t="s">
        <v>470</v>
      </c>
      <c r="H4490" s="185"/>
    </row>
    <row r="4491">
      <c r="D4491" s="185"/>
      <c r="E4491" s="185" t="s">
        <v>470</v>
      </c>
      <c r="H4491" s="185"/>
    </row>
    <row r="4492">
      <c r="D4492" s="185"/>
      <c r="E4492" s="185" t="s">
        <v>470</v>
      </c>
      <c r="H4492" s="185"/>
    </row>
    <row r="4493">
      <c r="D4493" s="185"/>
      <c r="E4493" s="185" t="s">
        <v>470</v>
      </c>
      <c r="H4493" s="185"/>
    </row>
    <row r="4494">
      <c r="D4494" s="185"/>
      <c r="E4494" s="185" t="s">
        <v>470</v>
      </c>
      <c r="H4494" s="185"/>
    </row>
    <row r="4495">
      <c r="D4495" s="185"/>
      <c r="E4495" s="185" t="s">
        <v>470</v>
      </c>
      <c r="H4495" s="185"/>
    </row>
    <row r="4496">
      <c r="D4496" s="185"/>
      <c r="E4496" s="185" t="s">
        <v>470</v>
      </c>
      <c r="H4496" s="185"/>
    </row>
    <row r="4497">
      <c r="D4497" s="185"/>
      <c r="E4497" s="185" t="s">
        <v>470</v>
      </c>
      <c r="H4497" s="185"/>
    </row>
    <row r="4498">
      <c r="D4498" s="185"/>
      <c r="E4498" s="185" t="s">
        <v>470</v>
      </c>
      <c r="H4498" s="185"/>
    </row>
    <row r="4499">
      <c r="D4499" s="185"/>
      <c r="E4499" s="185" t="s">
        <v>470</v>
      </c>
      <c r="H4499" s="185"/>
    </row>
    <row r="4500">
      <c r="D4500" s="185"/>
      <c r="E4500" s="185" t="s">
        <v>470</v>
      </c>
      <c r="H4500" s="185"/>
    </row>
    <row r="4501">
      <c r="D4501" s="185"/>
      <c r="E4501" s="185" t="s">
        <v>470</v>
      </c>
      <c r="H4501" s="185"/>
    </row>
    <row r="4502">
      <c r="D4502" s="185"/>
      <c r="E4502" s="185" t="s">
        <v>470</v>
      </c>
      <c r="H4502" s="185"/>
    </row>
    <row r="4503">
      <c r="D4503" s="185"/>
      <c r="E4503" s="185" t="s">
        <v>470</v>
      </c>
      <c r="H4503" s="185"/>
    </row>
    <row r="4504">
      <c r="D4504" s="185"/>
      <c r="E4504" s="185" t="s">
        <v>470</v>
      </c>
      <c r="H4504" s="185"/>
    </row>
    <row r="4505">
      <c r="D4505" s="185"/>
      <c r="E4505" s="185" t="s">
        <v>470</v>
      </c>
      <c r="H4505" s="185"/>
    </row>
    <row r="4506">
      <c r="D4506" s="185"/>
      <c r="E4506" s="185" t="s">
        <v>470</v>
      </c>
      <c r="H4506" s="185"/>
    </row>
    <row r="4507">
      <c r="D4507" s="185"/>
      <c r="E4507" s="185" t="s">
        <v>470</v>
      </c>
      <c r="H4507" s="185"/>
    </row>
    <row r="4508">
      <c r="D4508" s="185"/>
      <c r="E4508" s="185" t="s">
        <v>470</v>
      </c>
      <c r="H4508" s="185"/>
    </row>
    <row r="4509">
      <c r="D4509" s="185"/>
      <c r="E4509" s="185" t="s">
        <v>470</v>
      </c>
      <c r="H4509" s="185"/>
    </row>
    <row r="4510">
      <c r="D4510" s="185"/>
      <c r="E4510" s="185" t="s">
        <v>470</v>
      </c>
      <c r="H4510" s="185"/>
    </row>
    <row r="4511">
      <c r="D4511" s="185"/>
      <c r="E4511" s="185" t="s">
        <v>470</v>
      </c>
      <c r="H4511" s="185"/>
    </row>
    <row r="4512">
      <c r="D4512" s="185"/>
      <c r="E4512" s="185" t="s">
        <v>470</v>
      </c>
      <c r="H4512" s="185"/>
    </row>
    <row r="4513">
      <c r="D4513" s="185"/>
      <c r="E4513" s="185" t="s">
        <v>470</v>
      </c>
      <c r="H4513" s="185"/>
    </row>
    <row r="4514">
      <c r="D4514" s="185"/>
      <c r="E4514" s="185" t="s">
        <v>470</v>
      </c>
      <c r="H4514" s="185"/>
    </row>
    <row r="4515">
      <c r="D4515" s="185"/>
      <c r="E4515" s="185" t="s">
        <v>470</v>
      </c>
      <c r="H4515" s="185"/>
    </row>
    <row r="4516">
      <c r="D4516" s="185"/>
      <c r="E4516" s="185" t="s">
        <v>470</v>
      </c>
      <c r="H4516" s="185"/>
    </row>
    <row r="4517">
      <c r="D4517" s="185"/>
      <c r="E4517" s="185" t="s">
        <v>470</v>
      </c>
      <c r="H4517" s="185"/>
    </row>
    <row r="4518">
      <c r="D4518" s="185"/>
      <c r="E4518" s="185" t="s">
        <v>470</v>
      </c>
      <c r="H4518" s="185"/>
    </row>
    <row r="4519">
      <c r="D4519" s="185"/>
      <c r="E4519" s="185" t="s">
        <v>470</v>
      </c>
      <c r="H4519" s="185"/>
    </row>
    <row r="4520">
      <c r="D4520" s="185"/>
      <c r="E4520" s="185" t="s">
        <v>470</v>
      </c>
      <c r="H4520" s="185"/>
    </row>
    <row r="4521">
      <c r="D4521" s="185"/>
      <c r="E4521" s="185" t="s">
        <v>470</v>
      </c>
      <c r="H4521" s="185"/>
    </row>
    <row r="4522">
      <c r="D4522" s="185"/>
      <c r="E4522" s="185" t="s">
        <v>470</v>
      </c>
      <c r="H4522" s="185"/>
    </row>
    <row r="4523">
      <c r="D4523" s="185"/>
      <c r="E4523" s="185" t="s">
        <v>470</v>
      </c>
      <c r="H4523" s="185"/>
    </row>
    <row r="4524">
      <c r="D4524" s="185"/>
      <c r="E4524" s="185" t="s">
        <v>470</v>
      </c>
      <c r="H4524" s="185"/>
    </row>
    <row r="4525">
      <c r="D4525" s="185"/>
      <c r="E4525" s="185" t="s">
        <v>470</v>
      </c>
      <c r="H4525" s="185"/>
    </row>
    <row r="4526">
      <c r="D4526" s="185"/>
      <c r="E4526" s="185" t="s">
        <v>470</v>
      </c>
      <c r="H4526" s="185"/>
    </row>
    <row r="4527">
      <c r="D4527" s="185"/>
      <c r="E4527" s="185" t="s">
        <v>470</v>
      </c>
      <c r="H4527" s="185"/>
    </row>
    <row r="4528">
      <c r="D4528" s="185"/>
      <c r="E4528" s="185" t="s">
        <v>470</v>
      </c>
      <c r="H4528" s="185"/>
    </row>
    <row r="4529">
      <c r="D4529" s="185"/>
      <c r="E4529" s="185" t="s">
        <v>470</v>
      </c>
      <c r="H4529" s="185"/>
    </row>
    <row r="4530">
      <c r="D4530" s="185"/>
      <c r="E4530" s="185" t="s">
        <v>470</v>
      </c>
      <c r="H4530" s="185"/>
    </row>
    <row r="4531">
      <c r="D4531" s="185"/>
      <c r="E4531" s="185" t="s">
        <v>470</v>
      </c>
      <c r="H4531" s="185"/>
    </row>
    <row r="4532">
      <c r="D4532" s="185"/>
      <c r="E4532" s="185" t="s">
        <v>470</v>
      </c>
      <c r="H4532" s="185"/>
    </row>
    <row r="4533">
      <c r="D4533" s="185"/>
      <c r="E4533" s="185" t="s">
        <v>470</v>
      </c>
      <c r="H4533" s="185"/>
    </row>
    <row r="4534">
      <c r="D4534" s="185"/>
      <c r="E4534" s="185" t="s">
        <v>470</v>
      </c>
      <c r="H4534" s="185"/>
    </row>
    <row r="4535">
      <c r="D4535" s="185"/>
      <c r="E4535" s="185" t="s">
        <v>470</v>
      </c>
      <c r="H4535" s="185"/>
    </row>
    <row r="4536">
      <c r="D4536" s="185"/>
      <c r="E4536" s="185" t="s">
        <v>470</v>
      </c>
      <c r="H4536" s="185"/>
    </row>
    <row r="4537">
      <c r="D4537" s="185"/>
      <c r="E4537" s="185" t="s">
        <v>470</v>
      </c>
      <c r="H4537" s="185"/>
    </row>
    <row r="4538">
      <c r="D4538" s="185"/>
      <c r="E4538" s="185" t="s">
        <v>470</v>
      </c>
      <c r="H4538" s="185"/>
    </row>
    <row r="4539">
      <c r="D4539" s="185"/>
      <c r="E4539" s="185" t="s">
        <v>470</v>
      </c>
      <c r="H4539" s="185"/>
    </row>
    <row r="4540">
      <c r="D4540" s="185"/>
      <c r="E4540" s="185" t="s">
        <v>470</v>
      </c>
      <c r="H4540" s="185"/>
    </row>
    <row r="4541">
      <c r="D4541" s="185"/>
      <c r="E4541" s="185" t="s">
        <v>470</v>
      </c>
      <c r="H4541" s="185"/>
    </row>
    <row r="4542">
      <c r="D4542" s="185"/>
      <c r="E4542" s="185" t="s">
        <v>470</v>
      </c>
      <c r="H4542" s="185"/>
    </row>
    <row r="4543">
      <c r="D4543" s="185"/>
      <c r="E4543" s="185" t="s">
        <v>470</v>
      </c>
      <c r="H4543" s="185"/>
    </row>
    <row r="4544">
      <c r="D4544" s="185"/>
      <c r="E4544" s="185" t="s">
        <v>470</v>
      </c>
      <c r="H4544" s="185"/>
    </row>
    <row r="4545">
      <c r="D4545" s="185"/>
      <c r="E4545" s="185" t="s">
        <v>470</v>
      </c>
      <c r="H4545" s="185"/>
    </row>
    <row r="4546">
      <c r="D4546" s="185"/>
      <c r="E4546" s="185" t="s">
        <v>470</v>
      </c>
      <c r="H4546" s="185"/>
    </row>
    <row r="4547">
      <c r="D4547" s="185"/>
      <c r="E4547" s="185" t="s">
        <v>470</v>
      </c>
      <c r="H4547" s="185"/>
    </row>
    <row r="4548">
      <c r="D4548" s="185"/>
      <c r="E4548" s="185" t="s">
        <v>470</v>
      </c>
      <c r="H4548" s="185"/>
    </row>
    <row r="4549">
      <c r="D4549" s="185"/>
      <c r="E4549" s="185" t="s">
        <v>470</v>
      </c>
      <c r="H4549" s="185"/>
    </row>
    <row r="4550">
      <c r="D4550" s="185"/>
      <c r="E4550" s="185" t="s">
        <v>470</v>
      </c>
      <c r="H4550" s="185"/>
    </row>
    <row r="4551">
      <c r="D4551" s="185"/>
      <c r="E4551" s="185" t="s">
        <v>470</v>
      </c>
      <c r="H4551" s="185"/>
    </row>
    <row r="4552">
      <c r="D4552" s="185"/>
      <c r="E4552" s="185" t="s">
        <v>470</v>
      </c>
      <c r="H4552" s="185"/>
    </row>
    <row r="4553">
      <c r="D4553" s="185"/>
      <c r="E4553" s="185" t="s">
        <v>470</v>
      </c>
      <c r="H4553" s="185"/>
    </row>
    <row r="4554">
      <c r="D4554" s="185"/>
      <c r="E4554" s="185" t="s">
        <v>470</v>
      </c>
      <c r="H4554" s="185"/>
    </row>
    <row r="4555">
      <c r="D4555" s="185"/>
      <c r="E4555" s="185" t="s">
        <v>470</v>
      </c>
      <c r="H4555" s="185"/>
    </row>
    <row r="4556">
      <c r="D4556" s="185"/>
      <c r="E4556" s="185" t="s">
        <v>470</v>
      </c>
      <c r="H4556" s="185"/>
    </row>
    <row r="4557">
      <c r="D4557" s="185"/>
      <c r="E4557" s="185" t="s">
        <v>470</v>
      </c>
      <c r="H4557" s="185"/>
    </row>
    <row r="4558">
      <c r="D4558" s="185"/>
      <c r="E4558" s="185" t="s">
        <v>470</v>
      </c>
      <c r="H4558" s="185"/>
    </row>
    <row r="4559">
      <c r="D4559" s="185"/>
      <c r="E4559" s="185" t="s">
        <v>470</v>
      </c>
      <c r="H4559" s="185"/>
    </row>
    <row r="4560">
      <c r="D4560" s="185"/>
      <c r="E4560" s="185" t="s">
        <v>470</v>
      </c>
      <c r="H4560" s="185"/>
    </row>
    <row r="4561">
      <c r="D4561" s="185"/>
      <c r="E4561" s="185" t="s">
        <v>470</v>
      </c>
      <c r="H4561" s="185"/>
    </row>
    <row r="4562">
      <c r="D4562" s="185"/>
      <c r="E4562" s="185" t="s">
        <v>470</v>
      </c>
      <c r="H4562" s="185"/>
    </row>
    <row r="4563">
      <c r="D4563" s="185"/>
      <c r="E4563" s="185" t="s">
        <v>470</v>
      </c>
      <c r="H4563" s="185"/>
    </row>
    <row r="4564">
      <c r="D4564" s="185"/>
      <c r="E4564" s="185" t="s">
        <v>470</v>
      </c>
      <c r="H4564" s="185"/>
    </row>
    <row r="4565">
      <c r="D4565" s="185"/>
      <c r="E4565" s="185" t="s">
        <v>470</v>
      </c>
      <c r="H4565" s="185"/>
    </row>
    <row r="4566">
      <c r="D4566" s="185"/>
      <c r="E4566" s="185" t="s">
        <v>470</v>
      </c>
      <c r="H4566" s="185"/>
    </row>
    <row r="4567">
      <c r="D4567" s="185"/>
      <c r="E4567" s="185" t="s">
        <v>470</v>
      </c>
      <c r="H4567" s="185"/>
    </row>
    <row r="4568">
      <c r="D4568" s="185"/>
      <c r="E4568" s="185" t="s">
        <v>470</v>
      </c>
      <c r="H4568" s="185"/>
    </row>
    <row r="4569">
      <c r="D4569" s="185"/>
      <c r="E4569" s="185" t="s">
        <v>470</v>
      </c>
      <c r="H4569" s="185"/>
    </row>
    <row r="4570">
      <c r="D4570" s="185"/>
      <c r="E4570" s="185" t="s">
        <v>470</v>
      </c>
      <c r="H4570" s="185"/>
    </row>
    <row r="4571">
      <c r="D4571" s="185"/>
      <c r="E4571" s="185" t="s">
        <v>470</v>
      </c>
      <c r="H4571" s="185"/>
    </row>
    <row r="4572">
      <c r="D4572" s="185"/>
      <c r="E4572" s="185" t="s">
        <v>470</v>
      </c>
      <c r="H4572" s="185"/>
    </row>
    <row r="4573">
      <c r="D4573" s="185"/>
      <c r="E4573" s="185" t="s">
        <v>470</v>
      </c>
      <c r="H4573" s="185"/>
    </row>
    <row r="4574">
      <c r="D4574" s="185"/>
      <c r="E4574" s="185" t="s">
        <v>470</v>
      </c>
      <c r="H4574" s="185"/>
    </row>
    <row r="4575">
      <c r="D4575" s="185"/>
      <c r="E4575" s="185" t="s">
        <v>470</v>
      </c>
      <c r="H4575" s="185"/>
    </row>
    <row r="4576">
      <c r="D4576" s="185"/>
      <c r="E4576" s="185" t="s">
        <v>470</v>
      </c>
      <c r="H4576" s="185"/>
    </row>
    <row r="4577">
      <c r="D4577" s="185"/>
      <c r="E4577" s="185" t="s">
        <v>470</v>
      </c>
      <c r="H4577" s="185"/>
    </row>
    <row r="4578">
      <c r="D4578" s="185"/>
      <c r="E4578" s="185" t="s">
        <v>470</v>
      </c>
      <c r="H4578" s="185"/>
    </row>
    <row r="4579">
      <c r="D4579" s="185"/>
      <c r="E4579" s="185" t="s">
        <v>470</v>
      </c>
      <c r="H4579" s="185"/>
    </row>
    <row r="4580">
      <c r="D4580" s="185"/>
      <c r="E4580" s="185" t="s">
        <v>470</v>
      </c>
      <c r="H4580" s="185"/>
    </row>
    <row r="4581">
      <c r="D4581" s="185"/>
      <c r="E4581" s="185" t="s">
        <v>470</v>
      </c>
      <c r="H4581" s="185"/>
    </row>
    <row r="4582">
      <c r="D4582" s="185"/>
      <c r="E4582" s="185" t="s">
        <v>470</v>
      </c>
      <c r="H4582" s="185"/>
    </row>
    <row r="4583">
      <c r="D4583" s="185"/>
      <c r="E4583" s="185" t="s">
        <v>470</v>
      </c>
      <c r="H4583" s="185"/>
    </row>
    <row r="4584">
      <c r="D4584" s="185"/>
      <c r="E4584" s="185" t="s">
        <v>470</v>
      </c>
      <c r="H4584" s="185"/>
    </row>
    <row r="4585">
      <c r="D4585" s="185"/>
      <c r="E4585" s="185" t="s">
        <v>470</v>
      </c>
      <c r="H4585" s="185"/>
    </row>
    <row r="4586">
      <c r="D4586" s="185"/>
      <c r="E4586" s="185" t="s">
        <v>470</v>
      </c>
      <c r="H4586" s="185"/>
    </row>
    <row r="4587">
      <c r="D4587" s="185"/>
      <c r="E4587" s="185" t="s">
        <v>470</v>
      </c>
      <c r="H4587" s="185"/>
    </row>
    <row r="4588">
      <c r="D4588" s="185"/>
      <c r="E4588" s="185" t="s">
        <v>470</v>
      </c>
      <c r="H4588" s="185"/>
    </row>
    <row r="4589">
      <c r="D4589" s="185"/>
      <c r="E4589" s="185" t="s">
        <v>470</v>
      </c>
      <c r="H4589" s="185"/>
    </row>
    <row r="4590">
      <c r="D4590" s="185"/>
      <c r="E4590" s="185" t="s">
        <v>470</v>
      </c>
      <c r="H4590" s="185"/>
    </row>
    <row r="4591">
      <c r="D4591" s="185"/>
      <c r="E4591" s="185" t="s">
        <v>470</v>
      </c>
      <c r="H4591" s="185"/>
    </row>
    <row r="4592">
      <c r="D4592" s="185"/>
      <c r="E4592" s="185" t="s">
        <v>470</v>
      </c>
      <c r="H4592" s="185"/>
    </row>
    <row r="4593">
      <c r="D4593" s="185"/>
      <c r="E4593" s="185" t="s">
        <v>470</v>
      </c>
      <c r="H4593" s="185"/>
    </row>
    <row r="4594">
      <c r="D4594" s="185"/>
      <c r="E4594" s="185" t="s">
        <v>470</v>
      </c>
      <c r="H4594" s="185"/>
    </row>
    <row r="4595">
      <c r="D4595" s="185"/>
      <c r="E4595" s="185" t="s">
        <v>470</v>
      </c>
      <c r="H4595" s="185"/>
    </row>
    <row r="4596">
      <c r="D4596" s="185"/>
      <c r="E4596" s="185" t="s">
        <v>470</v>
      </c>
      <c r="H4596" s="185"/>
    </row>
    <row r="4597">
      <c r="D4597" s="185"/>
      <c r="E4597" s="185" t="s">
        <v>470</v>
      </c>
      <c r="H4597" s="185"/>
    </row>
    <row r="4598">
      <c r="D4598" s="185"/>
      <c r="E4598" s="185" t="s">
        <v>470</v>
      </c>
      <c r="H4598" s="185"/>
    </row>
    <row r="4599">
      <c r="D4599" s="185"/>
      <c r="E4599" s="185" t="s">
        <v>470</v>
      </c>
      <c r="H4599" s="185"/>
    </row>
    <row r="4600">
      <c r="D4600" s="185"/>
      <c r="E4600" s="185" t="s">
        <v>470</v>
      </c>
      <c r="H4600" s="185"/>
    </row>
    <row r="4601">
      <c r="D4601" s="185"/>
      <c r="E4601" s="185" t="s">
        <v>470</v>
      </c>
      <c r="H4601" s="185"/>
    </row>
    <row r="4602">
      <c r="D4602" s="185"/>
      <c r="E4602" s="185" t="s">
        <v>470</v>
      </c>
      <c r="H4602" s="185"/>
    </row>
    <row r="4603">
      <c r="D4603" s="185"/>
      <c r="E4603" s="185" t="s">
        <v>470</v>
      </c>
      <c r="H4603" s="185"/>
    </row>
    <row r="4604">
      <c r="D4604" s="185"/>
      <c r="E4604" s="185" t="s">
        <v>470</v>
      </c>
      <c r="H4604" s="185"/>
    </row>
    <row r="4605">
      <c r="D4605" s="185"/>
      <c r="E4605" s="185" t="s">
        <v>470</v>
      </c>
      <c r="H4605" s="185"/>
    </row>
    <row r="4606">
      <c r="D4606" s="185"/>
      <c r="E4606" s="185" t="s">
        <v>470</v>
      </c>
      <c r="H4606" s="185"/>
    </row>
    <row r="4607">
      <c r="D4607" s="185"/>
      <c r="E4607" s="185" t="s">
        <v>470</v>
      </c>
      <c r="H4607" s="185"/>
    </row>
    <row r="4608">
      <c r="D4608" s="185"/>
      <c r="E4608" s="185" t="s">
        <v>470</v>
      </c>
      <c r="H4608" s="185"/>
    </row>
    <row r="4609">
      <c r="D4609" s="185"/>
      <c r="E4609" s="185" t="s">
        <v>470</v>
      </c>
      <c r="H4609" s="185"/>
    </row>
    <row r="4610">
      <c r="D4610" s="185"/>
      <c r="E4610" s="185" t="s">
        <v>470</v>
      </c>
      <c r="H4610" s="185"/>
    </row>
    <row r="4611">
      <c r="D4611" s="185"/>
      <c r="E4611" s="185" t="s">
        <v>470</v>
      </c>
      <c r="H4611" s="185"/>
    </row>
    <row r="4612">
      <c r="D4612" s="185"/>
      <c r="E4612" s="185" t="s">
        <v>470</v>
      </c>
      <c r="H4612" s="185"/>
    </row>
    <row r="4613">
      <c r="D4613" s="185"/>
      <c r="E4613" s="185" t="s">
        <v>470</v>
      </c>
      <c r="H4613" s="185"/>
    </row>
    <row r="4614">
      <c r="D4614" s="185"/>
      <c r="E4614" s="185" t="s">
        <v>470</v>
      </c>
      <c r="H4614" s="185"/>
    </row>
    <row r="4615">
      <c r="D4615" s="185"/>
      <c r="E4615" s="185" t="s">
        <v>470</v>
      </c>
      <c r="H4615" s="185"/>
    </row>
    <row r="4616">
      <c r="D4616" s="185"/>
      <c r="E4616" s="185" t="s">
        <v>470</v>
      </c>
      <c r="H4616" s="185"/>
    </row>
    <row r="4617">
      <c r="D4617" s="185"/>
      <c r="E4617" s="185" t="s">
        <v>470</v>
      </c>
      <c r="H4617" s="185"/>
    </row>
    <row r="4618">
      <c r="D4618" s="185"/>
      <c r="E4618" s="185" t="s">
        <v>470</v>
      </c>
      <c r="H4618" s="185"/>
    </row>
    <row r="4619">
      <c r="D4619" s="185"/>
      <c r="E4619" s="185" t="s">
        <v>470</v>
      </c>
      <c r="H4619" s="185"/>
    </row>
    <row r="4620">
      <c r="D4620" s="185"/>
      <c r="E4620" s="185" t="s">
        <v>470</v>
      </c>
      <c r="H4620" s="185"/>
    </row>
    <row r="4621">
      <c r="D4621" s="185"/>
      <c r="E4621" s="185" t="s">
        <v>470</v>
      </c>
      <c r="H4621" s="185"/>
    </row>
    <row r="4622">
      <c r="D4622" s="185"/>
      <c r="E4622" s="185" t="s">
        <v>470</v>
      </c>
      <c r="H4622" s="185"/>
    </row>
    <row r="4623">
      <c r="D4623" s="185"/>
      <c r="E4623" s="185" t="s">
        <v>470</v>
      </c>
      <c r="H4623" s="185"/>
    </row>
    <row r="4624">
      <c r="D4624" s="185"/>
      <c r="E4624" s="185" t="s">
        <v>470</v>
      </c>
      <c r="H4624" s="185"/>
    </row>
    <row r="4625">
      <c r="D4625" s="185"/>
      <c r="E4625" s="185" t="s">
        <v>470</v>
      </c>
      <c r="H4625" s="185"/>
    </row>
    <row r="4626">
      <c r="D4626" s="185"/>
      <c r="E4626" s="185" t="s">
        <v>470</v>
      </c>
      <c r="H4626" s="185"/>
    </row>
    <row r="4627">
      <c r="D4627" s="185"/>
      <c r="E4627" s="185" t="s">
        <v>470</v>
      </c>
      <c r="H4627" s="185"/>
    </row>
    <row r="4628">
      <c r="D4628" s="185"/>
      <c r="E4628" s="185" t="s">
        <v>470</v>
      </c>
      <c r="H4628" s="185"/>
    </row>
    <row r="4629">
      <c r="D4629" s="185"/>
      <c r="E4629" s="185" t="s">
        <v>470</v>
      </c>
      <c r="H4629" s="185"/>
    </row>
    <row r="4630">
      <c r="D4630" s="185"/>
      <c r="E4630" s="185" t="s">
        <v>470</v>
      </c>
      <c r="H4630" s="185"/>
    </row>
    <row r="4631">
      <c r="D4631" s="185"/>
      <c r="E4631" s="185" t="s">
        <v>470</v>
      </c>
      <c r="H4631" s="185"/>
    </row>
    <row r="4632">
      <c r="D4632" s="185"/>
      <c r="E4632" s="185" t="s">
        <v>470</v>
      </c>
      <c r="H4632" s="185"/>
    </row>
    <row r="4633">
      <c r="D4633" s="185"/>
      <c r="E4633" s="185" t="s">
        <v>470</v>
      </c>
      <c r="H4633" s="185"/>
    </row>
    <row r="4634">
      <c r="D4634" s="185"/>
      <c r="E4634" s="185" t="s">
        <v>470</v>
      </c>
      <c r="H4634" s="185"/>
    </row>
    <row r="4635">
      <c r="D4635" s="185"/>
      <c r="E4635" s="185" t="s">
        <v>470</v>
      </c>
      <c r="H4635" s="185"/>
    </row>
    <row r="4636">
      <c r="D4636" s="185"/>
      <c r="E4636" s="185" t="s">
        <v>470</v>
      </c>
      <c r="H4636" s="185"/>
    </row>
    <row r="4637">
      <c r="D4637" s="185"/>
      <c r="E4637" s="185" t="s">
        <v>470</v>
      </c>
      <c r="H4637" s="185"/>
    </row>
    <row r="4638">
      <c r="D4638" s="185"/>
      <c r="E4638" s="185" t="s">
        <v>470</v>
      </c>
      <c r="H4638" s="185"/>
    </row>
    <row r="4639">
      <c r="D4639" s="185"/>
      <c r="E4639" s="185" t="s">
        <v>470</v>
      </c>
      <c r="H4639" s="185"/>
    </row>
    <row r="4640">
      <c r="D4640" s="185"/>
      <c r="E4640" s="185" t="s">
        <v>470</v>
      </c>
      <c r="H4640" s="185"/>
    </row>
    <row r="4641">
      <c r="D4641" s="185"/>
      <c r="E4641" s="185" t="s">
        <v>470</v>
      </c>
      <c r="H4641" s="185"/>
    </row>
    <row r="4642">
      <c r="D4642" s="185"/>
      <c r="E4642" s="185" t="s">
        <v>470</v>
      </c>
      <c r="H4642" s="185"/>
    </row>
    <row r="4643">
      <c r="D4643" s="185"/>
      <c r="E4643" s="185" t="s">
        <v>470</v>
      </c>
      <c r="H4643" s="185"/>
    </row>
    <row r="4644">
      <c r="D4644" s="185"/>
      <c r="E4644" s="185" t="s">
        <v>470</v>
      </c>
      <c r="H4644" s="185"/>
    </row>
    <row r="4645">
      <c r="D4645" s="185"/>
      <c r="E4645" s="185" t="s">
        <v>470</v>
      </c>
      <c r="H4645" s="185"/>
    </row>
    <row r="4646">
      <c r="D4646" s="185"/>
      <c r="E4646" s="185" t="s">
        <v>470</v>
      </c>
      <c r="H4646" s="185"/>
    </row>
    <row r="4647">
      <c r="D4647" s="185"/>
      <c r="E4647" s="185" t="s">
        <v>470</v>
      </c>
      <c r="H4647" s="185"/>
    </row>
    <row r="4648">
      <c r="D4648" s="185"/>
      <c r="E4648" s="185" t="s">
        <v>470</v>
      </c>
      <c r="H4648" s="185"/>
    </row>
    <row r="4649">
      <c r="D4649" s="185"/>
      <c r="E4649" s="185" t="s">
        <v>470</v>
      </c>
      <c r="H4649" s="185"/>
    </row>
    <row r="4650">
      <c r="D4650" s="185"/>
      <c r="E4650" s="185" t="s">
        <v>470</v>
      </c>
      <c r="H4650" s="185"/>
    </row>
    <row r="4651">
      <c r="D4651" s="185"/>
      <c r="E4651" s="185" t="s">
        <v>470</v>
      </c>
      <c r="H4651" s="185"/>
    </row>
    <row r="4652">
      <c r="D4652" s="185"/>
      <c r="E4652" s="185" t="s">
        <v>470</v>
      </c>
      <c r="H4652" s="185"/>
    </row>
    <row r="4653">
      <c r="D4653" s="185"/>
      <c r="E4653" s="185" t="s">
        <v>470</v>
      </c>
      <c r="H4653" s="185"/>
    </row>
    <row r="4654">
      <c r="D4654" s="185"/>
      <c r="E4654" s="185" t="s">
        <v>470</v>
      </c>
      <c r="H4654" s="185"/>
    </row>
    <row r="4655">
      <c r="D4655" s="185"/>
      <c r="E4655" s="185" t="s">
        <v>470</v>
      </c>
      <c r="H4655" s="185"/>
    </row>
    <row r="4656">
      <c r="D4656" s="185"/>
      <c r="E4656" s="185" t="s">
        <v>470</v>
      </c>
      <c r="H4656" s="185"/>
    </row>
    <row r="4657">
      <c r="D4657" s="185"/>
      <c r="E4657" s="185" t="s">
        <v>470</v>
      </c>
      <c r="H4657" s="185"/>
    </row>
    <row r="4658">
      <c r="D4658" s="185"/>
      <c r="E4658" s="185" t="s">
        <v>470</v>
      </c>
      <c r="H4658" s="185"/>
    </row>
    <row r="4659">
      <c r="D4659" s="185"/>
      <c r="E4659" s="185" t="s">
        <v>470</v>
      </c>
      <c r="H4659" s="185"/>
    </row>
    <row r="4660">
      <c r="D4660" s="185"/>
      <c r="E4660" s="185" t="s">
        <v>470</v>
      </c>
      <c r="H4660" s="185"/>
    </row>
    <row r="4661">
      <c r="D4661" s="185"/>
      <c r="E4661" s="185" t="s">
        <v>470</v>
      </c>
      <c r="H4661" s="185"/>
    </row>
    <row r="4662">
      <c r="D4662" s="185"/>
      <c r="E4662" s="185" t="s">
        <v>470</v>
      </c>
      <c r="H4662" s="185"/>
    </row>
    <row r="4663">
      <c r="D4663" s="185"/>
      <c r="E4663" s="185" t="s">
        <v>470</v>
      </c>
      <c r="H4663" s="185"/>
    </row>
    <row r="4664">
      <c r="D4664" s="185"/>
      <c r="E4664" s="185" t="s">
        <v>470</v>
      </c>
      <c r="H4664" s="185"/>
    </row>
    <row r="4665">
      <c r="D4665" s="185"/>
      <c r="E4665" s="185" t="s">
        <v>470</v>
      </c>
      <c r="H4665" s="185"/>
    </row>
    <row r="4666">
      <c r="D4666" s="185"/>
      <c r="E4666" s="185" t="s">
        <v>470</v>
      </c>
      <c r="H4666" s="185"/>
    </row>
    <row r="4667">
      <c r="D4667" s="185"/>
      <c r="E4667" s="185" t="s">
        <v>470</v>
      </c>
      <c r="H4667" s="185"/>
    </row>
    <row r="4668">
      <c r="D4668" s="185"/>
      <c r="E4668" s="185" t="s">
        <v>470</v>
      </c>
      <c r="H4668" s="185"/>
    </row>
    <row r="4669">
      <c r="D4669" s="185"/>
      <c r="E4669" s="185" t="s">
        <v>470</v>
      </c>
      <c r="H4669" s="185"/>
    </row>
    <row r="4670">
      <c r="D4670" s="185"/>
      <c r="E4670" s="185" t="s">
        <v>470</v>
      </c>
      <c r="H4670" s="185"/>
    </row>
    <row r="4671">
      <c r="D4671" s="185"/>
      <c r="E4671" s="185" t="s">
        <v>470</v>
      </c>
      <c r="H4671" s="185"/>
    </row>
    <row r="4672">
      <c r="D4672" s="185"/>
      <c r="E4672" s="185" t="s">
        <v>470</v>
      </c>
      <c r="H4672" s="185"/>
    </row>
    <row r="4673">
      <c r="D4673" s="185"/>
      <c r="E4673" s="185" t="s">
        <v>470</v>
      </c>
      <c r="H4673" s="185"/>
    </row>
    <row r="4674">
      <c r="D4674" s="185"/>
      <c r="E4674" s="185" t="s">
        <v>470</v>
      </c>
      <c r="H4674" s="185"/>
    </row>
    <row r="4675">
      <c r="D4675" s="185"/>
      <c r="E4675" s="185" t="s">
        <v>470</v>
      </c>
      <c r="H4675" s="185"/>
    </row>
    <row r="4676">
      <c r="D4676" s="185"/>
      <c r="E4676" s="185" t="s">
        <v>470</v>
      </c>
      <c r="H4676" s="185"/>
    </row>
    <row r="4677">
      <c r="D4677" s="185"/>
      <c r="E4677" s="185" t="s">
        <v>470</v>
      </c>
      <c r="H4677" s="185"/>
    </row>
    <row r="4678">
      <c r="D4678" s="185"/>
      <c r="E4678" s="185" t="s">
        <v>470</v>
      </c>
      <c r="H4678" s="185"/>
    </row>
    <row r="4679">
      <c r="D4679" s="185"/>
      <c r="E4679" s="185" t="s">
        <v>470</v>
      </c>
      <c r="H4679" s="185"/>
    </row>
    <row r="4680">
      <c r="D4680" s="185"/>
      <c r="E4680" s="185" t="s">
        <v>470</v>
      </c>
      <c r="H4680" s="185"/>
    </row>
    <row r="4681">
      <c r="D4681" s="185"/>
      <c r="E4681" s="185" t="s">
        <v>470</v>
      </c>
      <c r="H4681" s="185"/>
    </row>
    <row r="4682">
      <c r="D4682" s="185"/>
      <c r="E4682" s="185" t="s">
        <v>470</v>
      </c>
      <c r="H4682" s="185"/>
    </row>
    <row r="4683">
      <c r="D4683" s="185"/>
      <c r="E4683" s="185" t="s">
        <v>470</v>
      </c>
      <c r="H4683" s="185"/>
    </row>
    <row r="4684">
      <c r="D4684" s="185"/>
      <c r="E4684" s="185" t="s">
        <v>470</v>
      </c>
      <c r="H4684" s="185"/>
    </row>
    <row r="4685">
      <c r="D4685" s="185"/>
      <c r="E4685" s="185" t="s">
        <v>470</v>
      </c>
      <c r="H4685" s="185"/>
    </row>
    <row r="4686">
      <c r="D4686" s="185"/>
      <c r="E4686" s="185" t="s">
        <v>470</v>
      </c>
      <c r="H4686" s="185"/>
    </row>
    <row r="4687">
      <c r="D4687" s="185"/>
      <c r="E4687" s="185" t="s">
        <v>470</v>
      </c>
      <c r="H4687" s="185"/>
    </row>
    <row r="4688">
      <c r="D4688" s="185"/>
      <c r="E4688" s="185" t="s">
        <v>470</v>
      </c>
      <c r="H4688" s="185"/>
    </row>
    <row r="4689">
      <c r="D4689" s="185"/>
      <c r="E4689" s="185" t="s">
        <v>470</v>
      </c>
      <c r="H4689" s="185"/>
    </row>
    <row r="4690">
      <c r="D4690" s="185"/>
      <c r="E4690" s="185" t="s">
        <v>470</v>
      </c>
      <c r="H4690" s="185"/>
    </row>
    <row r="4691">
      <c r="D4691" s="185"/>
      <c r="E4691" s="185" t="s">
        <v>470</v>
      </c>
      <c r="H4691" s="185"/>
    </row>
    <row r="4692">
      <c r="D4692" s="185"/>
      <c r="E4692" s="185" t="s">
        <v>470</v>
      </c>
      <c r="H4692" s="185"/>
    </row>
    <row r="4693">
      <c r="D4693" s="185"/>
      <c r="E4693" s="185" t="s">
        <v>470</v>
      </c>
      <c r="H4693" s="185"/>
    </row>
    <row r="4694">
      <c r="D4694" s="185"/>
      <c r="E4694" s="185" t="s">
        <v>470</v>
      </c>
      <c r="H4694" s="185"/>
    </row>
    <row r="4695">
      <c r="D4695" s="185"/>
      <c r="E4695" s="185" t="s">
        <v>470</v>
      </c>
      <c r="H4695" s="185"/>
    </row>
    <row r="4696">
      <c r="D4696" s="185"/>
      <c r="E4696" s="185" t="s">
        <v>470</v>
      </c>
      <c r="H4696" s="185"/>
    </row>
    <row r="4697">
      <c r="D4697" s="185"/>
      <c r="E4697" s="185" t="s">
        <v>470</v>
      </c>
      <c r="H4697" s="185"/>
    </row>
    <row r="4698">
      <c r="D4698" s="185"/>
      <c r="E4698" s="185" t="s">
        <v>470</v>
      </c>
      <c r="H4698" s="185"/>
    </row>
    <row r="4699">
      <c r="D4699" s="185"/>
      <c r="E4699" s="185" t="s">
        <v>470</v>
      </c>
      <c r="H4699" s="185"/>
    </row>
    <row r="4700">
      <c r="D4700" s="185"/>
      <c r="E4700" s="185" t="s">
        <v>470</v>
      </c>
      <c r="H4700" s="185"/>
    </row>
    <row r="4701">
      <c r="D4701" s="185"/>
      <c r="E4701" s="185" t="s">
        <v>470</v>
      </c>
      <c r="H4701" s="185"/>
    </row>
    <row r="4702">
      <c r="D4702" s="185"/>
      <c r="E4702" s="185" t="s">
        <v>470</v>
      </c>
      <c r="H4702" s="185"/>
    </row>
    <row r="4703">
      <c r="D4703" s="185"/>
      <c r="E4703" s="185" t="s">
        <v>470</v>
      </c>
      <c r="H4703" s="185"/>
    </row>
    <row r="4704">
      <c r="D4704" s="185"/>
      <c r="E4704" s="185" t="s">
        <v>470</v>
      </c>
      <c r="H4704" s="185"/>
    </row>
    <row r="4705">
      <c r="D4705" s="185"/>
      <c r="E4705" s="185" t="s">
        <v>470</v>
      </c>
      <c r="H4705" s="185"/>
    </row>
    <row r="4706">
      <c r="D4706" s="185"/>
      <c r="E4706" s="185" t="s">
        <v>470</v>
      </c>
      <c r="H4706" s="185"/>
    </row>
    <row r="4707">
      <c r="D4707" s="185"/>
      <c r="E4707" s="185" t="s">
        <v>470</v>
      </c>
      <c r="H4707" s="185"/>
    </row>
    <row r="4708">
      <c r="D4708" s="185"/>
      <c r="E4708" s="185" t="s">
        <v>470</v>
      </c>
      <c r="H4708" s="185"/>
    </row>
    <row r="4709">
      <c r="D4709" s="185"/>
      <c r="E4709" s="185" t="s">
        <v>470</v>
      </c>
      <c r="H4709" s="185"/>
    </row>
    <row r="4710">
      <c r="D4710" s="185"/>
      <c r="E4710" s="185" t="s">
        <v>470</v>
      </c>
      <c r="H4710" s="185"/>
    </row>
    <row r="4711">
      <c r="D4711" s="185"/>
      <c r="E4711" s="185" t="s">
        <v>470</v>
      </c>
      <c r="H4711" s="185"/>
    </row>
    <row r="4712">
      <c r="D4712" s="185"/>
      <c r="E4712" s="185" t="s">
        <v>470</v>
      </c>
      <c r="H4712" s="185"/>
    </row>
    <row r="4713">
      <c r="D4713" s="185"/>
      <c r="E4713" s="185" t="s">
        <v>470</v>
      </c>
      <c r="H4713" s="185"/>
    </row>
    <row r="4714">
      <c r="D4714" s="185"/>
      <c r="E4714" s="185" t="s">
        <v>470</v>
      </c>
      <c r="H4714" s="185"/>
    </row>
    <row r="4715">
      <c r="D4715" s="185"/>
      <c r="E4715" s="185" t="s">
        <v>470</v>
      </c>
      <c r="H4715" s="185"/>
    </row>
    <row r="4716">
      <c r="D4716" s="185"/>
      <c r="E4716" s="185" t="s">
        <v>470</v>
      </c>
      <c r="H4716" s="185"/>
    </row>
    <row r="4717">
      <c r="D4717" s="185"/>
      <c r="E4717" s="185" t="s">
        <v>470</v>
      </c>
      <c r="H4717" s="185"/>
    </row>
    <row r="4718">
      <c r="D4718" s="185"/>
      <c r="E4718" s="185" t="s">
        <v>470</v>
      </c>
      <c r="H4718" s="185"/>
    </row>
    <row r="4719">
      <c r="D4719" s="185"/>
      <c r="E4719" s="185" t="s">
        <v>470</v>
      </c>
      <c r="H4719" s="185"/>
    </row>
    <row r="4720">
      <c r="D4720" s="185"/>
      <c r="E4720" s="185" t="s">
        <v>470</v>
      </c>
      <c r="H4720" s="185"/>
    </row>
    <row r="4721">
      <c r="D4721" s="185"/>
      <c r="E4721" s="185" t="s">
        <v>470</v>
      </c>
      <c r="H4721" s="185"/>
    </row>
    <row r="4722">
      <c r="D4722" s="185"/>
      <c r="E4722" s="185" t="s">
        <v>470</v>
      </c>
      <c r="H4722" s="185"/>
    </row>
    <row r="4723">
      <c r="D4723" s="185"/>
      <c r="E4723" s="185" t="s">
        <v>470</v>
      </c>
      <c r="H4723" s="185"/>
    </row>
    <row r="4724">
      <c r="D4724" s="185"/>
      <c r="E4724" s="185" t="s">
        <v>470</v>
      </c>
      <c r="H4724" s="185"/>
    </row>
    <row r="4725">
      <c r="D4725" s="185"/>
      <c r="E4725" s="185" t="s">
        <v>470</v>
      </c>
      <c r="H4725" s="185"/>
    </row>
    <row r="4726">
      <c r="D4726" s="185"/>
      <c r="E4726" s="185" t="s">
        <v>470</v>
      </c>
      <c r="H4726" s="185"/>
    </row>
    <row r="4727">
      <c r="D4727" s="185"/>
      <c r="E4727" s="185" t="s">
        <v>470</v>
      </c>
      <c r="H4727" s="185"/>
    </row>
    <row r="4728">
      <c r="D4728" s="185"/>
      <c r="E4728" s="185" t="s">
        <v>470</v>
      </c>
      <c r="H4728" s="185"/>
    </row>
    <row r="4729">
      <c r="D4729" s="185"/>
      <c r="E4729" s="185" t="s">
        <v>470</v>
      </c>
      <c r="H4729" s="185"/>
    </row>
    <row r="4730">
      <c r="D4730" s="185"/>
      <c r="E4730" s="185" t="s">
        <v>470</v>
      </c>
      <c r="H4730" s="185"/>
    </row>
    <row r="4731">
      <c r="D4731" s="185"/>
      <c r="E4731" s="185" t="s">
        <v>470</v>
      </c>
      <c r="H4731" s="185"/>
    </row>
    <row r="4732">
      <c r="D4732" s="185"/>
      <c r="E4732" s="185" t="s">
        <v>470</v>
      </c>
      <c r="H4732" s="185"/>
    </row>
    <row r="4733">
      <c r="D4733" s="185"/>
      <c r="E4733" s="185" t="s">
        <v>470</v>
      </c>
      <c r="H4733" s="185"/>
    </row>
    <row r="4734">
      <c r="D4734" s="185"/>
      <c r="E4734" s="185" t="s">
        <v>470</v>
      </c>
      <c r="H4734" s="185"/>
    </row>
    <row r="4735">
      <c r="D4735" s="185"/>
      <c r="E4735" s="185" t="s">
        <v>470</v>
      </c>
      <c r="H4735" s="185"/>
    </row>
    <row r="4736">
      <c r="D4736" s="185"/>
      <c r="E4736" s="185" t="s">
        <v>470</v>
      </c>
      <c r="H4736" s="185"/>
    </row>
    <row r="4737">
      <c r="D4737" s="185"/>
      <c r="E4737" s="185" t="s">
        <v>470</v>
      </c>
      <c r="H4737" s="185"/>
    </row>
    <row r="4738">
      <c r="D4738" s="185"/>
      <c r="E4738" s="185" t="s">
        <v>470</v>
      </c>
      <c r="H4738" s="185"/>
    </row>
    <row r="4739">
      <c r="D4739" s="185"/>
      <c r="E4739" s="185" t="s">
        <v>470</v>
      </c>
      <c r="H4739" s="185"/>
    </row>
    <row r="4740">
      <c r="D4740" s="185"/>
      <c r="E4740" s="185" t="s">
        <v>470</v>
      </c>
      <c r="H4740" s="185"/>
    </row>
    <row r="4741">
      <c r="D4741" s="185"/>
      <c r="E4741" s="185" t="s">
        <v>470</v>
      </c>
      <c r="H4741" s="185"/>
    </row>
    <row r="4742">
      <c r="D4742" s="185"/>
      <c r="E4742" s="185" t="s">
        <v>470</v>
      </c>
      <c r="H4742" s="185"/>
    </row>
    <row r="4743">
      <c r="D4743" s="185"/>
      <c r="E4743" s="185" t="s">
        <v>470</v>
      </c>
      <c r="H4743" s="185"/>
    </row>
    <row r="4744">
      <c r="D4744" s="185"/>
      <c r="E4744" s="185" t="s">
        <v>470</v>
      </c>
      <c r="H4744" s="185"/>
    </row>
    <row r="4745">
      <c r="D4745" s="185"/>
      <c r="E4745" s="185" t="s">
        <v>470</v>
      </c>
      <c r="H4745" s="185"/>
    </row>
    <row r="4746">
      <c r="D4746" s="185"/>
      <c r="E4746" s="185" t="s">
        <v>470</v>
      </c>
      <c r="H4746" s="185"/>
    </row>
    <row r="4747">
      <c r="D4747" s="185"/>
      <c r="E4747" s="185" t="s">
        <v>470</v>
      </c>
      <c r="H4747" s="185"/>
    </row>
    <row r="4748">
      <c r="D4748" s="185"/>
      <c r="E4748" s="185" t="s">
        <v>470</v>
      </c>
      <c r="H4748" s="185"/>
    </row>
    <row r="4749">
      <c r="D4749" s="185"/>
      <c r="E4749" s="185" t="s">
        <v>470</v>
      </c>
      <c r="H4749" s="185"/>
    </row>
    <row r="4750">
      <c r="D4750" s="185"/>
      <c r="E4750" s="185" t="s">
        <v>470</v>
      </c>
      <c r="H4750" s="185"/>
    </row>
    <row r="4751">
      <c r="D4751" s="185"/>
      <c r="E4751" s="185" t="s">
        <v>470</v>
      </c>
      <c r="H4751" s="185"/>
    </row>
    <row r="4752">
      <c r="D4752" s="185"/>
      <c r="E4752" s="185" t="s">
        <v>470</v>
      </c>
      <c r="H4752" s="185"/>
    </row>
    <row r="4753">
      <c r="D4753" s="185"/>
      <c r="E4753" s="185" t="s">
        <v>470</v>
      </c>
      <c r="H4753" s="185"/>
    </row>
    <row r="4754">
      <c r="D4754" s="185"/>
      <c r="E4754" s="185" t="s">
        <v>470</v>
      </c>
      <c r="H4754" s="185"/>
    </row>
    <row r="4755">
      <c r="D4755" s="185"/>
      <c r="E4755" s="185" t="s">
        <v>470</v>
      </c>
      <c r="H4755" s="185"/>
    </row>
    <row r="4756">
      <c r="D4756" s="185"/>
      <c r="E4756" s="185" t="s">
        <v>470</v>
      </c>
      <c r="H4756" s="185"/>
    </row>
    <row r="4757">
      <c r="D4757" s="185"/>
      <c r="E4757" s="185" t="s">
        <v>470</v>
      </c>
      <c r="H4757" s="185"/>
    </row>
    <row r="4758">
      <c r="D4758" s="185"/>
      <c r="E4758" s="185" t="s">
        <v>470</v>
      </c>
      <c r="H4758" s="185"/>
    </row>
    <row r="4759">
      <c r="D4759" s="185"/>
      <c r="E4759" s="185" t="s">
        <v>470</v>
      </c>
      <c r="H4759" s="185"/>
    </row>
    <row r="4760">
      <c r="D4760" s="185"/>
      <c r="E4760" s="185" t="s">
        <v>470</v>
      </c>
      <c r="H4760" s="185"/>
    </row>
    <row r="4761">
      <c r="D4761" s="185"/>
      <c r="E4761" s="185" t="s">
        <v>470</v>
      </c>
      <c r="H4761" s="185"/>
    </row>
    <row r="4762">
      <c r="D4762" s="185"/>
      <c r="E4762" s="185" t="s">
        <v>470</v>
      </c>
      <c r="H4762" s="185"/>
    </row>
    <row r="4763">
      <c r="D4763" s="185"/>
      <c r="E4763" s="185" t="s">
        <v>470</v>
      </c>
      <c r="H4763" s="185"/>
    </row>
    <row r="4764">
      <c r="D4764" s="185"/>
      <c r="E4764" s="185" t="s">
        <v>470</v>
      </c>
      <c r="H4764" s="185"/>
    </row>
    <row r="4765">
      <c r="D4765" s="185"/>
      <c r="E4765" s="185" t="s">
        <v>470</v>
      </c>
      <c r="H4765" s="185"/>
    </row>
    <row r="4766">
      <c r="D4766" s="185"/>
      <c r="E4766" s="185" t="s">
        <v>470</v>
      </c>
      <c r="H4766" s="185"/>
    </row>
    <row r="4767">
      <c r="D4767" s="185"/>
      <c r="E4767" s="185" t="s">
        <v>470</v>
      </c>
      <c r="H4767" s="185"/>
    </row>
    <row r="4768">
      <c r="D4768" s="185"/>
      <c r="E4768" s="185" t="s">
        <v>470</v>
      </c>
      <c r="H4768" s="185"/>
    </row>
    <row r="4769">
      <c r="D4769" s="185"/>
      <c r="E4769" s="185" t="s">
        <v>470</v>
      </c>
      <c r="H4769" s="185"/>
    </row>
    <row r="4770">
      <c r="D4770" s="185"/>
      <c r="E4770" s="185" t="s">
        <v>470</v>
      </c>
      <c r="H4770" s="185"/>
    </row>
    <row r="4771">
      <c r="D4771" s="185"/>
      <c r="E4771" s="185" t="s">
        <v>470</v>
      </c>
      <c r="H4771" s="185"/>
    </row>
    <row r="4772">
      <c r="D4772" s="185"/>
      <c r="E4772" s="185" t="s">
        <v>470</v>
      </c>
      <c r="H4772" s="185"/>
    </row>
    <row r="4773">
      <c r="D4773" s="185"/>
      <c r="E4773" s="185" t="s">
        <v>470</v>
      </c>
      <c r="H4773" s="185"/>
    </row>
    <row r="4774">
      <c r="D4774" s="185"/>
      <c r="E4774" s="185" t="s">
        <v>470</v>
      </c>
      <c r="H4774" s="185"/>
    </row>
    <row r="4775">
      <c r="D4775" s="185"/>
      <c r="E4775" s="185" t="s">
        <v>470</v>
      </c>
      <c r="H4775" s="185"/>
    </row>
    <row r="4776">
      <c r="D4776" s="185"/>
      <c r="E4776" s="185" t="s">
        <v>470</v>
      </c>
      <c r="H4776" s="185"/>
    </row>
    <row r="4777">
      <c r="D4777" s="185"/>
      <c r="E4777" s="185" t="s">
        <v>470</v>
      </c>
      <c r="H4777" s="185"/>
    </row>
    <row r="4778">
      <c r="D4778" s="185"/>
      <c r="E4778" s="185" t="s">
        <v>470</v>
      </c>
      <c r="H4778" s="185"/>
    </row>
    <row r="4779">
      <c r="D4779" s="185"/>
      <c r="E4779" s="185" t="s">
        <v>470</v>
      </c>
      <c r="H4779" s="185"/>
    </row>
    <row r="4780">
      <c r="D4780" s="185"/>
      <c r="E4780" s="185" t="s">
        <v>470</v>
      </c>
      <c r="H4780" s="185"/>
    </row>
    <row r="4781">
      <c r="D4781" s="185"/>
      <c r="E4781" s="185" t="s">
        <v>470</v>
      </c>
      <c r="H4781" s="185"/>
    </row>
    <row r="4782">
      <c r="D4782" s="185"/>
      <c r="E4782" s="185" t="s">
        <v>470</v>
      </c>
      <c r="H4782" s="185"/>
    </row>
    <row r="4783">
      <c r="D4783" s="185"/>
      <c r="E4783" s="185" t="s">
        <v>470</v>
      </c>
      <c r="H4783" s="185"/>
    </row>
    <row r="4784">
      <c r="D4784" s="185"/>
      <c r="E4784" s="185" t="s">
        <v>470</v>
      </c>
      <c r="H4784" s="185"/>
    </row>
    <row r="4785">
      <c r="D4785" s="185"/>
      <c r="E4785" s="185" t="s">
        <v>470</v>
      </c>
      <c r="H4785" s="185"/>
    </row>
    <row r="4786">
      <c r="D4786" s="185"/>
      <c r="E4786" s="185" t="s">
        <v>470</v>
      </c>
      <c r="H4786" s="185"/>
    </row>
    <row r="4787">
      <c r="D4787" s="185"/>
      <c r="E4787" s="185" t="s">
        <v>470</v>
      </c>
      <c r="H4787" s="185"/>
    </row>
    <row r="4788">
      <c r="D4788" s="185"/>
      <c r="E4788" s="185" t="s">
        <v>470</v>
      </c>
      <c r="H4788" s="185"/>
    </row>
    <row r="4789">
      <c r="D4789" s="185"/>
      <c r="E4789" s="185" t="s">
        <v>470</v>
      </c>
      <c r="H4789" s="185"/>
    </row>
    <row r="4790">
      <c r="D4790" s="185"/>
      <c r="E4790" s="185" t="s">
        <v>470</v>
      </c>
      <c r="H4790" s="185"/>
    </row>
    <row r="4791">
      <c r="D4791" s="185"/>
      <c r="E4791" s="185" t="s">
        <v>470</v>
      </c>
      <c r="H4791" s="185"/>
    </row>
    <row r="4792">
      <c r="D4792" s="185"/>
      <c r="E4792" s="185" t="s">
        <v>470</v>
      </c>
      <c r="H4792" s="185"/>
    </row>
    <row r="4793">
      <c r="D4793" s="185"/>
      <c r="E4793" s="185" t="s">
        <v>470</v>
      </c>
      <c r="H4793" s="185"/>
    </row>
    <row r="4794">
      <c r="D4794" s="185"/>
      <c r="E4794" s="185" t="s">
        <v>470</v>
      </c>
      <c r="H4794" s="185"/>
    </row>
    <row r="4795">
      <c r="D4795" s="185"/>
      <c r="E4795" s="185" t="s">
        <v>470</v>
      </c>
      <c r="H4795" s="185"/>
    </row>
    <row r="4796">
      <c r="D4796" s="185"/>
      <c r="E4796" s="185" t="s">
        <v>470</v>
      </c>
      <c r="H4796" s="185"/>
    </row>
    <row r="4797">
      <c r="D4797" s="185"/>
      <c r="E4797" s="185" t="s">
        <v>470</v>
      </c>
      <c r="H4797" s="185"/>
    </row>
    <row r="4798">
      <c r="D4798" s="185"/>
      <c r="E4798" s="185" t="s">
        <v>470</v>
      </c>
      <c r="H4798" s="185"/>
    </row>
    <row r="4799">
      <c r="D4799" s="185"/>
      <c r="E4799" s="185" t="s">
        <v>470</v>
      </c>
      <c r="H4799" s="185"/>
    </row>
    <row r="4800">
      <c r="D4800" s="185"/>
      <c r="E4800" s="185" t="s">
        <v>470</v>
      </c>
      <c r="H4800" s="185"/>
    </row>
    <row r="4801">
      <c r="D4801" s="185"/>
      <c r="E4801" s="185" t="s">
        <v>470</v>
      </c>
      <c r="H4801" s="185"/>
    </row>
    <row r="4802">
      <c r="D4802" s="185"/>
      <c r="E4802" s="185" t="s">
        <v>470</v>
      </c>
      <c r="H4802" s="185"/>
    </row>
    <row r="4803">
      <c r="D4803" s="185"/>
      <c r="E4803" s="185" t="s">
        <v>470</v>
      </c>
      <c r="H4803" s="185"/>
    </row>
    <row r="4804">
      <c r="D4804" s="185"/>
      <c r="E4804" s="185" t="s">
        <v>470</v>
      </c>
      <c r="H4804" s="185"/>
    </row>
    <row r="4805">
      <c r="D4805" s="185"/>
      <c r="E4805" s="185" t="s">
        <v>470</v>
      </c>
      <c r="H4805" s="185"/>
    </row>
    <row r="4806">
      <c r="D4806" s="185"/>
      <c r="E4806" s="185" t="s">
        <v>470</v>
      </c>
      <c r="H4806" s="185"/>
    </row>
    <row r="4807">
      <c r="D4807" s="185"/>
      <c r="E4807" s="185" t="s">
        <v>470</v>
      </c>
      <c r="H4807" s="185"/>
    </row>
    <row r="4808">
      <c r="D4808" s="185"/>
      <c r="E4808" s="185" t="s">
        <v>470</v>
      </c>
      <c r="H4808" s="185"/>
    </row>
    <row r="4809">
      <c r="D4809" s="185"/>
      <c r="E4809" s="185" t="s">
        <v>470</v>
      </c>
      <c r="H4809" s="185"/>
    </row>
    <row r="4810">
      <c r="D4810" s="185"/>
      <c r="E4810" s="185" t="s">
        <v>470</v>
      </c>
      <c r="H4810" s="185"/>
    </row>
    <row r="4811">
      <c r="D4811" s="185"/>
      <c r="E4811" s="185" t="s">
        <v>470</v>
      </c>
      <c r="H4811" s="185"/>
    </row>
    <row r="4812">
      <c r="D4812" s="185"/>
      <c r="E4812" s="185" t="s">
        <v>470</v>
      </c>
      <c r="H4812" s="185"/>
    </row>
    <row r="4813">
      <c r="D4813" s="185"/>
      <c r="E4813" s="185" t="s">
        <v>470</v>
      </c>
      <c r="H4813" s="185"/>
    </row>
    <row r="4814">
      <c r="D4814" s="185"/>
      <c r="E4814" s="185" t="s">
        <v>470</v>
      </c>
      <c r="H4814" s="185"/>
    </row>
    <row r="4815">
      <c r="D4815" s="185"/>
      <c r="E4815" s="185" t="s">
        <v>470</v>
      </c>
      <c r="H4815" s="185"/>
    </row>
    <row r="4816">
      <c r="D4816" s="185"/>
      <c r="E4816" s="185" t="s">
        <v>470</v>
      </c>
      <c r="H4816" s="185"/>
    </row>
    <row r="4817">
      <c r="D4817" s="185"/>
      <c r="E4817" s="185" t="s">
        <v>470</v>
      </c>
      <c r="H4817" s="185"/>
    </row>
    <row r="4818">
      <c r="D4818" s="185"/>
      <c r="E4818" s="185" t="s">
        <v>470</v>
      </c>
      <c r="H4818" s="185"/>
    </row>
    <row r="4819">
      <c r="D4819" s="185"/>
      <c r="E4819" s="185" t="s">
        <v>470</v>
      </c>
      <c r="H4819" s="185"/>
    </row>
    <row r="4820">
      <c r="D4820" s="185"/>
      <c r="E4820" s="185" t="s">
        <v>470</v>
      </c>
      <c r="H4820" s="185"/>
    </row>
    <row r="4821">
      <c r="D4821" s="185"/>
      <c r="E4821" s="185" t="s">
        <v>470</v>
      </c>
      <c r="H4821" s="185"/>
    </row>
    <row r="4822">
      <c r="D4822" s="185"/>
      <c r="E4822" s="185" t="s">
        <v>470</v>
      </c>
      <c r="H4822" s="185"/>
    </row>
    <row r="4823">
      <c r="D4823" s="185"/>
      <c r="E4823" s="185" t="s">
        <v>470</v>
      </c>
      <c r="H4823" s="185"/>
    </row>
    <row r="4824">
      <c r="D4824" s="185"/>
      <c r="E4824" s="185" t="s">
        <v>470</v>
      </c>
      <c r="H4824" s="185"/>
    </row>
    <row r="4825">
      <c r="D4825" s="185"/>
      <c r="E4825" s="185" t="s">
        <v>470</v>
      </c>
      <c r="H4825" s="185"/>
    </row>
    <row r="4826">
      <c r="D4826" s="185"/>
      <c r="E4826" s="185" t="s">
        <v>470</v>
      </c>
      <c r="H4826" s="185"/>
    </row>
    <row r="4827">
      <c r="D4827" s="185"/>
      <c r="E4827" s="185" t="s">
        <v>470</v>
      </c>
      <c r="H4827" s="185"/>
    </row>
    <row r="4828">
      <c r="D4828" s="185"/>
      <c r="E4828" s="185" t="s">
        <v>470</v>
      </c>
      <c r="H4828" s="185"/>
    </row>
    <row r="4829">
      <c r="D4829" s="185"/>
      <c r="E4829" s="185" t="s">
        <v>470</v>
      </c>
      <c r="H4829" s="185"/>
    </row>
    <row r="4830">
      <c r="D4830" s="185"/>
      <c r="E4830" s="185" t="s">
        <v>470</v>
      </c>
      <c r="H4830" s="185"/>
    </row>
    <row r="4831">
      <c r="D4831" s="185"/>
      <c r="E4831" s="185" t="s">
        <v>470</v>
      </c>
      <c r="H4831" s="185"/>
    </row>
    <row r="4832">
      <c r="D4832" s="185"/>
      <c r="E4832" s="185" t="s">
        <v>470</v>
      </c>
      <c r="H4832" s="185"/>
    </row>
    <row r="4833">
      <c r="D4833" s="185"/>
      <c r="E4833" s="185" t="s">
        <v>470</v>
      </c>
      <c r="H4833" s="185"/>
    </row>
    <row r="4834">
      <c r="D4834" s="185"/>
      <c r="E4834" s="185" t="s">
        <v>470</v>
      </c>
      <c r="H4834" s="185"/>
    </row>
    <row r="4835">
      <c r="D4835" s="185"/>
      <c r="E4835" s="185" t="s">
        <v>470</v>
      </c>
      <c r="H4835" s="185"/>
    </row>
    <row r="4836">
      <c r="D4836" s="185"/>
      <c r="E4836" s="185" t="s">
        <v>470</v>
      </c>
      <c r="H4836" s="185"/>
    </row>
    <row r="4837">
      <c r="D4837" s="185"/>
      <c r="E4837" s="185" t="s">
        <v>470</v>
      </c>
      <c r="H4837" s="185"/>
    </row>
    <row r="4838">
      <c r="D4838" s="185"/>
      <c r="E4838" s="185" t="s">
        <v>470</v>
      </c>
      <c r="H4838" s="185"/>
    </row>
    <row r="4839">
      <c r="D4839" s="185"/>
      <c r="E4839" s="185" t="s">
        <v>470</v>
      </c>
      <c r="H4839" s="185"/>
    </row>
    <row r="4840">
      <c r="D4840" s="185"/>
      <c r="E4840" s="185" t="s">
        <v>470</v>
      </c>
      <c r="H4840" s="185"/>
    </row>
    <row r="4841">
      <c r="D4841" s="185"/>
      <c r="E4841" s="185" t="s">
        <v>470</v>
      </c>
      <c r="H4841" s="185"/>
    </row>
    <row r="4842">
      <c r="D4842" s="185"/>
      <c r="E4842" s="185" t="s">
        <v>470</v>
      </c>
      <c r="H4842" s="185"/>
    </row>
    <row r="4843">
      <c r="D4843" s="185"/>
      <c r="E4843" s="185" t="s">
        <v>470</v>
      </c>
      <c r="H4843" s="185"/>
    </row>
    <row r="4844">
      <c r="D4844" s="185"/>
      <c r="E4844" s="185" t="s">
        <v>470</v>
      </c>
      <c r="H4844" s="185"/>
    </row>
    <row r="4845">
      <c r="D4845" s="185"/>
      <c r="E4845" s="185" t="s">
        <v>470</v>
      </c>
      <c r="H4845" s="185"/>
    </row>
    <row r="4846">
      <c r="D4846" s="185"/>
      <c r="E4846" s="185" t="s">
        <v>470</v>
      </c>
      <c r="H4846" s="185"/>
    </row>
    <row r="4847">
      <c r="D4847" s="185"/>
      <c r="E4847" s="185" t="s">
        <v>470</v>
      </c>
      <c r="H4847" s="185"/>
    </row>
    <row r="4848">
      <c r="D4848" s="185"/>
      <c r="E4848" s="185" t="s">
        <v>470</v>
      </c>
      <c r="H4848" s="185"/>
    </row>
    <row r="4849">
      <c r="D4849" s="185"/>
      <c r="E4849" s="185" t="s">
        <v>470</v>
      </c>
      <c r="H4849" s="185"/>
    </row>
    <row r="4850">
      <c r="D4850" s="185"/>
      <c r="E4850" s="185" t="s">
        <v>470</v>
      </c>
      <c r="H4850" s="185"/>
    </row>
    <row r="4851">
      <c r="D4851" s="185"/>
      <c r="E4851" s="185" t="s">
        <v>470</v>
      </c>
      <c r="H4851" s="185"/>
    </row>
    <row r="4852">
      <c r="D4852" s="185"/>
      <c r="E4852" s="185" t="s">
        <v>470</v>
      </c>
      <c r="H4852" s="185"/>
    </row>
    <row r="4853">
      <c r="D4853" s="185"/>
      <c r="E4853" s="185" t="s">
        <v>470</v>
      </c>
      <c r="H4853" s="185"/>
    </row>
    <row r="4854">
      <c r="D4854" s="185"/>
      <c r="E4854" s="185" t="s">
        <v>470</v>
      </c>
      <c r="H4854" s="185"/>
    </row>
    <row r="4855">
      <c r="D4855" s="185"/>
      <c r="E4855" s="185" t="s">
        <v>470</v>
      </c>
      <c r="H4855" s="185"/>
    </row>
    <row r="4856">
      <c r="D4856" s="185"/>
      <c r="E4856" s="185" t="s">
        <v>470</v>
      </c>
      <c r="H4856" s="185"/>
    </row>
    <row r="4857">
      <c r="D4857" s="185"/>
      <c r="E4857" s="185" t="s">
        <v>470</v>
      </c>
      <c r="H4857" s="185"/>
    </row>
    <row r="4858">
      <c r="D4858" s="185"/>
      <c r="E4858" s="185" t="s">
        <v>470</v>
      </c>
      <c r="H4858" s="185"/>
    </row>
    <row r="4859">
      <c r="D4859" s="185"/>
      <c r="E4859" s="185" t="s">
        <v>470</v>
      </c>
      <c r="H4859" s="185"/>
    </row>
    <row r="4860">
      <c r="D4860" s="185"/>
      <c r="E4860" s="185" t="s">
        <v>470</v>
      </c>
      <c r="H4860" s="185"/>
    </row>
    <row r="4861">
      <c r="D4861" s="185"/>
      <c r="E4861" s="185" t="s">
        <v>470</v>
      </c>
      <c r="H4861" s="185"/>
    </row>
    <row r="4862">
      <c r="D4862" s="185"/>
      <c r="E4862" s="185" t="s">
        <v>470</v>
      </c>
      <c r="H4862" s="185"/>
    </row>
    <row r="4863">
      <c r="D4863" s="185"/>
      <c r="E4863" s="185" t="s">
        <v>470</v>
      </c>
      <c r="H4863" s="185"/>
    </row>
    <row r="4864">
      <c r="D4864" s="185"/>
      <c r="E4864" s="185" t="s">
        <v>470</v>
      </c>
      <c r="H4864" s="185"/>
    </row>
    <row r="4865">
      <c r="D4865" s="185"/>
      <c r="E4865" s="185" t="s">
        <v>470</v>
      </c>
      <c r="H4865" s="185"/>
    </row>
    <row r="4866">
      <c r="D4866" s="185"/>
      <c r="E4866" s="185" t="s">
        <v>470</v>
      </c>
      <c r="H4866" s="185"/>
    </row>
    <row r="4867">
      <c r="D4867" s="185"/>
      <c r="E4867" s="185" t="s">
        <v>470</v>
      </c>
      <c r="H4867" s="185"/>
    </row>
    <row r="4868">
      <c r="D4868" s="185"/>
      <c r="E4868" s="185" t="s">
        <v>470</v>
      </c>
      <c r="H4868" s="185"/>
    </row>
    <row r="4869">
      <c r="D4869" s="185"/>
      <c r="E4869" s="185" t="s">
        <v>470</v>
      </c>
      <c r="H4869" s="185"/>
    </row>
    <row r="4870">
      <c r="D4870" s="185"/>
      <c r="E4870" s="185" t="s">
        <v>470</v>
      </c>
      <c r="H4870" s="185"/>
    </row>
    <row r="4871">
      <c r="D4871" s="185"/>
      <c r="E4871" s="185" t="s">
        <v>470</v>
      </c>
      <c r="H4871" s="185"/>
    </row>
    <row r="4872">
      <c r="D4872" s="185"/>
      <c r="E4872" s="185" t="s">
        <v>470</v>
      </c>
      <c r="H4872" s="185"/>
    </row>
    <row r="4873">
      <c r="D4873" s="185"/>
      <c r="E4873" s="185" t="s">
        <v>470</v>
      </c>
      <c r="H4873" s="185"/>
    </row>
    <row r="4874">
      <c r="D4874" s="185"/>
      <c r="E4874" s="185" t="s">
        <v>470</v>
      </c>
      <c r="H4874" s="185"/>
    </row>
    <row r="4875">
      <c r="D4875" s="185"/>
      <c r="E4875" s="185" t="s">
        <v>470</v>
      </c>
      <c r="H4875" s="185"/>
    </row>
    <row r="4876">
      <c r="D4876" s="185"/>
      <c r="E4876" s="185" t="s">
        <v>470</v>
      </c>
      <c r="H4876" s="185"/>
    </row>
    <row r="4877">
      <c r="D4877" s="185"/>
      <c r="E4877" s="185" t="s">
        <v>470</v>
      </c>
      <c r="H4877" s="185"/>
    </row>
    <row r="4878">
      <c r="D4878" s="185"/>
      <c r="E4878" s="185" t="s">
        <v>470</v>
      </c>
      <c r="H4878" s="185"/>
    </row>
    <row r="4879">
      <c r="D4879" s="185"/>
      <c r="E4879" s="185" t="s">
        <v>470</v>
      </c>
      <c r="H4879" s="185"/>
    </row>
    <row r="4880">
      <c r="D4880" s="185"/>
      <c r="E4880" s="185" t="s">
        <v>470</v>
      </c>
      <c r="H4880" s="185"/>
    </row>
    <row r="4881">
      <c r="D4881" s="185"/>
      <c r="E4881" s="185" t="s">
        <v>470</v>
      </c>
      <c r="H4881" s="185"/>
    </row>
    <row r="4882">
      <c r="D4882" s="185"/>
      <c r="E4882" s="185" t="s">
        <v>470</v>
      </c>
      <c r="H4882" s="185"/>
    </row>
    <row r="4883">
      <c r="D4883" s="185"/>
      <c r="E4883" s="185" t="s">
        <v>470</v>
      </c>
      <c r="H4883" s="185"/>
    </row>
    <row r="4884">
      <c r="D4884" s="185"/>
      <c r="E4884" s="185" t="s">
        <v>470</v>
      </c>
      <c r="H4884" s="185"/>
    </row>
    <row r="4885">
      <c r="D4885" s="185"/>
      <c r="E4885" s="185" t="s">
        <v>470</v>
      </c>
      <c r="H4885" s="185"/>
    </row>
    <row r="4886">
      <c r="D4886" s="185"/>
      <c r="E4886" s="185" t="s">
        <v>470</v>
      </c>
      <c r="H4886" s="185"/>
    </row>
    <row r="4887">
      <c r="D4887" s="185"/>
      <c r="E4887" s="185" t="s">
        <v>470</v>
      </c>
      <c r="H4887" s="185"/>
    </row>
    <row r="4888">
      <c r="D4888" s="185"/>
      <c r="E4888" s="185" t="s">
        <v>470</v>
      </c>
      <c r="H4888" s="185"/>
    </row>
    <row r="4889">
      <c r="D4889" s="185"/>
      <c r="E4889" s="185" t="s">
        <v>470</v>
      </c>
      <c r="H4889" s="185"/>
    </row>
    <row r="4890">
      <c r="D4890" s="185"/>
      <c r="E4890" s="185" t="s">
        <v>470</v>
      </c>
      <c r="H4890" s="185"/>
    </row>
    <row r="4891">
      <c r="D4891" s="185"/>
      <c r="E4891" s="185" t="s">
        <v>470</v>
      </c>
      <c r="H4891" s="185"/>
    </row>
    <row r="4892">
      <c r="D4892" s="185"/>
      <c r="E4892" s="185" t="s">
        <v>470</v>
      </c>
      <c r="H4892" s="185"/>
    </row>
    <row r="4893">
      <c r="D4893" s="185"/>
      <c r="E4893" s="185" t="s">
        <v>470</v>
      </c>
      <c r="H4893" s="185"/>
    </row>
    <row r="4894">
      <c r="D4894" s="185"/>
      <c r="E4894" s="185" t="s">
        <v>470</v>
      </c>
      <c r="H4894" s="185"/>
    </row>
    <row r="4895">
      <c r="D4895" s="185"/>
      <c r="E4895" s="185" t="s">
        <v>470</v>
      </c>
      <c r="H4895" s="185"/>
    </row>
    <row r="4896">
      <c r="D4896" s="185"/>
      <c r="E4896" s="185" t="s">
        <v>470</v>
      </c>
      <c r="H4896" s="185"/>
    </row>
    <row r="4897">
      <c r="D4897" s="185"/>
      <c r="E4897" s="185" t="s">
        <v>470</v>
      </c>
      <c r="H4897" s="185"/>
    </row>
    <row r="4898">
      <c r="D4898" s="185"/>
      <c r="E4898" s="185" t="s">
        <v>470</v>
      </c>
      <c r="H4898" s="185"/>
    </row>
    <row r="4899">
      <c r="D4899" s="185"/>
      <c r="E4899" s="185" t="s">
        <v>470</v>
      </c>
      <c r="H4899" s="185"/>
    </row>
    <row r="4900">
      <c r="D4900" s="185"/>
      <c r="E4900" s="185" t="s">
        <v>470</v>
      </c>
      <c r="H4900" s="185"/>
    </row>
    <row r="4901">
      <c r="D4901" s="185"/>
      <c r="E4901" s="185" t="s">
        <v>470</v>
      </c>
      <c r="H4901" s="185"/>
    </row>
    <row r="4902">
      <c r="D4902" s="185"/>
      <c r="E4902" s="185" t="s">
        <v>470</v>
      </c>
      <c r="H4902" s="185"/>
    </row>
    <row r="4903">
      <c r="D4903" s="185"/>
      <c r="E4903" s="185" t="s">
        <v>470</v>
      </c>
      <c r="H4903" s="185"/>
    </row>
    <row r="4904">
      <c r="D4904" s="185"/>
      <c r="E4904" s="185" t="s">
        <v>470</v>
      </c>
      <c r="H4904" s="185"/>
    </row>
    <row r="4905">
      <c r="D4905" s="185"/>
      <c r="E4905" s="185" t="s">
        <v>470</v>
      </c>
      <c r="H4905" s="185"/>
    </row>
    <row r="4906">
      <c r="D4906" s="185"/>
      <c r="E4906" s="185" t="s">
        <v>470</v>
      </c>
      <c r="H4906" s="185"/>
    </row>
    <row r="4907">
      <c r="D4907" s="185"/>
      <c r="E4907" s="185" t="s">
        <v>470</v>
      </c>
      <c r="H4907" s="185"/>
    </row>
    <row r="4908">
      <c r="D4908" s="185"/>
      <c r="E4908" s="185" t="s">
        <v>470</v>
      </c>
      <c r="H4908" s="185"/>
    </row>
    <row r="4909">
      <c r="D4909" s="185"/>
      <c r="E4909" s="185" t="s">
        <v>470</v>
      </c>
      <c r="H4909" s="185"/>
    </row>
    <row r="4910">
      <c r="D4910" s="185"/>
      <c r="E4910" s="185" t="s">
        <v>470</v>
      </c>
      <c r="H4910" s="185"/>
    </row>
    <row r="4911">
      <c r="D4911" s="185"/>
      <c r="E4911" s="185" t="s">
        <v>470</v>
      </c>
      <c r="H4911" s="185"/>
    </row>
    <row r="4912">
      <c r="D4912" s="185"/>
      <c r="E4912" s="185" t="s">
        <v>470</v>
      </c>
      <c r="H4912" s="185"/>
    </row>
    <row r="4913">
      <c r="D4913" s="185"/>
      <c r="E4913" s="185" t="s">
        <v>470</v>
      </c>
      <c r="H4913" s="185"/>
    </row>
    <row r="4914">
      <c r="D4914" s="185"/>
      <c r="E4914" s="185" t="s">
        <v>470</v>
      </c>
      <c r="H4914" s="185"/>
    </row>
    <row r="4915">
      <c r="D4915" s="185"/>
      <c r="E4915" s="185" t="s">
        <v>470</v>
      </c>
      <c r="H4915" s="185"/>
    </row>
    <row r="4916">
      <c r="D4916" s="185"/>
      <c r="E4916" s="185" t="s">
        <v>470</v>
      </c>
      <c r="H4916" s="185"/>
    </row>
    <row r="4917">
      <c r="D4917" s="185"/>
      <c r="E4917" s="185" t="s">
        <v>470</v>
      </c>
      <c r="H4917" s="185"/>
    </row>
    <row r="4918">
      <c r="D4918" s="185"/>
      <c r="E4918" s="185" t="s">
        <v>470</v>
      </c>
      <c r="H4918" s="185"/>
    </row>
    <row r="4919">
      <c r="D4919" s="185"/>
      <c r="E4919" s="185" t="s">
        <v>470</v>
      </c>
      <c r="H4919" s="185"/>
    </row>
    <row r="4920">
      <c r="D4920" s="185"/>
      <c r="E4920" s="185" t="s">
        <v>470</v>
      </c>
      <c r="H4920" s="185"/>
    </row>
    <row r="4921">
      <c r="D4921" s="185"/>
      <c r="E4921" s="185" t="s">
        <v>470</v>
      </c>
      <c r="H4921" s="185"/>
    </row>
    <row r="4922">
      <c r="D4922" s="185"/>
      <c r="E4922" s="185" t="s">
        <v>470</v>
      </c>
      <c r="H4922" s="185"/>
    </row>
    <row r="4923">
      <c r="D4923" s="185"/>
      <c r="E4923" s="185" t="s">
        <v>470</v>
      </c>
      <c r="H4923" s="185"/>
    </row>
    <row r="4924">
      <c r="D4924" s="185"/>
      <c r="E4924" s="185" t="s">
        <v>470</v>
      </c>
      <c r="H4924" s="185"/>
    </row>
    <row r="4925">
      <c r="D4925" s="185"/>
      <c r="E4925" s="185" t="s">
        <v>470</v>
      </c>
      <c r="H4925" s="185"/>
    </row>
    <row r="4926">
      <c r="D4926" s="185"/>
      <c r="E4926" s="185" t="s">
        <v>470</v>
      </c>
      <c r="H4926" s="185"/>
    </row>
    <row r="4927">
      <c r="D4927" s="185"/>
      <c r="E4927" s="185" t="s">
        <v>470</v>
      </c>
      <c r="H4927" s="185"/>
    </row>
    <row r="4928">
      <c r="D4928" s="185"/>
      <c r="E4928" s="185" t="s">
        <v>470</v>
      </c>
      <c r="H4928" s="185"/>
    </row>
    <row r="4929">
      <c r="D4929" s="185"/>
      <c r="E4929" s="185" t="s">
        <v>470</v>
      </c>
      <c r="H4929" s="185"/>
    </row>
    <row r="4930">
      <c r="D4930" s="185"/>
      <c r="E4930" s="185" t="s">
        <v>470</v>
      </c>
      <c r="H4930" s="185"/>
    </row>
    <row r="4931">
      <c r="D4931" s="185"/>
      <c r="E4931" s="185" t="s">
        <v>470</v>
      </c>
      <c r="H4931" s="185"/>
    </row>
    <row r="4932">
      <c r="D4932" s="185"/>
      <c r="E4932" s="185" t="s">
        <v>470</v>
      </c>
      <c r="H4932" s="185"/>
    </row>
    <row r="4933">
      <c r="D4933" s="185"/>
      <c r="E4933" s="185" t="s">
        <v>470</v>
      </c>
      <c r="H4933" s="185"/>
    </row>
    <row r="4934">
      <c r="D4934" s="185"/>
      <c r="E4934" s="185" t="s">
        <v>470</v>
      </c>
      <c r="H4934" s="185"/>
    </row>
    <row r="4935">
      <c r="D4935" s="185"/>
      <c r="E4935" s="185" t="s">
        <v>470</v>
      </c>
      <c r="H4935" s="185"/>
    </row>
    <row r="4936">
      <c r="D4936" s="185"/>
      <c r="E4936" s="185" t="s">
        <v>470</v>
      </c>
      <c r="H4936" s="185"/>
    </row>
    <row r="4937">
      <c r="D4937" s="185"/>
      <c r="E4937" s="185" t="s">
        <v>470</v>
      </c>
      <c r="H4937" s="185"/>
    </row>
    <row r="4938">
      <c r="D4938" s="185"/>
      <c r="E4938" s="185" t="s">
        <v>470</v>
      </c>
      <c r="H4938" s="185"/>
    </row>
    <row r="4939">
      <c r="D4939" s="185"/>
      <c r="E4939" s="185" t="s">
        <v>470</v>
      </c>
      <c r="H4939" s="185"/>
    </row>
    <row r="4940">
      <c r="D4940" s="185"/>
      <c r="E4940" s="185" t="s">
        <v>470</v>
      </c>
      <c r="H4940" s="185"/>
    </row>
    <row r="4941">
      <c r="D4941" s="185"/>
      <c r="E4941" s="185" t="s">
        <v>470</v>
      </c>
      <c r="H4941" s="185"/>
    </row>
    <row r="4942">
      <c r="D4942" s="185"/>
      <c r="E4942" s="185" t="s">
        <v>470</v>
      </c>
      <c r="H4942" s="185"/>
    </row>
    <row r="4943">
      <c r="D4943" s="185"/>
      <c r="E4943" s="185" t="s">
        <v>470</v>
      </c>
      <c r="H4943" s="185"/>
    </row>
    <row r="4944">
      <c r="D4944" s="185"/>
      <c r="E4944" s="185" t="s">
        <v>470</v>
      </c>
      <c r="H4944" s="185"/>
    </row>
    <row r="4945">
      <c r="D4945" s="185"/>
      <c r="E4945" s="185" t="s">
        <v>470</v>
      </c>
      <c r="H4945" s="185"/>
    </row>
    <row r="4946">
      <c r="D4946" s="185"/>
      <c r="E4946" s="185" t="s">
        <v>470</v>
      </c>
      <c r="H4946" s="185"/>
    </row>
    <row r="4947">
      <c r="D4947" s="185"/>
      <c r="E4947" s="185" t="s">
        <v>470</v>
      </c>
      <c r="H4947" s="185"/>
    </row>
    <row r="4948">
      <c r="D4948" s="185"/>
      <c r="E4948" s="185" t="s">
        <v>470</v>
      </c>
      <c r="H4948" s="185"/>
    </row>
    <row r="4949">
      <c r="D4949" s="185"/>
      <c r="E4949" s="185" t="s">
        <v>470</v>
      </c>
      <c r="H4949" s="185"/>
    </row>
    <row r="4950">
      <c r="D4950" s="185"/>
      <c r="E4950" s="185" t="s">
        <v>470</v>
      </c>
      <c r="H4950" s="185"/>
    </row>
    <row r="4951">
      <c r="D4951" s="185"/>
      <c r="E4951" s="185" t="s">
        <v>470</v>
      </c>
      <c r="H4951" s="185"/>
    </row>
    <row r="4952">
      <c r="D4952" s="185"/>
      <c r="E4952" s="185" t="s">
        <v>470</v>
      </c>
      <c r="H4952" s="185"/>
    </row>
    <row r="4953">
      <c r="D4953" s="185"/>
      <c r="E4953" s="185" t="s">
        <v>470</v>
      </c>
      <c r="H4953" s="185"/>
    </row>
    <row r="4954">
      <c r="D4954" s="185"/>
      <c r="E4954" s="185" t="s">
        <v>470</v>
      </c>
      <c r="H4954" s="185"/>
    </row>
    <row r="4955">
      <c r="D4955" s="185"/>
      <c r="E4955" s="185" t="s">
        <v>470</v>
      </c>
      <c r="H4955" s="185"/>
    </row>
    <row r="4956">
      <c r="D4956" s="185"/>
      <c r="E4956" s="185" t="s">
        <v>470</v>
      </c>
      <c r="H4956" s="185"/>
    </row>
    <row r="4957">
      <c r="D4957" s="185"/>
      <c r="E4957" s="185" t="s">
        <v>470</v>
      </c>
      <c r="H4957" s="185"/>
    </row>
    <row r="4958">
      <c r="D4958" s="185"/>
      <c r="E4958" s="185" t="s">
        <v>470</v>
      </c>
      <c r="H4958" s="185"/>
    </row>
    <row r="4959">
      <c r="D4959" s="185"/>
      <c r="E4959" s="185" t="s">
        <v>470</v>
      </c>
      <c r="H4959" s="185"/>
    </row>
    <row r="4960">
      <c r="D4960" s="185"/>
      <c r="E4960" s="185" t="s">
        <v>470</v>
      </c>
      <c r="H4960" s="185"/>
    </row>
    <row r="4961">
      <c r="D4961" s="185"/>
      <c r="E4961" s="185" t="s">
        <v>470</v>
      </c>
      <c r="H4961" s="185"/>
    </row>
    <row r="4962">
      <c r="D4962" s="185"/>
      <c r="E4962" s="185" t="s">
        <v>470</v>
      </c>
      <c r="H4962" s="185"/>
    </row>
    <row r="4963">
      <c r="D4963" s="185"/>
      <c r="E4963" s="185" t="s">
        <v>470</v>
      </c>
      <c r="H4963" s="185"/>
    </row>
    <row r="4964">
      <c r="D4964" s="185"/>
      <c r="E4964" s="185" t="s">
        <v>470</v>
      </c>
      <c r="H4964" s="185"/>
    </row>
    <row r="4965">
      <c r="D4965" s="185"/>
      <c r="E4965" s="185" t="s">
        <v>470</v>
      </c>
      <c r="H4965" s="185"/>
    </row>
    <row r="4966">
      <c r="D4966" s="185"/>
      <c r="E4966" s="185" t="s">
        <v>470</v>
      </c>
      <c r="H4966" s="185"/>
    </row>
    <row r="4967">
      <c r="D4967" s="185"/>
      <c r="E4967" s="185" t="s">
        <v>470</v>
      </c>
      <c r="H4967" s="185"/>
    </row>
    <row r="4968">
      <c r="D4968" s="185"/>
      <c r="E4968" s="185" t="s">
        <v>470</v>
      </c>
      <c r="H4968" s="185"/>
    </row>
    <row r="4969">
      <c r="D4969" s="185"/>
      <c r="E4969" s="185" t="s">
        <v>470</v>
      </c>
      <c r="H4969" s="185"/>
    </row>
    <row r="4970">
      <c r="D4970" s="185"/>
      <c r="E4970" s="185" t="s">
        <v>470</v>
      </c>
      <c r="H4970" s="185"/>
    </row>
    <row r="4971">
      <c r="D4971" s="185"/>
      <c r="E4971" s="185" t="s">
        <v>470</v>
      </c>
      <c r="H4971" s="185"/>
    </row>
    <row r="4972">
      <c r="D4972" s="185"/>
      <c r="E4972" s="185" t="s">
        <v>470</v>
      </c>
      <c r="H4972" s="185"/>
    </row>
    <row r="4973">
      <c r="D4973" s="185"/>
      <c r="E4973" s="185" t="s">
        <v>470</v>
      </c>
      <c r="H4973" s="185"/>
    </row>
    <row r="4974">
      <c r="D4974" s="185"/>
      <c r="E4974" s="185" t="s">
        <v>470</v>
      </c>
      <c r="H4974" s="185"/>
    </row>
    <row r="4975">
      <c r="D4975" s="185"/>
      <c r="E4975" s="185" t="s">
        <v>470</v>
      </c>
      <c r="H4975" s="185"/>
    </row>
    <row r="4976">
      <c r="D4976" s="185"/>
      <c r="E4976" s="185" t="s">
        <v>470</v>
      </c>
      <c r="H4976" s="185"/>
    </row>
    <row r="4977">
      <c r="D4977" s="185"/>
      <c r="E4977" s="185" t="s">
        <v>470</v>
      </c>
      <c r="H4977" s="185"/>
    </row>
    <row r="4978">
      <c r="D4978" s="185"/>
      <c r="E4978" s="185" t="s">
        <v>470</v>
      </c>
      <c r="H4978" s="185"/>
    </row>
    <row r="4979">
      <c r="D4979" s="185"/>
      <c r="E4979" s="185" t="s">
        <v>470</v>
      </c>
      <c r="H4979" s="185"/>
    </row>
    <row r="4980">
      <c r="D4980" s="185"/>
      <c r="E4980" s="185" t="s">
        <v>470</v>
      </c>
      <c r="H4980" s="185"/>
    </row>
    <row r="4981">
      <c r="D4981" s="185"/>
      <c r="E4981" s="185" t="s">
        <v>470</v>
      </c>
      <c r="H4981" s="185"/>
    </row>
    <row r="4982">
      <c r="D4982" s="185"/>
      <c r="E4982" s="185" t="s">
        <v>470</v>
      </c>
      <c r="H4982" s="185"/>
    </row>
    <row r="4983">
      <c r="D4983" s="185"/>
      <c r="E4983" s="185" t="s">
        <v>470</v>
      </c>
      <c r="H4983" s="185"/>
    </row>
    <row r="4984">
      <c r="D4984" s="185"/>
      <c r="E4984" s="185" t="s">
        <v>470</v>
      </c>
      <c r="H4984" s="185"/>
    </row>
    <row r="4985">
      <c r="D4985" s="185"/>
      <c r="E4985" s="185" t="s">
        <v>470</v>
      </c>
      <c r="H4985" s="185"/>
    </row>
    <row r="4986">
      <c r="D4986" s="185"/>
      <c r="E4986" s="185" t="s">
        <v>470</v>
      </c>
      <c r="H4986" s="185"/>
    </row>
    <row r="4987">
      <c r="D4987" s="185"/>
      <c r="E4987" s="185" t="s">
        <v>470</v>
      </c>
      <c r="H4987" s="185"/>
    </row>
    <row r="4988">
      <c r="D4988" s="185"/>
      <c r="E4988" s="185" t="s">
        <v>470</v>
      </c>
      <c r="H4988" s="185"/>
    </row>
    <row r="4989">
      <c r="D4989" s="185"/>
      <c r="E4989" s="185" t="s">
        <v>470</v>
      </c>
      <c r="H4989" s="185"/>
    </row>
    <row r="4990">
      <c r="D4990" s="185"/>
      <c r="E4990" s="185" t="s">
        <v>470</v>
      </c>
      <c r="H4990" s="185"/>
    </row>
    <row r="4991">
      <c r="D4991" s="185"/>
      <c r="E4991" s="185" t="s">
        <v>470</v>
      </c>
      <c r="H4991" s="185"/>
    </row>
    <row r="4992">
      <c r="D4992" s="185"/>
      <c r="E4992" s="185" t="s">
        <v>470</v>
      </c>
      <c r="H4992" s="185"/>
    </row>
    <row r="4993">
      <c r="D4993" s="185"/>
      <c r="E4993" s="185" t="s">
        <v>470</v>
      </c>
      <c r="H4993" s="185"/>
    </row>
    <row r="4994">
      <c r="D4994" s="185"/>
      <c r="E4994" s="185" t="s">
        <v>470</v>
      </c>
      <c r="H4994" s="185"/>
    </row>
    <row r="4995">
      <c r="D4995" s="185"/>
      <c r="E4995" s="185" t="s">
        <v>470</v>
      </c>
      <c r="H4995" s="185"/>
    </row>
    <row r="4996">
      <c r="D4996" s="185"/>
      <c r="E4996" s="185" t="s">
        <v>470</v>
      </c>
      <c r="H4996" s="185"/>
    </row>
    <row r="4997">
      <c r="D4997" s="185"/>
      <c r="E4997" s="185" t="s">
        <v>470</v>
      </c>
      <c r="H4997" s="185"/>
    </row>
    <row r="4998">
      <c r="D4998" s="185"/>
      <c r="E4998" s="185" t="s">
        <v>470</v>
      </c>
      <c r="H4998" s="185"/>
    </row>
    <row r="4999">
      <c r="D4999" s="185"/>
      <c r="E4999" s="185" t="s">
        <v>470</v>
      </c>
      <c r="H4999" s="185"/>
    </row>
    <row r="5000">
      <c r="D5000" s="185"/>
      <c r="E5000" s="185" t="s">
        <v>470</v>
      </c>
      <c r="H5000" s="185"/>
    </row>
    <row r="5001">
      <c r="D5001" s="185"/>
      <c r="E5001" s="185" t="s">
        <v>470</v>
      </c>
      <c r="H5001" s="185"/>
    </row>
    <row r="5002">
      <c r="D5002" s="185"/>
      <c r="E5002" s="185" t="s">
        <v>470</v>
      </c>
      <c r="H5002" s="185"/>
    </row>
    <row r="5003">
      <c r="D5003" s="185"/>
      <c r="E5003" s="185" t="s">
        <v>470</v>
      </c>
      <c r="H5003" s="185"/>
    </row>
    <row r="5004">
      <c r="D5004" s="185"/>
      <c r="E5004" s="185" t="s">
        <v>470</v>
      </c>
      <c r="H5004" s="185"/>
    </row>
    <row r="5005">
      <c r="D5005" s="185"/>
      <c r="E5005" s="185" t="s">
        <v>470</v>
      </c>
      <c r="H5005" s="185"/>
    </row>
    <row r="5006">
      <c r="D5006" s="185"/>
      <c r="E5006" s="185" t="s">
        <v>470</v>
      </c>
      <c r="H5006" s="185"/>
    </row>
    <row r="5007">
      <c r="D5007" s="185"/>
      <c r="E5007" s="185" t="s">
        <v>470</v>
      </c>
      <c r="H5007" s="185"/>
    </row>
    <row r="5008">
      <c r="D5008" s="185"/>
      <c r="E5008" s="185" t="s">
        <v>470</v>
      </c>
      <c r="H5008" s="185"/>
    </row>
    <row r="5009">
      <c r="D5009" s="185"/>
      <c r="E5009" s="185" t="s">
        <v>470</v>
      </c>
      <c r="H5009" s="185"/>
    </row>
    <row r="5010">
      <c r="D5010" s="185"/>
      <c r="E5010" s="185" t="s">
        <v>470</v>
      </c>
      <c r="H5010" s="185"/>
    </row>
    <row r="5011">
      <c r="D5011" s="185"/>
      <c r="E5011" s="185" t="s">
        <v>470</v>
      </c>
      <c r="H5011" s="185"/>
    </row>
    <row r="5012">
      <c r="D5012" s="185"/>
      <c r="E5012" s="185" t="s">
        <v>470</v>
      </c>
      <c r="H5012" s="185"/>
    </row>
    <row r="5013">
      <c r="D5013" s="185"/>
      <c r="E5013" s="185" t="s">
        <v>470</v>
      </c>
      <c r="H5013" s="185"/>
    </row>
    <row r="5014">
      <c r="D5014" s="185"/>
      <c r="E5014" s="185" t="s">
        <v>470</v>
      </c>
      <c r="H5014" s="185"/>
    </row>
    <row r="5015">
      <c r="D5015" s="185"/>
      <c r="E5015" s="185" t="s">
        <v>470</v>
      </c>
      <c r="H5015" s="185"/>
    </row>
    <row r="5016">
      <c r="D5016" s="185"/>
      <c r="E5016" s="185" t="s">
        <v>470</v>
      </c>
      <c r="H5016" s="185"/>
    </row>
    <row r="5017">
      <c r="D5017" s="185"/>
      <c r="E5017" s="185" t="s">
        <v>470</v>
      </c>
      <c r="H5017" s="185"/>
    </row>
    <row r="5018">
      <c r="D5018" s="185"/>
      <c r="E5018" s="185" t="s">
        <v>470</v>
      </c>
      <c r="H5018" s="185"/>
    </row>
    <row r="5019">
      <c r="D5019" s="185"/>
      <c r="E5019" s="185" t="s">
        <v>470</v>
      </c>
      <c r="H5019" s="185"/>
    </row>
    <row r="5020">
      <c r="D5020" s="185"/>
      <c r="E5020" s="185" t="s">
        <v>470</v>
      </c>
      <c r="H5020" s="185"/>
    </row>
    <row r="5021">
      <c r="D5021" s="185"/>
      <c r="E5021" s="185" t="s">
        <v>470</v>
      </c>
      <c r="H5021" s="185"/>
    </row>
    <row r="5022">
      <c r="D5022" s="185"/>
      <c r="E5022" s="185" t="s">
        <v>470</v>
      </c>
      <c r="H5022" s="185"/>
    </row>
    <row r="5023">
      <c r="D5023" s="185"/>
      <c r="E5023" s="185" t="s">
        <v>470</v>
      </c>
      <c r="H5023" s="185"/>
    </row>
    <row r="5024">
      <c r="D5024" s="185"/>
      <c r="E5024" s="185" t="s">
        <v>470</v>
      </c>
      <c r="H5024" s="185"/>
    </row>
    <row r="5025">
      <c r="D5025" s="185"/>
      <c r="E5025" s="185" t="s">
        <v>470</v>
      </c>
      <c r="H5025" s="185"/>
    </row>
    <row r="5026">
      <c r="D5026" s="185"/>
      <c r="E5026" s="185" t="s">
        <v>470</v>
      </c>
      <c r="H5026" s="185"/>
    </row>
    <row r="5027">
      <c r="D5027" s="185"/>
      <c r="E5027" s="185" t="s">
        <v>470</v>
      </c>
      <c r="H5027" s="185"/>
    </row>
    <row r="5028">
      <c r="D5028" s="185"/>
      <c r="E5028" s="185" t="s">
        <v>470</v>
      </c>
      <c r="H5028" s="185"/>
    </row>
    <row r="5029">
      <c r="D5029" s="185"/>
      <c r="E5029" s="185" t="s">
        <v>470</v>
      </c>
      <c r="H5029" s="185"/>
    </row>
    <row r="5030">
      <c r="D5030" s="185"/>
      <c r="E5030" s="185" t="s">
        <v>470</v>
      </c>
      <c r="H5030" s="185"/>
    </row>
    <row r="5031">
      <c r="D5031" s="185"/>
      <c r="E5031" s="185" t="s">
        <v>470</v>
      </c>
      <c r="H5031" s="185"/>
    </row>
    <row r="5032">
      <c r="D5032" s="185"/>
      <c r="E5032" s="185" t="s">
        <v>470</v>
      </c>
      <c r="H5032" s="185"/>
    </row>
    <row r="5033">
      <c r="D5033" s="185"/>
      <c r="E5033" s="185" t="s">
        <v>470</v>
      </c>
      <c r="H5033" s="185"/>
    </row>
    <row r="5034">
      <c r="D5034" s="185"/>
      <c r="E5034" s="185" t="s">
        <v>470</v>
      </c>
      <c r="H5034" s="185"/>
    </row>
    <row r="5035">
      <c r="D5035" s="185"/>
      <c r="E5035" s="185" t="s">
        <v>470</v>
      </c>
      <c r="H5035" s="185"/>
    </row>
    <row r="5036">
      <c r="D5036" s="185"/>
      <c r="E5036" s="185" t="s">
        <v>470</v>
      </c>
      <c r="H5036" s="185"/>
    </row>
    <row r="5037">
      <c r="D5037" s="185"/>
      <c r="E5037" s="185" t="s">
        <v>470</v>
      </c>
      <c r="H5037" s="185"/>
    </row>
    <row r="5038">
      <c r="D5038" s="185"/>
      <c r="E5038" s="185" t="s">
        <v>470</v>
      </c>
      <c r="H5038" s="185"/>
    </row>
    <row r="5039">
      <c r="D5039" s="185"/>
      <c r="E5039" s="185" t="s">
        <v>470</v>
      </c>
      <c r="H5039" s="185"/>
    </row>
    <row r="5040">
      <c r="D5040" s="185"/>
      <c r="E5040" s="185" t="s">
        <v>470</v>
      </c>
      <c r="H5040" s="185"/>
    </row>
    <row r="5041">
      <c r="D5041" s="185"/>
      <c r="E5041" s="185" t="s">
        <v>470</v>
      </c>
      <c r="H5041" s="185"/>
    </row>
    <row r="5042">
      <c r="D5042" s="185"/>
      <c r="E5042" s="185" t="s">
        <v>470</v>
      </c>
      <c r="H5042" s="185"/>
    </row>
    <row r="5043">
      <c r="D5043" s="185"/>
      <c r="E5043" s="185" t="s">
        <v>470</v>
      </c>
      <c r="H5043" s="185"/>
    </row>
    <row r="5044">
      <c r="D5044" s="185"/>
      <c r="E5044" s="185" t="s">
        <v>470</v>
      </c>
      <c r="H5044" s="185"/>
    </row>
    <row r="5045">
      <c r="D5045" s="185"/>
      <c r="E5045" s="185" t="s">
        <v>470</v>
      </c>
      <c r="H5045" s="185"/>
    </row>
    <row r="5046">
      <c r="D5046" s="185"/>
      <c r="E5046" s="185" t="s">
        <v>470</v>
      </c>
      <c r="H5046" s="185"/>
    </row>
    <row r="5047">
      <c r="D5047" s="185"/>
      <c r="E5047" s="185" t="s">
        <v>470</v>
      </c>
      <c r="H5047" s="185"/>
    </row>
    <row r="5048">
      <c r="D5048" s="185"/>
      <c r="E5048" s="185" t="s">
        <v>470</v>
      </c>
      <c r="H5048" s="185"/>
    </row>
    <row r="5049">
      <c r="D5049" s="185"/>
      <c r="E5049" s="185" t="s">
        <v>470</v>
      </c>
      <c r="H5049" s="185"/>
    </row>
    <row r="5050">
      <c r="D5050" s="185"/>
      <c r="E5050" s="185" t="s">
        <v>470</v>
      </c>
      <c r="H5050" s="185"/>
    </row>
    <row r="5051">
      <c r="D5051" s="185"/>
      <c r="E5051" s="185" t="s">
        <v>470</v>
      </c>
      <c r="H5051" s="185"/>
    </row>
    <row r="5052">
      <c r="D5052" s="185"/>
      <c r="E5052" s="185" t="s">
        <v>470</v>
      </c>
      <c r="H5052" s="185"/>
    </row>
    <row r="5053">
      <c r="D5053" s="185"/>
      <c r="E5053" s="185" t="s">
        <v>470</v>
      </c>
      <c r="H5053" s="185"/>
    </row>
    <row r="5054">
      <c r="D5054" s="185"/>
      <c r="E5054" s="185" t="s">
        <v>470</v>
      </c>
      <c r="H5054" s="185"/>
    </row>
    <row r="5055">
      <c r="D5055" s="185"/>
      <c r="E5055" s="185" t="s">
        <v>470</v>
      </c>
      <c r="H5055" s="185"/>
    </row>
    <row r="5056">
      <c r="D5056" s="185"/>
      <c r="E5056" s="185" t="s">
        <v>470</v>
      </c>
      <c r="H5056" s="185"/>
    </row>
    <row r="5057">
      <c r="D5057" s="185"/>
      <c r="E5057" s="185" t="s">
        <v>470</v>
      </c>
      <c r="H5057" s="185"/>
    </row>
    <row r="5058">
      <c r="D5058" s="185"/>
      <c r="E5058" s="185" t="s">
        <v>470</v>
      </c>
      <c r="H5058" s="185"/>
    </row>
    <row r="5059">
      <c r="D5059" s="185"/>
      <c r="E5059" s="185" t="s">
        <v>470</v>
      </c>
      <c r="H5059" s="185"/>
    </row>
    <row r="5060">
      <c r="D5060" s="185"/>
      <c r="E5060" s="185" t="s">
        <v>470</v>
      </c>
      <c r="H5060" s="185"/>
    </row>
    <row r="5061">
      <c r="D5061" s="185"/>
      <c r="E5061" s="185" t="s">
        <v>470</v>
      </c>
      <c r="H5061" s="185"/>
    </row>
    <row r="5062">
      <c r="D5062" s="185"/>
      <c r="E5062" s="185" t="s">
        <v>470</v>
      </c>
      <c r="H5062" s="185"/>
    </row>
    <row r="5063">
      <c r="D5063" s="185"/>
      <c r="E5063" s="185" t="s">
        <v>470</v>
      </c>
      <c r="H5063" s="185"/>
    </row>
    <row r="5064">
      <c r="D5064" s="185"/>
      <c r="E5064" s="185" t="s">
        <v>470</v>
      </c>
      <c r="H5064" s="185"/>
    </row>
    <row r="5065">
      <c r="D5065" s="185"/>
      <c r="E5065" s="185" t="s">
        <v>470</v>
      </c>
      <c r="H5065" s="185"/>
    </row>
    <row r="5066">
      <c r="D5066" s="185"/>
      <c r="E5066" s="185" t="s">
        <v>470</v>
      </c>
      <c r="H5066" s="185"/>
    </row>
    <row r="5067">
      <c r="D5067" s="185"/>
      <c r="E5067" s="185" t="s">
        <v>470</v>
      </c>
      <c r="H5067" s="185"/>
    </row>
    <row r="5068">
      <c r="D5068" s="185"/>
      <c r="E5068" s="185" t="s">
        <v>470</v>
      </c>
      <c r="H5068" s="185"/>
    </row>
    <row r="5069">
      <c r="D5069" s="185"/>
      <c r="E5069" s="185" t="s">
        <v>470</v>
      </c>
      <c r="H5069" s="185"/>
    </row>
    <row r="5070">
      <c r="D5070" s="185"/>
      <c r="E5070" s="185" t="s">
        <v>470</v>
      </c>
      <c r="H5070" s="185"/>
    </row>
    <row r="5071">
      <c r="D5071" s="185"/>
      <c r="E5071" s="185" t="s">
        <v>470</v>
      </c>
      <c r="H5071" s="185"/>
    </row>
    <row r="5072">
      <c r="D5072" s="185"/>
      <c r="E5072" s="185" t="s">
        <v>470</v>
      </c>
      <c r="H5072" s="185"/>
    </row>
    <row r="5073">
      <c r="D5073" s="185"/>
      <c r="E5073" s="185" t="s">
        <v>470</v>
      </c>
      <c r="H5073" s="185"/>
    </row>
    <row r="5074">
      <c r="D5074" s="185"/>
      <c r="E5074" s="185" t="s">
        <v>470</v>
      </c>
      <c r="H5074" s="185"/>
    </row>
    <row r="5075">
      <c r="D5075" s="185"/>
      <c r="E5075" s="185" t="s">
        <v>470</v>
      </c>
      <c r="H5075" s="185"/>
    </row>
    <row r="5076">
      <c r="D5076" s="185"/>
      <c r="E5076" s="185" t="s">
        <v>470</v>
      </c>
      <c r="H5076" s="185"/>
    </row>
    <row r="5077">
      <c r="D5077" s="185"/>
      <c r="E5077" s="185" t="s">
        <v>470</v>
      </c>
      <c r="H5077" s="185"/>
    </row>
    <row r="5078">
      <c r="D5078" s="185"/>
      <c r="E5078" s="185" t="s">
        <v>470</v>
      </c>
      <c r="H5078" s="185"/>
    </row>
    <row r="5079">
      <c r="D5079" s="185"/>
      <c r="E5079" s="185" t="s">
        <v>470</v>
      </c>
      <c r="H5079" s="185"/>
    </row>
    <row r="5080">
      <c r="D5080" s="185"/>
      <c r="E5080" s="185" t="s">
        <v>470</v>
      </c>
      <c r="H5080" s="185"/>
    </row>
    <row r="5081">
      <c r="D5081" s="185"/>
      <c r="E5081" s="185" t="s">
        <v>470</v>
      </c>
      <c r="H5081" s="185"/>
    </row>
    <row r="5082">
      <c r="D5082" s="185"/>
      <c r="E5082" s="185" t="s">
        <v>470</v>
      </c>
      <c r="H5082" s="185"/>
    </row>
    <row r="5083">
      <c r="D5083" s="185"/>
      <c r="E5083" s="185" t="s">
        <v>470</v>
      </c>
      <c r="H5083" s="185"/>
    </row>
    <row r="5084">
      <c r="D5084" s="185"/>
      <c r="E5084" s="185" t="s">
        <v>470</v>
      </c>
      <c r="H5084" s="185"/>
    </row>
    <row r="5085">
      <c r="D5085" s="185"/>
      <c r="E5085" s="185" t="s">
        <v>470</v>
      </c>
      <c r="H5085" s="185"/>
    </row>
    <row r="5086">
      <c r="D5086" s="185"/>
      <c r="E5086" s="185" t="s">
        <v>470</v>
      </c>
      <c r="H5086" s="185"/>
    </row>
    <row r="5087">
      <c r="D5087" s="185"/>
      <c r="E5087" s="185" t="s">
        <v>470</v>
      </c>
      <c r="H5087" s="185"/>
    </row>
    <row r="5088">
      <c r="D5088" s="185"/>
      <c r="E5088" s="185" t="s">
        <v>470</v>
      </c>
      <c r="H5088" s="185"/>
    </row>
    <row r="5089">
      <c r="D5089" s="185"/>
      <c r="E5089" s="185" t="s">
        <v>470</v>
      </c>
      <c r="H5089" s="185"/>
    </row>
    <row r="5090">
      <c r="D5090" s="185"/>
      <c r="E5090" s="185" t="s">
        <v>470</v>
      </c>
      <c r="H5090" s="185"/>
    </row>
    <row r="5091">
      <c r="D5091" s="185"/>
      <c r="E5091" s="185" t="s">
        <v>470</v>
      </c>
      <c r="H5091" s="185"/>
    </row>
    <row r="5092">
      <c r="D5092" s="185"/>
      <c r="E5092" s="185" t="s">
        <v>470</v>
      </c>
      <c r="H5092" s="185"/>
    </row>
    <row r="5093">
      <c r="D5093" s="185"/>
      <c r="E5093" s="185" t="s">
        <v>470</v>
      </c>
      <c r="H5093" s="185"/>
    </row>
    <row r="5094">
      <c r="D5094" s="185"/>
      <c r="E5094" s="185" t="s">
        <v>470</v>
      </c>
      <c r="H5094" s="185"/>
    </row>
    <row r="5095">
      <c r="D5095" s="185"/>
      <c r="E5095" s="185" t="s">
        <v>470</v>
      </c>
      <c r="H5095" s="185"/>
    </row>
    <row r="5096">
      <c r="D5096" s="185"/>
      <c r="E5096" s="185" t="s">
        <v>470</v>
      </c>
      <c r="H5096" s="185"/>
    </row>
    <row r="5097">
      <c r="D5097" s="185"/>
      <c r="E5097" s="185" t="s">
        <v>470</v>
      </c>
      <c r="H5097" s="185"/>
    </row>
    <row r="5098">
      <c r="D5098" s="185"/>
      <c r="E5098" s="185" t="s">
        <v>470</v>
      </c>
      <c r="H5098" s="185"/>
    </row>
    <row r="5099">
      <c r="D5099" s="185"/>
      <c r="E5099" s="185" t="s">
        <v>470</v>
      </c>
      <c r="H5099" s="185"/>
    </row>
    <row r="5100">
      <c r="D5100" s="185"/>
      <c r="E5100" s="185" t="s">
        <v>470</v>
      </c>
      <c r="H5100" s="185"/>
    </row>
    <row r="5101">
      <c r="D5101" s="185"/>
      <c r="E5101" s="185" t="s">
        <v>470</v>
      </c>
      <c r="H5101" s="185"/>
    </row>
    <row r="5102">
      <c r="D5102" s="185"/>
      <c r="E5102" s="185" t="s">
        <v>470</v>
      </c>
      <c r="H5102" s="185"/>
    </row>
    <row r="5103">
      <c r="D5103" s="185"/>
      <c r="E5103" s="185" t="s">
        <v>470</v>
      </c>
      <c r="H5103" s="185"/>
    </row>
    <row r="5104">
      <c r="D5104" s="185"/>
      <c r="E5104" s="185" t="s">
        <v>470</v>
      </c>
      <c r="H5104" s="185"/>
    </row>
    <row r="5105">
      <c r="D5105" s="185"/>
      <c r="E5105" s="185" t="s">
        <v>470</v>
      </c>
      <c r="H5105" s="185"/>
    </row>
    <row r="5106">
      <c r="D5106" s="185"/>
      <c r="E5106" s="185" t="s">
        <v>470</v>
      </c>
      <c r="H5106" s="185"/>
    </row>
    <row r="5107">
      <c r="D5107" s="185"/>
      <c r="E5107" s="185" t="s">
        <v>470</v>
      </c>
      <c r="H5107" s="185"/>
    </row>
    <row r="5108">
      <c r="D5108" s="185"/>
      <c r="E5108" s="185" t="s">
        <v>470</v>
      </c>
      <c r="H5108" s="185"/>
    </row>
    <row r="5109">
      <c r="D5109" s="185"/>
      <c r="E5109" s="185" t="s">
        <v>470</v>
      </c>
      <c r="H5109" s="185"/>
    </row>
    <row r="5110">
      <c r="D5110" s="185"/>
      <c r="E5110" s="185" t="s">
        <v>470</v>
      </c>
      <c r="H5110" s="185"/>
    </row>
    <row r="5111">
      <c r="D5111" s="185"/>
      <c r="E5111" s="185" t="s">
        <v>470</v>
      </c>
      <c r="H5111" s="185"/>
    </row>
    <row r="5112">
      <c r="D5112" s="185"/>
      <c r="E5112" s="185" t="s">
        <v>470</v>
      </c>
      <c r="H5112" s="185"/>
    </row>
    <row r="5113">
      <c r="D5113" s="185"/>
      <c r="E5113" s="185" t="s">
        <v>470</v>
      </c>
      <c r="H5113" s="185"/>
    </row>
    <row r="5114">
      <c r="D5114" s="185"/>
      <c r="E5114" s="185" t="s">
        <v>470</v>
      </c>
      <c r="H5114" s="185"/>
    </row>
    <row r="5115">
      <c r="D5115" s="185"/>
      <c r="E5115" s="185" t="s">
        <v>470</v>
      </c>
      <c r="H5115" s="185"/>
    </row>
    <row r="5116">
      <c r="D5116" s="185"/>
      <c r="E5116" s="185" t="s">
        <v>470</v>
      </c>
      <c r="H5116" s="185"/>
    </row>
    <row r="5117">
      <c r="D5117" s="185"/>
      <c r="E5117" s="185" t="s">
        <v>470</v>
      </c>
      <c r="H5117" s="185"/>
    </row>
    <row r="5118">
      <c r="D5118" s="185"/>
      <c r="E5118" s="185" t="s">
        <v>470</v>
      </c>
      <c r="H5118" s="185"/>
    </row>
    <row r="5119">
      <c r="D5119" s="185"/>
      <c r="E5119" s="185" t="s">
        <v>470</v>
      </c>
      <c r="H5119" s="185"/>
    </row>
    <row r="5120">
      <c r="D5120" s="185"/>
      <c r="E5120" s="185" t="s">
        <v>470</v>
      </c>
      <c r="H5120" s="185"/>
    </row>
    <row r="5121">
      <c r="D5121" s="185"/>
      <c r="E5121" s="185" t="s">
        <v>470</v>
      </c>
      <c r="H5121" s="185"/>
    </row>
    <row r="5122">
      <c r="D5122" s="185"/>
      <c r="E5122" s="185" t="s">
        <v>470</v>
      </c>
      <c r="H5122" s="185"/>
    </row>
    <row r="5123">
      <c r="D5123" s="185"/>
      <c r="E5123" s="185" t="s">
        <v>470</v>
      </c>
      <c r="H5123" s="185"/>
    </row>
    <row r="5124">
      <c r="D5124" s="185"/>
      <c r="E5124" s="185" t="s">
        <v>470</v>
      </c>
      <c r="H5124" s="185"/>
    </row>
    <row r="5125">
      <c r="D5125" s="185"/>
      <c r="E5125" s="185" t="s">
        <v>470</v>
      </c>
      <c r="H5125" s="185"/>
    </row>
    <row r="5126">
      <c r="D5126" s="185"/>
      <c r="E5126" s="185" t="s">
        <v>470</v>
      </c>
      <c r="H5126" s="185"/>
    </row>
    <row r="5127">
      <c r="D5127" s="185"/>
      <c r="E5127" s="185" t="s">
        <v>470</v>
      </c>
      <c r="H5127" s="185"/>
    </row>
    <row r="5128">
      <c r="D5128" s="185"/>
      <c r="E5128" s="185" t="s">
        <v>470</v>
      </c>
      <c r="H5128" s="185"/>
    </row>
    <row r="5129">
      <c r="D5129" s="185"/>
      <c r="E5129" s="185" t="s">
        <v>470</v>
      </c>
      <c r="H5129" s="185"/>
    </row>
    <row r="5130">
      <c r="D5130" s="185"/>
      <c r="E5130" s="185" t="s">
        <v>470</v>
      </c>
      <c r="H5130" s="185"/>
    </row>
    <row r="5131">
      <c r="D5131" s="185"/>
      <c r="E5131" s="185" t="s">
        <v>470</v>
      </c>
      <c r="H5131" s="185"/>
    </row>
    <row r="5132">
      <c r="D5132" s="185"/>
      <c r="E5132" s="185" t="s">
        <v>470</v>
      </c>
      <c r="H5132" s="185"/>
    </row>
    <row r="5133">
      <c r="D5133" s="185"/>
      <c r="E5133" s="185" t="s">
        <v>470</v>
      </c>
      <c r="H5133" s="185"/>
    </row>
    <row r="5134">
      <c r="D5134" s="185"/>
      <c r="E5134" s="185" t="s">
        <v>470</v>
      </c>
      <c r="H5134" s="185"/>
    </row>
    <row r="5135">
      <c r="D5135" s="185"/>
      <c r="E5135" s="185" t="s">
        <v>470</v>
      </c>
      <c r="H5135" s="185"/>
    </row>
    <row r="5136">
      <c r="D5136" s="185"/>
      <c r="E5136" s="185" t="s">
        <v>470</v>
      </c>
      <c r="H5136" s="185"/>
    </row>
    <row r="5137">
      <c r="D5137" s="185"/>
      <c r="E5137" s="185" t="s">
        <v>470</v>
      </c>
      <c r="H5137" s="185"/>
    </row>
    <row r="5138">
      <c r="D5138" s="185"/>
      <c r="E5138" s="185" t="s">
        <v>470</v>
      </c>
      <c r="H5138" s="185"/>
    </row>
    <row r="5139">
      <c r="D5139" s="185"/>
      <c r="E5139" s="185" t="s">
        <v>470</v>
      </c>
      <c r="H5139" s="185"/>
    </row>
    <row r="5140">
      <c r="D5140" s="185"/>
      <c r="E5140" s="185" t="s">
        <v>470</v>
      </c>
      <c r="H5140" s="185"/>
    </row>
    <row r="5141">
      <c r="D5141" s="185"/>
      <c r="E5141" s="185" t="s">
        <v>470</v>
      </c>
      <c r="H5141" s="185"/>
    </row>
    <row r="5142">
      <c r="D5142" s="185"/>
      <c r="E5142" s="185" t="s">
        <v>470</v>
      </c>
      <c r="H5142" s="185"/>
    </row>
    <row r="5143">
      <c r="D5143" s="185"/>
      <c r="E5143" s="185" t="s">
        <v>470</v>
      </c>
      <c r="H5143" s="185"/>
    </row>
    <row r="5144">
      <c r="D5144" s="185"/>
      <c r="E5144" s="185" t="s">
        <v>470</v>
      </c>
      <c r="H5144" s="185"/>
    </row>
    <row r="5145">
      <c r="D5145" s="185"/>
      <c r="E5145" s="185" t="s">
        <v>470</v>
      </c>
      <c r="H5145" s="185"/>
    </row>
    <row r="5146">
      <c r="D5146" s="185"/>
      <c r="E5146" s="185" t="s">
        <v>470</v>
      </c>
      <c r="H5146" s="185"/>
    </row>
    <row r="5147">
      <c r="D5147" s="185"/>
      <c r="E5147" s="185" t="s">
        <v>470</v>
      </c>
      <c r="H5147" s="185"/>
    </row>
    <row r="5148">
      <c r="D5148" s="185"/>
      <c r="E5148" s="185" t="s">
        <v>470</v>
      </c>
      <c r="H5148" s="185"/>
    </row>
    <row r="5149">
      <c r="D5149" s="185"/>
      <c r="E5149" s="185" t="s">
        <v>470</v>
      </c>
      <c r="H5149" s="185"/>
    </row>
    <row r="5150">
      <c r="D5150" s="185"/>
      <c r="E5150" s="185" t="s">
        <v>470</v>
      </c>
      <c r="H5150" s="185"/>
    </row>
    <row r="5151">
      <c r="D5151" s="185"/>
      <c r="E5151" s="185" t="s">
        <v>470</v>
      </c>
      <c r="H5151" s="185"/>
    </row>
    <row r="5152">
      <c r="D5152" s="185"/>
      <c r="E5152" s="185" t="s">
        <v>470</v>
      </c>
      <c r="H5152" s="185"/>
    </row>
    <row r="5153">
      <c r="D5153" s="185"/>
      <c r="E5153" s="185" t="s">
        <v>470</v>
      </c>
      <c r="H5153" s="185"/>
    </row>
    <row r="5154">
      <c r="D5154" s="185"/>
      <c r="E5154" s="185" t="s">
        <v>470</v>
      </c>
      <c r="H5154" s="185"/>
    </row>
    <row r="5155">
      <c r="D5155" s="185"/>
      <c r="E5155" s="185" t="s">
        <v>470</v>
      </c>
      <c r="H5155" s="185"/>
    </row>
    <row r="5156">
      <c r="D5156" s="185"/>
      <c r="E5156" s="185" t="s">
        <v>470</v>
      </c>
      <c r="H5156" s="185"/>
    </row>
    <row r="5157">
      <c r="D5157" s="185"/>
      <c r="E5157" s="185" t="s">
        <v>470</v>
      </c>
      <c r="H5157" s="185"/>
    </row>
    <row r="5158">
      <c r="D5158" s="185"/>
      <c r="E5158" s="185" t="s">
        <v>470</v>
      </c>
      <c r="H5158" s="185"/>
    </row>
    <row r="5159">
      <c r="D5159" s="185"/>
      <c r="E5159" s="185" t="s">
        <v>470</v>
      </c>
      <c r="H5159" s="185"/>
    </row>
    <row r="5160">
      <c r="D5160" s="185"/>
      <c r="E5160" s="185" t="s">
        <v>470</v>
      </c>
      <c r="H5160" s="185"/>
    </row>
    <row r="5161">
      <c r="D5161" s="185"/>
      <c r="E5161" s="185" t="s">
        <v>470</v>
      </c>
      <c r="H5161" s="185"/>
    </row>
    <row r="5162">
      <c r="D5162" s="185"/>
      <c r="E5162" s="185" t="s">
        <v>470</v>
      </c>
      <c r="H5162" s="185"/>
    </row>
    <row r="5163">
      <c r="D5163" s="185"/>
      <c r="E5163" s="185" t="s">
        <v>470</v>
      </c>
      <c r="H5163" s="185"/>
    </row>
    <row r="5164">
      <c r="D5164" s="185"/>
      <c r="E5164" s="185" t="s">
        <v>470</v>
      </c>
      <c r="H5164" s="185"/>
    </row>
    <row r="5165">
      <c r="D5165" s="185"/>
      <c r="E5165" s="185" t="s">
        <v>470</v>
      </c>
      <c r="H5165" s="185"/>
    </row>
    <row r="5166">
      <c r="D5166" s="185"/>
      <c r="E5166" s="185" t="s">
        <v>470</v>
      </c>
      <c r="H5166" s="185"/>
    </row>
    <row r="5167">
      <c r="D5167" s="185"/>
      <c r="E5167" s="185" t="s">
        <v>470</v>
      </c>
      <c r="H5167" s="185"/>
    </row>
    <row r="5168">
      <c r="D5168" s="185"/>
      <c r="E5168" s="185" t="s">
        <v>470</v>
      </c>
      <c r="H5168" s="185"/>
    </row>
    <row r="5169">
      <c r="D5169" s="185"/>
      <c r="E5169" s="185" t="s">
        <v>470</v>
      </c>
      <c r="H5169" s="185"/>
    </row>
    <row r="5170">
      <c r="D5170" s="185"/>
      <c r="E5170" s="185" t="s">
        <v>470</v>
      </c>
      <c r="H5170" s="185"/>
    </row>
    <row r="5171">
      <c r="D5171" s="185"/>
      <c r="E5171" s="185" t="s">
        <v>470</v>
      </c>
      <c r="H5171" s="185"/>
    </row>
    <row r="5172">
      <c r="D5172" s="185"/>
      <c r="E5172" s="185" t="s">
        <v>470</v>
      </c>
      <c r="H5172" s="185"/>
    </row>
    <row r="5173">
      <c r="D5173" s="185"/>
      <c r="E5173" s="185" t="s">
        <v>470</v>
      </c>
      <c r="H5173" s="185"/>
    </row>
    <row r="5174">
      <c r="D5174" s="185"/>
      <c r="E5174" s="185" t="s">
        <v>470</v>
      </c>
      <c r="H5174" s="185"/>
    </row>
    <row r="5175">
      <c r="D5175" s="185"/>
      <c r="E5175" s="185" t="s">
        <v>470</v>
      </c>
      <c r="H5175" s="185"/>
    </row>
    <row r="5176">
      <c r="D5176" s="185"/>
      <c r="E5176" s="185" t="s">
        <v>470</v>
      </c>
      <c r="H5176" s="185"/>
    </row>
    <row r="5177">
      <c r="D5177" s="185"/>
      <c r="E5177" s="185" t="s">
        <v>470</v>
      </c>
      <c r="H5177" s="185"/>
    </row>
    <row r="5178">
      <c r="D5178" s="185"/>
      <c r="E5178" s="185" t="s">
        <v>470</v>
      </c>
      <c r="H5178" s="185"/>
    </row>
    <row r="5179">
      <c r="D5179" s="185"/>
      <c r="E5179" s="185" t="s">
        <v>470</v>
      </c>
      <c r="H5179" s="185"/>
    </row>
    <row r="5180">
      <c r="D5180" s="185"/>
      <c r="E5180" s="185" t="s">
        <v>470</v>
      </c>
      <c r="H5180" s="185"/>
    </row>
    <row r="5181">
      <c r="D5181" s="185"/>
      <c r="E5181" s="185" t="s">
        <v>470</v>
      </c>
      <c r="H5181" s="185"/>
    </row>
    <row r="5182">
      <c r="D5182" s="185"/>
      <c r="E5182" s="185" t="s">
        <v>470</v>
      </c>
      <c r="H5182" s="185"/>
    </row>
    <row r="5183">
      <c r="D5183" s="185"/>
      <c r="E5183" s="185" t="s">
        <v>470</v>
      </c>
      <c r="H5183" s="185"/>
    </row>
    <row r="5184">
      <c r="D5184" s="185"/>
      <c r="E5184" s="185" t="s">
        <v>470</v>
      </c>
      <c r="H5184" s="185"/>
    </row>
    <row r="5185">
      <c r="D5185" s="185"/>
      <c r="E5185" s="185" t="s">
        <v>470</v>
      </c>
      <c r="H5185" s="185"/>
    </row>
    <row r="5186">
      <c r="D5186" s="185"/>
      <c r="E5186" s="185" t="s">
        <v>470</v>
      </c>
      <c r="H5186" s="185"/>
    </row>
    <row r="5187">
      <c r="D5187" s="185"/>
      <c r="E5187" s="185" t="s">
        <v>470</v>
      </c>
      <c r="H5187" s="185"/>
    </row>
    <row r="5188">
      <c r="D5188" s="185"/>
      <c r="E5188" s="185" t="s">
        <v>470</v>
      </c>
      <c r="H5188" s="185"/>
    </row>
    <row r="5189">
      <c r="D5189" s="185"/>
      <c r="E5189" s="185" t="s">
        <v>470</v>
      </c>
      <c r="H5189" s="185"/>
    </row>
    <row r="5190">
      <c r="D5190" s="185"/>
      <c r="E5190" s="185" t="s">
        <v>470</v>
      </c>
      <c r="H5190" s="185"/>
    </row>
    <row r="5191">
      <c r="D5191" s="185"/>
      <c r="E5191" s="185" t="s">
        <v>470</v>
      </c>
      <c r="H5191" s="185"/>
    </row>
    <row r="5192">
      <c r="D5192" s="185"/>
      <c r="E5192" s="185" t="s">
        <v>470</v>
      </c>
      <c r="H5192" s="185"/>
    </row>
    <row r="5193">
      <c r="D5193" s="185"/>
      <c r="E5193" s="185" t="s">
        <v>470</v>
      </c>
      <c r="H5193" s="185"/>
    </row>
    <row r="5194">
      <c r="D5194" s="185"/>
      <c r="E5194" s="185" t="s">
        <v>470</v>
      </c>
      <c r="H5194" s="185"/>
    </row>
    <row r="5195">
      <c r="D5195" s="185"/>
      <c r="E5195" s="185" t="s">
        <v>470</v>
      </c>
      <c r="H5195" s="185"/>
    </row>
    <row r="5196">
      <c r="D5196" s="185"/>
      <c r="E5196" s="185" t="s">
        <v>470</v>
      </c>
      <c r="H5196" s="185"/>
    </row>
    <row r="5197">
      <c r="D5197" s="185"/>
      <c r="E5197" s="185" t="s">
        <v>470</v>
      </c>
      <c r="H5197" s="185"/>
    </row>
    <row r="5198">
      <c r="D5198" s="185"/>
      <c r="E5198" s="185" t="s">
        <v>470</v>
      </c>
      <c r="H5198" s="185"/>
    </row>
    <row r="5199">
      <c r="D5199" s="185"/>
      <c r="E5199" s="185" t="s">
        <v>470</v>
      </c>
      <c r="H5199" s="185"/>
    </row>
    <row r="5200">
      <c r="D5200" s="185"/>
      <c r="E5200" s="185" t="s">
        <v>470</v>
      </c>
      <c r="H5200" s="185"/>
    </row>
    <row r="5201">
      <c r="D5201" s="185"/>
      <c r="E5201" s="185" t="s">
        <v>470</v>
      </c>
      <c r="H5201" s="185"/>
    </row>
    <row r="5202">
      <c r="D5202" s="185"/>
      <c r="E5202" s="185" t="s">
        <v>470</v>
      </c>
      <c r="H5202" s="185"/>
    </row>
    <row r="5203">
      <c r="D5203" s="185"/>
      <c r="E5203" s="185" t="s">
        <v>470</v>
      </c>
      <c r="H5203" s="185"/>
    </row>
    <row r="5204">
      <c r="D5204" s="185"/>
      <c r="E5204" s="185" t="s">
        <v>470</v>
      </c>
      <c r="H5204" s="185"/>
    </row>
    <row r="5205">
      <c r="D5205" s="185"/>
      <c r="E5205" s="185" t="s">
        <v>470</v>
      </c>
      <c r="H5205" s="185"/>
    </row>
    <row r="5206">
      <c r="D5206" s="185"/>
      <c r="E5206" s="185" t="s">
        <v>470</v>
      </c>
      <c r="H5206" s="185"/>
    </row>
    <row r="5207">
      <c r="D5207" s="185"/>
      <c r="E5207" s="185" t="s">
        <v>470</v>
      </c>
      <c r="H5207" s="185"/>
    </row>
    <row r="5208">
      <c r="D5208" s="185"/>
      <c r="E5208" s="185" t="s">
        <v>470</v>
      </c>
      <c r="H5208" s="185"/>
    </row>
    <row r="5209">
      <c r="D5209" s="185"/>
      <c r="E5209" s="185" t="s">
        <v>470</v>
      </c>
      <c r="H5209" s="185"/>
    </row>
    <row r="5210">
      <c r="D5210" s="185"/>
      <c r="E5210" s="185" t="s">
        <v>470</v>
      </c>
      <c r="H5210" s="185"/>
    </row>
    <row r="5211">
      <c r="D5211" s="185"/>
      <c r="E5211" s="185" t="s">
        <v>470</v>
      </c>
      <c r="H5211" s="185"/>
    </row>
    <row r="5212">
      <c r="D5212" s="185"/>
      <c r="E5212" s="185" t="s">
        <v>470</v>
      </c>
      <c r="H5212" s="185"/>
    </row>
    <row r="5213">
      <c r="D5213" s="185"/>
      <c r="E5213" s="185" t="s">
        <v>470</v>
      </c>
      <c r="H5213" s="185"/>
    </row>
    <row r="5214">
      <c r="D5214" s="185"/>
      <c r="E5214" s="185" t="s">
        <v>470</v>
      </c>
      <c r="H5214" s="185"/>
    </row>
    <row r="5215">
      <c r="D5215" s="185"/>
      <c r="E5215" s="185" t="s">
        <v>470</v>
      </c>
      <c r="H5215" s="185"/>
    </row>
    <row r="5216">
      <c r="D5216" s="185"/>
      <c r="E5216" s="185" t="s">
        <v>470</v>
      </c>
      <c r="H5216" s="185"/>
    </row>
    <row r="5217">
      <c r="D5217" s="185"/>
      <c r="E5217" s="185" t="s">
        <v>470</v>
      </c>
      <c r="H5217" s="185"/>
    </row>
    <row r="5218">
      <c r="D5218" s="185"/>
      <c r="E5218" s="185" t="s">
        <v>470</v>
      </c>
      <c r="H5218" s="185"/>
    </row>
    <row r="5219">
      <c r="D5219" s="185"/>
      <c r="E5219" s="185" t="s">
        <v>470</v>
      </c>
      <c r="H5219" s="185"/>
    </row>
    <row r="5220">
      <c r="D5220" s="185"/>
      <c r="E5220" s="185" t="s">
        <v>470</v>
      </c>
      <c r="H5220" s="185"/>
    </row>
    <row r="5221">
      <c r="D5221" s="185"/>
      <c r="E5221" s="185" t="s">
        <v>470</v>
      </c>
      <c r="H5221" s="185"/>
    </row>
    <row r="5222">
      <c r="D5222" s="185"/>
      <c r="E5222" s="185" t="s">
        <v>470</v>
      </c>
      <c r="H5222" s="185"/>
    </row>
    <row r="5223">
      <c r="D5223" s="185"/>
      <c r="E5223" s="185" t="s">
        <v>470</v>
      </c>
      <c r="H5223" s="185"/>
    </row>
    <row r="5224">
      <c r="D5224" s="185"/>
      <c r="E5224" s="185" t="s">
        <v>470</v>
      </c>
      <c r="H5224" s="185"/>
    </row>
    <row r="5225">
      <c r="D5225" s="185"/>
      <c r="E5225" s="185" t="s">
        <v>470</v>
      </c>
      <c r="H5225" s="185"/>
    </row>
    <row r="5226">
      <c r="D5226" s="185"/>
      <c r="E5226" s="185" t="s">
        <v>470</v>
      </c>
      <c r="H5226" s="185"/>
    </row>
    <row r="5227">
      <c r="D5227" s="185"/>
      <c r="E5227" s="185" t="s">
        <v>470</v>
      </c>
      <c r="H5227" s="185"/>
    </row>
    <row r="5228">
      <c r="D5228" s="185"/>
      <c r="E5228" s="185" t="s">
        <v>470</v>
      </c>
      <c r="H5228" s="185"/>
    </row>
    <row r="5229">
      <c r="D5229" s="185"/>
      <c r="E5229" s="185" t="s">
        <v>470</v>
      </c>
      <c r="H5229" s="185"/>
    </row>
    <row r="5230">
      <c r="D5230" s="185"/>
      <c r="E5230" s="185" t="s">
        <v>470</v>
      </c>
      <c r="H5230" s="185"/>
    </row>
    <row r="5231">
      <c r="D5231" s="185"/>
      <c r="E5231" s="185" t="s">
        <v>470</v>
      </c>
      <c r="H5231" s="185"/>
    </row>
    <row r="5232">
      <c r="D5232" s="185"/>
      <c r="E5232" s="185" t="s">
        <v>470</v>
      </c>
      <c r="H5232" s="185"/>
    </row>
    <row r="5233">
      <c r="D5233" s="185"/>
      <c r="E5233" s="185" t="s">
        <v>470</v>
      </c>
      <c r="H5233" s="185"/>
    </row>
    <row r="5234">
      <c r="D5234" s="185"/>
      <c r="E5234" s="185" t="s">
        <v>470</v>
      </c>
      <c r="H5234" s="185"/>
    </row>
    <row r="5235">
      <c r="D5235" s="185"/>
      <c r="E5235" s="185" t="s">
        <v>470</v>
      </c>
      <c r="H5235" s="185"/>
    </row>
    <row r="5236">
      <c r="D5236" s="185"/>
      <c r="E5236" s="185" t="s">
        <v>470</v>
      </c>
      <c r="H5236" s="185"/>
    </row>
    <row r="5237">
      <c r="D5237" s="185"/>
      <c r="E5237" s="185" t="s">
        <v>470</v>
      </c>
      <c r="H5237" s="185"/>
    </row>
    <row r="5238">
      <c r="D5238" s="185"/>
      <c r="E5238" s="185" t="s">
        <v>470</v>
      </c>
      <c r="H5238" s="185"/>
    </row>
    <row r="5239">
      <c r="D5239" s="185"/>
      <c r="E5239" s="185" t="s">
        <v>470</v>
      </c>
      <c r="H5239" s="185"/>
    </row>
    <row r="5240">
      <c r="D5240" s="185"/>
      <c r="E5240" s="185" t="s">
        <v>470</v>
      </c>
      <c r="H5240" s="185"/>
    </row>
    <row r="5241">
      <c r="D5241" s="185"/>
      <c r="E5241" s="185" t="s">
        <v>470</v>
      </c>
      <c r="H5241" s="185"/>
    </row>
    <row r="5242">
      <c r="D5242" s="185"/>
      <c r="E5242" s="185" t="s">
        <v>470</v>
      </c>
      <c r="H5242" s="185"/>
    </row>
    <row r="5243">
      <c r="D5243" s="185"/>
      <c r="E5243" s="185" t="s">
        <v>470</v>
      </c>
      <c r="H5243" s="185"/>
    </row>
    <row r="5244">
      <c r="D5244" s="185"/>
      <c r="E5244" s="185" t="s">
        <v>470</v>
      </c>
      <c r="H5244" s="185"/>
    </row>
    <row r="5245">
      <c r="D5245" s="185"/>
      <c r="E5245" s="185" t="s">
        <v>470</v>
      </c>
      <c r="H5245" s="185"/>
    </row>
    <row r="5246">
      <c r="D5246" s="185"/>
      <c r="E5246" s="185" t="s">
        <v>470</v>
      </c>
      <c r="H5246" s="185"/>
    </row>
    <row r="5247">
      <c r="D5247" s="185"/>
      <c r="E5247" s="185" t="s">
        <v>470</v>
      </c>
      <c r="H5247" s="185"/>
    </row>
    <row r="5248">
      <c r="D5248" s="185"/>
      <c r="E5248" s="185" t="s">
        <v>470</v>
      </c>
      <c r="H5248" s="185"/>
    </row>
    <row r="5249">
      <c r="D5249" s="185"/>
      <c r="E5249" s="185" t="s">
        <v>470</v>
      </c>
      <c r="H5249" s="185"/>
    </row>
    <row r="5250">
      <c r="D5250" s="185"/>
      <c r="E5250" s="185" t="s">
        <v>470</v>
      </c>
      <c r="H5250" s="185"/>
    </row>
    <row r="5251">
      <c r="D5251" s="185"/>
      <c r="E5251" s="185" t="s">
        <v>470</v>
      </c>
      <c r="H5251" s="185"/>
    </row>
    <row r="5252">
      <c r="D5252" s="185"/>
      <c r="E5252" s="185" t="s">
        <v>470</v>
      </c>
      <c r="H5252" s="185"/>
    </row>
    <row r="5253">
      <c r="D5253" s="185"/>
      <c r="E5253" s="185" t="s">
        <v>470</v>
      </c>
      <c r="H5253" s="185"/>
    </row>
    <row r="5254">
      <c r="D5254" s="185"/>
      <c r="E5254" s="185" t="s">
        <v>470</v>
      </c>
      <c r="H5254" s="185"/>
    </row>
    <row r="5255">
      <c r="D5255" s="185"/>
      <c r="E5255" s="185" t="s">
        <v>470</v>
      </c>
      <c r="H5255" s="185"/>
    </row>
    <row r="5256">
      <c r="D5256" s="185"/>
      <c r="E5256" s="185" t="s">
        <v>470</v>
      </c>
      <c r="H5256" s="185"/>
    </row>
    <row r="5257">
      <c r="D5257" s="185"/>
      <c r="E5257" s="185" t="s">
        <v>470</v>
      </c>
      <c r="H5257" s="185"/>
    </row>
    <row r="5258">
      <c r="D5258" s="185"/>
      <c r="E5258" s="185" t="s">
        <v>470</v>
      </c>
      <c r="H5258" s="185"/>
    </row>
    <row r="5259">
      <c r="D5259" s="185"/>
      <c r="E5259" s="185" t="s">
        <v>470</v>
      </c>
      <c r="H5259" s="185"/>
    </row>
    <row r="5260">
      <c r="D5260" s="185"/>
      <c r="E5260" s="185" t="s">
        <v>470</v>
      </c>
      <c r="H5260" s="185"/>
    </row>
    <row r="5261">
      <c r="D5261" s="185"/>
      <c r="E5261" s="185" t="s">
        <v>470</v>
      </c>
      <c r="H5261" s="185"/>
    </row>
    <row r="5262">
      <c r="D5262" s="185"/>
      <c r="E5262" s="185" t="s">
        <v>470</v>
      </c>
      <c r="H5262" s="185"/>
    </row>
    <row r="5263">
      <c r="D5263" s="185"/>
      <c r="E5263" s="185" t="s">
        <v>470</v>
      </c>
      <c r="H5263" s="185"/>
    </row>
    <row r="5264">
      <c r="D5264" s="185"/>
      <c r="E5264" s="185" t="s">
        <v>470</v>
      </c>
      <c r="H5264" s="185"/>
    </row>
    <row r="5265">
      <c r="D5265" s="185"/>
      <c r="E5265" s="185" t="s">
        <v>470</v>
      </c>
      <c r="H5265" s="185"/>
    </row>
    <row r="5266">
      <c r="D5266" s="185"/>
      <c r="E5266" s="185" t="s">
        <v>470</v>
      </c>
      <c r="H5266" s="185"/>
    </row>
    <row r="5267">
      <c r="D5267" s="185"/>
      <c r="E5267" s="185" t="s">
        <v>470</v>
      </c>
      <c r="H5267" s="185"/>
    </row>
    <row r="5268">
      <c r="D5268" s="185"/>
      <c r="E5268" s="185" t="s">
        <v>470</v>
      </c>
      <c r="H5268" s="185"/>
    </row>
    <row r="5269">
      <c r="D5269" s="185"/>
      <c r="E5269" s="185" t="s">
        <v>470</v>
      </c>
      <c r="H5269" s="185"/>
    </row>
    <row r="5270">
      <c r="D5270" s="185"/>
      <c r="E5270" s="185" t="s">
        <v>470</v>
      </c>
      <c r="H5270" s="185"/>
    </row>
    <row r="5271">
      <c r="D5271" s="185"/>
      <c r="E5271" s="185" t="s">
        <v>470</v>
      </c>
      <c r="H5271" s="185"/>
    </row>
    <row r="5272">
      <c r="D5272" s="185"/>
      <c r="E5272" s="185" t="s">
        <v>470</v>
      </c>
      <c r="H5272" s="185"/>
    </row>
    <row r="5273">
      <c r="D5273" s="185"/>
      <c r="E5273" s="185" t="s">
        <v>470</v>
      </c>
      <c r="H5273" s="185"/>
    </row>
    <row r="5274">
      <c r="D5274" s="185"/>
      <c r="E5274" s="185" t="s">
        <v>470</v>
      </c>
      <c r="H5274" s="185"/>
    </row>
    <row r="5275">
      <c r="D5275" s="185"/>
      <c r="E5275" s="185" t="s">
        <v>470</v>
      </c>
      <c r="H5275" s="185"/>
    </row>
    <row r="5276">
      <c r="D5276" s="185"/>
      <c r="E5276" s="185" t="s">
        <v>470</v>
      </c>
      <c r="H5276" s="185"/>
    </row>
    <row r="5277">
      <c r="D5277" s="185"/>
      <c r="E5277" s="185" t="s">
        <v>470</v>
      </c>
      <c r="H5277" s="185"/>
    </row>
    <row r="5278">
      <c r="D5278" s="185"/>
      <c r="E5278" s="185" t="s">
        <v>470</v>
      </c>
      <c r="H5278" s="185"/>
    </row>
    <row r="5279">
      <c r="D5279" s="185"/>
      <c r="E5279" s="185" t="s">
        <v>470</v>
      </c>
      <c r="H5279" s="185"/>
    </row>
    <row r="5280">
      <c r="D5280" s="185"/>
      <c r="E5280" s="185" t="s">
        <v>470</v>
      </c>
      <c r="H5280" s="185"/>
    </row>
    <row r="5281">
      <c r="D5281" s="185"/>
      <c r="E5281" s="185" t="s">
        <v>470</v>
      </c>
      <c r="H5281" s="185"/>
    </row>
    <row r="5282">
      <c r="D5282" s="185"/>
      <c r="E5282" s="185" t="s">
        <v>470</v>
      </c>
      <c r="H5282" s="185"/>
    </row>
    <row r="5283">
      <c r="D5283" s="185"/>
      <c r="E5283" s="185" t="s">
        <v>470</v>
      </c>
      <c r="H5283" s="185"/>
    </row>
    <row r="5284">
      <c r="D5284" s="185"/>
      <c r="E5284" s="185" t="s">
        <v>470</v>
      </c>
      <c r="H5284" s="185"/>
    </row>
    <row r="5285">
      <c r="D5285" s="185"/>
      <c r="E5285" s="185" t="s">
        <v>470</v>
      </c>
      <c r="H5285" s="185"/>
    </row>
    <row r="5286">
      <c r="D5286" s="185"/>
      <c r="E5286" s="185" t="s">
        <v>470</v>
      </c>
      <c r="H5286" s="185"/>
    </row>
    <row r="5287">
      <c r="D5287" s="185"/>
      <c r="E5287" s="185" t="s">
        <v>470</v>
      </c>
      <c r="H5287" s="185"/>
    </row>
    <row r="5288">
      <c r="D5288" s="185"/>
      <c r="E5288" s="185" t="s">
        <v>470</v>
      </c>
      <c r="H5288" s="185"/>
    </row>
    <row r="5289">
      <c r="D5289" s="185"/>
      <c r="E5289" s="185" t="s">
        <v>470</v>
      </c>
      <c r="H5289" s="185"/>
    </row>
    <row r="5290">
      <c r="D5290" s="185"/>
      <c r="E5290" s="185" t="s">
        <v>470</v>
      </c>
      <c r="H5290" s="185"/>
    </row>
    <row r="5291">
      <c r="D5291" s="185"/>
      <c r="E5291" s="185" t="s">
        <v>470</v>
      </c>
      <c r="H5291" s="185"/>
    </row>
    <row r="5292">
      <c r="D5292" s="185"/>
      <c r="E5292" s="185" t="s">
        <v>470</v>
      </c>
      <c r="H5292" s="185"/>
    </row>
    <row r="5293">
      <c r="D5293" s="185"/>
      <c r="E5293" s="185" t="s">
        <v>470</v>
      </c>
      <c r="H5293" s="185"/>
    </row>
    <row r="5294">
      <c r="D5294" s="185"/>
      <c r="E5294" s="185" t="s">
        <v>470</v>
      </c>
      <c r="H5294" s="185"/>
    </row>
    <row r="5295">
      <c r="D5295" s="185"/>
      <c r="E5295" s="185" t="s">
        <v>470</v>
      </c>
      <c r="H5295" s="185"/>
    </row>
    <row r="5296">
      <c r="D5296" s="185"/>
      <c r="E5296" s="185" t="s">
        <v>470</v>
      </c>
      <c r="H5296" s="185"/>
    </row>
    <row r="5297">
      <c r="D5297" s="185"/>
      <c r="E5297" s="185" t="s">
        <v>470</v>
      </c>
      <c r="H5297" s="185"/>
    </row>
    <row r="5298">
      <c r="D5298" s="185"/>
      <c r="E5298" s="185" t="s">
        <v>470</v>
      </c>
      <c r="H5298" s="185"/>
    </row>
    <row r="5299">
      <c r="D5299" s="185"/>
      <c r="E5299" s="185" t="s">
        <v>470</v>
      </c>
      <c r="H5299" s="185"/>
    </row>
    <row r="5300">
      <c r="D5300" s="185"/>
      <c r="E5300" s="185" t="s">
        <v>470</v>
      </c>
      <c r="H5300" s="185"/>
    </row>
    <row r="5301">
      <c r="D5301" s="185"/>
      <c r="E5301" s="185" t="s">
        <v>470</v>
      </c>
      <c r="H5301" s="185"/>
    </row>
    <row r="5302">
      <c r="D5302" s="185"/>
      <c r="E5302" s="185" t="s">
        <v>470</v>
      </c>
      <c r="H5302" s="185"/>
    </row>
    <row r="5303">
      <c r="D5303" s="185"/>
      <c r="E5303" s="185" t="s">
        <v>470</v>
      </c>
      <c r="H5303" s="185"/>
    </row>
    <row r="5304">
      <c r="D5304" s="185"/>
      <c r="E5304" s="185" t="s">
        <v>470</v>
      </c>
      <c r="H5304" s="185"/>
    </row>
    <row r="5305">
      <c r="D5305" s="185"/>
      <c r="E5305" s="185" t="s">
        <v>470</v>
      </c>
      <c r="H5305" s="185"/>
    </row>
    <row r="5306">
      <c r="D5306" s="185"/>
      <c r="E5306" s="185" t="s">
        <v>470</v>
      </c>
      <c r="H5306" s="185"/>
    </row>
    <row r="5307">
      <c r="D5307" s="185"/>
      <c r="E5307" s="185" t="s">
        <v>470</v>
      </c>
      <c r="H5307" s="185"/>
    </row>
    <row r="5308">
      <c r="D5308" s="185"/>
      <c r="E5308" s="185" t="s">
        <v>470</v>
      </c>
      <c r="H5308" s="185"/>
    </row>
    <row r="5309">
      <c r="D5309" s="185"/>
      <c r="E5309" s="185" t="s">
        <v>470</v>
      </c>
      <c r="H5309" s="185"/>
    </row>
    <row r="5310">
      <c r="D5310" s="185"/>
      <c r="E5310" s="185" t="s">
        <v>470</v>
      </c>
      <c r="H5310" s="185"/>
    </row>
    <row r="5311">
      <c r="D5311" s="185"/>
      <c r="E5311" s="185" t="s">
        <v>470</v>
      </c>
      <c r="H5311" s="185"/>
    </row>
    <row r="5312">
      <c r="D5312" s="185"/>
      <c r="E5312" s="185" t="s">
        <v>470</v>
      </c>
      <c r="H5312" s="185"/>
    </row>
    <row r="5313">
      <c r="D5313" s="185"/>
      <c r="E5313" s="185" t="s">
        <v>470</v>
      </c>
      <c r="H5313" s="185"/>
    </row>
    <row r="5314">
      <c r="D5314" s="185"/>
      <c r="E5314" s="185" t="s">
        <v>470</v>
      </c>
      <c r="H5314" s="185"/>
    </row>
    <row r="5315">
      <c r="D5315" s="185"/>
      <c r="E5315" s="185" t="s">
        <v>470</v>
      </c>
      <c r="H5315" s="185"/>
    </row>
    <row r="5316">
      <c r="D5316" s="185"/>
      <c r="E5316" s="185" t="s">
        <v>470</v>
      </c>
      <c r="H5316" s="185"/>
    </row>
    <row r="5317">
      <c r="D5317" s="185"/>
      <c r="E5317" s="185" t="s">
        <v>470</v>
      </c>
      <c r="H5317" s="185"/>
    </row>
    <row r="5318">
      <c r="D5318" s="185"/>
      <c r="E5318" s="185" t="s">
        <v>470</v>
      </c>
      <c r="H5318" s="185"/>
    </row>
    <row r="5319">
      <c r="D5319" s="185"/>
      <c r="E5319" s="185" t="s">
        <v>470</v>
      </c>
      <c r="H5319" s="185"/>
    </row>
    <row r="5320">
      <c r="D5320" s="185"/>
      <c r="E5320" s="185" t="s">
        <v>470</v>
      </c>
      <c r="H5320" s="185"/>
    </row>
    <row r="5321">
      <c r="D5321" s="185"/>
      <c r="E5321" s="185" t="s">
        <v>470</v>
      </c>
      <c r="H5321" s="185"/>
    </row>
    <row r="5322">
      <c r="D5322" s="185"/>
      <c r="E5322" s="185" t="s">
        <v>470</v>
      </c>
      <c r="H5322" s="185"/>
    </row>
    <row r="5323">
      <c r="D5323" s="185"/>
      <c r="E5323" s="185" t="s">
        <v>470</v>
      </c>
      <c r="H5323" s="185"/>
    </row>
    <row r="5324">
      <c r="D5324" s="185"/>
      <c r="E5324" s="185" t="s">
        <v>470</v>
      </c>
      <c r="H5324" s="185"/>
    </row>
    <row r="5325">
      <c r="D5325" s="185"/>
      <c r="E5325" s="185" t="s">
        <v>470</v>
      </c>
      <c r="H5325" s="185"/>
    </row>
    <row r="5326">
      <c r="D5326" s="185"/>
      <c r="E5326" s="185" t="s">
        <v>470</v>
      </c>
      <c r="H5326" s="185"/>
    </row>
    <row r="5327">
      <c r="D5327" s="185"/>
      <c r="E5327" s="185" t="s">
        <v>470</v>
      </c>
      <c r="H5327" s="185"/>
    </row>
    <row r="5328">
      <c r="D5328" s="185"/>
      <c r="E5328" s="185" t="s">
        <v>470</v>
      </c>
      <c r="H5328" s="185"/>
    </row>
    <row r="5329">
      <c r="D5329" s="185"/>
      <c r="E5329" s="185" t="s">
        <v>470</v>
      </c>
      <c r="H5329" s="185"/>
    </row>
    <row r="5330">
      <c r="D5330" s="185"/>
      <c r="E5330" s="185" t="s">
        <v>470</v>
      </c>
      <c r="H5330" s="185"/>
    </row>
    <row r="5331">
      <c r="D5331" s="185"/>
      <c r="E5331" s="185" t="s">
        <v>470</v>
      </c>
      <c r="H5331" s="185"/>
    </row>
    <row r="5332">
      <c r="D5332" s="185"/>
      <c r="E5332" s="185" t="s">
        <v>470</v>
      </c>
      <c r="H5332" s="185"/>
    </row>
    <row r="5333">
      <c r="D5333" s="185"/>
      <c r="E5333" s="185" t="s">
        <v>470</v>
      </c>
      <c r="H5333" s="185"/>
    </row>
    <row r="5334">
      <c r="D5334" s="185"/>
      <c r="E5334" s="185" t="s">
        <v>470</v>
      </c>
      <c r="H5334" s="185"/>
    </row>
    <row r="5335">
      <c r="D5335" s="185"/>
      <c r="E5335" s="185" t="s">
        <v>470</v>
      </c>
      <c r="H5335" s="185"/>
    </row>
    <row r="5336">
      <c r="D5336" s="185"/>
      <c r="E5336" s="185" t="s">
        <v>470</v>
      </c>
      <c r="H5336" s="185"/>
    </row>
    <row r="5337">
      <c r="D5337" s="185"/>
      <c r="E5337" s="185" t="s">
        <v>470</v>
      </c>
      <c r="H5337" s="185"/>
    </row>
    <row r="5338">
      <c r="D5338" s="185"/>
      <c r="E5338" s="185" t="s">
        <v>470</v>
      </c>
      <c r="H5338" s="185"/>
    </row>
    <row r="5339">
      <c r="D5339" s="185"/>
      <c r="E5339" s="185" t="s">
        <v>470</v>
      </c>
      <c r="H5339" s="185"/>
    </row>
    <row r="5340">
      <c r="D5340" s="185"/>
      <c r="E5340" s="185" t="s">
        <v>470</v>
      </c>
      <c r="H5340" s="185"/>
    </row>
    <row r="5341">
      <c r="D5341" s="185"/>
      <c r="E5341" s="185" t="s">
        <v>470</v>
      </c>
      <c r="H5341" s="185"/>
    </row>
    <row r="5342">
      <c r="D5342" s="185"/>
      <c r="E5342" s="185" t="s">
        <v>470</v>
      </c>
      <c r="H5342" s="185"/>
    </row>
    <row r="5343">
      <c r="D5343" s="185"/>
      <c r="E5343" s="185" t="s">
        <v>470</v>
      </c>
      <c r="H5343" s="185"/>
    </row>
    <row r="5344">
      <c r="D5344" s="185"/>
      <c r="E5344" s="185" t="s">
        <v>470</v>
      </c>
      <c r="H5344" s="185"/>
    </row>
    <row r="5345">
      <c r="D5345" s="185"/>
      <c r="E5345" s="185" t="s">
        <v>470</v>
      </c>
      <c r="H5345" s="185"/>
    </row>
    <row r="5346">
      <c r="D5346" s="185"/>
      <c r="E5346" s="185" t="s">
        <v>470</v>
      </c>
      <c r="H5346" s="185"/>
    </row>
    <row r="5347">
      <c r="D5347" s="185"/>
      <c r="E5347" s="185" t="s">
        <v>470</v>
      </c>
      <c r="H5347" s="185"/>
    </row>
    <row r="5348">
      <c r="D5348" s="185"/>
      <c r="E5348" s="185" t="s">
        <v>470</v>
      </c>
      <c r="H5348" s="185"/>
    </row>
    <row r="5349">
      <c r="D5349" s="185"/>
      <c r="E5349" s="185" t="s">
        <v>470</v>
      </c>
      <c r="H5349" s="185"/>
    </row>
    <row r="5350">
      <c r="D5350" s="185"/>
      <c r="E5350" s="185" t="s">
        <v>470</v>
      </c>
      <c r="H5350" s="185"/>
    </row>
    <row r="5351">
      <c r="D5351" s="185"/>
      <c r="E5351" s="185" t="s">
        <v>470</v>
      </c>
      <c r="H5351" s="185"/>
    </row>
    <row r="5352">
      <c r="D5352" s="185"/>
      <c r="E5352" s="185" t="s">
        <v>470</v>
      </c>
      <c r="H5352" s="185"/>
    </row>
    <row r="5353">
      <c r="D5353" s="185"/>
      <c r="E5353" s="185" t="s">
        <v>470</v>
      </c>
      <c r="H5353" s="185"/>
    </row>
    <row r="5354">
      <c r="D5354" s="185"/>
      <c r="E5354" s="185" t="s">
        <v>470</v>
      </c>
      <c r="H5354" s="185"/>
    </row>
    <row r="5355">
      <c r="D5355" s="185"/>
      <c r="E5355" s="185" t="s">
        <v>470</v>
      </c>
      <c r="H5355" s="185"/>
    </row>
    <row r="5356">
      <c r="D5356" s="185"/>
      <c r="E5356" s="185" t="s">
        <v>470</v>
      </c>
      <c r="H5356" s="185"/>
    </row>
    <row r="5357">
      <c r="D5357" s="185"/>
      <c r="E5357" s="185" t="s">
        <v>470</v>
      </c>
      <c r="H5357" s="185"/>
    </row>
    <row r="5358">
      <c r="D5358" s="185"/>
      <c r="E5358" s="185" t="s">
        <v>470</v>
      </c>
      <c r="H5358" s="185"/>
    </row>
    <row r="5359">
      <c r="D5359" s="185"/>
      <c r="E5359" s="185" t="s">
        <v>470</v>
      </c>
      <c r="H5359" s="185"/>
    </row>
    <row r="5360">
      <c r="D5360" s="185"/>
      <c r="E5360" s="185" t="s">
        <v>470</v>
      </c>
      <c r="H5360" s="185"/>
    </row>
    <row r="5361">
      <c r="D5361" s="185"/>
      <c r="E5361" s="185" t="s">
        <v>470</v>
      </c>
      <c r="H5361" s="185"/>
    </row>
    <row r="5362">
      <c r="D5362" s="185"/>
      <c r="E5362" s="185" t="s">
        <v>470</v>
      </c>
      <c r="H5362" s="185"/>
    </row>
    <row r="5363">
      <c r="D5363" s="185"/>
      <c r="E5363" s="185" t="s">
        <v>470</v>
      </c>
      <c r="H5363" s="185"/>
    </row>
    <row r="5364">
      <c r="D5364" s="185"/>
      <c r="E5364" s="185" t="s">
        <v>470</v>
      </c>
      <c r="H5364" s="185"/>
    </row>
    <row r="5365">
      <c r="D5365" s="185"/>
      <c r="E5365" s="185" t="s">
        <v>470</v>
      </c>
      <c r="H5365" s="185"/>
    </row>
    <row r="5366">
      <c r="D5366" s="185"/>
      <c r="E5366" s="185" t="s">
        <v>470</v>
      </c>
      <c r="H5366" s="185"/>
    </row>
    <row r="5367">
      <c r="D5367" s="185"/>
      <c r="E5367" s="185" t="s">
        <v>470</v>
      </c>
      <c r="H5367" s="185"/>
    </row>
    <row r="5368">
      <c r="D5368" s="185"/>
      <c r="E5368" s="185" t="s">
        <v>470</v>
      </c>
      <c r="H5368" s="185"/>
    </row>
    <row r="5369">
      <c r="D5369" s="185"/>
      <c r="E5369" s="185" t="s">
        <v>470</v>
      </c>
      <c r="H5369" s="185"/>
    </row>
    <row r="5370">
      <c r="D5370" s="185"/>
      <c r="E5370" s="185" t="s">
        <v>470</v>
      </c>
      <c r="H5370" s="185"/>
    </row>
    <row r="5371">
      <c r="D5371" s="185"/>
      <c r="E5371" s="185" t="s">
        <v>470</v>
      </c>
      <c r="H5371" s="185"/>
    </row>
    <row r="5372">
      <c r="D5372" s="185"/>
      <c r="E5372" s="185" t="s">
        <v>470</v>
      </c>
      <c r="H5372" s="185"/>
    </row>
    <row r="5373">
      <c r="D5373" s="185"/>
      <c r="E5373" s="185" t="s">
        <v>470</v>
      </c>
      <c r="H5373" s="185"/>
    </row>
    <row r="5374">
      <c r="D5374" s="185"/>
      <c r="E5374" s="185" t="s">
        <v>470</v>
      </c>
      <c r="H5374" s="185"/>
    </row>
    <row r="5375">
      <c r="D5375" s="185"/>
      <c r="E5375" s="185" t="s">
        <v>470</v>
      </c>
      <c r="H5375" s="185"/>
    </row>
    <row r="5376">
      <c r="D5376" s="185"/>
      <c r="E5376" s="185" t="s">
        <v>470</v>
      </c>
      <c r="H5376" s="185"/>
    </row>
    <row r="5377">
      <c r="D5377" s="185"/>
      <c r="E5377" s="185" t="s">
        <v>470</v>
      </c>
      <c r="H5377" s="185"/>
    </row>
    <row r="5378">
      <c r="D5378" s="185"/>
      <c r="E5378" s="185" t="s">
        <v>470</v>
      </c>
      <c r="H5378" s="185"/>
    </row>
    <row r="5379">
      <c r="D5379" s="185"/>
      <c r="E5379" s="185" t="s">
        <v>470</v>
      </c>
      <c r="H5379" s="185"/>
    </row>
    <row r="5380">
      <c r="D5380" s="185"/>
      <c r="E5380" s="185" t="s">
        <v>470</v>
      </c>
      <c r="H5380" s="185"/>
    </row>
    <row r="5381">
      <c r="D5381" s="185"/>
      <c r="E5381" s="185" t="s">
        <v>470</v>
      </c>
      <c r="H5381" s="185"/>
    </row>
    <row r="5382">
      <c r="D5382" s="185"/>
      <c r="E5382" s="185" t="s">
        <v>470</v>
      </c>
      <c r="H5382" s="185"/>
    </row>
    <row r="5383">
      <c r="D5383" s="185"/>
      <c r="E5383" s="185" t="s">
        <v>470</v>
      </c>
      <c r="H5383" s="185"/>
    </row>
    <row r="5384">
      <c r="D5384" s="185"/>
      <c r="E5384" s="185" t="s">
        <v>470</v>
      </c>
      <c r="H5384" s="185"/>
    </row>
    <row r="5385">
      <c r="D5385" s="185"/>
      <c r="E5385" s="185" t="s">
        <v>470</v>
      </c>
      <c r="H5385" s="185"/>
    </row>
    <row r="5386">
      <c r="D5386" s="185"/>
      <c r="E5386" s="185" t="s">
        <v>470</v>
      </c>
      <c r="H5386" s="185"/>
    </row>
    <row r="5387">
      <c r="D5387" s="185"/>
      <c r="E5387" s="185" t="s">
        <v>470</v>
      </c>
      <c r="H5387" s="185"/>
    </row>
    <row r="5388">
      <c r="D5388" s="185"/>
      <c r="E5388" s="185" t="s">
        <v>470</v>
      </c>
      <c r="H5388" s="185"/>
    </row>
    <row r="5389">
      <c r="D5389" s="185"/>
      <c r="E5389" s="185" t="s">
        <v>470</v>
      </c>
      <c r="H5389" s="185"/>
    </row>
    <row r="5390">
      <c r="D5390" s="185"/>
      <c r="E5390" s="185" t="s">
        <v>470</v>
      </c>
      <c r="H5390" s="185"/>
    </row>
    <row r="5391">
      <c r="D5391" s="185"/>
      <c r="E5391" s="185" t="s">
        <v>470</v>
      </c>
      <c r="H5391" s="185"/>
    </row>
    <row r="5392">
      <c r="D5392" s="185"/>
      <c r="E5392" s="185" t="s">
        <v>470</v>
      </c>
      <c r="H5392" s="185"/>
    </row>
    <row r="5393">
      <c r="D5393" s="185"/>
      <c r="E5393" s="185" t="s">
        <v>470</v>
      </c>
      <c r="H5393" s="185"/>
    </row>
    <row r="5394">
      <c r="D5394" s="185"/>
      <c r="E5394" s="185" t="s">
        <v>470</v>
      </c>
      <c r="H5394" s="185"/>
    </row>
    <row r="5395">
      <c r="D5395" s="185"/>
      <c r="E5395" s="185" t="s">
        <v>470</v>
      </c>
      <c r="H5395" s="185"/>
    </row>
    <row r="5396">
      <c r="D5396" s="185"/>
      <c r="E5396" s="185" t="s">
        <v>470</v>
      </c>
      <c r="H5396" s="185"/>
    </row>
    <row r="5397">
      <c r="D5397" s="185"/>
      <c r="E5397" s="185" t="s">
        <v>470</v>
      </c>
      <c r="H5397" s="185"/>
    </row>
    <row r="5398">
      <c r="D5398" s="185"/>
      <c r="E5398" s="185" t="s">
        <v>470</v>
      </c>
      <c r="H5398" s="185"/>
    </row>
    <row r="5399">
      <c r="D5399" s="185"/>
      <c r="E5399" s="185" t="s">
        <v>470</v>
      </c>
      <c r="H5399" s="185"/>
    </row>
    <row r="5400">
      <c r="D5400" s="185"/>
      <c r="E5400" s="185" t="s">
        <v>470</v>
      </c>
      <c r="H5400" s="185"/>
    </row>
    <row r="5401">
      <c r="D5401" s="185"/>
      <c r="E5401" s="185" t="s">
        <v>470</v>
      </c>
      <c r="H5401" s="185"/>
    </row>
    <row r="5402">
      <c r="D5402" s="185"/>
      <c r="E5402" s="185" t="s">
        <v>470</v>
      </c>
      <c r="H5402" s="185"/>
    </row>
    <row r="5403">
      <c r="D5403" s="185"/>
      <c r="E5403" s="185" t="s">
        <v>470</v>
      </c>
      <c r="H5403" s="185"/>
    </row>
    <row r="5404">
      <c r="D5404" s="185"/>
      <c r="E5404" s="185" t="s">
        <v>470</v>
      </c>
      <c r="H5404" s="185"/>
    </row>
    <row r="5405">
      <c r="D5405" s="185"/>
      <c r="E5405" s="185" t="s">
        <v>470</v>
      </c>
      <c r="H5405" s="185"/>
    </row>
    <row r="5406">
      <c r="D5406" s="185"/>
      <c r="E5406" s="185" t="s">
        <v>470</v>
      </c>
      <c r="H5406" s="185"/>
    </row>
    <row r="5407">
      <c r="D5407" s="185"/>
      <c r="E5407" s="185" t="s">
        <v>470</v>
      </c>
      <c r="H5407" s="185"/>
    </row>
    <row r="5408">
      <c r="D5408" s="185"/>
      <c r="E5408" s="185" t="s">
        <v>470</v>
      </c>
      <c r="H5408" s="185"/>
    </row>
    <row r="5409">
      <c r="D5409" s="185"/>
      <c r="E5409" s="185" t="s">
        <v>470</v>
      </c>
      <c r="H5409" s="185"/>
    </row>
    <row r="5410">
      <c r="D5410" s="185"/>
      <c r="E5410" s="185" t="s">
        <v>470</v>
      </c>
      <c r="H5410" s="185"/>
    </row>
    <row r="5411">
      <c r="D5411" s="185"/>
      <c r="E5411" s="185" t="s">
        <v>470</v>
      </c>
      <c r="H5411" s="185"/>
    </row>
    <row r="5412">
      <c r="D5412" s="185"/>
      <c r="E5412" s="185" t="s">
        <v>470</v>
      </c>
      <c r="H5412" s="185"/>
    </row>
    <row r="5413">
      <c r="D5413" s="185"/>
      <c r="E5413" s="185" t="s">
        <v>470</v>
      </c>
      <c r="H5413" s="185"/>
    </row>
    <row r="5414">
      <c r="D5414" s="185"/>
      <c r="E5414" s="185" t="s">
        <v>470</v>
      </c>
      <c r="H5414" s="185"/>
    </row>
    <row r="5415">
      <c r="D5415" s="185"/>
      <c r="E5415" s="185" t="s">
        <v>470</v>
      </c>
      <c r="H5415" s="185"/>
    </row>
    <row r="5416">
      <c r="D5416" s="185"/>
      <c r="E5416" s="185" t="s">
        <v>470</v>
      </c>
      <c r="H5416" s="185"/>
    </row>
    <row r="5417">
      <c r="D5417" s="185"/>
      <c r="E5417" s="185" t="s">
        <v>470</v>
      </c>
      <c r="H5417" s="185"/>
    </row>
    <row r="5418">
      <c r="D5418" s="185"/>
      <c r="E5418" s="185" t="s">
        <v>470</v>
      </c>
      <c r="H5418" s="185"/>
    </row>
    <row r="5419">
      <c r="D5419" s="185"/>
      <c r="E5419" s="185" t="s">
        <v>470</v>
      </c>
      <c r="H5419" s="185"/>
    </row>
    <row r="5420">
      <c r="D5420" s="185"/>
      <c r="E5420" s="185" t="s">
        <v>470</v>
      </c>
      <c r="H5420" s="185"/>
    </row>
    <row r="5421">
      <c r="D5421" s="185"/>
      <c r="E5421" s="185" t="s">
        <v>470</v>
      </c>
      <c r="H5421" s="185"/>
    </row>
    <row r="5422">
      <c r="D5422" s="185"/>
      <c r="E5422" s="185" t="s">
        <v>470</v>
      </c>
      <c r="H5422" s="185"/>
    </row>
    <row r="5423">
      <c r="D5423" s="185"/>
      <c r="E5423" s="185" t="s">
        <v>470</v>
      </c>
      <c r="H5423" s="185"/>
    </row>
    <row r="5424">
      <c r="D5424" s="185"/>
      <c r="E5424" s="185" t="s">
        <v>470</v>
      </c>
      <c r="H5424" s="185"/>
    </row>
    <row r="5425">
      <c r="D5425" s="185"/>
      <c r="E5425" s="185" t="s">
        <v>470</v>
      </c>
      <c r="H5425" s="185"/>
    </row>
    <row r="5426">
      <c r="D5426" s="185"/>
      <c r="E5426" s="185" t="s">
        <v>470</v>
      </c>
      <c r="H5426" s="185"/>
    </row>
    <row r="5427">
      <c r="D5427" s="185"/>
      <c r="E5427" s="185" t="s">
        <v>470</v>
      </c>
      <c r="H5427" s="185"/>
    </row>
    <row r="5428">
      <c r="D5428" s="185"/>
      <c r="E5428" s="185" t="s">
        <v>470</v>
      </c>
      <c r="H5428" s="185"/>
    </row>
    <row r="5429">
      <c r="D5429" s="185"/>
      <c r="E5429" s="185" t="s">
        <v>470</v>
      </c>
      <c r="H5429" s="185"/>
    </row>
    <row r="5430">
      <c r="D5430" s="185"/>
      <c r="E5430" s="185" t="s">
        <v>470</v>
      </c>
      <c r="H5430" s="185"/>
    </row>
    <row r="5431">
      <c r="D5431" s="185"/>
      <c r="E5431" s="185" t="s">
        <v>470</v>
      </c>
      <c r="H5431" s="185"/>
    </row>
    <row r="5432">
      <c r="D5432" s="185"/>
      <c r="E5432" s="185" t="s">
        <v>470</v>
      </c>
      <c r="H5432" s="185"/>
    </row>
    <row r="5433">
      <c r="D5433" s="185"/>
      <c r="E5433" s="185" t="s">
        <v>470</v>
      </c>
      <c r="H5433" s="185"/>
    </row>
    <row r="5434">
      <c r="D5434" s="185"/>
      <c r="E5434" s="185" t="s">
        <v>470</v>
      </c>
      <c r="H5434" s="185"/>
    </row>
    <row r="5435">
      <c r="D5435" s="185"/>
      <c r="E5435" s="185" t="s">
        <v>470</v>
      </c>
      <c r="H5435" s="185"/>
    </row>
    <row r="5436">
      <c r="D5436" s="185"/>
      <c r="E5436" s="185" t="s">
        <v>470</v>
      </c>
      <c r="H5436" s="185"/>
    </row>
    <row r="5437">
      <c r="D5437" s="185"/>
      <c r="E5437" s="185" t="s">
        <v>470</v>
      </c>
      <c r="H5437" s="185"/>
    </row>
    <row r="5438">
      <c r="D5438" s="185"/>
      <c r="E5438" s="185" t="s">
        <v>470</v>
      </c>
      <c r="H5438" s="185"/>
    </row>
    <row r="5439">
      <c r="D5439" s="185"/>
      <c r="E5439" s="185" t="s">
        <v>470</v>
      </c>
      <c r="H5439" s="185"/>
    </row>
    <row r="5440">
      <c r="D5440" s="185"/>
      <c r="E5440" s="185" t="s">
        <v>470</v>
      </c>
      <c r="H5440" s="185"/>
    </row>
    <row r="5441">
      <c r="D5441" s="185"/>
      <c r="E5441" s="185" t="s">
        <v>470</v>
      </c>
      <c r="H5441" s="185"/>
    </row>
    <row r="5442">
      <c r="D5442" s="185"/>
      <c r="E5442" s="185" t="s">
        <v>470</v>
      </c>
      <c r="H5442" s="185"/>
    </row>
    <row r="5443">
      <c r="D5443" s="185"/>
      <c r="E5443" s="185" t="s">
        <v>470</v>
      </c>
      <c r="H5443" s="185"/>
    </row>
    <row r="5444">
      <c r="D5444" s="185"/>
      <c r="E5444" s="185" t="s">
        <v>470</v>
      </c>
      <c r="H5444" s="185"/>
    </row>
    <row r="5445">
      <c r="D5445" s="185"/>
      <c r="E5445" s="185" t="s">
        <v>470</v>
      </c>
      <c r="H5445" s="185"/>
    </row>
    <row r="5446">
      <c r="D5446" s="185"/>
      <c r="E5446" s="185" t="s">
        <v>470</v>
      </c>
      <c r="H5446" s="185"/>
    </row>
    <row r="5447">
      <c r="D5447" s="185"/>
      <c r="E5447" s="185" t="s">
        <v>470</v>
      </c>
      <c r="H5447" s="185"/>
    </row>
    <row r="5448">
      <c r="D5448" s="185"/>
      <c r="E5448" s="185" t="s">
        <v>470</v>
      </c>
      <c r="H5448" s="185"/>
    </row>
    <row r="5449">
      <c r="D5449" s="185"/>
      <c r="E5449" s="185" t="s">
        <v>470</v>
      </c>
      <c r="H5449" s="185"/>
    </row>
    <row r="5450">
      <c r="D5450" s="185"/>
      <c r="E5450" s="185" t="s">
        <v>470</v>
      </c>
      <c r="H5450" s="185"/>
    </row>
    <row r="5451">
      <c r="D5451" s="185"/>
      <c r="E5451" s="185" t="s">
        <v>470</v>
      </c>
      <c r="H5451" s="185"/>
    </row>
    <row r="5452">
      <c r="D5452" s="185"/>
      <c r="E5452" s="185" t="s">
        <v>470</v>
      </c>
      <c r="H5452" s="185"/>
    </row>
    <row r="5453">
      <c r="D5453" s="185"/>
      <c r="E5453" s="185" t="s">
        <v>470</v>
      </c>
      <c r="H5453" s="185"/>
    </row>
    <row r="5454">
      <c r="D5454" s="185"/>
      <c r="E5454" s="185" t="s">
        <v>470</v>
      </c>
      <c r="H5454" s="185"/>
    </row>
    <row r="5455">
      <c r="D5455" s="185"/>
      <c r="E5455" s="185" t="s">
        <v>470</v>
      </c>
      <c r="H5455" s="185"/>
    </row>
    <row r="5456">
      <c r="D5456" s="185"/>
      <c r="E5456" s="185" t="s">
        <v>470</v>
      </c>
      <c r="H5456" s="185"/>
    </row>
    <row r="5457">
      <c r="D5457" s="185"/>
      <c r="E5457" s="185" t="s">
        <v>470</v>
      </c>
      <c r="H5457" s="185"/>
    </row>
    <row r="5458">
      <c r="D5458" s="185"/>
      <c r="E5458" s="185" t="s">
        <v>470</v>
      </c>
      <c r="H5458" s="185"/>
    </row>
    <row r="5459">
      <c r="D5459" s="185"/>
      <c r="E5459" s="185" t="s">
        <v>470</v>
      </c>
      <c r="H5459" s="185"/>
    </row>
    <row r="5460">
      <c r="D5460" s="185"/>
      <c r="E5460" s="185" t="s">
        <v>470</v>
      </c>
      <c r="H5460" s="185"/>
    </row>
    <row r="5461">
      <c r="D5461" s="185"/>
      <c r="E5461" s="185" t="s">
        <v>470</v>
      </c>
      <c r="H5461" s="185"/>
    </row>
    <row r="5462">
      <c r="D5462" s="185"/>
      <c r="E5462" s="185" t="s">
        <v>470</v>
      </c>
      <c r="H5462" s="185"/>
    </row>
    <row r="5463">
      <c r="D5463" s="185"/>
      <c r="E5463" s="185" t="s">
        <v>470</v>
      </c>
      <c r="H5463" s="185"/>
    </row>
    <row r="5464">
      <c r="D5464" s="185"/>
      <c r="E5464" s="185" t="s">
        <v>470</v>
      </c>
      <c r="H5464" s="185"/>
    </row>
    <row r="5465">
      <c r="D5465" s="185"/>
      <c r="E5465" s="185" t="s">
        <v>470</v>
      </c>
      <c r="H5465" s="185"/>
    </row>
    <row r="5466">
      <c r="D5466" s="185"/>
      <c r="E5466" s="185" t="s">
        <v>470</v>
      </c>
      <c r="H5466" s="185"/>
    </row>
    <row r="5467">
      <c r="D5467" s="185"/>
      <c r="E5467" s="185" t="s">
        <v>470</v>
      </c>
      <c r="H5467" s="185"/>
    </row>
    <row r="5468">
      <c r="D5468" s="185"/>
      <c r="E5468" s="185" t="s">
        <v>470</v>
      </c>
      <c r="H5468" s="185"/>
    </row>
    <row r="5469">
      <c r="D5469" s="185"/>
      <c r="E5469" s="185" t="s">
        <v>470</v>
      </c>
      <c r="H5469" s="185"/>
    </row>
    <row r="5470">
      <c r="D5470" s="185"/>
      <c r="E5470" s="185" t="s">
        <v>470</v>
      </c>
      <c r="H5470" s="185"/>
    </row>
    <row r="5471">
      <c r="D5471" s="185"/>
      <c r="E5471" s="185" t="s">
        <v>470</v>
      </c>
      <c r="H5471" s="185"/>
    </row>
    <row r="5472">
      <c r="D5472" s="185"/>
      <c r="E5472" s="185" t="s">
        <v>470</v>
      </c>
      <c r="H5472" s="185"/>
    </row>
    <row r="5473">
      <c r="D5473" s="185"/>
      <c r="E5473" s="185" t="s">
        <v>470</v>
      </c>
      <c r="H5473" s="185"/>
    </row>
    <row r="5474">
      <c r="D5474" s="185"/>
      <c r="E5474" s="185" t="s">
        <v>470</v>
      </c>
      <c r="H5474" s="185"/>
    </row>
    <row r="5475">
      <c r="D5475" s="185"/>
      <c r="E5475" s="185" t="s">
        <v>470</v>
      </c>
      <c r="H5475" s="185"/>
    </row>
    <row r="5476">
      <c r="D5476" s="185"/>
      <c r="E5476" s="185" t="s">
        <v>470</v>
      </c>
      <c r="H5476" s="185"/>
    </row>
    <row r="5477">
      <c r="D5477" s="185"/>
      <c r="E5477" s="185" t="s">
        <v>470</v>
      </c>
      <c r="H5477" s="185"/>
    </row>
    <row r="5478">
      <c r="D5478" s="185"/>
      <c r="E5478" s="185" t="s">
        <v>470</v>
      </c>
      <c r="H5478" s="185"/>
    </row>
    <row r="5479">
      <c r="D5479" s="185"/>
      <c r="E5479" s="185" t="s">
        <v>470</v>
      </c>
      <c r="H5479" s="185"/>
    </row>
    <row r="5480">
      <c r="D5480" s="185"/>
      <c r="E5480" s="185" t="s">
        <v>470</v>
      </c>
      <c r="H5480" s="185"/>
    </row>
    <row r="5481">
      <c r="D5481" s="185"/>
      <c r="E5481" s="185" t="s">
        <v>470</v>
      </c>
      <c r="H5481" s="185"/>
    </row>
    <row r="5482">
      <c r="D5482" s="185"/>
      <c r="E5482" s="185" t="s">
        <v>470</v>
      </c>
      <c r="H5482" s="185"/>
    </row>
    <row r="5483">
      <c r="D5483" s="185"/>
      <c r="E5483" s="185" t="s">
        <v>470</v>
      </c>
      <c r="H5483" s="185"/>
    </row>
    <row r="5484">
      <c r="D5484" s="185"/>
      <c r="E5484" s="185" t="s">
        <v>470</v>
      </c>
      <c r="H5484" s="185"/>
    </row>
    <row r="5485">
      <c r="D5485" s="185"/>
      <c r="E5485" s="185" t="s">
        <v>470</v>
      </c>
      <c r="H5485" s="185"/>
    </row>
    <row r="5486">
      <c r="D5486" s="185"/>
      <c r="E5486" s="185" t="s">
        <v>470</v>
      </c>
      <c r="H5486" s="185"/>
    </row>
    <row r="5487">
      <c r="D5487" s="185"/>
      <c r="E5487" s="185" t="s">
        <v>470</v>
      </c>
      <c r="H5487" s="185"/>
    </row>
    <row r="5488">
      <c r="D5488" s="185"/>
      <c r="E5488" s="185" t="s">
        <v>470</v>
      </c>
      <c r="H5488" s="185"/>
    </row>
    <row r="5489">
      <c r="D5489" s="185"/>
      <c r="E5489" s="185" t="s">
        <v>470</v>
      </c>
      <c r="H5489" s="185"/>
    </row>
    <row r="5490">
      <c r="D5490" s="185"/>
      <c r="E5490" s="185" t="s">
        <v>470</v>
      </c>
      <c r="H5490" s="185"/>
    </row>
    <row r="5491">
      <c r="D5491" s="185"/>
      <c r="E5491" s="185" t="s">
        <v>470</v>
      </c>
      <c r="H5491" s="185"/>
    </row>
    <row r="5492">
      <c r="D5492" s="185"/>
      <c r="E5492" s="185" t="s">
        <v>470</v>
      </c>
      <c r="H5492" s="185"/>
    </row>
    <row r="5493">
      <c r="D5493" s="185"/>
      <c r="E5493" s="185" t="s">
        <v>470</v>
      </c>
      <c r="H5493" s="185"/>
    </row>
    <row r="5494">
      <c r="D5494" s="185"/>
      <c r="E5494" s="185" t="s">
        <v>470</v>
      </c>
      <c r="H5494" s="185"/>
    </row>
    <row r="5495">
      <c r="D5495" s="185"/>
      <c r="E5495" s="185" t="s">
        <v>470</v>
      </c>
      <c r="H5495" s="185"/>
    </row>
    <row r="5496">
      <c r="D5496" s="185"/>
      <c r="E5496" s="185" t="s">
        <v>470</v>
      </c>
      <c r="H5496" s="185"/>
    </row>
    <row r="5497">
      <c r="D5497" s="185"/>
      <c r="E5497" s="185" t="s">
        <v>470</v>
      </c>
      <c r="H5497" s="185"/>
    </row>
    <row r="5498">
      <c r="D5498" s="185"/>
      <c r="E5498" s="185" t="s">
        <v>470</v>
      </c>
      <c r="H5498" s="185"/>
    </row>
    <row r="5499">
      <c r="D5499" s="185"/>
      <c r="E5499" s="185" t="s">
        <v>470</v>
      </c>
      <c r="H5499" s="185"/>
    </row>
    <row r="5500">
      <c r="D5500" s="185"/>
      <c r="E5500" s="185" t="s">
        <v>470</v>
      </c>
      <c r="H5500" s="185"/>
    </row>
    <row r="5501">
      <c r="D5501" s="185"/>
      <c r="E5501" s="185" t="s">
        <v>470</v>
      </c>
      <c r="H5501" s="185"/>
    </row>
    <row r="5502">
      <c r="D5502" s="185"/>
      <c r="E5502" s="185" t="s">
        <v>470</v>
      </c>
      <c r="H5502" s="185"/>
    </row>
    <row r="5503">
      <c r="D5503" s="185"/>
      <c r="E5503" s="185" t="s">
        <v>470</v>
      </c>
      <c r="H5503" s="185"/>
    </row>
    <row r="5504">
      <c r="D5504" s="185"/>
      <c r="E5504" s="185" t="s">
        <v>470</v>
      </c>
      <c r="H5504" s="185"/>
    </row>
    <row r="5505">
      <c r="D5505" s="185"/>
      <c r="E5505" s="185" t="s">
        <v>470</v>
      </c>
      <c r="H5505" s="185"/>
    </row>
    <row r="5506">
      <c r="D5506" s="185"/>
      <c r="E5506" s="185" t="s">
        <v>470</v>
      </c>
      <c r="H5506" s="185"/>
    </row>
    <row r="5507">
      <c r="D5507" s="185"/>
      <c r="E5507" s="185" t="s">
        <v>470</v>
      </c>
      <c r="H5507" s="185"/>
    </row>
    <row r="5508">
      <c r="D5508" s="185"/>
      <c r="E5508" s="185" t="s">
        <v>470</v>
      </c>
      <c r="H5508" s="185"/>
    </row>
    <row r="5509">
      <c r="D5509" s="185"/>
      <c r="E5509" s="185" t="s">
        <v>470</v>
      </c>
      <c r="H5509" s="185"/>
    </row>
    <row r="5510">
      <c r="D5510" s="185"/>
      <c r="E5510" s="185" t="s">
        <v>470</v>
      </c>
      <c r="H5510" s="185"/>
    </row>
    <row r="5511">
      <c r="D5511" s="185"/>
      <c r="E5511" s="185" t="s">
        <v>470</v>
      </c>
      <c r="H5511" s="185"/>
    </row>
    <row r="5512">
      <c r="D5512" s="185"/>
      <c r="E5512" s="185" t="s">
        <v>470</v>
      </c>
      <c r="H5512" s="185"/>
    </row>
    <row r="5513">
      <c r="D5513" s="185"/>
      <c r="E5513" s="185" t="s">
        <v>470</v>
      </c>
      <c r="H5513" s="185"/>
    </row>
    <row r="5514">
      <c r="D5514" s="185"/>
      <c r="E5514" s="185" t="s">
        <v>470</v>
      </c>
      <c r="H5514" s="185"/>
    </row>
    <row r="5515">
      <c r="D5515" s="185"/>
      <c r="E5515" s="185" t="s">
        <v>470</v>
      </c>
      <c r="H5515" s="185"/>
    </row>
    <row r="5516">
      <c r="D5516" s="185"/>
      <c r="E5516" s="185" t="s">
        <v>470</v>
      </c>
      <c r="H5516" s="185"/>
    </row>
    <row r="5517">
      <c r="D5517" s="185"/>
      <c r="E5517" s="185" t="s">
        <v>470</v>
      </c>
      <c r="H5517" s="185"/>
    </row>
    <row r="5518">
      <c r="D5518" s="185"/>
      <c r="E5518" s="185" t="s">
        <v>470</v>
      </c>
      <c r="H5518" s="185"/>
    </row>
    <row r="5519">
      <c r="D5519" s="185"/>
      <c r="E5519" s="185" t="s">
        <v>470</v>
      </c>
      <c r="H5519" s="185"/>
    </row>
    <row r="5520">
      <c r="D5520" s="185"/>
      <c r="E5520" s="185" t="s">
        <v>470</v>
      </c>
      <c r="H5520" s="185"/>
    </row>
    <row r="5521">
      <c r="D5521" s="185"/>
      <c r="E5521" s="185" t="s">
        <v>470</v>
      </c>
      <c r="H5521" s="185"/>
    </row>
    <row r="5522">
      <c r="D5522" s="185"/>
      <c r="E5522" s="185" t="s">
        <v>470</v>
      </c>
      <c r="H5522" s="185"/>
    </row>
    <row r="5523">
      <c r="D5523" s="185"/>
      <c r="E5523" s="185" t="s">
        <v>470</v>
      </c>
      <c r="H5523" s="185"/>
    </row>
    <row r="5524">
      <c r="D5524" s="185"/>
      <c r="E5524" s="185" t="s">
        <v>470</v>
      </c>
      <c r="H5524" s="185"/>
    </row>
    <row r="5525">
      <c r="D5525" s="185"/>
      <c r="E5525" s="185" t="s">
        <v>470</v>
      </c>
      <c r="H5525" s="185"/>
    </row>
    <row r="5526">
      <c r="D5526" s="185"/>
      <c r="E5526" s="185" t="s">
        <v>470</v>
      </c>
      <c r="H5526" s="185"/>
    </row>
    <row r="5527">
      <c r="D5527" s="185"/>
      <c r="E5527" s="185" t="s">
        <v>470</v>
      </c>
      <c r="H5527" s="185"/>
    </row>
    <row r="5528">
      <c r="D5528" s="185"/>
      <c r="E5528" s="185" t="s">
        <v>470</v>
      </c>
      <c r="H5528" s="185"/>
    </row>
    <row r="5529">
      <c r="D5529" s="185"/>
      <c r="E5529" s="185" t="s">
        <v>470</v>
      </c>
      <c r="H5529" s="185"/>
    </row>
    <row r="5530">
      <c r="D5530" s="185"/>
      <c r="E5530" s="185" t="s">
        <v>470</v>
      </c>
      <c r="H5530" s="185"/>
    </row>
    <row r="5531">
      <c r="D5531" s="185"/>
      <c r="E5531" s="185" t="s">
        <v>470</v>
      </c>
      <c r="H5531" s="185"/>
    </row>
    <row r="5532">
      <c r="D5532" s="185"/>
      <c r="E5532" s="185" t="s">
        <v>470</v>
      </c>
      <c r="H5532" s="185"/>
    </row>
    <row r="5533">
      <c r="D5533" s="185"/>
      <c r="E5533" s="185" t="s">
        <v>470</v>
      </c>
      <c r="H5533" s="185"/>
    </row>
    <row r="5534">
      <c r="D5534" s="185"/>
      <c r="E5534" s="185" t="s">
        <v>470</v>
      </c>
      <c r="H5534" s="185"/>
    </row>
    <row r="5535">
      <c r="D5535" s="185"/>
      <c r="E5535" s="185" t="s">
        <v>470</v>
      </c>
      <c r="H5535" s="185"/>
    </row>
    <row r="5536">
      <c r="D5536" s="185"/>
      <c r="E5536" s="185" t="s">
        <v>470</v>
      </c>
      <c r="H5536" s="185"/>
    </row>
    <row r="5537">
      <c r="D5537" s="185"/>
      <c r="E5537" s="185" t="s">
        <v>470</v>
      </c>
      <c r="H5537" s="185"/>
    </row>
    <row r="5538">
      <c r="D5538" s="185"/>
      <c r="E5538" s="185" t="s">
        <v>470</v>
      </c>
      <c r="H5538" s="185"/>
    </row>
    <row r="5539">
      <c r="D5539" s="185"/>
      <c r="E5539" s="185" t="s">
        <v>470</v>
      </c>
      <c r="H5539" s="185"/>
    </row>
    <row r="5540">
      <c r="D5540" s="185"/>
      <c r="E5540" s="185" t="s">
        <v>470</v>
      </c>
      <c r="H5540" s="185"/>
    </row>
    <row r="5541">
      <c r="D5541" s="185"/>
      <c r="E5541" s="185" t="s">
        <v>470</v>
      </c>
      <c r="H5541" s="185"/>
    </row>
    <row r="5542">
      <c r="D5542" s="185"/>
      <c r="E5542" s="185" t="s">
        <v>470</v>
      </c>
      <c r="H5542" s="185"/>
    </row>
    <row r="5543">
      <c r="D5543" s="185"/>
      <c r="E5543" s="185" t="s">
        <v>470</v>
      </c>
      <c r="H5543" s="185"/>
    </row>
    <row r="5544">
      <c r="D5544" s="185"/>
      <c r="E5544" s="185" t="s">
        <v>470</v>
      </c>
      <c r="H5544" s="185"/>
    </row>
    <row r="5545">
      <c r="D5545" s="185"/>
      <c r="E5545" s="185" t="s">
        <v>470</v>
      </c>
      <c r="H5545" s="185"/>
    </row>
    <row r="5546">
      <c r="D5546" s="185"/>
      <c r="E5546" s="185" t="s">
        <v>470</v>
      </c>
      <c r="H5546" s="185"/>
    </row>
    <row r="5547">
      <c r="D5547" s="185"/>
      <c r="E5547" s="185" t="s">
        <v>470</v>
      </c>
      <c r="H5547" s="185"/>
    </row>
    <row r="5548">
      <c r="D5548" s="185"/>
      <c r="E5548" s="185" t="s">
        <v>470</v>
      </c>
      <c r="H5548" s="185"/>
    </row>
    <row r="5549">
      <c r="D5549" s="185"/>
      <c r="E5549" s="185" t="s">
        <v>470</v>
      </c>
      <c r="H5549" s="185"/>
    </row>
    <row r="5550">
      <c r="D5550" s="185"/>
      <c r="E5550" s="185" t="s">
        <v>470</v>
      </c>
      <c r="H5550" s="185"/>
    </row>
    <row r="5551">
      <c r="D5551" s="185"/>
      <c r="E5551" s="185" t="s">
        <v>470</v>
      </c>
      <c r="H5551" s="185"/>
    </row>
    <row r="5552">
      <c r="D5552" s="185"/>
      <c r="E5552" s="185" t="s">
        <v>470</v>
      </c>
      <c r="H5552" s="185"/>
    </row>
    <row r="5553">
      <c r="D5553" s="185"/>
      <c r="E5553" s="185" t="s">
        <v>470</v>
      </c>
      <c r="H5553" s="185"/>
    </row>
    <row r="5554">
      <c r="D5554" s="185"/>
      <c r="E5554" s="185" t="s">
        <v>470</v>
      </c>
      <c r="H5554" s="185"/>
    </row>
    <row r="5555">
      <c r="D5555" s="185"/>
      <c r="E5555" s="185" t="s">
        <v>470</v>
      </c>
      <c r="H5555" s="185"/>
    </row>
    <row r="5556">
      <c r="D5556" s="185"/>
      <c r="E5556" s="185" t="s">
        <v>470</v>
      </c>
      <c r="H5556" s="185"/>
    </row>
    <row r="5557">
      <c r="D5557" s="185"/>
      <c r="E5557" s="185" t="s">
        <v>470</v>
      </c>
      <c r="H5557" s="185"/>
    </row>
    <row r="5558">
      <c r="D5558" s="185"/>
      <c r="E5558" s="185" t="s">
        <v>470</v>
      </c>
      <c r="H5558" s="185"/>
    </row>
    <row r="5559">
      <c r="D5559" s="185"/>
      <c r="E5559" s="185" t="s">
        <v>470</v>
      </c>
      <c r="H5559" s="185"/>
    </row>
    <row r="5560">
      <c r="D5560" s="185"/>
      <c r="E5560" s="185" t="s">
        <v>470</v>
      </c>
      <c r="H5560" s="185"/>
    </row>
    <row r="5561">
      <c r="D5561" s="185"/>
      <c r="E5561" s="185" t="s">
        <v>470</v>
      </c>
      <c r="H5561" s="185"/>
    </row>
    <row r="5562">
      <c r="D5562" s="185"/>
      <c r="E5562" s="185" t="s">
        <v>470</v>
      </c>
      <c r="H5562" s="185"/>
    </row>
    <row r="5563">
      <c r="D5563" s="185"/>
      <c r="E5563" s="185" t="s">
        <v>470</v>
      </c>
      <c r="H5563" s="185"/>
    </row>
    <row r="5564">
      <c r="D5564" s="185"/>
      <c r="E5564" s="185" t="s">
        <v>470</v>
      </c>
      <c r="H5564" s="185"/>
    </row>
    <row r="5565">
      <c r="D5565" s="185"/>
      <c r="E5565" s="185" t="s">
        <v>470</v>
      </c>
      <c r="H5565" s="185"/>
    </row>
    <row r="5566">
      <c r="D5566" s="185"/>
      <c r="E5566" s="185" t="s">
        <v>470</v>
      </c>
      <c r="H5566" s="185"/>
    </row>
    <row r="5567">
      <c r="D5567" s="185"/>
      <c r="E5567" s="185" t="s">
        <v>470</v>
      </c>
      <c r="H5567" s="185"/>
    </row>
    <row r="5568">
      <c r="D5568" s="185"/>
      <c r="E5568" s="185" t="s">
        <v>470</v>
      </c>
      <c r="H5568" s="185"/>
    </row>
    <row r="5569">
      <c r="D5569" s="185"/>
      <c r="E5569" s="185" t="s">
        <v>470</v>
      </c>
      <c r="H5569" s="185"/>
    </row>
    <row r="5570">
      <c r="D5570" s="185"/>
      <c r="E5570" s="185" t="s">
        <v>470</v>
      </c>
      <c r="H5570" s="185"/>
    </row>
    <row r="5571">
      <c r="D5571" s="185"/>
      <c r="E5571" s="185" t="s">
        <v>470</v>
      </c>
      <c r="H5571" s="185"/>
    </row>
    <row r="5572">
      <c r="D5572" s="185"/>
      <c r="E5572" s="185" t="s">
        <v>470</v>
      </c>
      <c r="H5572" s="185"/>
    </row>
    <row r="5573">
      <c r="D5573" s="185"/>
      <c r="E5573" s="185" t="s">
        <v>470</v>
      </c>
      <c r="H5573" s="185"/>
    </row>
    <row r="5574">
      <c r="D5574" s="185"/>
      <c r="E5574" s="185" t="s">
        <v>470</v>
      </c>
      <c r="H5574" s="185"/>
    </row>
    <row r="5575">
      <c r="D5575" s="185"/>
      <c r="E5575" s="185" t="s">
        <v>470</v>
      </c>
      <c r="H5575" s="185"/>
    </row>
    <row r="5576">
      <c r="D5576" s="185"/>
      <c r="E5576" s="185" t="s">
        <v>470</v>
      </c>
      <c r="H5576" s="185"/>
    </row>
    <row r="5577">
      <c r="D5577" s="185"/>
      <c r="E5577" s="185" t="s">
        <v>470</v>
      </c>
      <c r="H5577" s="185"/>
    </row>
    <row r="5578">
      <c r="D5578" s="185"/>
      <c r="E5578" s="185" t="s">
        <v>470</v>
      </c>
      <c r="H5578" s="185"/>
    </row>
    <row r="5579">
      <c r="D5579" s="185"/>
      <c r="E5579" s="185" t="s">
        <v>470</v>
      </c>
      <c r="H5579" s="185"/>
    </row>
    <row r="5580">
      <c r="D5580" s="185"/>
      <c r="E5580" s="185" t="s">
        <v>470</v>
      </c>
      <c r="H5580" s="185"/>
    </row>
    <row r="5581">
      <c r="D5581" s="185"/>
      <c r="E5581" s="185" t="s">
        <v>470</v>
      </c>
      <c r="H5581" s="185"/>
    </row>
    <row r="5582">
      <c r="D5582" s="185"/>
      <c r="E5582" s="185" t="s">
        <v>470</v>
      </c>
      <c r="H5582" s="185"/>
    </row>
    <row r="5583">
      <c r="D5583" s="185"/>
      <c r="E5583" s="185" t="s">
        <v>470</v>
      </c>
      <c r="H5583" s="185"/>
    </row>
    <row r="5584">
      <c r="D5584" s="185"/>
      <c r="E5584" s="185" t="s">
        <v>470</v>
      </c>
      <c r="H5584" s="185"/>
    </row>
    <row r="5585">
      <c r="D5585" s="185"/>
      <c r="E5585" s="185" t="s">
        <v>470</v>
      </c>
      <c r="H5585" s="185"/>
    </row>
    <row r="5586">
      <c r="D5586" s="185"/>
      <c r="E5586" s="185" t="s">
        <v>470</v>
      </c>
      <c r="H5586" s="185"/>
    </row>
    <row r="5587">
      <c r="D5587" s="185"/>
      <c r="E5587" s="185" t="s">
        <v>470</v>
      </c>
      <c r="H5587" s="185"/>
    </row>
    <row r="5588">
      <c r="D5588" s="185"/>
      <c r="E5588" s="185" t="s">
        <v>470</v>
      </c>
      <c r="H5588" s="185"/>
    </row>
    <row r="5589">
      <c r="D5589" s="185"/>
      <c r="E5589" s="185" t="s">
        <v>470</v>
      </c>
      <c r="H5589" s="185"/>
    </row>
    <row r="5590">
      <c r="D5590" s="185"/>
      <c r="E5590" s="185" t="s">
        <v>470</v>
      </c>
      <c r="H5590" s="185"/>
    </row>
    <row r="5591">
      <c r="D5591" s="185"/>
      <c r="E5591" s="185" t="s">
        <v>470</v>
      </c>
      <c r="H5591" s="185"/>
    </row>
    <row r="5592">
      <c r="D5592" s="185"/>
      <c r="E5592" s="185" t="s">
        <v>470</v>
      </c>
      <c r="H5592" s="185"/>
    </row>
    <row r="5593">
      <c r="D5593" s="185"/>
      <c r="E5593" s="185" t="s">
        <v>470</v>
      </c>
      <c r="H5593" s="185"/>
    </row>
    <row r="5594">
      <c r="D5594" s="185"/>
      <c r="E5594" s="185" t="s">
        <v>470</v>
      </c>
      <c r="H5594" s="185"/>
    </row>
    <row r="5595">
      <c r="D5595" s="185"/>
      <c r="E5595" s="185" t="s">
        <v>470</v>
      </c>
      <c r="H5595" s="185"/>
    </row>
    <row r="5596">
      <c r="D5596" s="185"/>
      <c r="E5596" s="185" t="s">
        <v>470</v>
      </c>
      <c r="H5596" s="185"/>
    </row>
    <row r="5597">
      <c r="D5597" s="185"/>
      <c r="E5597" s="185" t="s">
        <v>470</v>
      </c>
      <c r="H5597" s="185"/>
    </row>
    <row r="5598">
      <c r="D5598" s="185"/>
      <c r="E5598" s="185" t="s">
        <v>470</v>
      </c>
      <c r="H5598" s="185"/>
    </row>
    <row r="5599">
      <c r="D5599" s="185"/>
      <c r="E5599" s="185" t="s">
        <v>470</v>
      </c>
      <c r="H5599" s="185"/>
    </row>
    <row r="5600">
      <c r="D5600" s="185"/>
      <c r="E5600" s="185" t="s">
        <v>470</v>
      </c>
      <c r="H5600" s="185"/>
    </row>
    <row r="5601">
      <c r="D5601" s="185"/>
      <c r="E5601" s="185" t="s">
        <v>470</v>
      </c>
      <c r="H5601" s="185"/>
    </row>
    <row r="5602">
      <c r="D5602" s="185"/>
      <c r="E5602" s="185" t="s">
        <v>470</v>
      </c>
      <c r="H5602" s="185"/>
    </row>
    <row r="5603">
      <c r="D5603" s="185"/>
      <c r="E5603" s="185" t="s">
        <v>470</v>
      </c>
      <c r="H5603" s="185"/>
    </row>
    <row r="5604">
      <c r="D5604" s="185"/>
      <c r="E5604" s="185" t="s">
        <v>470</v>
      </c>
      <c r="H5604" s="185"/>
    </row>
    <row r="5605">
      <c r="D5605" s="185"/>
      <c r="E5605" s="185" t="s">
        <v>470</v>
      </c>
      <c r="H5605" s="185"/>
    </row>
    <row r="5606">
      <c r="D5606" s="185"/>
      <c r="E5606" s="185" t="s">
        <v>470</v>
      </c>
      <c r="H5606" s="185"/>
    </row>
    <row r="5607">
      <c r="D5607" s="185"/>
      <c r="E5607" s="185" t="s">
        <v>470</v>
      </c>
      <c r="H5607" s="185"/>
    </row>
    <row r="5608">
      <c r="D5608" s="185"/>
      <c r="E5608" s="185" t="s">
        <v>470</v>
      </c>
      <c r="H5608" s="185"/>
    </row>
    <row r="5609">
      <c r="D5609" s="185"/>
      <c r="E5609" s="185" t="s">
        <v>470</v>
      </c>
      <c r="H5609" s="185"/>
    </row>
    <row r="5610">
      <c r="D5610" s="185"/>
      <c r="E5610" s="185" t="s">
        <v>470</v>
      </c>
      <c r="H5610" s="185"/>
    </row>
    <row r="5611">
      <c r="D5611" s="185"/>
      <c r="E5611" s="185" t="s">
        <v>470</v>
      </c>
      <c r="H5611" s="185"/>
    </row>
    <row r="5612">
      <c r="D5612" s="185"/>
      <c r="E5612" s="185" t="s">
        <v>470</v>
      </c>
      <c r="H5612" s="185"/>
    </row>
    <row r="5613">
      <c r="D5613" s="185"/>
      <c r="E5613" s="185" t="s">
        <v>470</v>
      </c>
      <c r="H5613" s="185"/>
    </row>
    <row r="5614">
      <c r="D5614" s="185"/>
      <c r="E5614" s="185" t="s">
        <v>470</v>
      </c>
      <c r="H5614" s="185"/>
    </row>
    <row r="5615">
      <c r="D5615" s="185"/>
      <c r="E5615" s="185" t="s">
        <v>470</v>
      </c>
      <c r="H5615" s="185"/>
    </row>
    <row r="5616">
      <c r="D5616" s="185"/>
      <c r="E5616" s="185" t="s">
        <v>470</v>
      </c>
      <c r="H5616" s="185"/>
    </row>
    <row r="5617">
      <c r="D5617" s="185"/>
      <c r="E5617" s="185" t="s">
        <v>470</v>
      </c>
      <c r="H5617" s="185"/>
    </row>
    <row r="5618">
      <c r="D5618" s="185"/>
      <c r="E5618" s="185" t="s">
        <v>470</v>
      </c>
      <c r="H5618" s="185"/>
    </row>
    <row r="5619">
      <c r="D5619" s="185"/>
      <c r="E5619" s="185" t="s">
        <v>470</v>
      </c>
      <c r="H5619" s="185"/>
    </row>
    <row r="5620">
      <c r="D5620" s="185"/>
      <c r="E5620" s="185" t="s">
        <v>470</v>
      </c>
      <c r="H5620" s="185"/>
    </row>
    <row r="5621">
      <c r="D5621" s="185"/>
      <c r="E5621" s="185" t="s">
        <v>470</v>
      </c>
      <c r="H5621" s="185"/>
    </row>
    <row r="5622">
      <c r="D5622" s="185"/>
      <c r="E5622" s="185" t="s">
        <v>470</v>
      </c>
      <c r="H5622" s="185"/>
    </row>
    <row r="5623">
      <c r="D5623" s="185"/>
      <c r="E5623" s="185" t="s">
        <v>470</v>
      </c>
      <c r="H5623" s="185"/>
    </row>
    <row r="5624">
      <c r="D5624" s="185"/>
      <c r="E5624" s="185" t="s">
        <v>470</v>
      </c>
      <c r="H5624" s="185"/>
    </row>
    <row r="5625">
      <c r="D5625" s="185"/>
      <c r="E5625" s="185" t="s">
        <v>470</v>
      </c>
      <c r="H5625" s="185"/>
    </row>
    <row r="5626">
      <c r="D5626" s="185"/>
      <c r="E5626" s="185" t="s">
        <v>470</v>
      </c>
      <c r="H5626" s="185"/>
    </row>
    <row r="5627">
      <c r="D5627" s="185"/>
      <c r="E5627" s="185" t="s">
        <v>470</v>
      </c>
      <c r="H5627" s="185"/>
    </row>
    <row r="5628">
      <c r="D5628" s="185"/>
      <c r="E5628" s="185" t="s">
        <v>470</v>
      </c>
      <c r="H5628" s="185"/>
    </row>
    <row r="5629">
      <c r="D5629" s="185"/>
      <c r="E5629" s="185" t="s">
        <v>470</v>
      </c>
      <c r="H5629" s="185"/>
    </row>
    <row r="5630">
      <c r="D5630" s="185"/>
      <c r="E5630" s="185" t="s">
        <v>470</v>
      </c>
      <c r="H5630" s="185"/>
    </row>
    <row r="5631">
      <c r="D5631" s="185"/>
      <c r="E5631" s="185" t="s">
        <v>470</v>
      </c>
      <c r="H5631" s="185"/>
    </row>
    <row r="5632">
      <c r="D5632" s="185"/>
      <c r="E5632" s="185" t="s">
        <v>470</v>
      </c>
      <c r="H5632" s="185"/>
    </row>
    <row r="5633">
      <c r="D5633" s="185"/>
      <c r="E5633" s="185" t="s">
        <v>470</v>
      </c>
      <c r="H5633" s="185"/>
    </row>
    <row r="5634">
      <c r="D5634" s="185"/>
      <c r="E5634" s="185" t="s">
        <v>470</v>
      </c>
      <c r="H5634" s="185"/>
    </row>
    <row r="5635">
      <c r="D5635" s="185"/>
      <c r="E5635" s="185" t="s">
        <v>470</v>
      </c>
      <c r="H5635" s="185"/>
    </row>
    <row r="5636">
      <c r="D5636" s="185"/>
      <c r="E5636" s="185" t="s">
        <v>470</v>
      </c>
      <c r="H5636" s="185"/>
    </row>
    <row r="5637">
      <c r="D5637" s="185"/>
      <c r="E5637" s="185" t="s">
        <v>470</v>
      </c>
      <c r="H5637" s="185"/>
    </row>
    <row r="5638">
      <c r="D5638" s="185"/>
      <c r="E5638" s="185" t="s">
        <v>470</v>
      </c>
      <c r="H5638" s="185"/>
    </row>
    <row r="5639">
      <c r="D5639" s="185"/>
      <c r="E5639" s="185" t="s">
        <v>470</v>
      </c>
      <c r="H5639" s="185"/>
    </row>
    <row r="5640">
      <c r="D5640" s="185"/>
      <c r="E5640" s="185" t="s">
        <v>470</v>
      </c>
      <c r="H5640" s="185"/>
    </row>
    <row r="5641">
      <c r="D5641" s="185"/>
      <c r="E5641" s="185" t="s">
        <v>470</v>
      </c>
      <c r="H5641" s="185"/>
    </row>
    <row r="5642">
      <c r="D5642" s="185"/>
      <c r="E5642" s="185" t="s">
        <v>470</v>
      </c>
      <c r="H5642" s="185"/>
    </row>
    <row r="5643">
      <c r="D5643" s="185"/>
      <c r="E5643" s="185" t="s">
        <v>470</v>
      </c>
      <c r="H5643" s="185"/>
    </row>
    <row r="5644">
      <c r="D5644" s="185"/>
      <c r="E5644" s="185" t="s">
        <v>470</v>
      </c>
      <c r="H5644" s="185"/>
    </row>
    <row r="5645">
      <c r="D5645" s="185"/>
      <c r="E5645" s="185" t="s">
        <v>470</v>
      </c>
      <c r="H5645" s="185"/>
    </row>
    <row r="5646">
      <c r="D5646" s="185"/>
      <c r="E5646" s="185" t="s">
        <v>470</v>
      </c>
      <c r="H5646" s="185"/>
    </row>
    <row r="5647">
      <c r="D5647" s="185"/>
      <c r="E5647" s="185" t="s">
        <v>470</v>
      </c>
      <c r="H5647" s="185"/>
    </row>
    <row r="5648">
      <c r="D5648" s="185"/>
      <c r="E5648" s="185" t="s">
        <v>470</v>
      </c>
      <c r="H5648" s="185"/>
    </row>
    <row r="5649">
      <c r="D5649" s="185"/>
      <c r="E5649" s="185" t="s">
        <v>470</v>
      </c>
      <c r="H5649" s="185"/>
    </row>
    <row r="5650">
      <c r="D5650" s="185"/>
      <c r="E5650" s="185" t="s">
        <v>470</v>
      </c>
      <c r="H5650" s="185"/>
    </row>
    <row r="5651">
      <c r="D5651" s="185"/>
      <c r="E5651" s="185" t="s">
        <v>470</v>
      </c>
      <c r="H5651" s="185"/>
    </row>
    <row r="5652">
      <c r="D5652" s="185"/>
      <c r="E5652" s="185" t="s">
        <v>470</v>
      </c>
      <c r="H5652" s="185"/>
    </row>
    <row r="5653">
      <c r="D5653" s="185"/>
      <c r="E5653" s="185" t="s">
        <v>470</v>
      </c>
      <c r="H5653" s="185"/>
    </row>
    <row r="5654">
      <c r="D5654" s="185"/>
      <c r="E5654" s="185" t="s">
        <v>470</v>
      </c>
      <c r="H5654" s="185"/>
    </row>
    <row r="5655">
      <c r="D5655" s="185"/>
      <c r="E5655" s="185" t="s">
        <v>470</v>
      </c>
      <c r="H5655" s="185"/>
    </row>
    <row r="5656">
      <c r="D5656" s="185"/>
      <c r="E5656" s="185" t="s">
        <v>470</v>
      </c>
      <c r="H5656" s="185"/>
    </row>
    <row r="5657">
      <c r="D5657" s="185"/>
      <c r="E5657" s="185" t="s">
        <v>470</v>
      </c>
      <c r="H5657" s="185"/>
    </row>
    <row r="5658">
      <c r="D5658" s="185"/>
      <c r="E5658" s="185" t="s">
        <v>470</v>
      </c>
      <c r="H5658" s="185"/>
    </row>
    <row r="5659">
      <c r="D5659" s="185"/>
      <c r="E5659" s="185" t="s">
        <v>470</v>
      </c>
      <c r="H5659" s="185"/>
    </row>
    <row r="5660">
      <c r="D5660" s="185"/>
      <c r="E5660" s="185" t="s">
        <v>470</v>
      </c>
      <c r="H5660" s="185"/>
    </row>
    <row r="5661">
      <c r="D5661" s="185"/>
      <c r="E5661" s="185" t="s">
        <v>470</v>
      </c>
      <c r="H5661" s="185"/>
    </row>
    <row r="5662">
      <c r="D5662" s="185"/>
      <c r="E5662" s="185" t="s">
        <v>470</v>
      </c>
      <c r="H5662" s="185"/>
    </row>
    <row r="5663">
      <c r="D5663" s="185"/>
      <c r="E5663" s="185" t="s">
        <v>470</v>
      </c>
      <c r="H5663" s="185"/>
    </row>
    <row r="5664">
      <c r="D5664" s="185"/>
      <c r="E5664" s="185" t="s">
        <v>470</v>
      </c>
      <c r="H5664" s="185"/>
    </row>
    <row r="5665">
      <c r="D5665" s="185"/>
      <c r="E5665" s="185" t="s">
        <v>470</v>
      </c>
      <c r="H5665" s="185"/>
    </row>
    <row r="5666">
      <c r="D5666" s="185"/>
      <c r="E5666" s="185" t="s">
        <v>470</v>
      </c>
      <c r="H5666" s="185"/>
    </row>
    <row r="5667">
      <c r="D5667" s="185"/>
      <c r="E5667" s="185" t="s">
        <v>470</v>
      </c>
      <c r="H5667" s="185"/>
    </row>
    <row r="5668">
      <c r="D5668" s="185"/>
      <c r="E5668" s="185" t="s">
        <v>470</v>
      </c>
      <c r="H5668" s="185"/>
    </row>
    <row r="5669">
      <c r="D5669" s="185"/>
      <c r="E5669" s="185" t="s">
        <v>470</v>
      </c>
      <c r="H5669" s="185"/>
    </row>
    <row r="5670">
      <c r="D5670" s="185"/>
      <c r="E5670" s="185" t="s">
        <v>470</v>
      </c>
      <c r="H5670" s="185"/>
    </row>
    <row r="5671">
      <c r="D5671" s="185"/>
      <c r="E5671" s="185" t="s">
        <v>470</v>
      </c>
      <c r="H5671" s="185"/>
    </row>
    <row r="5672">
      <c r="D5672" s="185"/>
      <c r="E5672" s="185" t="s">
        <v>470</v>
      </c>
      <c r="H5672" s="185"/>
    </row>
    <row r="5673">
      <c r="D5673" s="185"/>
      <c r="E5673" s="185" t="s">
        <v>470</v>
      </c>
      <c r="H5673" s="185"/>
    </row>
    <row r="5674">
      <c r="D5674" s="185"/>
      <c r="E5674" s="185" t="s">
        <v>470</v>
      </c>
      <c r="H5674" s="185"/>
    </row>
    <row r="5675">
      <c r="D5675" s="185"/>
      <c r="E5675" s="185" t="s">
        <v>470</v>
      </c>
      <c r="H5675" s="185"/>
    </row>
    <row r="5676">
      <c r="D5676" s="185"/>
      <c r="E5676" s="185" t="s">
        <v>470</v>
      </c>
      <c r="H5676" s="185"/>
    </row>
    <row r="5677">
      <c r="D5677" s="185"/>
      <c r="E5677" s="185" t="s">
        <v>470</v>
      </c>
      <c r="H5677" s="185"/>
    </row>
    <row r="5678">
      <c r="D5678" s="185"/>
      <c r="E5678" s="185" t="s">
        <v>470</v>
      </c>
      <c r="H5678" s="185"/>
    </row>
    <row r="5679">
      <c r="D5679" s="185"/>
      <c r="E5679" s="185" t="s">
        <v>470</v>
      </c>
      <c r="H5679" s="185"/>
    </row>
    <row r="5680">
      <c r="D5680" s="185"/>
      <c r="E5680" s="185" t="s">
        <v>470</v>
      </c>
      <c r="H5680" s="185"/>
    </row>
    <row r="5681">
      <c r="D5681" s="185"/>
      <c r="E5681" s="185" t="s">
        <v>470</v>
      </c>
      <c r="H5681" s="185"/>
    </row>
    <row r="5682">
      <c r="D5682" s="185"/>
      <c r="E5682" s="185" t="s">
        <v>470</v>
      </c>
      <c r="H5682" s="185"/>
    </row>
    <row r="5683">
      <c r="D5683" s="185"/>
      <c r="E5683" s="185" t="s">
        <v>470</v>
      </c>
      <c r="H5683" s="185"/>
    </row>
    <row r="5684">
      <c r="D5684" s="185"/>
      <c r="E5684" s="185" t="s">
        <v>470</v>
      </c>
      <c r="H5684" s="185"/>
    </row>
    <row r="5685">
      <c r="D5685" s="185"/>
      <c r="E5685" s="185" t="s">
        <v>470</v>
      </c>
      <c r="H5685" s="185"/>
    </row>
    <row r="5686">
      <c r="D5686" s="185"/>
      <c r="E5686" s="185" t="s">
        <v>470</v>
      </c>
      <c r="H5686" s="185"/>
    </row>
    <row r="5687">
      <c r="D5687" s="185"/>
      <c r="E5687" s="185" t="s">
        <v>470</v>
      </c>
      <c r="H5687" s="185"/>
    </row>
    <row r="5688">
      <c r="D5688" s="185"/>
      <c r="E5688" s="185" t="s">
        <v>470</v>
      </c>
      <c r="H5688" s="185"/>
    </row>
    <row r="5689">
      <c r="D5689" s="185"/>
      <c r="E5689" s="185" t="s">
        <v>470</v>
      </c>
      <c r="H5689" s="185"/>
    </row>
    <row r="5690">
      <c r="D5690" s="185"/>
      <c r="E5690" s="185" t="s">
        <v>470</v>
      </c>
      <c r="H5690" s="185"/>
    </row>
    <row r="5691">
      <c r="D5691" s="185"/>
      <c r="E5691" s="185" t="s">
        <v>470</v>
      </c>
      <c r="H5691" s="185"/>
    </row>
    <row r="5692">
      <c r="D5692" s="185"/>
      <c r="E5692" s="185" t="s">
        <v>470</v>
      </c>
      <c r="H5692" s="185"/>
    </row>
    <row r="5693">
      <c r="D5693" s="185"/>
      <c r="E5693" s="185" t="s">
        <v>470</v>
      </c>
      <c r="H5693" s="185"/>
    </row>
    <row r="5694">
      <c r="D5694" s="185"/>
      <c r="E5694" s="185" t="s">
        <v>470</v>
      </c>
      <c r="H5694" s="185"/>
    </row>
    <row r="5695">
      <c r="D5695" s="185"/>
      <c r="E5695" s="185" t="s">
        <v>470</v>
      </c>
      <c r="H5695" s="185"/>
    </row>
    <row r="5696">
      <c r="D5696" s="185"/>
      <c r="E5696" s="185" t="s">
        <v>470</v>
      </c>
      <c r="H5696" s="185"/>
    </row>
    <row r="5697">
      <c r="D5697" s="185"/>
      <c r="E5697" s="185" t="s">
        <v>470</v>
      </c>
      <c r="H5697" s="185"/>
    </row>
    <row r="5698">
      <c r="D5698" s="185"/>
      <c r="E5698" s="185" t="s">
        <v>470</v>
      </c>
      <c r="H5698" s="185"/>
    </row>
    <row r="5699">
      <c r="D5699" s="185"/>
      <c r="E5699" s="185" t="s">
        <v>470</v>
      </c>
      <c r="H5699" s="185"/>
    </row>
    <row r="5700">
      <c r="D5700" s="185"/>
      <c r="E5700" s="185" t="s">
        <v>470</v>
      </c>
      <c r="H5700" s="185"/>
    </row>
    <row r="5701">
      <c r="D5701" s="185"/>
      <c r="E5701" s="185" t="s">
        <v>470</v>
      </c>
      <c r="H5701" s="185"/>
    </row>
    <row r="5702">
      <c r="D5702" s="185"/>
      <c r="E5702" s="185" t="s">
        <v>470</v>
      </c>
      <c r="H5702" s="185"/>
    </row>
    <row r="5703">
      <c r="D5703" s="185"/>
      <c r="E5703" s="185" t="s">
        <v>470</v>
      </c>
      <c r="H5703" s="185"/>
    </row>
    <row r="5704">
      <c r="D5704" s="185"/>
      <c r="E5704" s="185" t="s">
        <v>470</v>
      </c>
      <c r="H5704" s="185"/>
    </row>
    <row r="5705">
      <c r="D5705" s="185"/>
      <c r="E5705" s="185" t="s">
        <v>470</v>
      </c>
      <c r="H5705" s="185"/>
    </row>
    <row r="5706">
      <c r="D5706" s="185"/>
      <c r="E5706" s="185" t="s">
        <v>470</v>
      </c>
      <c r="H5706" s="185"/>
    </row>
    <row r="5707">
      <c r="D5707" s="185"/>
      <c r="E5707" s="185" t="s">
        <v>470</v>
      </c>
      <c r="H5707" s="185"/>
    </row>
    <row r="5708">
      <c r="D5708" s="185"/>
      <c r="E5708" s="185" t="s">
        <v>470</v>
      </c>
      <c r="H5708" s="185"/>
    </row>
    <row r="5709">
      <c r="D5709" s="185"/>
      <c r="E5709" s="185" t="s">
        <v>470</v>
      </c>
      <c r="H5709" s="185"/>
    </row>
    <row r="5710">
      <c r="D5710" s="185"/>
      <c r="E5710" s="185" t="s">
        <v>470</v>
      </c>
      <c r="H5710" s="185"/>
    </row>
    <row r="5711">
      <c r="D5711" s="185"/>
      <c r="E5711" s="185" t="s">
        <v>470</v>
      </c>
      <c r="H5711" s="185"/>
    </row>
    <row r="5712">
      <c r="D5712" s="185"/>
      <c r="E5712" s="185" t="s">
        <v>470</v>
      </c>
      <c r="H5712" s="185"/>
    </row>
    <row r="5713">
      <c r="D5713" s="185"/>
      <c r="E5713" s="185" t="s">
        <v>470</v>
      </c>
      <c r="H5713" s="185"/>
    </row>
    <row r="5714">
      <c r="D5714" s="185"/>
      <c r="E5714" s="185" t="s">
        <v>470</v>
      </c>
      <c r="H5714" s="185"/>
    </row>
    <row r="5715">
      <c r="D5715" s="185"/>
      <c r="E5715" s="185" t="s">
        <v>470</v>
      </c>
      <c r="H5715" s="185"/>
    </row>
    <row r="5716">
      <c r="D5716" s="185"/>
      <c r="E5716" s="185" t="s">
        <v>470</v>
      </c>
      <c r="H5716" s="185"/>
    </row>
    <row r="5717">
      <c r="D5717" s="185"/>
      <c r="E5717" s="185" t="s">
        <v>470</v>
      </c>
      <c r="H5717" s="185"/>
    </row>
    <row r="5718">
      <c r="D5718" s="185"/>
      <c r="E5718" s="185" t="s">
        <v>470</v>
      </c>
      <c r="H5718" s="185"/>
    </row>
    <row r="5719">
      <c r="D5719" s="185"/>
      <c r="E5719" s="185" t="s">
        <v>470</v>
      </c>
      <c r="H5719" s="185"/>
    </row>
    <row r="5720">
      <c r="D5720" s="185"/>
      <c r="E5720" s="185" t="s">
        <v>470</v>
      </c>
      <c r="H5720" s="185"/>
    </row>
    <row r="5721">
      <c r="D5721" s="185"/>
      <c r="E5721" s="185" t="s">
        <v>470</v>
      </c>
      <c r="H5721" s="185"/>
    </row>
    <row r="5722">
      <c r="D5722" s="185"/>
      <c r="E5722" s="185" t="s">
        <v>470</v>
      </c>
      <c r="H5722" s="185"/>
    </row>
    <row r="5723">
      <c r="D5723" s="185"/>
      <c r="E5723" s="185" t="s">
        <v>470</v>
      </c>
      <c r="H5723" s="185"/>
    </row>
    <row r="5724">
      <c r="D5724" s="185"/>
      <c r="E5724" s="185" t="s">
        <v>470</v>
      </c>
      <c r="H5724" s="185"/>
    </row>
    <row r="5725">
      <c r="D5725" s="185"/>
      <c r="E5725" s="185" t="s">
        <v>470</v>
      </c>
      <c r="H5725" s="185"/>
    </row>
    <row r="5726">
      <c r="D5726" s="185"/>
      <c r="E5726" s="185" t="s">
        <v>470</v>
      </c>
      <c r="H5726" s="185"/>
    </row>
    <row r="5727">
      <c r="D5727" s="185"/>
      <c r="E5727" s="185" t="s">
        <v>470</v>
      </c>
      <c r="H5727" s="185"/>
    </row>
    <row r="5728">
      <c r="D5728" s="185"/>
      <c r="E5728" s="185" t="s">
        <v>470</v>
      </c>
      <c r="H5728" s="185"/>
    </row>
    <row r="5729">
      <c r="D5729" s="185"/>
      <c r="E5729" s="185" t="s">
        <v>470</v>
      </c>
      <c r="H5729" s="185"/>
    </row>
    <row r="5730">
      <c r="D5730" s="185"/>
      <c r="E5730" s="185" t="s">
        <v>470</v>
      </c>
      <c r="H5730" s="185"/>
    </row>
    <row r="5731">
      <c r="D5731" s="185"/>
      <c r="E5731" s="185" t="s">
        <v>470</v>
      </c>
      <c r="H5731" s="185"/>
    </row>
    <row r="5732">
      <c r="D5732" s="185"/>
      <c r="E5732" s="185" t="s">
        <v>470</v>
      </c>
      <c r="H5732" s="185"/>
    </row>
    <row r="5733">
      <c r="D5733" s="185"/>
      <c r="E5733" s="185" t="s">
        <v>470</v>
      </c>
      <c r="H5733" s="185"/>
    </row>
    <row r="5734">
      <c r="D5734" s="185"/>
      <c r="E5734" s="185" t="s">
        <v>470</v>
      </c>
      <c r="H5734" s="185"/>
    </row>
    <row r="5735">
      <c r="D5735" s="185"/>
      <c r="E5735" s="185" t="s">
        <v>470</v>
      </c>
      <c r="H5735" s="185"/>
    </row>
    <row r="5736">
      <c r="D5736" s="185"/>
      <c r="E5736" s="185" t="s">
        <v>470</v>
      </c>
      <c r="H5736" s="185"/>
    </row>
    <row r="5737">
      <c r="D5737" s="185"/>
      <c r="E5737" s="185" t="s">
        <v>470</v>
      </c>
      <c r="H5737" s="185"/>
    </row>
    <row r="5738">
      <c r="D5738" s="185"/>
      <c r="E5738" s="185" t="s">
        <v>470</v>
      </c>
      <c r="H5738" s="185"/>
    </row>
    <row r="5739">
      <c r="D5739" s="185"/>
      <c r="E5739" s="185" t="s">
        <v>470</v>
      </c>
      <c r="H5739" s="185"/>
    </row>
    <row r="5740">
      <c r="D5740" s="185"/>
      <c r="E5740" s="185" t="s">
        <v>470</v>
      </c>
      <c r="H5740" s="185"/>
    </row>
    <row r="5741">
      <c r="D5741" s="185"/>
      <c r="E5741" s="185" t="s">
        <v>470</v>
      </c>
      <c r="H5741" s="185"/>
    </row>
    <row r="5742">
      <c r="D5742" s="185"/>
      <c r="E5742" s="185" t="s">
        <v>470</v>
      </c>
      <c r="H5742" s="185"/>
    </row>
    <row r="5743">
      <c r="D5743" s="185"/>
      <c r="E5743" s="185" t="s">
        <v>470</v>
      </c>
      <c r="H5743" s="185"/>
    </row>
    <row r="5744">
      <c r="D5744" s="185"/>
      <c r="E5744" s="185" t="s">
        <v>470</v>
      </c>
      <c r="H5744" s="185"/>
    </row>
    <row r="5745">
      <c r="D5745" s="185"/>
      <c r="E5745" s="185" t="s">
        <v>470</v>
      </c>
      <c r="H5745" s="185"/>
    </row>
    <row r="5746">
      <c r="D5746" s="185"/>
      <c r="E5746" s="185" t="s">
        <v>470</v>
      </c>
      <c r="H5746" s="185"/>
    </row>
    <row r="5747">
      <c r="D5747" s="185"/>
      <c r="E5747" s="185" t="s">
        <v>470</v>
      </c>
      <c r="H5747" s="185"/>
    </row>
    <row r="5748">
      <c r="D5748" s="185"/>
      <c r="E5748" s="185" t="s">
        <v>470</v>
      </c>
      <c r="H5748" s="185"/>
    </row>
    <row r="5749">
      <c r="D5749" s="185"/>
      <c r="E5749" s="185" t="s">
        <v>470</v>
      </c>
      <c r="H5749" s="185"/>
    </row>
    <row r="5750">
      <c r="D5750" s="185"/>
      <c r="E5750" s="185" t="s">
        <v>470</v>
      </c>
      <c r="H5750" s="185"/>
    </row>
    <row r="5751">
      <c r="D5751" s="185"/>
      <c r="E5751" s="185" t="s">
        <v>470</v>
      </c>
      <c r="H5751" s="185"/>
    </row>
    <row r="5752">
      <c r="D5752" s="185"/>
      <c r="E5752" s="185" t="s">
        <v>470</v>
      </c>
      <c r="H5752" s="185"/>
    </row>
    <row r="5753">
      <c r="D5753" s="185"/>
      <c r="E5753" s="185" t="s">
        <v>470</v>
      </c>
      <c r="H5753" s="185"/>
    </row>
    <row r="5754">
      <c r="D5754" s="185"/>
      <c r="E5754" s="185" t="s">
        <v>470</v>
      </c>
      <c r="H5754" s="185"/>
    </row>
    <row r="5755">
      <c r="D5755" s="185"/>
      <c r="E5755" s="185" t="s">
        <v>470</v>
      </c>
      <c r="H5755" s="185"/>
    </row>
    <row r="5756">
      <c r="D5756" s="185"/>
      <c r="E5756" s="185" t="s">
        <v>470</v>
      </c>
      <c r="H5756" s="185"/>
    </row>
    <row r="5757">
      <c r="D5757" s="185"/>
      <c r="E5757" s="185" t="s">
        <v>470</v>
      </c>
      <c r="H5757" s="185"/>
    </row>
    <row r="5758">
      <c r="D5758" s="185"/>
      <c r="E5758" s="185" t="s">
        <v>470</v>
      </c>
      <c r="H5758" s="185"/>
    </row>
    <row r="5759">
      <c r="D5759" s="185"/>
      <c r="E5759" s="185" t="s">
        <v>470</v>
      </c>
      <c r="H5759" s="185"/>
    </row>
    <row r="5760">
      <c r="D5760" s="185"/>
      <c r="E5760" s="185" t="s">
        <v>470</v>
      </c>
      <c r="H5760" s="185"/>
    </row>
    <row r="5761">
      <c r="D5761" s="185"/>
      <c r="E5761" s="185" t="s">
        <v>470</v>
      </c>
      <c r="H5761" s="185"/>
    </row>
    <row r="5762">
      <c r="D5762" s="185"/>
      <c r="E5762" s="185" t="s">
        <v>470</v>
      </c>
      <c r="H5762" s="185"/>
    </row>
    <row r="5763">
      <c r="D5763" s="185"/>
      <c r="E5763" s="185" t="s">
        <v>470</v>
      </c>
      <c r="H5763" s="185"/>
    </row>
    <row r="5764">
      <c r="D5764" s="185"/>
      <c r="E5764" s="185" t="s">
        <v>470</v>
      </c>
      <c r="H5764" s="185"/>
    </row>
    <row r="5765">
      <c r="D5765" s="185"/>
      <c r="E5765" s="185" t="s">
        <v>470</v>
      </c>
      <c r="H5765" s="185"/>
    </row>
    <row r="5766">
      <c r="D5766" s="185"/>
      <c r="E5766" s="185" t="s">
        <v>470</v>
      </c>
      <c r="H5766" s="185"/>
    </row>
    <row r="5767">
      <c r="D5767" s="185"/>
      <c r="E5767" s="185" t="s">
        <v>470</v>
      </c>
      <c r="H5767" s="185"/>
    </row>
    <row r="5768">
      <c r="D5768" s="185"/>
      <c r="E5768" s="185" t="s">
        <v>470</v>
      </c>
      <c r="H5768" s="185"/>
    </row>
    <row r="5769">
      <c r="D5769" s="185"/>
      <c r="E5769" s="185" t="s">
        <v>470</v>
      </c>
      <c r="H5769" s="185"/>
    </row>
    <row r="5770">
      <c r="D5770" s="185"/>
      <c r="E5770" s="185" t="s">
        <v>470</v>
      </c>
      <c r="H5770" s="185"/>
    </row>
    <row r="5771">
      <c r="D5771" s="185"/>
      <c r="E5771" s="185" t="s">
        <v>470</v>
      </c>
      <c r="H5771" s="185"/>
    </row>
    <row r="5772">
      <c r="D5772" s="185"/>
      <c r="E5772" s="185" t="s">
        <v>470</v>
      </c>
      <c r="H5772" s="185"/>
    </row>
    <row r="5773">
      <c r="D5773" s="185"/>
      <c r="E5773" s="185" t="s">
        <v>470</v>
      </c>
      <c r="H5773" s="185"/>
    </row>
    <row r="5774">
      <c r="D5774" s="185"/>
      <c r="E5774" s="185" t="s">
        <v>470</v>
      </c>
      <c r="H5774" s="185"/>
    </row>
    <row r="5775">
      <c r="D5775" s="185"/>
      <c r="E5775" s="185" t="s">
        <v>470</v>
      </c>
      <c r="H5775" s="185"/>
    </row>
    <row r="5776">
      <c r="D5776" s="185"/>
      <c r="E5776" s="185" t="s">
        <v>470</v>
      </c>
      <c r="H5776" s="185"/>
    </row>
    <row r="5777">
      <c r="D5777" s="185"/>
      <c r="E5777" s="185" t="s">
        <v>470</v>
      </c>
      <c r="H5777" s="185"/>
    </row>
    <row r="5778">
      <c r="D5778" s="185"/>
      <c r="E5778" s="185" t="s">
        <v>470</v>
      </c>
      <c r="H5778" s="185"/>
    </row>
    <row r="5779">
      <c r="D5779" s="185"/>
      <c r="E5779" s="185" t="s">
        <v>470</v>
      </c>
      <c r="H5779" s="185"/>
    </row>
    <row r="5780">
      <c r="D5780" s="185"/>
      <c r="E5780" s="185" t="s">
        <v>470</v>
      </c>
      <c r="H5780" s="185"/>
    </row>
    <row r="5781">
      <c r="D5781" s="185"/>
      <c r="E5781" s="185" t="s">
        <v>470</v>
      </c>
      <c r="H5781" s="185"/>
    </row>
    <row r="5782">
      <c r="D5782" s="185"/>
      <c r="E5782" s="185" t="s">
        <v>470</v>
      </c>
      <c r="H5782" s="185"/>
    </row>
    <row r="5783">
      <c r="D5783" s="185"/>
      <c r="E5783" s="185" t="s">
        <v>470</v>
      </c>
      <c r="H5783" s="185"/>
    </row>
    <row r="5784">
      <c r="D5784" s="185"/>
      <c r="E5784" s="185" t="s">
        <v>470</v>
      </c>
      <c r="H5784" s="185"/>
    </row>
    <row r="5785">
      <c r="D5785" s="185"/>
      <c r="E5785" s="185" t="s">
        <v>470</v>
      </c>
      <c r="H5785" s="185"/>
    </row>
    <row r="5786">
      <c r="D5786" s="185"/>
      <c r="E5786" s="185" t="s">
        <v>470</v>
      </c>
      <c r="H5786" s="185"/>
    </row>
    <row r="5787">
      <c r="D5787" s="185"/>
      <c r="E5787" s="185" t="s">
        <v>470</v>
      </c>
      <c r="H5787" s="185"/>
    </row>
    <row r="5788">
      <c r="D5788" s="185"/>
      <c r="E5788" s="185" t="s">
        <v>470</v>
      </c>
      <c r="H5788" s="185"/>
    </row>
    <row r="5789">
      <c r="D5789" s="185"/>
      <c r="E5789" s="185" t="s">
        <v>470</v>
      </c>
      <c r="H5789" s="185"/>
    </row>
    <row r="5790">
      <c r="D5790" s="185"/>
      <c r="E5790" s="185" t="s">
        <v>470</v>
      </c>
      <c r="H5790" s="185"/>
    </row>
    <row r="5791">
      <c r="D5791" s="185"/>
      <c r="E5791" s="185" t="s">
        <v>470</v>
      </c>
      <c r="H5791" s="185"/>
    </row>
    <row r="5792">
      <c r="D5792" s="185"/>
      <c r="E5792" s="185" t="s">
        <v>470</v>
      </c>
      <c r="H5792" s="185"/>
    </row>
    <row r="5793">
      <c r="D5793" s="185"/>
      <c r="E5793" s="185" t="s">
        <v>470</v>
      </c>
      <c r="H5793" s="185"/>
    </row>
    <row r="5794">
      <c r="D5794" s="185"/>
      <c r="E5794" s="185" t="s">
        <v>470</v>
      </c>
      <c r="H5794" s="185"/>
    </row>
    <row r="5795">
      <c r="D5795" s="185"/>
      <c r="E5795" s="185" t="s">
        <v>470</v>
      </c>
      <c r="H5795" s="185"/>
    </row>
    <row r="5796">
      <c r="D5796" s="185"/>
      <c r="E5796" s="185" t="s">
        <v>470</v>
      </c>
      <c r="H5796" s="185"/>
    </row>
    <row r="5797">
      <c r="D5797" s="185"/>
      <c r="E5797" s="185" t="s">
        <v>470</v>
      </c>
      <c r="H5797" s="185"/>
    </row>
    <row r="5798">
      <c r="D5798" s="185"/>
      <c r="E5798" s="185" t="s">
        <v>470</v>
      </c>
      <c r="H5798" s="185"/>
    </row>
    <row r="5799">
      <c r="D5799" s="185"/>
      <c r="E5799" s="185" t="s">
        <v>470</v>
      </c>
      <c r="H5799" s="185"/>
    </row>
    <row r="5800">
      <c r="D5800" s="185"/>
      <c r="E5800" s="185" t="s">
        <v>470</v>
      </c>
      <c r="H5800" s="185"/>
    </row>
    <row r="5801">
      <c r="D5801" s="185"/>
      <c r="E5801" s="185" t="s">
        <v>470</v>
      </c>
      <c r="H5801" s="185"/>
    </row>
    <row r="5802">
      <c r="D5802" s="185"/>
      <c r="E5802" s="185" t="s">
        <v>470</v>
      </c>
      <c r="H5802" s="185"/>
    </row>
    <row r="5803">
      <c r="D5803" s="185"/>
      <c r="E5803" s="185" t="s">
        <v>470</v>
      </c>
      <c r="H5803" s="185"/>
    </row>
    <row r="5804">
      <c r="D5804" s="185"/>
      <c r="E5804" s="185" t="s">
        <v>470</v>
      </c>
      <c r="H5804" s="185"/>
    </row>
    <row r="5805">
      <c r="D5805" s="185"/>
      <c r="E5805" s="185" t="s">
        <v>470</v>
      </c>
      <c r="H5805" s="185"/>
    </row>
    <row r="5806">
      <c r="D5806" s="185"/>
      <c r="E5806" s="185" t="s">
        <v>470</v>
      </c>
      <c r="H5806" s="185"/>
    </row>
    <row r="5807">
      <c r="D5807" s="185"/>
      <c r="E5807" s="185" t="s">
        <v>470</v>
      </c>
      <c r="H5807" s="185"/>
    </row>
    <row r="5808">
      <c r="D5808" s="185"/>
      <c r="E5808" s="185" t="s">
        <v>470</v>
      </c>
      <c r="H5808" s="185"/>
    </row>
    <row r="5809">
      <c r="D5809" s="185"/>
      <c r="E5809" s="185" t="s">
        <v>470</v>
      </c>
      <c r="H5809" s="185"/>
    </row>
    <row r="5810">
      <c r="D5810" s="185"/>
      <c r="E5810" s="185" t="s">
        <v>470</v>
      </c>
      <c r="H5810" s="185"/>
    </row>
    <row r="5811">
      <c r="D5811" s="185"/>
      <c r="E5811" s="185" t="s">
        <v>470</v>
      </c>
      <c r="H5811" s="185"/>
    </row>
    <row r="5812">
      <c r="D5812" s="185"/>
      <c r="E5812" s="185" t="s">
        <v>470</v>
      </c>
      <c r="H5812" s="185"/>
    </row>
    <row r="5813">
      <c r="D5813" s="185"/>
      <c r="E5813" s="185" t="s">
        <v>470</v>
      </c>
      <c r="H5813" s="185"/>
    </row>
    <row r="5814">
      <c r="D5814" s="185"/>
      <c r="E5814" s="185" t="s">
        <v>470</v>
      </c>
      <c r="H5814" s="185"/>
    </row>
    <row r="5815">
      <c r="D5815" s="185"/>
      <c r="E5815" s="185" t="s">
        <v>470</v>
      </c>
      <c r="H5815" s="185"/>
    </row>
    <row r="5816">
      <c r="D5816" s="185"/>
      <c r="E5816" s="185" t="s">
        <v>470</v>
      </c>
      <c r="H5816" s="185"/>
    </row>
    <row r="5817">
      <c r="D5817" s="185"/>
      <c r="E5817" s="185" t="s">
        <v>470</v>
      </c>
      <c r="H5817" s="185"/>
    </row>
    <row r="5818">
      <c r="D5818" s="185"/>
      <c r="E5818" s="185" t="s">
        <v>470</v>
      </c>
      <c r="H5818" s="185"/>
    </row>
    <row r="5819">
      <c r="D5819" s="185"/>
      <c r="E5819" s="185" t="s">
        <v>470</v>
      </c>
      <c r="H5819" s="185"/>
    </row>
    <row r="5820">
      <c r="D5820" s="185"/>
      <c r="E5820" s="185" t="s">
        <v>470</v>
      </c>
      <c r="H5820" s="185"/>
    </row>
    <row r="5821">
      <c r="D5821" s="185"/>
      <c r="E5821" s="185" t="s">
        <v>470</v>
      </c>
      <c r="H5821" s="185"/>
    </row>
    <row r="5822">
      <c r="D5822" s="185"/>
      <c r="E5822" s="185" t="s">
        <v>470</v>
      </c>
      <c r="H5822" s="185"/>
    </row>
    <row r="5823">
      <c r="D5823" s="185"/>
      <c r="E5823" s="185" t="s">
        <v>470</v>
      </c>
      <c r="H5823" s="185"/>
    </row>
    <row r="5824">
      <c r="D5824" s="185"/>
      <c r="E5824" s="185" t="s">
        <v>470</v>
      </c>
      <c r="H5824" s="185"/>
    </row>
    <row r="5825">
      <c r="D5825" s="185"/>
      <c r="E5825" s="185" t="s">
        <v>470</v>
      </c>
      <c r="H5825" s="185"/>
    </row>
    <row r="5826">
      <c r="D5826" s="185"/>
      <c r="E5826" s="185" t="s">
        <v>470</v>
      </c>
      <c r="H5826" s="185"/>
    </row>
    <row r="5827">
      <c r="D5827" s="185"/>
      <c r="E5827" s="185" t="s">
        <v>470</v>
      </c>
      <c r="H5827" s="185"/>
    </row>
    <row r="5828">
      <c r="D5828" s="185"/>
      <c r="E5828" s="185" t="s">
        <v>470</v>
      </c>
      <c r="H5828" s="185"/>
    </row>
    <row r="5829">
      <c r="D5829" s="185"/>
      <c r="E5829" s="185" t="s">
        <v>470</v>
      </c>
      <c r="H5829" s="185"/>
    </row>
    <row r="5830">
      <c r="D5830" s="185"/>
      <c r="E5830" s="185" t="s">
        <v>470</v>
      </c>
      <c r="H5830" s="185"/>
    </row>
    <row r="5831">
      <c r="D5831" s="185"/>
      <c r="E5831" s="185" t="s">
        <v>470</v>
      </c>
      <c r="H5831" s="185"/>
    </row>
    <row r="5832">
      <c r="D5832" s="185"/>
      <c r="E5832" s="185" t="s">
        <v>470</v>
      </c>
      <c r="H5832" s="185"/>
    </row>
    <row r="5833">
      <c r="D5833" s="185"/>
      <c r="E5833" s="185" t="s">
        <v>470</v>
      </c>
      <c r="H5833" s="185"/>
    </row>
    <row r="5834">
      <c r="D5834" s="185"/>
      <c r="E5834" s="185" t="s">
        <v>470</v>
      </c>
      <c r="H5834" s="185"/>
    </row>
    <row r="5835">
      <c r="D5835" s="185"/>
      <c r="E5835" s="185" t="s">
        <v>470</v>
      </c>
      <c r="H5835" s="185"/>
    </row>
    <row r="5836">
      <c r="D5836" s="185"/>
      <c r="E5836" s="185" t="s">
        <v>470</v>
      </c>
      <c r="H5836" s="185"/>
    </row>
    <row r="5837">
      <c r="D5837" s="185"/>
      <c r="E5837" s="185" t="s">
        <v>470</v>
      </c>
      <c r="H5837" s="185"/>
    </row>
    <row r="5838">
      <c r="D5838" s="185"/>
      <c r="E5838" s="185" t="s">
        <v>470</v>
      </c>
      <c r="H5838" s="185"/>
    </row>
    <row r="5839">
      <c r="D5839" s="185"/>
      <c r="E5839" s="185" t="s">
        <v>470</v>
      </c>
      <c r="H5839" s="185"/>
    </row>
    <row r="5840">
      <c r="D5840" s="185"/>
      <c r="E5840" s="185" t="s">
        <v>470</v>
      </c>
      <c r="H5840" s="185"/>
    </row>
    <row r="5841">
      <c r="D5841" s="185"/>
      <c r="E5841" s="185" t="s">
        <v>470</v>
      </c>
      <c r="H5841" s="185"/>
    </row>
    <row r="5842">
      <c r="D5842" s="185"/>
      <c r="E5842" s="185" t="s">
        <v>470</v>
      </c>
      <c r="H5842" s="185"/>
    </row>
    <row r="5843">
      <c r="D5843" s="185"/>
      <c r="E5843" s="185" t="s">
        <v>470</v>
      </c>
      <c r="H5843" s="185"/>
    </row>
    <row r="5844">
      <c r="D5844" s="185"/>
      <c r="E5844" s="185" t="s">
        <v>470</v>
      </c>
      <c r="H5844" s="185"/>
    </row>
    <row r="5845">
      <c r="D5845" s="185"/>
      <c r="E5845" s="185" t="s">
        <v>470</v>
      </c>
      <c r="H5845" s="185"/>
    </row>
    <row r="5846">
      <c r="D5846" s="185"/>
      <c r="E5846" s="185" t="s">
        <v>470</v>
      </c>
      <c r="H5846" s="185"/>
    </row>
    <row r="5847">
      <c r="D5847" s="185"/>
      <c r="E5847" s="185" t="s">
        <v>470</v>
      </c>
      <c r="H5847" s="185"/>
    </row>
    <row r="5848">
      <c r="D5848" s="185"/>
      <c r="E5848" s="185" t="s">
        <v>470</v>
      </c>
      <c r="H5848" s="185"/>
    </row>
    <row r="5849">
      <c r="D5849" s="185"/>
      <c r="E5849" s="185" t="s">
        <v>470</v>
      </c>
      <c r="H5849" s="185"/>
    </row>
    <row r="5850">
      <c r="D5850" s="185"/>
      <c r="E5850" s="185" t="s">
        <v>470</v>
      </c>
      <c r="H5850" s="185"/>
    </row>
    <row r="5851">
      <c r="D5851" s="185"/>
      <c r="E5851" s="185" t="s">
        <v>470</v>
      </c>
      <c r="H5851" s="185"/>
    </row>
    <row r="5852">
      <c r="D5852" s="185"/>
      <c r="E5852" s="185" t="s">
        <v>470</v>
      </c>
      <c r="H5852" s="185"/>
    </row>
    <row r="5853">
      <c r="D5853" s="185"/>
      <c r="E5853" s="185" t="s">
        <v>470</v>
      </c>
      <c r="H5853" s="185"/>
    </row>
    <row r="5854">
      <c r="D5854" s="185"/>
      <c r="E5854" s="185" t="s">
        <v>470</v>
      </c>
      <c r="H5854" s="185"/>
    </row>
    <row r="5855">
      <c r="D5855" s="185"/>
      <c r="E5855" s="185" t="s">
        <v>470</v>
      </c>
      <c r="H5855" s="185"/>
    </row>
    <row r="5856">
      <c r="D5856" s="185"/>
      <c r="E5856" s="185" t="s">
        <v>470</v>
      </c>
      <c r="H5856" s="185"/>
    </row>
    <row r="5857">
      <c r="D5857" s="185"/>
      <c r="E5857" s="185" t="s">
        <v>470</v>
      </c>
      <c r="H5857" s="185"/>
    </row>
    <row r="5858">
      <c r="D5858" s="185"/>
      <c r="E5858" s="185" t="s">
        <v>470</v>
      </c>
      <c r="H5858" s="185"/>
    </row>
    <row r="5859">
      <c r="D5859" s="185"/>
      <c r="E5859" s="185" t="s">
        <v>470</v>
      </c>
      <c r="H5859" s="185"/>
    </row>
    <row r="5860">
      <c r="D5860" s="185"/>
      <c r="E5860" s="185" t="s">
        <v>470</v>
      </c>
      <c r="H5860" s="185"/>
    </row>
    <row r="5861">
      <c r="D5861" s="185"/>
      <c r="E5861" s="185" t="s">
        <v>470</v>
      </c>
      <c r="H5861" s="185"/>
    </row>
    <row r="5862">
      <c r="D5862" s="185"/>
      <c r="E5862" s="185" t="s">
        <v>470</v>
      </c>
      <c r="H5862" s="185"/>
    </row>
    <row r="5863">
      <c r="D5863" s="185"/>
      <c r="E5863" s="185" t="s">
        <v>470</v>
      </c>
      <c r="H5863" s="185"/>
    </row>
    <row r="5864">
      <c r="D5864" s="185"/>
      <c r="E5864" s="185" t="s">
        <v>470</v>
      </c>
      <c r="H5864" s="185"/>
    </row>
    <row r="5865">
      <c r="D5865" s="185"/>
      <c r="E5865" s="185" t="s">
        <v>470</v>
      </c>
      <c r="H5865" s="185"/>
    </row>
    <row r="5866">
      <c r="D5866" s="185"/>
      <c r="E5866" s="185" t="s">
        <v>470</v>
      </c>
      <c r="H5866" s="185"/>
    </row>
    <row r="5867">
      <c r="D5867" s="185"/>
      <c r="E5867" s="185" t="s">
        <v>470</v>
      </c>
      <c r="H5867" s="185"/>
    </row>
    <row r="5868">
      <c r="D5868" s="185"/>
      <c r="E5868" s="185" t="s">
        <v>470</v>
      </c>
      <c r="H5868" s="185"/>
    </row>
    <row r="5869">
      <c r="D5869" s="185"/>
      <c r="E5869" s="185" t="s">
        <v>470</v>
      </c>
      <c r="H5869" s="185"/>
    </row>
    <row r="5870">
      <c r="D5870" s="185"/>
      <c r="E5870" s="185" t="s">
        <v>470</v>
      </c>
      <c r="H5870" s="185"/>
    </row>
    <row r="5871">
      <c r="D5871" s="185"/>
      <c r="E5871" s="185" t="s">
        <v>470</v>
      </c>
      <c r="H5871" s="185"/>
    </row>
    <row r="5872">
      <c r="D5872" s="185"/>
      <c r="E5872" s="185" t="s">
        <v>470</v>
      </c>
      <c r="H5872" s="185"/>
    </row>
    <row r="5873">
      <c r="D5873" s="185"/>
      <c r="E5873" s="185" t="s">
        <v>470</v>
      </c>
      <c r="H5873" s="185"/>
    </row>
    <row r="5874">
      <c r="D5874" s="185"/>
      <c r="E5874" s="185" t="s">
        <v>470</v>
      </c>
      <c r="H5874" s="185"/>
    </row>
    <row r="5875">
      <c r="D5875" s="185"/>
      <c r="E5875" s="185" t="s">
        <v>470</v>
      </c>
      <c r="H5875" s="185"/>
    </row>
    <row r="5876">
      <c r="D5876" s="185"/>
      <c r="E5876" s="185" t="s">
        <v>470</v>
      </c>
      <c r="H5876" s="185"/>
    </row>
    <row r="5877">
      <c r="D5877" s="185"/>
      <c r="E5877" s="185" t="s">
        <v>470</v>
      </c>
      <c r="H5877" s="185"/>
    </row>
    <row r="5878">
      <c r="D5878" s="185"/>
      <c r="E5878" s="185" t="s">
        <v>470</v>
      </c>
      <c r="H5878" s="185"/>
    </row>
    <row r="5879">
      <c r="D5879" s="185"/>
      <c r="E5879" s="185" t="s">
        <v>470</v>
      </c>
      <c r="H5879" s="185"/>
    </row>
    <row r="5880">
      <c r="D5880" s="185"/>
      <c r="E5880" s="185" t="s">
        <v>470</v>
      </c>
      <c r="H5880" s="185"/>
    </row>
    <row r="5881">
      <c r="D5881" s="185"/>
      <c r="E5881" s="185" t="s">
        <v>470</v>
      </c>
      <c r="H5881" s="185"/>
    </row>
    <row r="5882">
      <c r="D5882" s="185"/>
      <c r="E5882" s="185" t="s">
        <v>470</v>
      </c>
      <c r="H5882" s="185"/>
    </row>
    <row r="5883">
      <c r="D5883" s="185"/>
      <c r="E5883" s="185" t="s">
        <v>470</v>
      </c>
      <c r="H5883" s="185"/>
    </row>
    <row r="5884">
      <c r="D5884" s="185"/>
      <c r="E5884" s="185" t="s">
        <v>470</v>
      </c>
      <c r="H5884" s="185"/>
    </row>
    <row r="5885">
      <c r="D5885" s="185"/>
      <c r="E5885" s="185" t="s">
        <v>470</v>
      </c>
      <c r="H5885" s="185"/>
    </row>
    <row r="5886">
      <c r="D5886" s="185"/>
      <c r="E5886" s="185" t="s">
        <v>470</v>
      </c>
      <c r="H5886" s="185"/>
    </row>
    <row r="5887">
      <c r="D5887" s="185"/>
      <c r="E5887" s="185" t="s">
        <v>470</v>
      </c>
      <c r="H5887" s="185"/>
    </row>
    <row r="5888">
      <c r="D5888" s="185"/>
      <c r="E5888" s="185" t="s">
        <v>470</v>
      </c>
      <c r="H5888" s="185"/>
    </row>
    <row r="5889">
      <c r="D5889" s="185"/>
      <c r="E5889" s="185" t="s">
        <v>470</v>
      </c>
      <c r="H5889" s="185"/>
    </row>
    <row r="5890">
      <c r="D5890" s="185"/>
      <c r="E5890" s="185" t="s">
        <v>470</v>
      </c>
      <c r="H5890" s="185"/>
    </row>
    <row r="5891">
      <c r="D5891" s="185"/>
      <c r="E5891" s="185" t="s">
        <v>470</v>
      </c>
      <c r="H5891" s="185"/>
    </row>
    <row r="5892">
      <c r="D5892" s="185"/>
      <c r="E5892" s="185" t="s">
        <v>470</v>
      </c>
      <c r="H5892" s="185"/>
    </row>
    <row r="5893">
      <c r="D5893" s="185"/>
      <c r="E5893" s="185" t="s">
        <v>470</v>
      </c>
      <c r="H5893" s="185"/>
    </row>
    <row r="5894">
      <c r="D5894" s="185"/>
      <c r="E5894" s="185" t="s">
        <v>470</v>
      </c>
      <c r="H5894" s="185"/>
    </row>
    <row r="5895">
      <c r="D5895" s="185"/>
      <c r="E5895" s="185" t="s">
        <v>470</v>
      </c>
      <c r="H5895" s="185"/>
    </row>
    <row r="5896">
      <c r="D5896" s="185"/>
      <c r="E5896" s="185" t="s">
        <v>470</v>
      </c>
      <c r="H5896" s="185"/>
    </row>
    <row r="5897">
      <c r="D5897" s="185"/>
      <c r="E5897" s="185" t="s">
        <v>470</v>
      </c>
      <c r="H5897" s="185"/>
    </row>
    <row r="5898">
      <c r="D5898" s="185"/>
      <c r="E5898" s="185" t="s">
        <v>470</v>
      </c>
      <c r="H5898" s="185"/>
    </row>
    <row r="5899">
      <c r="D5899" s="185"/>
      <c r="E5899" s="185" t="s">
        <v>470</v>
      </c>
      <c r="H5899" s="185"/>
    </row>
    <row r="5900">
      <c r="D5900" s="185"/>
      <c r="E5900" s="185" t="s">
        <v>470</v>
      </c>
      <c r="H5900" s="185"/>
    </row>
    <row r="5901">
      <c r="D5901" s="185"/>
      <c r="E5901" s="185" t="s">
        <v>470</v>
      </c>
      <c r="H5901" s="185"/>
    </row>
    <row r="5902">
      <c r="D5902" s="185"/>
      <c r="E5902" s="185" t="s">
        <v>470</v>
      </c>
      <c r="H5902" s="185"/>
    </row>
    <row r="5903">
      <c r="D5903" s="185"/>
      <c r="E5903" s="185" t="s">
        <v>470</v>
      </c>
      <c r="H5903" s="185"/>
    </row>
    <row r="5904">
      <c r="D5904" s="185"/>
      <c r="E5904" s="185" t="s">
        <v>470</v>
      </c>
      <c r="H5904" s="185"/>
    </row>
    <row r="5905">
      <c r="D5905" s="185"/>
      <c r="E5905" s="185" t="s">
        <v>470</v>
      </c>
      <c r="H5905" s="185"/>
    </row>
    <row r="5906">
      <c r="D5906" s="185"/>
      <c r="E5906" s="185" t="s">
        <v>470</v>
      </c>
      <c r="H5906" s="185"/>
    </row>
    <row r="5907">
      <c r="D5907" s="185"/>
      <c r="E5907" s="185" t="s">
        <v>470</v>
      </c>
      <c r="H5907" s="185"/>
    </row>
    <row r="5908">
      <c r="D5908" s="185"/>
      <c r="E5908" s="185" t="s">
        <v>470</v>
      </c>
      <c r="H5908" s="185"/>
    </row>
    <row r="5909">
      <c r="D5909" s="185"/>
      <c r="E5909" s="185" t="s">
        <v>470</v>
      </c>
      <c r="H5909" s="185"/>
    </row>
    <row r="5910">
      <c r="D5910" s="185"/>
      <c r="E5910" s="185" t="s">
        <v>470</v>
      </c>
      <c r="H5910" s="185"/>
    </row>
    <row r="5911">
      <c r="D5911" s="185"/>
      <c r="E5911" s="185" t="s">
        <v>470</v>
      </c>
      <c r="H5911" s="185"/>
    </row>
    <row r="5912">
      <c r="D5912" s="185"/>
      <c r="E5912" s="185" t="s">
        <v>470</v>
      </c>
      <c r="H5912" s="185"/>
    </row>
    <row r="5913">
      <c r="D5913" s="185"/>
      <c r="E5913" s="185" t="s">
        <v>470</v>
      </c>
      <c r="H5913" s="185"/>
    </row>
    <row r="5914">
      <c r="D5914" s="185"/>
      <c r="E5914" s="185" t="s">
        <v>470</v>
      </c>
      <c r="H5914" s="185"/>
    </row>
    <row r="5915">
      <c r="D5915" s="185"/>
      <c r="E5915" s="185" t="s">
        <v>470</v>
      </c>
      <c r="H5915" s="185"/>
    </row>
    <row r="5916">
      <c r="D5916" s="185"/>
      <c r="E5916" s="185" t="s">
        <v>470</v>
      </c>
      <c r="H5916" s="185"/>
    </row>
    <row r="5917">
      <c r="D5917" s="185"/>
      <c r="E5917" s="185" t="s">
        <v>470</v>
      </c>
      <c r="H5917" s="185"/>
    </row>
    <row r="5918">
      <c r="D5918" s="185"/>
      <c r="E5918" s="185" t="s">
        <v>470</v>
      </c>
      <c r="H5918" s="185"/>
    </row>
    <row r="5919">
      <c r="D5919" s="185"/>
      <c r="E5919" s="185" t="s">
        <v>470</v>
      </c>
      <c r="H5919" s="185"/>
    </row>
    <row r="5920">
      <c r="D5920" s="185"/>
      <c r="E5920" s="185" t="s">
        <v>470</v>
      </c>
      <c r="H5920" s="185"/>
    </row>
    <row r="5921">
      <c r="D5921" s="185"/>
      <c r="E5921" s="185" t="s">
        <v>470</v>
      </c>
      <c r="H5921" s="185"/>
    </row>
    <row r="5922">
      <c r="D5922" s="185"/>
      <c r="E5922" s="185" t="s">
        <v>470</v>
      </c>
      <c r="H5922" s="185"/>
    </row>
    <row r="5923">
      <c r="D5923" s="185"/>
      <c r="E5923" s="185" t="s">
        <v>470</v>
      </c>
      <c r="H5923" s="185"/>
    </row>
    <row r="5924">
      <c r="D5924" s="185"/>
      <c r="E5924" s="185" t="s">
        <v>470</v>
      </c>
      <c r="H5924" s="185"/>
    </row>
    <row r="5925">
      <c r="D5925" s="185"/>
      <c r="E5925" s="185" t="s">
        <v>470</v>
      </c>
      <c r="H5925" s="185"/>
    </row>
    <row r="5926">
      <c r="D5926" s="185"/>
      <c r="E5926" s="185" t="s">
        <v>470</v>
      </c>
      <c r="H5926" s="185"/>
    </row>
    <row r="5927">
      <c r="D5927" s="185"/>
      <c r="E5927" s="185" t="s">
        <v>470</v>
      </c>
      <c r="H5927" s="185"/>
    </row>
    <row r="5928">
      <c r="D5928" s="185"/>
      <c r="E5928" s="185" t="s">
        <v>470</v>
      </c>
      <c r="H5928" s="185"/>
    </row>
    <row r="5929">
      <c r="D5929" s="185"/>
      <c r="E5929" s="185" t="s">
        <v>470</v>
      </c>
      <c r="H5929" s="185"/>
    </row>
    <row r="5930">
      <c r="D5930" s="185"/>
      <c r="E5930" s="185" t="s">
        <v>470</v>
      </c>
      <c r="H5930" s="185"/>
    </row>
    <row r="5931">
      <c r="D5931" s="185"/>
      <c r="E5931" s="185" t="s">
        <v>470</v>
      </c>
      <c r="H5931" s="185"/>
    </row>
    <row r="5932">
      <c r="D5932" s="185"/>
      <c r="E5932" s="185" t="s">
        <v>470</v>
      </c>
      <c r="H5932" s="185"/>
    </row>
    <row r="5933">
      <c r="D5933" s="185"/>
      <c r="E5933" s="185" t="s">
        <v>470</v>
      </c>
      <c r="H5933" s="185"/>
    </row>
    <row r="5934">
      <c r="D5934" s="185"/>
      <c r="E5934" s="185" t="s">
        <v>470</v>
      </c>
      <c r="H5934" s="185"/>
    </row>
    <row r="5935">
      <c r="D5935" s="185"/>
      <c r="E5935" s="185" t="s">
        <v>470</v>
      </c>
      <c r="H5935" s="185"/>
    </row>
    <row r="5936">
      <c r="D5936" s="185"/>
      <c r="E5936" s="185" t="s">
        <v>470</v>
      </c>
      <c r="H5936" s="185"/>
    </row>
    <row r="5937">
      <c r="D5937" s="185"/>
      <c r="E5937" s="185" t="s">
        <v>470</v>
      </c>
      <c r="H5937" s="185"/>
    </row>
    <row r="5938">
      <c r="D5938" s="185"/>
      <c r="E5938" s="185" t="s">
        <v>470</v>
      </c>
      <c r="H5938" s="185"/>
    </row>
    <row r="5939">
      <c r="D5939" s="185"/>
      <c r="E5939" s="185" t="s">
        <v>470</v>
      </c>
      <c r="H5939" s="185"/>
    </row>
    <row r="5940">
      <c r="D5940" s="185"/>
      <c r="E5940" s="185" t="s">
        <v>470</v>
      </c>
      <c r="H5940" s="185"/>
    </row>
    <row r="5941">
      <c r="D5941" s="185"/>
      <c r="E5941" s="185" t="s">
        <v>470</v>
      </c>
      <c r="H5941" s="185"/>
    </row>
    <row r="5942">
      <c r="D5942" s="185"/>
      <c r="E5942" s="185" t="s">
        <v>470</v>
      </c>
      <c r="H5942" s="185"/>
    </row>
    <row r="5943">
      <c r="D5943" s="185"/>
      <c r="E5943" s="185" t="s">
        <v>470</v>
      </c>
      <c r="H5943" s="185"/>
    </row>
    <row r="5944">
      <c r="D5944" s="185"/>
      <c r="E5944" s="185" t="s">
        <v>470</v>
      </c>
      <c r="H5944" s="185"/>
    </row>
    <row r="5945">
      <c r="D5945" s="185"/>
      <c r="E5945" s="185" t="s">
        <v>470</v>
      </c>
      <c r="H5945" s="185"/>
    </row>
    <row r="5946">
      <c r="D5946" s="185"/>
      <c r="E5946" s="185" t="s">
        <v>470</v>
      </c>
      <c r="H5946" s="185"/>
    </row>
    <row r="5947">
      <c r="D5947" s="185"/>
      <c r="E5947" s="185" t="s">
        <v>470</v>
      </c>
      <c r="H5947" s="185"/>
    </row>
    <row r="5948">
      <c r="D5948" s="185"/>
      <c r="E5948" s="185" t="s">
        <v>470</v>
      </c>
      <c r="H5948" s="185"/>
    </row>
    <row r="5949">
      <c r="D5949" s="185"/>
      <c r="E5949" s="185" t="s">
        <v>470</v>
      </c>
      <c r="H5949" s="185"/>
    </row>
    <row r="5950">
      <c r="D5950" s="185"/>
      <c r="E5950" s="185" t="s">
        <v>470</v>
      </c>
      <c r="H5950" s="185"/>
    </row>
    <row r="5951">
      <c r="D5951" s="185"/>
      <c r="E5951" s="185" t="s">
        <v>470</v>
      </c>
      <c r="H5951" s="185"/>
    </row>
    <row r="5952">
      <c r="D5952" s="185"/>
      <c r="E5952" s="185" t="s">
        <v>470</v>
      </c>
      <c r="H5952" s="185"/>
    </row>
    <row r="5953">
      <c r="D5953" s="185"/>
      <c r="E5953" s="185" t="s">
        <v>470</v>
      </c>
      <c r="H5953" s="185"/>
    </row>
    <row r="5954">
      <c r="D5954" s="185"/>
      <c r="E5954" s="185" t="s">
        <v>470</v>
      </c>
      <c r="H5954" s="185"/>
    </row>
    <row r="5955">
      <c r="D5955" s="185"/>
      <c r="E5955" s="185" t="s">
        <v>470</v>
      </c>
      <c r="H5955" s="185"/>
    </row>
    <row r="5956">
      <c r="D5956" s="185"/>
      <c r="E5956" s="185" t="s">
        <v>470</v>
      </c>
      <c r="H5956" s="185"/>
    </row>
    <row r="5957">
      <c r="D5957" s="185"/>
      <c r="E5957" s="185" t="s">
        <v>470</v>
      </c>
      <c r="H5957" s="185"/>
    </row>
    <row r="5958">
      <c r="D5958" s="185"/>
      <c r="E5958" s="185" t="s">
        <v>470</v>
      </c>
      <c r="H5958" s="185"/>
    </row>
    <row r="5959">
      <c r="D5959" s="185"/>
      <c r="E5959" s="185" t="s">
        <v>470</v>
      </c>
      <c r="H5959" s="185"/>
    </row>
    <row r="5960">
      <c r="D5960" s="185"/>
      <c r="E5960" s="185" t="s">
        <v>470</v>
      </c>
      <c r="H5960" s="185"/>
    </row>
    <row r="5961">
      <c r="D5961" s="185"/>
      <c r="E5961" s="185" t="s">
        <v>470</v>
      </c>
      <c r="H5961" s="185"/>
    </row>
    <row r="5962">
      <c r="D5962" s="185"/>
      <c r="E5962" s="185" t="s">
        <v>470</v>
      </c>
      <c r="H5962" s="185"/>
    </row>
    <row r="5963">
      <c r="D5963" s="185"/>
      <c r="E5963" s="185" t="s">
        <v>470</v>
      </c>
      <c r="H5963" s="185"/>
    </row>
    <row r="5964">
      <c r="D5964" s="185"/>
      <c r="E5964" s="185" t="s">
        <v>470</v>
      </c>
      <c r="H5964" s="185"/>
    </row>
    <row r="5965">
      <c r="D5965" s="185"/>
      <c r="E5965" s="185" t="s">
        <v>470</v>
      </c>
      <c r="H5965" s="185"/>
    </row>
    <row r="5966">
      <c r="D5966" s="185"/>
      <c r="E5966" s="185" t="s">
        <v>470</v>
      </c>
      <c r="H5966" s="185"/>
    </row>
    <row r="5967">
      <c r="D5967" s="185"/>
      <c r="E5967" s="185" t="s">
        <v>470</v>
      </c>
      <c r="H5967" s="185"/>
    </row>
    <row r="5968">
      <c r="D5968" s="185"/>
      <c r="E5968" s="185" t="s">
        <v>470</v>
      </c>
      <c r="H5968" s="185"/>
    </row>
    <row r="5969">
      <c r="D5969" s="185"/>
      <c r="E5969" s="185" t="s">
        <v>470</v>
      </c>
      <c r="H5969" s="185"/>
    </row>
    <row r="5970">
      <c r="D5970" s="185"/>
      <c r="E5970" s="185" t="s">
        <v>470</v>
      </c>
      <c r="H5970" s="185"/>
    </row>
    <row r="5971">
      <c r="D5971" s="185"/>
      <c r="E5971" s="185" t="s">
        <v>470</v>
      </c>
      <c r="H5971" s="185"/>
    </row>
    <row r="5972">
      <c r="D5972" s="185"/>
      <c r="E5972" s="185" t="s">
        <v>470</v>
      </c>
      <c r="H5972" s="185"/>
    </row>
    <row r="5973">
      <c r="D5973" s="185"/>
      <c r="E5973" s="185" t="s">
        <v>470</v>
      </c>
      <c r="H5973" s="185"/>
    </row>
    <row r="5974">
      <c r="D5974" s="185"/>
      <c r="E5974" s="185" t="s">
        <v>470</v>
      </c>
      <c r="H5974" s="185"/>
    </row>
    <row r="5975">
      <c r="D5975" s="185"/>
      <c r="E5975" s="185" t="s">
        <v>470</v>
      </c>
      <c r="H5975" s="185"/>
    </row>
    <row r="5976">
      <c r="D5976" s="185"/>
      <c r="E5976" s="185" t="s">
        <v>470</v>
      </c>
      <c r="H5976" s="185"/>
    </row>
    <row r="5977">
      <c r="D5977" s="185"/>
      <c r="E5977" s="185" t="s">
        <v>470</v>
      </c>
      <c r="H5977" s="185"/>
    </row>
    <row r="5978">
      <c r="D5978" s="185"/>
      <c r="E5978" s="185" t="s">
        <v>470</v>
      </c>
      <c r="H5978" s="185"/>
    </row>
    <row r="5979">
      <c r="D5979" s="185"/>
      <c r="E5979" s="185" t="s">
        <v>470</v>
      </c>
      <c r="H5979" s="185"/>
    </row>
    <row r="5980">
      <c r="D5980" s="185"/>
      <c r="E5980" s="185" t="s">
        <v>470</v>
      </c>
      <c r="H5980" s="185"/>
    </row>
    <row r="5981">
      <c r="D5981" s="185"/>
      <c r="E5981" s="185" t="s">
        <v>470</v>
      </c>
      <c r="H5981" s="185"/>
    </row>
    <row r="5982">
      <c r="D5982" s="185"/>
      <c r="E5982" s="185" t="s">
        <v>470</v>
      </c>
      <c r="H5982" s="185"/>
    </row>
    <row r="5983">
      <c r="D5983" s="185"/>
      <c r="E5983" s="185" t="s">
        <v>470</v>
      </c>
      <c r="H5983" s="185"/>
    </row>
    <row r="5984">
      <c r="D5984" s="185"/>
      <c r="E5984" s="185" t="s">
        <v>470</v>
      </c>
      <c r="H5984" s="185"/>
    </row>
    <row r="5985">
      <c r="D5985" s="185"/>
      <c r="E5985" s="185" t="s">
        <v>470</v>
      </c>
      <c r="H5985" s="185"/>
    </row>
    <row r="5986">
      <c r="D5986" s="185"/>
      <c r="E5986" s="185" t="s">
        <v>470</v>
      </c>
      <c r="H5986" s="185"/>
    </row>
    <row r="5987">
      <c r="D5987" s="185"/>
      <c r="E5987" s="185" t="s">
        <v>470</v>
      </c>
      <c r="H5987" s="185"/>
    </row>
    <row r="5988">
      <c r="D5988" s="185"/>
      <c r="E5988" s="185" t="s">
        <v>470</v>
      </c>
      <c r="H5988" s="185"/>
    </row>
    <row r="5989">
      <c r="D5989" s="185"/>
      <c r="E5989" s="185" t="s">
        <v>470</v>
      </c>
      <c r="H5989" s="185"/>
    </row>
    <row r="5990">
      <c r="D5990" s="185"/>
      <c r="E5990" s="185" t="s">
        <v>470</v>
      </c>
      <c r="H5990" s="185"/>
    </row>
    <row r="5991">
      <c r="D5991" s="185"/>
      <c r="E5991" s="185" t="s">
        <v>470</v>
      </c>
      <c r="H5991" s="185"/>
    </row>
    <row r="5992">
      <c r="D5992" s="185"/>
      <c r="E5992" s="185" t="s">
        <v>470</v>
      </c>
      <c r="H5992" s="185"/>
    </row>
    <row r="5993">
      <c r="D5993" s="185"/>
      <c r="E5993" s="185" t="s">
        <v>470</v>
      </c>
      <c r="H5993" s="185"/>
    </row>
    <row r="5994">
      <c r="D5994" s="185"/>
      <c r="E5994" s="185" t="s">
        <v>470</v>
      </c>
      <c r="H5994" s="185"/>
    </row>
    <row r="5995">
      <c r="D5995" s="185"/>
      <c r="E5995" s="185" t="s">
        <v>470</v>
      </c>
      <c r="H5995" s="185"/>
    </row>
    <row r="5996">
      <c r="D5996" s="185"/>
      <c r="E5996" s="185" t="s">
        <v>470</v>
      </c>
      <c r="H5996" s="185"/>
    </row>
    <row r="5997">
      <c r="D5997" s="185"/>
      <c r="E5997" s="185" t="s">
        <v>470</v>
      </c>
      <c r="H5997" s="185"/>
    </row>
    <row r="5998">
      <c r="D5998" s="185"/>
      <c r="E5998" s="185" t="s">
        <v>470</v>
      </c>
      <c r="H5998" s="185"/>
    </row>
    <row r="5999">
      <c r="D5999" s="185"/>
      <c r="E5999" s="185" t="s">
        <v>470</v>
      </c>
      <c r="H5999" s="185"/>
    </row>
    <row r="6000">
      <c r="D6000" s="185"/>
      <c r="E6000" s="185" t="s">
        <v>470</v>
      </c>
      <c r="H6000" s="185"/>
    </row>
    <row r="6001">
      <c r="D6001" s="185"/>
      <c r="E6001" s="185" t="s">
        <v>470</v>
      </c>
      <c r="H6001" s="185"/>
    </row>
    <row r="6002">
      <c r="D6002" s="185"/>
      <c r="E6002" s="185" t="s">
        <v>470</v>
      </c>
      <c r="H6002" s="185"/>
    </row>
    <row r="6003">
      <c r="D6003" s="185"/>
      <c r="E6003" s="185" t="s">
        <v>470</v>
      </c>
      <c r="H6003" s="185"/>
    </row>
    <row r="6004">
      <c r="D6004" s="185"/>
      <c r="E6004" s="185" t="s">
        <v>470</v>
      </c>
      <c r="H6004" s="185"/>
    </row>
    <row r="6005">
      <c r="D6005" s="185"/>
      <c r="E6005" s="185" t="s">
        <v>470</v>
      </c>
      <c r="H6005" s="185"/>
    </row>
    <row r="6006">
      <c r="D6006" s="185"/>
      <c r="E6006" s="185" t="s">
        <v>470</v>
      </c>
      <c r="H6006" s="185"/>
    </row>
    <row r="6007">
      <c r="D6007" s="185"/>
      <c r="E6007" s="185" t="s">
        <v>470</v>
      </c>
      <c r="H6007" s="185"/>
    </row>
    <row r="6008">
      <c r="D6008" s="185"/>
      <c r="E6008" s="185" t="s">
        <v>470</v>
      </c>
      <c r="H6008" s="185"/>
    </row>
    <row r="6009">
      <c r="D6009" s="185"/>
      <c r="E6009" s="185" t="s">
        <v>470</v>
      </c>
      <c r="H6009" s="185"/>
    </row>
    <row r="6010">
      <c r="D6010" s="185"/>
      <c r="E6010" s="185" t="s">
        <v>470</v>
      </c>
      <c r="H6010" s="185"/>
    </row>
    <row r="6011">
      <c r="D6011" s="185"/>
      <c r="E6011" s="185" t="s">
        <v>470</v>
      </c>
      <c r="H6011" s="185"/>
    </row>
    <row r="6012">
      <c r="D6012" s="185"/>
      <c r="E6012" s="185" t="s">
        <v>470</v>
      </c>
      <c r="H6012" s="185"/>
    </row>
    <row r="6013">
      <c r="D6013" s="185"/>
      <c r="E6013" s="185" t="s">
        <v>470</v>
      </c>
      <c r="H6013" s="185"/>
    </row>
    <row r="6014">
      <c r="D6014" s="185"/>
      <c r="E6014" s="185" t="s">
        <v>470</v>
      </c>
      <c r="H6014" s="185"/>
    </row>
    <row r="6015">
      <c r="D6015" s="185"/>
      <c r="E6015" s="185" t="s">
        <v>470</v>
      </c>
      <c r="H6015" s="185"/>
    </row>
    <row r="6016">
      <c r="D6016" s="185"/>
      <c r="E6016" s="185" t="s">
        <v>470</v>
      </c>
      <c r="H6016" s="185"/>
    </row>
    <row r="6017">
      <c r="D6017" s="185"/>
      <c r="E6017" s="185" t="s">
        <v>470</v>
      </c>
      <c r="H6017" s="185"/>
    </row>
    <row r="6018">
      <c r="D6018" s="185"/>
      <c r="E6018" s="185" t="s">
        <v>470</v>
      </c>
      <c r="H6018" s="185"/>
    </row>
    <row r="6019">
      <c r="D6019" s="185"/>
      <c r="E6019" s="185" t="s">
        <v>470</v>
      </c>
      <c r="H6019" s="185"/>
    </row>
    <row r="6020">
      <c r="D6020" s="185"/>
      <c r="E6020" s="185" t="s">
        <v>470</v>
      </c>
      <c r="H6020" s="185"/>
    </row>
    <row r="6021">
      <c r="D6021" s="185"/>
      <c r="E6021" s="185" t="s">
        <v>470</v>
      </c>
      <c r="H6021" s="185"/>
    </row>
    <row r="6022">
      <c r="D6022" s="185"/>
      <c r="E6022" s="185" t="s">
        <v>470</v>
      </c>
      <c r="H6022" s="185"/>
    </row>
    <row r="6023">
      <c r="D6023" s="185"/>
      <c r="E6023" s="185" t="s">
        <v>470</v>
      </c>
      <c r="H6023" s="185"/>
    </row>
    <row r="6024">
      <c r="D6024" s="185"/>
      <c r="E6024" s="185" t="s">
        <v>470</v>
      </c>
      <c r="H6024" s="185"/>
    </row>
    <row r="6025">
      <c r="D6025" s="185"/>
      <c r="E6025" s="185" t="s">
        <v>470</v>
      </c>
      <c r="H6025" s="185"/>
    </row>
    <row r="6026">
      <c r="D6026" s="185"/>
      <c r="E6026" s="185" t="s">
        <v>470</v>
      </c>
      <c r="H6026" s="185"/>
    </row>
    <row r="6027">
      <c r="D6027" s="185"/>
      <c r="E6027" s="185" t="s">
        <v>470</v>
      </c>
      <c r="H6027" s="185"/>
    </row>
    <row r="6028">
      <c r="D6028" s="185"/>
      <c r="E6028" s="185" t="s">
        <v>470</v>
      </c>
      <c r="H6028" s="185"/>
    </row>
    <row r="6029">
      <c r="D6029" s="185"/>
      <c r="E6029" s="185" t="s">
        <v>470</v>
      </c>
      <c r="H6029" s="185"/>
    </row>
    <row r="6030">
      <c r="D6030" s="185"/>
      <c r="E6030" s="185" t="s">
        <v>470</v>
      </c>
      <c r="H6030" s="185"/>
    </row>
    <row r="6031">
      <c r="D6031" s="185"/>
      <c r="E6031" s="185" t="s">
        <v>470</v>
      </c>
      <c r="H6031" s="185"/>
    </row>
    <row r="6032">
      <c r="D6032" s="185"/>
      <c r="E6032" s="185" t="s">
        <v>470</v>
      </c>
      <c r="H6032" s="185"/>
    </row>
    <row r="6033">
      <c r="D6033" s="185"/>
      <c r="E6033" s="185" t="s">
        <v>470</v>
      </c>
      <c r="H6033" s="185"/>
    </row>
    <row r="6034">
      <c r="D6034" s="185"/>
      <c r="E6034" s="185" t="s">
        <v>470</v>
      </c>
      <c r="H6034" s="185"/>
    </row>
    <row r="6035">
      <c r="D6035" s="185"/>
      <c r="E6035" s="185" t="s">
        <v>470</v>
      </c>
      <c r="H6035" s="185"/>
    </row>
    <row r="6036">
      <c r="D6036" s="185"/>
      <c r="E6036" s="185" t="s">
        <v>470</v>
      </c>
      <c r="H6036" s="185"/>
    </row>
    <row r="6037">
      <c r="D6037" s="185"/>
      <c r="E6037" s="185" t="s">
        <v>470</v>
      </c>
      <c r="H6037" s="185"/>
    </row>
    <row r="6038">
      <c r="D6038" s="185"/>
      <c r="E6038" s="185" t="s">
        <v>470</v>
      </c>
      <c r="H6038" s="185"/>
    </row>
    <row r="6039">
      <c r="D6039" s="185"/>
      <c r="E6039" s="185" t="s">
        <v>470</v>
      </c>
      <c r="H6039" s="185"/>
    </row>
    <row r="6040">
      <c r="D6040" s="185"/>
      <c r="E6040" s="185" t="s">
        <v>470</v>
      </c>
      <c r="H6040" s="185"/>
    </row>
    <row r="6041">
      <c r="D6041" s="185"/>
      <c r="E6041" s="185" t="s">
        <v>470</v>
      </c>
      <c r="H6041" s="185"/>
    </row>
    <row r="6042">
      <c r="D6042" s="185"/>
      <c r="E6042" s="185" t="s">
        <v>470</v>
      </c>
      <c r="H6042" s="185"/>
    </row>
    <row r="6043">
      <c r="D6043" s="185"/>
      <c r="E6043" s="185" t="s">
        <v>470</v>
      </c>
      <c r="H6043" s="185"/>
    </row>
    <row r="6044">
      <c r="D6044" s="185"/>
      <c r="E6044" s="185" t="s">
        <v>470</v>
      </c>
      <c r="H6044" s="185"/>
    </row>
    <row r="6045">
      <c r="D6045" s="185"/>
      <c r="E6045" s="185" t="s">
        <v>470</v>
      </c>
      <c r="H6045" s="185"/>
    </row>
    <row r="6046">
      <c r="D6046" s="185"/>
      <c r="E6046" s="185" t="s">
        <v>470</v>
      </c>
      <c r="H6046" s="185"/>
    </row>
    <row r="6047">
      <c r="D6047" s="185"/>
      <c r="E6047" s="185" t="s">
        <v>470</v>
      </c>
      <c r="H6047" s="185"/>
    </row>
    <row r="6048">
      <c r="D6048" s="185"/>
      <c r="E6048" s="185" t="s">
        <v>470</v>
      </c>
      <c r="H6048" s="185"/>
    </row>
    <row r="6049">
      <c r="D6049" s="185"/>
      <c r="E6049" s="185" t="s">
        <v>470</v>
      </c>
      <c r="H6049" s="185"/>
    </row>
    <row r="6050">
      <c r="D6050" s="185"/>
      <c r="E6050" s="185" t="s">
        <v>470</v>
      </c>
      <c r="H6050" s="185"/>
    </row>
    <row r="6051">
      <c r="D6051" s="185"/>
      <c r="E6051" s="185" t="s">
        <v>470</v>
      </c>
      <c r="H6051" s="185"/>
    </row>
    <row r="6052">
      <c r="D6052" s="185"/>
      <c r="E6052" s="185" t="s">
        <v>470</v>
      </c>
      <c r="H6052" s="185"/>
    </row>
    <row r="6053">
      <c r="D6053" s="185"/>
      <c r="E6053" s="185" t="s">
        <v>470</v>
      </c>
      <c r="H6053" s="185"/>
    </row>
    <row r="6054">
      <c r="D6054" s="185"/>
      <c r="E6054" s="185" t="s">
        <v>470</v>
      </c>
      <c r="H6054" s="185"/>
    </row>
    <row r="6055">
      <c r="D6055" s="185"/>
      <c r="E6055" s="185" t="s">
        <v>470</v>
      </c>
      <c r="H6055" s="185"/>
    </row>
    <row r="6056">
      <c r="D6056" s="185"/>
      <c r="E6056" s="185" t="s">
        <v>470</v>
      </c>
      <c r="H6056" s="185"/>
    </row>
    <row r="6057">
      <c r="D6057" s="185"/>
      <c r="E6057" s="185" t="s">
        <v>470</v>
      </c>
      <c r="H6057" s="185"/>
    </row>
    <row r="6058">
      <c r="D6058" s="185"/>
      <c r="E6058" s="185" t="s">
        <v>470</v>
      </c>
      <c r="H6058" s="185"/>
    </row>
    <row r="6059">
      <c r="D6059" s="185"/>
      <c r="E6059" s="185" t="s">
        <v>470</v>
      </c>
      <c r="H6059" s="185"/>
    </row>
    <row r="6060">
      <c r="D6060" s="185"/>
      <c r="E6060" s="185" t="s">
        <v>470</v>
      </c>
      <c r="H6060" s="185"/>
    </row>
    <row r="6061">
      <c r="D6061" s="185"/>
      <c r="E6061" s="185" t="s">
        <v>470</v>
      </c>
      <c r="H6061" s="185"/>
    </row>
    <row r="6062">
      <c r="D6062" s="185"/>
      <c r="E6062" s="185" t="s">
        <v>470</v>
      </c>
      <c r="H6062" s="185"/>
    </row>
    <row r="6063">
      <c r="D6063" s="185"/>
      <c r="E6063" s="185" t="s">
        <v>470</v>
      </c>
      <c r="H6063" s="185"/>
    </row>
    <row r="6064">
      <c r="D6064" s="185"/>
      <c r="E6064" s="185" t="s">
        <v>470</v>
      </c>
      <c r="H6064" s="185"/>
    </row>
    <row r="6065">
      <c r="D6065" s="185"/>
      <c r="E6065" s="185" t="s">
        <v>470</v>
      </c>
      <c r="H6065" s="185"/>
    </row>
    <row r="6066">
      <c r="D6066" s="185"/>
      <c r="E6066" s="185" t="s">
        <v>470</v>
      </c>
      <c r="H6066" s="185"/>
    </row>
    <row r="6067">
      <c r="D6067" s="185"/>
      <c r="E6067" s="185" t="s">
        <v>470</v>
      </c>
      <c r="H6067" s="185"/>
    </row>
    <row r="6068">
      <c r="D6068" s="185"/>
      <c r="E6068" s="185" t="s">
        <v>470</v>
      </c>
      <c r="H6068" s="185"/>
    </row>
    <row r="6069">
      <c r="D6069" s="185"/>
      <c r="E6069" s="185" t="s">
        <v>470</v>
      </c>
      <c r="H6069" s="185"/>
    </row>
    <row r="6070">
      <c r="D6070" s="185"/>
      <c r="E6070" s="185" t="s">
        <v>470</v>
      </c>
      <c r="H6070" s="185"/>
    </row>
    <row r="6071">
      <c r="D6071" s="185"/>
      <c r="E6071" s="185" t="s">
        <v>470</v>
      </c>
      <c r="H6071" s="185"/>
    </row>
    <row r="6072">
      <c r="D6072" s="185"/>
      <c r="E6072" s="185" t="s">
        <v>470</v>
      </c>
      <c r="H6072" s="185"/>
    </row>
    <row r="6073">
      <c r="D6073" s="185"/>
      <c r="E6073" s="185" t="s">
        <v>470</v>
      </c>
      <c r="H6073" s="185"/>
    </row>
    <row r="6074">
      <c r="D6074" s="185"/>
      <c r="E6074" s="185" t="s">
        <v>470</v>
      </c>
      <c r="H6074" s="185"/>
    </row>
    <row r="6075">
      <c r="D6075" s="185"/>
      <c r="E6075" s="185" t="s">
        <v>470</v>
      </c>
      <c r="H6075" s="185"/>
    </row>
    <row r="6076">
      <c r="D6076" s="185"/>
      <c r="E6076" s="185" t="s">
        <v>470</v>
      </c>
      <c r="H6076" s="185"/>
    </row>
    <row r="6077">
      <c r="D6077" s="185"/>
      <c r="E6077" s="185" t="s">
        <v>470</v>
      </c>
      <c r="H6077" s="185"/>
    </row>
    <row r="6078">
      <c r="D6078" s="185"/>
      <c r="E6078" s="185" t="s">
        <v>470</v>
      </c>
      <c r="H6078" s="185"/>
    </row>
    <row r="6079">
      <c r="D6079" s="185"/>
      <c r="E6079" s="185" t="s">
        <v>470</v>
      </c>
      <c r="H6079" s="185"/>
    </row>
    <row r="6080">
      <c r="D6080" s="185"/>
      <c r="E6080" s="185" t="s">
        <v>470</v>
      </c>
      <c r="H6080" s="185"/>
    </row>
    <row r="6081">
      <c r="D6081" s="185"/>
      <c r="E6081" s="185" t="s">
        <v>470</v>
      </c>
      <c r="H6081" s="185"/>
    </row>
    <row r="6082">
      <c r="D6082" s="185"/>
      <c r="E6082" s="185" t="s">
        <v>470</v>
      </c>
      <c r="H6082" s="185"/>
    </row>
    <row r="6083">
      <c r="D6083" s="185"/>
      <c r="E6083" s="185" t="s">
        <v>470</v>
      </c>
      <c r="H6083" s="185"/>
    </row>
    <row r="6084">
      <c r="D6084" s="185"/>
      <c r="E6084" s="185" t="s">
        <v>470</v>
      </c>
      <c r="H6084" s="185"/>
    </row>
    <row r="6085">
      <c r="D6085" s="185"/>
      <c r="E6085" s="185" t="s">
        <v>470</v>
      </c>
      <c r="H6085" s="185"/>
    </row>
    <row r="6086">
      <c r="D6086" s="185"/>
      <c r="E6086" s="185" t="s">
        <v>470</v>
      </c>
      <c r="H6086" s="185"/>
    </row>
    <row r="6087">
      <c r="D6087" s="185"/>
      <c r="E6087" s="185" t="s">
        <v>470</v>
      </c>
      <c r="H6087" s="185"/>
    </row>
    <row r="6088">
      <c r="D6088" s="185"/>
      <c r="E6088" s="185" t="s">
        <v>470</v>
      </c>
      <c r="H6088" s="185"/>
    </row>
    <row r="6089">
      <c r="D6089" s="185"/>
      <c r="E6089" s="185" t="s">
        <v>470</v>
      </c>
      <c r="H6089" s="185"/>
    </row>
    <row r="6090">
      <c r="D6090" s="185"/>
      <c r="E6090" s="185" t="s">
        <v>470</v>
      </c>
      <c r="H6090" s="185"/>
    </row>
    <row r="6091">
      <c r="D6091" s="185"/>
      <c r="E6091" s="185" t="s">
        <v>470</v>
      </c>
      <c r="H6091" s="185"/>
    </row>
    <row r="6092">
      <c r="D6092" s="185"/>
      <c r="E6092" s="185" t="s">
        <v>470</v>
      </c>
      <c r="H6092" s="185"/>
    </row>
    <row r="6093">
      <c r="D6093" s="185"/>
      <c r="E6093" s="185" t="s">
        <v>470</v>
      </c>
      <c r="H6093" s="185"/>
    </row>
    <row r="6094">
      <c r="D6094" s="185"/>
      <c r="E6094" s="185" t="s">
        <v>470</v>
      </c>
      <c r="H6094" s="185"/>
    </row>
    <row r="6095">
      <c r="D6095" s="185"/>
      <c r="E6095" s="185" t="s">
        <v>470</v>
      </c>
      <c r="H6095" s="185"/>
    </row>
    <row r="6096">
      <c r="D6096" s="185"/>
      <c r="E6096" s="185" t="s">
        <v>470</v>
      </c>
      <c r="H6096" s="185"/>
    </row>
    <row r="6097">
      <c r="D6097" s="185"/>
      <c r="E6097" s="185" t="s">
        <v>470</v>
      </c>
      <c r="H6097" s="185"/>
    </row>
    <row r="6098">
      <c r="D6098" s="185"/>
      <c r="E6098" s="185" t="s">
        <v>470</v>
      </c>
      <c r="H6098" s="185"/>
    </row>
    <row r="6099">
      <c r="D6099" s="185"/>
      <c r="E6099" s="185" t="s">
        <v>470</v>
      </c>
      <c r="H6099" s="185"/>
    </row>
    <row r="6100">
      <c r="D6100" s="185"/>
      <c r="E6100" s="185" t="s">
        <v>470</v>
      </c>
      <c r="H6100" s="185"/>
    </row>
    <row r="6101">
      <c r="D6101" s="185"/>
      <c r="E6101" s="185" t="s">
        <v>470</v>
      </c>
      <c r="H6101" s="185"/>
    </row>
    <row r="6102">
      <c r="D6102" s="185"/>
      <c r="E6102" s="185" t="s">
        <v>470</v>
      </c>
      <c r="H6102" s="185"/>
    </row>
    <row r="6103">
      <c r="D6103" s="185"/>
      <c r="E6103" s="185" t="s">
        <v>470</v>
      </c>
      <c r="H6103" s="185"/>
    </row>
    <row r="6104">
      <c r="D6104" s="185"/>
      <c r="E6104" s="185" t="s">
        <v>470</v>
      </c>
      <c r="H6104" s="185"/>
    </row>
    <row r="6105">
      <c r="D6105" s="185"/>
      <c r="E6105" s="185" t="s">
        <v>470</v>
      </c>
      <c r="H6105" s="185"/>
    </row>
    <row r="6106">
      <c r="D6106" s="185"/>
      <c r="E6106" s="185" t="s">
        <v>470</v>
      </c>
      <c r="H6106" s="185"/>
    </row>
    <row r="6107">
      <c r="D6107" s="185"/>
      <c r="E6107" s="185" t="s">
        <v>470</v>
      </c>
      <c r="H6107" s="185"/>
    </row>
    <row r="6108">
      <c r="D6108" s="185"/>
      <c r="E6108" s="185" t="s">
        <v>470</v>
      </c>
      <c r="H6108" s="185"/>
    </row>
    <row r="6109">
      <c r="D6109" s="185"/>
      <c r="E6109" s="185" t="s">
        <v>470</v>
      </c>
      <c r="H6109" s="185"/>
    </row>
    <row r="6110">
      <c r="D6110" s="185"/>
      <c r="E6110" s="185" t="s">
        <v>470</v>
      </c>
      <c r="H6110" s="185"/>
    </row>
    <row r="6111">
      <c r="D6111" s="185"/>
      <c r="E6111" s="185" t="s">
        <v>470</v>
      </c>
      <c r="H6111" s="185"/>
    </row>
    <row r="6112">
      <c r="D6112" s="185"/>
      <c r="E6112" s="185" t="s">
        <v>470</v>
      </c>
      <c r="H6112" s="185"/>
    </row>
    <row r="6113">
      <c r="D6113" s="185"/>
      <c r="E6113" s="185" t="s">
        <v>470</v>
      </c>
      <c r="H6113" s="185"/>
    </row>
    <row r="6114">
      <c r="D6114" s="185"/>
      <c r="E6114" s="185" t="s">
        <v>470</v>
      </c>
      <c r="H6114" s="185"/>
    </row>
    <row r="6115">
      <c r="D6115" s="185"/>
      <c r="E6115" s="185" t="s">
        <v>470</v>
      </c>
      <c r="H6115" s="185"/>
    </row>
    <row r="6116">
      <c r="D6116" s="185"/>
      <c r="E6116" s="185" t="s">
        <v>470</v>
      </c>
      <c r="H6116" s="185"/>
    </row>
    <row r="6117">
      <c r="D6117" s="185"/>
      <c r="E6117" s="185" t="s">
        <v>470</v>
      </c>
      <c r="H6117" s="185"/>
    </row>
    <row r="6118">
      <c r="D6118" s="185"/>
      <c r="E6118" s="185" t="s">
        <v>470</v>
      </c>
      <c r="H6118" s="185"/>
    </row>
    <row r="6119">
      <c r="D6119" s="185"/>
      <c r="E6119" s="185" t="s">
        <v>470</v>
      </c>
      <c r="H6119" s="185"/>
    </row>
    <row r="6120">
      <c r="D6120" s="185"/>
      <c r="E6120" s="185" t="s">
        <v>470</v>
      </c>
      <c r="H6120" s="185"/>
    </row>
    <row r="6121">
      <c r="D6121" s="185"/>
      <c r="E6121" s="185" t="s">
        <v>470</v>
      </c>
      <c r="H6121" s="185"/>
    </row>
    <row r="6122">
      <c r="D6122" s="185"/>
      <c r="E6122" s="185" t="s">
        <v>470</v>
      </c>
      <c r="H6122" s="185"/>
    </row>
    <row r="6123">
      <c r="D6123" s="185"/>
      <c r="E6123" s="185" t="s">
        <v>470</v>
      </c>
      <c r="H6123" s="185"/>
    </row>
    <row r="6124">
      <c r="D6124" s="185"/>
      <c r="E6124" s="185" t="s">
        <v>470</v>
      </c>
      <c r="H6124" s="185"/>
    </row>
    <row r="6125">
      <c r="D6125" s="185"/>
      <c r="E6125" s="185" t="s">
        <v>470</v>
      </c>
      <c r="H6125" s="185"/>
    </row>
    <row r="6126">
      <c r="D6126" s="185"/>
      <c r="E6126" s="185" t="s">
        <v>470</v>
      </c>
      <c r="H6126" s="185"/>
    </row>
    <row r="6127">
      <c r="D6127" s="185"/>
      <c r="E6127" s="185" t="s">
        <v>470</v>
      </c>
      <c r="H6127" s="185"/>
    </row>
    <row r="6128">
      <c r="D6128" s="185"/>
      <c r="E6128" s="185" t="s">
        <v>470</v>
      </c>
      <c r="H6128" s="185"/>
    </row>
    <row r="6129">
      <c r="D6129" s="185"/>
      <c r="E6129" s="185" t="s">
        <v>470</v>
      </c>
      <c r="H6129" s="185"/>
    </row>
    <row r="6130">
      <c r="D6130" s="185"/>
      <c r="E6130" s="185" t="s">
        <v>470</v>
      </c>
      <c r="H6130" s="185"/>
    </row>
    <row r="6131">
      <c r="D6131" s="185"/>
      <c r="E6131" s="185" t="s">
        <v>470</v>
      </c>
      <c r="H6131" s="185"/>
    </row>
    <row r="6132">
      <c r="D6132" s="185"/>
      <c r="E6132" s="185" t="s">
        <v>470</v>
      </c>
      <c r="H6132" s="185"/>
    </row>
    <row r="6133">
      <c r="D6133" s="185"/>
      <c r="E6133" s="185" t="s">
        <v>470</v>
      </c>
      <c r="H6133" s="185"/>
    </row>
    <row r="6134">
      <c r="D6134" s="185"/>
      <c r="E6134" s="185" t="s">
        <v>470</v>
      </c>
      <c r="H6134" s="185"/>
    </row>
    <row r="6135">
      <c r="D6135" s="185"/>
      <c r="E6135" s="185" t="s">
        <v>470</v>
      </c>
      <c r="H6135" s="185"/>
    </row>
    <row r="6136">
      <c r="D6136" s="185"/>
      <c r="E6136" s="185" t="s">
        <v>470</v>
      </c>
      <c r="H6136" s="185"/>
    </row>
    <row r="6137">
      <c r="D6137" s="185"/>
      <c r="E6137" s="185" t="s">
        <v>470</v>
      </c>
      <c r="H6137" s="185"/>
    </row>
    <row r="6138">
      <c r="D6138" s="185"/>
      <c r="E6138" s="185" t="s">
        <v>470</v>
      </c>
      <c r="H6138" s="185"/>
    </row>
    <row r="6139">
      <c r="D6139" s="185"/>
      <c r="E6139" s="185" t="s">
        <v>470</v>
      </c>
      <c r="H6139" s="185"/>
    </row>
    <row r="6140">
      <c r="D6140" s="185"/>
      <c r="E6140" s="185" t="s">
        <v>470</v>
      </c>
      <c r="H6140" s="185"/>
    </row>
    <row r="6141">
      <c r="D6141" s="185"/>
      <c r="E6141" s="185" t="s">
        <v>470</v>
      </c>
      <c r="H6141" s="185"/>
    </row>
    <row r="6142">
      <c r="D6142" s="185"/>
      <c r="E6142" s="185" t="s">
        <v>470</v>
      </c>
      <c r="H6142" s="185"/>
    </row>
    <row r="6143">
      <c r="D6143" s="185"/>
      <c r="E6143" s="185" t="s">
        <v>470</v>
      </c>
      <c r="H6143" s="185"/>
    </row>
    <row r="6144">
      <c r="D6144" s="185"/>
      <c r="E6144" s="185" t="s">
        <v>470</v>
      </c>
      <c r="H6144" s="185"/>
    </row>
    <row r="6145">
      <c r="D6145" s="185"/>
      <c r="E6145" s="185" t="s">
        <v>470</v>
      </c>
      <c r="H6145" s="185"/>
    </row>
    <row r="6146">
      <c r="D6146" s="185"/>
      <c r="E6146" s="185" t="s">
        <v>470</v>
      </c>
      <c r="H6146" s="185"/>
    </row>
    <row r="6147">
      <c r="D6147" s="185"/>
      <c r="E6147" s="185" t="s">
        <v>470</v>
      </c>
      <c r="H6147" s="185"/>
    </row>
    <row r="6148">
      <c r="D6148" s="185"/>
      <c r="E6148" s="185" t="s">
        <v>470</v>
      </c>
      <c r="H6148" s="185"/>
    </row>
    <row r="6149">
      <c r="D6149" s="185"/>
      <c r="E6149" s="185" t="s">
        <v>470</v>
      </c>
      <c r="H6149" s="185"/>
    </row>
    <row r="6150">
      <c r="D6150" s="185"/>
      <c r="E6150" s="185" t="s">
        <v>470</v>
      </c>
      <c r="H6150" s="185"/>
    </row>
    <row r="6151">
      <c r="D6151" s="185"/>
      <c r="E6151" s="185" t="s">
        <v>470</v>
      </c>
      <c r="H6151" s="185"/>
    </row>
    <row r="6152">
      <c r="D6152" s="185"/>
      <c r="E6152" s="185" t="s">
        <v>470</v>
      </c>
      <c r="H6152" s="185"/>
    </row>
    <row r="6153">
      <c r="D6153" s="185"/>
      <c r="E6153" s="185" t="s">
        <v>470</v>
      </c>
      <c r="H6153" s="185"/>
    </row>
    <row r="6154">
      <c r="D6154" s="185"/>
      <c r="E6154" s="185" t="s">
        <v>470</v>
      </c>
      <c r="H6154" s="185"/>
    </row>
    <row r="6155">
      <c r="D6155" s="185"/>
      <c r="E6155" s="185" t="s">
        <v>470</v>
      </c>
      <c r="H6155" s="185"/>
    </row>
    <row r="6156">
      <c r="D6156" s="185"/>
      <c r="E6156" s="185" t="s">
        <v>470</v>
      </c>
      <c r="H6156" s="185"/>
    </row>
    <row r="6157">
      <c r="D6157" s="185"/>
      <c r="E6157" s="185" t="s">
        <v>470</v>
      </c>
      <c r="H6157" s="185"/>
    </row>
    <row r="6158">
      <c r="D6158" s="185"/>
      <c r="E6158" s="185" t="s">
        <v>470</v>
      </c>
      <c r="H6158" s="185"/>
    </row>
    <row r="6159">
      <c r="D6159" s="185"/>
      <c r="E6159" s="185" t="s">
        <v>470</v>
      </c>
      <c r="H6159" s="185"/>
    </row>
    <row r="6160">
      <c r="D6160" s="185"/>
      <c r="E6160" s="185" t="s">
        <v>470</v>
      </c>
      <c r="H6160" s="185"/>
    </row>
    <row r="6161">
      <c r="D6161" s="185"/>
      <c r="E6161" s="185" t="s">
        <v>470</v>
      </c>
      <c r="H6161" s="185"/>
    </row>
    <row r="6162">
      <c r="D6162" s="185"/>
      <c r="E6162" s="185" t="s">
        <v>470</v>
      </c>
      <c r="H6162" s="185"/>
    </row>
    <row r="6163">
      <c r="D6163" s="185"/>
      <c r="E6163" s="185" t="s">
        <v>470</v>
      </c>
      <c r="H6163" s="185"/>
    </row>
    <row r="6164">
      <c r="D6164" s="185"/>
      <c r="E6164" s="185" t="s">
        <v>470</v>
      </c>
      <c r="H6164" s="185"/>
    </row>
    <row r="6165">
      <c r="D6165" s="185"/>
      <c r="E6165" s="185" t="s">
        <v>470</v>
      </c>
      <c r="H6165" s="185"/>
    </row>
    <row r="6166">
      <c r="D6166" s="185"/>
      <c r="E6166" s="185" t="s">
        <v>470</v>
      </c>
      <c r="H6166" s="185"/>
    </row>
    <row r="6167">
      <c r="D6167" s="185"/>
      <c r="E6167" s="185" t="s">
        <v>470</v>
      </c>
      <c r="H6167" s="185"/>
    </row>
    <row r="6168">
      <c r="D6168" s="185"/>
      <c r="E6168" s="185" t="s">
        <v>470</v>
      </c>
      <c r="H6168" s="185"/>
    </row>
    <row r="6169">
      <c r="D6169" s="185"/>
      <c r="E6169" s="185" t="s">
        <v>470</v>
      </c>
      <c r="H6169" s="185"/>
    </row>
    <row r="6170">
      <c r="D6170" s="185"/>
      <c r="E6170" s="185" t="s">
        <v>470</v>
      </c>
      <c r="H6170" s="185"/>
    </row>
    <row r="6171">
      <c r="D6171" s="185"/>
      <c r="E6171" s="185" t="s">
        <v>470</v>
      </c>
      <c r="H6171" s="185"/>
    </row>
    <row r="6172">
      <c r="D6172" s="185"/>
      <c r="E6172" s="185" t="s">
        <v>470</v>
      </c>
      <c r="H6172" s="185"/>
    </row>
    <row r="6173">
      <c r="D6173" s="185"/>
      <c r="E6173" s="185" t="s">
        <v>470</v>
      </c>
      <c r="H6173" s="185"/>
    </row>
    <row r="6174">
      <c r="D6174" s="185"/>
      <c r="E6174" s="185" t="s">
        <v>470</v>
      </c>
      <c r="H6174" s="185"/>
    </row>
    <row r="6175">
      <c r="D6175" s="185"/>
      <c r="E6175" s="185" t="s">
        <v>470</v>
      </c>
      <c r="H6175" s="185"/>
    </row>
    <row r="6176">
      <c r="D6176" s="185"/>
      <c r="E6176" s="185" t="s">
        <v>470</v>
      </c>
      <c r="H6176" s="185"/>
    </row>
    <row r="6177">
      <c r="D6177" s="185"/>
      <c r="E6177" s="185" t="s">
        <v>470</v>
      </c>
      <c r="H6177" s="185"/>
    </row>
    <row r="6178">
      <c r="D6178" s="185"/>
      <c r="E6178" s="185" t="s">
        <v>470</v>
      </c>
      <c r="H6178" s="185"/>
    </row>
    <row r="6179">
      <c r="D6179" s="185"/>
      <c r="E6179" s="185" t="s">
        <v>470</v>
      </c>
      <c r="H6179" s="185"/>
    </row>
    <row r="6180">
      <c r="D6180" s="185"/>
      <c r="E6180" s="185" t="s">
        <v>470</v>
      </c>
      <c r="H6180" s="185"/>
    </row>
    <row r="6181">
      <c r="D6181" s="185"/>
      <c r="E6181" s="185" t="s">
        <v>470</v>
      </c>
      <c r="H6181" s="185"/>
    </row>
    <row r="6182">
      <c r="D6182" s="185"/>
      <c r="E6182" s="185" t="s">
        <v>470</v>
      </c>
      <c r="H6182" s="185"/>
    </row>
    <row r="6183">
      <c r="D6183" s="185"/>
      <c r="E6183" s="185" t="s">
        <v>470</v>
      </c>
      <c r="H6183" s="185"/>
    </row>
    <row r="6184">
      <c r="D6184" s="185"/>
      <c r="E6184" s="185" t="s">
        <v>470</v>
      </c>
      <c r="H6184" s="185"/>
    </row>
    <row r="6185">
      <c r="D6185" s="185"/>
      <c r="E6185" s="185" t="s">
        <v>470</v>
      </c>
      <c r="H6185" s="185"/>
    </row>
    <row r="6186">
      <c r="D6186" s="185"/>
      <c r="E6186" s="185" t="s">
        <v>470</v>
      </c>
      <c r="H6186" s="185"/>
    </row>
    <row r="6187">
      <c r="D6187" s="185"/>
      <c r="E6187" s="185" t="s">
        <v>470</v>
      </c>
      <c r="H6187" s="185"/>
    </row>
    <row r="6188">
      <c r="D6188" s="185"/>
      <c r="E6188" s="185" t="s">
        <v>470</v>
      </c>
      <c r="H6188" s="185"/>
    </row>
    <row r="6189">
      <c r="D6189" s="185"/>
      <c r="E6189" s="185" t="s">
        <v>470</v>
      </c>
      <c r="H6189" s="185"/>
    </row>
    <row r="6190">
      <c r="D6190" s="185"/>
      <c r="E6190" s="185" t="s">
        <v>470</v>
      </c>
      <c r="H6190" s="185"/>
    </row>
    <row r="6191">
      <c r="D6191" s="185"/>
      <c r="E6191" s="185" t="s">
        <v>470</v>
      </c>
      <c r="H6191" s="185"/>
    </row>
    <row r="6192">
      <c r="D6192" s="185"/>
      <c r="E6192" s="185" t="s">
        <v>470</v>
      </c>
      <c r="H6192" s="185"/>
    </row>
    <row r="6193">
      <c r="D6193" s="185"/>
      <c r="E6193" s="185" t="s">
        <v>470</v>
      </c>
      <c r="H6193" s="185"/>
    </row>
    <row r="6194">
      <c r="D6194" s="185"/>
      <c r="E6194" s="185" t="s">
        <v>470</v>
      </c>
      <c r="H6194" s="185"/>
    </row>
    <row r="6195">
      <c r="D6195" s="185"/>
      <c r="E6195" s="185" t="s">
        <v>470</v>
      </c>
      <c r="H6195" s="185"/>
    </row>
    <row r="6196">
      <c r="D6196" s="185"/>
      <c r="E6196" s="185" t="s">
        <v>470</v>
      </c>
      <c r="H6196" s="185"/>
    </row>
    <row r="6197">
      <c r="D6197" s="185"/>
      <c r="E6197" s="185" t="s">
        <v>470</v>
      </c>
      <c r="H6197" s="185"/>
    </row>
    <row r="6198">
      <c r="D6198" s="185"/>
      <c r="E6198" s="185" t="s">
        <v>470</v>
      </c>
      <c r="H6198" s="185"/>
    </row>
    <row r="6199">
      <c r="D6199" s="185"/>
      <c r="E6199" s="185" t="s">
        <v>470</v>
      </c>
      <c r="H6199" s="185"/>
    </row>
    <row r="6200">
      <c r="D6200" s="185"/>
      <c r="E6200" s="185" t="s">
        <v>470</v>
      </c>
      <c r="H6200" s="185"/>
    </row>
    <row r="6201">
      <c r="D6201" s="185"/>
      <c r="E6201" s="185" t="s">
        <v>470</v>
      </c>
      <c r="H6201" s="185"/>
    </row>
    <row r="6202">
      <c r="D6202" s="185"/>
      <c r="E6202" s="185" t="s">
        <v>470</v>
      </c>
      <c r="H6202" s="185"/>
    </row>
    <row r="6203">
      <c r="D6203" s="185"/>
      <c r="E6203" s="185" t="s">
        <v>470</v>
      </c>
      <c r="H6203" s="185"/>
    </row>
    <row r="6204">
      <c r="D6204" s="185"/>
      <c r="E6204" s="185" t="s">
        <v>470</v>
      </c>
      <c r="H6204" s="185"/>
    </row>
    <row r="6205">
      <c r="D6205" s="185"/>
      <c r="E6205" s="185" t="s">
        <v>470</v>
      </c>
      <c r="H6205" s="185"/>
    </row>
    <row r="6206">
      <c r="D6206" s="185"/>
      <c r="E6206" s="185" t="s">
        <v>470</v>
      </c>
      <c r="H6206" s="185"/>
    </row>
    <row r="6207">
      <c r="D6207" s="185"/>
      <c r="E6207" s="185" t="s">
        <v>470</v>
      </c>
      <c r="H6207" s="185"/>
    </row>
    <row r="6208">
      <c r="D6208" s="185"/>
      <c r="E6208" s="185" t="s">
        <v>470</v>
      </c>
      <c r="H6208" s="185"/>
    </row>
    <row r="6209">
      <c r="D6209" s="185"/>
      <c r="E6209" s="185" t="s">
        <v>470</v>
      </c>
      <c r="H6209" s="185"/>
    </row>
    <row r="6210">
      <c r="D6210" s="185"/>
      <c r="E6210" s="185" t="s">
        <v>470</v>
      </c>
      <c r="H6210" s="185"/>
    </row>
    <row r="6211">
      <c r="D6211" s="185"/>
      <c r="E6211" s="185" t="s">
        <v>470</v>
      </c>
      <c r="H6211" s="185"/>
    </row>
    <row r="6212">
      <c r="D6212" s="185"/>
      <c r="E6212" s="185" t="s">
        <v>470</v>
      </c>
      <c r="H6212" s="185"/>
    </row>
    <row r="6213">
      <c r="D6213" s="185"/>
      <c r="E6213" s="185" t="s">
        <v>470</v>
      </c>
      <c r="H6213" s="185"/>
    </row>
    <row r="6214">
      <c r="D6214" s="185"/>
      <c r="E6214" s="185" t="s">
        <v>470</v>
      </c>
      <c r="H6214" s="185"/>
    </row>
    <row r="6215">
      <c r="D6215" s="185"/>
      <c r="E6215" s="185" t="s">
        <v>470</v>
      </c>
      <c r="H6215" s="185"/>
    </row>
    <row r="6216">
      <c r="D6216" s="185"/>
      <c r="E6216" s="185" t="s">
        <v>470</v>
      </c>
      <c r="H6216" s="185"/>
    </row>
    <row r="6217">
      <c r="D6217" s="185"/>
      <c r="E6217" s="185" t="s">
        <v>470</v>
      </c>
      <c r="H6217" s="185"/>
    </row>
    <row r="6218">
      <c r="D6218" s="185"/>
      <c r="E6218" s="185" t="s">
        <v>470</v>
      </c>
      <c r="H6218" s="185"/>
    </row>
    <row r="6219">
      <c r="D6219" s="185"/>
      <c r="E6219" s="185" t="s">
        <v>470</v>
      </c>
      <c r="H6219" s="185"/>
    </row>
    <row r="6220">
      <c r="D6220" s="185"/>
      <c r="E6220" s="185" t="s">
        <v>470</v>
      </c>
      <c r="H6220" s="185"/>
    </row>
    <row r="6221">
      <c r="D6221" s="185"/>
      <c r="E6221" s="185" t="s">
        <v>470</v>
      </c>
      <c r="H6221" s="185"/>
    </row>
    <row r="6222">
      <c r="D6222" s="185"/>
      <c r="E6222" s="185" t="s">
        <v>470</v>
      </c>
      <c r="H6222" s="185"/>
    </row>
    <row r="6223">
      <c r="D6223" s="185"/>
      <c r="E6223" s="185" t="s">
        <v>470</v>
      </c>
      <c r="H6223" s="185"/>
    </row>
    <row r="6224">
      <c r="D6224" s="185"/>
      <c r="E6224" s="185" t="s">
        <v>470</v>
      </c>
      <c r="H6224" s="185"/>
    </row>
    <row r="6225">
      <c r="D6225" s="185"/>
      <c r="E6225" s="185" t="s">
        <v>470</v>
      </c>
      <c r="H6225" s="185"/>
    </row>
    <row r="6226">
      <c r="D6226" s="185"/>
      <c r="E6226" s="185" t="s">
        <v>470</v>
      </c>
      <c r="H6226" s="185"/>
    </row>
    <row r="6227">
      <c r="D6227" s="185"/>
      <c r="E6227" s="185" t="s">
        <v>470</v>
      </c>
      <c r="H6227" s="185"/>
    </row>
    <row r="6228">
      <c r="D6228" s="185"/>
      <c r="E6228" s="185" t="s">
        <v>470</v>
      </c>
      <c r="H6228" s="185"/>
    </row>
    <row r="6229">
      <c r="D6229" s="185"/>
      <c r="E6229" s="185" t="s">
        <v>470</v>
      </c>
      <c r="H6229" s="185"/>
    </row>
    <row r="6230">
      <c r="D6230" s="185"/>
      <c r="E6230" s="185" t="s">
        <v>470</v>
      </c>
      <c r="H6230" s="185"/>
    </row>
    <row r="6231">
      <c r="D6231" s="185"/>
      <c r="E6231" s="185" t="s">
        <v>470</v>
      </c>
      <c r="H6231" s="185"/>
    </row>
    <row r="6232">
      <c r="D6232" s="185"/>
      <c r="E6232" s="185" t="s">
        <v>470</v>
      </c>
      <c r="H6232" s="185"/>
    </row>
    <row r="6233">
      <c r="D6233" s="185"/>
      <c r="E6233" s="185" t="s">
        <v>470</v>
      </c>
      <c r="H6233" s="185"/>
    </row>
    <row r="6234">
      <c r="D6234" s="185"/>
      <c r="E6234" s="185" t="s">
        <v>470</v>
      </c>
      <c r="H6234" s="185"/>
    </row>
    <row r="6235">
      <c r="D6235" s="185"/>
      <c r="E6235" s="185" t="s">
        <v>470</v>
      </c>
      <c r="H6235" s="185"/>
    </row>
    <row r="6236">
      <c r="D6236" s="185"/>
      <c r="E6236" s="185" t="s">
        <v>470</v>
      </c>
      <c r="H6236" s="185"/>
    </row>
    <row r="6237">
      <c r="D6237" s="185"/>
      <c r="E6237" s="185" t="s">
        <v>470</v>
      </c>
      <c r="H6237" s="185"/>
    </row>
    <row r="6238">
      <c r="D6238" s="185"/>
      <c r="E6238" s="185" t="s">
        <v>470</v>
      </c>
      <c r="H6238" s="185"/>
    </row>
    <row r="6239">
      <c r="D6239" s="185"/>
      <c r="E6239" s="185" t="s">
        <v>470</v>
      </c>
      <c r="H6239" s="185"/>
    </row>
    <row r="6240">
      <c r="D6240" s="185"/>
      <c r="E6240" s="185" t="s">
        <v>470</v>
      </c>
      <c r="H6240" s="185"/>
    </row>
    <row r="6241">
      <c r="D6241" s="185"/>
      <c r="E6241" s="185" t="s">
        <v>470</v>
      </c>
      <c r="H6241" s="185"/>
    </row>
    <row r="6242">
      <c r="D6242" s="185"/>
      <c r="E6242" s="185" t="s">
        <v>470</v>
      </c>
      <c r="H6242" s="185"/>
    </row>
    <row r="6243">
      <c r="D6243" s="185"/>
      <c r="E6243" s="185" t="s">
        <v>470</v>
      </c>
      <c r="H6243" s="185"/>
    </row>
    <row r="6244">
      <c r="D6244" s="185"/>
      <c r="E6244" s="185" t="s">
        <v>470</v>
      </c>
      <c r="H6244" s="185"/>
    </row>
    <row r="6245">
      <c r="D6245" s="185"/>
      <c r="E6245" s="185" t="s">
        <v>470</v>
      </c>
      <c r="H6245" s="185"/>
    </row>
    <row r="6246">
      <c r="D6246" s="185"/>
      <c r="E6246" s="185" t="s">
        <v>470</v>
      </c>
      <c r="H6246" s="185"/>
    </row>
    <row r="6247">
      <c r="D6247" s="185"/>
      <c r="E6247" s="185" t="s">
        <v>470</v>
      </c>
      <c r="H6247" s="185"/>
    </row>
    <row r="6248">
      <c r="D6248" s="185"/>
      <c r="E6248" s="185" t="s">
        <v>470</v>
      </c>
      <c r="H6248" s="185"/>
    </row>
    <row r="6249">
      <c r="D6249" s="185"/>
      <c r="E6249" s="185" t="s">
        <v>470</v>
      </c>
      <c r="H6249" s="185"/>
    </row>
    <row r="6250">
      <c r="D6250" s="185"/>
      <c r="E6250" s="185" t="s">
        <v>470</v>
      </c>
      <c r="H6250" s="185"/>
    </row>
    <row r="6251">
      <c r="D6251" s="185"/>
      <c r="E6251" s="185" t="s">
        <v>470</v>
      </c>
      <c r="H6251" s="185"/>
    </row>
    <row r="6252">
      <c r="D6252" s="185"/>
      <c r="E6252" s="185" t="s">
        <v>470</v>
      </c>
      <c r="H6252" s="185"/>
    </row>
    <row r="6253">
      <c r="D6253" s="185"/>
      <c r="E6253" s="185" t="s">
        <v>470</v>
      </c>
      <c r="H6253" s="185"/>
    </row>
    <row r="6254">
      <c r="D6254" s="185"/>
      <c r="E6254" s="185" t="s">
        <v>470</v>
      </c>
      <c r="H6254" s="185"/>
    </row>
    <row r="6255">
      <c r="D6255" s="185"/>
      <c r="E6255" s="185" t="s">
        <v>470</v>
      </c>
      <c r="H6255" s="185"/>
    </row>
    <row r="6256">
      <c r="D6256" s="185"/>
      <c r="E6256" s="185" t="s">
        <v>470</v>
      </c>
      <c r="H6256" s="185"/>
    </row>
    <row r="6257">
      <c r="D6257" s="185"/>
      <c r="E6257" s="185" t="s">
        <v>470</v>
      </c>
      <c r="H6257" s="185"/>
    </row>
    <row r="6258">
      <c r="D6258" s="185"/>
      <c r="E6258" s="185" t="s">
        <v>470</v>
      </c>
      <c r="H6258" s="185"/>
    </row>
    <row r="6259">
      <c r="D6259" s="185"/>
      <c r="E6259" s="185" t="s">
        <v>470</v>
      </c>
      <c r="H6259" s="185"/>
    </row>
    <row r="6260">
      <c r="D6260" s="185"/>
      <c r="E6260" s="185" t="s">
        <v>470</v>
      </c>
      <c r="H6260" s="185"/>
    </row>
    <row r="6261">
      <c r="D6261" s="185"/>
      <c r="E6261" s="185" t="s">
        <v>470</v>
      </c>
      <c r="H6261" s="185"/>
    </row>
    <row r="6262">
      <c r="D6262" s="185"/>
      <c r="E6262" s="185" t="s">
        <v>470</v>
      </c>
      <c r="H6262" s="185"/>
    </row>
    <row r="6263">
      <c r="D6263" s="185"/>
      <c r="E6263" s="185" t="s">
        <v>470</v>
      </c>
      <c r="H6263" s="185"/>
    </row>
    <row r="6264">
      <c r="D6264" s="185"/>
      <c r="E6264" s="185" t="s">
        <v>470</v>
      </c>
      <c r="H6264" s="185"/>
    </row>
    <row r="6265">
      <c r="D6265" s="185"/>
      <c r="E6265" s="185" t="s">
        <v>470</v>
      </c>
      <c r="H6265" s="185"/>
    </row>
    <row r="6266">
      <c r="D6266" s="185"/>
      <c r="E6266" s="185" t="s">
        <v>470</v>
      </c>
      <c r="H6266" s="185"/>
    </row>
    <row r="6267">
      <c r="D6267" s="185"/>
      <c r="E6267" s="185" t="s">
        <v>470</v>
      </c>
      <c r="H6267" s="185"/>
    </row>
    <row r="6268">
      <c r="D6268" s="185"/>
      <c r="E6268" s="185" t="s">
        <v>470</v>
      </c>
      <c r="H6268" s="185"/>
    </row>
    <row r="6269">
      <c r="D6269" s="185"/>
      <c r="E6269" s="185" t="s">
        <v>470</v>
      </c>
      <c r="H6269" s="185"/>
    </row>
    <row r="6270">
      <c r="D6270" s="185"/>
      <c r="E6270" s="185" t="s">
        <v>470</v>
      </c>
      <c r="H6270" s="185"/>
    </row>
    <row r="6271">
      <c r="D6271" s="185"/>
      <c r="E6271" s="185" t="s">
        <v>470</v>
      </c>
      <c r="H6271" s="185"/>
    </row>
    <row r="6272">
      <c r="D6272" s="185"/>
      <c r="E6272" s="185" t="s">
        <v>470</v>
      </c>
      <c r="H6272" s="185"/>
    </row>
    <row r="6273">
      <c r="D6273" s="185"/>
      <c r="E6273" s="185" t="s">
        <v>470</v>
      </c>
      <c r="H6273" s="185"/>
    </row>
    <row r="6274">
      <c r="D6274" s="185"/>
      <c r="E6274" s="185" t="s">
        <v>470</v>
      </c>
      <c r="H6274" s="185"/>
    </row>
    <row r="6275">
      <c r="D6275" s="185"/>
      <c r="E6275" s="185" t="s">
        <v>470</v>
      </c>
      <c r="H6275" s="185"/>
    </row>
    <row r="6276">
      <c r="D6276" s="185"/>
      <c r="E6276" s="185" t="s">
        <v>470</v>
      </c>
      <c r="H6276" s="185"/>
    </row>
    <row r="6277">
      <c r="D6277" s="185"/>
      <c r="E6277" s="185" t="s">
        <v>470</v>
      </c>
      <c r="H6277" s="185"/>
    </row>
    <row r="6278">
      <c r="D6278" s="185"/>
      <c r="E6278" s="185" t="s">
        <v>470</v>
      </c>
      <c r="H6278" s="185"/>
    </row>
    <row r="6279">
      <c r="D6279" s="185"/>
      <c r="E6279" s="185" t="s">
        <v>470</v>
      </c>
      <c r="H6279" s="185"/>
    </row>
    <row r="6280">
      <c r="D6280" s="185"/>
      <c r="E6280" s="185" t="s">
        <v>470</v>
      </c>
      <c r="H6280" s="185"/>
    </row>
    <row r="6281">
      <c r="D6281" s="185"/>
      <c r="E6281" s="185" t="s">
        <v>470</v>
      </c>
      <c r="H6281" s="185"/>
    </row>
    <row r="6282">
      <c r="D6282" s="185"/>
      <c r="E6282" s="185" t="s">
        <v>470</v>
      </c>
      <c r="H6282" s="185"/>
    </row>
    <row r="6283">
      <c r="D6283" s="185"/>
      <c r="E6283" s="185" t="s">
        <v>470</v>
      </c>
      <c r="H6283" s="185"/>
    </row>
    <row r="6284">
      <c r="D6284" s="185"/>
      <c r="E6284" s="185" t="s">
        <v>470</v>
      </c>
      <c r="H6284" s="185"/>
    </row>
    <row r="6285">
      <c r="D6285" s="185"/>
      <c r="E6285" s="185" t="s">
        <v>470</v>
      </c>
      <c r="H6285" s="185"/>
    </row>
    <row r="6286">
      <c r="D6286" s="185"/>
      <c r="E6286" s="185" t="s">
        <v>470</v>
      </c>
      <c r="H6286" s="185"/>
    </row>
    <row r="6287">
      <c r="D6287" s="185"/>
      <c r="E6287" s="185" t="s">
        <v>470</v>
      </c>
      <c r="H6287" s="185"/>
    </row>
    <row r="6288">
      <c r="D6288" s="185"/>
      <c r="E6288" s="185" t="s">
        <v>470</v>
      </c>
      <c r="H6288" s="185"/>
    </row>
    <row r="6289">
      <c r="D6289" s="185"/>
      <c r="E6289" s="185" t="s">
        <v>470</v>
      </c>
      <c r="H6289" s="185"/>
    </row>
    <row r="6290">
      <c r="D6290" s="185"/>
      <c r="E6290" s="185" t="s">
        <v>470</v>
      </c>
      <c r="H6290" s="185"/>
    </row>
    <row r="6291">
      <c r="D6291" s="185"/>
      <c r="E6291" s="185" t="s">
        <v>470</v>
      </c>
      <c r="H6291" s="185"/>
    </row>
    <row r="6292">
      <c r="D6292" s="185"/>
      <c r="E6292" s="185" t="s">
        <v>470</v>
      </c>
      <c r="H6292" s="185"/>
    </row>
    <row r="6293">
      <c r="D6293" s="185"/>
      <c r="E6293" s="185" t="s">
        <v>470</v>
      </c>
      <c r="H6293" s="185"/>
    </row>
    <row r="6294">
      <c r="D6294" s="185"/>
      <c r="E6294" s="185" t="s">
        <v>470</v>
      </c>
      <c r="H6294" s="185"/>
    </row>
    <row r="6295">
      <c r="D6295" s="185"/>
      <c r="E6295" s="185" t="s">
        <v>470</v>
      </c>
      <c r="H6295" s="185"/>
    </row>
    <row r="6296">
      <c r="D6296" s="185"/>
      <c r="E6296" s="185" t="s">
        <v>470</v>
      </c>
      <c r="H6296" s="185"/>
    </row>
    <row r="6297">
      <c r="D6297" s="185"/>
      <c r="E6297" s="185" t="s">
        <v>470</v>
      </c>
      <c r="H6297" s="185"/>
    </row>
    <row r="6298">
      <c r="D6298" s="185"/>
      <c r="E6298" s="185" t="s">
        <v>470</v>
      </c>
      <c r="H6298" s="185"/>
    </row>
    <row r="6299">
      <c r="D6299" s="185"/>
      <c r="E6299" s="185" t="s">
        <v>470</v>
      </c>
      <c r="H6299" s="185"/>
    </row>
    <row r="6300">
      <c r="D6300" s="185"/>
      <c r="E6300" s="185" t="s">
        <v>470</v>
      </c>
      <c r="H6300" s="185"/>
    </row>
    <row r="6301">
      <c r="D6301" s="185"/>
      <c r="E6301" s="185" t="s">
        <v>470</v>
      </c>
      <c r="H6301" s="185"/>
    </row>
    <row r="6302">
      <c r="D6302" s="185"/>
      <c r="E6302" s="185" t="s">
        <v>470</v>
      </c>
      <c r="H6302" s="185"/>
    </row>
    <row r="6303">
      <c r="D6303" s="185"/>
      <c r="E6303" s="185" t="s">
        <v>470</v>
      </c>
      <c r="H6303" s="185"/>
    </row>
    <row r="6304">
      <c r="D6304" s="185"/>
      <c r="E6304" s="185" t="s">
        <v>470</v>
      </c>
      <c r="H6304" s="185"/>
    </row>
    <row r="6305">
      <c r="D6305" s="185"/>
      <c r="E6305" s="185" t="s">
        <v>470</v>
      </c>
      <c r="H6305" s="185"/>
    </row>
    <row r="6306">
      <c r="D6306" s="185"/>
      <c r="E6306" s="185" t="s">
        <v>470</v>
      </c>
      <c r="H6306" s="185"/>
    </row>
    <row r="6307">
      <c r="D6307" s="185"/>
      <c r="E6307" s="185" t="s">
        <v>470</v>
      </c>
      <c r="H6307" s="185"/>
    </row>
    <row r="6308">
      <c r="D6308" s="185"/>
      <c r="E6308" s="185" t="s">
        <v>470</v>
      </c>
      <c r="H6308" s="185"/>
    </row>
    <row r="6309">
      <c r="D6309" s="185"/>
      <c r="E6309" s="185" t="s">
        <v>470</v>
      </c>
      <c r="H6309" s="185"/>
    </row>
    <row r="6310">
      <c r="D6310" s="185"/>
      <c r="E6310" s="185" t="s">
        <v>470</v>
      </c>
      <c r="H6310" s="185"/>
    </row>
    <row r="6311">
      <c r="D6311" s="185"/>
      <c r="E6311" s="185" t="s">
        <v>470</v>
      </c>
      <c r="H6311" s="185"/>
    </row>
    <row r="6312">
      <c r="D6312" s="185"/>
      <c r="E6312" s="185" t="s">
        <v>470</v>
      </c>
      <c r="H6312" s="185"/>
    </row>
    <row r="6313">
      <c r="D6313" s="185"/>
      <c r="E6313" s="185" t="s">
        <v>470</v>
      </c>
      <c r="H6313" s="185"/>
    </row>
    <row r="6314">
      <c r="D6314" s="185"/>
      <c r="E6314" s="185" t="s">
        <v>470</v>
      </c>
      <c r="H6314" s="185"/>
    </row>
    <row r="6315">
      <c r="D6315" s="185"/>
      <c r="E6315" s="185" t="s">
        <v>470</v>
      </c>
      <c r="H6315" s="185"/>
    </row>
    <row r="6316">
      <c r="D6316" s="185"/>
      <c r="E6316" s="185" t="s">
        <v>470</v>
      </c>
      <c r="H6316" s="185"/>
    </row>
    <row r="6317">
      <c r="D6317" s="185"/>
      <c r="E6317" s="185" t="s">
        <v>470</v>
      </c>
      <c r="H6317" s="185"/>
    </row>
    <row r="6318">
      <c r="D6318" s="185"/>
      <c r="E6318" s="185" t="s">
        <v>470</v>
      </c>
      <c r="H6318" s="185"/>
    </row>
    <row r="6319">
      <c r="D6319" s="185"/>
      <c r="E6319" s="185" t="s">
        <v>470</v>
      </c>
      <c r="H6319" s="185"/>
    </row>
    <row r="6320">
      <c r="D6320" s="185"/>
      <c r="E6320" s="185" t="s">
        <v>470</v>
      </c>
      <c r="H6320" s="185"/>
    </row>
    <row r="6321">
      <c r="D6321" s="185"/>
      <c r="E6321" s="185" t="s">
        <v>470</v>
      </c>
      <c r="H6321" s="185"/>
    </row>
    <row r="6322">
      <c r="D6322" s="185"/>
      <c r="E6322" s="185" t="s">
        <v>470</v>
      </c>
      <c r="H6322" s="185"/>
    </row>
    <row r="6323">
      <c r="D6323" s="185"/>
      <c r="E6323" s="185" t="s">
        <v>470</v>
      </c>
      <c r="H6323" s="185"/>
    </row>
    <row r="6324">
      <c r="D6324" s="185"/>
      <c r="E6324" s="185" t="s">
        <v>470</v>
      </c>
      <c r="H6324" s="185"/>
    </row>
    <row r="6325">
      <c r="D6325" s="185"/>
      <c r="E6325" s="185" t="s">
        <v>470</v>
      </c>
      <c r="H6325" s="185"/>
    </row>
    <row r="6326">
      <c r="D6326" s="185"/>
      <c r="E6326" s="185" t="s">
        <v>470</v>
      </c>
      <c r="H6326" s="185"/>
    </row>
    <row r="6327">
      <c r="D6327" s="185"/>
      <c r="E6327" s="185" t="s">
        <v>470</v>
      </c>
      <c r="H6327" s="185"/>
    </row>
    <row r="6328">
      <c r="D6328" s="185"/>
      <c r="E6328" s="185" t="s">
        <v>470</v>
      </c>
      <c r="H6328" s="185"/>
    </row>
    <row r="6329">
      <c r="D6329" s="185"/>
      <c r="E6329" s="185" t="s">
        <v>470</v>
      </c>
      <c r="H6329" s="185"/>
    </row>
    <row r="6330">
      <c r="D6330" s="185"/>
      <c r="E6330" s="185" t="s">
        <v>470</v>
      </c>
      <c r="H6330" s="185"/>
    </row>
    <row r="6331">
      <c r="D6331" s="185"/>
      <c r="E6331" s="185" t="s">
        <v>470</v>
      </c>
      <c r="H6331" s="185"/>
    </row>
    <row r="6332">
      <c r="D6332" s="185"/>
      <c r="E6332" s="185" t="s">
        <v>470</v>
      </c>
      <c r="H6332" s="185"/>
    </row>
    <row r="6333">
      <c r="D6333" s="185"/>
      <c r="E6333" s="185" t="s">
        <v>470</v>
      </c>
      <c r="H6333" s="185"/>
    </row>
    <row r="6334">
      <c r="D6334" s="185"/>
      <c r="E6334" s="185" t="s">
        <v>470</v>
      </c>
      <c r="H6334" s="185"/>
    </row>
    <row r="6335">
      <c r="D6335" s="185"/>
      <c r="E6335" s="185" t="s">
        <v>470</v>
      </c>
      <c r="H6335" s="185"/>
    </row>
    <row r="6336">
      <c r="D6336" s="185"/>
      <c r="E6336" s="185" t="s">
        <v>470</v>
      </c>
      <c r="H6336" s="185"/>
    </row>
    <row r="6337">
      <c r="D6337" s="185"/>
      <c r="E6337" s="185" t="s">
        <v>470</v>
      </c>
      <c r="H6337" s="185"/>
    </row>
    <row r="6338">
      <c r="D6338" s="185"/>
      <c r="E6338" s="185" t="s">
        <v>470</v>
      </c>
      <c r="H6338" s="185"/>
    </row>
    <row r="6339">
      <c r="D6339" s="185"/>
      <c r="E6339" s="185" t="s">
        <v>470</v>
      </c>
      <c r="H6339" s="185"/>
    </row>
    <row r="6340">
      <c r="D6340" s="185"/>
      <c r="E6340" s="185" t="s">
        <v>470</v>
      </c>
      <c r="H6340" s="185"/>
    </row>
    <row r="6341">
      <c r="D6341" s="185"/>
      <c r="E6341" s="185" t="s">
        <v>470</v>
      </c>
      <c r="H6341" s="185"/>
    </row>
    <row r="6342">
      <c r="D6342" s="185"/>
      <c r="E6342" s="185" t="s">
        <v>470</v>
      </c>
      <c r="H6342" s="185"/>
    </row>
    <row r="6343">
      <c r="D6343" s="185"/>
      <c r="E6343" s="185" t="s">
        <v>470</v>
      </c>
      <c r="H6343" s="185"/>
    </row>
    <row r="6344">
      <c r="D6344" s="185"/>
      <c r="E6344" s="185" t="s">
        <v>470</v>
      </c>
      <c r="H6344" s="185"/>
    </row>
    <row r="6345">
      <c r="D6345" s="185"/>
      <c r="E6345" s="185" t="s">
        <v>470</v>
      </c>
      <c r="H6345" s="185"/>
    </row>
    <row r="6346">
      <c r="D6346" s="185"/>
      <c r="E6346" s="185" t="s">
        <v>470</v>
      </c>
      <c r="H6346" s="185"/>
    </row>
    <row r="6347">
      <c r="D6347" s="185"/>
      <c r="E6347" s="185" t="s">
        <v>470</v>
      </c>
      <c r="H6347" s="185"/>
    </row>
    <row r="6348">
      <c r="D6348" s="185"/>
      <c r="E6348" s="185" t="s">
        <v>470</v>
      </c>
      <c r="H6348" s="185"/>
    </row>
    <row r="6349">
      <c r="D6349" s="185"/>
      <c r="E6349" s="185" t="s">
        <v>470</v>
      </c>
      <c r="H6349" s="185"/>
    </row>
    <row r="6350">
      <c r="D6350" s="185"/>
      <c r="E6350" s="185" t="s">
        <v>470</v>
      </c>
      <c r="H6350" s="185"/>
    </row>
    <row r="6351">
      <c r="D6351" s="185"/>
      <c r="E6351" s="185" t="s">
        <v>470</v>
      </c>
      <c r="H6351" s="185"/>
    </row>
    <row r="6352">
      <c r="D6352" s="185"/>
      <c r="E6352" s="185" t="s">
        <v>470</v>
      </c>
      <c r="H6352" s="185"/>
    </row>
    <row r="6353">
      <c r="D6353" s="185"/>
      <c r="E6353" s="185" t="s">
        <v>470</v>
      </c>
      <c r="H6353" s="185"/>
    </row>
    <row r="6354">
      <c r="D6354" s="185"/>
      <c r="E6354" s="185" t="s">
        <v>470</v>
      </c>
      <c r="H6354" s="185"/>
    </row>
    <row r="6355">
      <c r="D6355" s="185"/>
      <c r="E6355" s="185" t="s">
        <v>470</v>
      </c>
      <c r="H6355" s="185"/>
    </row>
    <row r="6356">
      <c r="D6356" s="185"/>
      <c r="E6356" s="185" t="s">
        <v>470</v>
      </c>
      <c r="H6356" s="185"/>
    </row>
    <row r="6357">
      <c r="D6357" s="185"/>
      <c r="E6357" s="185" t="s">
        <v>470</v>
      </c>
      <c r="H6357" s="185"/>
    </row>
    <row r="6358">
      <c r="D6358" s="185"/>
      <c r="E6358" s="185" t="s">
        <v>470</v>
      </c>
      <c r="H6358" s="185"/>
    </row>
    <row r="6359">
      <c r="D6359" s="185"/>
      <c r="E6359" s="185" t="s">
        <v>470</v>
      </c>
      <c r="H6359" s="185"/>
    </row>
    <row r="6360">
      <c r="D6360" s="185"/>
      <c r="E6360" s="185" t="s">
        <v>470</v>
      </c>
      <c r="H6360" s="185"/>
    </row>
    <row r="6361">
      <c r="D6361" s="185"/>
      <c r="E6361" s="185" t="s">
        <v>470</v>
      </c>
      <c r="H6361" s="185"/>
    </row>
    <row r="6362">
      <c r="D6362" s="185"/>
      <c r="E6362" s="185" t="s">
        <v>470</v>
      </c>
      <c r="H6362" s="185"/>
    </row>
    <row r="6363">
      <c r="D6363" s="185"/>
      <c r="E6363" s="185" t="s">
        <v>470</v>
      </c>
      <c r="H6363" s="185"/>
    </row>
    <row r="6364">
      <c r="D6364" s="185"/>
      <c r="E6364" s="185" t="s">
        <v>470</v>
      </c>
      <c r="H6364" s="185"/>
    </row>
    <row r="6365">
      <c r="D6365" s="185"/>
      <c r="E6365" s="185" t="s">
        <v>470</v>
      </c>
      <c r="H6365" s="185"/>
    </row>
    <row r="6366">
      <c r="D6366" s="185"/>
      <c r="E6366" s="185" t="s">
        <v>470</v>
      </c>
      <c r="H6366" s="185"/>
    </row>
    <row r="6367">
      <c r="D6367" s="185"/>
      <c r="E6367" s="185" t="s">
        <v>470</v>
      </c>
      <c r="H6367" s="185"/>
    </row>
    <row r="6368">
      <c r="D6368" s="185"/>
      <c r="E6368" s="185" t="s">
        <v>470</v>
      </c>
      <c r="H6368" s="185"/>
    </row>
    <row r="6369">
      <c r="D6369" s="185"/>
      <c r="E6369" s="185" t="s">
        <v>470</v>
      </c>
      <c r="H6369" s="185"/>
    </row>
    <row r="6370">
      <c r="D6370" s="185"/>
      <c r="E6370" s="185" t="s">
        <v>470</v>
      </c>
      <c r="H6370" s="185"/>
    </row>
    <row r="6371">
      <c r="D6371" s="185"/>
      <c r="E6371" s="185" t="s">
        <v>470</v>
      </c>
      <c r="H6371" s="185"/>
    </row>
    <row r="6372">
      <c r="D6372" s="185"/>
      <c r="E6372" s="185" t="s">
        <v>470</v>
      </c>
      <c r="H6372" s="185"/>
    </row>
    <row r="6373">
      <c r="D6373" s="185"/>
      <c r="E6373" s="185" t="s">
        <v>470</v>
      </c>
      <c r="H6373" s="185"/>
    </row>
    <row r="6374">
      <c r="D6374" s="185"/>
      <c r="E6374" s="185" t="s">
        <v>470</v>
      </c>
      <c r="H6374" s="185"/>
    </row>
    <row r="6375">
      <c r="D6375" s="185"/>
      <c r="E6375" s="185" t="s">
        <v>470</v>
      </c>
      <c r="H6375" s="185"/>
    </row>
    <row r="6376">
      <c r="D6376" s="185"/>
      <c r="E6376" s="185" t="s">
        <v>470</v>
      </c>
      <c r="H6376" s="185"/>
    </row>
    <row r="6377">
      <c r="D6377" s="185"/>
      <c r="E6377" s="185" t="s">
        <v>470</v>
      </c>
      <c r="H6377" s="185"/>
    </row>
    <row r="6378">
      <c r="D6378" s="185"/>
      <c r="E6378" s="185" t="s">
        <v>470</v>
      </c>
      <c r="H6378" s="185"/>
    </row>
    <row r="6379">
      <c r="D6379" s="185"/>
      <c r="E6379" s="185" t="s">
        <v>470</v>
      </c>
      <c r="H6379" s="185"/>
    </row>
    <row r="6380">
      <c r="D6380" s="185"/>
      <c r="E6380" s="185" t="s">
        <v>470</v>
      </c>
      <c r="H6380" s="185"/>
    </row>
    <row r="6381">
      <c r="D6381" s="185"/>
      <c r="E6381" s="185" t="s">
        <v>470</v>
      </c>
      <c r="H6381" s="185"/>
    </row>
    <row r="6382">
      <c r="D6382" s="185"/>
      <c r="E6382" s="185" t="s">
        <v>470</v>
      </c>
      <c r="H6382" s="185"/>
    </row>
    <row r="6383">
      <c r="D6383" s="185"/>
      <c r="E6383" s="185" t="s">
        <v>470</v>
      </c>
      <c r="H6383" s="185"/>
    </row>
    <row r="6384">
      <c r="D6384" s="185"/>
      <c r="E6384" s="185" t="s">
        <v>470</v>
      </c>
      <c r="H6384" s="185"/>
    </row>
    <row r="6385">
      <c r="D6385" s="185"/>
      <c r="E6385" s="185" t="s">
        <v>470</v>
      </c>
      <c r="H6385" s="185"/>
    </row>
    <row r="6386">
      <c r="D6386" s="185"/>
      <c r="E6386" s="185" t="s">
        <v>470</v>
      </c>
      <c r="H6386" s="185"/>
    </row>
    <row r="6387">
      <c r="D6387" s="185"/>
      <c r="E6387" s="185" t="s">
        <v>470</v>
      </c>
      <c r="H6387" s="185"/>
    </row>
    <row r="6388">
      <c r="D6388" s="185"/>
      <c r="E6388" s="185" t="s">
        <v>470</v>
      </c>
      <c r="H6388" s="185"/>
    </row>
    <row r="6389">
      <c r="D6389" s="185"/>
      <c r="E6389" s="185" t="s">
        <v>470</v>
      </c>
      <c r="H6389" s="185"/>
    </row>
    <row r="6390">
      <c r="D6390" s="185"/>
      <c r="E6390" s="185" t="s">
        <v>470</v>
      </c>
      <c r="H6390" s="185"/>
    </row>
    <row r="6391">
      <c r="D6391" s="185"/>
      <c r="E6391" s="185" t="s">
        <v>470</v>
      </c>
      <c r="H6391" s="185"/>
    </row>
    <row r="6392">
      <c r="D6392" s="185"/>
      <c r="E6392" s="185" t="s">
        <v>470</v>
      </c>
      <c r="H6392" s="185"/>
    </row>
    <row r="6393">
      <c r="D6393" s="185"/>
      <c r="E6393" s="185" t="s">
        <v>470</v>
      </c>
      <c r="H6393" s="185"/>
    </row>
    <row r="6394">
      <c r="D6394" s="185"/>
      <c r="E6394" s="185" t="s">
        <v>470</v>
      </c>
      <c r="H6394" s="185"/>
    </row>
    <row r="6395">
      <c r="D6395" s="185"/>
      <c r="E6395" s="185" t="s">
        <v>470</v>
      </c>
      <c r="H6395" s="185"/>
    </row>
    <row r="6396">
      <c r="D6396" s="185"/>
      <c r="E6396" s="185" t="s">
        <v>470</v>
      </c>
      <c r="H6396" s="185"/>
    </row>
    <row r="6397">
      <c r="D6397" s="185"/>
      <c r="E6397" s="185" t="s">
        <v>470</v>
      </c>
      <c r="H6397" s="185"/>
    </row>
    <row r="6398">
      <c r="D6398" s="185"/>
      <c r="E6398" s="185" t="s">
        <v>470</v>
      </c>
      <c r="H6398" s="185"/>
    </row>
    <row r="6399">
      <c r="D6399" s="185"/>
      <c r="E6399" s="185" t="s">
        <v>470</v>
      </c>
      <c r="H6399" s="185"/>
    </row>
    <row r="6400">
      <c r="D6400" s="185"/>
      <c r="E6400" s="185" t="s">
        <v>470</v>
      </c>
      <c r="H6400" s="185"/>
    </row>
    <row r="6401">
      <c r="D6401" s="185"/>
      <c r="E6401" s="185" t="s">
        <v>470</v>
      </c>
      <c r="H6401" s="185"/>
    </row>
    <row r="6402">
      <c r="D6402" s="185"/>
      <c r="E6402" s="185" t="s">
        <v>470</v>
      </c>
      <c r="H6402" s="185"/>
    </row>
    <row r="6403">
      <c r="D6403" s="185"/>
      <c r="E6403" s="185" t="s">
        <v>470</v>
      </c>
      <c r="H6403" s="185"/>
    </row>
    <row r="6404">
      <c r="D6404" s="185"/>
      <c r="E6404" s="185" t="s">
        <v>470</v>
      </c>
      <c r="H6404" s="185"/>
    </row>
    <row r="6405">
      <c r="D6405" s="185"/>
      <c r="E6405" s="185" t="s">
        <v>470</v>
      </c>
      <c r="H6405" s="185"/>
    </row>
    <row r="6406">
      <c r="D6406" s="185"/>
      <c r="E6406" s="185" t="s">
        <v>470</v>
      </c>
      <c r="H6406" s="185"/>
    </row>
    <row r="6407">
      <c r="D6407" s="185"/>
      <c r="E6407" s="185" t="s">
        <v>470</v>
      </c>
      <c r="H6407" s="185"/>
    </row>
    <row r="6408">
      <c r="D6408" s="185"/>
      <c r="E6408" s="185" t="s">
        <v>470</v>
      </c>
      <c r="H6408" s="185"/>
    </row>
    <row r="6409">
      <c r="D6409" s="185"/>
      <c r="E6409" s="185" t="s">
        <v>470</v>
      </c>
      <c r="H6409" s="185"/>
    </row>
    <row r="6410">
      <c r="D6410" s="185"/>
      <c r="E6410" s="185" t="s">
        <v>470</v>
      </c>
      <c r="H6410" s="185"/>
    </row>
    <row r="6411">
      <c r="D6411" s="185"/>
      <c r="E6411" s="185" t="s">
        <v>470</v>
      </c>
      <c r="H6411" s="185"/>
    </row>
    <row r="6412">
      <c r="D6412" s="185"/>
      <c r="E6412" s="185" t="s">
        <v>470</v>
      </c>
      <c r="H6412" s="185"/>
    </row>
    <row r="6413">
      <c r="D6413" s="185"/>
      <c r="E6413" s="185" t="s">
        <v>470</v>
      </c>
      <c r="H6413" s="185"/>
    </row>
    <row r="6414">
      <c r="D6414" s="185"/>
      <c r="E6414" s="185" t="s">
        <v>470</v>
      </c>
      <c r="H6414" s="185"/>
    </row>
    <row r="6415">
      <c r="D6415" s="185"/>
      <c r="E6415" s="185" t="s">
        <v>470</v>
      </c>
      <c r="H6415" s="185"/>
    </row>
    <row r="6416">
      <c r="D6416" s="185"/>
      <c r="E6416" s="185" t="s">
        <v>470</v>
      </c>
      <c r="H6416" s="185"/>
    </row>
    <row r="6417">
      <c r="D6417" s="185"/>
      <c r="E6417" s="185" t="s">
        <v>470</v>
      </c>
      <c r="H6417" s="185"/>
    </row>
    <row r="6418">
      <c r="D6418" s="185"/>
      <c r="E6418" s="185" t="s">
        <v>470</v>
      </c>
      <c r="H6418" s="185"/>
    </row>
    <row r="6419">
      <c r="D6419" s="185"/>
      <c r="E6419" s="185" t="s">
        <v>470</v>
      </c>
      <c r="H6419" s="185"/>
    </row>
    <row r="6420">
      <c r="D6420" s="185"/>
      <c r="E6420" s="185" t="s">
        <v>470</v>
      </c>
      <c r="H6420" s="185"/>
    </row>
    <row r="6421">
      <c r="D6421" s="185"/>
      <c r="E6421" s="185" t="s">
        <v>470</v>
      </c>
      <c r="H6421" s="185"/>
    </row>
    <row r="6422">
      <c r="D6422" s="185"/>
      <c r="E6422" s="185" t="s">
        <v>470</v>
      </c>
      <c r="H6422" s="185"/>
    </row>
    <row r="6423">
      <c r="D6423" s="185"/>
      <c r="E6423" s="185" t="s">
        <v>470</v>
      </c>
      <c r="H6423" s="185"/>
    </row>
    <row r="6424">
      <c r="D6424" s="185"/>
      <c r="E6424" s="185" t="s">
        <v>470</v>
      </c>
      <c r="H6424" s="185"/>
    </row>
    <row r="6425">
      <c r="D6425" s="185"/>
      <c r="E6425" s="185" t="s">
        <v>470</v>
      </c>
      <c r="H6425" s="185"/>
    </row>
    <row r="6426">
      <c r="D6426" s="185"/>
      <c r="E6426" s="185" t="s">
        <v>470</v>
      </c>
      <c r="H6426" s="185"/>
    </row>
    <row r="6427">
      <c r="D6427" s="185"/>
      <c r="E6427" s="185" t="s">
        <v>470</v>
      </c>
      <c r="H6427" s="185"/>
    </row>
    <row r="6428">
      <c r="D6428" s="185"/>
      <c r="E6428" s="185" t="s">
        <v>470</v>
      </c>
      <c r="H6428" s="185"/>
    </row>
    <row r="6429">
      <c r="D6429" s="185"/>
      <c r="E6429" s="185" t="s">
        <v>470</v>
      </c>
      <c r="H6429" s="185"/>
    </row>
    <row r="6430">
      <c r="D6430" s="185"/>
      <c r="E6430" s="185" t="s">
        <v>470</v>
      </c>
      <c r="H6430" s="185"/>
    </row>
    <row r="6431">
      <c r="D6431" s="185"/>
      <c r="E6431" s="185" t="s">
        <v>470</v>
      </c>
      <c r="H6431" s="185"/>
    </row>
    <row r="6432">
      <c r="D6432" s="185"/>
      <c r="E6432" s="185" t="s">
        <v>470</v>
      </c>
      <c r="H6432" s="185"/>
    </row>
    <row r="6433">
      <c r="D6433" s="185"/>
      <c r="E6433" s="185" t="s">
        <v>470</v>
      </c>
      <c r="H6433" s="185"/>
    </row>
    <row r="6434">
      <c r="D6434" s="185"/>
      <c r="E6434" s="185" t="s">
        <v>470</v>
      </c>
      <c r="H6434" s="185"/>
    </row>
    <row r="6435">
      <c r="D6435" s="185"/>
      <c r="E6435" s="185" t="s">
        <v>470</v>
      </c>
      <c r="H6435" s="185"/>
    </row>
    <row r="6436">
      <c r="D6436" s="185"/>
      <c r="E6436" s="185" t="s">
        <v>470</v>
      </c>
      <c r="H6436" s="185"/>
    </row>
    <row r="6437">
      <c r="D6437" s="185"/>
      <c r="E6437" s="185" t="s">
        <v>470</v>
      </c>
      <c r="H6437" s="185"/>
    </row>
    <row r="6438">
      <c r="D6438" s="185"/>
      <c r="E6438" s="185" t="s">
        <v>470</v>
      </c>
      <c r="H6438" s="185"/>
    </row>
    <row r="6439">
      <c r="D6439" s="185"/>
      <c r="E6439" s="185" t="s">
        <v>470</v>
      </c>
      <c r="H6439" s="185"/>
    </row>
    <row r="6440">
      <c r="D6440" s="185"/>
      <c r="E6440" s="185" t="s">
        <v>470</v>
      </c>
      <c r="H6440" s="185"/>
    </row>
    <row r="6441">
      <c r="D6441" s="185"/>
      <c r="E6441" s="185" t="s">
        <v>470</v>
      </c>
      <c r="H6441" s="185"/>
    </row>
    <row r="6442">
      <c r="D6442" s="185"/>
      <c r="E6442" s="185" t="s">
        <v>470</v>
      </c>
      <c r="H6442" s="185"/>
    </row>
    <row r="6443">
      <c r="D6443" s="185"/>
      <c r="E6443" s="185" t="s">
        <v>470</v>
      </c>
      <c r="H6443" s="185"/>
    </row>
    <row r="6444">
      <c r="D6444" s="185"/>
      <c r="E6444" s="185" t="s">
        <v>470</v>
      </c>
      <c r="H6444" s="185"/>
    </row>
    <row r="6445">
      <c r="D6445" s="185"/>
      <c r="E6445" s="185" t="s">
        <v>470</v>
      </c>
      <c r="H6445" s="185"/>
    </row>
    <row r="6446">
      <c r="D6446" s="185"/>
      <c r="E6446" s="185" t="s">
        <v>470</v>
      </c>
      <c r="H6446" s="185"/>
    </row>
    <row r="6447">
      <c r="D6447" s="185"/>
      <c r="E6447" s="185" t="s">
        <v>470</v>
      </c>
      <c r="H6447" s="185"/>
    </row>
    <row r="6448">
      <c r="D6448" s="185"/>
      <c r="E6448" s="185" t="s">
        <v>470</v>
      </c>
      <c r="H6448" s="185"/>
    </row>
    <row r="6449">
      <c r="D6449" s="185"/>
      <c r="E6449" s="185" t="s">
        <v>470</v>
      </c>
      <c r="H6449" s="185"/>
    </row>
    <row r="6450">
      <c r="D6450" s="185"/>
      <c r="E6450" s="185" t="s">
        <v>470</v>
      </c>
      <c r="H6450" s="185"/>
    </row>
    <row r="6451">
      <c r="D6451" s="185"/>
      <c r="E6451" s="185" t="s">
        <v>470</v>
      </c>
      <c r="H6451" s="185"/>
    </row>
    <row r="6452">
      <c r="D6452" s="185"/>
      <c r="E6452" s="185" t="s">
        <v>470</v>
      </c>
      <c r="H6452" s="185"/>
    </row>
    <row r="6453">
      <c r="D6453" s="185"/>
      <c r="E6453" s="185" t="s">
        <v>470</v>
      </c>
      <c r="H6453" s="185"/>
    </row>
    <row r="6454">
      <c r="D6454" s="185"/>
      <c r="E6454" s="185" t="s">
        <v>470</v>
      </c>
      <c r="H6454" s="185"/>
    </row>
    <row r="6455">
      <c r="D6455" s="185"/>
      <c r="E6455" s="185" t="s">
        <v>470</v>
      </c>
      <c r="H6455" s="185"/>
    </row>
    <row r="6456">
      <c r="D6456" s="185"/>
      <c r="E6456" s="185" t="s">
        <v>470</v>
      </c>
      <c r="H6456" s="185"/>
    </row>
    <row r="6457">
      <c r="D6457" s="185"/>
      <c r="E6457" s="185" t="s">
        <v>470</v>
      </c>
      <c r="H6457" s="185"/>
    </row>
    <row r="6458">
      <c r="D6458" s="185"/>
      <c r="E6458" s="185" t="s">
        <v>470</v>
      </c>
      <c r="H6458" s="185"/>
    </row>
    <row r="6459">
      <c r="D6459" s="185"/>
      <c r="E6459" s="185" t="s">
        <v>470</v>
      </c>
      <c r="H6459" s="185"/>
    </row>
    <row r="6460">
      <c r="D6460" s="185"/>
      <c r="E6460" s="185" t="s">
        <v>470</v>
      </c>
      <c r="H6460" s="185"/>
    </row>
    <row r="6461">
      <c r="D6461" s="185"/>
      <c r="E6461" s="185" t="s">
        <v>470</v>
      </c>
      <c r="H6461" s="185"/>
    </row>
    <row r="6462">
      <c r="D6462" s="185"/>
      <c r="E6462" s="185" t="s">
        <v>470</v>
      </c>
      <c r="H6462" s="185"/>
    </row>
    <row r="6463">
      <c r="D6463" s="185"/>
      <c r="E6463" s="185" t="s">
        <v>470</v>
      </c>
      <c r="H6463" s="185"/>
    </row>
    <row r="6464">
      <c r="D6464" s="185"/>
      <c r="E6464" s="185" t="s">
        <v>470</v>
      </c>
      <c r="H6464" s="185"/>
    </row>
    <row r="6465">
      <c r="D6465" s="185"/>
      <c r="E6465" s="185" t="s">
        <v>470</v>
      </c>
      <c r="H6465" s="185"/>
    </row>
    <row r="6466">
      <c r="D6466" s="185"/>
      <c r="E6466" s="185" t="s">
        <v>470</v>
      </c>
      <c r="H6466" s="185"/>
    </row>
    <row r="6467">
      <c r="D6467" s="185"/>
      <c r="E6467" s="185" t="s">
        <v>470</v>
      </c>
      <c r="H6467" s="185"/>
    </row>
    <row r="6468">
      <c r="D6468" s="185"/>
      <c r="E6468" s="185" t="s">
        <v>470</v>
      </c>
      <c r="H6468" s="185"/>
    </row>
    <row r="6469">
      <c r="D6469" s="185"/>
      <c r="E6469" s="185" t="s">
        <v>470</v>
      </c>
      <c r="H6469" s="185"/>
    </row>
    <row r="6470">
      <c r="D6470" s="185"/>
      <c r="E6470" s="185" t="s">
        <v>470</v>
      </c>
      <c r="H6470" s="185"/>
    </row>
    <row r="6471">
      <c r="D6471" s="185"/>
      <c r="E6471" s="185" t="s">
        <v>470</v>
      </c>
      <c r="H6471" s="185"/>
    </row>
    <row r="6472">
      <c r="D6472" s="185"/>
      <c r="E6472" s="185" t="s">
        <v>470</v>
      </c>
      <c r="H6472" s="185"/>
    </row>
    <row r="6473">
      <c r="D6473" s="185"/>
      <c r="E6473" s="185" t="s">
        <v>470</v>
      </c>
      <c r="H6473" s="185"/>
    </row>
    <row r="6474">
      <c r="D6474" s="185"/>
      <c r="E6474" s="185" t="s">
        <v>470</v>
      </c>
      <c r="H6474" s="185"/>
    </row>
    <row r="6475">
      <c r="D6475" s="185"/>
      <c r="E6475" s="185" t="s">
        <v>470</v>
      </c>
      <c r="H6475" s="185"/>
    </row>
    <row r="6476">
      <c r="D6476" s="185"/>
      <c r="E6476" s="185" t="s">
        <v>470</v>
      </c>
      <c r="H6476" s="185"/>
    </row>
    <row r="6477">
      <c r="D6477" s="185"/>
      <c r="E6477" s="185" t="s">
        <v>470</v>
      </c>
      <c r="H6477" s="185"/>
    </row>
    <row r="6478">
      <c r="D6478" s="185"/>
      <c r="E6478" s="185" t="s">
        <v>470</v>
      </c>
      <c r="H6478" s="185"/>
    </row>
    <row r="6479">
      <c r="D6479" s="185"/>
      <c r="E6479" s="185" t="s">
        <v>470</v>
      </c>
      <c r="H6479" s="185"/>
    </row>
    <row r="6480">
      <c r="D6480" s="185"/>
      <c r="E6480" s="185" t="s">
        <v>470</v>
      </c>
      <c r="H6480" s="185"/>
    </row>
    <row r="6481">
      <c r="D6481" s="185"/>
      <c r="E6481" s="185" t="s">
        <v>470</v>
      </c>
      <c r="H6481" s="185"/>
    </row>
    <row r="6482">
      <c r="D6482" s="185"/>
      <c r="E6482" s="185" t="s">
        <v>470</v>
      </c>
      <c r="H6482" s="185"/>
    </row>
    <row r="6483">
      <c r="D6483" s="185"/>
      <c r="E6483" s="185" t="s">
        <v>470</v>
      </c>
      <c r="H6483" s="185"/>
    </row>
    <row r="6484">
      <c r="D6484" s="185"/>
      <c r="E6484" s="185" t="s">
        <v>470</v>
      </c>
      <c r="H6484" s="185"/>
    </row>
    <row r="6485">
      <c r="D6485" s="185"/>
      <c r="E6485" s="185" t="s">
        <v>470</v>
      </c>
      <c r="H6485" s="185"/>
    </row>
    <row r="6486">
      <c r="D6486" s="185"/>
      <c r="E6486" s="185" t="s">
        <v>470</v>
      </c>
      <c r="H6486" s="185"/>
    </row>
    <row r="6487">
      <c r="D6487" s="185"/>
      <c r="E6487" s="185" t="s">
        <v>470</v>
      </c>
      <c r="H6487" s="185"/>
    </row>
    <row r="6488">
      <c r="D6488" s="185"/>
      <c r="E6488" s="185" t="s">
        <v>470</v>
      </c>
      <c r="H6488" s="185"/>
    </row>
    <row r="6489">
      <c r="D6489" s="185"/>
      <c r="E6489" s="185" t="s">
        <v>470</v>
      </c>
      <c r="H6489" s="185"/>
    </row>
    <row r="6490">
      <c r="D6490" s="185"/>
      <c r="E6490" s="185" t="s">
        <v>470</v>
      </c>
      <c r="H6490" s="185"/>
    </row>
    <row r="6491">
      <c r="D6491" s="185"/>
      <c r="E6491" s="185" t="s">
        <v>470</v>
      </c>
      <c r="H6491" s="185"/>
    </row>
    <row r="6492">
      <c r="D6492" s="185"/>
      <c r="E6492" s="185" t="s">
        <v>470</v>
      </c>
      <c r="H6492" s="185"/>
    </row>
    <row r="6493">
      <c r="D6493" s="185"/>
      <c r="E6493" s="185" t="s">
        <v>470</v>
      </c>
      <c r="H6493" s="185"/>
    </row>
    <row r="6494">
      <c r="D6494" s="185"/>
      <c r="E6494" s="185" t="s">
        <v>470</v>
      </c>
      <c r="H6494" s="185"/>
    </row>
    <row r="6495">
      <c r="D6495" s="185"/>
      <c r="E6495" s="185" t="s">
        <v>470</v>
      </c>
      <c r="H6495" s="185"/>
    </row>
    <row r="6496">
      <c r="D6496" s="185"/>
      <c r="E6496" s="185" t="s">
        <v>470</v>
      </c>
      <c r="H6496" s="185"/>
    </row>
    <row r="6497">
      <c r="D6497" s="185"/>
      <c r="E6497" s="185" t="s">
        <v>470</v>
      </c>
      <c r="H6497" s="185"/>
    </row>
    <row r="6498">
      <c r="D6498" s="185"/>
      <c r="E6498" s="185" t="s">
        <v>470</v>
      </c>
      <c r="H6498" s="185"/>
    </row>
    <row r="6499">
      <c r="D6499" s="185"/>
      <c r="E6499" s="185" t="s">
        <v>470</v>
      </c>
      <c r="H6499" s="185"/>
    </row>
    <row r="6500">
      <c r="D6500" s="185"/>
      <c r="E6500" s="185" t="s">
        <v>470</v>
      </c>
      <c r="H6500" s="185"/>
    </row>
    <row r="6501">
      <c r="D6501" s="185"/>
      <c r="E6501" s="185" t="s">
        <v>470</v>
      </c>
      <c r="H6501" s="185"/>
    </row>
    <row r="6502">
      <c r="D6502" s="185"/>
      <c r="E6502" s="185" t="s">
        <v>470</v>
      </c>
      <c r="H6502" s="185"/>
    </row>
    <row r="6503">
      <c r="D6503" s="185"/>
      <c r="E6503" s="185" t="s">
        <v>470</v>
      </c>
      <c r="H6503" s="185"/>
    </row>
    <row r="6504">
      <c r="D6504" s="185"/>
      <c r="E6504" s="185" t="s">
        <v>470</v>
      </c>
      <c r="H6504" s="185"/>
    </row>
    <row r="6505">
      <c r="D6505" s="185"/>
      <c r="E6505" s="185" t="s">
        <v>470</v>
      </c>
      <c r="H6505" s="185"/>
    </row>
    <row r="6506">
      <c r="D6506" s="185"/>
      <c r="E6506" s="185" t="s">
        <v>470</v>
      </c>
      <c r="H6506" s="185"/>
    </row>
    <row r="6507">
      <c r="D6507" s="185"/>
      <c r="E6507" s="185" t="s">
        <v>470</v>
      </c>
      <c r="H6507" s="185"/>
    </row>
    <row r="6508">
      <c r="D6508" s="185"/>
      <c r="E6508" s="185" t="s">
        <v>470</v>
      </c>
      <c r="H6508" s="185"/>
    </row>
    <row r="6509">
      <c r="D6509" s="185"/>
      <c r="E6509" s="185" t="s">
        <v>470</v>
      </c>
      <c r="H6509" s="185"/>
    </row>
    <row r="6510">
      <c r="D6510" s="185"/>
      <c r="E6510" s="185" t="s">
        <v>470</v>
      </c>
      <c r="H6510" s="185"/>
    </row>
    <row r="6511">
      <c r="D6511" s="185"/>
      <c r="E6511" s="185" t="s">
        <v>470</v>
      </c>
      <c r="H6511" s="185"/>
    </row>
    <row r="6512">
      <c r="D6512" s="185"/>
      <c r="E6512" s="185" t="s">
        <v>470</v>
      </c>
      <c r="H6512" s="185"/>
    </row>
    <row r="6513">
      <c r="D6513" s="185"/>
      <c r="E6513" s="185" t="s">
        <v>470</v>
      </c>
      <c r="H6513" s="185"/>
    </row>
    <row r="6514">
      <c r="D6514" s="185"/>
      <c r="E6514" s="185" t="s">
        <v>470</v>
      </c>
      <c r="H6514" s="185"/>
    </row>
    <row r="6515">
      <c r="D6515" s="185"/>
      <c r="E6515" s="185" t="s">
        <v>470</v>
      </c>
      <c r="H6515" s="185"/>
    </row>
    <row r="6516">
      <c r="D6516" s="185"/>
      <c r="E6516" s="185" t="s">
        <v>470</v>
      </c>
      <c r="H6516" s="185"/>
    </row>
    <row r="6517">
      <c r="D6517" s="185"/>
      <c r="E6517" s="185" t="s">
        <v>470</v>
      </c>
      <c r="H6517" s="185"/>
    </row>
    <row r="6518">
      <c r="D6518" s="185"/>
      <c r="E6518" s="185" t="s">
        <v>470</v>
      </c>
      <c r="H6518" s="185"/>
    </row>
    <row r="6519">
      <c r="D6519" s="185"/>
      <c r="E6519" s="185" t="s">
        <v>470</v>
      </c>
      <c r="H6519" s="185"/>
    </row>
    <row r="6520">
      <c r="D6520" s="185"/>
      <c r="E6520" s="185" t="s">
        <v>470</v>
      </c>
      <c r="H6520" s="185"/>
    </row>
    <row r="6521">
      <c r="D6521" s="185"/>
      <c r="E6521" s="185" t="s">
        <v>470</v>
      </c>
      <c r="H6521" s="185"/>
    </row>
    <row r="6522">
      <c r="D6522" s="185"/>
      <c r="E6522" s="185" t="s">
        <v>470</v>
      </c>
      <c r="H6522" s="185"/>
    </row>
    <row r="6523">
      <c r="D6523" s="185"/>
      <c r="E6523" s="185" t="s">
        <v>470</v>
      </c>
      <c r="H6523" s="185"/>
    </row>
    <row r="6524">
      <c r="D6524" s="185"/>
      <c r="E6524" s="185" t="s">
        <v>470</v>
      </c>
      <c r="H6524" s="185"/>
    </row>
    <row r="6525">
      <c r="D6525" s="185"/>
      <c r="E6525" s="185" t="s">
        <v>470</v>
      </c>
      <c r="H6525" s="185"/>
    </row>
    <row r="6526">
      <c r="D6526" s="185"/>
      <c r="E6526" s="185" t="s">
        <v>470</v>
      </c>
      <c r="H6526" s="185"/>
    </row>
    <row r="6527">
      <c r="D6527" s="185"/>
      <c r="E6527" s="185" t="s">
        <v>470</v>
      </c>
      <c r="H6527" s="185"/>
    </row>
    <row r="6528">
      <c r="D6528" s="185"/>
      <c r="E6528" s="185" t="s">
        <v>470</v>
      </c>
      <c r="H6528" s="185"/>
    </row>
    <row r="6529">
      <c r="D6529" s="185"/>
      <c r="E6529" s="185" t="s">
        <v>470</v>
      </c>
      <c r="H6529" s="185"/>
    </row>
    <row r="6530">
      <c r="D6530" s="185"/>
      <c r="E6530" s="185" t="s">
        <v>470</v>
      </c>
      <c r="H6530" s="185"/>
    </row>
    <row r="6531">
      <c r="D6531" s="185"/>
      <c r="E6531" s="185" t="s">
        <v>470</v>
      </c>
      <c r="H6531" s="185"/>
    </row>
    <row r="6532">
      <c r="D6532" s="185"/>
      <c r="E6532" s="185" t="s">
        <v>470</v>
      </c>
      <c r="H6532" s="185"/>
    </row>
    <row r="6533">
      <c r="D6533" s="185"/>
      <c r="E6533" s="185" t="s">
        <v>470</v>
      </c>
      <c r="H6533" s="185"/>
    </row>
    <row r="6534">
      <c r="D6534" s="185"/>
      <c r="E6534" s="185" t="s">
        <v>470</v>
      </c>
      <c r="H6534" s="185"/>
    </row>
    <row r="6535">
      <c r="D6535" s="185"/>
      <c r="E6535" s="185" t="s">
        <v>470</v>
      </c>
      <c r="H6535" s="185"/>
    </row>
    <row r="6536">
      <c r="D6536" s="185"/>
      <c r="E6536" s="185" t="s">
        <v>470</v>
      </c>
      <c r="H6536" s="185"/>
    </row>
    <row r="6537">
      <c r="D6537" s="185"/>
      <c r="E6537" s="185" t="s">
        <v>470</v>
      </c>
      <c r="H6537" s="185"/>
    </row>
    <row r="6538">
      <c r="D6538" s="185"/>
      <c r="E6538" s="185" t="s">
        <v>470</v>
      </c>
      <c r="H6538" s="185"/>
    </row>
    <row r="6539">
      <c r="D6539" s="185"/>
      <c r="E6539" s="185" t="s">
        <v>470</v>
      </c>
      <c r="H6539" s="185"/>
    </row>
    <row r="6540">
      <c r="D6540" s="185"/>
      <c r="E6540" s="185" t="s">
        <v>470</v>
      </c>
      <c r="H6540" s="185"/>
    </row>
    <row r="6541">
      <c r="D6541" s="185"/>
      <c r="E6541" s="185" t="s">
        <v>470</v>
      </c>
      <c r="H6541" s="185"/>
    </row>
    <row r="6542">
      <c r="D6542" s="185"/>
      <c r="E6542" s="185" t="s">
        <v>470</v>
      </c>
      <c r="H6542" s="185"/>
    </row>
    <row r="6543">
      <c r="D6543" s="185"/>
      <c r="E6543" s="185" t="s">
        <v>470</v>
      </c>
      <c r="H6543" s="185"/>
    </row>
    <row r="6544">
      <c r="D6544" s="185"/>
      <c r="E6544" s="185" t="s">
        <v>470</v>
      </c>
      <c r="H6544" s="185"/>
    </row>
    <row r="6545">
      <c r="D6545" s="185"/>
      <c r="E6545" s="185" t="s">
        <v>470</v>
      </c>
      <c r="H6545" s="185"/>
    </row>
    <row r="6546">
      <c r="D6546" s="185"/>
      <c r="E6546" s="185" t="s">
        <v>470</v>
      </c>
      <c r="H6546" s="185"/>
    </row>
    <row r="6547">
      <c r="D6547" s="185"/>
      <c r="E6547" s="185" t="s">
        <v>470</v>
      </c>
      <c r="H6547" s="185"/>
    </row>
    <row r="6548">
      <c r="D6548" s="185"/>
      <c r="E6548" s="185" t="s">
        <v>470</v>
      </c>
      <c r="H6548" s="185"/>
    </row>
    <row r="6549">
      <c r="D6549" s="185"/>
      <c r="E6549" s="185" t="s">
        <v>470</v>
      </c>
      <c r="H6549" s="185"/>
    </row>
    <row r="6550">
      <c r="D6550" s="185"/>
      <c r="E6550" s="185" t="s">
        <v>470</v>
      </c>
      <c r="H6550" s="185"/>
    </row>
    <row r="6551">
      <c r="D6551" s="185"/>
      <c r="E6551" s="185" t="s">
        <v>470</v>
      </c>
      <c r="H6551" s="185"/>
    </row>
    <row r="6552">
      <c r="D6552" s="185"/>
      <c r="E6552" s="185" t="s">
        <v>470</v>
      </c>
      <c r="H6552" s="185"/>
    </row>
    <row r="6553">
      <c r="D6553" s="185"/>
      <c r="E6553" s="185" t="s">
        <v>470</v>
      </c>
      <c r="H6553" s="185"/>
    </row>
    <row r="6554">
      <c r="D6554" s="185"/>
      <c r="E6554" s="185" t="s">
        <v>470</v>
      </c>
      <c r="H6554" s="185"/>
    </row>
    <row r="6555">
      <c r="D6555" s="185"/>
      <c r="E6555" s="185" t="s">
        <v>470</v>
      </c>
      <c r="H6555" s="185"/>
    </row>
    <row r="6556">
      <c r="D6556" s="185"/>
      <c r="E6556" s="185" t="s">
        <v>470</v>
      </c>
      <c r="H6556" s="185"/>
    </row>
    <row r="6557">
      <c r="D6557" s="185"/>
      <c r="E6557" s="185" t="s">
        <v>470</v>
      </c>
      <c r="H6557" s="185"/>
    </row>
    <row r="6558">
      <c r="D6558" s="185"/>
      <c r="E6558" s="185" t="s">
        <v>470</v>
      </c>
      <c r="H6558" s="185"/>
    </row>
    <row r="6559">
      <c r="D6559" s="185"/>
      <c r="E6559" s="185" t="s">
        <v>470</v>
      </c>
      <c r="H6559" s="185"/>
    </row>
    <row r="6560">
      <c r="D6560" s="185"/>
      <c r="E6560" s="185" t="s">
        <v>470</v>
      </c>
      <c r="H6560" s="185"/>
    </row>
    <row r="6561">
      <c r="D6561" s="185"/>
      <c r="E6561" s="185" t="s">
        <v>470</v>
      </c>
      <c r="H6561" s="185"/>
    </row>
    <row r="6562">
      <c r="D6562" s="185"/>
      <c r="E6562" s="185" t="s">
        <v>470</v>
      </c>
      <c r="H6562" s="185"/>
    </row>
    <row r="6563">
      <c r="D6563" s="185"/>
      <c r="E6563" s="185" t="s">
        <v>470</v>
      </c>
      <c r="H6563" s="185"/>
    </row>
    <row r="6564">
      <c r="D6564" s="185"/>
      <c r="E6564" s="185" t="s">
        <v>470</v>
      </c>
      <c r="H6564" s="185"/>
    </row>
    <row r="6565">
      <c r="D6565" s="185"/>
      <c r="E6565" s="185" t="s">
        <v>470</v>
      </c>
      <c r="H6565" s="185"/>
    </row>
    <row r="6566">
      <c r="D6566" s="185"/>
      <c r="E6566" s="185" t="s">
        <v>470</v>
      </c>
      <c r="H6566" s="185"/>
    </row>
    <row r="6567">
      <c r="D6567" s="185"/>
      <c r="E6567" s="185" t="s">
        <v>470</v>
      </c>
      <c r="H6567" s="185"/>
    </row>
    <row r="6568">
      <c r="D6568" s="185"/>
      <c r="E6568" s="185" t="s">
        <v>470</v>
      </c>
      <c r="H6568" s="185"/>
    </row>
    <row r="6569">
      <c r="D6569" s="185"/>
      <c r="E6569" s="185" t="s">
        <v>470</v>
      </c>
      <c r="H6569" s="185"/>
    </row>
    <row r="6570">
      <c r="D6570" s="185"/>
      <c r="E6570" s="185" t="s">
        <v>470</v>
      </c>
      <c r="H6570" s="185"/>
    </row>
    <row r="6571">
      <c r="D6571" s="185"/>
      <c r="E6571" s="185" t="s">
        <v>470</v>
      </c>
      <c r="H6571" s="185"/>
    </row>
    <row r="6572">
      <c r="D6572" s="185"/>
      <c r="E6572" s="185" t="s">
        <v>470</v>
      </c>
      <c r="H6572" s="185"/>
    </row>
    <row r="6573">
      <c r="D6573" s="185"/>
      <c r="E6573" s="185" t="s">
        <v>470</v>
      </c>
      <c r="H6573" s="185"/>
    </row>
    <row r="6574">
      <c r="D6574" s="185"/>
      <c r="E6574" s="185" t="s">
        <v>470</v>
      </c>
      <c r="H6574" s="185"/>
    </row>
    <row r="6575">
      <c r="D6575" s="185"/>
      <c r="E6575" s="185" t="s">
        <v>470</v>
      </c>
      <c r="H6575" s="185"/>
    </row>
    <row r="6576">
      <c r="D6576" s="185"/>
      <c r="E6576" s="185" t="s">
        <v>470</v>
      </c>
      <c r="H6576" s="185"/>
    </row>
    <row r="6577">
      <c r="D6577" s="185"/>
      <c r="E6577" s="185" t="s">
        <v>470</v>
      </c>
      <c r="H6577" s="185"/>
    </row>
    <row r="6578">
      <c r="D6578" s="185"/>
      <c r="E6578" s="185" t="s">
        <v>470</v>
      </c>
      <c r="H6578" s="185"/>
    </row>
    <row r="6579">
      <c r="D6579" s="185"/>
      <c r="E6579" s="185" t="s">
        <v>470</v>
      </c>
      <c r="H6579" s="185"/>
    </row>
    <row r="6580">
      <c r="D6580" s="185"/>
      <c r="E6580" s="185" t="s">
        <v>470</v>
      </c>
      <c r="H6580" s="185"/>
    </row>
    <row r="6581">
      <c r="D6581" s="185"/>
      <c r="E6581" s="185" t="s">
        <v>470</v>
      </c>
      <c r="H6581" s="185"/>
    </row>
    <row r="6582">
      <c r="D6582" s="185"/>
      <c r="E6582" s="185" t="s">
        <v>470</v>
      </c>
      <c r="H6582" s="185"/>
    </row>
    <row r="6583">
      <c r="D6583" s="185"/>
      <c r="E6583" s="185" t="s">
        <v>470</v>
      </c>
      <c r="H6583" s="185"/>
    </row>
    <row r="6584">
      <c r="D6584" s="185"/>
      <c r="E6584" s="185" t="s">
        <v>470</v>
      </c>
      <c r="H6584" s="185"/>
    </row>
    <row r="6585">
      <c r="D6585" s="185"/>
      <c r="E6585" s="185" t="s">
        <v>470</v>
      </c>
      <c r="H6585" s="185"/>
    </row>
    <row r="6586">
      <c r="D6586" s="185"/>
      <c r="E6586" s="185" t="s">
        <v>470</v>
      </c>
      <c r="H6586" s="185"/>
    </row>
    <row r="6587">
      <c r="D6587" s="185"/>
      <c r="E6587" s="185" t="s">
        <v>470</v>
      </c>
      <c r="H6587" s="185"/>
    </row>
    <row r="6588">
      <c r="D6588" s="185"/>
      <c r="E6588" s="185" t="s">
        <v>470</v>
      </c>
      <c r="H6588" s="185"/>
    </row>
    <row r="6589">
      <c r="D6589" s="185"/>
      <c r="E6589" s="185" t="s">
        <v>470</v>
      </c>
      <c r="H6589" s="185"/>
    </row>
    <row r="6590">
      <c r="D6590" s="185"/>
      <c r="E6590" s="185" t="s">
        <v>470</v>
      </c>
      <c r="H6590" s="185"/>
    </row>
    <row r="6591">
      <c r="D6591" s="185"/>
      <c r="E6591" s="185" t="s">
        <v>470</v>
      </c>
      <c r="H6591" s="185"/>
    </row>
    <row r="6592">
      <c r="D6592" s="185"/>
      <c r="E6592" s="185" t="s">
        <v>470</v>
      </c>
      <c r="H6592" s="185"/>
    </row>
    <row r="6593">
      <c r="D6593" s="185"/>
      <c r="E6593" s="185" t="s">
        <v>470</v>
      </c>
      <c r="H6593" s="185"/>
    </row>
    <row r="6594">
      <c r="D6594" s="185"/>
      <c r="E6594" s="185" t="s">
        <v>470</v>
      </c>
      <c r="H6594" s="185"/>
    </row>
    <row r="6595">
      <c r="D6595" s="185"/>
      <c r="E6595" s="185" t="s">
        <v>470</v>
      </c>
      <c r="H6595" s="185"/>
    </row>
    <row r="6596">
      <c r="D6596" s="185"/>
      <c r="E6596" s="185" t="s">
        <v>470</v>
      </c>
      <c r="H6596" s="185"/>
    </row>
    <row r="6597">
      <c r="D6597" s="185"/>
      <c r="E6597" s="185" t="s">
        <v>470</v>
      </c>
      <c r="H6597" s="185"/>
    </row>
    <row r="6598">
      <c r="D6598" s="185"/>
      <c r="E6598" s="185" t="s">
        <v>470</v>
      </c>
      <c r="H6598" s="185"/>
    </row>
    <row r="6599">
      <c r="D6599" s="185"/>
      <c r="E6599" s="185" t="s">
        <v>470</v>
      </c>
      <c r="H6599" s="185"/>
    </row>
    <row r="6600">
      <c r="D6600" s="185"/>
      <c r="E6600" s="185" t="s">
        <v>470</v>
      </c>
      <c r="H6600" s="185"/>
    </row>
    <row r="6601">
      <c r="D6601" s="185"/>
      <c r="E6601" s="185" t="s">
        <v>470</v>
      </c>
      <c r="H6601" s="185"/>
    </row>
    <row r="6602">
      <c r="D6602" s="185"/>
      <c r="E6602" s="185" t="s">
        <v>470</v>
      </c>
      <c r="H6602" s="185"/>
    </row>
    <row r="6603">
      <c r="D6603" s="185"/>
      <c r="E6603" s="185" t="s">
        <v>470</v>
      </c>
      <c r="H6603" s="185"/>
    </row>
    <row r="6604">
      <c r="D6604" s="185"/>
      <c r="E6604" s="185" t="s">
        <v>470</v>
      </c>
      <c r="H6604" s="185"/>
    </row>
    <row r="6605">
      <c r="D6605" s="185"/>
      <c r="E6605" s="185" t="s">
        <v>470</v>
      </c>
      <c r="H6605" s="185"/>
    </row>
    <row r="6606">
      <c r="D6606" s="185"/>
      <c r="E6606" s="185" t="s">
        <v>470</v>
      </c>
      <c r="H6606" s="185"/>
    </row>
    <row r="6607">
      <c r="D6607" s="185"/>
      <c r="E6607" s="185" t="s">
        <v>470</v>
      </c>
      <c r="H6607" s="185"/>
    </row>
    <row r="6608">
      <c r="D6608" s="185"/>
      <c r="E6608" s="185" t="s">
        <v>470</v>
      </c>
      <c r="H6608" s="185"/>
    </row>
    <row r="6609">
      <c r="D6609" s="185"/>
      <c r="E6609" s="185" t="s">
        <v>470</v>
      </c>
      <c r="H6609" s="185"/>
    </row>
    <row r="6610">
      <c r="D6610" s="185"/>
      <c r="E6610" s="185" t="s">
        <v>470</v>
      </c>
      <c r="H6610" s="185"/>
    </row>
    <row r="6611">
      <c r="D6611" s="185"/>
      <c r="E6611" s="185" t="s">
        <v>470</v>
      </c>
      <c r="H6611" s="185"/>
    </row>
    <row r="6612">
      <c r="D6612" s="185"/>
      <c r="E6612" s="185" t="s">
        <v>470</v>
      </c>
      <c r="H6612" s="185"/>
    </row>
    <row r="6613">
      <c r="D6613" s="185"/>
      <c r="E6613" s="185" t="s">
        <v>470</v>
      </c>
      <c r="H6613" s="185"/>
    </row>
    <row r="6614">
      <c r="D6614" s="185"/>
      <c r="E6614" s="185" t="s">
        <v>470</v>
      </c>
      <c r="H6614" s="185"/>
    </row>
    <row r="6615">
      <c r="D6615" s="185"/>
      <c r="E6615" s="185" t="s">
        <v>470</v>
      </c>
      <c r="H6615" s="185"/>
    </row>
    <row r="6616">
      <c r="D6616" s="185"/>
      <c r="E6616" s="185" t="s">
        <v>470</v>
      </c>
      <c r="H6616" s="185"/>
    </row>
    <row r="6617">
      <c r="D6617" s="185"/>
      <c r="E6617" s="185" t="s">
        <v>470</v>
      </c>
      <c r="H6617" s="185"/>
    </row>
    <row r="6618">
      <c r="D6618" s="185"/>
      <c r="E6618" s="185" t="s">
        <v>470</v>
      </c>
      <c r="H6618" s="185"/>
    </row>
    <row r="6619">
      <c r="D6619" s="185"/>
      <c r="E6619" s="185" t="s">
        <v>470</v>
      </c>
      <c r="H6619" s="185"/>
    </row>
    <row r="6620">
      <c r="D6620" s="185"/>
      <c r="E6620" s="185" t="s">
        <v>470</v>
      </c>
      <c r="H6620" s="185"/>
    </row>
    <row r="6621">
      <c r="D6621" s="185"/>
      <c r="E6621" s="185" t="s">
        <v>470</v>
      </c>
      <c r="H6621" s="185"/>
    </row>
    <row r="6622">
      <c r="D6622" s="185"/>
      <c r="E6622" s="185" t="s">
        <v>470</v>
      </c>
      <c r="H6622" s="185"/>
    </row>
    <row r="6623">
      <c r="D6623" s="185"/>
      <c r="E6623" s="185" t="s">
        <v>470</v>
      </c>
      <c r="H6623" s="185"/>
    </row>
    <row r="6624">
      <c r="D6624" s="185"/>
      <c r="E6624" s="185" t="s">
        <v>470</v>
      </c>
      <c r="H6624" s="185"/>
    </row>
    <row r="6625">
      <c r="D6625" s="185"/>
      <c r="E6625" s="185" t="s">
        <v>470</v>
      </c>
      <c r="H6625" s="185"/>
    </row>
    <row r="6626">
      <c r="D6626" s="185"/>
      <c r="E6626" s="185" t="s">
        <v>470</v>
      </c>
      <c r="H6626" s="185"/>
    </row>
    <row r="6627">
      <c r="D6627" s="185"/>
      <c r="E6627" s="185" t="s">
        <v>470</v>
      </c>
      <c r="H6627" s="185"/>
    </row>
    <row r="6628">
      <c r="D6628" s="185"/>
      <c r="E6628" s="185" t="s">
        <v>470</v>
      </c>
      <c r="H6628" s="185"/>
    </row>
    <row r="6629">
      <c r="D6629" s="185"/>
      <c r="E6629" s="185" t="s">
        <v>470</v>
      </c>
      <c r="H6629" s="185"/>
    </row>
    <row r="6630">
      <c r="D6630" s="185"/>
      <c r="E6630" s="185" t="s">
        <v>470</v>
      </c>
      <c r="H6630" s="185"/>
    </row>
    <row r="6631">
      <c r="D6631" s="185"/>
      <c r="E6631" s="185" t="s">
        <v>470</v>
      </c>
      <c r="H6631" s="185"/>
    </row>
    <row r="6632">
      <c r="D6632" s="185"/>
      <c r="E6632" s="185" t="s">
        <v>470</v>
      </c>
      <c r="H6632" s="185"/>
    </row>
    <row r="6633">
      <c r="D6633" s="185"/>
      <c r="E6633" s="185" t="s">
        <v>470</v>
      </c>
      <c r="H6633" s="185"/>
    </row>
    <row r="6634">
      <c r="D6634" s="185"/>
      <c r="E6634" s="185" t="s">
        <v>470</v>
      </c>
      <c r="H6634" s="185"/>
    </row>
    <row r="6635">
      <c r="D6635" s="185"/>
      <c r="E6635" s="185" t="s">
        <v>470</v>
      </c>
      <c r="H6635" s="185"/>
    </row>
    <row r="6636">
      <c r="D6636" s="185"/>
      <c r="E6636" s="185" t="s">
        <v>470</v>
      </c>
      <c r="H6636" s="185"/>
    </row>
    <row r="6637">
      <c r="D6637" s="185"/>
      <c r="E6637" s="185" t="s">
        <v>470</v>
      </c>
      <c r="H6637" s="185"/>
    </row>
    <row r="6638">
      <c r="D6638" s="185"/>
      <c r="E6638" s="185" t="s">
        <v>470</v>
      </c>
      <c r="H6638" s="185"/>
    </row>
    <row r="6639">
      <c r="D6639" s="185"/>
      <c r="E6639" s="185" t="s">
        <v>470</v>
      </c>
      <c r="H6639" s="185"/>
    </row>
    <row r="6640">
      <c r="D6640" s="185"/>
      <c r="E6640" s="185" t="s">
        <v>470</v>
      </c>
      <c r="H6640" s="185"/>
    </row>
    <row r="6641">
      <c r="D6641" s="185"/>
      <c r="E6641" s="185" t="s">
        <v>470</v>
      </c>
      <c r="H6641" s="185"/>
    </row>
    <row r="6642">
      <c r="D6642" s="185"/>
      <c r="E6642" s="185" t="s">
        <v>470</v>
      </c>
      <c r="H6642" s="185"/>
    </row>
    <row r="6643">
      <c r="D6643" s="185"/>
      <c r="E6643" s="185" t="s">
        <v>470</v>
      </c>
      <c r="H6643" s="185"/>
    </row>
    <row r="6644">
      <c r="D6644" s="185"/>
      <c r="E6644" s="185" t="s">
        <v>470</v>
      </c>
      <c r="H6644" s="185"/>
    </row>
    <row r="6645">
      <c r="D6645" s="185"/>
      <c r="E6645" s="185" t="s">
        <v>470</v>
      </c>
      <c r="H6645" s="185"/>
    </row>
    <row r="6646">
      <c r="D6646" s="185"/>
      <c r="E6646" s="185" t="s">
        <v>470</v>
      </c>
      <c r="H6646" s="185"/>
    </row>
    <row r="6647">
      <c r="D6647" s="185"/>
      <c r="E6647" s="185" t="s">
        <v>470</v>
      </c>
      <c r="H6647" s="185"/>
    </row>
    <row r="6648">
      <c r="D6648" s="185"/>
      <c r="E6648" s="185" t="s">
        <v>470</v>
      </c>
      <c r="H6648" s="185"/>
    </row>
    <row r="6649">
      <c r="D6649" s="185"/>
      <c r="E6649" s="185" t="s">
        <v>470</v>
      </c>
      <c r="H6649" s="185"/>
    </row>
    <row r="6650">
      <c r="D6650" s="185"/>
      <c r="E6650" s="185" t="s">
        <v>470</v>
      </c>
      <c r="H6650" s="185"/>
    </row>
    <row r="6651">
      <c r="D6651" s="185"/>
      <c r="E6651" s="185" t="s">
        <v>470</v>
      </c>
      <c r="H6651" s="185"/>
    </row>
    <row r="6652">
      <c r="D6652" s="185"/>
      <c r="E6652" s="185" t="s">
        <v>470</v>
      </c>
      <c r="H6652" s="185"/>
    </row>
    <row r="6653">
      <c r="D6653" s="185"/>
      <c r="E6653" s="185" t="s">
        <v>470</v>
      </c>
      <c r="H6653" s="185"/>
    </row>
    <row r="6654">
      <c r="D6654" s="185"/>
      <c r="E6654" s="185" t="s">
        <v>470</v>
      </c>
      <c r="H6654" s="185"/>
    </row>
    <row r="6655">
      <c r="D6655" s="185"/>
      <c r="E6655" s="185" t="s">
        <v>470</v>
      </c>
      <c r="H6655" s="185"/>
    </row>
    <row r="6656">
      <c r="D6656" s="185"/>
      <c r="E6656" s="185" t="s">
        <v>470</v>
      </c>
      <c r="H6656" s="185"/>
    </row>
    <row r="6657">
      <c r="D6657" s="185"/>
      <c r="E6657" s="185" t="s">
        <v>470</v>
      </c>
      <c r="H6657" s="185"/>
    </row>
    <row r="6658">
      <c r="D6658" s="185"/>
      <c r="E6658" s="185" t="s">
        <v>470</v>
      </c>
      <c r="H6658" s="185"/>
    </row>
    <row r="6659">
      <c r="D6659" s="185"/>
      <c r="E6659" s="185" t="s">
        <v>470</v>
      </c>
      <c r="H6659" s="185"/>
    </row>
    <row r="6660">
      <c r="D6660" s="185"/>
      <c r="E6660" s="185" t="s">
        <v>470</v>
      </c>
      <c r="H6660" s="185"/>
    </row>
    <row r="6661">
      <c r="D6661" s="185"/>
      <c r="E6661" s="185" t="s">
        <v>470</v>
      </c>
      <c r="H6661" s="185"/>
    </row>
    <row r="6662">
      <c r="D6662" s="185"/>
      <c r="E6662" s="185" t="s">
        <v>470</v>
      </c>
      <c r="H6662" s="185"/>
    </row>
    <row r="6663">
      <c r="D6663" s="185"/>
      <c r="E6663" s="185" t="s">
        <v>470</v>
      </c>
      <c r="H6663" s="185"/>
    </row>
    <row r="6664">
      <c r="D6664" s="185"/>
      <c r="E6664" s="185" t="s">
        <v>470</v>
      </c>
      <c r="H6664" s="185"/>
    </row>
    <row r="6665">
      <c r="D6665" s="185"/>
      <c r="E6665" s="185" t="s">
        <v>470</v>
      </c>
      <c r="H6665" s="185"/>
    </row>
    <row r="6666">
      <c r="D6666" s="185"/>
      <c r="E6666" s="185" t="s">
        <v>470</v>
      </c>
      <c r="H6666" s="185"/>
    </row>
    <row r="6667">
      <c r="D6667" s="185"/>
      <c r="E6667" s="185" t="s">
        <v>470</v>
      </c>
      <c r="H6667" s="185"/>
    </row>
    <row r="6668">
      <c r="D6668" s="185"/>
      <c r="E6668" s="185" t="s">
        <v>470</v>
      </c>
      <c r="H6668" s="185"/>
    </row>
    <row r="6669">
      <c r="D6669" s="185"/>
      <c r="E6669" s="185" t="s">
        <v>470</v>
      </c>
      <c r="H6669" s="185"/>
    </row>
    <row r="6670">
      <c r="D6670" s="185"/>
      <c r="E6670" s="185" t="s">
        <v>470</v>
      </c>
      <c r="H6670" s="185"/>
    </row>
    <row r="6671">
      <c r="D6671" s="185"/>
      <c r="E6671" s="185" t="s">
        <v>470</v>
      </c>
      <c r="H6671" s="185"/>
    </row>
    <row r="6672">
      <c r="D6672" s="185"/>
      <c r="E6672" s="185" t="s">
        <v>470</v>
      </c>
      <c r="H6672" s="185"/>
    </row>
    <row r="6673">
      <c r="D6673" s="185"/>
      <c r="E6673" s="185" t="s">
        <v>470</v>
      </c>
      <c r="H6673" s="185"/>
    </row>
    <row r="6674">
      <c r="D6674" s="185"/>
      <c r="E6674" s="185" t="s">
        <v>470</v>
      </c>
      <c r="H6674" s="185"/>
    </row>
    <row r="6675">
      <c r="D6675" s="185"/>
      <c r="E6675" s="185" t="s">
        <v>470</v>
      </c>
      <c r="H6675" s="185"/>
    </row>
    <row r="6676">
      <c r="D6676" s="185"/>
      <c r="E6676" s="185" t="s">
        <v>470</v>
      </c>
      <c r="H6676" s="185"/>
    </row>
    <row r="6677">
      <c r="D6677" s="185"/>
      <c r="E6677" s="185" t="s">
        <v>470</v>
      </c>
      <c r="H6677" s="185"/>
    </row>
    <row r="6678">
      <c r="D6678" s="185"/>
      <c r="E6678" s="185" t="s">
        <v>470</v>
      </c>
      <c r="H6678" s="185"/>
    </row>
    <row r="6679">
      <c r="D6679" s="185"/>
      <c r="E6679" s="185" t="s">
        <v>470</v>
      </c>
      <c r="H6679" s="185"/>
    </row>
    <row r="6680">
      <c r="D6680" s="185"/>
      <c r="E6680" s="185" t="s">
        <v>470</v>
      </c>
      <c r="H6680" s="185"/>
    </row>
    <row r="6681">
      <c r="D6681" s="185"/>
      <c r="E6681" s="185" t="s">
        <v>470</v>
      </c>
      <c r="H6681" s="185"/>
    </row>
    <row r="6682">
      <c r="D6682" s="185"/>
      <c r="E6682" s="185" t="s">
        <v>470</v>
      </c>
      <c r="H6682" s="185"/>
    </row>
    <row r="6683">
      <c r="D6683" s="185"/>
      <c r="E6683" s="185" t="s">
        <v>470</v>
      </c>
      <c r="H6683" s="185"/>
    </row>
    <row r="6684">
      <c r="D6684" s="185"/>
      <c r="E6684" s="185" t="s">
        <v>470</v>
      </c>
      <c r="H6684" s="185"/>
    </row>
    <row r="6685">
      <c r="D6685" s="185"/>
      <c r="E6685" s="185" t="s">
        <v>470</v>
      </c>
      <c r="H6685" s="185"/>
    </row>
    <row r="6686">
      <c r="D6686" s="185"/>
      <c r="E6686" s="185" t="s">
        <v>470</v>
      </c>
      <c r="H6686" s="185"/>
    </row>
    <row r="6687">
      <c r="D6687" s="185"/>
      <c r="E6687" s="185" t="s">
        <v>470</v>
      </c>
      <c r="H6687" s="185"/>
    </row>
    <row r="6688">
      <c r="D6688" s="185"/>
      <c r="E6688" s="185" t="s">
        <v>470</v>
      </c>
      <c r="H6688" s="185"/>
    </row>
    <row r="6689">
      <c r="D6689" s="185"/>
      <c r="E6689" s="185" t="s">
        <v>470</v>
      </c>
      <c r="H6689" s="185"/>
    </row>
    <row r="6690">
      <c r="D6690" s="185"/>
      <c r="E6690" s="185" t="s">
        <v>470</v>
      </c>
      <c r="H6690" s="185"/>
    </row>
    <row r="6691">
      <c r="D6691" s="185"/>
      <c r="E6691" s="185" t="s">
        <v>470</v>
      </c>
      <c r="H6691" s="185"/>
    </row>
    <row r="6692">
      <c r="D6692" s="185"/>
      <c r="E6692" s="185" t="s">
        <v>470</v>
      </c>
      <c r="H6692" s="185"/>
    </row>
    <row r="6693">
      <c r="D6693" s="185"/>
      <c r="E6693" s="185" t="s">
        <v>470</v>
      </c>
      <c r="H6693" s="185"/>
    </row>
    <row r="6694">
      <c r="D6694" s="185"/>
      <c r="E6694" s="185" t="s">
        <v>470</v>
      </c>
      <c r="H6694" s="185"/>
    </row>
    <row r="6695">
      <c r="D6695" s="185"/>
      <c r="E6695" s="185" t="s">
        <v>470</v>
      </c>
      <c r="H6695" s="185"/>
    </row>
    <row r="6696">
      <c r="D6696" s="185"/>
      <c r="E6696" s="185" t="s">
        <v>470</v>
      </c>
      <c r="H6696" s="185"/>
    </row>
    <row r="6697">
      <c r="D6697" s="185"/>
      <c r="E6697" s="185" t="s">
        <v>470</v>
      </c>
      <c r="H6697" s="185"/>
    </row>
    <row r="6698">
      <c r="D6698" s="185"/>
      <c r="E6698" s="185" t="s">
        <v>470</v>
      </c>
      <c r="H6698" s="185"/>
    </row>
    <row r="6699">
      <c r="D6699" s="185"/>
      <c r="E6699" s="185" t="s">
        <v>470</v>
      </c>
      <c r="H6699" s="185"/>
    </row>
    <row r="6700">
      <c r="D6700" s="185"/>
      <c r="E6700" s="185" t="s">
        <v>470</v>
      </c>
      <c r="H6700" s="185"/>
    </row>
    <row r="6701">
      <c r="D6701" s="185"/>
      <c r="E6701" s="185" t="s">
        <v>470</v>
      </c>
      <c r="H6701" s="185"/>
    </row>
    <row r="6702">
      <c r="D6702" s="185"/>
      <c r="E6702" s="185" t="s">
        <v>470</v>
      </c>
      <c r="H6702" s="185"/>
    </row>
    <row r="6703">
      <c r="D6703" s="185"/>
      <c r="E6703" s="185" t="s">
        <v>470</v>
      </c>
      <c r="H6703" s="185"/>
    </row>
    <row r="6704">
      <c r="D6704" s="185"/>
      <c r="E6704" s="185" t="s">
        <v>470</v>
      </c>
      <c r="H6704" s="185"/>
    </row>
    <row r="6705">
      <c r="D6705" s="185"/>
      <c r="E6705" s="185" t="s">
        <v>470</v>
      </c>
      <c r="H6705" s="185"/>
    </row>
    <row r="6706">
      <c r="D6706" s="185"/>
      <c r="E6706" s="185" t="s">
        <v>470</v>
      </c>
      <c r="H6706" s="185"/>
    </row>
    <row r="6707">
      <c r="D6707" s="185"/>
      <c r="E6707" s="185" t="s">
        <v>470</v>
      </c>
      <c r="H6707" s="185"/>
    </row>
    <row r="6708">
      <c r="D6708" s="185"/>
      <c r="E6708" s="185" t="s">
        <v>470</v>
      </c>
      <c r="H6708" s="185"/>
    </row>
    <row r="6709">
      <c r="D6709" s="185"/>
      <c r="E6709" s="185" t="s">
        <v>470</v>
      </c>
      <c r="H6709" s="185"/>
    </row>
    <row r="6710">
      <c r="D6710" s="185"/>
      <c r="E6710" s="185" t="s">
        <v>470</v>
      </c>
      <c r="H6710" s="185"/>
    </row>
    <row r="6711">
      <c r="D6711" s="185"/>
      <c r="E6711" s="185" t="s">
        <v>470</v>
      </c>
      <c r="H6711" s="185"/>
    </row>
    <row r="6712">
      <c r="D6712" s="185"/>
      <c r="E6712" s="185" t="s">
        <v>470</v>
      </c>
      <c r="H6712" s="185"/>
    </row>
    <row r="6713">
      <c r="D6713" s="185"/>
      <c r="E6713" s="185" t="s">
        <v>470</v>
      </c>
      <c r="H6713" s="185"/>
    </row>
    <row r="6714">
      <c r="D6714" s="185"/>
      <c r="E6714" s="185" t="s">
        <v>470</v>
      </c>
      <c r="H6714" s="185"/>
    </row>
    <row r="6715">
      <c r="D6715" s="185"/>
      <c r="E6715" s="185" t="s">
        <v>470</v>
      </c>
      <c r="H6715" s="185"/>
    </row>
    <row r="6716">
      <c r="D6716" s="185"/>
      <c r="E6716" s="185" t="s">
        <v>470</v>
      </c>
      <c r="H6716" s="185"/>
    </row>
    <row r="6717">
      <c r="D6717" s="185"/>
      <c r="E6717" s="185" t="s">
        <v>470</v>
      </c>
      <c r="H6717" s="185"/>
    </row>
    <row r="6718">
      <c r="D6718" s="185"/>
      <c r="E6718" s="185" t="s">
        <v>470</v>
      </c>
      <c r="H6718" s="185"/>
    </row>
    <row r="6719">
      <c r="D6719" s="185"/>
      <c r="E6719" s="185" t="s">
        <v>470</v>
      </c>
      <c r="H6719" s="185"/>
    </row>
    <row r="6720">
      <c r="D6720" s="185"/>
      <c r="E6720" s="185" t="s">
        <v>470</v>
      </c>
      <c r="H6720" s="185"/>
    </row>
    <row r="6721">
      <c r="D6721" s="185"/>
      <c r="E6721" s="185" t="s">
        <v>470</v>
      </c>
      <c r="H6721" s="185"/>
    </row>
    <row r="6722">
      <c r="D6722" s="185"/>
      <c r="E6722" s="185" t="s">
        <v>470</v>
      </c>
      <c r="H6722" s="185"/>
    </row>
    <row r="6723">
      <c r="D6723" s="185"/>
      <c r="E6723" s="185" t="s">
        <v>470</v>
      </c>
      <c r="H6723" s="185"/>
    </row>
    <row r="6724">
      <c r="D6724" s="185"/>
      <c r="E6724" s="185" t="s">
        <v>470</v>
      </c>
      <c r="H6724" s="185"/>
    </row>
    <row r="6725">
      <c r="D6725" s="185"/>
      <c r="E6725" s="185" t="s">
        <v>470</v>
      </c>
      <c r="H6725" s="185"/>
    </row>
    <row r="6726">
      <c r="D6726" s="185"/>
      <c r="E6726" s="185" t="s">
        <v>470</v>
      </c>
      <c r="H6726" s="185"/>
    </row>
    <row r="6727">
      <c r="D6727" s="185"/>
      <c r="E6727" s="185" t="s">
        <v>470</v>
      </c>
      <c r="H6727" s="185"/>
    </row>
    <row r="6728">
      <c r="D6728" s="185"/>
      <c r="E6728" s="185" t="s">
        <v>470</v>
      </c>
      <c r="H6728" s="185"/>
    </row>
    <row r="6729">
      <c r="D6729" s="185"/>
      <c r="E6729" s="185" t="s">
        <v>470</v>
      </c>
      <c r="H6729" s="185"/>
    </row>
    <row r="6730">
      <c r="D6730" s="185"/>
      <c r="E6730" s="185" t="s">
        <v>470</v>
      </c>
      <c r="H6730" s="185"/>
    </row>
    <row r="6731">
      <c r="D6731" s="185"/>
      <c r="E6731" s="185" t="s">
        <v>470</v>
      </c>
      <c r="H6731" s="185"/>
    </row>
    <row r="6732">
      <c r="D6732" s="185"/>
      <c r="E6732" s="185" t="s">
        <v>470</v>
      </c>
      <c r="H6732" s="185"/>
    </row>
    <row r="6733">
      <c r="D6733" s="185"/>
      <c r="E6733" s="185" t="s">
        <v>470</v>
      </c>
      <c r="H6733" s="185"/>
    </row>
    <row r="6734">
      <c r="D6734" s="185"/>
      <c r="E6734" s="185" t="s">
        <v>470</v>
      </c>
      <c r="H6734" s="185"/>
    </row>
    <row r="6735">
      <c r="D6735" s="185"/>
      <c r="E6735" s="185" t="s">
        <v>470</v>
      </c>
      <c r="H6735" s="185"/>
    </row>
    <row r="6736">
      <c r="D6736" s="185"/>
      <c r="E6736" s="185" t="s">
        <v>470</v>
      </c>
      <c r="H6736" s="185"/>
    </row>
    <row r="6737">
      <c r="D6737" s="185"/>
      <c r="E6737" s="185" t="s">
        <v>470</v>
      </c>
      <c r="H6737" s="185"/>
    </row>
    <row r="6738">
      <c r="D6738" s="185"/>
      <c r="E6738" s="185" t="s">
        <v>470</v>
      </c>
      <c r="H6738" s="185"/>
    </row>
    <row r="6739">
      <c r="D6739" s="185"/>
      <c r="E6739" s="185" t="s">
        <v>470</v>
      </c>
      <c r="H6739" s="185"/>
    </row>
    <row r="6740">
      <c r="D6740" s="185"/>
      <c r="E6740" s="185" t="s">
        <v>470</v>
      </c>
      <c r="H6740" s="185"/>
    </row>
    <row r="6741">
      <c r="D6741" s="185"/>
      <c r="E6741" s="185" t="s">
        <v>470</v>
      </c>
      <c r="H6741" s="185"/>
    </row>
    <row r="6742">
      <c r="D6742" s="185"/>
      <c r="E6742" s="185" t="s">
        <v>470</v>
      </c>
      <c r="H6742" s="185"/>
    </row>
    <row r="6743">
      <c r="D6743" s="185"/>
      <c r="E6743" s="185" t="s">
        <v>470</v>
      </c>
      <c r="H6743" s="185"/>
    </row>
    <row r="6744">
      <c r="D6744" s="185"/>
      <c r="E6744" s="185" t="s">
        <v>470</v>
      </c>
      <c r="H6744" s="185"/>
    </row>
    <row r="6745">
      <c r="D6745" s="185"/>
      <c r="E6745" s="185" t="s">
        <v>470</v>
      </c>
      <c r="H6745" s="185"/>
    </row>
    <row r="6746">
      <c r="D6746" s="185"/>
      <c r="E6746" s="185" t="s">
        <v>470</v>
      </c>
      <c r="H6746" s="185"/>
    </row>
    <row r="6747">
      <c r="D6747" s="185"/>
      <c r="E6747" s="185" t="s">
        <v>470</v>
      </c>
      <c r="H6747" s="185"/>
    </row>
    <row r="6748">
      <c r="D6748" s="185"/>
      <c r="E6748" s="185" t="s">
        <v>470</v>
      </c>
      <c r="H6748" s="185"/>
    </row>
    <row r="6749">
      <c r="D6749" s="185"/>
      <c r="E6749" s="185" t="s">
        <v>470</v>
      </c>
      <c r="H6749" s="185"/>
    </row>
    <row r="6750">
      <c r="D6750" s="185"/>
      <c r="E6750" s="185" t="s">
        <v>470</v>
      </c>
      <c r="H6750" s="185"/>
    </row>
    <row r="6751">
      <c r="D6751" s="185"/>
      <c r="E6751" s="185" t="s">
        <v>470</v>
      </c>
      <c r="H6751" s="185"/>
    </row>
    <row r="6752">
      <c r="D6752" s="185"/>
      <c r="E6752" s="185" t="s">
        <v>470</v>
      </c>
      <c r="H6752" s="185"/>
    </row>
    <row r="6753">
      <c r="D6753" s="185"/>
      <c r="E6753" s="185" t="s">
        <v>470</v>
      </c>
      <c r="H6753" s="185"/>
    </row>
    <row r="6754">
      <c r="D6754" s="185"/>
      <c r="E6754" s="185" t="s">
        <v>470</v>
      </c>
      <c r="H6754" s="185"/>
    </row>
    <row r="6755">
      <c r="D6755" s="185"/>
      <c r="E6755" s="185" t="s">
        <v>470</v>
      </c>
      <c r="H6755" s="185"/>
    </row>
    <row r="6756">
      <c r="D6756" s="185"/>
      <c r="E6756" s="185" t="s">
        <v>470</v>
      </c>
      <c r="H6756" s="185"/>
    </row>
    <row r="6757">
      <c r="D6757" s="185"/>
      <c r="E6757" s="185" t="s">
        <v>470</v>
      </c>
      <c r="H6757" s="185"/>
    </row>
    <row r="6758">
      <c r="D6758" s="185"/>
      <c r="E6758" s="185" t="s">
        <v>470</v>
      </c>
      <c r="H6758" s="185"/>
    </row>
    <row r="6759">
      <c r="D6759" s="185"/>
      <c r="E6759" s="185" t="s">
        <v>470</v>
      </c>
      <c r="H6759" s="185"/>
    </row>
    <row r="6760">
      <c r="D6760" s="185"/>
      <c r="E6760" s="185" t="s">
        <v>470</v>
      </c>
      <c r="H6760" s="185"/>
    </row>
    <row r="6761">
      <c r="D6761" s="185"/>
      <c r="E6761" s="185" t="s">
        <v>470</v>
      </c>
      <c r="H6761" s="185"/>
    </row>
    <row r="6762">
      <c r="D6762" s="185"/>
      <c r="E6762" s="185" t="s">
        <v>470</v>
      </c>
      <c r="H6762" s="185"/>
    </row>
    <row r="6763">
      <c r="D6763" s="185"/>
      <c r="E6763" s="185" t="s">
        <v>470</v>
      </c>
      <c r="H6763" s="185"/>
    </row>
    <row r="6764">
      <c r="D6764" s="185"/>
      <c r="E6764" s="185" t="s">
        <v>470</v>
      </c>
      <c r="H6764" s="185"/>
    </row>
    <row r="6765">
      <c r="D6765" s="185"/>
      <c r="E6765" s="185" t="s">
        <v>470</v>
      </c>
      <c r="H6765" s="185"/>
    </row>
    <row r="6766">
      <c r="D6766" s="185"/>
      <c r="E6766" s="185" t="s">
        <v>470</v>
      </c>
      <c r="H6766" s="185"/>
    </row>
    <row r="6767">
      <c r="D6767" s="185"/>
      <c r="E6767" s="185" t="s">
        <v>470</v>
      </c>
      <c r="H6767" s="185"/>
    </row>
    <row r="6768">
      <c r="D6768" s="185"/>
      <c r="E6768" s="185" t="s">
        <v>470</v>
      </c>
      <c r="H6768" s="185"/>
    </row>
    <row r="6769">
      <c r="D6769" s="185"/>
      <c r="E6769" s="185" t="s">
        <v>470</v>
      </c>
      <c r="H6769" s="185"/>
    </row>
    <row r="6770">
      <c r="D6770" s="185"/>
      <c r="E6770" s="185" t="s">
        <v>470</v>
      </c>
      <c r="H6770" s="185"/>
    </row>
    <row r="6771">
      <c r="D6771" s="185"/>
      <c r="E6771" s="185" t="s">
        <v>470</v>
      </c>
      <c r="H6771" s="185"/>
    </row>
    <row r="6772">
      <c r="D6772" s="185"/>
      <c r="E6772" s="185" t="s">
        <v>470</v>
      </c>
      <c r="H6772" s="185"/>
    </row>
    <row r="6773">
      <c r="D6773" s="185"/>
      <c r="E6773" s="185" t="s">
        <v>470</v>
      </c>
      <c r="H6773" s="185"/>
    </row>
    <row r="6774">
      <c r="D6774" s="185"/>
      <c r="E6774" s="185" t="s">
        <v>470</v>
      </c>
      <c r="H6774" s="185"/>
    </row>
    <row r="6775">
      <c r="D6775" s="185"/>
      <c r="E6775" s="185" t="s">
        <v>470</v>
      </c>
      <c r="H6775" s="185"/>
    </row>
    <row r="6776">
      <c r="D6776" s="185"/>
      <c r="E6776" s="185" t="s">
        <v>470</v>
      </c>
      <c r="H6776" s="185"/>
    </row>
    <row r="6777">
      <c r="D6777" s="185"/>
      <c r="E6777" s="185" t="s">
        <v>470</v>
      </c>
      <c r="H6777" s="185"/>
    </row>
    <row r="6778">
      <c r="D6778" s="185"/>
      <c r="E6778" s="185" t="s">
        <v>470</v>
      </c>
      <c r="H6778" s="185"/>
    </row>
    <row r="6779">
      <c r="D6779" s="185"/>
      <c r="E6779" s="185" t="s">
        <v>470</v>
      </c>
      <c r="H6779" s="185"/>
    </row>
    <row r="6780">
      <c r="D6780" s="185"/>
      <c r="E6780" s="185" t="s">
        <v>470</v>
      </c>
      <c r="H6780" s="185"/>
    </row>
    <row r="6781">
      <c r="D6781" s="185"/>
      <c r="E6781" s="185" t="s">
        <v>470</v>
      </c>
      <c r="H6781" s="185"/>
    </row>
    <row r="6782">
      <c r="D6782" s="185"/>
      <c r="E6782" s="185" t="s">
        <v>470</v>
      </c>
      <c r="H6782" s="185"/>
    </row>
    <row r="6783">
      <c r="D6783" s="185"/>
      <c r="E6783" s="185" t="s">
        <v>470</v>
      </c>
      <c r="H6783" s="185"/>
    </row>
    <row r="6784">
      <c r="D6784" s="185"/>
      <c r="E6784" s="185" t="s">
        <v>470</v>
      </c>
      <c r="H6784" s="185"/>
    </row>
    <row r="6785">
      <c r="D6785" s="185"/>
      <c r="E6785" s="185" t="s">
        <v>470</v>
      </c>
      <c r="H6785" s="185"/>
    </row>
    <row r="6786">
      <c r="D6786" s="185"/>
      <c r="E6786" s="185" t="s">
        <v>470</v>
      </c>
      <c r="H6786" s="185"/>
    </row>
    <row r="6787">
      <c r="D6787" s="185"/>
      <c r="E6787" s="185" t="s">
        <v>470</v>
      </c>
      <c r="H6787" s="185"/>
    </row>
    <row r="6788">
      <c r="D6788" s="185"/>
      <c r="E6788" s="185" t="s">
        <v>470</v>
      </c>
      <c r="H6788" s="185"/>
    </row>
    <row r="6789">
      <c r="D6789" s="185"/>
      <c r="E6789" s="185" t="s">
        <v>470</v>
      </c>
      <c r="H6789" s="185"/>
    </row>
    <row r="6790">
      <c r="D6790" s="185"/>
      <c r="E6790" s="185" t="s">
        <v>470</v>
      </c>
      <c r="H6790" s="185"/>
    </row>
    <row r="6791">
      <c r="D6791" s="185"/>
      <c r="E6791" s="185" t="s">
        <v>470</v>
      </c>
      <c r="H6791" s="185"/>
    </row>
    <row r="6792">
      <c r="D6792" s="185"/>
      <c r="E6792" s="185" t="s">
        <v>470</v>
      </c>
      <c r="H6792" s="185"/>
    </row>
    <row r="6793">
      <c r="D6793" s="185"/>
      <c r="E6793" s="185" t="s">
        <v>470</v>
      </c>
      <c r="H6793" s="185"/>
    </row>
    <row r="6794">
      <c r="D6794" s="185"/>
      <c r="E6794" s="185" t="s">
        <v>470</v>
      </c>
      <c r="H6794" s="185"/>
    </row>
    <row r="6795">
      <c r="D6795" s="185"/>
      <c r="E6795" s="185" t="s">
        <v>470</v>
      </c>
      <c r="H6795" s="185"/>
    </row>
    <row r="6796">
      <c r="D6796" s="185"/>
      <c r="E6796" s="185" t="s">
        <v>470</v>
      </c>
      <c r="H6796" s="185"/>
    </row>
    <row r="6797">
      <c r="D6797" s="185"/>
      <c r="E6797" s="185" t="s">
        <v>470</v>
      </c>
      <c r="H6797" s="185"/>
    </row>
    <row r="6798">
      <c r="D6798" s="185"/>
      <c r="E6798" s="185" t="s">
        <v>470</v>
      </c>
      <c r="H6798" s="185"/>
    </row>
    <row r="6799">
      <c r="D6799" s="185"/>
      <c r="E6799" s="185" t="s">
        <v>470</v>
      </c>
      <c r="H6799" s="185"/>
    </row>
    <row r="6800">
      <c r="D6800" s="185"/>
      <c r="E6800" s="185" t="s">
        <v>470</v>
      </c>
      <c r="H6800" s="185"/>
    </row>
    <row r="6801">
      <c r="D6801" s="185"/>
      <c r="E6801" s="185" t="s">
        <v>470</v>
      </c>
      <c r="H6801" s="185"/>
    </row>
    <row r="6802">
      <c r="D6802" s="185"/>
      <c r="E6802" s="185" t="s">
        <v>470</v>
      </c>
      <c r="H6802" s="185"/>
    </row>
    <row r="6803">
      <c r="D6803" s="185"/>
      <c r="E6803" s="185" t="s">
        <v>470</v>
      </c>
      <c r="H6803" s="185"/>
    </row>
    <row r="6804">
      <c r="D6804" s="185"/>
      <c r="E6804" s="185" t="s">
        <v>470</v>
      </c>
      <c r="H6804" s="185"/>
    </row>
    <row r="6805">
      <c r="D6805" s="185"/>
      <c r="E6805" s="185" t="s">
        <v>470</v>
      </c>
      <c r="H6805" s="185"/>
    </row>
    <row r="6806">
      <c r="D6806" s="185"/>
      <c r="E6806" s="185" t="s">
        <v>470</v>
      </c>
      <c r="H6806" s="185"/>
    </row>
    <row r="6807">
      <c r="D6807" s="185"/>
      <c r="E6807" s="185" t="s">
        <v>470</v>
      </c>
      <c r="H6807" s="185"/>
    </row>
    <row r="6808">
      <c r="D6808" s="185"/>
      <c r="E6808" s="185" t="s">
        <v>470</v>
      </c>
      <c r="H6808" s="185"/>
    </row>
    <row r="6809">
      <c r="D6809" s="185"/>
      <c r="E6809" s="185" t="s">
        <v>470</v>
      </c>
      <c r="H6809" s="185"/>
    </row>
    <row r="6810">
      <c r="D6810" s="185"/>
      <c r="E6810" s="185" t="s">
        <v>470</v>
      </c>
      <c r="H6810" s="185"/>
    </row>
    <row r="6811">
      <c r="D6811" s="185"/>
      <c r="E6811" s="185" t="s">
        <v>470</v>
      </c>
      <c r="H6811" s="185"/>
    </row>
    <row r="6812">
      <c r="D6812" s="185"/>
      <c r="E6812" s="185" t="s">
        <v>470</v>
      </c>
      <c r="H6812" s="185"/>
    </row>
    <row r="6813">
      <c r="D6813" s="185"/>
      <c r="E6813" s="185" t="s">
        <v>470</v>
      </c>
      <c r="H6813" s="185"/>
    </row>
    <row r="6814">
      <c r="D6814" s="185"/>
      <c r="E6814" s="185" t="s">
        <v>470</v>
      </c>
      <c r="H6814" s="185"/>
    </row>
    <row r="6815">
      <c r="D6815" s="185"/>
      <c r="E6815" s="185" t="s">
        <v>470</v>
      </c>
      <c r="H6815" s="185"/>
    </row>
    <row r="6816">
      <c r="D6816" s="185"/>
      <c r="E6816" s="185" t="s">
        <v>470</v>
      </c>
      <c r="H6816" s="185"/>
    </row>
    <row r="6817">
      <c r="D6817" s="185"/>
      <c r="E6817" s="185" t="s">
        <v>470</v>
      </c>
      <c r="H6817" s="185"/>
    </row>
    <row r="6818">
      <c r="D6818" s="185"/>
      <c r="E6818" s="185" t="s">
        <v>470</v>
      </c>
      <c r="H6818" s="185"/>
    </row>
    <row r="6819">
      <c r="D6819" s="185"/>
      <c r="E6819" s="185" t="s">
        <v>470</v>
      </c>
      <c r="H6819" s="185"/>
    </row>
    <row r="6820">
      <c r="D6820" s="185"/>
      <c r="E6820" s="185" t="s">
        <v>470</v>
      </c>
      <c r="H6820" s="185"/>
    </row>
    <row r="6821">
      <c r="D6821" s="185"/>
      <c r="E6821" s="185" t="s">
        <v>470</v>
      </c>
      <c r="H6821" s="185"/>
    </row>
    <row r="6822">
      <c r="D6822" s="185"/>
      <c r="E6822" s="185" t="s">
        <v>470</v>
      </c>
      <c r="H6822" s="185"/>
    </row>
    <row r="6823">
      <c r="D6823" s="185"/>
      <c r="E6823" s="185" t="s">
        <v>470</v>
      </c>
      <c r="H6823" s="185"/>
    </row>
    <row r="6824">
      <c r="D6824" s="185"/>
      <c r="E6824" s="185" t="s">
        <v>470</v>
      </c>
      <c r="H6824" s="185"/>
    </row>
    <row r="6825">
      <c r="D6825" s="185"/>
      <c r="E6825" s="185" t="s">
        <v>470</v>
      </c>
      <c r="H6825" s="185"/>
    </row>
    <row r="6826">
      <c r="D6826" s="185"/>
      <c r="E6826" s="185" t="s">
        <v>470</v>
      </c>
      <c r="H6826" s="185"/>
    </row>
    <row r="6827">
      <c r="D6827" s="185"/>
      <c r="E6827" s="185" t="s">
        <v>470</v>
      </c>
      <c r="H6827" s="185"/>
    </row>
    <row r="6828">
      <c r="D6828" s="185"/>
      <c r="E6828" s="185" t="s">
        <v>470</v>
      </c>
      <c r="H6828" s="185"/>
    </row>
    <row r="6829">
      <c r="D6829" s="185"/>
      <c r="E6829" s="185" t="s">
        <v>470</v>
      </c>
      <c r="H6829" s="185"/>
    </row>
    <row r="6830">
      <c r="D6830" s="185"/>
      <c r="E6830" s="185" t="s">
        <v>470</v>
      </c>
      <c r="H6830" s="185"/>
    </row>
    <row r="6831">
      <c r="D6831" s="185"/>
      <c r="E6831" s="185" t="s">
        <v>470</v>
      </c>
      <c r="H6831" s="185"/>
    </row>
    <row r="6832">
      <c r="D6832" s="185"/>
      <c r="E6832" s="185" t="s">
        <v>470</v>
      </c>
      <c r="H6832" s="185"/>
    </row>
    <row r="6833">
      <c r="D6833" s="185"/>
      <c r="E6833" s="185" t="s">
        <v>470</v>
      </c>
      <c r="H6833" s="185"/>
    </row>
    <row r="6834">
      <c r="D6834" s="185"/>
      <c r="E6834" s="185" t="s">
        <v>470</v>
      </c>
      <c r="H6834" s="185"/>
    </row>
    <row r="6835">
      <c r="D6835" s="185"/>
      <c r="E6835" s="185" t="s">
        <v>470</v>
      </c>
      <c r="H6835" s="185"/>
    </row>
    <row r="6836">
      <c r="D6836" s="185"/>
      <c r="E6836" s="185" t="s">
        <v>470</v>
      </c>
      <c r="H6836" s="185"/>
    </row>
    <row r="6837">
      <c r="D6837" s="185"/>
      <c r="E6837" s="185" t="s">
        <v>470</v>
      </c>
      <c r="H6837" s="185"/>
    </row>
    <row r="6838">
      <c r="D6838" s="185"/>
      <c r="E6838" s="185" t="s">
        <v>470</v>
      </c>
      <c r="H6838" s="185"/>
    </row>
    <row r="6839">
      <c r="D6839" s="185"/>
      <c r="E6839" s="185" t="s">
        <v>470</v>
      </c>
      <c r="H6839" s="185"/>
    </row>
    <row r="6840">
      <c r="D6840" s="185"/>
      <c r="E6840" s="185" t="s">
        <v>470</v>
      </c>
      <c r="H6840" s="185"/>
    </row>
    <row r="6841">
      <c r="D6841" s="185"/>
      <c r="E6841" s="185" t="s">
        <v>470</v>
      </c>
      <c r="H6841" s="185"/>
    </row>
    <row r="6842">
      <c r="D6842" s="185"/>
      <c r="E6842" s="185" t="s">
        <v>470</v>
      </c>
      <c r="H6842" s="185"/>
    </row>
    <row r="6843">
      <c r="D6843" s="185"/>
      <c r="E6843" s="185" t="s">
        <v>470</v>
      </c>
      <c r="H6843" s="185"/>
    </row>
    <row r="6844">
      <c r="D6844" s="185"/>
      <c r="E6844" s="185" t="s">
        <v>470</v>
      </c>
      <c r="H6844" s="185"/>
    </row>
    <row r="6845">
      <c r="D6845" s="185"/>
      <c r="E6845" s="185" t="s">
        <v>470</v>
      </c>
      <c r="H6845" s="185"/>
    </row>
    <row r="6846">
      <c r="D6846" s="185"/>
      <c r="E6846" s="185" t="s">
        <v>470</v>
      </c>
      <c r="H6846" s="185"/>
    </row>
    <row r="6847">
      <c r="D6847" s="185"/>
      <c r="E6847" s="185" t="s">
        <v>470</v>
      </c>
      <c r="H6847" s="185"/>
    </row>
    <row r="6848">
      <c r="D6848" s="185"/>
      <c r="E6848" s="185" t="s">
        <v>470</v>
      </c>
      <c r="H6848" s="185"/>
    </row>
    <row r="6849">
      <c r="D6849" s="185"/>
      <c r="E6849" s="185" t="s">
        <v>470</v>
      </c>
      <c r="H6849" s="185"/>
    </row>
    <row r="6850">
      <c r="D6850" s="185"/>
      <c r="E6850" s="185" t="s">
        <v>470</v>
      </c>
      <c r="H6850" s="185"/>
    </row>
    <row r="6851">
      <c r="D6851" s="185"/>
      <c r="E6851" s="185" t="s">
        <v>470</v>
      </c>
      <c r="H6851" s="185"/>
    </row>
    <row r="6852">
      <c r="D6852" s="185"/>
      <c r="E6852" s="185" t="s">
        <v>470</v>
      </c>
      <c r="H6852" s="185"/>
    </row>
    <row r="6853">
      <c r="D6853" s="185"/>
      <c r="E6853" s="185" t="s">
        <v>470</v>
      </c>
      <c r="H6853" s="185"/>
    </row>
    <row r="6854">
      <c r="D6854" s="185"/>
      <c r="E6854" s="185" t="s">
        <v>470</v>
      </c>
      <c r="H6854" s="185"/>
    </row>
    <row r="6855">
      <c r="D6855" s="185"/>
      <c r="E6855" s="185" t="s">
        <v>470</v>
      </c>
      <c r="H6855" s="185"/>
    </row>
    <row r="6856">
      <c r="D6856" s="185"/>
      <c r="E6856" s="185" t="s">
        <v>470</v>
      </c>
      <c r="H6856" s="185"/>
    </row>
    <row r="6857">
      <c r="D6857" s="185"/>
      <c r="E6857" s="185" t="s">
        <v>470</v>
      </c>
      <c r="H6857" s="185"/>
    </row>
    <row r="6858">
      <c r="D6858" s="185"/>
      <c r="E6858" s="185" t="s">
        <v>470</v>
      </c>
      <c r="H6858" s="185"/>
    </row>
    <row r="6859">
      <c r="D6859" s="185"/>
      <c r="E6859" s="185" t="s">
        <v>470</v>
      </c>
      <c r="H6859" s="185"/>
    </row>
    <row r="6860">
      <c r="D6860" s="185"/>
      <c r="E6860" s="185" t="s">
        <v>470</v>
      </c>
      <c r="H6860" s="185"/>
    </row>
    <row r="6861">
      <c r="D6861" s="185"/>
      <c r="E6861" s="185" t="s">
        <v>470</v>
      </c>
      <c r="H6861" s="185"/>
    </row>
    <row r="6862">
      <c r="D6862" s="185"/>
      <c r="E6862" s="185" t="s">
        <v>470</v>
      </c>
      <c r="H6862" s="185"/>
    </row>
    <row r="6863">
      <c r="D6863" s="185"/>
      <c r="E6863" s="185" t="s">
        <v>470</v>
      </c>
      <c r="H6863" s="185"/>
    </row>
    <row r="6864">
      <c r="D6864" s="185"/>
      <c r="E6864" s="185" t="s">
        <v>470</v>
      </c>
      <c r="H6864" s="185"/>
    </row>
    <row r="6865">
      <c r="D6865" s="185"/>
      <c r="E6865" s="185" t="s">
        <v>470</v>
      </c>
      <c r="H6865" s="185"/>
    </row>
    <row r="6866">
      <c r="D6866" s="185"/>
      <c r="E6866" s="185" t="s">
        <v>470</v>
      </c>
      <c r="H6866" s="185"/>
    </row>
    <row r="6867">
      <c r="D6867" s="185"/>
      <c r="E6867" s="185" t="s">
        <v>470</v>
      </c>
      <c r="H6867" s="185"/>
    </row>
    <row r="6868">
      <c r="D6868" s="185"/>
      <c r="E6868" s="185" t="s">
        <v>470</v>
      </c>
      <c r="H6868" s="185"/>
    </row>
    <row r="6869">
      <c r="D6869" s="185"/>
      <c r="E6869" s="185" t="s">
        <v>470</v>
      </c>
      <c r="H6869" s="185"/>
    </row>
    <row r="6870">
      <c r="D6870" s="185"/>
      <c r="E6870" s="185" t="s">
        <v>470</v>
      </c>
      <c r="H6870" s="185"/>
    </row>
    <row r="6871">
      <c r="D6871" s="185"/>
      <c r="E6871" s="185" t="s">
        <v>470</v>
      </c>
      <c r="H6871" s="185"/>
    </row>
    <row r="6872">
      <c r="D6872" s="185"/>
      <c r="E6872" s="185" t="s">
        <v>470</v>
      </c>
      <c r="H6872" s="185"/>
    </row>
    <row r="6873">
      <c r="D6873" s="185"/>
      <c r="E6873" s="185" t="s">
        <v>470</v>
      </c>
      <c r="H6873" s="185"/>
    </row>
    <row r="6874">
      <c r="D6874" s="185"/>
      <c r="E6874" s="185" t="s">
        <v>470</v>
      </c>
      <c r="H6874" s="185"/>
    </row>
    <row r="6875">
      <c r="D6875" s="185"/>
      <c r="E6875" s="185" t="s">
        <v>470</v>
      </c>
      <c r="H6875" s="185"/>
    </row>
    <row r="6876">
      <c r="D6876" s="185"/>
      <c r="E6876" s="185" t="s">
        <v>470</v>
      </c>
      <c r="H6876" s="185"/>
    </row>
    <row r="6877">
      <c r="D6877" s="185"/>
      <c r="E6877" s="185" t="s">
        <v>470</v>
      </c>
      <c r="H6877" s="185"/>
    </row>
    <row r="6878">
      <c r="D6878" s="185"/>
      <c r="E6878" s="185" t="s">
        <v>470</v>
      </c>
      <c r="H6878" s="185"/>
    </row>
    <row r="6879">
      <c r="D6879" s="185"/>
      <c r="E6879" s="185" t="s">
        <v>470</v>
      </c>
      <c r="H6879" s="185"/>
    </row>
    <row r="6880">
      <c r="D6880" s="185"/>
      <c r="E6880" s="185" t="s">
        <v>470</v>
      </c>
      <c r="H6880" s="185"/>
    </row>
    <row r="6881">
      <c r="D6881" s="185"/>
      <c r="E6881" s="185" t="s">
        <v>470</v>
      </c>
      <c r="H6881" s="185"/>
    </row>
    <row r="6882">
      <c r="D6882" s="185"/>
      <c r="E6882" s="185" t="s">
        <v>470</v>
      </c>
      <c r="H6882" s="185"/>
    </row>
    <row r="6883">
      <c r="D6883" s="185"/>
      <c r="E6883" s="185" t="s">
        <v>470</v>
      </c>
      <c r="H6883" s="185"/>
    </row>
    <row r="6884">
      <c r="D6884" s="185"/>
      <c r="E6884" s="185" t="s">
        <v>470</v>
      </c>
      <c r="H6884" s="185"/>
    </row>
    <row r="6885">
      <c r="D6885" s="185"/>
      <c r="E6885" s="185" t="s">
        <v>470</v>
      </c>
      <c r="H6885" s="185"/>
    </row>
    <row r="6886">
      <c r="D6886" s="185"/>
      <c r="E6886" s="185" t="s">
        <v>470</v>
      </c>
      <c r="H6886" s="185"/>
    </row>
    <row r="6887">
      <c r="D6887" s="185"/>
      <c r="E6887" s="185" t="s">
        <v>470</v>
      </c>
      <c r="H6887" s="185"/>
    </row>
    <row r="6888">
      <c r="D6888" s="185"/>
      <c r="E6888" s="185" t="s">
        <v>470</v>
      </c>
      <c r="H6888" s="185"/>
    </row>
    <row r="6889">
      <c r="D6889" s="185"/>
      <c r="E6889" s="185" t="s">
        <v>470</v>
      </c>
      <c r="H6889" s="185"/>
    </row>
    <row r="6890">
      <c r="D6890" s="185"/>
      <c r="E6890" s="185" t="s">
        <v>470</v>
      </c>
      <c r="H6890" s="185"/>
    </row>
    <row r="6891">
      <c r="D6891" s="185"/>
      <c r="E6891" s="185" t="s">
        <v>470</v>
      </c>
      <c r="H6891" s="185"/>
    </row>
    <row r="6892">
      <c r="D6892" s="185"/>
      <c r="E6892" s="185" t="s">
        <v>470</v>
      </c>
      <c r="H6892" s="185"/>
    </row>
    <row r="6893">
      <c r="D6893" s="185"/>
      <c r="E6893" s="185" t="s">
        <v>470</v>
      </c>
      <c r="H6893" s="185"/>
    </row>
    <row r="6894">
      <c r="D6894" s="185"/>
      <c r="E6894" s="185" t="s">
        <v>470</v>
      </c>
      <c r="H6894" s="185"/>
    </row>
    <row r="6895">
      <c r="D6895" s="185"/>
      <c r="E6895" s="185" t="s">
        <v>470</v>
      </c>
      <c r="H6895" s="185"/>
    </row>
    <row r="6896">
      <c r="D6896" s="185"/>
      <c r="E6896" s="185" t="s">
        <v>470</v>
      </c>
      <c r="H6896" s="185"/>
    </row>
    <row r="6897">
      <c r="D6897" s="185"/>
      <c r="E6897" s="185" t="s">
        <v>470</v>
      </c>
      <c r="H6897" s="185"/>
    </row>
    <row r="6898">
      <c r="D6898" s="185"/>
      <c r="E6898" s="185" t="s">
        <v>470</v>
      </c>
      <c r="H6898" s="185"/>
    </row>
    <row r="6899">
      <c r="D6899" s="185"/>
      <c r="E6899" s="185" t="s">
        <v>470</v>
      </c>
      <c r="H6899" s="185"/>
    </row>
    <row r="6900">
      <c r="D6900" s="185"/>
      <c r="E6900" s="185" t="s">
        <v>470</v>
      </c>
      <c r="H6900" s="185"/>
    </row>
    <row r="6901">
      <c r="D6901" s="185"/>
      <c r="E6901" s="185" t="s">
        <v>470</v>
      </c>
      <c r="H6901" s="185"/>
    </row>
    <row r="6902">
      <c r="D6902" s="185"/>
      <c r="E6902" s="185" t="s">
        <v>470</v>
      </c>
      <c r="H6902" s="185"/>
    </row>
    <row r="6903">
      <c r="D6903" s="185"/>
      <c r="E6903" s="185" t="s">
        <v>470</v>
      </c>
      <c r="H6903" s="185"/>
    </row>
    <row r="6904">
      <c r="D6904" s="185"/>
      <c r="E6904" s="185" t="s">
        <v>470</v>
      </c>
      <c r="H6904" s="185"/>
    </row>
    <row r="6905">
      <c r="D6905" s="185"/>
      <c r="E6905" s="185" t="s">
        <v>470</v>
      </c>
      <c r="H6905" s="185"/>
    </row>
    <row r="6906">
      <c r="D6906" s="185"/>
      <c r="E6906" s="185" t="s">
        <v>470</v>
      </c>
      <c r="H6906" s="185"/>
    </row>
    <row r="6907">
      <c r="D6907" s="185"/>
      <c r="E6907" s="185" t="s">
        <v>470</v>
      </c>
      <c r="H6907" s="185"/>
    </row>
    <row r="6908">
      <c r="D6908" s="185"/>
      <c r="E6908" s="185" t="s">
        <v>470</v>
      </c>
      <c r="H6908" s="185"/>
    </row>
    <row r="6909">
      <c r="D6909" s="185"/>
      <c r="E6909" s="185" t="s">
        <v>470</v>
      </c>
      <c r="H6909" s="185"/>
    </row>
    <row r="6910">
      <c r="D6910" s="185"/>
      <c r="E6910" s="185" t="s">
        <v>470</v>
      </c>
      <c r="H6910" s="185"/>
    </row>
    <row r="6911">
      <c r="D6911" s="185"/>
      <c r="E6911" s="185" t="s">
        <v>470</v>
      </c>
      <c r="H6911" s="185"/>
    </row>
    <row r="6912">
      <c r="D6912" s="185"/>
      <c r="E6912" s="185" t="s">
        <v>470</v>
      </c>
      <c r="H6912" s="185"/>
    </row>
    <row r="6913">
      <c r="D6913" s="185"/>
      <c r="E6913" s="185" t="s">
        <v>470</v>
      </c>
      <c r="H6913" s="185"/>
    </row>
    <row r="6914">
      <c r="D6914" s="185"/>
      <c r="E6914" s="185" t="s">
        <v>470</v>
      </c>
      <c r="H6914" s="185"/>
    </row>
    <row r="6915">
      <c r="D6915" s="185"/>
      <c r="E6915" s="185" t="s">
        <v>470</v>
      </c>
      <c r="H6915" s="185"/>
    </row>
    <row r="6916">
      <c r="D6916" s="185"/>
      <c r="E6916" s="185" t="s">
        <v>470</v>
      </c>
      <c r="H6916" s="185"/>
    </row>
    <row r="6917">
      <c r="D6917" s="185"/>
      <c r="E6917" s="185" t="s">
        <v>470</v>
      </c>
      <c r="H6917" s="185"/>
    </row>
    <row r="6918">
      <c r="D6918" s="185"/>
      <c r="E6918" s="185" t="s">
        <v>470</v>
      </c>
      <c r="H6918" s="185"/>
    </row>
    <row r="6919">
      <c r="D6919" s="185"/>
      <c r="E6919" s="185" t="s">
        <v>470</v>
      </c>
      <c r="H6919" s="185"/>
    </row>
    <row r="6920">
      <c r="D6920" s="185"/>
      <c r="E6920" s="185" t="s">
        <v>470</v>
      </c>
      <c r="H6920" s="185"/>
    </row>
    <row r="6921">
      <c r="D6921" s="185"/>
      <c r="E6921" s="185" t="s">
        <v>470</v>
      </c>
      <c r="H6921" s="185"/>
    </row>
    <row r="6922">
      <c r="D6922" s="185"/>
      <c r="E6922" s="185" t="s">
        <v>470</v>
      </c>
      <c r="H6922" s="185"/>
    </row>
    <row r="6923">
      <c r="D6923" s="185"/>
      <c r="E6923" s="185" t="s">
        <v>470</v>
      </c>
      <c r="H6923" s="185"/>
    </row>
    <row r="6924">
      <c r="D6924" s="185"/>
      <c r="E6924" s="185" t="s">
        <v>470</v>
      </c>
      <c r="H6924" s="185"/>
    </row>
    <row r="6925">
      <c r="D6925" s="185"/>
      <c r="E6925" s="185" t="s">
        <v>470</v>
      </c>
      <c r="H6925" s="185"/>
    </row>
    <row r="6926">
      <c r="D6926" s="185"/>
      <c r="E6926" s="185" t="s">
        <v>470</v>
      </c>
      <c r="H6926" s="185"/>
    </row>
    <row r="6927">
      <c r="D6927" s="185"/>
      <c r="E6927" s="185" t="s">
        <v>470</v>
      </c>
      <c r="H6927" s="185"/>
    </row>
    <row r="6928">
      <c r="D6928" s="185"/>
      <c r="E6928" s="185" t="s">
        <v>470</v>
      </c>
      <c r="H6928" s="185"/>
    </row>
    <row r="6929">
      <c r="D6929" s="185"/>
      <c r="E6929" s="185" t="s">
        <v>470</v>
      </c>
      <c r="H6929" s="185"/>
    </row>
    <row r="6930">
      <c r="D6930" s="185"/>
      <c r="E6930" s="185" t="s">
        <v>470</v>
      </c>
      <c r="H6930" s="185"/>
    </row>
    <row r="6931">
      <c r="D6931" s="185"/>
      <c r="E6931" s="185" t="s">
        <v>470</v>
      </c>
      <c r="H6931" s="185"/>
    </row>
    <row r="6932">
      <c r="D6932" s="185"/>
      <c r="E6932" s="185" t="s">
        <v>470</v>
      </c>
      <c r="H6932" s="185"/>
    </row>
    <row r="6933">
      <c r="D6933" s="185"/>
      <c r="E6933" s="185" t="s">
        <v>470</v>
      </c>
      <c r="H6933" s="185"/>
    </row>
    <row r="6934">
      <c r="D6934" s="185"/>
      <c r="E6934" s="185" t="s">
        <v>470</v>
      </c>
      <c r="H6934" s="185"/>
    </row>
    <row r="6935">
      <c r="D6935" s="185"/>
      <c r="E6935" s="185" t="s">
        <v>470</v>
      </c>
      <c r="H6935" s="185"/>
    </row>
    <row r="6936">
      <c r="D6936" s="185"/>
      <c r="E6936" s="185" t="s">
        <v>470</v>
      </c>
      <c r="H6936" s="185"/>
    </row>
    <row r="6937">
      <c r="D6937" s="185"/>
      <c r="E6937" s="185" t="s">
        <v>470</v>
      </c>
      <c r="H6937" s="185"/>
    </row>
    <row r="6938">
      <c r="D6938" s="185"/>
      <c r="E6938" s="185" t="s">
        <v>470</v>
      </c>
      <c r="H6938" s="185"/>
    </row>
    <row r="6939">
      <c r="D6939" s="185"/>
      <c r="E6939" s="185" t="s">
        <v>470</v>
      </c>
      <c r="H6939" s="185"/>
    </row>
    <row r="6940">
      <c r="D6940" s="185"/>
      <c r="E6940" s="185" t="s">
        <v>470</v>
      </c>
      <c r="H6940" s="185"/>
    </row>
    <row r="6941">
      <c r="D6941" s="185"/>
      <c r="E6941" s="185" t="s">
        <v>470</v>
      </c>
      <c r="H6941" s="185"/>
    </row>
    <row r="6942">
      <c r="D6942" s="185"/>
      <c r="E6942" s="185" t="s">
        <v>470</v>
      </c>
      <c r="H6942" s="185"/>
    </row>
    <row r="6943">
      <c r="D6943" s="185"/>
      <c r="E6943" s="185" t="s">
        <v>470</v>
      </c>
      <c r="H6943" s="185"/>
    </row>
    <row r="6944">
      <c r="D6944" s="185"/>
      <c r="E6944" s="185" t="s">
        <v>470</v>
      </c>
      <c r="H6944" s="185"/>
    </row>
    <row r="6945">
      <c r="D6945" s="185"/>
      <c r="E6945" s="185" t="s">
        <v>470</v>
      </c>
      <c r="H6945" s="185"/>
    </row>
    <row r="6946">
      <c r="D6946" s="185"/>
      <c r="E6946" s="185" t="s">
        <v>470</v>
      </c>
      <c r="H6946" s="185"/>
    </row>
    <row r="6947">
      <c r="D6947" s="185"/>
      <c r="E6947" s="185" t="s">
        <v>470</v>
      </c>
      <c r="H6947" s="185"/>
    </row>
    <row r="6948">
      <c r="D6948" s="185"/>
      <c r="E6948" s="185" t="s">
        <v>470</v>
      </c>
      <c r="H6948" s="185"/>
    </row>
    <row r="6949">
      <c r="D6949" s="185"/>
      <c r="E6949" s="185" t="s">
        <v>470</v>
      </c>
      <c r="H6949" s="185"/>
    </row>
    <row r="6950">
      <c r="D6950" s="185"/>
      <c r="E6950" s="185" t="s">
        <v>470</v>
      </c>
      <c r="H6950" s="185"/>
    </row>
    <row r="6951">
      <c r="D6951" s="185"/>
      <c r="E6951" s="185" t="s">
        <v>470</v>
      </c>
      <c r="H6951" s="185"/>
    </row>
    <row r="6952">
      <c r="D6952" s="185"/>
      <c r="E6952" s="185" t="s">
        <v>470</v>
      </c>
      <c r="H6952" s="185"/>
    </row>
    <row r="6953">
      <c r="D6953" s="185"/>
      <c r="E6953" s="185" t="s">
        <v>470</v>
      </c>
      <c r="H6953" s="185"/>
    </row>
    <row r="6954">
      <c r="D6954" s="185"/>
      <c r="E6954" s="185" t="s">
        <v>470</v>
      </c>
      <c r="H6954" s="185"/>
    </row>
    <row r="6955">
      <c r="D6955" s="185"/>
      <c r="E6955" s="185" t="s">
        <v>470</v>
      </c>
      <c r="H6955" s="185"/>
    </row>
    <row r="6956">
      <c r="D6956" s="185"/>
      <c r="E6956" s="185" t="s">
        <v>470</v>
      </c>
      <c r="H6956" s="185"/>
    </row>
    <row r="6957">
      <c r="D6957" s="185"/>
      <c r="E6957" s="185" t="s">
        <v>470</v>
      </c>
      <c r="H6957" s="185"/>
    </row>
    <row r="6958">
      <c r="D6958" s="185"/>
      <c r="E6958" s="185" t="s">
        <v>470</v>
      </c>
      <c r="H6958" s="185"/>
    </row>
    <row r="6959">
      <c r="D6959" s="185"/>
      <c r="E6959" s="185" t="s">
        <v>470</v>
      </c>
      <c r="H6959" s="185"/>
    </row>
    <row r="6960">
      <c r="D6960" s="185"/>
      <c r="E6960" s="185" t="s">
        <v>470</v>
      </c>
      <c r="H6960" s="185"/>
    </row>
    <row r="6961">
      <c r="D6961" s="185"/>
      <c r="E6961" s="185" t="s">
        <v>470</v>
      </c>
      <c r="H6961" s="185"/>
    </row>
    <row r="6962">
      <c r="D6962" s="185"/>
      <c r="E6962" s="185" t="s">
        <v>470</v>
      </c>
      <c r="H6962" s="185"/>
    </row>
    <row r="6963">
      <c r="D6963" s="185"/>
      <c r="E6963" s="185" t="s">
        <v>470</v>
      </c>
      <c r="H6963" s="185"/>
    </row>
    <row r="6964">
      <c r="D6964" s="185"/>
      <c r="E6964" s="185" t="s">
        <v>470</v>
      </c>
      <c r="H6964" s="185"/>
    </row>
    <row r="6965">
      <c r="D6965" s="185"/>
      <c r="E6965" s="185" t="s">
        <v>470</v>
      </c>
      <c r="H6965" s="185"/>
    </row>
    <row r="6966">
      <c r="D6966" s="185"/>
      <c r="E6966" s="185" t="s">
        <v>470</v>
      </c>
      <c r="H6966" s="185"/>
    </row>
    <row r="6967">
      <c r="D6967" s="185"/>
      <c r="E6967" s="185" t="s">
        <v>470</v>
      </c>
      <c r="H6967" s="185"/>
    </row>
    <row r="6968">
      <c r="D6968" s="185"/>
      <c r="E6968" s="185" t="s">
        <v>470</v>
      </c>
      <c r="H6968" s="185"/>
    </row>
    <row r="6969">
      <c r="D6969" s="185"/>
      <c r="E6969" s="185" t="s">
        <v>470</v>
      </c>
      <c r="H6969" s="185"/>
    </row>
    <row r="6970">
      <c r="D6970" s="185"/>
      <c r="E6970" s="185" t="s">
        <v>470</v>
      </c>
      <c r="H6970" s="185"/>
    </row>
    <row r="6971">
      <c r="D6971" s="185"/>
      <c r="E6971" s="185" t="s">
        <v>470</v>
      </c>
      <c r="H6971" s="185"/>
    </row>
    <row r="6972">
      <c r="D6972" s="185"/>
      <c r="E6972" s="185" t="s">
        <v>470</v>
      </c>
      <c r="H6972" s="185"/>
    </row>
    <row r="6973">
      <c r="D6973" s="185"/>
      <c r="E6973" s="185" t="s">
        <v>470</v>
      </c>
      <c r="H6973" s="185"/>
    </row>
    <row r="6974">
      <c r="D6974" s="185"/>
      <c r="E6974" s="185" t="s">
        <v>470</v>
      </c>
      <c r="H6974" s="185"/>
    </row>
    <row r="6975">
      <c r="D6975" s="185"/>
      <c r="E6975" s="185" t="s">
        <v>470</v>
      </c>
      <c r="H6975" s="185"/>
    </row>
    <row r="6976">
      <c r="D6976" s="185"/>
      <c r="E6976" s="185" t="s">
        <v>470</v>
      </c>
      <c r="H6976" s="185"/>
    </row>
    <row r="6977">
      <c r="D6977" s="185"/>
      <c r="E6977" s="185" t="s">
        <v>470</v>
      </c>
      <c r="H6977" s="185"/>
    </row>
    <row r="6978">
      <c r="D6978" s="185"/>
      <c r="E6978" s="185" t="s">
        <v>470</v>
      </c>
      <c r="H6978" s="185"/>
    </row>
    <row r="6979">
      <c r="D6979" s="185"/>
      <c r="E6979" s="185" t="s">
        <v>470</v>
      </c>
      <c r="H6979" s="185"/>
    </row>
    <row r="6980">
      <c r="D6980" s="185"/>
      <c r="E6980" s="185" t="s">
        <v>470</v>
      </c>
      <c r="H6980" s="185"/>
    </row>
    <row r="6981">
      <c r="D6981" s="185"/>
      <c r="E6981" s="185" t="s">
        <v>470</v>
      </c>
      <c r="H6981" s="185"/>
    </row>
    <row r="6982">
      <c r="D6982" s="185"/>
      <c r="E6982" s="185" t="s">
        <v>470</v>
      </c>
      <c r="H6982" s="185"/>
    </row>
    <row r="6983">
      <c r="D6983" s="185"/>
      <c r="E6983" s="185" t="s">
        <v>470</v>
      </c>
      <c r="H6983" s="185"/>
    </row>
    <row r="6984">
      <c r="D6984" s="185"/>
      <c r="E6984" s="185" t="s">
        <v>470</v>
      </c>
      <c r="H6984" s="185"/>
    </row>
    <row r="6985">
      <c r="D6985" s="185"/>
      <c r="E6985" s="185" t="s">
        <v>470</v>
      </c>
      <c r="H6985" s="185"/>
    </row>
    <row r="6986">
      <c r="D6986" s="185"/>
      <c r="E6986" s="185" t="s">
        <v>470</v>
      </c>
      <c r="H6986" s="185"/>
    </row>
    <row r="6987">
      <c r="D6987" s="185"/>
      <c r="E6987" s="185" t="s">
        <v>470</v>
      </c>
      <c r="H6987" s="185"/>
    </row>
    <row r="6988">
      <c r="D6988" s="185"/>
      <c r="E6988" s="185" t="s">
        <v>470</v>
      </c>
      <c r="H6988" s="185"/>
    </row>
    <row r="6989">
      <c r="D6989" s="185"/>
      <c r="E6989" s="185" t="s">
        <v>470</v>
      </c>
      <c r="H6989" s="185"/>
    </row>
    <row r="6990">
      <c r="D6990" s="185"/>
      <c r="E6990" s="185" t="s">
        <v>470</v>
      </c>
      <c r="H6990" s="185"/>
    </row>
    <row r="6991">
      <c r="D6991" s="185"/>
      <c r="E6991" s="185" t="s">
        <v>470</v>
      </c>
      <c r="H6991" s="185"/>
    </row>
    <row r="6992">
      <c r="D6992" s="185"/>
      <c r="E6992" s="185" t="s">
        <v>470</v>
      </c>
      <c r="H6992" s="185"/>
    </row>
    <row r="6993">
      <c r="D6993" s="185"/>
      <c r="E6993" s="185" t="s">
        <v>470</v>
      </c>
      <c r="H6993" s="185"/>
    </row>
    <row r="6994">
      <c r="D6994" s="185"/>
      <c r="E6994" s="185" t="s">
        <v>470</v>
      </c>
      <c r="H6994" s="185"/>
    </row>
    <row r="6995">
      <c r="D6995" s="185"/>
      <c r="E6995" s="185" t="s">
        <v>470</v>
      </c>
      <c r="H6995" s="185"/>
    </row>
    <row r="6996">
      <c r="D6996" s="185"/>
      <c r="E6996" s="185" t="s">
        <v>470</v>
      </c>
      <c r="H6996" s="185"/>
    </row>
    <row r="6997">
      <c r="D6997" s="185"/>
      <c r="E6997" s="185" t="s">
        <v>470</v>
      </c>
      <c r="H6997" s="185"/>
    </row>
    <row r="6998">
      <c r="D6998" s="185"/>
      <c r="E6998" s="185" t="s">
        <v>470</v>
      </c>
      <c r="H6998" s="185"/>
    </row>
    <row r="6999">
      <c r="D6999" s="185"/>
      <c r="E6999" s="185" t="s">
        <v>470</v>
      </c>
      <c r="H6999" s="185"/>
    </row>
    <row r="7000">
      <c r="D7000" s="185"/>
      <c r="E7000" s="185" t="s">
        <v>470</v>
      </c>
      <c r="H7000" s="185"/>
    </row>
    <row r="7001">
      <c r="D7001" s="185"/>
      <c r="E7001" s="185" t="s">
        <v>470</v>
      </c>
      <c r="H7001" s="185"/>
    </row>
    <row r="7002">
      <c r="D7002" s="185"/>
      <c r="E7002" s="185" t="s">
        <v>470</v>
      </c>
      <c r="H7002" s="185"/>
    </row>
    <row r="7003">
      <c r="D7003" s="185"/>
      <c r="E7003" s="185" t="s">
        <v>470</v>
      </c>
      <c r="H7003" s="185"/>
    </row>
    <row r="7004">
      <c r="D7004" s="185"/>
      <c r="E7004" s="185" t="s">
        <v>470</v>
      </c>
      <c r="H7004" s="185"/>
    </row>
    <row r="7005">
      <c r="D7005" s="185"/>
      <c r="E7005" s="185" t="s">
        <v>470</v>
      </c>
      <c r="H7005" s="185"/>
    </row>
    <row r="7006">
      <c r="D7006" s="185"/>
      <c r="E7006" s="185" t="s">
        <v>470</v>
      </c>
      <c r="H7006" s="185"/>
    </row>
    <row r="7007">
      <c r="D7007" s="185"/>
      <c r="E7007" s="185" t="s">
        <v>470</v>
      </c>
      <c r="H7007" s="185"/>
    </row>
    <row r="7008">
      <c r="D7008" s="185"/>
      <c r="E7008" s="185" t="s">
        <v>470</v>
      </c>
      <c r="H7008" s="185"/>
    </row>
    <row r="7009">
      <c r="D7009" s="185"/>
      <c r="E7009" s="185" t="s">
        <v>470</v>
      </c>
      <c r="H7009" s="185"/>
    </row>
    <row r="7010">
      <c r="D7010" s="185"/>
      <c r="E7010" s="185" t="s">
        <v>470</v>
      </c>
      <c r="H7010" s="185"/>
    </row>
    <row r="7011">
      <c r="D7011" s="185"/>
      <c r="E7011" s="185" t="s">
        <v>470</v>
      </c>
      <c r="H7011" s="185"/>
    </row>
    <row r="7012">
      <c r="D7012" s="185"/>
      <c r="E7012" s="185" t="s">
        <v>470</v>
      </c>
      <c r="H7012" s="185"/>
    </row>
    <row r="7013">
      <c r="D7013" s="185"/>
      <c r="E7013" s="185" t="s">
        <v>470</v>
      </c>
      <c r="H7013" s="185"/>
    </row>
    <row r="7014">
      <c r="D7014" s="185"/>
      <c r="E7014" s="185" t="s">
        <v>470</v>
      </c>
      <c r="H7014" s="185"/>
    </row>
    <row r="7015">
      <c r="D7015" s="185"/>
      <c r="E7015" s="185" t="s">
        <v>470</v>
      </c>
      <c r="H7015" s="185"/>
    </row>
    <row r="7016">
      <c r="D7016" s="185"/>
      <c r="E7016" s="185" t="s">
        <v>470</v>
      </c>
      <c r="H7016" s="185"/>
    </row>
    <row r="7017">
      <c r="D7017" s="185"/>
      <c r="E7017" s="185" t="s">
        <v>470</v>
      </c>
      <c r="H7017" s="185"/>
    </row>
    <row r="7018">
      <c r="D7018" s="185"/>
      <c r="E7018" s="185" t="s">
        <v>470</v>
      </c>
      <c r="H7018" s="185"/>
    </row>
    <row r="7019">
      <c r="D7019" s="185"/>
      <c r="E7019" s="185" t="s">
        <v>470</v>
      </c>
      <c r="H7019" s="185"/>
    </row>
    <row r="7020">
      <c r="D7020" s="185"/>
      <c r="E7020" s="185" t="s">
        <v>470</v>
      </c>
      <c r="H7020" s="185"/>
    </row>
    <row r="7021">
      <c r="D7021" s="185"/>
      <c r="E7021" s="185" t="s">
        <v>470</v>
      </c>
      <c r="H7021" s="185"/>
    </row>
    <row r="7022">
      <c r="D7022" s="185"/>
      <c r="E7022" s="185" t="s">
        <v>470</v>
      </c>
      <c r="H7022" s="185"/>
    </row>
    <row r="7023">
      <c r="D7023" s="185"/>
      <c r="E7023" s="185" t="s">
        <v>470</v>
      </c>
      <c r="H7023" s="185"/>
    </row>
    <row r="7024">
      <c r="D7024" s="185"/>
      <c r="E7024" s="185" t="s">
        <v>470</v>
      </c>
      <c r="H7024" s="185"/>
    </row>
    <row r="7025">
      <c r="D7025" s="185"/>
      <c r="E7025" s="185" t="s">
        <v>470</v>
      </c>
      <c r="H7025" s="185"/>
    </row>
    <row r="7026">
      <c r="D7026" s="185"/>
      <c r="E7026" s="185" t="s">
        <v>470</v>
      </c>
      <c r="H7026" s="185"/>
    </row>
    <row r="7027">
      <c r="D7027" s="185"/>
      <c r="E7027" s="185" t="s">
        <v>470</v>
      </c>
      <c r="H7027" s="185"/>
    </row>
    <row r="7028">
      <c r="D7028" s="185"/>
      <c r="E7028" s="185" t="s">
        <v>470</v>
      </c>
      <c r="H7028" s="185"/>
    </row>
    <row r="7029">
      <c r="D7029" s="185"/>
      <c r="E7029" s="185" t="s">
        <v>470</v>
      </c>
      <c r="H7029" s="185"/>
    </row>
    <row r="7030">
      <c r="D7030" s="185"/>
      <c r="E7030" s="185" t="s">
        <v>470</v>
      </c>
      <c r="H7030" s="185"/>
    </row>
    <row r="7031">
      <c r="D7031" s="185"/>
      <c r="E7031" s="185" t="s">
        <v>470</v>
      </c>
      <c r="H7031" s="185"/>
    </row>
    <row r="7032">
      <c r="D7032" s="185"/>
      <c r="E7032" s="185" t="s">
        <v>470</v>
      </c>
      <c r="H7032" s="185"/>
    </row>
    <row r="7033">
      <c r="D7033" s="185"/>
      <c r="E7033" s="185" t="s">
        <v>470</v>
      </c>
      <c r="H7033" s="185"/>
    </row>
    <row r="7034">
      <c r="D7034" s="185"/>
      <c r="E7034" s="185" t="s">
        <v>470</v>
      </c>
      <c r="H7034" s="185"/>
    </row>
    <row r="7035">
      <c r="D7035" s="185"/>
      <c r="E7035" s="185" t="s">
        <v>470</v>
      </c>
      <c r="H7035" s="185"/>
    </row>
    <row r="7036">
      <c r="D7036" s="185"/>
      <c r="E7036" s="185" t="s">
        <v>470</v>
      </c>
      <c r="H7036" s="185"/>
    </row>
    <row r="7037">
      <c r="D7037" s="185"/>
      <c r="E7037" s="185" t="s">
        <v>470</v>
      </c>
      <c r="H7037" s="185"/>
    </row>
    <row r="7038">
      <c r="D7038" s="185"/>
      <c r="E7038" s="185" t="s">
        <v>470</v>
      </c>
      <c r="H7038" s="185"/>
    </row>
    <row r="7039">
      <c r="D7039" s="185"/>
      <c r="E7039" s="185" t="s">
        <v>470</v>
      </c>
      <c r="H7039" s="185"/>
    </row>
    <row r="7040">
      <c r="D7040" s="185"/>
      <c r="E7040" s="185" t="s">
        <v>470</v>
      </c>
      <c r="H7040" s="185"/>
    </row>
    <row r="7041">
      <c r="D7041" s="185"/>
      <c r="E7041" s="185" t="s">
        <v>470</v>
      </c>
      <c r="H7041" s="185"/>
    </row>
    <row r="7042">
      <c r="D7042" s="185"/>
      <c r="E7042" s="185" t="s">
        <v>470</v>
      </c>
      <c r="H7042" s="185"/>
    </row>
    <row r="7043">
      <c r="D7043" s="185"/>
      <c r="E7043" s="185" t="s">
        <v>470</v>
      </c>
      <c r="H7043" s="185"/>
    </row>
    <row r="7044">
      <c r="D7044" s="185"/>
      <c r="E7044" s="185" t="s">
        <v>470</v>
      </c>
      <c r="H7044" s="185"/>
    </row>
    <row r="7045">
      <c r="D7045" s="185"/>
      <c r="E7045" s="185" t="s">
        <v>470</v>
      </c>
      <c r="H7045" s="185"/>
    </row>
    <row r="7046">
      <c r="D7046" s="185"/>
      <c r="E7046" s="185" t="s">
        <v>470</v>
      </c>
      <c r="H7046" s="185"/>
    </row>
    <row r="7047">
      <c r="D7047" s="185"/>
      <c r="E7047" s="185" t="s">
        <v>470</v>
      </c>
      <c r="H7047" s="185"/>
    </row>
    <row r="7048">
      <c r="D7048" s="185"/>
      <c r="E7048" s="185" t="s">
        <v>470</v>
      </c>
      <c r="H7048" s="185"/>
    </row>
    <row r="7049">
      <c r="D7049" s="185"/>
      <c r="E7049" s="185" t="s">
        <v>470</v>
      </c>
      <c r="H7049" s="185"/>
    </row>
    <row r="7050">
      <c r="D7050" s="185"/>
      <c r="E7050" s="185" t="s">
        <v>470</v>
      </c>
      <c r="H7050" s="185"/>
    </row>
    <row r="7051">
      <c r="D7051" s="185"/>
      <c r="E7051" s="185" t="s">
        <v>470</v>
      </c>
      <c r="H7051" s="185"/>
    </row>
    <row r="7052">
      <c r="D7052" s="185"/>
      <c r="E7052" s="185" t="s">
        <v>470</v>
      </c>
      <c r="H7052" s="185"/>
    </row>
    <row r="7053">
      <c r="D7053" s="185"/>
      <c r="E7053" s="185" t="s">
        <v>470</v>
      </c>
      <c r="H7053" s="185"/>
    </row>
    <row r="7054">
      <c r="D7054" s="185"/>
      <c r="E7054" s="185" t="s">
        <v>470</v>
      </c>
      <c r="H7054" s="185"/>
    </row>
    <row r="7055">
      <c r="D7055" s="185"/>
      <c r="E7055" s="185" t="s">
        <v>470</v>
      </c>
      <c r="H7055" s="185"/>
    </row>
    <row r="7056">
      <c r="D7056" s="185"/>
      <c r="E7056" s="185" t="s">
        <v>470</v>
      </c>
      <c r="H7056" s="185"/>
    </row>
    <row r="7057">
      <c r="D7057" s="185"/>
      <c r="E7057" s="185" t="s">
        <v>470</v>
      </c>
      <c r="H7057" s="185"/>
    </row>
    <row r="7058">
      <c r="D7058" s="185"/>
      <c r="E7058" s="185" t="s">
        <v>470</v>
      </c>
      <c r="H7058" s="185"/>
    </row>
    <row r="7059">
      <c r="D7059" s="185"/>
      <c r="E7059" s="185" t="s">
        <v>470</v>
      </c>
      <c r="H7059" s="185"/>
    </row>
    <row r="7060">
      <c r="D7060" s="185"/>
      <c r="E7060" s="185" t="s">
        <v>470</v>
      </c>
      <c r="H7060" s="185"/>
    </row>
    <row r="7061">
      <c r="D7061" s="185"/>
      <c r="E7061" s="185" t="s">
        <v>470</v>
      </c>
      <c r="H7061" s="185"/>
    </row>
    <row r="7062">
      <c r="D7062" s="185"/>
      <c r="E7062" s="185" t="s">
        <v>470</v>
      </c>
      <c r="H7062" s="185"/>
    </row>
    <row r="7063">
      <c r="D7063" s="185"/>
      <c r="E7063" s="185" t="s">
        <v>470</v>
      </c>
      <c r="H7063" s="185"/>
    </row>
    <row r="7064">
      <c r="D7064" s="185"/>
      <c r="E7064" s="185" t="s">
        <v>470</v>
      </c>
      <c r="H7064" s="185"/>
    </row>
    <row r="7065">
      <c r="D7065" s="185"/>
      <c r="E7065" s="185" t="s">
        <v>470</v>
      </c>
      <c r="H7065" s="185"/>
    </row>
    <row r="7066">
      <c r="D7066" s="185"/>
      <c r="E7066" s="185" t="s">
        <v>470</v>
      </c>
      <c r="H7066" s="185"/>
    </row>
    <row r="7067">
      <c r="D7067" s="185"/>
      <c r="E7067" s="185" t="s">
        <v>470</v>
      </c>
      <c r="H7067" s="185"/>
    </row>
    <row r="7068">
      <c r="D7068" s="185"/>
      <c r="E7068" s="185" t="s">
        <v>470</v>
      </c>
      <c r="H7068" s="185"/>
    </row>
    <row r="7069">
      <c r="D7069" s="185"/>
      <c r="E7069" s="185" t="s">
        <v>470</v>
      </c>
      <c r="H7069" s="185"/>
    </row>
    <row r="7070">
      <c r="D7070" s="185"/>
      <c r="E7070" s="185" t="s">
        <v>470</v>
      </c>
      <c r="H7070" s="185"/>
    </row>
    <row r="7071">
      <c r="D7071" s="185"/>
      <c r="E7071" s="185" t="s">
        <v>470</v>
      </c>
      <c r="H7071" s="185"/>
    </row>
    <row r="7072">
      <c r="D7072" s="185"/>
      <c r="E7072" s="185" t="s">
        <v>470</v>
      </c>
      <c r="H7072" s="185"/>
    </row>
    <row r="7073">
      <c r="D7073" s="185"/>
      <c r="E7073" s="185" t="s">
        <v>470</v>
      </c>
      <c r="H7073" s="185"/>
    </row>
    <row r="7074">
      <c r="D7074" s="185"/>
      <c r="E7074" s="185" t="s">
        <v>470</v>
      </c>
      <c r="H7074" s="185"/>
    </row>
    <row r="7075">
      <c r="D7075" s="185"/>
      <c r="E7075" s="185" t="s">
        <v>470</v>
      </c>
      <c r="H7075" s="185"/>
    </row>
    <row r="7076">
      <c r="D7076" s="185"/>
      <c r="E7076" s="185" t="s">
        <v>470</v>
      </c>
      <c r="H7076" s="185"/>
    </row>
    <row r="7077">
      <c r="D7077" s="185"/>
      <c r="E7077" s="185" t="s">
        <v>470</v>
      </c>
      <c r="H7077" s="185"/>
    </row>
    <row r="7078">
      <c r="D7078" s="185"/>
      <c r="E7078" s="185" t="s">
        <v>470</v>
      </c>
      <c r="H7078" s="185"/>
    </row>
    <row r="7079">
      <c r="D7079" s="185"/>
      <c r="E7079" s="185" t="s">
        <v>470</v>
      </c>
      <c r="H7079" s="185"/>
    </row>
    <row r="7080">
      <c r="D7080" s="185"/>
      <c r="E7080" s="185" t="s">
        <v>470</v>
      </c>
      <c r="H7080" s="185"/>
    </row>
    <row r="7081">
      <c r="D7081" s="185"/>
      <c r="E7081" s="185" t="s">
        <v>470</v>
      </c>
      <c r="H7081" s="185"/>
    </row>
    <row r="7082">
      <c r="D7082" s="185"/>
      <c r="E7082" s="185" t="s">
        <v>470</v>
      </c>
      <c r="H7082" s="185"/>
    </row>
    <row r="7083">
      <c r="D7083" s="185"/>
      <c r="E7083" s="185" t="s">
        <v>470</v>
      </c>
      <c r="H7083" s="185"/>
    </row>
    <row r="7084">
      <c r="D7084" s="185"/>
      <c r="E7084" s="185" t="s">
        <v>470</v>
      </c>
      <c r="H7084" s="185"/>
    </row>
    <row r="7085">
      <c r="D7085" s="185"/>
      <c r="E7085" s="185" t="s">
        <v>470</v>
      </c>
      <c r="H7085" s="185"/>
    </row>
    <row r="7086">
      <c r="D7086" s="185"/>
      <c r="E7086" s="185" t="s">
        <v>470</v>
      </c>
      <c r="H7086" s="185"/>
    </row>
    <row r="7087">
      <c r="D7087" s="185"/>
      <c r="E7087" s="185" t="s">
        <v>470</v>
      </c>
      <c r="H7087" s="185"/>
    </row>
    <row r="7088">
      <c r="D7088" s="185"/>
      <c r="E7088" s="185" t="s">
        <v>470</v>
      </c>
      <c r="H7088" s="185"/>
    </row>
    <row r="7089">
      <c r="D7089" s="185"/>
      <c r="E7089" s="185" t="s">
        <v>470</v>
      </c>
      <c r="H7089" s="185"/>
    </row>
    <row r="7090">
      <c r="D7090" s="185"/>
      <c r="E7090" s="185" t="s">
        <v>470</v>
      </c>
      <c r="H7090" s="185"/>
    </row>
    <row r="7091">
      <c r="D7091" s="185"/>
      <c r="E7091" s="185" t="s">
        <v>470</v>
      </c>
      <c r="H7091" s="185"/>
    </row>
    <row r="7092">
      <c r="D7092" s="185"/>
      <c r="E7092" s="185" t="s">
        <v>470</v>
      </c>
      <c r="H7092" s="185"/>
    </row>
    <row r="7093">
      <c r="D7093" s="185"/>
      <c r="E7093" s="185" t="s">
        <v>470</v>
      </c>
      <c r="H7093" s="185"/>
    </row>
    <row r="7094">
      <c r="D7094" s="185"/>
      <c r="E7094" s="185" t="s">
        <v>470</v>
      </c>
      <c r="H7094" s="185"/>
    </row>
    <row r="7095">
      <c r="D7095" s="185"/>
      <c r="E7095" s="185" t="s">
        <v>470</v>
      </c>
      <c r="H7095" s="185"/>
    </row>
    <row r="7096">
      <c r="D7096" s="185"/>
      <c r="E7096" s="185" t="s">
        <v>470</v>
      </c>
      <c r="H7096" s="185"/>
    </row>
    <row r="7097">
      <c r="D7097" s="185"/>
      <c r="E7097" s="185" t="s">
        <v>470</v>
      </c>
      <c r="H7097" s="185"/>
    </row>
    <row r="7098">
      <c r="D7098" s="185"/>
      <c r="E7098" s="185" t="s">
        <v>470</v>
      </c>
      <c r="H7098" s="185"/>
    </row>
    <row r="7099">
      <c r="D7099" s="185"/>
      <c r="E7099" s="185" t="s">
        <v>470</v>
      </c>
      <c r="H7099" s="185"/>
    </row>
    <row r="7100">
      <c r="D7100" s="185"/>
      <c r="E7100" s="185" t="s">
        <v>470</v>
      </c>
      <c r="H7100" s="185"/>
    </row>
    <row r="7101">
      <c r="D7101" s="185"/>
      <c r="E7101" s="185" t="s">
        <v>470</v>
      </c>
      <c r="H7101" s="185"/>
    </row>
    <row r="7102">
      <c r="D7102" s="185"/>
      <c r="E7102" s="185" t="s">
        <v>470</v>
      </c>
      <c r="H7102" s="185"/>
    </row>
    <row r="7103">
      <c r="D7103" s="185"/>
      <c r="E7103" s="185" t="s">
        <v>470</v>
      </c>
      <c r="H7103" s="185"/>
    </row>
    <row r="7104">
      <c r="D7104" s="185"/>
      <c r="E7104" s="185" t="s">
        <v>470</v>
      </c>
      <c r="H7104" s="185"/>
    </row>
    <row r="7105">
      <c r="D7105" s="185"/>
      <c r="E7105" s="185" t="s">
        <v>470</v>
      </c>
      <c r="H7105" s="185"/>
    </row>
    <row r="7106">
      <c r="D7106" s="185"/>
      <c r="E7106" s="185" t="s">
        <v>470</v>
      </c>
      <c r="H7106" s="185"/>
    </row>
    <row r="7107">
      <c r="D7107" s="185"/>
      <c r="E7107" s="185" t="s">
        <v>470</v>
      </c>
      <c r="H7107" s="185"/>
    </row>
    <row r="7108">
      <c r="D7108" s="185"/>
      <c r="E7108" s="185" t="s">
        <v>470</v>
      </c>
      <c r="H7108" s="185"/>
    </row>
    <row r="7109">
      <c r="D7109" s="185"/>
      <c r="E7109" s="185" t="s">
        <v>470</v>
      </c>
      <c r="H7109" s="185"/>
    </row>
    <row r="7110">
      <c r="D7110" s="185"/>
      <c r="E7110" s="185" t="s">
        <v>470</v>
      </c>
      <c r="H7110" s="185"/>
    </row>
    <row r="7111">
      <c r="D7111" s="185"/>
      <c r="E7111" s="185" t="s">
        <v>470</v>
      </c>
      <c r="H7111" s="185"/>
    </row>
    <row r="7112">
      <c r="D7112" s="185"/>
      <c r="E7112" s="185" t="s">
        <v>470</v>
      </c>
      <c r="H7112" s="185"/>
    </row>
    <row r="7113">
      <c r="D7113" s="185"/>
      <c r="E7113" s="185" t="s">
        <v>470</v>
      </c>
      <c r="H7113" s="185"/>
    </row>
    <row r="7114">
      <c r="D7114" s="185"/>
      <c r="E7114" s="185" t="s">
        <v>470</v>
      </c>
      <c r="H7114" s="185"/>
    </row>
    <row r="7115">
      <c r="D7115" s="185"/>
      <c r="E7115" s="185" t="s">
        <v>470</v>
      </c>
      <c r="H7115" s="185"/>
    </row>
    <row r="7116">
      <c r="D7116" s="185"/>
      <c r="E7116" s="185" t="s">
        <v>470</v>
      </c>
      <c r="H7116" s="185"/>
    </row>
    <row r="7117">
      <c r="D7117" s="185"/>
      <c r="E7117" s="185" t="s">
        <v>470</v>
      </c>
      <c r="H7117" s="185"/>
    </row>
    <row r="7118">
      <c r="D7118" s="185"/>
      <c r="E7118" s="185" t="s">
        <v>470</v>
      </c>
      <c r="H7118" s="185"/>
    </row>
    <row r="7119">
      <c r="D7119" s="185"/>
      <c r="E7119" s="185" t="s">
        <v>470</v>
      </c>
      <c r="H7119" s="185"/>
    </row>
    <row r="7120">
      <c r="D7120" s="185"/>
      <c r="E7120" s="185" t="s">
        <v>470</v>
      </c>
      <c r="H7120" s="185"/>
    </row>
    <row r="7121">
      <c r="D7121" s="185"/>
      <c r="E7121" s="185" t="s">
        <v>470</v>
      </c>
      <c r="H7121" s="185"/>
    </row>
    <row r="7122">
      <c r="D7122" s="185"/>
      <c r="E7122" s="185" t="s">
        <v>470</v>
      </c>
      <c r="H7122" s="185"/>
    </row>
    <row r="7123">
      <c r="D7123" s="185"/>
      <c r="E7123" s="185" t="s">
        <v>470</v>
      </c>
      <c r="H7123" s="185"/>
    </row>
    <row r="7124">
      <c r="D7124" s="185"/>
      <c r="E7124" s="185" t="s">
        <v>470</v>
      </c>
      <c r="H7124" s="185"/>
    </row>
    <row r="7125">
      <c r="D7125" s="185"/>
      <c r="E7125" s="185" t="s">
        <v>470</v>
      </c>
      <c r="H7125" s="185"/>
    </row>
    <row r="7126">
      <c r="D7126" s="185"/>
      <c r="E7126" s="185" t="s">
        <v>470</v>
      </c>
      <c r="H7126" s="185"/>
    </row>
    <row r="7127">
      <c r="D7127" s="185"/>
      <c r="E7127" s="185" t="s">
        <v>470</v>
      </c>
      <c r="H7127" s="185"/>
    </row>
    <row r="7128">
      <c r="D7128" s="185"/>
      <c r="E7128" s="185" t="s">
        <v>470</v>
      </c>
      <c r="H7128" s="185"/>
    </row>
    <row r="7129">
      <c r="D7129" s="185"/>
      <c r="E7129" s="185" t="s">
        <v>470</v>
      </c>
      <c r="H7129" s="185"/>
    </row>
    <row r="7130">
      <c r="D7130" s="185"/>
      <c r="E7130" s="185" t="s">
        <v>470</v>
      </c>
      <c r="H7130" s="185"/>
    </row>
    <row r="7131">
      <c r="D7131" s="185"/>
      <c r="E7131" s="185" t="s">
        <v>470</v>
      </c>
      <c r="H7131" s="185"/>
    </row>
    <row r="7132">
      <c r="D7132" s="185"/>
      <c r="E7132" s="185" t="s">
        <v>470</v>
      </c>
      <c r="H7132" s="185"/>
    </row>
    <row r="7133">
      <c r="D7133" s="185"/>
      <c r="E7133" s="185" t="s">
        <v>470</v>
      </c>
      <c r="H7133" s="185"/>
    </row>
    <row r="7134">
      <c r="D7134" s="185"/>
      <c r="E7134" s="185" t="s">
        <v>470</v>
      </c>
      <c r="H7134" s="185"/>
    </row>
    <row r="7135">
      <c r="D7135" s="185"/>
      <c r="E7135" s="185" t="s">
        <v>470</v>
      </c>
      <c r="H7135" s="185"/>
    </row>
    <row r="7136">
      <c r="D7136" s="185"/>
      <c r="E7136" s="185" t="s">
        <v>470</v>
      </c>
      <c r="H7136" s="185"/>
    </row>
    <row r="7137">
      <c r="D7137" s="185"/>
      <c r="E7137" s="185" t="s">
        <v>470</v>
      </c>
      <c r="H7137" s="185"/>
    </row>
    <row r="7138">
      <c r="D7138" s="185"/>
      <c r="E7138" s="185" t="s">
        <v>470</v>
      </c>
      <c r="H7138" s="185"/>
    </row>
    <row r="7139">
      <c r="D7139" s="185"/>
      <c r="E7139" s="185" t="s">
        <v>470</v>
      </c>
      <c r="H7139" s="185"/>
    </row>
    <row r="7140">
      <c r="D7140" s="185"/>
      <c r="E7140" s="185" t="s">
        <v>470</v>
      </c>
      <c r="H7140" s="185"/>
    </row>
    <row r="7141">
      <c r="D7141" s="185"/>
      <c r="E7141" s="185" t="s">
        <v>470</v>
      </c>
      <c r="H7141" s="185"/>
    </row>
    <row r="7142">
      <c r="D7142" s="185"/>
      <c r="E7142" s="185" t="s">
        <v>470</v>
      </c>
      <c r="H7142" s="185"/>
    </row>
    <row r="7143">
      <c r="D7143" s="185"/>
      <c r="E7143" s="185" t="s">
        <v>470</v>
      </c>
      <c r="H7143" s="185"/>
    </row>
    <row r="7144">
      <c r="D7144" s="185"/>
      <c r="E7144" s="185" t="s">
        <v>470</v>
      </c>
      <c r="H7144" s="185"/>
    </row>
    <row r="7145">
      <c r="D7145" s="185"/>
      <c r="E7145" s="185" t="s">
        <v>470</v>
      </c>
      <c r="H7145" s="185"/>
    </row>
    <row r="7146">
      <c r="D7146" s="185"/>
      <c r="E7146" s="185" t="s">
        <v>470</v>
      </c>
      <c r="H7146" s="185"/>
    </row>
    <row r="7147">
      <c r="D7147" s="185"/>
      <c r="E7147" s="185" t="s">
        <v>470</v>
      </c>
      <c r="H7147" s="185"/>
    </row>
    <row r="7148">
      <c r="D7148" s="185"/>
      <c r="E7148" s="185" t="s">
        <v>470</v>
      </c>
      <c r="H7148" s="185"/>
    </row>
    <row r="7149">
      <c r="D7149" s="185"/>
      <c r="E7149" s="185" t="s">
        <v>470</v>
      </c>
      <c r="H7149" s="185"/>
    </row>
    <row r="7150">
      <c r="D7150" s="185"/>
      <c r="E7150" s="185" t="s">
        <v>470</v>
      </c>
      <c r="H7150" s="185"/>
    </row>
    <row r="7151">
      <c r="D7151" s="185"/>
      <c r="E7151" s="185" t="s">
        <v>470</v>
      </c>
      <c r="H7151" s="185"/>
    </row>
    <row r="7152">
      <c r="D7152" s="185"/>
      <c r="E7152" s="185" t="s">
        <v>470</v>
      </c>
      <c r="H7152" s="185"/>
    </row>
    <row r="7153">
      <c r="D7153" s="185"/>
      <c r="E7153" s="185" t="s">
        <v>470</v>
      </c>
      <c r="H7153" s="185"/>
    </row>
    <row r="7154">
      <c r="D7154" s="185"/>
      <c r="E7154" s="185" t="s">
        <v>470</v>
      </c>
      <c r="H7154" s="185"/>
    </row>
    <row r="7155">
      <c r="D7155" s="185"/>
      <c r="E7155" s="185" t="s">
        <v>470</v>
      </c>
      <c r="H7155" s="185"/>
    </row>
    <row r="7156">
      <c r="D7156" s="185"/>
      <c r="E7156" s="185" t="s">
        <v>470</v>
      </c>
      <c r="H7156" s="185"/>
    </row>
    <row r="7157">
      <c r="D7157" s="185"/>
      <c r="E7157" s="185" t="s">
        <v>470</v>
      </c>
      <c r="H7157" s="185"/>
    </row>
    <row r="7158">
      <c r="D7158" s="185"/>
      <c r="E7158" s="185" t="s">
        <v>470</v>
      </c>
      <c r="H7158" s="185"/>
    </row>
    <row r="7159">
      <c r="D7159" s="185"/>
      <c r="E7159" s="185" t="s">
        <v>470</v>
      </c>
      <c r="H7159" s="185"/>
    </row>
    <row r="7160">
      <c r="D7160" s="185"/>
      <c r="E7160" s="185" t="s">
        <v>470</v>
      </c>
      <c r="H7160" s="185"/>
    </row>
    <row r="7161">
      <c r="D7161" s="185"/>
      <c r="E7161" s="185" t="s">
        <v>470</v>
      </c>
      <c r="H7161" s="185"/>
    </row>
    <row r="7162">
      <c r="D7162" s="185"/>
      <c r="E7162" s="185" t="s">
        <v>470</v>
      </c>
      <c r="H7162" s="185"/>
    </row>
    <row r="7163">
      <c r="D7163" s="185"/>
      <c r="E7163" s="185" t="s">
        <v>470</v>
      </c>
      <c r="H7163" s="185"/>
    </row>
    <row r="7164">
      <c r="D7164" s="185"/>
      <c r="E7164" s="185" t="s">
        <v>470</v>
      </c>
      <c r="H7164" s="185"/>
    </row>
    <row r="7165">
      <c r="D7165" s="185"/>
      <c r="E7165" s="185" t="s">
        <v>470</v>
      </c>
      <c r="H7165" s="185"/>
    </row>
    <row r="7166">
      <c r="D7166" s="185"/>
      <c r="E7166" s="185" t="s">
        <v>470</v>
      </c>
      <c r="H7166" s="185"/>
    </row>
    <row r="7167">
      <c r="D7167" s="185"/>
      <c r="E7167" s="185" t="s">
        <v>470</v>
      </c>
      <c r="H7167" s="185"/>
    </row>
    <row r="7168">
      <c r="D7168" s="185"/>
      <c r="E7168" s="185" t="s">
        <v>470</v>
      </c>
      <c r="H7168" s="185"/>
    </row>
    <row r="7169">
      <c r="D7169" s="185"/>
      <c r="E7169" s="185" t="s">
        <v>470</v>
      </c>
      <c r="H7169" s="185"/>
    </row>
    <row r="7170">
      <c r="D7170" s="185"/>
      <c r="E7170" s="185" t="s">
        <v>470</v>
      </c>
      <c r="H7170" s="185"/>
    </row>
    <row r="7171">
      <c r="D7171" s="185"/>
      <c r="E7171" s="185" t="s">
        <v>470</v>
      </c>
      <c r="H7171" s="185"/>
    </row>
    <row r="7172">
      <c r="D7172" s="185"/>
      <c r="E7172" s="185" t="s">
        <v>470</v>
      </c>
      <c r="H7172" s="185"/>
    </row>
    <row r="7173">
      <c r="D7173" s="185"/>
      <c r="E7173" s="185" t="s">
        <v>470</v>
      </c>
      <c r="H7173" s="185"/>
    </row>
    <row r="7174">
      <c r="D7174" s="185"/>
      <c r="E7174" s="185" t="s">
        <v>470</v>
      </c>
      <c r="H7174" s="185"/>
    </row>
    <row r="7175">
      <c r="D7175" s="185"/>
      <c r="E7175" s="185" t="s">
        <v>470</v>
      </c>
      <c r="H7175" s="185"/>
    </row>
    <row r="7176">
      <c r="D7176" s="185"/>
      <c r="E7176" s="185" t="s">
        <v>470</v>
      </c>
      <c r="H7176" s="185"/>
    </row>
    <row r="7177">
      <c r="D7177" s="185"/>
      <c r="E7177" s="185" t="s">
        <v>470</v>
      </c>
      <c r="H7177" s="185"/>
    </row>
    <row r="7178">
      <c r="D7178" s="185"/>
      <c r="E7178" s="185" t="s">
        <v>470</v>
      </c>
      <c r="H7178" s="185"/>
    </row>
    <row r="7179">
      <c r="D7179" s="185"/>
      <c r="E7179" s="185" t="s">
        <v>470</v>
      </c>
      <c r="H7179" s="185"/>
    </row>
    <row r="7180">
      <c r="D7180" s="185"/>
      <c r="E7180" s="185" t="s">
        <v>470</v>
      </c>
      <c r="H7180" s="185"/>
    </row>
    <row r="7181">
      <c r="D7181" s="185"/>
      <c r="E7181" s="185" t="s">
        <v>470</v>
      </c>
      <c r="H7181" s="185"/>
    </row>
    <row r="7182">
      <c r="D7182" s="185"/>
      <c r="E7182" s="185" t="s">
        <v>470</v>
      </c>
      <c r="H7182" s="185"/>
    </row>
    <row r="7183">
      <c r="D7183" s="185"/>
      <c r="E7183" s="185" t="s">
        <v>470</v>
      </c>
      <c r="H7183" s="185"/>
    </row>
    <row r="7184">
      <c r="D7184" s="185"/>
      <c r="E7184" s="185" t="s">
        <v>470</v>
      </c>
      <c r="H7184" s="185"/>
    </row>
    <row r="7185">
      <c r="D7185" s="185"/>
      <c r="E7185" s="185" t="s">
        <v>470</v>
      </c>
      <c r="H7185" s="185"/>
    </row>
    <row r="7186">
      <c r="D7186" s="185"/>
      <c r="E7186" s="185" t="s">
        <v>470</v>
      </c>
      <c r="H7186" s="185"/>
    </row>
    <row r="7187">
      <c r="D7187" s="185"/>
      <c r="E7187" s="185" t="s">
        <v>470</v>
      </c>
      <c r="H7187" s="185"/>
    </row>
    <row r="7188">
      <c r="D7188" s="185"/>
      <c r="E7188" s="185" t="s">
        <v>470</v>
      </c>
      <c r="H7188" s="185"/>
    </row>
    <row r="7189">
      <c r="D7189" s="185"/>
      <c r="E7189" s="185" t="s">
        <v>470</v>
      </c>
      <c r="H7189" s="185"/>
    </row>
    <row r="7190">
      <c r="D7190" s="185"/>
      <c r="E7190" s="185" t="s">
        <v>470</v>
      </c>
      <c r="H7190" s="185"/>
    </row>
    <row r="7191">
      <c r="D7191" s="185"/>
      <c r="E7191" s="185" t="s">
        <v>470</v>
      </c>
      <c r="H7191" s="185"/>
    </row>
    <row r="7192">
      <c r="D7192" s="185"/>
      <c r="E7192" s="185" t="s">
        <v>470</v>
      </c>
      <c r="H7192" s="185"/>
    </row>
    <row r="7193">
      <c r="D7193" s="185"/>
      <c r="E7193" s="185" t="s">
        <v>470</v>
      </c>
      <c r="H7193" s="185"/>
    </row>
    <row r="7194">
      <c r="D7194" s="185"/>
      <c r="E7194" s="185" t="s">
        <v>470</v>
      </c>
      <c r="H7194" s="185"/>
    </row>
    <row r="7195">
      <c r="D7195" s="185"/>
      <c r="E7195" s="185" t="s">
        <v>470</v>
      </c>
      <c r="H7195" s="185"/>
    </row>
    <row r="7196">
      <c r="D7196" s="185"/>
      <c r="E7196" s="185" t="s">
        <v>470</v>
      </c>
      <c r="H7196" s="185"/>
    </row>
    <row r="7197">
      <c r="D7197" s="185"/>
      <c r="E7197" s="185" t="s">
        <v>470</v>
      </c>
      <c r="H7197" s="185"/>
    </row>
    <row r="7198">
      <c r="D7198" s="185"/>
      <c r="E7198" s="185" t="s">
        <v>470</v>
      </c>
      <c r="H7198" s="185"/>
    </row>
    <row r="7199">
      <c r="D7199" s="185"/>
      <c r="E7199" s="185" t="s">
        <v>470</v>
      </c>
      <c r="H7199" s="185"/>
    </row>
    <row r="7200">
      <c r="D7200" s="185"/>
      <c r="E7200" s="185" t="s">
        <v>470</v>
      </c>
      <c r="H7200" s="185"/>
    </row>
    <row r="7201">
      <c r="D7201" s="185"/>
      <c r="E7201" s="185" t="s">
        <v>470</v>
      </c>
      <c r="H7201" s="185"/>
    </row>
    <row r="7202">
      <c r="D7202" s="185"/>
      <c r="E7202" s="185" t="s">
        <v>470</v>
      </c>
      <c r="H7202" s="185"/>
    </row>
    <row r="7203">
      <c r="D7203" s="185"/>
      <c r="E7203" s="185" t="s">
        <v>470</v>
      </c>
      <c r="H7203" s="185"/>
    </row>
    <row r="7204">
      <c r="D7204" s="185"/>
      <c r="E7204" s="185" t="s">
        <v>470</v>
      </c>
      <c r="H7204" s="185"/>
    </row>
    <row r="7205">
      <c r="D7205" s="185"/>
      <c r="E7205" s="185" t="s">
        <v>470</v>
      </c>
      <c r="H7205" s="185"/>
    </row>
    <row r="7206">
      <c r="D7206" s="185"/>
      <c r="E7206" s="185" t="s">
        <v>470</v>
      </c>
      <c r="H7206" s="185"/>
    </row>
    <row r="7207">
      <c r="D7207" s="185"/>
      <c r="E7207" s="185" t="s">
        <v>470</v>
      </c>
      <c r="H7207" s="185"/>
    </row>
    <row r="7208">
      <c r="D7208" s="185"/>
      <c r="E7208" s="185" t="s">
        <v>470</v>
      </c>
      <c r="H7208" s="185"/>
    </row>
    <row r="7209">
      <c r="D7209" s="185"/>
      <c r="E7209" s="185" t="s">
        <v>470</v>
      </c>
      <c r="H7209" s="185"/>
    </row>
    <row r="7210">
      <c r="D7210" s="185"/>
      <c r="E7210" s="185" t="s">
        <v>470</v>
      </c>
      <c r="H7210" s="185"/>
    </row>
    <row r="7211">
      <c r="D7211" s="185"/>
      <c r="E7211" s="185" t="s">
        <v>470</v>
      </c>
      <c r="H7211" s="185"/>
    </row>
    <row r="7212">
      <c r="D7212" s="185"/>
      <c r="E7212" s="185" t="s">
        <v>470</v>
      </c>
      <c r="H7212" s="185"/>
    </row>
    <row r="7213">
      <c r="D7213" s="185"/>
      <c r="E7213" s="185" t="s">
        <v>470</v>
      </c>
      <c r="H7213" s="185"/>
    </row>
    <row r="7214">
      <c r="D7214" s="185"/>
      <c r="E7214" s="185" t="s">
        <v>470</v>
      </c>
      <c r="H7214" s="185"/>
    </row>
    <row r="7215">
      <c r="D7215" s="185"/>
      <c r="E7215" s="185" t="s">
        <v>470</v>
      </c>
      <c r="H7215" s="185"/>
    </row>
    <row r="7216">
      <c r="D7216" s="185"/>
      <c r="E7216" s="185" t="s">
        <v>470</v>
      </c>
      <c r="H7216" s="185"/>
    </row>
    <row r="7217">
      <c r="D7217" s="185"/>
      <c r="E7217" s="185" t="s">
        <v>470</v>
      </c>
      <c r="H7217" s="185"/>
    </row>
    <row r="7218">
      <c r="D7218" s="185"/>
      <c r="E7218" s="185" t="s">
        <v>470</v>
      </c>
      <c r="H7218" s="185"/>
    </row>
    <row r="7219">
      <c r="D7219" s="185"/>
      <c r="E7219" s="185" t="s">
        <v>470</v>
      </c>
      <c r="H7219" s="185"/>
    </row>
    <row r="7220">
      <c r="D7220" s="185"/>
      <c r="E7220" s="185" t="s">
        <v>470</v>
      </c>
      <c r="H7220" s="185"/>
    </row>
    <row r="7221">
      <c r="D7221" s="185"/>
      <c r="E7221" s="185" t="s">
        <v>470</v>
      </c>
      <c r="H7221" s="185"/>
    </row>
    <row r="7222">
      <c r="D7222" s="185"/>
      <c r="E7222" s="185" t="s">
        <v>470</v>
      </c>
      <c r="H7222" s="185"/>
    </row>
    <row r="7223">
      <c r="D7223" s="185"/>
      <c r="E7223" s="185" t="s">
        <v>470</v>
      </c>
      <c r="H7223" s="185"/>
    </row>
    <row r="7224">
      <c r="D7224" s="185"/>
      <c r="E7224" s="185" t="s">
        <v>470</v>
      </c>
      <c r="H7224" s="185"/>
    </row>
    <row r="7225">
      <c r="D7225" s="185"/>
      <c r="E7225" s="185" t="s">
        <v>470</v>
      </c>
      <c r="H7225" s="185"/>
    </row>
    <row r="7226">
      <c r="D7226" s="185"/>
      <c r="E7226" s="185" t="s">
        <v>470</v>
      </c>
      <c r="H7226" s="185"/>
    </row>
    <row r="7227">
      <c r="D7227" s="185"/>
      <c r="E7227" s="185" t="s">
        <v>470</v>
      </c>
      <c r="H7227" s="185"/>
    </row>
    <row r="7228">
      <c r="D7228" s="185"/>
      <c r="E7228" s="185" t="s">
        <v>470</v>
      </c>
      <c r="H7228" s="185"/>
    </row>
    <row r="7229">
      <c r="D7229" s="185"/>
      <c r="E7229" s="185" t="s">
        <v>470</v>
      </c>
      <c r="H7229" s="185"/>
    </row>
    <row r="7230">
      <c r="D7230" s="185"/>
      <c r="E7230" s="185" t="s">
        <v>470</v>
      </c>
      <c r="H7230" s="185"/>
    </row>
    <row r="7231">
      <c r="D7231" s="185"/>
      <c r="E7231" s="185" t="s">
        <v>470</v>
      </c>
      <c r="H7231" s="185"/>
    </row>
    <row r="7232">
      <c r="D7232" s="185"/>
      <c r="E7232" s="185" t="s">
        <v>470</v>
      </c>
      <c r="H7232" s="185"/>
    </row>
    <row r="7233">
      <c r="D7233" s="185"/>
      <c r="E7233" s="185" t="s">
        <v>470</v>
      </c>
      <c r="H7233" s="185"/>
    </row>
    <row r="7234">
      <c r="D7234" s="185"/>
      <c r="E7234" s="185" t="s">
        <v>470</v>
      </c>
      <c r="H7234" s="185"/>
    </row>
    <row r="7235">
      <c r="D7235" s="185"/>
      <c r="E7235" s="185" t="s">
        <v>470</v>
      </c>
      <c r="H7235" s="185"/>
    </row>
    <row r="7236">
      <c r="D7236" s="185"/>
      <c r="E7236" s="185" t="s">
        <v>470</v>
      </c>
      <c r="H7236" s="185"/>
    </row>
    <row r="7237">
      <c r="D7237" s="185"/>
      <c r="E7237" s="185" t="s">
        <v>470</v>
      </c>
      <c r="H7237" s="185"/>
    </row>
    <row r="7238">
      <c r="D7238" s="185"/>
      <c r="E7238" s="185" t="s">
        <v>470</v>
      </c>
      <c r="H7238" s="185"/>
    </row>
    <row r="7239">
      <c r="D7239" s="185"/>
      <c r="E7239" s="185" t="s">
        <v>470</v>
      </c>
      <c r="H7239" s="185"/>
    </row>
    <row r="7240">
      <c r="D7240" s="185"/>
      <c r="E7240" s="185" t="s">
        <v>470</v>
      </c>
      <c r="H7240" s="185"/>
    </row>
    <row r="7241">
      <c r="D7241" s="185"/>
      <c r="E7241" s="185" t="s">
        <v>470</v>
      </c>
      <c r="H7241" s="185"/>
    </row>
    <row r="7242">
      <c r="D7242" s="185"/>
      <c r="E7242" s="185" t="s">
        <v>470</v>
      </c>
      <c r="H7242" s="185"/>
    </row>
    <row r="7243">
      <c r="D7243" s="185"/>
      <c r="E7243" s="185" t="s">
        <v>470</v>
      </c>
      <c r="H7243" s="185"/>
    </row>
    <row r="7244">
      <c r="D7244" s="185"/>
      <c r="E7244" s="185" t="s">
        <v>470</v>
      </c>
      <c r="H7244" s="185"/>
    </row>
    <row r="7245">
      <c r="D7245" s="185"/>
      <c r="E7245" s="185" t="s">
        <v>470</v>
      </c>
      <c r="H7245" s="185"/>
    </row>
    <row r="7246">
      <c r="D7246" s="185"/>
      <c r="E7246" s="185" t="s">
        <v>470</v>
      </c>
      <c r="H7246" s="185"/>
    </row>
    <row r="7247">
      <c r="D7247" s="185"/>
      <c r="E7247" s="185" t="s">
        <v>470</v>
      </c>
      <c r="H7247" s="185"/>
    </row>
    <row r="7248">
      <c r="D7248" s="185"/>
      <c r="E7248" s="185" t="s">
        <v>470</v>
      </c>
      <c r="H7248" s="185"/>
    </row>
    <row r="7249">
      <c r="D7249" s="185"/>
      <c r="E7249" s="185" t="s">
        <v>470</v>
      </c>
      <c r="H7249" s="185"/>
    </row>
    <row r="7250">
      <c r="D7250" s="185"/>
      <c r="E7250" s="185" t="s">
        <v>470</v>
      </c>
      <c r="H7250" s="185"/>
    </row>
    <row r="7251">
      <c r="D7251" s="185"/>
      <c r="E7251" s="185" t="s">
        <v>470</v>
      </c>
      <c r="H7251" s="185"/>
    </row>
    <row r="7252">
      <c r="D7252" s="185"/>
      <c r="E7252" s="185" t="s">
        <v>470</v>
      </c>
      <c r="H7252" s="185"/>
    </row>
    <row r="7253">
      <c r="D7253" s="185"/>
      <c r="E7253" s="185" t="s">
        <v>470</v>
      </c>
      <c r="H7253" s="185"/>
    </row>
    <row r="7254">
      <c r="D7254" s="185"/>
      <c r="E7254" s="185" t="s">
        <v>470</v>
      </c>
      <c r="H7254" s="185"/>
    </row>
    <row r="7255">
      <c r="D7255" s="185"/>
      <c r="E7255" s="185" t="s">
        <v>470</v>
      </c>
      <c r="H7255" s="185"/>
    </row>
    <row r="7256">
      <c r="D7256" s="185"/>
      <c r="E7256" s="185" t="s">
        <v>470</v>
      </c>
      <c r="H7256" s="185"/>
    </row>
    <row r="7257">
      <c r="D7257" s="185"/>
      <c r="E7257" s="185" t="s">
        <v>470</v>
      </c>
      <c r="H7257" s="185"/>
    </row>
    <row r="7258">
      <c r="D7258" s="185"/>
      <c r="E7258" s="185" t="s">
        <v>470</v>
      </c>
      <c r="H7258" s="185"/>
    </row>
    <row r="7259">
      <c r="D7259" s="185"/>
      <c r="E7259" s="185" t="s">
        <v>470</v>
      </c>
      <c r="H7259" s="185"/>
    </row>
    <row r="7260">
      <c r="D7260" s="185"/>
      <c r="E7260" s="185" t="s">
        <v>470</v>
      </c>
      <c r="H7260" s="185"/>
    </row>
    <row r="7261">
      <c r="D7261" s="185"/>
      <c r="E7261" s="185" t="s">
        <v>470</v>
      </c>
      <c r="H7261" s="185"/>
    </row>
    <row r="7262">
      <c r="D7262" s="185"/>
      <c r="E7262" s="185" t="s">
        <v>470</v>
      </c>
      <c r="H7262" s="185"/>
    </row>
    <row r="7263">
      <c r="D7263" s="185"/>
      <c r="E7263" s="185" t="s">
        <v>470</v>
      </c>
      <c r="H7263" s="185"/>
    </row>
    <row r="7264">
      <c r="D7264" s="185"/>
      <c r="E7264" s="185" t="s">
        <v>470</v>
      </c>
      <c r="H7264" s="185"/>
    </row>
    <row r="7265">
      <c r="D7265" s="185"/>
      <c r="E7265" s="185" t="s">
        <v>470</v>
      </c>
      <c r="H7265" s="185"/>
    </row>
    <row r="7266">
      <c r="D7266" s="185"/>
      <c r="E7266" s="185" t="s">
        <v>470</v>
      </c>
      <c r="H7266" s="185"/>
    </row>
    <row r="7267">
      <c r="D7267" s="185"/>
      <c r="E7267" s="185" t="s">
        <v>470</v>
      </c>
      <c r="H7267" s="185"/>
    </row>
    <row r="7268">
      <c r="D7268" s="185"/>
      <c r="E7268" s="185" t="s">
        <v>470</v>
      </c>
      <c r="H7268" s="185"/>
    </row>
    <row r="7269">
      <c r="D7269" s="185"/>
      <c r="E7269" s="185" t="s">
        <v>470</v>
      </c>
      <c r="H7269" s="185"/>
    </row>
    <row r="7270">
      <c r="D7270" s="185"/>
      <c r="E7270" s="185" t="s">
        <v>470</v>
      </c>
      <c r="H7270" s="185"/>
    </row>
    <row r="7271">
      <c r="D7271" s="185"/>
      <c r="E7271" s="185" t="s">
        <v>470</v>
      </c>
      <c r="H7271" s="185"/>
    </row>
    <row r="7272">
      <c r="D7272" s="185"/>
      <c r="E7272" s="185" t="s">
        <v>470</v>
      </c>
      <c r="H7272" s="185"/>
    </row>
    <row r="7273">
      <c r="D7273" s="185"/>
      <c r="E7273" s="185" t="s">
        <v>470</v>
      </c>
      <c r="H7273" s="185"/>
    </row>
    <row r="7274">
      <c r="D7274" s="185"/>
      <c r="E7274" s="185" t="s">
        <v>470</v>
      </c>
      <c r="H7274" s="185"/>
    </row>
    <row r="7275">
      <c r="D7275" s="185"/>
      <c r="E7275" s="185" t="s">
        <v>470</v>
      </c>
      <c r="H7275" s="185"/>
    </row>
    <row r="7276">
      <c r="D7276" s="185"/>
      <c r="E7276" s="185" t="s">
        <v>470</v>
      </c>
      <c r="H7276" s="185"/>
    </row>
    <row r="7277">
      <c r="D7277" s="185"/>
      <c r="E7277" s="185" t="s">
        <v>470</v>
      </c>
      <c r="H7277" s="185"/>
    </row>
    <row r="7278">
      <c r="D7278" s="185"/>
      <c r="E7278" s="185" t="s">
        <v>470</v>
      </c>
      <c r="H7278" s="185"/>
    </row>
    <row r="7279">
      <c r="D7279" s="185"/>
      <c r="E7279" s="185" t="s">
        <v>470</v>
      </c>
      <c r="H7279" s="185"/>
    </row>
    <row r="7280">
      <c r="D7280" s="185"/>
      <c r="E7280" s="185" t="s">
        <v>470</v>
      </c>
      <c r="H7280" s="185"/>
    </row>
    <row r="7281">
      <c r="D7281" s="185"/>
      <c r="E7281" s="185" t="s">
        <v>470</v>
      </c>
      <c r="H7281" s="185"/>
    </row>
    <row r="7282">
      <c r="D7282" s="185"/>
      <c r="E7282" s="185" t="s">
        <v>470</v>
      </c>
      <c r="H7282" s="185"/>
    </row>
    <row r="7283">
      <c r="D7283" s="185"/>
      <c r="E7283" s="185" t="s">
        <v>470</v>
      </c>
      <c r="H7283" s="185"/>
    </row>
    <row r="7284">
      <c r="D7284" s="185"/>
      <c r="E7284" s="185" t="s">
        <v>470</v>
      </c>
      <c r="H7284" s="185"/>
    </row>
    <row r="7285">
      <c r="D7285" s="185"/>
      <c r="E7285" s="185" t="s">
        <v>470</v>
      </c>
      <c r="H7285" s="185"/>
    </row>
    <row r="7286">
      <c r="D7286" s="185"/>
      <c r="E7286" s="185" t="s">
        <v>470</v>
      </c>
      <c r="H7286" s="185"/>
    </row>
    <row r="7287">
      <c r="D7287" s="185"/>
      <c r="E7287" s="185" t="s">
        <v>470</v>
      </c>
      <c r="H7287" s="185"/>
    </row>
    <row r="7288">
      <c r="D7288" s="185"/>
      <c r="E7288" s="185" t="s">
        <v>470</v>
      </c>
      <c r="H7288" s="185"/>
    </row>
    <row r="7289">
      <c r="D7289" s="185"/>
      <c r="E7289" s="185" t="s">
        <v>470</v>
      </c>
      <c r="H7289" s="185"/>
    </row>
    <row r="7290">
      <c r="D7290" s="185"/>
      <c r="E7290" s="185" t="s">
        <v>470</v>
      </c>
      <c r="H7290" s="185"/>
    </row>
    <row r="7291">
      <c r="D7291" s="185"/>
      <c r="E7291" s="185" t="s">
        <v>470</v>
      </c>
      <c r="H7291" s="185"/>
    </row>
    <row r="7292">
      <c r="D7292" s="185"/>
      <c r="E7292" s="185" t="s">
        <v>470</v>
      </c>
      <c r="H7292" s="185"/>
    </row>
    <row r="7293">
      <c r="D7293" s="185"/>
      <c r="E7293" s="185" t="s">
        <v>470</v>
      </c>
      <c r="H7293" s="185"/>
    </row>
    <row r="7294">
      <c r="D7294" s="185"/>
      <c r="E7294" s="185" t="s">
        <v>470</v>
      </c>
      <c r="H7294" s="185"/>
    </row>
    <row r="7295">
      <c r="D7295" s="185"/>
      <c r="E7295" s="185" t="s">
        <v>470</v>
      </c>
      <c r="H7295" s="185"/>
    </row>
    <row r="7296">
      <c r="D7296" s="185"/>
      <c r="E7296" s="185" t="s">
        <v>470</v>
      </c>
      <c r="H7296" s="185"/>
    </row>
    <row r="7297">
      <c r="D7297" s="185"/>
      <c r="E7297" s="185" t="s">
        <v>470</v>
      </c>
      <c r="H7297" s="185"/>
    </row>
    <row r="7298">
      <c r="D7298" s="185"/>
      <c r="E7298" s="185" t="s">
        <v>470</v>
      </c>
      <c r="H7298" s="185"/>
    </row>
    <row r="7299">
      <c r="D7299" s="185"/>
      <c r="E7299" s="185" t="s">
        <v>470</v>
      </c>
      <c r="H7299" s="185"/>
    </row>
    <row r="7300">
      <c r="D7300" s="185"/>
      <c r="E7300" s="185" t="s">
        <v>470</v>
      </c>
      <c r="H7300" s="185"/>
    </row>
    <row r="7301">
      <c r="D7301" s="185"/>
      <c r="E7301" s="185" t="s">
        <v>470</v>
      </c>
      <c r="H7301" s="185"/>
    </row>
    <row r="7302">
      <c r="D7302" s="185"/>
      <c r="E7302" s="185" t="s">
        <v>470</v>
      </c>
      <c r="H7302" s="185"/>
    </row>
    <row r="7303">
      <c r="D7303" s="185"/>
      <c r="E7303" s="185" t="s">
        <v>470</v>
      </c>
      <c r="H7303" s="185"/>
    </row>
    <row r="7304">
      <c r="D7304" s="185"/>
      <c r="E7304" s="185" t="s">
        <v>470</v>
      </c>
      <c r="H7304" s="185"/>
    </row>
    <row r="7305">
      <c r="D7305" s="185"/>
      <c r="E7305" s="185" t="s">
        <v>470</v>
      </c>
      <c r="H7305" s="185"/>
    </row>
    <row r="7306">
      <c r="D7306" s="185"/>
      <c r="E7306" s="185" t="s">
        <v>470</v>
      </c>
      <c r="H7306" s="185"/>
    </row>
    <row r="7307">
      <c r="D7307" s="185"/>
      <c r="E7307" s="185" t="s">
        <v>470</v>
      </c>
      <c r="H7307" s="185"/>
    </row>
    <row r="7308">
      <c r="D7308" s="185"/>
      <c r="E7308" s="185" t="s">
        <v>470</v>
      </c>
      <c r="H7308" s="185"/>
    </row>
    <row r="7309">
      <c r="D7309" s="185"/>
      <c r="E7309" s="185" t="s">
        <v>470</v>
      </c>
      <c r="H7309" s="185"/>
    </row>
    <row r="7310">
      <c r="D7310" s="185"/>
      <c r="E7310" s="185" t="s">
        <v>470</v>
      </c>
      <c r="H7310" s="185"/>
    </row>
    <row r="7311">
      <c r="D7311" s="185"/>
      <c r="E7311" s="185" t="s">
        <v>470</v>
      </c>
      <c r="H7311" s="185"/>
    </row>
    <row r="7312">
      <c r="D7312" s="185"/>
      <c r="E7312" s="185" t="s">
        <v>470</v>
      </c>
      <c r="H7312" s="185"/>
    </row>
    <row r="7313">
      <c r="D7313" s="185"/>
      <c r="E7313" s="185" t="s">
        <v>470</v>
      </c>
      <c r="H7313" s="185"/>
    </row>
    <row r="7314">
      <c r="D7314" s="185"/>
      <c r="E7314" s="185" t="s">
        <v>470</v>
      </c>
      <c r="H7314" s="185"/>
    </row>
    <row r="7315">
      <c r="D7315" s="185"/>
      <c r="E7315" s="185" t="s">
        <v>470</v>
      </c>
      <c r="H7315" s="185"/>
    </row>
    <row r="7316">
      <c r="D7316" s="185"/>
      <c r="E7316" s="185" t="s">
        <v>470</v>
      </c>
      <c r="H7316" s="185"/>
    </row>
    <row r="7317">
      <c r="D7317" s="185"/>
      <c r="E7317" s="185" t="s">
        <v>470</v>
      </c>
      <c r="H7317" s="185"/>
    </row>
    <row r="7318">
      <c r="D7318" s="185"/>
      <c r="E7318" s="185" t="s">
        <v>470</v>
      </c>
      <c r="H7318" s="185"/>
    </row>
    <row r="7319">
      <c r="D7319" s="185"/>
      <c r="E7319" s="185" t="s">
        <v>470</v>
      </c>
      <c r="H7319" s="185"/>
    </row>
    <row r="7320">
      <c r="D7320" s="185"/>
      <c r="E7320" s="185" t="s">
        <v>470</v>
      </c>
      <c r="H7320" s="185"/>
    </row>
    <row r="7321">
      <c r="D7321" s="185"/>
      <c r="E7321" s="185" t="s">
        <v>470</v>
      </c>
      <c r="H7321" s="185"/>
    </row>
    <row r="7322">
      <c r="D7322" s="185"/>
      <c r="E7322" s="185" t="s">
        <v>470</v>
      </c>
      <c r="H7322" s="185"/>
    </row>
    <row r="7323">
      <c r="D7323" s="185"/>
      <c r="E7323" s="185" t="s">
        <v>470</v>
      </c>
      <c r="H7323" s="185"/>
    </row>
    <row r="7324">
      <c r="D7324" s="185"/>
      <c r="E7324" s="185" t="s">
        <v>470</v>
      </c>
      <c r="H7324" s="185"/>
    </row>
    <row r="7325">
      <c r="D7325" s="185"/>
      <c r="E7325" s="185" t="s">
        <v>470</v>
      </c>
      <c r="H7325" s="185"/>
    </row>
    <row r="7326">
      <c r="D7326" s="185"/>
      <c r="E7326" s="185" t="s">
        <v>470</v>
      </c>
      <c r="H7326" s="185"/>
    </row>
    <row r="7327">
      <c r="D7327" s="185"/>
      <c r="E7327" s="185" t="s">
        <v>470</v>
      </c>
      <c r="H7327" s="185"/>
    </row>
    <row r="7328">
      <c r="D7328" s="185"/>
      <c r="E7328" s="185" t="s">
        <v>470</v>
      </c>
      <c r="H7328" s="185"/>
    </row>
    <row r="7329">
      <c r="D7329" s="185"/>
      <c r="E7329" s="185" t="s">
        <v>470</v>
      </c>
      <c r="H7329" s="185"/>
    </row>
    <row r="7330">
      <c r="D7330" s="185"/>
      <c r="E7330" s="185" t="s">
        <v>470</v>
      </c>
      <c r="H7330" s="185"/>
    </row>
    <row r="7331">
      <c r="D7331" s="185"/>
      <c r="E7331" s="185" t="s">
        <v>470</v>
      </c>
      <c r="H7331" s="185"/>
    </row>
    <row r="7332">
      <c r="D7332" s="185"/>
      <c r="E7332" s="185" t="s">
        <v>470</v>
      </c>
      <c r="H7332" s="185"/>
    </row>
    <row r="7333">
      <c r="D7333" s="185"/>
      <c r="E7333" s="185" t="s">
        <v>470</v>
      </c>
      <c r="H7333" s="185"/>
    </row>
    <row r="7334">
      <c r="D7334" s="185"/>
      <c r="E7334" s="185" t="s">
        <v>470</v>
      </c>
      <c r="H7334" s="185"/>
    </row>
    <row r="7335">
      <c r="D7335" s="185"/>
      <c r="E7335" s="185" t="s">
        <v>470</v>
      </c>
      <c r="H7335" s="185"/>
    </row>
    <row r="7336">
      <c r="D7336" s="185"/>
      <c r="E7336" s="185" t="s">
        <v>470</v>
      </c>
      <c r="H7336" s="185"/>
    </row>
    <row r="7337">
      <c r="D7337" s="185"/>
      <c r="E7337" s="185" t="s">
        <v>470</v>
      </c>
      <c r="H7337" s="185"/>
    </row>
    <row r="7338">
      <c r="D7338" s="185"/>
      <c r="E7338" s="185" t="s">
        <v>470</v>
      </c>
      <c r="H7338" s="185"/>
    </row>
    <row r="7339">
      <c r="D7339" s="185"/>
      <c r="E7339" s="185" t="s">
        <v>470</v>
      </c>
      <c r="H7339" s="185"/>
    </row>
    <row r="7340">
      <c r="D7340" s="185"/>
      <c r="E7340" s="185" t="s">
        <v>470</v>
      </c>
      <c r="H7340" s="185"/>
    </row>
    <row r="7341">
      <c r="D7341" s="185"/>
      <c r="E7341" s="185" t="s">
        <v>470</v>
      </c>
      <c r="H7341" s="185"/>
    </row>
    <row r="7342">
      <c r="D7342" s="185"/>
      <c r="E7342" s="185" t="s">
        <v>470</v>
      </c>
      <c r="H7342" s="185"/>
    </row>
    <row r="7343">
      <c r="D7343" s="185"/>
      <c r="E7343" s="185" t="s">
        <v>470</v>
      </c>
      <c r="H7343" s="185"/>
    </row>
    <row r="7344">
      <c r="D7344" s="185"/>
      <c r="E7344" s="185" t="s">
        <v>470</v>
      </c>
      <c r="H7344" s="185"/>
    </row>
    <row r="7345">
      <c r="D7345" s="185"/>
      <c r="E7345" s="185" t="s">
        <v>470</v>
      </c>
      <c r="H7345" s="185"/>
    </row>
    <row r="7346">
      <c r="D7346" s="185"/>
      <c r="E7346" s="185" t="s">
        <v>470</v>
      </c>
      <c r="H7346" s="185"/>
    </row>
    <row r="7347">
      <c r="D7347" s="185"/>
      <c r="E7347" s="185" t="s">
        <v>470</v>
      </c>
      <c r="H7347" s="185"/>
    </row>
    <row r="7348">
      <c r="D7348" s="185"/>
      <c r="E7348" s="185" t="s">
        <v>470</v>
      </c>
      <c r="H7348" s="185"/>
    </row>
    <row r="7349">
      <c r="D7349" s="185"/>
      <c r="E7349" s="185" t="s">
        <v>470</v>
      </c>
      <c r="H7349" s="185"/>
    </row>
    <row r="7350">
      <c r="D7350" s="185"/>
      <c r="E7350" s="185" t="s">
        <v>470</v>
      </c>
      <c r="H7350" s="185"/>
    </row>
    <row r="7351">
      <c r="D7351" s="185"/>
      <c r="E7351" s="185" t="s">
        <v>470</v>
      </c>
      <c r="H7351" s="185"/>
    </row>
    <row r="7352">
      <c r="D7352" s="185"/>
      <c r="E7352" s="185" t="s">
        <v>470</v>
      </c>
      <c r="H7352" s="185"/>
    </row>
    <row r="7353">
      <c r="D7353" s="185"/>
      <c r="E7353" s="185" t="s">
        <v>470</v>
      </c>
      <c r="H7353" s="185"/>
    </row>
    <row r="7354">
      <c r="D7354" s="185"/>
      <c r="E7354" s="185" t="s">
        <v>470</v>
      </c>
      <c r="H7354" s="185"/>
    </row>
    <row r="7355">
      <c r="D7355" s="185"/>
      <c r="E7355" s="185" t="s">
        <v>470</v>
      </c>
      <c r="H7355" s="185"/>
    </row>
    <row r="7356">
      <c r="D7356" s="185"/>
      <c r="E7356" s="185" t="s">
        <v>470</v>
      </c>
      <c r="H7356" s="185"/>
    </row>
    <row r="7357">
      <c r="D7357" s="185"/>
      <c r="E7357" s="185" t="s">
        <v>470</v>
      </c>
      <c r="H7357" s="185"/>
    </row>
    <row r="7358">
      <c r="D7358" s="185"/>
      <c r="E7358" s="185" t="s">
        <v>470</v>
      </c>
      <c r="H7358" s="185"/>
    </row>
    <row r="7359">
      <c r="D7359" s="185"/>
      <c r="E7359" s="185" t="s">
        <v>470</v>
      </c>
      <c r="H7359" s="185"/>
    </row>
    <row r="7360">
      <c r="D7360" s="185"/>
      <c r="E7360" s="185" t="s">
        <v>470</v>
      </c>
      <c r="H7360" s="185"/>
    </row>
    <row r="7361">
      <c r="D7361" s="185"/>
      <c r="E7361" s="185" t="s">
        <v>470</v>
      </c>
      <c r="H7361" s="185"/>
    </row>
    <row r="7362">
      <c r="D7362" s="185"/>
      <c r="E7362" s="185" t="s">
        <v>470</v>
      </c>
      <c r="H7362" s="185"/>
    </row>
    <row r="7363">
      <c r="D7363" s="185"/>
      <c r="E7363" s="185" t="s">
        <v>470</v>
      </c>
      <c r="H7363" s="185"/>
    </row>
    <row r="7364">
      <c r="D7364" s="185"/>
      <c r="E7364" s="185" t="s">
        <v>470</v>
      </c>
      <c r="H7364" s="185"/>
    </row>
    <row r="7365">
      <c r="D7365" s="185"/>
      <c r="E7365" s="185" t="s">
        <v>470</v>
      </c>
      <c r="H7365" s="185"/>
    </row>
    <row r="7366">
      <c r="D7366" s="185"/>
      <c r="E7366" s="185" t="s">
        <v>470</v>
      </c>
      <c r="H7366" s="185"/>
    </row>
    <row r="7367">
      <c r="D7367" s="185"/>
      <c r="E7367" s="185" t="s">
        <v>470</v>
      </c>
      <c r="H7367" s="185"/>
    </row>
    <row r="7368">
      <c r="D7368" s="185"/>
      <c r="E7368" s="185" t="s">
        <v>470</v>
      </c>
      <c r="H7368" s="185"/>
    </row>
    <row r="7369">
      <c r="D7369" s="185"/>
      <c r="E7369" s="185" t="s">
        <v>470</v>
      </c>
      <c r="H7369" s="185"/>
    </row>
    <row r="7370">
      <c r="D7370" s="185"/>
      <c r="E7370" s="185" t="s">
        <v>470</v>
      </c>
      <c r="H7370" s="185"/>
    </row>
    <row r="7371">
      <c r="D7371" s="185"/>
      <c r="E7371" s="185" t="s">
        <v>470</v>
      </c>
      <c r="H7371" s="185"/>
    </row>
    <row r="7372">
      <c r="D7372" s="185"/>
      <c r="E7372" s="185" t="s">
        <v>470</v>
      </c>
      <c r="H7372" s="185"/>
    </row>
    <row r="7373">
      <c r="D7373" s="185"/>
      <c r="E7373" s="185" t="s">
        <v>470</v>
      </c>
      <c r="H7373" s="185"/>
    </row>
    <row r="7374">
      <c r="D7374" s="185"/>
      <c r="E7374" s="185" t="s">
        <v>470</v>
      </c>
      <c r="H7374" s="185"/>
    </row>
    <row r="7375">
      <c r="D7375" s="185"/>
      <c r="E7375" s="185" t="s">
        <v>470</v>
      </c>
      <c r="H7375" s="185"/>
    </row>
    <row r="7376">
      <c r="D7376" s="185"/>
      <c r="E7376" s="185" t="s">
        <v>470</v>
      </c>
      <c r="H7376" s="185"/>
    </row>
    <row r="7377">
      <c r="D7377" s="185"/>
      <c r="E7377" s="185" t="s">
        <v>470</v>
      </c>
      <c r="H7377" s="185"/>
    </row>
    <row r="7378">
      <c r="D7378" s="185"/>
      <c r="E7378" s="185" t="s">
        <v>470</v>
      </c>
      <c r="H7378" s="185"/>
    </row>
    <row r="7379">
      <c r="D7379" s="185"/>
      <c r="E7379" s="185" t="s">
        <v>470</v>
      </c>
      <c r="H7379" s="185"/>
    </row>
    <row r="7380">
      <c r="D7380" s="185"/>
      <c r="E7380" s="185" t="s">
        <v>470</v>
      </c>
      <c r="H7380" s="185"/>
    </row>
    <row r="7381">
      <c r="D7381" s="185"/>
      <c r="E7381" s="185" t="s">
        <v>470</v>
      </c>
      <c r="H7381" s="185"/>
    </row>
    <row r="7382">
      <c r="D7382" s="185"/>
      <c r="E7382" s="185" t="s">
        <v>470</v>
      </c>
      <c r="H7382" s="185"/>
    </row>
    <row r="7383">
      <c r="D7383" s="185"/>
      <c r="E7383" s="185" t="s">
        <v>470</v>
      </c>
      <c r="H7383" s="185"/>
    </row>
    <row r="7384">
      <c r="D7384" s="185"/>
      <c r="E7384" s="185" t="s">
        <v>470</v>
      </c>
      <c r="H7384" s="185"/>
    </row>
    <row r="7385">
      <c r="D7385" s="185"/>
      <c r="E7385" s="185" t="s">
        <v>470</v>
      </c>
      <c r="H7385" s="185"/>
    </row>
    <row r="7386">
      <c r="D7386" s="185"/>
      <c r="E7386" s="185" t="s">
        <v>470</v>
      </c>
      <c r="H7386" s="185"/>
    </row>
    <row r="7387">
      <c r="D7387" s="185"/>
      <c r="E7387" s="185" t="s">
        <v>470</v>
      </c>
      <c r="H7387" s="185"/>
    </row>
    <row r="7388">
      <c r="D7388" s="185"/>
      <c r="E7388" s="185" t="s">
        <v>470</v>
      </c>
      <c r="H7388" s="185"/>
    </row>
    <row r="7389">
      <c r="D7389" s="185"/>
      <c r="E7389" s="185" t="s">
        <v>470</v>
      </c>
      <c r="H7389" s="185"/>
    </row>
    <row r="7390">
      <c r="D7390" s="185"/>
      <c r="E7390" s="185" t="s">
        <v>470</v>
      </c>
      <c r="H7390" s="185"/>
    </row>
    <row r="7391">
      <c r="D7391" s="185"/>
      <c r="E7391" s="185" t="s">
        <v>470</v>
      </c>
      <c r="H7391" s="185"/>
    </row>
    <row r="7392">
      <c r="D7392" s="185"/>
      <c r="E7392" s="185" t="s">
        <v>470</v>
      </c>
      <c r="H7392" s="185"/>
    </row>
    <row r="7393">
      <c r="D7393" s="185"/>
      <c r="E7393" s="185" t="s">
        <v>470</v>
      </c>
      <c r="H7393" s="185"/>
    </row>
    <row r="7394">
      <c r="D7394" s="185"/>
      <c r="E7394" s="185" t="s">
        <v>470</v>
      </c>
      <c r="H7394" s="185"/>
    </row>
    <row r="7395">
      <c r="D7395" s="185"/>
      <c r="E7395" s="185" t="s">
        <v>470</v>
      </c>
      <c r="H7395" s="185"/>
    </row>
    <row r="7396">
      <c r="D7396" s="185"/>
      <c r="E7396" s="185" t="s">
        <v>470</v>
      </c>
      <c r="H7396" s="185"/>
    </row>
    <row r="7397">
      <c r="D7397" s="185"/>
      <c r="E7397" s="185" t="s">
        <v>470</v>
      </c>
      <c r="H7397" s="185"/>
    </row>
    <row r="7398">
      <c r="D7398" s="185"/>
      <c r="E7398" s="185" t="s">
        <v>470</v>
      </c>
      <c r="H7398" s="185"/>
    </row>
    <row r="7399">
      <c r="D7399" s="185"/>
      <c r="E7399" s="185" t="s">
        <v>470</v>
      </c>
      <c r="H7399" s="185"/>
    </row>
    <row r="7400">
      <c r="D7400" s="185"/>
      <c r="E7400" s="185" t="s">
        <v>470</v>
      </c>
      <c r="H7400" s="185"/>
    </row>
    <row r="7401">
      <c r="D7401" s="185"/>
      <c r="E7401" s="185" t="s">
        <v>470</v>
      </c>
      <c r="H7401" s="185"/>
    </row>
    <row r="7402">
      <c r="D7402" s="185"/>
      <c r="E7402" s="185" t="s">
        <v>470</v>
      </c>
      <c r="H7402" s="185"/>
    </row>
    <row r="7403">
      <c r="D7403" s="185"/>
      <c r="E7403" s="185" t="s">
        <v>470</v>
      </c>
      <c r="H7403" s="185"/>
    </row>
    <row r="7404">
      <c r="D7404" s="185"/>
      <c r="E7404" s="185" t="s">
        <v>470</v>
      </c>
      <c r="H7404" s="185"/>
    </row>
    <row r="7405">
      <c r="D7405" s="185"/>
      <c r="E7405" s="185" t="s">
        <v>470</v>
      </c>
      <c r="H7405" s="185"/>
    </row>
    <row r="7406">
      <c r="D7406" s="185"/>
      <c r="E7406" s="185" t="s">
        <v>470</v>
      </c>
      <c r="H7406" s="185"/>
    </row>
    <row r="7407">
      <c r="D7407" s="185"/>
      <c r="E7407" s="185" t="s">
        <v>470</v>
      </c>
      <c r="H7407" s="185"/>
    </row>
    <row r="7408">
      <c r="D7408" s="185"/>
      <c r="E7408" s="185" t="s">
        <v>470</v>
      </c>
      <c r="H7408" s="185"/>
    </row>
    <row r="7409">
      <c r="D7409" s="185"/>
      <c r="E7409" s="185" t="s">
        <v>470</v>
      </c>
      <c r="H7409" s="185"/>
    </row>
    <row r="7410">
      <c r="D7410" s="185"/>
      <c r="E7410" s="185" t="s">
        <v>470</v>
      </c>
      <c r="H7410" s="185"/>
    </row>
    <row r="7411">
      <c r="D7411" s="185"/>
      <c r="E7411" s="185" t="s">
        <v>470</v>
      </c>
      <c r="H7411" s="185"/>
    </row>
    <row r="7412">
      <c r="D7412" s="185"/>
      <c r="E7412" s="185" t="s">
        <v>470</v>
      </c>
      <c r="H7412" s="185"/>
    </row>
    <row r="7413">
      <c r="D7413" s="185"/>
      <c r="E7413" s="185" t="s">
        <v>470</v>
      </c>
      <c r="H7413" s="185"/>
    </row>
    <row r="7414">
      <c r="D7414" s="185"/>
      <c r="E7414" s="185" t="s">
        <v>470</v>
      </c>
      <c r="H7414" s="185"/>
    </row>
    <row r="7415">
      <c r="D7415" s="185"/>
      <c r="E7415" s="185" t="s">
        <v>470</v>
      </c>
      <c r="H7415" s="185"/>
    </row>
    <row r="7416">
      <c r="D7416" s="185"/>
      <c r="E7416" s="185" t="s">
        <v>470</v>
      </c>
      <c r="H7416" s="185"/>
    </row>
    <row r="7417">
      <c r="D7417" s="185"/>
      <c r="E7417" s="185" t="s">
        <v>470</v>
      </c>
      <c r="H7417" s="185"/>
    </row>
    <row r="7418">
      <c r="D7418" s="185"/>
      <c r="E7418" s="185" t="s">
        <v>470</v>
      </c>
      <c r="H7418" s="185"/>
    </row>
    <row r="7419">
      <c r="D7419" s="185"/>
      <c r="E7419" s="185" t="s">
        <v>470</v>
      </c>
      <c r="H7419" s="185"/>
    </row>
    <row r="7420">
      <c r="D7420" s="185"/>
      <c r="E7420" s="185" t="s">
        <v>470</v>
      </c>
      <c r="H7420" s="185"/>
    </row>
    <row r="7421">
      <c r="D7421" s="185"/>
      <c r="E7421" s="185" t="s">
        <v>470</v>
      </c>
      <c r="H7421" s="185"/>
    </row>
    <row r="7422">
      <c r="D7422" s="185"/>
      <c r="E7422" s="185" t="s">
        <v>470</v>
      </c>
      <c r="H7422" s="185"/>
    </row>
    <row r="7423">
      <c r="D7423" s="185"/>
      <c r="E7423" s="185" t="s">
        <v>470</v>
      </c>
      <c r="H7423" s="185"/>
    </row>
    <row r="7424">
      <c r="D7424" s="185"/>
      <c r="E7424" s="185" t="s">
        <v>470</v>
      </c>
      <c r="H7424" s="185"/>
    </row>
    <row r="7425">
      <c r="D7425" s="185"/>
      <c r="E7425" s="185" t="s">
        <v>470</v>
      </c>
      <c r="H7425" s="185"/>
    </row>
    <row r="7426">
      <c r="D7426" s="185"/>
      <c r="E7426" s="185" t="s">
        <v>470</v>
      </c>
      <c r="H7426" s="185"/>
    </row>
    <row r="7427">
      <c r="D7427" s="185"/>
      <c r="E7427" s="185" t="s">
        <v>470</v>
      </c>
      <c r="H7427" s="185"/>
    </row>
    <row r="7428">
      <c r="D7428" s="185"/>
      <c r="E7428" s="185" t="s">
        <v>470</v>
      </c>
      <c r="H7428" s="185"/>
    </row>
    <row r="7429">
      <c r="D7429" s="185"/>
      <c r="E7429" s="185" t="s">
        <v>470</v>
      </c>
      <c r="H7429" s="185"/>
    </row>
    <row r="7430">
      <c r="D7430" s="185"/>
      <c r="E7430" s="185" t="s">
        <v>470</v>
      </c>
      <c r="H7430" s="185"/>
    </row>
    <row r="7431">
      <c r="D7431" s="185"/>
      <c r="E7431" s="185" t="s">
        <v>470</v>
      </c>
      <c r="H7431" s="185"/>
    </row>
    <row r="7432">
      <c r="D7432" s="185"/>
      <c r="E7432" s="185" t="s">
        <v>470</v>
      </c>
      <c r="H7432" s="185"/>
    </row>
    <row r="7433">
      <c r="D7433" s="185"/>
      <c r="E7433" s="185" t="s">
        <v>470</v>
      </c>
      <c r="H7433" s="185"/>
    </row>
    <row r="7434">
      <c r="D7434" s="185"/>
      <c r="E7434" s="185" t="s">
        <v>470</v>
      </c>
      <c r="H7434" s="185"/>
    </row>
    <row r="7435">
      <c r="D7435" s="185"/>
      <c r="E7435" s="185" t="s">
        <v>470</v>
      </c>
      <c r="H7435" s="185"/>
    </row>
    <row r="7436">
      <c r="D7436" s="185"/>
      <c r="E7436" s="185" t="s">
        <v>470</v>
      </c>
      <c r="H7436" s="185"/>
    </row>
    <row r="7437">
      <c r="D7437" s="185"/>
      <c r="E7437" s="185" t="s">
        <v>470</v>
      </c>
      <c r="H7437" s="185"/>
    </row>
    <row r="7438">
      <c r="D7438" s="185"/>
      <c r="E7438" s="185" t="s">
        <v>470</v>
      </c>
      <c r="H7438" s="185"/>
    </row>
    <row r="7439">
      <c r="D7439" s="185"/>
      <c r="E7439" s="185" t="s">
        <v>470</v>
      </c>
      <c r="H7439" s="185"/>
    </row>
    <row r="7440">
      <c r="D7440" s="185"/>
      <c r="E7440" s="185" t="s">
        <v>470</v>
      </c>
      <c r="H7440" s="185"/>
    </row>
    <row r="7441">
      <c r="D7441" s="185"/>
      <c r="E7441" s="185" t="s">
        <v>470</v>
      </c>
      <c r="H7441" s="185"/>
    </row>
    <row r="7442">
      <c r="D7442" s="185"/>
      <c r="E7442" s="185" t="s">
        <v>470</v>
      </c>
      <c r="H7442" s="185"/>
    </row>
    <row r="7443">
      <c r="D7443" s="185"/>
      <c r="E7443" s="185" t="s">
        <v>470</v>
      </c>
      <c r="H7443" s="185"/>
    </row>
    <row r="7444">
      <c r="D7444" s="185"/>
      <c r="E7444" s="185" t="s">
        <v>470</v>
      </c>
      <c r="H7444" s="185"/>
    </row>
    <row r="7445">
      <c r="D7445" s="185"/>
      <c r="E7445" s="185" t="s">
        <v>470</v>
      </c>
      <c r="H7445" s="185"/>
    </row>
    <row r="7446">
      <c r="D7446" s="185"/>
      <c r="E7446" s="185" t="s">
        <v>470</v>
      </c>
      <c r="H7446" s="185"/>
    </row>
    <row r="7447">
      <c r="D7447" s="185"/>
      <c r="E7447" s="185" t="s">
        <v>470</v>
      </c>
      <c r="H7447" s="185"/>
    </row>
    <row r="7448">
      <c r="D7448" s="185"/>
      <c r="E7448" s="185" t="s">
        <v>470</v>
      </c>
      <c r="H7448" s="185"/>
    </row>
    <row r="7449">
      <c r="D7449" s="185"/>
      <c r="E7449" s="185" t="s">
        <v>470</v>
      </c>
      <c r="H7449" s="185"/>
    </row>
    <row r="7450">
      <c r="D7450" s="185"/>
      <c r="E7450" s="185" t="s">
        <v>470</v>
      </c>
      <c r="H7450" s="185"/>
    </row>
    <row r="7451">
      <c r="D7451" s="185"/>
      <c r="E7451" s="185" t="s">
        <v>470</v>
      </c>
      <c r="H7451" s="185"/>
    </row>
    <row r="7452">
      <c r="D7452" s="185"/>
      <c r="E7452" s="185" t="s">
        <v>470</v>
      </c>
      <c r="H7452" s="185"/>
    </row>
    <row r="7453">
      <c r="D7453" s="185"/>
      <c r="E7453" s="185" t="s">
        <v>470</v>
      </c>
      <c r="H7453" s="185"/>
    </row>
    <row r="7454">
      <c r="D7454" s="185"/>
      <c r="E7454" s="185" t="s">
        <v>470</v>
      </c>
      <c r="H7454" s="185"/>
    </row>
    <row r="7455">
      <c r="D7455" s="185"/>
      <c r="E7455" s="185" t="s">
        <v>470</v>
      </c>
      <c r="H7455" s="185"/>
    </row>
    <row r="7456">
      <c r="D7456" s="185"/>
      <c r="E7456" s="185" t="s">
        <v>470</v>
      </c>
      <c r="H7456" s="185"/>
    </row>
    <row r="7457">
      <c r="D7457" s="185"/>
      <c r="E7457" s="185" t="s">
        <v>470</v>
      </c>
      <c r="H7457" s="185"/>
    </row>
    <row r="7458">
      <c r="D7458" s="185"/>
      <c r="E7458" s="185" t="s">
        <v>470</v>
      </c>
      <c r="H7458" s="185"/>
    </row>
    <row r="7459">
      <c r="D7459" s="185"/>
      <c r="E7459" s="185" t="s">
        <v>470</v>
      </c>
      <c r="H7459" s="185"/>
    </row>
    <row r="7460">
      <c r="D7460" s="185"/>
      <c r="E7460" s="185" t="s">
        <v>470</v>
      </c>
      <c r="H7460" s="185"/>
    </row>
    <row r="7461">
      <c r="D7461" s="185"/>
      <c r="E7461" s="185" t="s">
        <v>470</v>
      </c>
      <c r="H7461" s="185"/>
    </row>
    <row r="7462">
      <c r="D7462" s="185"/>
      <c r="E7462" s="185" t="s">
        <v>470</v>
      </c>
      <c r="H7462" s="185"/>
    </row>
    <row r="7463">
      <c r="D7463" s="185"/>
      <c r="E7463" s="185" t="s">
        <v>470</v>
      </c>
      <c r="H7463" s="185"/>
    </row>
    <row r="7464">
      <c r="D7464" s="185"/>
      <c r="E7464" s="185" t="s">
        <v>470</v>
      </c>
      <c r="H7464" s="185"/>
    </row>
    <row r="7465">
      <c r="D7465" s="185"/>
      <c r="E7465" s="185" t="s">
        <v>470</v>
      </c>
      <c r="H7465" s="185"/>
    </row>
    <row r="7466">
      <c r="D7466" s="185"/>
      <c r="E7466" s="185" t="s">
        <v>470</v>
      </c>
      <c r="H7466" s="185"/>
    </row>
    <row r="7467">
      <c r="D7467" s="185"/>
      <c r="E7467" s="185" t="s">
        <v>470</v>
      </c>
      <c r="H7467" s="185"/>
    </row>
    <row r="7468">
      <c r="D7468" s="185"/>
      <c r="E7468" s="185" t="s">
        <v>470</v>
      </c>
      <c r="H7468" s="185"/>
    </row>
    <row r="7469">
      <c r="D7469" s="185"/>
      <c r="E7469" s="185" t="s">
        <v>470</v>
      </c>
      <c r="H7469" s="185"/>
    </row>
    <row r="7470">
      <c r="D7470" s="185"/>
      <c r="E7470" s="185" t="s">
        <v>470</v>
      </c>
      <c r="H7470" s="185"/>
    </row>
    <row r="7471">
      <c r="D7471" s="185"/>
      <c r="E7471" s="185" t="s">
        <v>470</v>
      </c>
      <c r="H7471" s="185"/>
    </row>
    <row r="7472">
      <c r="D7472" s="185"/>
      <c r="E7472" s="185" t="s">
        <v>470</v>
      </c>
      <c r="H7472" s="185"/>
    </row>
    <row r="7473">
      <c r="D7473" s="185"/>
      <c r="E7473" s="185" t="s">
        <v>470</v>
      </c>
      <c r="H7473" s="185"/>
    </row>
    <row r="7474">
      <c r="D7474" s="185"/>
      <c r="E7474" s="185" t="s">
        <v>470</v>
      </c>
      <c r="H7474" s="185"/>
    </row>
    <row r="7475">
      <c r="D7475" s="185"/>
      <c r="E7475" s="185" t="s">
        <v>470</v>
      </c>
      <c r="H7475" s="185"/>
    </row>
    <row r="7476">
      <c r="D7476" s="185"/>
      <c r="E7476" s="185" t="s">
        <v>470</v>
      </c>
      <c r="H7476" s="185"/>
    </row>
    <row r="7477">
      <c r="D7477" s="185"/>
      <c r="E7477" s="185" t="s">
        <v>470</v>
      </c>
      <c r="H7477" s="185"/>
    </row>
    <row r="7478">
      <c r="D7478" s="185"/>
      <c r="E7478" s="185" t="s">
        <v>470</v>
      </c>
      <c r="H7478" s="185"/>
    </row>
    <row r="7479">
      <c r="D7479" s="185"/>
      <c r="E7479" s="185" t="s">
        <v>470</v>
      </c>
      <c r="H7479" s="185"/>
    </row>
    <row r="7480">
      <c r="D7480" s="185"/>
      <c r="E7480" s="185" t="s">
        <v>470</v>
      </c>
      <c r="H7480" s="185"/>
    </row>
    <row r="7481">
      <c r="D7481" s="185"/>
      <c r="E7481" s="185" t="s">
        <v>470</v>
      </c>
      <c r="H7481" s="185"/>
    </row>
    <row r="7482">
      <c r="D7482" s="185"/>
      <c r="E7482" s="185" t="s">
        <v>470</v>
      </c>
      <c r="H7482" s="185"/>
    </row>
    <row r="7483">
      <c r="D7483" s="185"/>
      <c r="E7483" s="185" t="s">
        <v>470</v>
      </c>
      <c r="H7483" s="185"/>
    </row>
    <row r="7484">
      <c r="D7484" s="185"/>
      <c r="E7484" s="185" t="s">
        <v>470</v>
      </c>
      <c r="H7484" s="185"/>
    </row>
    <row r="7485">
      <c r="D7485" s="185"/>
      <c r="E7485" s="185" t="s">
        <v>470</v>
      </c>
      <c r="H7485" s="185"/>
    </row>
    <row r="7486">
      <c r="D7486" s="185"/>
      <c r="E7486" s="185" t="s">
        <v>470</v>
      </c>
      <c r="H7486" s="185"/>
    </row>
    <row r="7487">
      <c r="D7487" s="185"/>
      <c r="E7487" s="185" t="s">
        <v>470</v>
      </c>
      <c r="H7487" s="185"/>
    </row>
    <row r="7488">
      <c r="D7488" s="185"/>
      <c r="E7488" s="185" t="s">
        <v>470</v>
      </c>
      <c r="H7488" s="185"/>
    </row>
    <row r="7489">
      <c r="D7489" s="185"/>
      <c r="E7489" s="185" t="s">
        <v>470</v>
      </c>
      <c r="H7489" s="185"/>
    </row>
    <row r="7490">
      <c r="D7490" s="185"/>
      <c r="E7490" s="185" t="s">
        <v>470</v>
      </c>
      <c r="H7490" s="185"/>
    </row>
    <row r="7491">
      <c r="D7491" s="185"/>
      <c r="E7491" s="185" t="s">
        <v>470</v>
      </c>
      <c r="H7491" s="185"/>
    </row>
    <row r="7492">
      <c r="D7492" s="185"/>
      <c r="E7492" s="185" t="s">
        <v>470</v>
      </c>
      <c r="H7492" s="185"/>
    </row>
    <row r="7493">
      <c r="D7493" s="185"/>
      <c r="E7493" s="185" t="s">
        <v>470</v>
      </c>
      <c r="H7493" s="185"/>
    </row>
    <row r="7494">
      <c r="D7494" s="185"/>
      <c r="E7494" s="185" t="s">
        <v>470</v>
      </c>
      <c r="H7494" s="185"/>
    </row>
    <row r="7495">
      <c r="D7495" s="185"/>
      <c r="E7495" s="185" t="s">
        <v>470</v>
      </c>
      <c r="H7495" s="185"/>
    </row>
    <row r="7496">
      <c r="D7496" s="185"/>
      <c r="E7496" s="185" t="s">
        <v>470</v>
      </c>
      <c r="H7496" s="185"/>
    </row>
    <row r="7497">
      <c r="D7497" s="185"/>
      <c r="E7497" s="185" t="s">
        <v>470</v>
      </c>
      <c r="H7497" s="185"/>
    </row>
    <row r="7498">
      <c r="D7498" s="185"/>
      <c r="E7498" s="185" t="s">
        <v>470</v>
      </c>
      <c r="H7498" s="185"/>
    </row>
    <row r="7499">
      <c r="D7499" s="185"/>
      <c r="E7499" s="185" t="s">
        <v>470</v>
      </c>
      <c r="H7499" s="185"/>
    </row>
    <row r="7500">
      <c r="D7500" s="185"/>
      <c r="E7500" s="185" t="s">
        <v>470</v>
      </c>
      <c r="H7500" s="185"/>
    </row>
    <row r="7501">
      <c r="D7501" s="185"/>
      <c r="E7501" s="185" t="s">
        <v>470</v>
      </c>
      <c r="H7501" s="185"/>
    </row>
    <row r="7502">
      <c r="D7502" s="185"/>
      <c r="E7502" s="185" t="s">
        <v>470</v>
      </c>
      <c r="H7502" s="185"/>
    </row>
    <row r="7503">
      <c r="D7503" s="185"/>
      <c r="E7503" s="185" t="s">
        <v>470</v>
      </c>
      <c r="H7503" s="185"/>
    </row>
    <row r="7504">
      <c r="D7504" s="185"/>
      <c r="E7504" s="185" t="s">
        <v>470</v>
      </c>
      <c r="H7504" s="185"/>
    </row>
    <row r="7505">
      <c r="D7505" s="185"/>
      <c r="E7505" s="185" t="s">
        <v>470</v>
      </c>
      <c r="H7505" s="185"/>
    </row>
    <row r="7506">
      <c r="D7506" s="185"/>
      <c r="E7506" s="185" t="s">
        <v>470</v>
      </c>
      <c r="H7506" s="185"/>
    </row>
    <row r="7507">
      <c r="D7507" s="185"/>
      <c r="E7507" s="185" t="s">
        <v>470</v>
      </c>
      <c r="H7507" s="185"/>
    </row>
    <row r="7508">
      <c r="D7508" s="185"/>
      <c r="E7508" s="185" t="s">
        <v>470</v>
      </c>
      <c r="H7508" s="185"/>
    </row>
    <row r="7509">
      <c r="D7509" s="185"/>
      <c r="E7509" s="185" t="s">
        <v>470</v>
      </c>
      <c r="H7509" s="185"/>
    </row>
    <row r="7510">
      <c r="D7510" s="185"/>
      <c r="E7510" s="185" t="s">
        <v>470</v>
      </c>
      <c r="H7510" s="185"/>
    </row>
    <row r="7511">
      <c r="D7511" s="185"/>
      <c r="E7511" s="185" t="s">
        <v>470</v>
      </c>
      <c r="H7511" s="185"/>
    </row>
    <row r="7512">
      <c r="D7512" s="185"/>
      <c r="E7512" s="185" t="s">
        <v>470</v>
      </c>
      <c r="H7512" s="185"/>
    </row>
    <row r="7513">
      <c r="D7513" s="185"/>
      <c r="E7513" s="185" t="s">
        <v>470</v>
      </c>
      <c r="H7513" s="185"/>
    </row>
    <row r="7514">
      <c r="D7514" s="185"/>
      <c r="E7514" s="185" t="s">
        <v>470</v>
      </c>
      <c r="H7514" s="185"/>
    </row>
    <row r="7515">
      <c r="D7515" s="185"/>
      <c r="E7515" s="185" t="s">
        <v>470</v>
      </c>
      <c r="H7515" s="185"/>
    </row>
    <row r="7516">
      <c r="D7516" s="185"/>
      <c r="E7516" s="185" t="s">
        <v>470</v>
      </c>
      <c r="H7516" s="185"/>
    </row>
    <row r="7517">
      <c r="D7517" s="185"/>
      <c r="E7517" s="185" t="s">
        <v>470</v>
      </c>
      <c r="H7517" s="185"/>
    </row>
    <row r="7518">
      <c r="D7518" s="185"/>
      <c r="E7518" s="185" t="s">
        <v>470</v>
      </c>
      <c r="H7518" s="185"/>
    </row>
    <row r="7519">
      <c r="D7519" s="185"/>
      <c r="E7519" s="185" t="s">
        <v>470</v>
      </c>
      <c r="H7519" s="185"/>
    </row>
    <row r="7520">
      <c r="D7520" s="185"/>
      <c r="E7520" s="185" t="s">
        <v>470</v>
      </c>
      <c r="H7520" s="185"/>
    </row>
    <row r="7521">
      <c r="D7521" s="185"/>
      <c r="E7521" s="185" t="s">
        <v>470</v>
      </c>
      <c r="H7521" s="185"/>
    </row>
    <row r="7522">
      <c r="D7522" s="185"/>
      <c r="E7522" s="185" t="s">
        <v>470</v>
      </c>
      <c r="H7522" s="185"/>
    </row>
    <row r="7523">
      <c r="D7523" s="185"/>
      <c r="E7523" s="185" t="s">
        <v>470</v>
      </c>
      <c r="H7523" s="185"/>
    </row>
    <row r="7524">
      <c r="D7524" s="185"/>
      <c r="E7524" s="185" t="s">
        <v>470</v>
      </c>
      <c r="H7524" s="185"/>
    </row>
    <row r="7525">
      <c r="D7525" s="185"/>
      <c r="E7525" s="185" t="s">
        <v>470</v>
      </c>
      <c r="H7525" s="185"/>
    </row>
    <row r="7526">
      <c r="D7526" s="185"/>
      <c r="E7526" s="185" t="s">
        <v>470</v>
      </c>
      <c r="H7526" s="185"/>
    </row>
    <row r="7527">
      <c r="D7527" s="185"/>
      <c r="E7527" s="185" t="s">
        <v>470</v>
      </c>
      <c r="H7527" s="185"/>
    </row>
    <row r="7528">
      <c r="D7528" s="185"/>
      <c r="E7528" s="185" t="s">
        <v>470</v>
      </c>
      <c r="H7528" s="185"/>
    </row>
    <row r="7529">
      <c r="D7529" s="185"/>
      <c r="E7529" s="185" t="s">
        <v>470</v>
      </c>
      <c r="H7529" s="185"/>
    </row>
    <row r="7530">
      <c r="D7530" s="185"/>
      <c r="E7530" s="185" t="s">
        <v>470</v>
      </c>
      <c r="H7530" s="185"/>
    </row>
    <row r="7531">
      <c r="D7531" s="185"/>
      <c r="E7531" s="185" t="s">
        <v>470</v>
      </c>
      <c r="H7531" s="185"/>
    </row>
    <row r="7532">
      <c r="D7532" s="185"/>
      <c r="E7532" s="185" t="s">
        <v>470</v>
      </c>
      <c r="H7532" s="185"/>
    </row>
    <row r="7533">
      <c r="D7533" s="185"/>
      <c r="E7533" s="185" t="s">
        <v>470</v>
      </c>
      <c r="H7533" s="185"/>
    </row>
    <row r="7534">
      <c r="D7534" s="185"/>
      <c r="E7534" s="185" t="s">
        <v>470</v>
      </c>
      <c r="H7534" s="185"/>
    </row>
    <row r="7535">
      <c r="D7535" s="185"/>
      <c r="E7535" s="185" t="s">
        <v>470</v>
      </c>
      <c r="H7535" s="185"/>
    </row>
    <row r="7536">
      <c r="D7536" s="185"/>
      <c r="E7536" s="185" t="s">
        <v>470</v>
      </c>
      <c r="H7536" s="185"/>
    </row>
    <row r="7537">
      <c r="D7537" s="185"/>
      <c r="E7537" s="185" t="s">
        <v>470</v>
      </c>
      <c r="H7537" s="185"/>
    </row>
    <row r="7538">
      <c r="D7538" s="185"/>
      <c r="E7538" s="185" t="s">
        <v>470</v>
      </c>
      <c r="H7538" s="185"/>
    </row>
    <row r="7539">
      <c r="D7539" s="185"/>
      <c r="E7539" s="185" t="s">
        <v>470</v>
      </c>
      <c r="H7539" s="185"/>
    </row>
    <row r="7540">
      <c r="D7540" s="185"/>
      <c r="E7540" s="185" t="s">
        <v>470</v>
      </c>
      <c r="H7540" s="185"/>
    </row>
    <row r="7541">
      <c r="D7541" s="185"/>
      <c r="E7541" s="185" t="s">
        <v>470</v>
      </c>
      <c r="H7541" s="185"/>
    </row>
    <row r="7542">
      <c r="D7542" s="185"/>
      <c r="E7542" s="185" t="s">
        <v>470</v>
      </c>
      <c r="H7542" s="185"/>
    </row>
    <row r="7543">
      <c r="D7543" s="185"/>
      <c r="E7543" s="185" t="s">
        <v>470</v>
      </c>
      <c r="H7543" s="185"/>
    </row>
    <row r="7544">
      <c r="D7544" s="185"/>
      <c r="E7544" s="185" t="s">
        <v>470</v>
      </c>
      <c r="H7544" s="185"/>
    </row>
    <row r="7545">
      <c r="D7545" s="185"/>
      <c r="E7545" s="185" t="s">
        <v>470</v>
      </c>
      <c r="H7545" s="185"/>
    </row>
    <row r="7546">
      <c r="D7546" s="185"/>
      <c r="E7546" s="185" t="s">
        <v>470</v>
      </c>
      <c r="H7546" s="185"/>
    </row>
    <row r="7547">
      <c r="D7547" s="185"/>
      <c r="E7547" s="185" t="s">
        <v>470</v>
      </c>
      <c r="H7547" s="185"/>
    </row>
    <row r="7548">
      <c r="D7548" s="185"/>
      <c r="E7548" s="185" t="s">
        <v>470</v>
      </c>
      <c r="H7548" s="185"/>
    </row>
    <row r="7549">
      <c r="D7549" s="185"/>
      <c r="E7549" s="185" t="s">
        <v>470</v>
      </c>
      <c r="H7549" s="185"/>
    </row>
    <row r="7550">
      <c r="D7550" s="185"/>
      <c r="E7550" s="185" t="s">
        <v>470</v>
      </c>
      <c r="H7550" s="185"/>
    </row>
    <row r="7551">
      <c r="D7551" s="185"/>
      <c r="E7551" s="185" t="s">
        <v>470</v>
      </c>
      <c r="H7551" s="185"/>
    </row>
    <row r="7552">
      <c r="D7552" s="185"/>
      <c r="E7552" s="185" t="s">
        <v>470</v>
      </c>
      <c r="H7552" s="185"/>
    </row>
    <row r="7553">
      <c r="D7553" s="185"/>
      <c r="E7553" s="185" t="s">
        <v>470</v>
      </c>
      <c r="H7553" s="185"/>
    </row>
    <row r="7554">
      <c r="D7554" s="185"/>
      <c r="E7554" s="185" t="s">
        <v>470</v>
      </c>
      <c r="H7554" s="185"/>
    </row>
    <row r="7555">
      <c r="D7555" s="185"/>
      <c r="E7555" s="185" t="s">
        <v>470</v>
      </c>
      <c r="H7555" s="185"/>
    </row>
    <row r="7556">
      <c r="D7556" s="185"/>
      <c r="E7556" s="185" t="s">
        <v>470</v>
      </c>
      <c r="H7556" s="185"/>
    </row>
    <row r="7557">
      <c r="D7557" s="185"/>
      <c r="E7557" s="185" t="s">
        <v>470</v>
      </c>
      <c r="H7557" s="185"/>
    </row>
    <row r="7558">
      <c r="D7558" s="185"/>
      <c r="E7558" s="185" t="s">
        <v>470</v>
      </c>
      <c r="H7558" s="185"/>
    </row>
    <row r="7559">
      <c r="D7559" s="185"/>
      <c r="E7559" s="185" t="s">
        <v>470</v>
      </c>
      <c r="H7559" s="185"/>
    </row>
    <row r="7560">
      <c r="D7560" s="185"/>
      <c r="E7560" s="185" t="s">
        <v>470</v>
      </c>
      <c r="H7560" s="185"/>
    </row>
    <row r="7561">
      <c r="D7561" s="185"/>
      <c r="E7561" s="185" t="s">
        <v>470</v>
      </c>
      <c r="H7561" s="185"/>
    </row>
    <row r="7562">
      <c r="D7562" s="185"/>
      <c r="E7562" s="185" t="s">
        <v>470</v>
      </c>
      <c r="H7562" s="185"/>
    </row>
    <row r="7563">
      <c r="D7563" s="185"/>
      <c r="E7563" s="185" t="s">
        <v>470</v>
      </c>
      <c r="H7563" s="185"/>
    </row>
    <row r="7564">
      <c r="D7564" s="185"/>
      <c r="E7564" s="185" t="s">
        <v>470</v>
      </c>
      <c r="H7564" s="185"/>
    </row>
    <row r="7565">
      <c r="D7565" s="185"/>
      <c r="E7565" s="185" t="s">
        <v>470</v>
      </c>
      <c r="H7565" s="185"/>
    </row>
    <row r="7566">
      <c r="D7566" s="185"/>
      <c r="E7566" s="185" t="s">
        <v>470</v>
      </c>
      <c r="H7566" s="185"/>
    </row>
    <row r="7567">
      <c r="D7567" s="185"/>
      <c r="E7567" s="185" t="s">
        <v>470</v>
      </c>
      <c r="H7567" s="185"/>
    </row>
    <row r="7568">
      <c r="D7568" s="185"/>
      <c r="E7568" s="185" t="s">
        <v>470</v>
      </c>
      <c r="H7568" s="185"/>
    </row>
    <row r="7569">
      <c r="D7569" s="185"/>
      <c r="E7569" s="185" t="s">
        <v>470</v>
      </c>
      <c r="H7569" s="185"/>
    </row>
    <row r="7570">
      <c r="D7570" s="185"/>
      <c r="E7570" s="185" t="s">
        <v>470</v>
      </c>
      <c r="H7570" s="185"/>
    </row>
    <row r="7571">
      <c r="D7571" s="185"/>
      <c r="E7571" s="185" t="s">
        <v>470</v>
      </c>
      <c r="H7571" s="185"/>
    </row>
    <row r="7572">
      <c r="D7572" s="185"/>
      <c r="E7572" s="185" t="s">
        <v>470</v>
      </c>
      <c r="H7572" s="185"/>
    </row>
    <row r="7573">
      <c r="D7573" s="185"/>
      <c r="E7573" s="185" t="s">
        <v>470</v>
      </c>
      <c r="H7573" s="185"/>
    </row>
    <row r="7574">
      <c r="D7574" s="185"/>
      <c r="E7574" s="185" t="s">
        <v>470</v>
      </c>
      <c r="H7574" s="185"/>
    </row>
    <row r="7575">
      <c r="D7575" s="185"/>
      <c r="E7575" s="185" t="s">
        <v>470</v>
      </c>
      <c r="H7575" s="185"/>
    </row>
    <row r="7576">
      <c r="D7576" s="185"/>
      <c r="E7576" s="185" t="s">
        <v>470</v>
      </c>
      <c r="H7576" s="185"/>
    </row>
    <row r="7577">
      <c r="D7577" s="185"/>
      <c r="E7577" s="185" t="s">
        <v>470</v>
      </c>
      <c r="H7577" s="185"/>
    </row>
    <row r="7578">
      <c r="D7578" s="185"/>
      <c r="E7578" s="185" t="s">
        <v>470</v>
      </c>
      <c r="H7578" s="185"/>
    </row>
    <row r="7579">
      <c r="D7579" s="185"/>
      <c r="E7579" s="185" t="s">
        <v>470</v>
      </c>
      <c r="H7579" s="185"/>
    </row>
    <row r="7580">
      <c r="D7580" s="185"/>
      <c r="E7580" s="185" t="s">
        <v>470</v>
      </c>
      <c r="H7580" s="185"/>
    </row>
    <row r="7581">
      <c r="D7581" s="185"/>
      <c r="E7581" s="185" t="s">
        <v>470</v>
      </c>
      <c r="H7581" s="185"/>
    </row>
    <row r="7582">
      <c r="D7582" s="185"/>
      <c r="E7582" s="185" t="s">
        <v>470</v>
      </c>
      <c r="H7582" s="185"/>
    </row>
    <row r="7583">
      <c r="D7583" s="185"/>
      <c r="E7583" s="185" t="s">
        <v>470</v>
      </c>
      <c r="H7583" s="185"/>
    </row>
    <row r="7584">
      <c r="D7584" s="185"/>
      <c r="E7584" s="185" t="s">
        <v>470</v>
      </c>
      <c r="H7584" s="185"/>
    </row>
    <row r="7585">
      <c r="D7585" s="185"/>
      <c r="E7585" s="185" t="s">
        <v>470</v>
      </c>
      <c r="H7585" s="185"/>
    </row>
    <row r="7586">
      <c r="D7586" s="185"/>
      <c r="E7586" s="185" t="s">
        <v>470</v>
      </c>
      <c r="H7586" s="185"/>
    </row>
    <row r="7587">
      <c r="D7587" s="185"/>
      <c r="E7587" s="185" t="s">
        <v>470</v>
      </c>
      <c r="H7587" s="185"/>
    </row>
    <row r="7588">
      <c r="D7588" s="185"/>
      <c r="E7588" s="185" t="s">
        <v>470</v>
      </c>
      <c r="H7588" s="185"/>
    </row>
    <row r="7589">
      <c r="D7589" s="185"/>
      <c r="E7589" s="185" t="s">
        <v>470</v>
      </c>
      <c r="H7589" s="185"/>
    </row>
    <row r="7590">
      <c r="D7590" s="185"/>
      <c r="E7590" s="185" t="s">
        <v>470</v>
      </c>
      <c r="H7590" s="185"/>
    </row>
    <row r="7591">
      <c r="D7591" s="185"/>
      <c r="E7591" s="185" t="s">
        <v>470</v>
      </c>
      <c r="H7591" s="185"/>
    </row>
    <row r="7592">
      <c r="D7592" s="185"/>
      <c r="E7592" s="185" t="s">
        <v>470</v>
      </c>
      <c r="H7592" s="185"/>
    </row>
    <row r="7593">
      <c r="D7593" s="185"/>
      <c r="E7593" s="185" t="s">
        <v>470</v>
      </c>
      <c r="H7593" s="185"/>
    </row>
    <row r="7594">
      <c r="D7594" s="185"/>
      <c r="E7594" s="185" t="s">
        <v>470</v>
      </c>
      <c r="H7594" s="185"/>
    </row>
    <row r="7595">
      <c r="D7595" s="185"/>
      <c r="E7595" s="185" t="s">
        <v>470</v>
      </c>
      <c r="H7595" s="185"/>
    </row>
    <row r="7596">
      <c r="D7596" s="185"/>
      <c r="E7596" s="185" t="s">
        <v>470</v>
      </c>
      <c r="H7596" s="185"/>
    </row>
    <row r="7597">
      <c r="D7597" s="185"/>
      <c r="E7597" s="185" t="s">
        <v>470</v>
      </c>
      <c r="H7597" s="185"/>
    </row>
    <row r="7598">
      <c r="D7598" s="185"/>
      <c r="E7598" s="185" t="s">
        <v>470</v>
      </c>
      <c r="H7598" s="185"/>
    </row>
    <row r="7599">
      <c r="D7599" s="185"/>
      <c r="E7599" s="185" t="s">
        <v>470</v>
      </c>
      <c r="H7599" s="185"/>
    </row>
    <row r="7600">
      <c r="D7600" s="185"/>
      <c r="E7600" s="185" t="s">
        <v>470</v>
      </c>
      <c r="H7600" s="185"/>
    </row>
    <row r="7601">
      <c r="D7601" s="185"/>
      <c r="E7601" s="185" t="s">
        <v>470</v>
      </c>
      <c r="H7601" s="185"/>
    </row>
    <row r="7602">
      <c r="D7602" s="185"/>
      <c r="E7602" s="185" t="s">
        <v>470</v>
      </c>
      <c r="H7602" s="185"/>
    </row>
    <row r="7603">
      <c r="D7603" s="185"/>
      <c r="E7603" s="185" t="s">
        <v>470</v>
      </c>
      <c r="H7603" s="185"/>
    </row>
    <row r="7604">
      <c r="D7604" s="185"/>
      <c r="E7604" s="185" t="s">
        <v>470</v>
      </c>
      <c r="H7604" s="185"/>
    </row>
    <row r="7605">
      <c r="D7605" s="185"/>
      <c r="E7605" s="185" t="s">
        <v>470</v>
      </c>
      <c r="H7605" s="185"/>
    </row>
    <row r="7606">
      <c r="D7606" s="185"/>
      <c r="E7606" s="185" t="s">
        <v>470</v>
      </c>
      <c r="H7606" s="185"/>
    </row>
    <row r="7607">
      <c r="D7607" s="185"/>
      <c r="E7607" s="185" t="s">
        <v>470</v>
      </c>
      <c r="H7607" s="185"/>
    </row>
    <row r="7608">
      <c r="D7608" s="185"/>
      <c r="E7608" s="185" t="s">
        <v>470</v>
      </c>
      <c r="H7608" s="185"/>
    </row>
    <row r="7609">
      <c r="D7609" s="185"/>
      <c r="E7609" s="185" t="s">
        <v>470</v>
      </c>
      <c r="H7609" s="185"/>
    </row>
    <row r="7610">
      <c r="D7610" s="185"/>
      <c r="E7610" s="185" t="s">
        <v>470</v>
      </c>
      <c r="H7610" s="185"/>
    </row>
    <row r="7611">
      <c r="D7611" s="185"/>
      <c r="E7611" s="185" t="s">
        <v>470</v>
      </c>
      <c r="H7611" s="185"/>
    </row>
    <row r="7612">
      <c r="D7612" s="185"/>
      <c r="E7612" s="185" t="s">
        <v>470</v>
      </c>
      <c r="H7612" s="185"/>
    </row>
    <row r="7613">
      <c r="D7613" s="185"/>
      <c r="E7613" s="185" t="s">
        <v>470</v>
      </c>
      <c r="H7613" s="185"/>
    </row>
    <row r="7614">
      <c r="D7614" s="185"/>
      <c r="E7614" s="185" t="s">
        <v>470</v>
      </c>
      <c r="H7614" s="185"/>
    </row>
    <row r="7615">
      <c r="D7615" s="185"/>
      <c r="E7615" s="185" t="s">
        <v>470</v>
      </c>
      <c r="H7615" s="185"/>
    </row>
    <row r="7616">
      <c r="D7616" s="185"/>
      <c r="E7616" s="185" t="s">
        <v>470</v>
      </c>
      <c r="H7616" s="185"/>
    </row>
    <row r="7617">
      <c r="D7617" s="185"/>
      <c r="E7617" s="185" t="s">
        <v>470</v>
      </c>
      <c r="H7617" s="185"/>
    </row>
    <row r="7618">
      <c r="D7618" s="185"/>
      <c r="E7618" s="185" t="s">
        <v>470</v>
      </c>
      <c r="H7618" s="185"/>
    </row>
    <row r="7619">
      <c r="D7619" s="185"/>
      <c r="E7619" s="185" t="s">
        <v>470</v>
      </c>
      <c r="H7619" s="185"/>
    </row>
    <row r="7620">
      <c r="D7620" s="185"/>
      <c r="E7620" s="185" t="s">
        <v>470</v>
      </c>
      <c r="H7620" s="185"/>
    </row>
    <row r="7621">
      <c r="D7621" s="185"/>
      <c r="E7621" s="185" t="s">
        <v>470</v>
      </c>
      <c r="H7621" s="185"/>
    </row>
    <row r="7622">
      <c r="D7622" s="185"/>
      <c r="E7622" s="185" t="s">
        <v>470</v>
      </c>
      <c r="H7622" s="185"/>
    </row>
    <row r="7623">
      <c r="D7623" s="185"/>
      <c r="E7623" s="185" t="s">
        <v>470</v>
      </c>
      <c r="H7623" s="185"/>
    </row>
    <row r="7624">
      <c r="D7624" s="185"/>
      <c r="E7624" s="185" t="s">
        <v>470</v>
      </c>
      <c r="H7624" s="185"/>
    </row>
    <row r="7625">
      <c r="D7625" s="185"/>
      <c r="E7625" s="185" t="s">
        <v>470</v>
      </c>
      <c r="H7625" s="185"/>
    </row>
    <row r="7626">
      <c r="D7626" s="185"/>
      <c r="E7626" s="185" t="s">
        <v>470</v>
      </c>
      <c r="H7626" s="185"/>
    </row>
    <row r="7627">
      <c r="D7627" s="185"/>
      <c r="E7627" s="185" t="s">
        <v>470</v>
      </c>
      <c r="H7627" s="185"/>
    </row>
    <row r="7628">
      <c r="D7628" s="185"/>
      <c r="E7628" s="185" t="s">
        <v>470</v>
      </c>
      <c r="H7628" s="185"/>
    </row>
    <row r="7629">
      <c r="D7629" s="185"/>
      <c r="E7629" s="185" t="s">
        <v>470</v>
      </c>
      <c r="H7629" s="185"/>
    </row>
    <row r="7630">
      <c r="D7630" s="185"/>
      <c r="E7630" s="185" t="s">
        <v>470</v>
      </c>
      <c r="H7630" s="185"/>
    </row>
    <row r="7631">
      <c r="D7631" s="185"/>
      <c r="E7631" s="185" t="s">
        <v>470</v>
      </c>
      <c r="H7631" s="185"/>
    </row>
    <row r="7632">
      <c r="D7632" s="185"/>
      <c r="E7632" s="185" t="s">
        <v>470</v>
      </c>
      <c r="H7632" s="185"/>
    </row>
    <row r="7633">
      <c r="D7633" s="185"/>
      <c r="E7633" s="185" t="s">
        <v>470</v>
      </c>
      <c r="H7633" s="185"/>
    </row>
    <row r="7634">
      <c r="D7634" s="185"/>
      <c r="E7634" s="185" t="s">
        <v>470</v>
      </c>
      <c r="H7634" s="185"/>
    </row>
    <row r="7635">
      <c r="D7635" s="185"/>
      <c r="E7635" s="185" t="s">
        <v>470</v>
      </c>
      <c r="H7635" s="185"/>
    </row>
    <row r="7636">
      <c r="D7636" s="185"/>
      <c r="E7636" s="185" t="s">
        <v>470</v>
      </c>
      <c r="H7636" s="185"/>
    </row>
    <row r="7637">
      <c r="D7637" s="185"/>
      <c r="E7637" s="185" t="s">
        <v>470</v>
      </c>
      <c r="H7637" s="185"/>
    </row>
    <row r="7638">
      <c r="D7638" s="185"/>
      <c r="E7638" s="185" t="s">
        <v>470</v>
      </c>
      <c r="H7638" s="185"/>
    </row>
    <row r="7639">
      <c r="D7639" s="185"/>
      <c r="E7639" s="185" t="s">
        <v>470</v>
      </c>
      <c r="H7639" s="185"/>
    </row>
    <row r="7640">
      <c r="D7640" s="185"/>
      <c r="E7640" s="185" t="s">
        <v>470</v>
      </c>
      <c r="H7640" s="185"/>
    </row>
    <row r="7641">
      <c r="D7641" s="185"/>
      <c r="E7641" s="185" t="s">
        <v>470</v>
      </c>
      <c r="H7641" s="185"/>
    </row>
    <row r="7642">
      <c r="D7642" s="185"/>
      <c r="E7642" s="185" t="s">
        <v>470</v>
      </c>
      <c r="H7642" s="185"/>
    </row>
    <row r="7643">
      <c r="D7643" s="185"/>
      <c r="E7643" s="185" t="s">
        <v>470</v>
      </c>
      <c r="H7643" s="185"/>
    </row>
    <row r="7644">
      <c r="D7644" s="185"/>
      <c r="E7644" s="185" t="s">
        <v>470</v>
      </c>
      <c r="H7644" s="185"/>
    </row>
    <row r="7645">
      <c r="D7645" s="185"/>
      <c r="E7645" s="185" t="s">
        <v>470</v>
      </c>
      <c r="H7645" s="185"/>
    </row>
    <row r="7646">
      <c r="D7646" s="185"/>
      <c r="E7646" s="185" t="s">
        <v>470</v>
      </c>
      <c r="H7646" s="185"/>
    </row>
    <row r="7647">
      <c r="D7647" s="185"/>
      <c r="E7647" s="185" t="s">
        <v>470</v>
      </c>
      <c r="H7647" s="185"/>
    </row>
    <row r="7648">
      <c r="D7648" s="185"/>
      <c r="E7648" s="185" t="s">
        <v>470</v>
      </c>
      <c r="H7648" s="185"/>
    </row>
    <row r="7649">
      <c r="D7649" s="185"/>
      <c r="E7649" s="185" t="s">
        <v>470</v>
      </c>
      <c r="H7649" s="185"/>
    </row>
    <row r="7650">
      <c r="D7650" s="185"/>
      <c r="E7650" s="185" t="s">
        <v>470</v>
      </c>
      <c r="H7650" s="185"/>
    </row>
    <row r="7651">
      <c r="D7651" s="185"/>
      <c r="E7651" s="185" t="s">
        <v>470</v>
      </c>
      <c r="H7651" s="185"/>
    </row>
    <row r="7652">
      <c r="D7652" s="185"/>
      <c r="E7652" s="185" t="s">
        <v>470</v>
      </c>
      <c r="H7652" s="185"/>
    </row>
    <row r="7653">
      <c r="D7653" s="185"/>
      <c r="E7653" s="185" t="s">
        <v>470</v>
      </c>
      <c r="H7653" s="185"/>
    </row>
    <row r="7654">
      <c r="D7654" s="185"/>
      <c r="E7654" s="185" t="s">
        <v>470</v>
      </c>
      <c r="H7654" s="185"/>
    </row>
    <row r="7655">
      <c r="D7655" s="185"/>
      <c r="E7655" s="185" t="s">
        <v>470</v>
      </c>
      <c r="H7655" s="185"/>
    </row>
    <row r="7656">
      <c r="D7656" s="185"/>
      <c r="E7656" s="185" t="s">
        <v>470</v>
      </c>
      <c r="H7656" s="185"/>
    </row>
    <row r="7657">
      <c r="D7657" s="185"/>
      <c r="E7657" s="185" t="s">
        <v>470</v>
      </c>
      <c r="H7657" s="185"/>
    </row>
    <row r="7658">
      <c r="D7658" s="185"/>
      <c r="E7658" s="185" t="s">
        <v>470</v>
      </c>
      <c r="H7658" s="185"/>
    </row>
    <row r="7659">
      <c r="D7659" s="185"/>
      <c r="E7659" s="185" t="s">
        <v>470</v>
      </c>
      <c r="H7659" s="185"/>
    </row>
    <row r="7660">
      <c r="D7660" s="185"/>
      <c r="E7660" s="185" t="s">
        <v>470</v>
      </c>
      <c r="H7660" s="185"/>
    </row>
    <row r="7661">
      <c r="D7661" s="185"/>
      <c r="E7661" s="185" t="s">
        <v>470</v>
      </c>
      <c r="H7661" s="185"/>
    </row>
    <row r="7662">
      <c r="D7662" s="185"/>
      <c r="E7662" s="185" t="s">
        <v>470</v>
      </c>
      <c r="H7662" s="185"/>
    </row>
    <row r="7663">
      <c r="D7663" s="185"/>
      <c r="E7663" s="185" t="s">
        <v>470</v>
      </c>
      <c r="H7663" s="185"/>
    </row>
    <row r="7664">
      <c r="D7664" s="185"/>
      <c r="E7664" s="185" t="s">
        <v>470</v>
      </c>
      <c r="H7664" s="185"/>
    </row>
    <row r="7665">
      <c r="D7665" s="185"/>
      <c r="E7665" s="185" t="s">
        <v>470</v>
      </c>
      <c r="H7665" s="185"/>
    </row>
    <row r="7666">
      <c r="D7666" s="185"/>
      <c r="E7666" s="185" t="s">
        <v>470</v>
      </c>
      <c r="H7666" s="185"/>
    </row>
    <row r="7667">
      <c r="D7667" s="185"/>
      <c r="E7667" s="185" t="s">
        <v>470</v>
      </c>
      <c r="H7667" s="185"/>
    </row>
    <row r="7668">
      <c r="D7668" s="185"/>
      <c r="E7668" s="185" t="s">
        <v>470</v>
      </c>
      <c r="H7668" s="185"/>
    </row>
    <row r="7669">
      <c r="D7669" s="185"/>
      <c r="E7669" s="185" t="s">
        <v>470</v>
      </c>
      <c r="H7669" s="185"/>
    </row>
    <row r="7670">
      <c r="D7670" s="185"/>
      <c r="E7670" s="185" t="s">
        <v>470</v>
      </c>
      <c r="H7670" s="185"/>
    </row>
    <row r="7671">
      <c r="D7671" s="185"/>
      <c r="E7671" s="185" t="s">
        <v>470</v>
      </c>
      <c r="H7671" s="185"/>
    </row>
    <row r="7672">
      <c r="D7672" s="185"/>
      <c r="E7672" s="185" t="s">
        <v>470</v>
      </c>
      <c r="H7672" s="185"/>
    </row>
    <row r="7673">
      <c r="D7673" s="185"/>
      <c r="E7673" s="185" t="s">
        <v>470</v>
      </c>
      <c r="H7673" s="185"/>
    </row>
    <row r="7674">
      <c r="D7674" s="185"/>
      <c r="E7674" s="185" t="s">
        <v>470</v>
      </c>
      <c r="H7674" s="185"/>
    </row>
    <row r="7675">
      <c r="D7675" s="185"/>
      <c r="E7675" s="185" t="s">
        <v>470</v>
      </c>
      <c r="H7675" s="185"/>
    </row>
    <row r="7676">
      <c r="D7676" s="185"/>
      <c r="E7676" s="185" t="s">
        <v>470</v>
      </c>
      <c r="H7676" s="185"/>
    </row>
    <row r="7677">
      <c r="D7677" s="185"/>
      <c r="E7677" s="185" t="s">
        <v>470</v>
      </c>
      <c r="H7677" s="185"/>
    </row>
    <row r="7678">
      <c r="D7678" s="185"/>
      <c r="E7678" s="185" t="s">
        <v>470</v>
      </c>
      <c r="H7678" s="185"/>
    </row>
    <row r="7679">
      <c r="D7679" s="185"/>
      <c r="E7679" s="185" t="s">
        <v>470</v>
      </c>
      <c r="H7679" s="185"/>
    </row>
    <row r="7680">
      <c r="D7680" s="185"/>
      <c r="E7680" s="185" t="s">
        <v>470</v>
      </c>
      <c r="H7680" s="185"/>
    </row>
    <row r="7681">
      <c r="D7681" s="185"/>
      <c r="E7681" s="185" t="s">
        <v>470</v>
      </c>
      <c r="H7681" s="185"/>
    </row>
    <row r="7682">
      <c r="D7682" s="185"/>
      <c r="E7682" s="185" t="s">
        <v>470</v>
      </c>
      <c r="H7682" s="185"/>
    </row>
    <row r="7683">
      <c r="D7683" s="185"/>
      <c r="E7683" s="185" t="s">
        <v>470</v>
      </c>
      <c r="H7683" s="185"/>
    </row>
    <row r="7684">
      <c r="D7684" s="185"/>
      <c r="E7684" s="185" t="s">
        <v>470</v>
      </c>
      <c r="H7684" s="185"/>
    </row>
    <row r="7685">
      <c r="D7685" s="185"/>
      <c r="E7685" s="185" t="s">
        <v>470</v>
      </c>
      <c r="H7685" s="185"/>
    </row>
    <row r="7686">
      <c r="D7686" s="185"/>
      <c r="E7686" s="185" t="s">
        <v>470</v>
      </c>
      <c r="H7686" s="185"/>
    </row>
    <row r="7687">
      <c r="D7687" s="185"/>
      <c r="E7687" s="185" t="s">
        <v>470</v>
      </c>
      <c r="H7687" s="185"/>
    </row>
    <row r="7688">
      <c r="D7688" s="185"/>
      <c r="E7688" s="185" t="s">
        <v>470</v>
      </c>
      <c r="H7688" s="185"/>
    </row>
    <row r="7689">
      <c r="D7689" s="185"/>
      <c r="E7689" s="185" t="s">
        <v>470</v>
      </c>
      <c r="H7689" s="185"/>
    </row>
    <row r="7690">
      <c r="D7690" s="185"/>
      <c r="E7690" s="185" t="s">
        <v>470</v>
      </c>
      <c r="H7690" s="185"/>
    </row>
    <row r="7691">
      <c r="D7691" s="185"/>
      <c r="E7691" s="185" t="s">
        <v>470</v>
      </c>
      <c r="H7691" s="185"/>
    </row>
    <row r="7692">
      <c r="D7692" s="185"/>
      <c r="E7692" s="185" t="s">
        <v>470</v>
      </c>
      <c r="H7692" s="185"/>
    </row>
    <row r="7693">
      <c r="D7693" s="185"/>
      <c r="E7693" s="185" t="s">
        <v>470</v>
      </c>
      <c r="H7693" s="185"/>
    </row>
    <row r="7694">
      <c r="D7694" s="185"/>
      <c r="E7694" s="185" t="s">
        <v>470</v>
      </c>
      <c r="H7694" s="185"/>
    </row>
    <row r="7695">
      <c r="D7695" s="185"/>
      <c r="E7695" s="185" t="s">
        <v>470</v>
      </c>
      <c r="H7695" s="185"/>
    </row>
    <row r="7696">
      <c r="D7696" s="185"/>
      <c r="E7696" s="185" t="s">
        <v>470</v>
      </c>
      <c r="H7696" s="185"/>
    </row>
    <row r="7697">
      <c r="D7697" s="185"/>
      <c r="E7697" s="185" t="s">
        <v>470</v>
      </c>
      <c r="H7697" s="185"/>
    </row>
    <row r="7698">
      <c r="D7698" s="185"/>
      <c r="E7698" s="185" t="s">
        <v>470</v>
      </c>
      <c r="H7698" s="185"/>
    </row>
    <row r="7699">
      <c r="D7699" s="185"/>
      <c r="E7699" s="185" t="s">
        <v>470</v>
      </c>
      <c r="H7699" s="185"/>
    </row>
    <row r="7700">
      <c r="D7700" s="185"/>
      <c r="E7700" s="185" t="s">
        <v>470</v>
      </c>
      <c r="H7700" s="185"/>
    </row>
    <row r="7701">
      <c r="D7701" s="185"/>
      <c r="E7701" s="185" t="s">
        <v>470</v>
      </c>
      <c r="H7701" s="185"/>
    </row>
    <row r="7702">
      <c r="D7702" s="185"/>
      <c r="E7702" s="185" t="s">
        <v>470</v>
      </c>
      <c r="H7702" s="185"/>
    </row>
    <row r="7703">
      <c r="D7703" s="185"/>
      <c r="E7703" s="185" t="s">
        <v>470</v>
      </c>
      <c r="H7703" s="185"/>
    </row>
    <row r="7704">
      <c r="D7704" s="185"/>
      <c r="E7704" s="185" t="s">
        <v>470</v>
      </c>
      <c r="H7704" s="185"/>
    </row>
    <row r="7705">
      <c r="D7705" s="185"/>
      <c r="E7705" s="185" t="s">
        <v>470</v>
      </c>
      <c r="H7705" s="185"/>
    </row>
    <row r="7706">
      <c r="D7706" s="185"/>
      <c r="E7706" s="185" t="s">
        <v>470</v>
      </c>
      <c r="H7706" s="185"/>
    </row>
    <row r="7707">
      <c r="D7707" s="185"/>
      <c r="E7707" s="185" t="s">
        <v>470</v>
      </c>
      <c r="H7707" s="185"/>
    </row>
    <row r="7708">
      <c r="D7708" s="185"/>
      <c r="E7708" s="185" t="s">
        <v>470</v>
      </c>
      <c r="H7708" s="185"/>
    </row>
    <row r="7709">
      <c r="D7709" s="185"/>
      <c r="E7709" s="185" t="s">
        <v>470</v>
      </c>
      <c r="H7709" s="185"/>
    </row>
    <row r="7710">
      <c r="D7710" s="185"/>
      <c r="E7710" s="185" t="s">
        <v>470</v>
      </c>
      <c r="H7710" s="185"/>
    </row>
    <row r="7711">
      <c r="D7711" s="185"/>
      <c r="E7711" s="185" t="s">
        <v>470</v>
      </c>
      <c r="H7711" s="185"/>
    </row>
    <row r="7712">
      <c r="D7712" s="185"/>
      <c r="E7712" s="185" t="s">
        <v>470</v>
      </c>
      <c r="H7712" s="185"/>
    </row>
    <row r="7713">
      <c r="D7713" s="185"/>
      <c r="E7713" s="185" t="s">
        <v>470</v>
      </c>
      <c r="H7713" s="185"/>
    </row>
    <row r="7714">
      <c r="D7714" s="185"/>
      <c r="E7714" s="185" t="s">
        <v>470</v>
      </c>
      <c r="H7714" s="185"/>
    </row>
    <row r="7715">
      <c r="D7715" s="185"/>
      <c r="E7715" s="185" t="s">
        <v>470</v>
      </c>
      <c r="H7715" s="185"/>
    </row>
    <row r="7716">
      <c r="D7716" s="185"/>
      <c r="E7716" s="185" t="s">
        <v>470</v>
      </c>
      <c r="H7716" s="185"/>
    </row>
    <row r="7717">
      <c r="D7717" s="185"/>
      <c r="E7717" s="185" t="s">
        <v>470</v>
      </c>
      <c r="H7717" s="185"/>
    </row>
    <row r="7718">
      <c r="D7718" s="185"/>
      <c r="E7718" s="185" t="s">
        <v>470</v>
      </c>
      <c r="H7718" s="185"/>
    </row>
    <row r="7719">
      <c r="D7719" s="185"/>
      <c r="E7719" s="185" t="s">
        <v>470</v>
      </c>
      <c r="H7719" s="185"/>
    </row>
    <row r="7720">
      <c r="D7720" s="185"/>
      <c r="E7720" s="185" t="s">
        <v>470</v>
      </c>
      <c r="H7720" s="185"/>
    </row>
    <row r="7721">
      <c r="D7721" s="185"/>
      <c r="E7721" s="185" t="s">
        <v>470</v>
      </c>
      <c r="H7721" s="185"/>
    </row>
    <row r="7722">
      <c r="D7722" s="185"/>
      <c r="E7722" s="185" t="s">
        <v>470</v>
      </c>
      <c r="H7722" s="185"/>
    </row>
    <row r="7723">
      <c r="D7723" s="185"/>
      <c r="E7723" s="185" t="s">
        <v>470</v>
      </c>
      <c r="H7723" s="185"/>
    </row>
    <row r="7724">
      <c r="D7724" s="185"/>
      <c r="E7724" s="185" t="s">
        <v>470</v>
      </c>
      <c r="H7724" s="185"/>
    </row>
    <row r="7725">
      <c r="D7725" s="185"/>
      <c r="E7725" s="185" t="s">
        <v>470</v>
      </c>
      <c r="H7725" s="185"/>
    </row>
    <row r="7726">
      <c r="D7726" s="185"/>
      <c r="E7726" s="185" t="s">
        <v>470</v>
      </c>
      <c r="H7726" s="185"/>
    </row>
    <row r="7727">
      <c r="D7727" s="185"/>
      <c r="E7727" s="185" t="s">
        <v>470</v>
      </c>
      <c r="H7727" s="185"/>
    </row>
    <row r="7728">
      <c r="D7728" s="185"/>
      <c r="E7728" s="185" t="s">
        <v>470</v>
      </c>
      <c r="H7728" s="185"/>
    </row>
    <row r="7729">
      <c r="D7729" s="185"/>
      <c r="E7729" s="185" t="s">
        <v>470</v>
      </c>
      <c r="H7729" s="185"/>
    </row>
    <row r="7730">
      <c r="D7730" s="185"/>
      <c r="E7730" s="185" t="s">
        <v>470</v>
      </c>
      <c r="H7730" s="185"/>
    </row>
    <row r="7731">
      <c r="D7731" s="185"/>
      <c r="E7731" s="185" t="s">
        <v>470</v>
      </c>
      <c r="H7731" s="185"/>
    </row>
    <row r="7732">
      <c r="D7732" s="185"/>
      <c r="E7732" s="185" t="s">
        <v>470</v>
      </c>
      <c r="H7732" s="185"/>
    </row>
    <row r="7733">
      <c r="D7733" s="185"/>
      <c r="E7733" s="185" t="s">
        <v>470</v>
      </c>
      <c r="H7733" s="185"/>
    </row>
    <row r="7734">
      <c r="D7734" s="185"/>
      <c r="E7734" s="185" t="s">
        <v>470</v>
      </c>
      <c r="H7734" s="185"/>
    </row>
    <row r="7735">
      <c r="D7735" s="185"/>
      <c r="E7735" s="185" t="s">
        <v>470</v>
      </c>
      <c r="H7735" s="185"/>
    </row>
    <row r="7736">
      <c r="D7736" s="185"/>
      <c r="E7736" s="185" t="s">
        <v>470</v>
      </c>
      <c r="H7736" s="185"/>
    </row>
    <row r="7737">
      <c r="D7737" s="185"/>
      <c r="E7737" s="185" t="s">
        <v>470</v>
      </c>
      <c r="H7737" s="185"/>
    </row>
    <row r="7738">
      <c r="D7738" s="185"/>
      <c r="E7738" s="185" t="s">
        <v>470</v>
      </c>
      <c r="H7738" s="185"/>
    </row>
    <row r="7739">
      <c r="D7739" s="185"/>
      <c r="E7739" s="185" t="s">
        <v>470</v>
      </c>
      <c r="H7739" s="185"/>
    </row>
    <row r="7740">
      <c r="D7740" s="185"/>
      <c r="E7740" s="185" t="s">
        <v>470</v>
      </c>
      <c r="H7740" s="185"/>
    </row>
    <row r="7741">
      <c r="D7741" s="185"/>
      <c r="E7741" s="185" t="s">
        <v>470</v>
      </c>
      <c r="H7741" s="185"/>
    </row>
    <row r="7742">
      <c r="D7742" s="185"/>
      <c r="E7742" s="185" t="s">
        <v>470</v>
      </c>
      <c r="H7742" s="185"/>
    </row>
    <row r="7743">
      <c r="D7743" s="185"/>
      <c r="E7743" s="185" t="s">
        <v>470</v>
      </c>
      <c r="H7743" s="185"/>
    </row>
    <row r="7744">
      <c r="D7744" s="185"/>
      <c r="E7744" s="185" t="s">
        <v>470</v>
      </c>
      <c r="H7744" s="185"/>
    </row>
    <row r="7745">
      <c r="D7745" s="185"/>
      <c r="E7745" s="185" t="s">
        <v>470</v>
      </c>
      <c r="H7745" s="185"/>
    </row>
    <row r="7746">
      <c r="D7746" s="185"/>
      <c r="E7746" s="185" t="s">
        <v>470</v>
      </c>
      <c r="H7746" s="185"/>
    </row>
    <row r="7747">
      <c r="D7747" s="185"/>
      <c r="E7747" s="185" t="s">
        <v>470</v>
      </c>
      <c r="H7747" s="185"/>
    </row>
    <row r="7748">
      <c r="D7748" s="185"/>
      <c r="E7748" s="185" t="s">
        <v>470</v>
      </c>
      <c r="H7748" s="185"/>
    </row>
    <row r="7749">
      <c r="D7749" s="185"/>
      <c r="E7749" s="185" t="s">
        <v>470</v>
      </c>
      <c r="H7749" s="185"/>
    </row>
    <row r="7750">
      <c r="D7750" s="185"/>
      <c r="E7750" s="185" t="s">
        <v>470</v>
      </c>
      <c r="H7750" s="185"/>
    </row>
    <row r="7751">
      <c r="D7751" s="185"/>
      <c r="E7751" s="185" t="s">
        <v>470</v>
      </c>
      <c r="H7751" s="185"/>
    </row>
    <row r="7752">
      <c r="D7752" s="185"/>
      <c r="E7752" s="185" t="s">
        <v>470</v>
      </c>
      <c r="H7752" s="185"/>
    </row>
    <row r="7753">
      <c r="D7753" s="185"/>
      <c r="E7753" s="185" t="s">
        <v>470</v>
      </c>
      <c r="H7753" s="185"/>
    </row>
    <row r="7754">
      <c r="D7754" s="185"/>
      <c r="E7754" s="185" t="s">
        <v>470</v>
      </c>
      <c r="H7754" s="185"/>
    </row>
    <row r="7755">
      <c r="D7755" s="185"/>
      <c r="E7755" s="185" t="s">
        <v>470</v>
      </c>
      <c r="H7755" s="185"/>
    </row>
    <row r="7756">
      <c r="D7756" s="185"/>
      <c r="E7756" s="185" t="s">
        <v>470</v>
      </c>
      <c r="H7756" s="185"/>
    </row>
    <row r="7757">
      <c r="D7757" s="185"/>
      <c r="E7757" s="185" t="s">
        <v>470</v>
      </c>
      <c r="H7757" s="185"/>
    </row>
    <row r="7758">
      <c r="D7758" s="185"/>
      <c r="E7758" s="185" t="s">
        <v>470</v>
      </c>
      <c r="H7758" s="185"/>
    </row>
    <row r="7759">
      <c r="D7759" s="185"/>
      <c r="E7759" s="185" t="s">
        <v>470</v>
      </c>
      <c r="H7759" s="185"/>
    </row>
    <row r="7760">
      <c r="D7760" s="185"/>
      <c r="E7760" s="185" t="s">
        <v>470</v>
      </c>
      <c r="H7760" s="185"/>
    </row>
    <row r="7761">
      <c r="D7761" s="185"/>
      <c r="E7761" s="185" t="s">
        <v>470</v>
      </c>
      <c r="H7761" s="185"/>
    </row>
    <row r="7762">
      <c r="D7762" s="185"/>
      <c r="E7762" s="185" t="s">
        <v>470</v>
      </c>
      <c r="H7762" s="185"/>
    </row>
    <row r="7763">
      <c r="D7763" s="185"/>
      <c r="E7763" s="185" t="s">
        <v>470</v>
      </c>
      <c r="H7763" s="185"/>
    </row>
    <row r="7764">
      <c r="D7764" s="185"/>
      <c r="E7764" s="185" t="s">
        <v>470</v>
      </c>
      <c r="H7764" s="185"/>
    </row>
    <row r="7765">
      <c r="D7765" s="185"/>
      <c r="E7765" s="185" t="s">
        <v>470</v>
      </c>
      <c r="H7765" s="185"/>
    </row>
    <row r="7766">
      <c r="D7766" s="185"/>
      <c r="E7766" s="185" t="s">
        <v>470</v>
      </c>
      <c r="H7766" s="185"/>
    </row>
    <row r="7767">
      <c r="D7767" s="185"/>
      <c r="E7767" s="185" t="s">
        <v>470</v>
      </c>
      <c r="H7767" s="185"/>
    </row>
    <row r="7768">
      <c r="D7768" s="185"/>
      <c r="E7768" s="185" t="s">
        <v>470</v>
      </c>
      <c r="H7768" s="185"/>
    </row>
    <row r="7769">
      <c r="D7769" s="185"/>
      <c r="E7769" s="185" t="s">
        <v>470</v>
      </c>
      <c r="H7769" s="185"/>
    </row>
    <row r="7770">
      <c r="D7770" s="185"/>
      <c r="E7770" s="185" t="s">
        <v>470</v>
      </c>
      <c r="H7770" s="185"/>
    </row>
    <row r="7771">
      <c r="D7771" s="185"/>
      <c r="E7771" s="185" t="s">
        <v>470</v>
      </c>
      <c r="H7771" s="185"/>
    </row>
    <row r="7772">
      <c r="D7772" s="185"/>
      <c r="E7772" s="185" t="s">
        <v>470</v>
      </c>
      <c r="H7772" s="185"/>
    </row>
    <row r="7773">
      <c r="D7773" s="185"/>
      <c r="E7773" s="185" t="s">
        <v>470</v>
      </c>
      <c r="H7773" s="185"/>
    </row>
    <row r="7774">
      <c r="D7774" s="185"/>
      <c r="E7774" s="185" t="s">
        <v>470</v>
      </c>
      <c r="H7774" s="185"/>
    </row>
    <row r="7775">
      <c r="D7775" s="185"/>
      <c r="E7775" s="185" t="s">
        <v>470</v>
      </c>
      <c r="H7775" s="185"/>
    </row>
    <row r="7776">
      <c r="D7776" s="185"/>
      <c r="E7776" s="185" t="s">
        <v>470</v>
      </c>
      <c r="H7776" s="185"/>
    </row>
    <row r="7777">
      <c r="D7777" s="185"/>
      <c r="E7777" s="185" t="s">
        <v>470</v>
      </c>
      <c r="H7777" s="185"/>
    </row>
    <row r="7778">
      <c r="D7778" s="185"/>
      <c r="E7778" s="185" t="s">
        <v>470</v>
      </c>
      <c r="H7778" s="185"/>
    </row>
    <row r="7779">
      <c r="D7779" s="185"/>
      <c r="E7779" s="185" t="s">
        <v>470</v>
      </c>
      <c r="H7779" s="185"/>
    </row>
    <row r="7780">
      <c r="D7780" s="185"/>
      <c r="E7780" s="185" t="s">
        <v>470</v>
      </c>
      <c r="H7780" s="185"/>
    </row>
    <row r="7781">
      <c r="D7781" s="185"/>
      <c r="E7781" s="185" t="s">
        <v>470</v>
      </c>
      <c r="H7781" s="185"/>
    </row>
    <row r="7782">
      <c r="D7782" s="185"/>
      <c r="E7782" s="185" t="s">
        <v>470</v>
      </c>
      <c r="H7782" s="185"/>
    </row>
    <row r="7783">
      <c r="D7783" s="185"/>
      <c r="E7783" s="185" t="s">
        <v>470</v>
      </c>
      <c r="H7783" s="185"/>
    </row>
    <row r="7784">
      <c r="D7784" s="185"/>
      <c r="E7784" s="185" t="s">
        <v>470</v>
      </c>
      <c r="H7784" s="185"/>
    </row>
    <row r="7785">
      <c r="D7785" s="185"/>
      <c r="E7785" s="185" t="s">
        <v>470</v>
      </c>
      <c r="H7785" s="185"/>
    </row>
    <row r="7786">
      <c r="D7786" s="185"/>
      <c r="E7786" s="185" t="s">
        <v>470</v>
      </c>
      <c r="H7786" s="185"/>
    </row>
    <row r="7787">
      <c r="D7787" s="185"/>
      <c r="E7787" s="185" t="s">
        <v>470</v>
      </c>
      <c r="H7787" s="185"/>
    </row>
    <row r="7788">
      <c r="D7788" s="185"/>
      <c r="E7788" s="185" t="s">
        <v>470</v>
      </c>
      <c r="H7788" s="185"/>
    </row>
    <row r="7789">
      <c r="D7789" s="185"/>
      <c r="E7789" s="185" t="s">
        <v>470</v>
      </c>
      <c r="H7789" s="185"/>
    </row>
    <row r="7790">
      <c r="D7790" s="185"/>
      <c r="E7790" s="185" t="s">
        <v>470</v>
      </c>
      <c r="H7790" s="185"/>
    </row>
    <row r="7791">
      <c r="D7791" s="185"/>
      <c r="E7791" s="185" t="s">
        <v>470</v>
      </c>
      <c r="H7791" s="185"/>
    </row>
    <row r="7792">
      <c r="D7792" s="185"/>
      <c r="E7792" s="185" t="s">
        <v>470</v>
      </c>
      <c r="H7792" s="185"/>
    </row>
    <row r="7793">
      <c r="D7793" s="185"/>
      <c r="E7793" s="185" t="s">
        <v>470</v>
      </c>
      <c r="H7793" s="185"/>
    </row>
    <row r="7794">
      <c r="D7794" s="185"/>
      <c r="E7794" s="185" t="s">
        <v>470</v>
      </c>
      <c r="H7794" s="185"/>
    </row>
    <row r="7795">
      <c r="D7795" s="185"/>
      <c r="E7795" s="185" t="s">
        <v>470</v>
      </c>
      <c r="H7795" s="185"/>
    </row>
    <row r="7796">
      <c r="D7796" s="185"/>
      <c r="E7796" s="185" t="s">
        <v>470</v>
      </c>
      <c r="H7796" s="185"/>
    </row>
    <row r="7797">
      <c r="D7797" s="185"/>
      <c r="E7797" s="185" t="s">
        <v>470</v>
      </c>
      <c r="H7797" s="185"/>
    </row>
    <row r="7798">
      <c r="D7798" s="185"/>
      <c r="E7798" s="185" t="s">
        <v>470</v>
      </c>
      <c r="H7798" s="185"/>
    </row>
    <row r="7799">
      <c r="D7799" s="185"/>
      <c r="E7799" s="185" t="s">
        <v>470</v>
      </c>
      <c r="H7799" s="185"/>
    </row>
    <row r="7800">
      <c r="D7800" s="185"/>
      <c r="E7800" s="185" t="s">
        <v>470</v>
      </c>
      <c r="H7800" s="185"/>
    </row>
    <row r="7801">
      <c r="D7801" s="185"/>
      <c r="E7801" s="185" t="s">
        <v>470</v>
      </c>
      <c r="H7801" s="185"/>
    </row>
    <row r="7802">
      <c r="D7802" s="185"/>
      <c r="E7802" s="185" t="s">
        <v>470</v>
      </c>
      <c r="H7802" s="185"/>
    </row>
    <row r="7803">
      <c r="D7803" s="185"/>
      <c r="E7803" s="185" t="s">
        <v>470</v>
      </c>
      <c r="H7803" s="185"/>
    </row>
    <row r="7804">
      <c r="D7804" s="185"/>
      <c r="E7804" s="185" t="s">
        <v>470</v>
      </c>
      <c r="H7804" s="185"/>
    </row>
    <row r="7805">
      <c r="D7805" s="185"/>
      <c r="E7805" s="185" t="s">
        <v>470</v>
      </c>
      <c r="H7805" s="185"/>
    </row>
    <row r="7806">
      <c r="D7806" s="185"/>
      <c r="E7806" s="185" t="s">
        <v>470</v>
      </c>
      <c r="H7806" s="185"/>
    </row>
    <row r="7807">
      <c r="D7807" s="185"/>
      <c r="E7807" s="185" t="s">
        <v>470</v>
      </c>
      <c r="H7807" s="185"/>
    </row>
    <row r="7808">
      <c r="D7808" s="185"/>
      <c r="E7808" s="185" t="s">
        <v>470</v>
      </c>
      <c r="H7808" s="185"/>
    </row>
    <row r="7809">
      <c r="D7809" s="185"/>
      <c r="E7809" s="185" t="s">
        <v>470</v>
      </c>
      <c r="H7809" s="185"/>
    </row>
    <row r="7810">
      <c r="D7810" s="185"/>
      <c r="E7810" s="185" t="s">
        <v>470</v>
      </c>
      <c r="H7810" s="185"/>
    </row>
    <row r="7811">
      <c r="D7811" s="185"/>
      <c r="E7811" s="185" t="s">
        <v>470</v>
      </c>
      <c r="H7811" s="185"/>
    </row>
    <row r="7812">
      <c r="D7812" s="185"/>
      <c r="E7812" s="185" t="s">
        <v>470</v>
      </c>
      <c r="H7812" s="185"/>
    </row>
    <row r="7813">
      <c r="D7813" s="185"/>
      <c r="E7813" s="185" t="s">
        <v>470</v>
      </c>
      <c r="H7813" s="185"/>
    </row>
    <row r="7814">
      <c r="D7814" s="185"/>
      <c r="E7814" s="185" t="s">
        <v>470</v>
      </c>
      <c r="H7814" s="185"/>
    </row>
    <row r="7815">
      <c r="D7815" s="185"/>
      <c r="E7815" s="185" t="s">
        <v>470</v>
      </c>
      <c r="H7815" s="185"/>
    </row>
    <row r="7816">
      <c r="D7816" s="185"/>
      <c r="E7816" s="185" t="s">
        <v>470</v>
      </c>
      <c r="H7816" s="185"/>
    </row>
    <row r="7817">
      <c r="D7817" s="185"/>
      <c r="E7817" s="185" t="s">
        <v>470</v>
      </c>
      <c r="H7817" s="185"/>
    </row>
    <row r="7818">
      <c r="D7818" s="185"/>
      <c r="E7818" s="185" t="s">
        <v>470</v>
      </c>
      <c r="H7818" s="185"/>
    </row>
    <row r="7819">
      <c r="D7819" s="185"/>
      <c r="E7819" s="185" t="s">
        <v>470</v>
      </c>
      <c r="H7819" s="185"/>
    </row>
    <row r="7820">
      <c r="D7820" s="185"/>
      <c r="E7820" s="185" t="s">
        <v>470</v>
      </c>
      <c r="H7820" s="185"/>
    </row>
    <row r="7821">
      <c r="D7821" s="185"/>
      <c r="E7821" s="185" t="s">
        <v>470</v>
      </c>
      <c r="H7821" s="185"/>
    </row>
    <row r="7822">
      <c r="D7822" s="185"/>
      <c r="E7822" s="185" t="s">
        <v>470</v>
      </c>
      <c r="H7822" s="185"/>
    </row>
    <row r="7823">
      <c r="D7823" s="185"/>
      <c r="E7823" s="185" t="s">
        <v>470</v>
      </c>
      <c r="H7823" s="185"/>
    </row>
    <row r="7824">
      <c r="D7824" s="185"/>
      <c r="E7824" s="185" t="s">
        <v>470</v>
      </c>
      <c r="H7824" s="185"/>
    </row>
    <row r="7825">
      <c r="D7825" s="185"/>
      <c r="E7825" s="185" t="s">
        <v>470</v>
      </c>
      <c r="H7825" s="185"/>
    </row>
    <row r="7826">
      <c r="D7826" s="185"/>
      <c r="E7826" s="185" t="s">
        <v>470</v>
      </c>
      <c r="H7826" s="185"/>
    </row>
    <row r="7827">
      <c r="D7827" s="185"/>
      <c r="E7827" s="185" t="s">
        <v>470</v>
      </c>
      <c r="H7827" s="185"/>
    </row>
    <row r="7828">
      <c r="D7828" s="185"/>
      <c r="E7828" s="185" t="s">
        <v>470</v>
      </c>
      <c r="H7828" s="185"/>
    </row>
    <row r="7829">
      <c r="D7829" s="185"/>
      <c r="E7829" s="185" t="s">
        <v>470</v>
      </c>
      <c r="H7829" s="185"/>
    </row>
    <row r="7830">
      <c r="D7830" s="185"/>
      <c r="E7830" s="185" t="s">
        <v>470</v>
      </c>
      <c r="H7830" s="185"/>
    </row>
    <row r="7831">
      <c r="D7831" s="185"/>
      <c r="E7831" s="185" t="s">
        <v>470</v>
      </c>
      <c r="H7831" s="185"/>
    </row>
    <row r="7832">
      <c r="D7832" s="185"/>
      <c r="E7832" s="185" t="s">
        <v>470</v>
      </c>
      <c r="H7832" s="185"/>
    </row>
    <row r="7833">
      <c r="D7833" s="185"/>
      <c r="E7833" s="185" t="s">
        <v>470</v>
      </c>
      <c r="H7833" s="185"/>
    </row>
    <row r="7834">
      <c r="D7834" s="185"/>
      <c r="E7834" s="185" t="s">
        <v>470</v>
      </c>
      <c r="H7834" s="185"/>
    </row>
    <row r="7835">
      <c r="D7835" s="185"/>
      <c r="E7835" s="185" t="s">
        <v>470</v>
      </c>
      <c r="H7835" s="185"/>
    </row>
    <row r="7836">
      <c r="D7836" s="185"/>
      <c r="E7836" s="185" t="s">
        <v>470</v>
      </c>
      <c r="H7836" s="185"/>
    </row>
    <row r="7837">
      <c r="D7837" s="185"/>
      <c r="E7837" s="185" t="s">
        <v>470</v>
      </c>
      <c r="H7837" s="185"/>
    </row>
    <row r="7838">
      <c r="D7838" s="185"/>
      <c r="E7838" s="185" t="s">
        <v>470</v>
      </c>
      <c r="H7838" s="185"/>
    </row>
    <row r="7839">
      <c r="D7839" s="185"/>
      <c r="E7839" s="185" t="s">
        <v>470</v>
      </c>
      <c r="H7839" s="185"/>
    </row>
    <row r="7840">
      <c r="D7840" s="185"/>
      <c r="E7840" s="185" t="s">
        <v>470</v>
      </c>
      <c r="H7840" s="185"/>
    </row>
    <row r="7841">
      <c r="D7841" s="185"/>
      <c r="E7841" s="185" t="s">
        <v>470</v>
      </c>
      <c r="H7841" s="185"/>
    </row>
    <row r="7842">
      <c r="D7842" s="185"/>
      <c r="E7842" s="185" t="s">
        <v>470</v>
      </c>
      <c r="H7842" s="185"/>
    </row>
    <row r="7843">
      <c r="D7843" s="185"/>
      <c r="E7843" s="185" t="s">
        <v>470</v>
      </c>
      <c r="H7843" s="185"/>
    </row>
    <row r="7844">
      <c r="D7844" s="185"/>
      <c r="E7844" s="185" t="s">
        <v>470</v>
      </c>
      <c r="H7844" s="185"/>
    </row>
    <row r="7845">
      <c r="D7845" s="185"/>
      <c r="E7845" s="185" t="s">
        <v>470</v>
      </c>
      <c r="H7845" s="185"/>
    </row>
    <row r="7846">
      <c r="D7846" s="185"/>
      <c r="E7846" s="185" t="s">
        <v>470</v>
      </c>
      <c r="H7846" s="185"/>
    </row>
    <row r="7847">
      <c r="D7847" s="185"/>
      <c r="E7847" s="185" t="s">
        <v>470</v>
      </c>
      <c r="H7847" s="185"/>
    </row>
    <row r="7848">
      <c r="D7848" s="185"/>
      <c r="E7848" s="185" t="s">
        <v>470</v>
      </c>
      <c r="H7848" s="185"/>
    </row>
    <row r="7849">
      <c r="D7849" s="185"/>
      <c r="E7849" s="185" t="s">
        <v>470</v>
      </c>
      <c r="H7849" s="185"/>
    </row>
    <row r="7850">
      <c r="D7850" s="185"/>
      <c r="E7850" s="185" t="s">
        <v>470</v>
      </c>
      <c r="H7850" s="185"/>
    </row>
    <row r="7851">
      <c r="D7851" s="185"/>
      <c r="E7851" s="185" t="s">
        <v>470</v>
      </c>
      <c r="H7851" s="185"/>
    </row>
    <row r="7852">
      <c r="D7852" s="185"/>
      <c r="E7852" s="185" t="s">
        <v>470</v>
      </c>
      <c r="H7852" s="185"/>
    </row>
    <row r="7853">
      <c r="D7853" s="185"/>
      <c r="E7853" s="185" t="s">
        <v>470</v>
      </c>
      <c r="H7853" s="185"/>
    </row>
    <row r="7854">
      <c r="D7854" s="185"/>
      <c r="E7854" s="185" t="s">
        <v>470</v>
      </c>
      <c r="H7854" s="185"/>
    </row>
    <row r="7855">
      <c r="D7855" s="185"/>
      <c r="E7855" s="185" t="s">
        <v>470</v>
      </c>
      <c r="H7855" s="185"/>
    </row>
    <row r="7856">
      <c r="D7856" s="185"/>
      <c r="E7856" s="185" t="s">
        <v>470</v>
      </c>
      <c r="H7856" s="185"/>
    </row>
    <row r="7857">
      <c r="D7857" s="185"/>
      <c r="E7857" s="185" t="s">
        <v>470</v>
      </c>
      <c r="H7857" s="185"/>
    </row>
    <row r="7858">
      <c r="D7858" s="185"/>
      <c r="E7858" s="185" t="s">
        <v>470</v>
      </c>
      <c r="H7858" s="185"/>
    </row>
    <row r="7859">
      <c r="D7859" s="185"/>
      <c r="E7859" s="185" t="s">
        <v>470</v>
      </c>
      <c r="H7859" s="185"/>
    </row>
    <row r="7860">
      <c r="D7860" s="185"/>
      <c r="E7860" s="185" t="s">
        <v>470</v>
      </c>
      <c r="H7860" s="185"/>
    </row>
    <row r="7861">
      <c r="D7861" s="185"/>
      <c r="E7861" s="185" t="s">
        <v>470</v>
      </c>
      <c r="H7861" s="185"/>
    </row>
    <row r="7862">
      <c r="D7862" s="185"/>
      <c r="E7862" s="185" t="s">
        <v>470</v>
      </c>
      <c r="H7862" s="185"/>
    </row>
    <row r="7863">
      <c r="D7863" s="185"/>
      <c r="E7863" s="185" t="s">
        <v>470</v>
      </c>
      <c r="H7863" s="185"/>
    </row>
    <row r="7864">
      <c r="D7864" s="185"/>
      <c r="E7864" s="185" t="s">
        <v>470</v>
      </c>
      <c r="H7864" s="185"/>
    </row>
    <row r="7865">
      <c r="D7865" s="185"/>
      <c r="E7865" s="185" t="s">
        <v>470</v>
      </c>
      <c r="H7865" s="185"/>
    </row>
    <row r="7866">
      <c r="D7866" s="185"/>
      <c r="E7866" s="185" t="s">
        <v>470</v>
      </c>
      <c r="H7866" s="185"/>
    </row>
    <row r="7867">
      <c r="D7867" s="185"/>
      <c r="E7867" s="185" t="s">
        <v>470</v>
      </c>
      <c r="H7867" s="185"/>
    </row>
    <row r="7868">
      <c r="D7868" s="185"/>
      <c r="E7868" s="185" t="s">
        <v>470</v>
      </c>
      <c r="H7868" s="185"/>
    </row>
    <row r="7869">
      <c r="D7869" s="185"/>
      <c r="E7869" s="185" t="s">
        <v>470</v>
      </c>
      <c r="H7869" s="185"/>
    </row>
    <row r="7870">
      <c r="D7870" s="185"/>
      <c r="E7870" s="185" t="s">
        <v>470</v>
      </c>
      <c r="H7870" s="185"/>
    </row>
    <row r="7871">
      <c r="D7871" s="185"/>
      <c r="E7871" s="185" t="s">
        <v>470</v>
      </c>
      <c r="H7871" s="185"/>
    </row>
    <row r="7872">
      <c r="D7872" s="185"/>
      <c r="E7872" s="185" t="s">
        <v>470</v>
      </c>
      <c r="H7872" s="185"/>
    </row>
    <row r="7873">
      <c r="D7873" s="185"/>
      <c r="E7873" s="185" t="s">
        <v>470</v>
      </c>
      <c r="H7873" s="185"/>
    </row>
    <row r="7874">
      <c r="D7874" s="185"/>
      <c r="E7874" s="185" t="s">
        <v>470</v>
      </c>
      <c r="H7874" s="185"/>
    </row>
    <row r="7875">
      <c r="D7875" s="185"/>
      <c r="E7875" s="185" t="s">
        <v>470</v>
      </c>
      <c r="H7875" s="185"/>
    </row>
    <row r="7876">
      <c r="D7876" s="185"/>
      <c r="E7876" s="185" t="s">
        <v>470</v>
      </c>
      <c r="H7876" s="185"/>
    </row>
    <row r="7877">
      <c r="D7877" s="185"/>
      <c r="E7877" s="185" t="s">
        <v>470</v>
      </c>
      <c r="H7877" s="185"/>
    </row>
    <row r="7878">
      <c r="D7878" s="185"/>
      <c r="E7878" s="185" t="s">
        <v>470</v>
      </c>
      <c r="H7878" s="185"/>
    </row>
    <row r="7879">
      <c r="D7879" s="185"/>
      <c r="E7879" s="185" t="s">
        <v>470</v>
      </c>
      <c r="H7879" s="185"/>
    </row>
    <row r="7880">
      <c r="D7880" s="185"/>
      <c r="E7880" s="185" t="s">
        <v>470</v>
      </c>
      <c r="H7880" s="185"/>
    </row>
    <row r="7881">
      <c r="D7881" s="185"/>
      <c r="E7881" s="185" t="s">
        <v>470</v>
      </c>
      <c r="H7881" s="185"/>
    </row>
    <row r="7882">
      <c r="D7882" s="185"/>
      <c r="E7882" s="185" t="s">
        <v>470</v>
      </c>
      <c r="H7882" s="185"/>
    </row>
    <row r="7883">
      <c r="D7883" s="185"/>
      <c r="E7883" s="185" t="s">
        <v>470</v>
      </c>
      <c r="H7883" s="185"/>
    </row>
    <row r="7884">
      <c r="D7884" s="185"/>
      <c r="E7884" s="185" t="s">
        <v>470</v>
      </c>
      <c r="H7884" s="185"/>
    </row>
    <row r="7885">
      <c r="D7885" s="185"/>
      <c r="E7885" s="185" t="s">
        <v>470</v>
      </c>
      <c r="H7885" s="185"/>
    </row>
    <row r="7886">
      <c r="D7886" s="185"/>
      <c r="E7886" s="185" t="s">
        <v>470</v>
      </c>
      <c r="H7886" s="185"/>
    </row>
    <row r="7887">
      <c r="D7887" s="185"/>
      <c r="E7887" s="185" t="s">
        <v>470</v>
      </c>
      <c r="H7887" s="185"/>
    </row>
    <row r="7888">
      <c r="D7888" s="185"/>
      <c r="E7888" s="185" t="s">
        <v>470</v>
      </c>
      <c r="H7888" s="185"/>
    </row>
    <row r="7889">
      <c r="D7889" s="185"/>
      <c r="E7889" s="185" t="s">
        <v>470</v>
      </c>
      <c r="H7889" s="185"/>
    </row>
    <row r="7890">
      <c r="D7890" s="185"/>
      <c r="E7890" s="185" t="s">
        <v>470</v>
      </c>
      <c r="H7890" s="185"/>
    </row>
    <row r="7891">
      <c r="D7891" s="185"/>
      <c r="E7891" s="185" t="s">
        <v>470</v>
      </c>
      <c r="H7891" s="185"/>
    </row>
    <row r="7892">
      <c r="D7892" s="185"/>
      <c r="E7892" s="185" t="s">
        <v>470</v>
      </c>
      <c r="H7892" s="185"/>
    </row>
    <row r="7893">
      <c r="D7893" s="185"/>
      <c r="E7893" s="185" t="s">
        <v>470</v>
      </c>
      <c r="H7893" s="185"/>
    </row>
    <row r="7894">
      <c r="D7894" s="185"/>
      <c r="E7894" s="185" t="s">
        <v>470</v>
      </c>
      <c r="H7894" s="185"/>
    </row>
    <row r="7895">
      <c r="D7895" s="185"/>
      <c r="E7895" s="185" t="s">
        <v>470</v>
      </c>
      <c r="H7895" s="185"/>
    </row>
    <row r="7896">
      <c r="D7896" s="185"/>
      <c r="E7896" s="185" t="s">
        <v>470</v>
      </c>
      <c r="H7896" s="185"/>
    </row>
    <row r="7897">
      <c r="D7897" s="185"/>
      <c r="E7897" s="185" t="s">
        <v>470</v>
      </c>
      <c r="H7897" s="185"/>
    </row>
    <row r="7898">
      <c r="D7898" s="185"/>
      <c r="E7898" s="185" t="s">
        <v>470</v>
      </c>
      <c r="H7898" s="185"/>
    </row>
    <row r="7899">
      <c r="D7899" s="185"/>
      <c r="E7899" s="185" t="s">
        <v>470</v>
      </c>
      <c r="H7899" s="185"/>
    </row>
    <row r="7900">
      <c r="D7900" s="185"/>
      <c r="E7900" s="185" t="s">
        <v>470</v>
      </c>
      <c r="H7900" s="185"/>
    </row>
    <row r="7901">
      <c r="D7901" s="185"/>
      <c r="E7901" s="185" t="s">
        <v>470</v>
      </c>
      <c r="H7901" s="185"/>
    </row>
    <row r="7902">
      <c r="D7902" s="185"/>
      <c r="E7902" s="185" t="s">
        <v>470</v>
      </c>
      <c r="H7902" s="185"/>
    </row>
    <row r="7903">
      <c r="D7903" s="185"/>
      <c r="E7903" s="185" t="s">
        <v>470</v>
      </c>
      <c r="H7903" s="185"/>
    </row>
    <row r="7904">
      <c r="D7904" s="185"/>
      <c r="E7904" s="185" t="s">
        <v>470</v>
      </c>
      <c r="H7904" s="185"/>
    </row>
    <row r="7905">
      <c r="D7905" s="185"/>
      <c r="E7905" s="185" t="s">
        <v>470</v>
      </c>
      <c r="H7905" s="185"/>
    </row>
    <row r="7906">
      <c r="D7906" s="185"/>
      <c r="E7906" s="185" t="s">
        <v>470</v>
      </c>
      <c r="H7906" s="185"/>
    </row>
    <row r="7907">
      <c r="D7907" s="185"/>
      <c r="E7907" s="185" t="s">
        <v>470</v>
      </c>
      <c r="H7907" s="185"/>
    </row>
    <row r="7908">
      <c r="D7908" s="185"/>
      <c r="E7908" s="185" t="s">
        <v>470</v>
      </c>
      <c r="H7908" s="185"/>
    </row>
    <row r="7909">
      <c r="D7909" s="185"/>
      <c r="E7909" s="185" t="s">
        <v>470</v>
      </c>
      <c r="H7909" s="185"/>
    </row>
    <row r="7910">
      <c r="D7910" s="185"/>
      <c r="E7910" s="185" t="s">
        <v>470</v>
      </c>
      <c r="H7910" s="185"/>
    </row>
    <row r="7911">
      <c r="D7911" s="185"/>
      <c r="E7911" s="185" t="s">
        <v>470</v>
      </c>
      <c r="H7911" s="185"/>
    </row>
    <row r="7912">
      <c r="D7912" s="185"/>
      <c r="E7912" s="185" t="s">
        <v>470</v>
      </c>
      <c r="H7912" s="185"/>
    </row>
    <row r="7913">
      <c r="D7913" s="185"/>
      <c r="E7913" s="185" t="s">
        <v>470</v>
      </c>
      <c r="H7913" s="185"/>
    </row>
    <row r="7914">
      <c r="D7914" s="185"/>
      <c r="E7914" s="185" t="s">
        <v>470</v>
      </c>
      <c r="H7914" s="185"/>
    </row>
    <row r="7915">
      <c r="D7915" s="185"/>
      <c r="E7915" s="185" t="s">
        <v>470</v>
      </c>
      <c r="H7915" s="185"/>
    </row>
    <row r="7916">
      <c r="D7916" s="185"/>
      <c r="E7916" s="185" t="s">
        <v>470</v>
      </c>
      <c r="H7916" s="185"/>
    </row>
    <row r="7917">
      <c r="D7917" s="185"/>
      <c r="E7917" s="185" t="s">
        <v>470</v>
      </c>
      <c r="H7917" s="185"/>
    </row>
    <row r="7918">
      <c r="D7918" s="185"/>
      <c r="E7918" s="185" t="s">
        <v>470</v>
      </c>
      <c r="H7918" s="185"/>
    </row>
    <row r="7919">
      <c r="D7919" s="185"/>
      <c r="E7919" s="185" t="s">
        <v>470</v>
      </c>
      <c r="H7919" s="185"/>
    </row>
    <row r="7920">
      <c r="D7920" s="185"/>
      <c r="E7920" s="185" t="s">
        <v>470</v>
      </c>
      <c r="H7920" s="185"/>
    </row>
    <row r="7921">
      <c r="D7921" s="185"/>
      <c r="E7921" s="185" t="s">
        <v>470</v>
      </c>
      <c r="H7921" s="185"/>
    </row>
    <row r="7922">
      <c r="D7922" s="185"/>
      <c r="E7922" s="185" t="s">
        <v>470</v>
      </c>
      <c r="H7922" s="185"/>
    </row>
    <row r="7923">
      <c r="D7923" s="185"/>
      <c r="E7923" s="185" t="s">
        <v>470</v>
      </c>
      <c r="H7923" s="185"/>
    </row>
    <row r="7924">
      <c r="D7924" s="185"/>
      <c r="E7924" s="185" t="s">
        <v>470</v>
      </c>
      <c r="H7924" s="185"/>
    </row>
    <row r="7925">
      <c r="D7925" s="185"/>
      <c r="E7925" s="185" t="s">
        <v>470</v>
      </c>
      <c r="H7925" s="185"/>
    </row>
    <row r="7926">
      <c r="D7926" s="185"/>
      <c r="E7926" s="185" t="s">
        <v>470</v>
      </c>
      <c r="H7926" s="185"/>
    </row>
    <row r="7927">
      <c r="D7927" s="185"/>
      <c r="E7927" s="185" t="s">
        <v>470</v>
      </c>
      <c r="H7927" s="185"/>
    </row>
    <row r="7928">
      <c r="D7928" s="185"/>
      <c r="E7928" s="185" t="s">
        <v>470</v>
      </c>
      <c r="H7928" s="185"/>
    </row>
    <row r="7929">
      <c r="D7929" s="185"/>
      <c r="E7929" s="185" t="s">
        <v>470</v>
      </c>
      <c r="H7929" s="185"/>
    </row>
    <row r="7930">
      <c r="D7930" s="185"/>
      <c r="E7930" s="185" t="s">
        <v>470</v>
      </c>
      <c r="H7930" s="185"/>
    </row>
    <row r="7931">
      <c r="D7931" s="185"/>
      <c r="E7931" s="185" t="s">
        <v>470</v>
      </c>
      <c r="H7931" s="185"/>
    </row>
    <row r="7932">
      <c r="D7932" s="185"/>
      <c r="E7932" s="185" t="s">
        <v>470</v>
      </c>
      <c r="H7932" s="185"/>
    </row>
    <row r="7933">
      <c r="D7933" s="185"/>
      <c r="E7933" s="185" t="s">
        <v>470</v>
      </c>
      <c r="H7933" s="185"/>
    </row>
    <row r="7934">
      <c r="D7934" s="185"/>
      <c r="E7934" s="185" t="s">
        <v>470</v>
      </c>
      <c r="H7934" s="185"/>
    </row>
    <row r="7935">
      <c r="D7935" s="185"/>
      <c r="E7935" s="185" t="s">
        <v>470</v>
      </c>
      <c r="H7935" s="185"/>
    </row>
    <row r="7936">
      <c r="D7936" s="185"/>
      <c r="E7936" s="185" t="s">
        <v>470</v>
      </c>
      <c r="H7936" s="185"/>
    </row>
    <row r="7937">
      <c r="D7937" s="185"/>
      <c r="E7937" s="185" t="s">
        <v>470</v>
      </c>
      <c r="H7937" s="185"/>
    </row>
    <row r="7938">
      <c r="D7938" s="185"/>
      <c r="E7938" s="185" t="s">
        <v>470</v>
      </c>
      <c r="H7938" s="185"/>
    </row>
    <row r="7939">
      <c r="D7939" s="185"/>
      <c r="E7939" s="185" t="s">
        <v>470</v>
      </c>
      <c r="H7939" s="185"/>
    </row>
    <row r="7940">
      <c r="D7940" s="185"/>
      <c r="E7940" s="185" t="s">
        <v>470</v>
      </c>
      <c r="H7940" s="185"/>
    </row>
    <row r="7941">
      <c r="D7941" s="185"/>
      <c r="E7941" s="185" t="s">
        <v>470</v>
      </c>
      <c r="H7941" s="185"/>
    </row>
    <row r="7942">
      <c r="D7942" s="185"/>
      <c r="E7942" s="185" t="s">
        <v>470</v>
      </c>
      <c r="H7942" s="185"/>
    </row>
    <row r="7943">
      <c r="D7943" s="185"/>
      <c r="E7943" s="185" t="s">
        <v>470</v>
      </c>
      <c r="H7943" s="185"/>
    </row>
    <row r="7944">
      <c r="D7944" s="185"/>
      <c r="E7944" s="185" t="s">
        <v>470</v>
      </c>
      <c r="H7944" s="185"/>
    </row>
    <row r="7945">
      <c r="D7945" s="185"/>
      <c r="E7945" s="185" t="s">
        <v>470</v>
      </c>
      <c r="H7945" s="185"/>
    </row>
    <row r="7946">
      <c r="D7946" s="185"/>
      <c r="E7946" s="185" t="s">
        <v>470</v>
      </c>
      <c r="H7946" s="185"/>
    </row>
    <row r="7947">
      <c r="D7947" s="185"/>
      <c r="E7947" s="185" t="s">
        <v>470</v>
      </c>
      <c r="H7947" s="185"/>
    </row>
    <row r="7948">
      <c r="D7948" s="185"/>
      <c r="E7948" s="185" t="s">
        <v>470</v>
      </c>
      <c r="H7948" s="185"/>
    </row>
    <row r="7949">
      <c r="D7949" s="185"/>
      <c r="E7949" s="185" t="s">
        <v>470</v>
      </c>
      <c r="H7949" s="185"/>
    </row>
    <row r="7950">
      <c r="D7950" s="185"/>
      <c r="E7950" s="185" t="s">
        <v>470</v>
      </c>
      <c r="H7950" s="185"/>
    </row>
    <row r="7951">
      <c r="D7951" s="185"/>
      <c r="E7951" s="185" t="s">
        <v>470</v>
      </c>
      <c r="H7951" s="185"/>
    </row>
    <row r="7952">
      <c r="D7952" s="185"/>
      <c r="E7952" s="185" t="s">
        <v>470</v>
      </c>
      <c r="H7952" s="185"/>
    </row>
    <row r="7953">
      <c r="D7953" s="185"/>
      <c r="E7953" s="185" t="s">
        <v>470</v>
      </c>
      <c r="H7953" s="185"/>
    </row>
    <row r="7954">
      <c r="D7954" s="185"/>
      <c r="E7954" s="185" t="s">
        <v>470</v>
      </c>
      <c r="H7954" s="185"/>
    </row>
    <row r="7955">
      <c r="D7955" s="185"/>
      <c r="E7955" s="185" t="s">
        <v>470</v>
      </c>
      <c r="H7955" s="185"/>
    </row>
    <row r="7956">
      <c r="D7956" s="185"/>
      <c r="E7956" s="185" t="s">
        <v>470</v>
      </c>
      <c r="H7956" s="185"/>
    </row>
    <row r="7957">
      <c r="D7957" s="185"/>
      <c r="E7957" s="185" t="s">
        <v>470</v>
      </c>
      <c r="H7957" s="185"/>
    </row>
    <row r="7958">
      <c r="D7958" s="185"/>
      <c r="E7958" s="185" t="s">
        <v>470</v>
      </c>
      <c r="H7958" s="185"/>
    </row>
    <row r="7959">
      <c r="D7959" s="185"/>
      <c r="E7959" s="185" t="s">
        <v>470</v>
      </c>
      <c r="H7959" s="185"/>
    </row>
    <row r="7960">
      <c r="D7960" s="185"/>
      <c r="E7960" s="185" t="s">
        <v>470</v>
      </c>
      <c r="H7960" s="185"/>
    </row>
    <row r="7961">
      <c r="D7961" s="185"/>
      <c r="E7961" s="185" t="s">
        <v>470</v>
      </c>
      <c r="H7961" s="185"/>
    </row>
    <row r="7962">
      <c r="D7962" s="185"/>
      <c r="E7962" s="185" t="s">
        <v>470</v>
      </c>
      <c r="H7962" s="185"/>
    </row>
    <row r="7963">
      <c r="D7963" s="185"/>
      <c r="E7963" s="185" t="s">
        <v>470</v>
      </c>
      <c r="H7963" s="185"/>
    </row>
    <row r="7964">
      <c r="D7964" s="185"/>
      <c r="E7964" s="185" t="s">
        <v>470</v>
      </c>
      <c r="H7964" s="185"/>
    </row>
    <row r="7965">
      <c r="D7965" s="185"/>
      <c r="E7965" s="185" t="s">
        <v>470</v>
      </c>
      <c r="H7965" s="185"/>
    </row>
    <row r="7966">
      <c r="D7966" s="185"/>
      <c r="E7966" s="185" t="s">
        <v>470</v>
      </c>
      <c r="H7966" s="185"/>
    </row>
    <row r="7967">
      <c r="D7967" s="185"/>
      <c r="E7967" s="185" t="s">
        <v>470</v>
      </c>
      <c r="H7967" s="185"/>
    </row>
    <row r="7968">
      <c r="D7968" s="185"/>
      <c r="E7968" s="185" t="s">
        <v>470</v>
      </c>
      <c r="H7968" s="185"/>
    </row>
    <row r="7969">
      <c r="D7969" s="185"/>
      <c r="E7969" s="185" t="s">
        <v>470</v>
      </c>
      <c r="H7969" s="185"/>
    </row>
    <row r="7970">
      <c r="D7970" s="185"/>
      <c r="E7970" s="185" t="s">
        <v>470</v>
      </c>
      <c r="H7970" s="185"/>
    </row>
    <row r="7971">
      <c r="D7971" s="185"/>
      <c r="E7971" s="185" t="s">
        <v>470</v>
      </c>
      <c r="H7971" s="185"/>
    </row>
    <row r="7972">
      <c r="D7972" s="185"/>
      <c r="E7972" s="185" t="s">
        <v>470</v>
      </c>
      <c r="H7972" s="185"/>
    </row>
    <row r="7973">
      <c r="D7973" s="185"/>
      <c r="E7973" s="185" t="s">
        <v>470</v>
      </c>
      <c r="H7973" s="185"/>
    </row>
    <row r="7974">
      <c r="D7974" s="185"/>
      <c r="E7974" s="185" t="s">
        <v>470</v>
      </c>
      <c r="H7974" s="185"/>
    </row>
    <row r="7975">
      <c r="D7975" s="185"/>
      <c r="E7975" s="185" t="s">
        <v>470</v>
      </c>
      <c r="H7975" s="185"/>
    </row>
    <row r="7976">
      <c r="D7976" s="185"/>
      <c r="E7976" s="185" t="s">
        <v>470</v>
      </c>
      <c r="H7976" s="185"/>
    </row>
    <row r="7977">
      <c r="D7977" s="185"/>
      <c r="E7977" s="185" t="s">
        <v>470</v>
      </c>
      <c r="H7977" s="185"/>
    </row>
    <row r="7978">
      <c r="D7978" s="185"/>
      <c r="E7978" s="185" t="s">
        <v>470</v>
      </c>
      <c r="H7978" s="185"/>
    </row>
    <row r="7979">
      <c r="D7979" s="185"/>
      <c r="E7979" s="185" t="s">
        <v>470</v>
      </c>
      <c r="H7979" s="185"/>
    </row>
    <row r="7980">
      <c r="D7980" s="185"/>
      <c r="E7980" s="185" t="s">
        <v>470</v>
      </c>
      <c r="H7980" s="185"/>
    </row>
    <row r="7981">
      <c r="D7981" s="185"/>
      <c r="E7981" s="185" t="s">
        <v>470</v>
      </c>
      <c r="H7981" s="185"/>
    </row>
    <row r="7982">
      <c r="D7982" s="185"/>
      <c r="E7982" s="185" t="s">
        <v>470</v>
      </c>
      <c r="H7982" s="185"/>
    </row>
    <row r="7983">
      <c r="D7983" s="185"/>
      <c r="E7983" s="185" t="s">
        <v>470</v>
      </c>
      <c r="H7983" s="185"/>
    </row>
    <row r="7984">
      <c r="D7984" s="185"/>
      <c r="E7984" s="185" t="s">
        <v>470</v>
      </c>
      <c r="H7984" s="185"/>
    </row>
    <row r="7985">
      <c r="D7985" s="185"/>
      <c r="E7985" s="185" t="s">
        <v>470</v>
      </c>
      <c r="H7985" s="185"/>
    </row>
    <row r="7986">
      <c r="D7986" s="185"/>
      <c r="E7986" s="185" t="s">
        <v>470</v>
      </c>
      <c r="H7986" s="185"/>
    </row>
    <row r="7987">
      <c r="D7987" s="185"/>
      <c r="E7987" s="185" t="s">
        <v>470</v>
      </c>
      <c r="H7987" s="185"/>
    </row>
    <row r="7988">
      <c r="D7988" s="185"/>
      <c r="E7988" s="185" t="s">
        <v>470</v>
      </c>
      <c r="H7988" s="185"/>
    </row>
    <row r="7989">
      <c r="D7989" s="185"/>
      <c r="E7989" s="185" t="s">
        <v>470</v>
      </c>
      <c r="H7989" s="185"/>
    </row>
    <row r="7990">
      <c r="D7990" s="185"/>
      <c r="E7990" s="185" t="s">
        <v>470</v>
      </c>
      <c r="H7990" s="185"/>
    </row>
    <row r="7991">
      <c r="D7991" s="185"/>
      <c r="E7991" s="185" t="s">
        <v>470</v>
      </c>
      <c r="H7991" s="185"/>
    </row>
    <row r="7992">
      <c r="D7992" s="185"/>
      <c r="E7992" s="185" t="s">
        <v>470</v>
      </c>
      <c r="H7992" s="185"/>
    </row>
    <row r="7993">
      <c r="D7993" s="185"/>
      <c r="E7993" s="185" t="s">
        <v>470</v>
      </c>
      <c r="H7993" s="185"/>
    </row>
    <row r="7994">
      <c r="D7994" s="185"/>
      <c r="E7994" s="185" t="s">
        <v>470</v>
      </c>
      <c r="H7994" s="185"/>
    </row>
    <row r="7995">
      <c r="D7995" s="185"/>
      <c r="E7995" s="185" t="s">
        <v>470</v>
      </c>
      <c r="H7995" s="185"/>
    </row>
    <row r="7996">
      <c r="D7996" s="185"/>
      <c r="E7996" s="185" t="s">
        <v>470</v>
      </c>
      <c r="H7996" s="185"/>
    </row>
    <row r="7997">
      <c r="D7997" s="185"/>
      <c r="E7997" s="185" t="s">
        <v>470</v>
      </c>
      <c r="H7997" s="185"/>
    </row>
    <row r="7998">
      <c r="D7998" s="185"/>
      <c r="E7998" s="185" t="s">
        <v>470</v>
      </c>
      <c r="H7998" s="185"/>
    </row>
    <row r="7999">
      <c r="D7999" s="185"/>
      <c r="E7999" s="185" t="s">
        <v>470</v>
      </c>
      <c r="H7999" s="185"/>
    </row>
    <row r="8000">
      <c r="D8000" s="185"/>
      <c r="E8000" s="185" t="s">
        <v>470</v>
      </c>
      <c r="H8000" s="185"/>
    </row>
    <row r="8001">
      <c r="D8001" s="185"/>
      <c r="E8001" s="185" t="s">
        <v>470</v>
      </c>
      <c r="H8001" s="185"/>
    </row>
    <row r="8002">
      <c r="D8002" s="185"/>
      <c r="E8002" s="185" t="s">
        <v>470</v>
      </c>
      <c r="H8002" s="185"/>
    </row>
    <row r="8003">
      <c r="D8003" s="185"/>
      <c r="E8003" s="185" t="s">
        <v>470</v>
      </c>
      <c r="H8003" s="185"/>
    </row>
    <row r="8004">
      <c r="D8004" s="185"/>
      <c r="E8004" s="185" t="s">
        <v>470</v>
      </c>
      <c r="H8004" s="185"/>
    </row>
    <row r="8005">
      <c r="D8005" s="185"/>
      <c r="E8005" s="185" t="s">
        <v>470</v>
      </c>
      <c r="H8005" s="185"/>
    </row>
    <row r="8006">
      <c r="D8006" s="185"/>
      <c r="E8006" s="185" t="s">
        <v>470</v>
      </c>
      <c r="H8006" s="185"/>
    </row>
    <row r="8007">
      <c r="D8007" s="185"/>
      <c r="E8007" s="185" t="s">
        <v>470</v>
      </c>
      <c r="H8007" s="185"/>
    </row>
    <row r="8008">
      <c r="D8008" s="185"/>
      <c r="E8008" s="185" t="s">
        <v>470</v>
      </c>
      <c r="H8008" s="185"/>
    </row>
    <row r="8009">
      <c r="D8009" s="185"/>
      <c r="E8009" s="185" t="s">
        <v>470</v>
      </c>
      <c r="H8009" s="185"/>
    </row>
    <row r="8010">
      <c r="D8010" s="185"/>
      <c r="E8010" s="185" t="s">
        <v>470</v>
      </c>
      <c r="H8010" s="185"/>
    </row>
    <row r="8011">
      <c r="D8011" s="185"/>
      <c r="E8011" s="185" t="s">
        <v>470</v>
      </c>
      <c r="H8011" s="185"/>
    </row>
    <row r="8012">
      <c r="D8012" s="185"/>
      <c r="E8012" s="185" t="s">
        <v>470</v>
      </c>
      <c r="H8012" s="185"/>
    </row>
    <row r="8013">
      <c r="D8013" s="185"/>
      <c r="E8013" s="185" t="s">
        <v>470</v>
      </c>
      <c r="H8013" s="185"/>
    </row>
    <row r="8014">
      <c r="D8014" s="185"/>
      <c r="E8014" s="185" t="s">
        <v>470</v>
      </c>
      <c r="H8014" s="185"/>
    </row>
    <row r="8015">
      <c r="D8015" s="185"/>
      <c r="E8015" s="185" t="s">
        <v>470</v>
      </c>
      <c r="H8015" s="185"/>
    </row>
    <row r="8016">
      <c r="D8016" s="185"/>
      <c r="E8016" s="185" t="s">
        <v>470</v>
      </c>
      <c r="H8016" s="185"/>
    </row>
    <row r="8017">
      <c r="D8017" s="185"/>
      <c r="E8017" s="185" t="s">
        <v>470</v>
      </c>
      <c r="H8017" s="185"/>
    </row>
    <row r="8018">
      <c r="D8018" s="185"/>
      <c r="E8018" s="185" t="s">
        <v>470</v>
      </c>
      <c r="H8018" s="185"/>
    </row>
    <row r="8019">
      <c r="D8019" s="185"/>
      <c r="E8019" s="185" t="s">
        <v>470</v>
      </c>
      <c r="H8019" s="185"/>
    </row>
    <row r="8020">
      <c r="D8020" s="185"/>
      <c r="E8020" s="185" t="s">
        <v>470</v>
      </c>
      <c r="H8020" s="185"/>
    </row>
    <row r="8021">
      <c r="D8021" s="185"/>
      <c r="E8021" s="185" t="s">
        <v>470</v>
      </c>
      <c r="H8021" s="185"/>
    </row>
    <row r="8022">
      <c r="D8022" s="185"/>
      <c r="E8022" s="185" t="s">
        <v>470</v>
      </c>
      <c r="H8022" s="185"/>
    </row>
    <row r="8023">
      <c r="D8023" s="185"/>
      <c r="E8023" s="185" t="s">
        <v>470</v>
      </c>
      <c r="H8023" s="185"/>
    </row>
    <row r="8024">
      <c r="D8024" s="185"/>
      <c r="E8024" s="185" t="s">
        <v>470</v>
      </c>
      <c r="H8024" s="185"/>
    </row>
    <row r="8025">
      <c r="D8025" s="185"/>
      <c r="E8025" s="185" t="s">
        <v>470</v>
      </c>
      <c r="H8025" s="185"/>
    </row>
    <row r="8026">
      <c r="D8026" s="185"/>
      <c r="E8026" s="185" t="s">
        <v>470</v>
      </c>
      <c r="H8026" s="185"/>
    </row>
    <row r="8027">
      <c r="D8027" s="185"/>
      <c r="E8027" s="185" t="s">
        <v>470</v>
      </c>
      <c r="H8027" s="185"/>
    </row>
    <row r="8028">
      <c r="D8028" s="185"/>
      <c r="E8028" s="185" t="s">
        <v>470</v>
      </c>
      <c r="H8028" s="185"/>
    </row>
    <row r="8029">
      <c r="D8029" s="185"/>
      <c r="E8029" s="185" t="s">
        <v>470</v>
      </c>
      <c r="H8029" s="185"/>
    </row>
    <row r="8030">
      <c r="D8030" s="185"/>
      <c r="E8030" s="185" t="s">
        <v>470</v>
      </c>
      <c r="H8030" s="185"/>
    </row>
    <row r="8031">
      <c r="D8031" s="185"/>
      <c r="E8031" s="185" t="s">
        <v>470</v>
      </c>
      <c r="H8031" s="185"/>
    </row>
    <row r="8032">
      <c r="D8032" s="185"/>
      <c r="E8032" s="185" t="s">
        <v>470</v>
      </c>
      <c r="H8032" s="185"/>
    </row>
    <row r="8033">
      <c r="D8033" s="185"/>
      <c r="E8033" s="185" t="s">
        <v>470</v>
      </c>
      <c r="H8033" s="185"/>
    </row>
    <row r="8034">
      <c r="D8034" s="185"/>
      <c r="E8034" s="185" t="s">
        <v>470</v>
      </c>
      <c r="H8034" s="185"/>
    </row>
    <row r="8035">
      <c r="D8035" s="185"/>
      <c r="E8035" s="185" t="s">
        <v>470</v>
      </c>
      <c r="H8035" s="185"/>
    </row>
    <row r="8036">
      <c r="D8036" s="185"/>
      <c r="E8036" s="185" t="s">
        <v>470</v>
      </c>
      <c r="H8036" s="185"/>
    </row>
    <row r="8037">
      <c r="D8037" s="185"/>
      <c r="E8037" s="185" t="s">
        <v>470</v>
      </c>
      <c r="H8037" s="185"/>
    </row>
    <row r="8038">
      <c r="D8038" s="185"/>
      <c r="E8038" s="185" t="s">
        <v>470</v>
      </c>
      <c r="H8038" s="185"/>
    </row>
    <row r="8039">
      <c r="D8039" s="185"/>
      <c r="E8039" s="185" t="s">
        <v>470</v>
      </c>
      <c r="H8039" s="185"/>
    </row>
    <row r="8040">
      <c r="D8040" s="185"/>
      <c r="E8040" s="185" t="s">
        <v>470</v>
      </c>
      <c r="H8040" s="185"/>
    </row>
    <row r="8041">
      <c r="D8041" s="185"/>
      <c r="E8041" s="185" t="s">
        <v>470</v>
      </c>
      <c r="H8041" s="185"/>
    </row>
    <row r="8042">
      <c r="D8042" s="185"/>
      <c r="E8042" s="185" t="s">
        <v>470</v>
      </c>
      <c r="H8042" s="185"/>
    </row>
    <row r="8043">
      <c r="D8043" s="185"/>
      <c r="E8043" s="185" t="s">
        <v>470</v>
      </c>
      <c r="H8043" s="185"/>
    </row>
    <row r="8044">
      <c r="D8044" s="185"/>
      <c r="E8044" s="185" t="s">
        <v>470</v>
      </c>
      <c r="H8044" s="185"/>
    </row>
    <row r="8045">
      <c r="D8045" s="185"/>
      <c r="E8045" s="185" t="s">
        <v>470</v>
      </c>
      <c r="H8045" s="185"/>
    </row>
    <row r="8046">
      <c r="D8046" s="185"/>
      <c r="E8046" s="185" t="s">
        <v>470</v>
      </c>
      <c r="H8046" s="185"/>
    </row>
    <row r="8047">
      <c r="D8047" s="185"/>
      <c r="E8047" s="185" t="s">
        <v>470</v>
      </c>
      <c r="H8047" s="185"/>
    </row>
    <row r="8048">
      <c r="D8048" s="185"/>
      <c r="E8048" s="185" t="s">
        <v>470</v>
      </c>
      <c r="H8048" s="185"/>
    </row>
    <row r="8049">
      <c r="D8049" s="185"/>
      <c r="E8049" s="185" t="s">
        <v>470</v>
      </c>
      <c r="H8049" s="185"/>
    </row>
    <row r="8050">
      <c r="D8050" s="185"/>
      <c r="E8050" s="185" t="s">
        <v>470</v>
      </c>
      <c r="H8050" s="185"/>
    </row>
    <row r="8051">
      <c r="D8051" s="185"/>
      <c r="E8051" s="185" t="s">
        <v>470</v>
      </c>
      <c r="H8051" s="185"/>
    </row>
    <row r="8052">
      <c r="D8052" s="185"/>
      <c r="E8052" s="185" t="s">
        <v>470</v>
      </c>
      <c r="H8052" s="185"/>
    </row>
    <row r="8053">
      <c r="D8053" s="185"/>
      <c r="E8053" s="185" t="s">
        <v>470</v>
      </c>
      <c r="H8053" s="185"/>
    </row>
    <row r="8054">
      <c r="D8054" s="185"/>
      <c r="E8054" s="185" t="s">
        <v>470</v>
      </c>
      <c r="H8054" s="185"/>
    </row>
    <row r="8055">
      <c r="D8055" s="185"/>
      <c r="E8055" s="185" t="s">
        <v>470</v>
      </c>
      <c r="H8055" s="185"/>
    </row>
    <row r="8056">
      <c r="D8056" s="185"/>
      <c r="E8056" s="185" t="s">
        <v>470</v>
      </c>
      <c r="H8056" s="185"/>
    </row>
    <row r="8057">
      <c r="D8057" s="185"/>
      <c r="E8057" s="185" t="s">
        <v>470</v>
      </c>
      <c r="H8057" s="185"/>
    </row>
    <row r="8058">
      <c r="D8058" s="185"/>
      <c r="E8058" s="185" t="s">
        <v>470</v>
      </c>
      <c r="H8058" s="185"/>
    </row>
    <row r="8059">
      <c r="D8059" s="185"/>
      <c r="E8059" s="185" t="s">
        <v>470</v>
      </c>
      <c r="H8059" s="185"/>
    </row>
    <row r="8060">
      <c r="D8060" s="185"/>
      <c r="E8060" s="185" t="s">
        <v>470</v>
      </c>
      <c r="H8060" s="185"/>
    </row>
    <row r="8061">
      <c r="D8061" s="185"/>
      <c r="E8061" s="185" t="s">
        <v>470</v>
      </c>
      <c r="H8061" s="185"/>
    </row>
    <row r="8062">
      <c r="D8062" s="185"/>
      <c r="E8062" s="185" t="s">
        <v>470</v>
      </c>
      <c r="H8062" s="185"/>
    </row>
    <row r="8063">
      <c r="D8063" s="185"/>
      <c r="E8063" s="185" t="s">
        <v>470</v>
      </c>
      <c r="H8063" s="185"/>
    </row>
    <row r="8064">
      <c r="D8064" s="185"/>
      <c r="E8064" s="185" t="s">
        <v>470</v>
      </c>
      <c r="H8064" s="185"/>
    </row>
    <row r="8065">
      <c r="D8065" s="185"/>
      <c r="E8065" s="185" t="s">
        <v>470</v>
      </c>
      <c r="H8065" s="185"/>
    </row>
    <row r="8066">
      <c r="D8066" s="185"/>
      <c r="E8066" s="185" t="s">
        <v>470</v>
      </c>
      <c r="H8066" s="185"/>
    </row>
    <row r="8067">
      <c r="D8067" s="185"/>
      <c r="E8067" s="185" t="s">
        <v>470</v>
      </c>
      <c r="H8067" s="185"/>
    </row>
    <row r="8068">
      <c r="D8068" s="185"/>
      <c r="E8068" s="185" t="s">
        <v>470</v>
      </c>
      <c r="H8068" s="185"/>
    </row>
    <row r="8069">
      <c r="D8069" s="185"/>
      <c r="E8069" s="185" t="s">
        <v>470</v>
      </c>
      <c r="H8069" s="185"/>
    </row>
    <row r="8070">
      <c r="D8070" s="185"/>
      <c r="E8070" s="185" t="s">
        <v>470</v>
      </c>
      <c r="H8070" s="185"/>
    </row>
    <row r="8071">
      <c r="D8071" s="185"/>
      <c r="E8071" s="185" t="s">
        <v>470</v>
      </c>
      <c r="H8071" s="185"/>
    </row>
    <row r="8072">
      <c r="D8072" s="185"/>
      <c r="E8072" s="185" t="s">
        <v>470</v>
      </c>
      <c r="H8072" s="185"/>
    </row>
    <row r="8073">
      <c r="D8073" s="185"/>
      <c r="E8073" s="185" t="s">
        <v>470</v>
      </c>
      <c r="H8073" s="185"/>
    </row>
    <row r="8074">
      <c r="D8074" s="185"/>
      <c r="E8074" s="185" t="s">
        <v>470</v>
      </c>
      <c r="H8074" s="185"/>
    </row>
    <row r="8075">
      <c r="D8075" s="185"/>
      <c r="E8075" s="185" t="s">
        <v>470</v>
      </c>
      <c r="H8075" s="185"/>
    </row>
    <row r="8076">
      <c r="D8076" s="185"/>
      <c r="E8076" s="185" t="s">
        <v>470</v>
      </c>
      <c r="H8076" s="185"/>
    </row>
    <row r="8077">
      <c r="D8077" s="185"/>
      <c r="E8077" s="185" t="s">
        <v>470</v>
      </c>
      <c r="H8077" s="185"/>
    </row>
    <row r="8078">
      <c r="D8078" s="185"/>
      <c r="E8078" s="185" t="s">
        <v>470</v>
      </c>
      <c r="H8078" s="185"/>
    </row>
    <row r="8079">
      <c r="D8079" s="185"/>
      <c r="E8079" s="185" t="s">
        <v>470</v>
      </c>
      <c r="H8079" s="185"/>
    </row>
    <row r="8080">
      <c r="D8080" s="185"/>
      <c r="E8080" s="185" t="s">
        <v>470</v>
      </c>
      <c r="H8080" s="185"/>
    </row>
    <row r="8081">
      <c r="D8081" s="185"/>
      <c r="E8081" s="185" t="s">
        <v>470</v>
      </c>
      <c r="H8081" s="185"/>
    </row>
    <row r="8082">
      <c r="D8082" s="185"/>
      <c r="E8082" s="185" t="s">
        <v>470</v>
      </c>
      <c r="H8082" s="185"/>
    </row>
    <row r="8083">
      <c r="D8083" s="185"/>
      <c r="E8083" s="185" t="s">
        <v>470</v>
      </c>
      <c r="H8083" s="185"/>
    </row>
    <row r="8084">
      <c r="D8084" s="185"/>
      <c r="E8084" s="185" t="s">
        <v>470</v>
      </c>
      <c r="H8084" s="185"/>
    </row>
    <row r="8085">
      <c r="D8085" s="185"/>
      <c r="E8085" s="185" t="s">
        <v>470</v>
      </c>
      <c r="H8085" s="185"/>
    </row>
    <row r="8086">
      <c r="D8086" s="185"/>
      <c r="E8086" s="185" t="s">
        <v>470</v>
      </c>
      <c r="H8086" s="185"/>
    </row>
    <row r="8087">
      <c r="D8087" s="185"/>
      <c r="E8087" s="185" t="s">
        <v>470</v>
      </c>
      <c r="H8087" s="185"/>
    </row>
    <row r="8088">
      <c r="D8088" s="185"/>
      <c r="E8088" s="185" t="s">
        <v>470</v>
      </c>
      <c r="H8088" s="185"/>
    </row>
    <row r="8089">
      <c r="D8089" s="185"/>
      <c r="E8089" s="185" t="s">
        <v>470</v>
      </c>
      <c r="H8089" s="185"/>
    </row>
    <row r="8090">
      <c r="D8090" s="185"/>
      <c r="E8090" s="185" t="s">
        <v>470</v>
      </c>
      <c r="H8090" s="185"/>
    </row>
    <row r="8091">
      <c r="D8091" s="185"/>
      <c r="E8091" s="185" t="s">
        <v>470</v>
      </c>
      <c r="H8091" s="185"/>
    </row>
    <row r="8092">
      <c r="D8092" s="185"/>
      <c r="E8092" s="185" t="s">
        <v>470</v>
      </c>
      <c r="H8092" s="185"/>
    </row>
    <row r="8093">
      <c r="D8093" s="185"/>
      <c r="E8093" s="185" t="s">
        <v>470</v>
      </c>
      <c r="H8093" s="185"/>
    </row>
    <row r="8094">
      <c r="D8094" s="185"/>
      <c r="E8094" s="185" t="s">
        <v>470</v>
      </c>
      <c r="H8094" s="185"/>
    </row>
    <row r="8095">
      <c r="D8095" s="185"/>
      <c r="E8095" s="185" t="s">
        <v>470</v>
      </c>
      <c r="H8095" s="185"/>
    </row>
    <row r="8096">
      <c r="D8096" s="185"/>
      <c r="E8096" s="185" t="s">
        <v>470</v>
      </c>
      <c r="H8096" s="185"/>
    </row>
    <row r="8097">
      <c r="D8097" s="185"/>
      <c r="E8097" s="185" t="s">
        <v>470</v>
      </c>
      <c r="H8097" s="185"/>
    </row>
    <row r="8098">
      <c r="D8098" s="185"/>
      <c r="E8098" s="185" t="s">
        <v>470</v>
      </c>
      <c r="H8098" s="185"/>
    </row>
    <row r="8099">
      <c r="D8099" s="185"/>
      <c r="E8099" s="185" t="s">
        <v>470</v>
      </c>
      <c r="H8099" s="185"/>
    </row>
    <row r="8100">
      <c r="D8100" s="185"/>
      <c r="E8100" s="185" t="s">
        <v>470</v>
      </c>
      <c r="H8100" s="185"/>
    </row>
    <row r="8101">
      <c r="D8101" s="185"/>
      <c r="E8101" s="185" t="s">
        <v>470</v>
      </c>
      <c r="H8101" s="185"/>
    </row>
    <row r="8102">
      <c r="D8102" s="185"/>
      <c r="E8102" s="185" t="s">
        <v>470</v>
      </c>
      <c r="H8102" s="185"/>
    </row>
    <row r="8103">
      <c r="D8103" s="185"/>
      <c r="E8103" s="185" t="s">
        <v>470</v>
      </c>
      <c r="H8103" s="185"/>
    </row>
    <row r="8104">
      <c r="D8104" s="185"/>
      <c r="E8104" s="185" t="s">
        <v>470</v>
      </c>
      <c r="H8104" s="185"/>
    </row>
    <row r="8105">
      <c r="D8105" s="185"/>
      <c r="E8105" s="185" t="s">
        <v>470</v>
      </c>
      <c r="H8105" s="185"/>
    </row>
    <row r="8106">
      <c r="D8106" s="185"/>
      <c r="E8106" s="185" t="s">
        <v>470</v>
      </c>
      <c r="H8106" s="185"/>
    </row>
    <row r="8107">
      <c r="D8107" s="185"/>
      <c r="E8107" s="185" t="s">
        <v>470</v>
      </c>
      <c r="H8107" s="185"/>
    </row>
    <row r="8108">
      <c r="D8108" s="185"/>
      <c r="E8108" s="185" t="s">
        <v>470</v>
      </c>
      <c r="H8108" s="185"/>
    </row>
    <row r="8109">
      <c r="D8109" s="185"/>
      <c r="E8109" s="185" t="s">
        <v>470</v>
      </c>
      <c r="H8109" s="185"/>
    </row>
    <row r="8110">
      <c r="D8110" s="185"/>
      <c r="E8110" s="185" t="s">
        <v>470</v>
      </c>
      <c r="H8110" s="185"/>
    </row>
    <row r="8111">
      <c r="D8111" s="185"/>
      <c r="E8111" s="185" t="s">
        <v>470</v>
      </c>
      <c r="H8111" s="185"/>
    </row>
    <row r="8112">
      <c r="D8112" s="185"/>
      <c r="E8112" s="185" t="s">
        <v>470</v>
      </c>
      <c r="H8112" s="185"/>
    </row>
    <row r="8113">
      <c r="D8113" s="185"/>
      <c r="E8113" s="185" t="s">
        <v>470</v>
      </c>
      <c r="H8113" s="185"/>
    </row>
    <row r="8114">
      <c r="D8114" s="185"/>
      <c r="E8114" s="185" t="s">
        <v>470</v>
      </c>
      <c r="H8114" s="185"/>
    </row>
    <row r="8115">
      <c r="D8115" s="185"/>
      <c r="E8115" s="185" t="s">
        <v>470</v>
      </c>
      <c r="H8115" s="185"/>
    </row>
    <row r="8116">
      <c r="D8116" s="185"/>
      <c r="E8116" s="185" t="s">
        <v>470</v>
      </c>
      <c r="H8116" s="185"/>
    </row>
    <row r="8117">
      <c r="D8117" s="185"/>
      <c r="E8117" s="185" t="s">
        <v>470</v>
      </c>
      <c r="H8117" s="185"/>
    </row>
    <row r="8118">
      <c r="D8118" s="185"/>
      <c r="E8118" s="185" t="s">
        <v>470</v>
      </c>
      <c r="H8118" s="185"/>
    </row>
    <row r="8119">
      <c r="D8119" s="185"/>
      <c r="E8119" s="185" t="s">
        <v>470</v>
      </c>
      <c r="H8119" s="185"/>
    </row>
    <row r="8120">
      <c r="D8120" s="185"/>
      <c r="E8120" s="185" t="s">
        <v>470</v>
      </c>
      <c r="H8120" s="185"/>
    </row>
    <row r="8121">
      <c r="D8121" s="185"/>
      <c r="E8121" s="185" t="s">
        <v>470</v>
      </c>
      <c r="H8121" s="185"/>
    </row>
    <row r="8122">
      <c r="D8122" s="185"/>
      <c r="E8122" s="185" t="s">
        <v>470</v>
      </c>
      <c r="H8122" s="185"/>
    </row>
    <row r="8123">
      <c r="D8123" s="185"/>
      <c r="E8123" s="185" t="s">
        <v>470</v>
      </c>
      <c r="H8123" s="185"/>
    </row>
    <row r="8124">
      <c r="D8124" s="185"/>
      <c r="E8124" s="185" t="s">
        <v>470</v>
      </c>
      <c r="H8124" s="185"/>
    </row>
    <row r="8125">
      <c r="D8125" s="185"/>
      <c r="E8125" s="185" t="s">
        <v>470</v>
      </c>
      <c r="H8125" s="185"/>
    </row>
    <row r="8126">
      <c r="D8126" s="185"/>
      <c r="E8126" s="185" t="s">
        <v>470</v>
      </c>
      <c r="H8126" s="185"/>
    </row>
    <row r="8127">
      <c r="D8127" s="185"/>
      <c r="E8127" s="185" t="s">
        <v>470</v>
      </c>
      <c r="H8127" s="185"/>
    </row>
    <row r="8128">
      <c r="D8128" s="185"/>
      <c r="E8128" s="185" t="s">
        <v>470</v>
      </c>
      <c r="H8128" s="185"/>
    </row>
    <row r="8129">
      <c r="D8129" s="185"/>
      <c r="E8129" s="185" t="s">
        <v>470</v>
      </c>
      <c r="H8129" s="185"/>
    </row>
    <row r="8130">
      <c r="D8130" s="185"/>
      <c r="E8130" s="185" t="s">
        <v>470</v>
      </c>
      <c r="H8130" s="185"/>
    </row>
    <row r="8131">
      <c r="D8131" s="185"/>
      <c r="E8131" s="185" t="s">
        <v>470</v>
      </c>
      <c r="H8131" s="185"/>
    </row>
    <row r="8132">
      <c r="D8132" s="185"/>
      <c r="E8132" s="185" t="s">
        <v>470</v>
      </c>
      <c r="H8132" s="185"/>
    </row>
    <row r="8133">
      <c r="D8133" s="185"/>
      <c r="E8133" s="185" t="s">
        <v>470</v>
      </c>
      <c r="H8133" s="185"/>
    </row>
    <row r="8134">
      <c r="D8134" s="185"/>
      <c r="E8134" s="185" t="s">
        <v>470</v>
      </c>
      <c r="H8134" s="185"/>
    </row>
    <row r="8135">
      <c r="D8135" s="185"/>
      <c r="E8135" s="185" t="s">
        <v>470</v>
      </c>
      <c r="H8135" s="185"/>
    </row>
    <row r="8136">
      <c r="D8136" s="185"/>
      <c r="E8136" s="185" t="s">
        <v>470</v>
      </c>
      <c r="H8136" s="185"/>
    </row>
    <row r="8137">
      <c r="D8137" s="185"/>
      <c r="E8137" s="185" t="s">
        <v>470</v>
      </c>
      <c r="H8137" s="185"/>
    </row>
    <row r="8138">
      <c r="D8138" s="185"/>
      <c r="E8138" s="185" t="s">
        <v>470</v>
      </c>
      <c r="H8138" s="185"/>
    </row>
    <row r="8139">
      <c r="D8139" s="185"/>
      <c r="E8139" s="185" t="s">
        <v>470</v>
      </c>
      <c r="H8139" s="185"/>
    </row>
    <row r="8140">
      <c r="D8140" s="185"/>
      <c r="E8140" s="185" t="s">
        <v>470</v>
      </c>
      <c r="H8140" s="185"/>
    </row>
    <row r="8141">
      <c r="D8141" s="185"/>
      <c r="E8141" s="185" t="s">
        <v>470</v>
      </c>
      <c r="H8141" s="185"/>
    </row>
    <row r="8142">
      <c r="D8142" s="185"/>
      <c r="E8142" s="185" t="s">
        <v>470</v>
      </c>
      <c r="H8142" s="185"/>
    </row>
    <row r="8143">
      <c r="D8143" s="185"/>
      <c r="E8143" s="185" t="s">
        <v>470</v>
      </c>
      <c r="H8143" s="185"/>
    </row>
    <row r="8144">
      <c r="D8144" s="185"/>
      <c r="E8144" s="185" t="s">
        <v>470</v>
      </c>
      <c r="H8144" s="185"/>
    </row>
    <row r="8145">
      <c r="D8145" s="185"/>
      <c r="E8145" s="185" t="s">
        <v>470</v>
      </c>
      <c r="H8145" s="185"/>
    </row>
    <row r="8146">
      <c r="D8146" s="185"/>
      <c r="E8146" s="185" t="s">
        <v>470</v>
      </c>
      <c r="H8146" s="185"/>
    </row>
    <row r="8147">
      <c r="D8147" s="185"/>
      <c r="E8147" s="185" t="s">
        <v>470</v>
      </c>
      <c r="H8147" s="185"/>
    </row>
    <row r="8148">
      <c r="D8148" s="185"/>
      <c r="E8148" s="185" t="s">
        <v>470</v>
      </c>
      <c r="H8148" s="185"/>
    </row>
    <row r="8149">
      <c r="D8149" s="185"/>
      <c r="E8149" s="185" t="s">
        <v>470</v>
      </c>
      <c r="H8149" s="185"/>
    </row>
    <row r="8150">
      <c r="D8150" s="185"/>
      <c r="E8150" s="185" t="s">
        <v>470</v>
      </c>
      <c r="H8150" s="185"/>
    </row>
    <row r="8151">
      <c r="D8151" s="185"/>
      <c r="E8151" s="185" t="s">
        <v>470</v>
      </c>
      <c r="H8151" s="185"/>
    </row>
    <row r="8152">
      <c r="D8152" s="185"/>
      <c r="E8152" s="185" t="s">
        <v>470</v>
      </c>
      <c r="H8152" s="185"/>
    </row>
    <row r="8153">
      <c r="D8153" s="185"/>
      <c r="E8153" s="185" t="s">
        <v>470</v>
      </c>
      <c r="H8153" s="185"/>
    </row>
    <row r="8154">
      <c r="D8154" s="185"/>
      <c r="E8154" s="185" t="s">
        <v>470</v>
      </c>
      <c r="H8154" s="185"/>
    </row>
    <row r="8155">
      <c r="D8155" s="185"/>
      <c r="E8155" s="185" t="s">
        <v>470</v>
      </c>
      <c r="H8155" s="185"/>
    </row>
    <row r="8156">
      <c r="D8156" s="185"/>
      <c r="E8156" s="185" t="s">
        <v>470</v>
      </c>
      <c r="H8156" s="185"/>
    </row>
    <row r="8157">
      <c r="D8157" s="185"/>
      <c r="E8157" s="185" t="s">
        <v>470</v>
      </c>
      <c r="H8157" s="185"/>
    </row>
    <row r="8158">
      <c r="D8158" s="185"/>
      <c r="E8158" s="185" t="s">
        <v>470</v>
      </c>
      <c r="H8158" s="185"/>
    </row>
    <row r="8159">
      <c r="D8159" s="185"/>
      <c r="E8159" s="185" t="s">
        <v>470</v>
      </c>
      <c r="H8159" s="185"/>
    </row>
    <row r="8160">
      <c r="D8160" s="185"/>
      <c r="E8160" s="185" t="s">
        <v>470</v>
      </c>
      <c r="H8160" s="185"/>
    </row>
    <row r="8161">
      <c r="D8161" s="185"/>
      <c r="E8161" s="185" t="s">
        <v>470</v>
      </c>
      <c r="H8161" s="185"/>
    </row>
    <row r="8162">
      <c r="D8162" s="185"/>
      <c r="E8162" s="185" t="s">
        <v>470</v>
      </c>
      <c r="H8162" s="185"/>
    </row>
    <row r="8163">
      <c r="D8163" s="185"/>
      <c r="E8163" s="185" t="s">
        <v>470</v>
      </c>
      <c r="H8163" s="185"/>
    </row>
    <row r="8164">
      <c r="D8164" s="185"/>
      <c r="E8164" s="185" t="s">
        <v>470</v>
      </c>
      <c r="H8164" s="185"/>
    </row>
    <row r="8165">
      <c r="D8165" s="185"/>
      <c r="E8165" s="185" t="s">
        <v>470</v>
      </c>
      <c r="H8165" s="185"/>
    </row>
    <row r="8166">
      <c r="D8166" s="185"/>
      <c r="E8166" s="185" t="s">
        <v>470</v>
      </c>
      <c r="H8166" s="185"/>
    </row>
    <row r="8167">
      <c r="D8167" s="185"/>
      <c r="E8167" s="185" t="s">
        <v>470</v>
      </c>
      <c r="H8167" s="185"/>
    </row>
    <row r="8168">
      <c r="D8168" s="185"/>
      <c r="E8168" s="185" t="s">
        <v>470</v>
      </c>
      <c r="H8168" s="185"/>
    </row>
    <row r="8169">
      <c r="D8169" s="185"/>
      <c r="E8169" s="185" t="s">
        <v>470</v>
      </c>
      <c r="H8169" s="185"/>
    </row>
    <row r="8170">
      <c r="D8170" s="185"/>
      <c r="E8170" s="185" t="s">
        <v>470</v>
      </c>
      <c r="H8170" s="185"/>
    </row>
    <row r="8171">
      <c r="D8171" s="185"/>
      <c r="E8171" s="185" t="s">
        <v>470</v>
      </c>
      <c r="H8171" s="185"/>
    </row>
    <row r="8172">
      <c r="D8172" s="185"/>
      <c r="E8172" s="185" t="s">
        <v>470</v>
      </c>
      <c r="H8172" s="185"/>
    </row>
    <row r="8173">
      <c r="D8173" s="185"/>
      <c r="E8173" s="185" t="s">
        <v>470</v>
      </c>
      <c r="H8173" s="185"/>
    </row>
    <row r="8174">
      <c r="D8174" s="185"/>
      <c r="E8174" s="185" t="s">
        <v>470</v>
      </c>
      <c r="H8174" s="185"/>
    </row>
    <row r="8175">
      <c r="D8175" s="185"/>
      <c r="E8175" s="185" t="s">
        <v>470</v>
      </c>
      <c r="H8175" s="185"/>
    </row>
    <row r="8176">
      <c r="D8176" s="185"/>
      <c r="E8176" s="185" t="s">
        <v>470</v>
      </c>
      <c r="H8176" s="185"/>
    </row>
    <row r="8177">
      <c r="D8177" s="185"/>
      <c r="E8177" s="185" t="s">
        <v>470</v>
      </c>
      <c r="H8177" s="185"/>
    </row>
    <row r="8178">
      <c r="D8178" s="185"/>
      <c r="E8178" s="185" t="s">
        <v>470</v>
      </c>
      <c r="H8178" s="185"/>
    </row>
    <row r="8179">
      <c r="D8179" s="185"/>
      <c r="E8179" s="185" t="s">
        <v>470</v>
      </c>
      <c r="H8179" s="185"/>
    </row>
    <row r="8180">
      <c r="D8180" s="185"/>
      <c r="E8180" s="185" t="s">
        <v>470</v>
      </c>
      <c r="H8180" s="185"/>
    </row>
    <row r="8181">
      <c r="D8181" s="185"/>
      <c r="E8181" s="185" t="s">
        <v>470</v>
      </c>
      <c r="H8181" s="185"/>
    </row>
    <row r="8182">
      <c r="D8182" s="185"/>
      <c r="E8182" s="185" t="s">
        <v>470</v>
      </c>
      <c r="H8182" s="185"/>
    </row>
    <row r="8183">
      <c r="D8183" s="185"/>
      <c r="E8183" s="185" t="s">
        <v>470</v>
      </c>
      <c r="H8183" s="185"/>
    </row>
    <row r="8184">
      <c r="D8184" s="185"/>
      <c r="E8184" s="185" t="s">
        <v>470</v>
      </c>
      <c r="H8184" s="185"/>
    </row>
    <row r="8185">
      <c r="D8185" s="185"/>
      <c r="E8185" s="185" t="s">
        <v>470</v>
      </c>
      <c r="H8185" s="185"/>
    </row>
    <row r="8186">
      <c r="D8186" s="185"/>
      <c r="E8186" s="185" t="s">
        <v>470</v>
      </c>
      <c r="H8186" s="185"/>
    </row>
    <row r="8187">
      <c r="D8187" s="185"/>
      <c r="E8187" s="185" t="s">
        <v>470</v>
      </c>
      <c r="H8187" s="185"/>
    </row>
    <row r="8188">
      <c r="D8188" s="185"/>
      <c r="E8188" s="185" t="s">
        <v>470</v>
      </c>
      <c r="H8188" s="185"/>
    </row>
    <row r="8189">
      <c r="D8189" s="185"/>
      <c r="E8189" s="185" t="s">
        <v>470</v>
      </c>
      <c r="H8189" s="185"/>
    </row>
    <row r="8190">
      <c r="D8190" s="185"/>
      <c r="E8190" s="185" t="s">
        <v>470</v>
      </c>
      <c r="H8190" s="185"/>
    </row>
    <row r="8191">
      <c r="D8191" s="185"/>
      <c r="E8191" s="185" t="s">
        <v>470</v>
      </c>
      <c r="H8191" s="185"/>
    </row>
    <row r="8192">
      <c r="D8192" s="185"/>
      <c r="E8192" s="185" t="s">
        <v>470</v>
      </c>
      <c r="H8192" s="185"/>
    </row>
    <row r="8193">
      <c r="D8193" s="185"/>
      <c r="E8193" s="185" t="s">
        <v>470</v>
      </c>
      <c r="H8193" s="185"/>
    </row>
    <row r="8194">
      <c r="D8194" s="185"/>
      <c r="E8194" s="185" t="s">
        <v>470</v>
      </c>
      <c r="H8194" s="185"/>
    </row>
    <row r="8195">
      <c r="D8195" s="185"/>
      <c r="E8195" s="185" t="s">
        <v>470</v>
      </c>
      <c r="H8195" s="185"/>
    </row>
    <row r="8196">
      <c r="D8196" s="185"/>
      <c r="E8196" s="185" t="s">
        <v>470</v>
      </c>
      <c r="H8196" s="185"/>
    </row>
    <row r="8197">
      <c r="D8197" s="185"/>
      <c r="E8197" s="185" t="s">
        <v>470</v>
      </c>
      <c r="H8197" s="185"/>
    </row>
    <row r="8198">
      <c r="D8198" s="185"/>
      <c r="E8198" s="185" t="s">
        <v>470</v>
      </c>
      <c r="H8198" s="185"/>
    </row>
    <row r="8199">
      <c r="D8199" s="185"/>
      <c r="E8199" s="185" t="s">
        <v>470</v>
      </c>
      <c r="H8199" s="185"/>
    </row>
    <row r="8200">
      <c r="D8200" s="185"/>
      <c r="E8200" s="185" t="s">
        <v>470</v>
      </c>
      <c r="H8200" s="185"/>
    </row>
    <row r="8201">
      <c r="D8201" s="185"/>
      <c r="E8201" s="185" t="s">
        <v>470</v>
      </c>
      <c r="H8201" s="185"/>
    </row>
    <row r="8202">
      <c r="D8202" s="185"/>
      <c r="E8202" s="185" t="s">
        <v>470</v>
      </c>
      <c r="H8202" s="185"/>
    </row>
    <row r="8203">
      <c r="D8203" s="185"/>
      <c r="E8203" s="185" t="s">
        <v>470</v>
      </c>
      <c r="H8203" s="185"/>
    </row>
    <row r="8204">
      <c r="D8204" s="185"/>
      <c r="E8204" s="185" t="s">
        <v>470</v>
      </c>
      <c r="H8204" s="185"/>
    </row>
    <row r="8205">
      <c r="D8205" s="185"/>
      <c r="E8205" s="185" t="s">
        <v>470</v>
      </c>
      <c r="H8205" s="185"/>
    </row>
    <row r="8206">
      <c r="D8206" s="185"/>
      <c r="E8206" s="185" t="s">
        <v>470</v>
      </c>
      <c r="H8206" s="185"/>
    </row>
    <row r="8207">
      <c r="D8207" s="185"/>
      <c r="E8207" s="185" t="s">
        <v>470</v>
      </c>
      <c r="H8207" s="185"/>
    </row>
    <row r="8208">
      <c r="D8208" s="185"/>
      <c r="E8208" s="185" t="s">
        <v>470</v>
      </c>
      <c r="H8208" s="185"/>
    </row>
    <row r="8209">
      <c r="D8209" s="185"/>
      <c r="E8209" s="185" t="s">
        <v>470</v>
      </c>
      <c r="H8209" s="185"/>
    </row>
    <row r="8210">
      <c r="D8210" s="185"/>
      <c r="E8210" s="185" t="s">
        <v>470</v>
      </c>
      <c r="H8210" s="185"/>
    </row>
    <row r="8211">
      <c r="D8211" s="185"/>
      <c r="E8211" s="185" t="s">
        <v>470</v>
      </c>
      <c r="H8211" s="185"/>
    </row>
    <row r="8212">
      <c r="D8212" s="185"/>
      <c r="E8212" s="185" t="s">
        <v>470</v>
      </c>
      <c r="H8212" s="185"/>
    </row>
    <row r="8213">
      <c r="D8213" s="185"/>
      <c r="E8213" s="185" t="s">
        <v>470</v>
      </c>
      <c r="H8213" s="185"/>
    </row>
    <row r="8214">
      <c r="D8214" s="185"/>
      <c r="E8214" s="185" t="s">
        <v>470</v>
      </c>
      <c r="H8214" s="185"/>
    </row>
    <row r="8215">
      <c r="D8215" s="185"/>
      <c r="E8215" s="185" t="s">
        <v>470</v>
      </c>
      <c r="H8215" s="185"/>
    </row>
    <row r="8216">
      <c r="D8216" s="185"/>
      <c r="E8216" s="185" t="s">
        <v>470</v>
      </c>
      <c r="H8216" s="185"/>
    </row>
    <row r="8217">
      <c r="D8217" s="185"/>
      <c r="E8217" s="185" t="s">
        <v>470</v>
      </c>
      <c r="H8217" s="185"/>
    </row>
    <row r="8218">
      <c r="D8218" s="185"/>
      <c r="E8218" s="185" t="s">
        <v>470</v>
      </c>
      <c r="H8218" s="185"/>
    </row>
    <row r="8219">
      <c r="D8219" s="185"/>
      <c r="E8219" s="185" t="s">
        <v>470</v>
      </c>
      <c r="H8219" s="185"/>
    </row>
    <row r="8220">
      <c r="D8220" s="185"/>
      <c r="E8220" s="185" t="s">
        <v>470</v>
      </c>
      <c r="H8220" s="185"/>
    </row>
    <row r="8221">
      <c r="D8221" s="185"/>
      <c r="E8221" s="185" t="s">
        <v>470</v>
      </c>
      <c r="H8221" s="185"/>
    </row>
    <row r="8222">
      <c r="D8222" s="185"/>
      <c r="E8222" s="185" t="s">
        <v>470</v>
      </c>
      <c r="H8222" s="185"/>
    </row>
    <row r="8223">
      <c r="D8223" s="185"/>
      <c r="E8223" s="185" t="s">
        <v>470</v>
      </c>
      <c r="H8223" s="185"/>
    </row>
    <row r="8224">
      <c r="D8224" s="185"/>
      <c r="E8224" s="185" t="s">
        <v>470</v>
      </c>
      <c r="H8224" s="185"/>
    </row>
    <row r="8225">
      <c r="D8225" s="185"/>
      <c r="E8225" s="185" t="s">
        <v>470</v>
      </c>
      <c r="H8225" s="185"/>
    </row>
    <row r="8226">
      <c r="D8226" s="185"/>
      <c r="E8226" s="185" t="s">
        <v>470</v>
      </c>
      <c r="H8226" s="185"/>
    </row>
    <row r="8227">
      <c r="D8227" s="185"/>
      <c r="E8227" s="185" t="s">
        <v>470</v>
      </c>
      <c r="H8227" s="185"/>
    </row>
    <row r="8228">
      <c r="D8228" s="185"/>
      <c r="E8228" s="185" t="s">
        <v>470</v>
      </c>
      <c r="H8228" s="185"/>
    </row>
    <row r="8229">
      <c r="D8229" s="185"/>
      <c r="E8229" s="185" t="s">
        <v>470</v>
      </c>
      <c r="H8229" s="185"/>
    </row>
    <row r="8230">
      <c r="D8230" s="185"/>
      <c r="E8230" s="185" t="s">
        <v>470</v>
      </c>
      <c r="H8230" s="185"/>
    </row>
    <row r="8231">
      <c r="D8231" s="185"/>
      <c r="E8231" s="185" t="s">
        <v>470</v>
      </c>
      <c r="H8231" s="185"/>
    </row>
    <row r="8232">
      <c r="D8232" s="185"/>
      <c r="E8232" s="185" t="s">
        <v>470</v>
      </c>
      <c r="H8232" s="185"/>
    </row>
    <row r="8233">
      <c r="D8233" s="185"/>
      <c r="E8233" s="185" t="s">
        <v>470</v>
      </c>
      <c r="H8233" s="185"/>
    </row>
    <row r="8234">
      <c r="D8234" s="185"/>
      <c r="E8234" s="185" t="s">
        <v>470</v>
      </c>
      <c r="H8234" s="185"/>
    </row>
    <row r="8235">
      <c r="D8235" s="185"/>
      <c r="E8235" s="185" t="s">
        <v>470</v>
      </c>
      <c r="H8235" s="185"/>
    </row>
    <row r="8236">
      <c r="D8236" s="185"/>
      <c r="E8236" s="185" t="s">
        <v>470</v>
      </c>
      <c r="H8236" s="185"/>
    </row>
    <row r="8237">
      <c r="D8237" s="185"/>
      <c r="E8237" s="185" t="s">
        <v>470</v>
      </c>
      <c r="H8237" s="185"/>
    </row>
    <row r="8238">
      <c r="D8238" s="185"/>
      <c r="E8238" s="185" t="s">
        <v>470</v>
      </c>
      <c r="H8238" s="185"/>
    </row>
    <row r="8239">
      <c r="D8239" s="185"/>
      <c r="E8239" s="185" t="s">
        <v>470</v>
      </c>
      <c r="H8239" s="185"/>
    </row>
    <row r="8240">
      <c r="D8240" s="185"/>
      <c r="E8240" s="185" t="s">
        <v>470</v>
      </c>
      <c r="H8240" s="185"/>
    </row>
    <row r="8241">
      <c r="D8241" s="185"/>
      <c r="E8241" s="185" t="s">
        <v>470</v>
      </c>
      <c r="H8241" s="185"/>
    </row>
    <row r="8242">
      <c r="D8242" s="185"/>
      <c r="E8242" s="185" t="s">
        <v>470</v>
      </c>
      <c r="H8242" s="185"/>
    </row>
    <row r="8243">
      <c r="D8243" s="185"/>
      <c r="E8243" s="185" t="s">
        <v>470</v>
      </c>
      <c r="H8243" s="185"/>
    </row>
    <row r="8244">
      <c r="D8244" s="185"/>
      <c r="E8244" s="185" t="s">
        <v>470</v>
      </c>
      <c r="H8244" s="185"/>
    </row>
    <row r="8245">
      <c r="D8245" s="185"/>
      <c r="E8245" s="185" t="s">
        <v>470</v>
      </c>
      <c r="H8245" s="185"/>
    </row>
    <row r="8246">
      <c r="D8246" s="185"/>
      <c r="E8246" s="185" t="s">
        <v>470</v>
      </c>
      <c r="H8246" s="185"/>
    </row>
    <row r="8247">
      <c r="D8247" s="185"/>
      <c r="E8247" s="185" t="s">
        <v>470</v>
      </c>
      <c r="H8247" s="185"/>
    </row>
    <row r="8248">
      <c r="D8248" s="185"/>
      <c r="E8248" s="185" t="s">
        <v>470</v>
      </c>
      <c r="H8248" s="185"/>
    </row>
    <row r="8249">
      <c r="D8249" s="185"/>
      <c r="E8249" s="185" t="s">
        <v>470</v>
      </c>
      <c r="H8249" s="185"/>
    </row>
    <row r="8250">
      <c r="D8250" s="185"/>
      <c r="E8250" s="185" t="s">
        <v>470</v>
      </c>
      <c r="H8250" s="185"/>
    </row>
    <row r="8251">
      <c r="D8251" s="185"/>
      <c r="E8251" s="185" t="s">
        <v>470</v>
      </c>
      <c r="H8251" s="185"/>
    </row>
    <row r="8252">
      <c r="D8252" s="185"/>
      <c r="E8252" s="185" t="s">
        <v>470</v>
      </c>
      <c r="H8252" s="185"/>
    </row>
    <row r="8253">
      <c r="D8253" s="185"/>
      <c r="E8253" s="185" t="s">
        <v>470</v>
      </c>
      <c r="H8253" s="185"/>
    </row>
    <row r="8254">
      <c r="D8254" s="185"/>
      <c r="E8254" s="185" t="s">
        <v>470</v>
      </c>
      <c r="H8254" s="185"/>
    </row>
    <row r="8255">
      <c r="D8255" s="185"/>
      <c r="E8255" s="185" t="s">
        <v>470</v>
      </c>
      <c r="H8255" s="185"/>
    </row>
    <row r="8256">
      <c r="D8256" s="185"/>
      <c r="E8256" s="185" t="s">
        <v>470</v>
      </c>
      <c r="H8256" s="185"/>
    </row>
    <row r="8257">
      <c r="D8257" s="185"/>
      <c r="E8257" s="185" t="s">
        <v>470</v>
      </c>
      <c r="H8257" s="185"/>
    </row>
    <row r="8258">
      <c r="D8258" s="185"/>
      <c r="E8258" s="185" t="s">
        <v>470</v>
      </c>
      <c r="H8258" s="185"/>
    </row>
    <row r="8259">
      <c r="D8259" s="185"/>
      <c r="E8259" s="185" t="s">
        <v>470</v>
      </c>
      <c r="H8259" s="185"/>
    </row>
    <row r="8260">
      <c r="D8260" s="185"/>
      <c r="E8260" s="185" t="s">
        <v>470</v>
      </c>
      <c r="H8260" s="185"/>
    </row>
    <row r="8261">
      <c r="D8261" s="185"/>
      <c r="E8261" s="185" t="s">
        <v>470</v>
      </c>
      <c r="H8261" s="185"/>
    </row>
    <row r="8262">
      <c r="D8262" s="185"/>
      <c r="E8262" s="185" t="s">
        <v>470</v>
      </c>
      <c r="H8262" s="185"/>
    </row>
    <row r="8263">
      <c r="D8263" s="185"/>
      <c r="E8263" s="185" t="s">
        <v>470</v>
      </c>
      <c r="H8263" s="185"/>
    </row>
    <row r="8264">
      <c r="D8264" s="185"/>
      <c r="E8264" s="185" t="s">
        <v>470</v>
      </c>
      <c r="H8264" s="185"/>
    </row>
    <row r="8265">
      <c r="D8265" s="185"/>
      <c r="E8265" s="185" t="s">
        <v>470</v>
      </c>
      <c r="H8265" s="185"/>
    </row>
    <row r="8266">
      <c r="D8266" s="185"/>
      <c r="E8266" s="185" t="s">
        <v>470</v>
      </c>
      <c r="H8266" s="185"/>
    </row>
    <row r="8267">
      <c r="D8267" s="185"/>
      <c r="E8267" s="185" t="s">
        <v>470</v>
      </c>
      <c r="H8267" s="185"/>
    </row>
    <row r="8268">
      <c r="D8268" s="185"/>
      <c r="E8268" s="185" t="s">
        <v>470</v>
      </c>
      <c r="H8268" s="185"/>
    </row>
    <row r="8269">
      <c r="D8269" s="185"/>
      <c r="E8269" s="185" t="s">
        <v>470</v>
      </c>
      <c r="H8269" s="185"/>
    </row>
    <row r="8270">
      <c r="D8270" s="185"/>
      <c r="E8270" s="185" t="s">
        <v>470</v>
      </c>
      <c r="H8270" s="185"/>
    </row>
    <row r="8271">
      <c r="D8271" s="185"/>
      <c r="E8271" s="185" t="s">
        <v>470</v>
      </c>
      <c r="H8271" s="185"/>
    </row>
    <row r="8272">
      <c r="D8272" s="185"/>
      <c r="E8272" s="185" t="s">
        <v>470</v>
      </c>
      <c r="H8272" s="185"/>
    </row>
    <row r="8273">
      <c r="D8273" s="185"/>
      <c r="E8273" s="185" t="s">
        <v>470</v>
      </c>
      <c r="H8273" s="185"/>
    </row>
    <row r="8274">
      <c r="D8274" s="185"/>
      <c r="E8274" s="185" t="s">
        <v>470</v>
      </c>
      <c r="H8274" s="185"/>
    </row>
    <row r="8275">
      <c r="D8275" s="185"/>
      <c r="E8275" s="185" t="s">
        <v>470</v>
      </c>
      <c r="H8275" s="185"/>
    </row>
    <row r="8276">
      <c r="D8276" s="185"/>
      <c r="E8276" s="185" t="s">
        <v>470</v>
      </c>
      <c r="H8276" s="185"/>
    </row>
    <row r="8277">
      <c r="D8277" s="185"/>
      <c r="E8277" s="185" t="s">
        <v>470</v>
      </c>
      <c r="H8277" s="185"/>
    </row>
    <row r="8278">
      <c r="D8278" s="185"/>
      <c r="E8278" s="185" t="s">
        <v>470</v>
      </c>
      <c r="H8278" s="185"/>
    </row>
    <row r="8279">
      <c r="D8279" s="185"/>
      <c r="E8279" s="185" t="s">
        <v>470</v>
      </c>
      <c r="H8279" s="185"/>
    </row>
    <row r="8280">
      <c r="D8280" s="185"/>
      <c r="E8280" s="185" t="s">
        <v>470</v>
      </c>
      <c r="H8280" s="185"/>
    </row>
    <row r="8281">
      <c r="D8281" s="185"/>
      <c r="E8281" s="185" t="s">
        <v>470</v>
      </c>
      <c r="H8281" s="185"/>
    </row>
    <row r="8282">
      <c r="D8282" s="185"/>
      <c r="E8282" s="185" t="s">
        <v>470</v>
      </c>
      <c r="H8282" s="185"/>
    </row>
    <row r="8283">
      <c r="D8283" s="185"/>
      <c r="E8283" s="185" t="s">
        <v>470</v>
      </c>
      <c r="H8283" s="185"/>
    </row>
    <row r="8284">
      <c r="D8284" s="185"/>
      <c r="E8284" s="185" t="s">
        <v>470</v>
      </c>
      <c r="H8284" s="185"/>
    </row>
    <row r="8285">
      <c r="D8285" s="185"/>
      <c r="E8285" s="185" t="s">
        <v>470</v>
      </c>
      <c r="H8285" s="185"/>
    </row>
    <row r="8286">
      <c r="D8286" s="185"/>
      <c r="E8286" s="185" t="s">
        <v>470</v>
      </c>
      <c r="H8286" s="185"/>
    </row>
    <row r="8287">
      <c r="D8287" s="185"/>
      <c r="E8287" s="185" t="s">
        <v>470</v>
      </c>
      <c r="H8287" s="185"/>
    </row>
    <row r="8288">
      <c r="D8288" s="185"/>
      <c r="E8288" s="185" t="s">
        <v>470</v>
      </c>
      <c r="H8288" s="185"/>
    </row>
    <row r="8289">
      <c r="D8289" s="185"/>
      <c r="E8289" s="185" t="s">
        <v>470</v>
      </c>
      <c r="H8289" s="185"/>
    </row>
    <row r="8290">
      <c r="D8290" s="185"/>
      <c r="E8290" s="185" t="s">
        <v>470</v>
      </c>
      <c r="H8290" s="185"/>
    </row>
    <row r="8291">
      <c r="D8291" s="185"/>
      <c r="E8291" s="185" t="s">
        <v>470</v>
      </c>
      <c r="H8291" s="185"/>
    </row>
    <row r="8292">
      <c r="D8292" s="185"/>
      <c r="E8292" s="185" t="s">
        <v>470</v>
      </c>
      <c r="H8292" s="185"/>
    </row>
    <row r="8293">
      <c r="D8293" s="185"/>
      <c r="E8293" s="185" t="s">
        <v>470</v>
      </c>
      <c r="H8293" s="185"/>
    </row>
    <row r="8294">
      <c r="D8294" s="185"/>
      <c r="E8294" s="185" t="s">
        <v>470</v>
      </c>
      <c r="H8294" s="185"/>
    </row>
    <row r="8295">
      <c r="D8295" s="185"/>
      <c r="E8295" s="185" t="s">
        <v>470</v>
      </c>
      <c r="H8295" s="185"/>
    </row>
    <row r="8296">
      <c r="D8296" s="185"/>
      <c r="E8296" s="185" t="s">
        <v>470</v>
      </c>
      <c r="H8296" s="185"/>
    </row>
    <row r="8297">
      <c r="D8297" s="185"/>
      <c r="E8297" s="185" t="s">
        <v>470</v>
      </c>
      <c r="H8297" s="185"/>
    </row>
    <row r="8298">
      <c r="D8298" s="185"/>
      <c r="E8298" s="185" t="s">
        <v>470</v>
      </c>
      <c r="H8298" s="185"/>
    </row>
    <row r="8299">
      <c r="D8299" s="185"/>
      <c r="E8299" s="185" t="s">
        <v>470</v>
      </c>
      <c r="H8299" s="185"/>
    </row>
    <row r="8300">
      <c r="D8300" s="185"/>
      <c r="E8300" s="185" t="s">
        <v>470</v>
      </c>
      <c r="H8300" s="185"/>
    </row>
    <row r="8301">
      <c r="D8301" s="185"/>
      <c r="E8301" s="185" t="s">
        <v>470</v>
      </c>
      <c r="H8301" s="185"/>
    </row>
    <row r="8302">
      <c r="D8302" s="185"/>
      <c r="E8302" s="185" t="s">
        <v>470</v>
      </c>
      <c r="H8302" s="185"/>
    </row>
    <row r="8303">
      <c r="D8303" s="185"/>
      <c r="E8303" s="185" t="s">
        <v>470</v>
      </c>
      <c r="H8303" s="185"/>
    </row>
    <row r="8304">
      <c r="D8304" s="185"/>
      <c r="E8304" s="185" t="s">
        <v>470</v>
      </c>
      <c r="H8304" s="185"/>
    </row>
    <row r="8305">
      <c r="D8305" s="185"/>
      <c r="E8305" s="185" t="s">
        <v>470</v>
      </c>
      <c r="H8305" s="185"/>
    </row>
    <row r="8306">
      <c r="D8306" s="185"/>
      <c r="E8306" s="185" t="s">
        <v>470</v>
      </c>
      <c r="H8306" s="185"/>
    </row>
    <row r="8307">
      <c r="D8307" s="185"/>
      <c r="E8307" s="185" t="s">
        <v>470</v>
      </c>
      <c r="H8307" s="185"/>
    </row>
    <row r="8308">
      <c r="D8308" s="185"/>
      <c r="E8308" s="185" t="s">
        <v>470</v>
      </c>
      <c r="H8308" s="185"/>
    </row>
    <row r="8309">
      <c r="D8309" s="185"/>
      <c r="E8309" s="185" t="s">
        <v>470</v>
      </c>
      <c r="H8309" s="185"/>
    </row>
    <row r="8310">
      <c r="D8310" s="185"/>
      <c r="E8310" s="185" t="s">
        <v>470</v>
      </c>
      <c r="H8310" s="185"/>
    </row>
    <row r="8311">
      <c r="D8311" s="185"/>
      <c r="E8311" s="185" t="s">
        <v>470</v>
      </c>
      <c r="H8311" s="185"/>
    </row>
    <row r="8312">
      <c r="D8312" s="185"/>
      <c r="E8312" s="185" t="s">
        <v>470</v>
      </c>
      <c r="H8312" s="185"/>
    </row>
    <row r="8313">
      <c r="D8313" s="185"/>
      <c r="E8313" s="185" t="s">
        <v>470</v>
      </c>
      <c r="H8313" s="185"/>
    </row>
    <row r="8314">
      <c r="D8314" s="185"/>
      <c r="E8314" s="185" t="s">
        <v>470</v>
      </c>
      <c r="H8314" s="185"/>
    </row>
    <row r="8315">
      <c r="D8315" s="185"/>
      <c r="E8315" s="185" t="s">
        <v>470</v>
      </c>
      <c r="H8315" s="185"/>
    </row>
    <row r="8316">
      <c r="D8316" s="185"/>
      <c r="E8316" s="185" t="s">
        <v>470</v>
      </c>
      <c r="H8316" s="185"/>
    </row>
    <row r="8317">
      <c r="D8317" s="185"/>
      <c r="E8317" s="185" t="s">
        <v>470</v>
      </c>
      <c r="H8317" s="185"/>
    </row>
    <row r="8318">
      <c r="D8318" s="185"/>
      <c r="E8318" s="185" t="s">
        <v>470</v>
      </c>
      <c r="H8318" s="185"/>
    </row>
    <row r="8319">
      <c r="D8319" s="185"/>
      <c r="E8319" s="185" t="s">
        <v>470</v>
      </c>
      <c r="H8319" s="185"/>
    </row>
    <row r="8320">
      <c r="D8320" s="185"/>
      <c r="E8320" s="185" t="s">
        <v>470</v>
      </c>
      <c r="H8320" s="185"/>
    </row>
    <row r="8321">
      <c r="D8321" s="185"/>
      <c r="E8321" s="185" t="s">
        <v>470</v>
      </c>
      <c r="H8321" s="185"/>
    </row>
    <row r="8322">
      <c r="D8322" s="185"/>
      <c r="E8322" s="185" t="s">
        <v>470</v>
      </c>
      <c r="H8322" s="185"/>
    </row>
    <row r="8323">
      <c r="D8323" s="185"/>
      <c r="E8323" s="185" t="s">
        <v>470</v>
      </c>
      <c r="H8323" s="185"/>
    </row>
    <row r="8324">
      <c r="D8324" s="185"/>
      <c r="E8324" s="185" t="s">
        <v>470</v>
      </c>
      <c r="H8324" s="185"/>
    </row>
    <row r="8325">
      <c r="D8325" s="185"/>
      <c r="E8325" s="185" t="s">
        <v>470</v>
      </c>
      <c r="H8325" s="185"/>
    </row>
    <row r="8326">
      <c r="D8326" s="185"/>
      <c r="E8326" s="185" t="s">
        <v>470</v>
      </c>
      <c r="H8326" s="185"/>
    </row>
    <row r="8327">
      <c r="D8327" s="185"/>
      <c r="E8327" s="185" t="s">
        <v>470</v>
      </c>
      <c r="H8327" s="185"/>
    </row>
    <row r="8328">
      <c r="D8328" s="185"/>
      <c r="E8328" s="185" t="s">
        <v>470</v>
      </c>
      <c r="H8328" s="185"/>
    </row>
    <row r="8329">
      <c r="D8329" s="185"/>
      <c r="E8329" s="185" t="s">
        <v>470</v>
      </c>
      <c r="H8329" s="185"/>
    </row>
    <row r="8330">
      <c r="D8330" s="185"/>
      <c r="E8330" s="185" t="s">
        <v>470</v>
      </c>
      <c r="H8330" s="185"/>
    </row>
    <row r="8331">
      <c r="D8331" s="185"/>
      <c r="E8331" s="185" t="s">
        <v>470</v>
      </c>
      <c r="H8331" s="185"/>
    </row>
    <row r="8332">
      <c r="D8332" s="185"/>
      <c r="E8332" s="185" t="s">
        <v>470</v>
      </c>
      <c r="H8332" s="185"/>
    </row>
    <row r="8333">
      <c r="D8333" s="185"/>
      <c r="E8333" s="185" t="s">
        <v>470</v>
      </c>
      <c r="H8333" s="185"/>
    </row>
    <row r="8334">
      <c r="D8334" s="185"/>
      <c r="E8334" s="185" t="s">
        <v>470</v>
      </c>
      <c r="H8334" s="185"/>
    </row>
    <row r="8335">
      <c r="D8335" s="185"/>
      <c r="E8335" s="185" t="s">
        <v>470</v>
      </c>
      <c r="H8335" s="185"/>
    </row>
    <row r="8336">
      <c r="D8336" s="185"/>
      <c r="E8336" s="185" t="s">
        <v>470</v>
      </c>
      <c r="H8336" s="185"/>
    </row>
    <row r="8337">
      <c r="D8337" s="185"/>
      <c r="E8337" s="185" t="s">
        <v>470</v>
      </c>
      <c r="H8337" s="185"/>
    </row>
    <row r="8338">
      <c r="D8338" s="185"/>
      <c r="E8338" s="185" t="s">
        <v>470</v>
      </c>
      <c r="H8338" s="185"/>
    </row>
    <row r="8339">
      <c r="D8339" s="185"/>
      <c r="E8339" s="185" t="s">
        <v>470</v>
      </c>
      <c r="H8339" s="185"/>
    </row>
    <row r="8340">
      <c r="D8340" s="185"/>
      <c r="E8340" s="185" t="s">
        <v>470</v>
      </c>
      <c r="H8340" s="185"/>
    </row>
    <row r="8341">
      <c r="D8341" s="185"/>
      <c r="E8341" s="185" t="s">
        <v>470</v>
      </c>
      <c r="H8341" s="185"/>
    </row>
    <row r="8342">
      <c r="D8342" s="185"/>
      <c r="E8342" s="185" t="s">
        <v>470</v>
      </c>
      <c r="H8342" s="185"/>
    </row>
    <row r="8343">
      <c r="D8343" s="185"/>
      <c r="E8343" s="185" t="s">
        <v>470</v>
      </c>
      <c r="H8343" s="185"/>
    </row>
    <row r="8344">
      <c r="D8344" s="185"/>
      <c r="E8344" s="185" t="s">
        <v>470</v>
      </c>
      <c r="H8344" s="185"/>
    </row>
    <row r="8345">
      <c r="D8345" s="185"/>
      <c r="E8345" s="185" t="s">
        <v>470</v>
      </c>
      <c r="H8345" s="185"/>
    </row>
    <row r="8346">
      <c r="D8346" s="185"/>
      <c r="E8346" s="185" t="s">
        <v>470</v>
      </c>
      <c r="H8346" s="185"/>
    </row>
    <row r="8347">
      <c r="D8347" s="185"/>
      <c r="E8347" s="185" t="s">
        <v>470</v>
      </c>
      <c r="H8347" s="185"/>
    </row>
    <row r="8348">
      <c r="D8348" s="185"/>
      <c r="E8348" s="185" t="s">
        <v>470</v>
      </c>
      <c r="H8348" s="185"/>
    </row>
    <row r="8349">
      <c r="D8349" s="185"/>
      <c r="E8349" s="185" t="s">
        <v>470</v>
      </c>
      <c r="H8349" s="185"/>
    </row>
    <row r="8350">
      <c r="D8350" s="185"/>
      <c r="E8350" s="185" t="s">
        <v>470</v>
      </c>
      <c r="H8350" s="185"/>
    </row>
    <row r="8351">
      <c r="D8351" s="185"/>
      <c r="E8351" s="185" t="s">
        <v>470</v>
      </c>
      <c r="H8351" s="185"/>
    </row>
    <row r="8352">
      <c r="D8352" s="185"/>
      <c r="E8352" s="185" t="s">
        <v>470</v>
      </c>
      <c r="H8352" s="185"/>
    </row>
    <row r="8353">
      <c r="D8353" s="185"/>
      <c r="E8353" s="185" t="s">
        <v>470</v>
      </c>
      <c r="H8353" s="185"/>
    </row>
    <row r="8354">
      <c r="D8354" s="185"/>
      <c r="E8354" s="185" t="s">
        <v>470</v>
      </c>
      <c r="H8354" s="185"/>
    </row>
    <row r="8355">
      <c r="D8355" s="185"/>
      <c r="E8355" s="185" t="s">
        <v>470</v>
      </c>
      <c r="H8355" s="185"/>
    </row>
    <row r="8356">
      <c r="D8356" s="185"/>
      <c r="E8356" s="185" t="s">
        <v>470</v>
      </c>
      <c r="H8356" s="185"/>
    </row>
    <row r="8357">
      <c r="D8357" s="185"/>
      <c r="E8357" s="185" t="s">
        <v>470</v>
      </c>
      <c r="H8357" s="185"/>
    </row>
    <row r="8358">
      <c r="D8358" s="185"/>
      <c r="E8358" s="185" t="s">
        <v>470</v>
      </c>
      <c r="H8358" s="185"/>
    </row>
    <row r="8359">
      <c r="D8359" s="185"/>
      <c r="E8359" s="185" t="s">
        <v>470</v>
      </c>
      <c r="H8359" s="185"/>
    </row>
    <row r="8360">
      <c r="D8360" s="185"/>
      <c r="E8360" s="185" t="s">
        <v>470</v>
      </c>
      <c r="H8360" s="185"/>
    </row>
    <row r="8361">
      <c r="D8361" s="185"/>
      <c r="E8361" s="185" t="s">
        <v>470</v>
      </c>
      <c r="H8361" s="185"/>
    </row>
    <row r="8362">
      <c r="D8362" s="185"/>
      <c r="E8362" s="185" t="s">
        <v>470</v>
      </c>
      <c r="H8362" s="185"/>
    </row>
    <row r="8363">
      <c r="D8363" s="185"/>
      <c r="E8363" s="185" t="s">
        <v>470</v>
      </c>
      <c r="H8363" s="185"/>
    </row>
    <row r="8364">
      <c r="D8364" s="185"/>
      <c r="E8364" s="185" t="s">
        <v>470</v>
      </c>
      <c r="H8364" s="185"/>
    </row>
    <row r="8365">
      <c r="D8365" s="185"/>
      <c r="E8365" s="185" t="s">
        <v>470</v>
      </c>
      <c r="H8365" s="185"/>
    </row>
    <row r="8366">
      <c r="D8366" s="185"/>
      <c r="E8366" s="185" t="s">
        <v>470</v>
      </c>
      <c r="H8366" s="185"/>
    </row>
    <row r="8367">
      <c r="D8367" s="185"/>
      <c r="E8367" s="185" t="s">
        <v>470</v>
      </c>
      <c r="H8367" s="185"/>
    </row>
    <row r="8368">
      <c r="D8368" s="185"/>
      <c r="E8368" s="185" t="s">
        <v>470</v>
      </c>
      <c r="H8368" s="185"/>
    </row>
    <row r="8369">
      <c r="D8369" s="185"/>
      <c r="E8369" s="185" t="s">
        <v>470</v>
      </c>
      <c r="H8369" s="185"/>
    </row>
    <row r="8370">
      <c r="D8370" s="185"/>
      <c r="E8370" s="185" t="s">
        <v>470</v>
      </c>
      <c r="H8370" s="185"/>
    </row>
    <row r="8371">
      <c r="D8371" s="185"/>
      <c r="E8371" s="185" t="s">
        <v>470</v>
      </c>
      <c r="H8371" s="185"/>
    </row>
    <row r="8372">
      <c r="D8372" s="185"/>
      <c r="E8372" s="185" t="s">
        <v>470</v>
      </c>
      <c r="H8372" s="185"/>
    </row>
    <row r="8373">
      <c r="D8373" s="185"/>
      <c r="E8373" s="185" t="s">
        <v>470</v>
      </c>
      <c r="H8373" s="185"/>
    </row>
    <row r="8374">
      <c r="D8374" s="185"/>
      <c r="E8374" s="185" t="s">
        <v>470</v>
      </c>
      <c r="H8374" s="185"/>
    </row>
    <row r="8375">
      <c r="D8375" s="185"/>
      <c r="E8375" s="185" t="s">
        <v>470</v>
      </c>
      <c r="H8375" s="185"/>
    </row>
    <row r="8376">
      <c r="D8376" s="185"/>
      <c r="E8376" s="185" t="s">
        <v>470</v>
      </c>
      <c r="H8376" s="185"/>
    </row>
    <row r="8377">
      <c r="D8377" s="185"/>
      <c r="E8377" s="185" t="s">
        <v>470</v>
      </c>
      <c r="H8377" s="185"/>
    </row>
    <row r="8378">
      <c r="D8378" s="185"/>
      <c r="E8378" s="185" t="s">
        <v>470</v>
      </c>
      <c r="H8378" s="185"/>
    </row>
    <row r="8379">
      <c r="D8379" s="185"/>
      <c r="E8379" s="185" t="s">
        <v>470</v>
      </c>
      <c r="H8379" s="185"/>
    </row>
    <row r="8380">
      <c r="D8380" s="185"/>
      <c r="E8380" s="185" t="s">
        <v>470</v>
      </c>
      <c r="H8380" s="185"/>
    </row>
    <row r="8381">
      <c r="D8381" s="185"/>
      <c r="E8381" s="185" t="s">
        <v>470</v>
      </c>
      <c r="H8381" s="185"/>
    </row>
    <row r="8382">
      <c r="D8382" s="185"/>
      <c r="E8382" s="185" t="s">
        <v>470</v>
      </c>
      <c r="H8382" s="185"/>
    </row>
    <row r="8383">
      <c r="D8383" s="185"/>
      <c r="E8383" s="185" t="s">
        <v>470</v>
      </c>
      <c r="H8383" s="185"/>
    </row>
    <row r="8384">
      <c r="D8384" s="185"/>
      <c r="E8384" s="185" t="s">
        <v>470</v>
      </c>
      <c r="H8384" s="185"/>
    </row>
    <row r="8385">
      <c r="D8385" s="185"/>
      <c r="E8385" s="185" t="s">
        <v>470</v>
      </c>
      <c r="H8385" s="185"/>
    </row>
    <row r="8386">
      <c r="D8386" s="185"/>
      <c r="E8386" s="185" t="s">
        <v>470</v>
      </c>
      <c r="H8386" s="185"/>
    </row>
    <row r="8387">
      <c r="D8387" s="185"/>
      <c r="E8387" s="185" t="s">
        <v>470</v>
      </c>
      <c r="H8387" s="185"/>
    </row>
    <row r="8388">
      <c r="D8388" s="185"/>
      <c r="E8388" s="185" t="s">
        <v>470</v>
      </c>
      <c r="H8388" s="185"/>
    </row>
    <row r="8389">
      <c r="D8389" s="185"/>
      <c r="E8389" s="185" t="s">
        <v>470</v>
      </c>
      <c r="H8389" s="185"/>
    </row>
    <row r="8390">
      <c r="D8390" s="185"/>
      <c r="E8390" s="185" t="s">
        <v>470</v>
      </c>
      <c r="H8390" s="185"/>
    </row>
    <row r="8391">
      <c r="D8391" s="185"/>
      <c r="E8391" s="185" t="s">
        <v>470</v>
      </c>
      <c r="H8391" s="185"/>
    </row>
    <row r="8392">
      <c r="D8392" s="185"/>
      <c r="E8392" s="185" t="s">
        <v>470</v>
      </c>
      <c r="H8392" s="185"/>
    </row>
    <row r="8393">
      <c r="D8393" s="185"/>
      <c r="E8393" s="185" t="s">
        <v>470</v>
      </c>
      <c r="H8393" s="185"/>
    </row>
    <row r="8394">
      <c r="D8394" s="185"/>
      <c r="E8394" s="185" t="s">
        <v>470</v>
      </c>
      <c r="H8394" s="185"/>
    </row>
    <row r="8395">
      <c r="D8395" s="185"/>
      <c r="E8395" s="185" t="s">
        <v>470</v>
      </c>
      <c r="H8395" s="185"/>
    </row>
    <row r="8396">
      <c r="D8396" s="185"/>
      <c r="E8396" s="185" t="s">
        <v>470</v>
      </c>
      <c r="H8396" s="185"/>
    </row>
    <row r="8397">
      <c r="D8397" s="185"/>
      <c r="E8397" s="185" t="s">
        <v>470</v>
      </c>
      <c r="H8397" s="185"/>
    </row>
    <row r="8398">
      <c r="D8398" s="185"/>
      <c r="E8398" s="185" t="s">
        <v>470</v>
      </c>
      <c r="H8398" s="185"/>
    </row>
    <row r="8399">
      <c r="D8399" s="185"/>
      <c r="E8399" s="185" t="s">
        <v>470</v>
      </c>
      <c r="H8399" s="185"/>
    </row>
    <row r="8400">
      <c r="D8400" s="185"/>
      <c r="E8400" s="185" t="s">
        <v>470</v>
      </c>
      <c r="H8400" s="185"/>
    </row>
    <row r="8401">
      <c r="D8401" s="185"/>
      <c r="E8401" s="185" t="s">
        <v>470</v>
      </c>
      <c r="H8401" s="185"/>
    </row>
    <row r="8402">
      <c r="D8402" s="185"/>
      <c r="E8402" s="185" t="s">
        <v>470</v>
      </c>
      <c r="H8402" s="185"/>
    </row>
    <row r="8403">
      <c r="D8403" s="185"/>
      <c r="E8403" s="185" t="s">
        <v>470</v>
      </c>
      <c r="H8403" s="185"/>
    </row>
    <row r="8404">
      <c r="D8404" s="185"/>
      <c r="E8404" s="185" t="s">
        <v>470</v>
      </c>
      <c r="H8404" s="185"/>
    </row>
    <row r="8405">
      <c r="D8405" s="185"/>
      <c r="E8405" s="185" t="s">
        <v>470</v>
      </c>
      <c r="H8405" s="185"/>
    </row>
    <row r="8406">
      <c r="D8406" s="185"/>
      <c r="E8406" s="185" t="s">
        <v>470</v>
      </c>
      <c r="H8406" s="185"/>
    </row>
    <row r="8407">
      <c r="D8407" s="185"/>
      <c r="E8407" s="185" t="s">
        <v>470</v>
      </c>
      <c r="H8407" s="185"/>
    </row>
    <row r="8408">
      <c r="D8408" s="185"/>
      <c r="E8408" s="185" t="s">
        <v>470</v>
      </c>
      <c r="H8408" s="185"/>
    </row>
    <row r="8409">
      <c r="D8409" s="185"/>
      <c r="E8409" s="185" t="s">
        <v>470</v>
      </c>
      <c r="H8409" s="185"/>
    </row>
    <row r="8410">
      <c r="D8410" s="185"/>
      <c r="E8410" s="185" t="s">
        <v>470</v>
      </c>
      <c r="H8410" s="185"/>
    </row>
    <row r="8411">
      <c r="D8411" s="185"/>
      <c r="E8411" s="185" t="s">
        <v>470</v>
      </c>
      <c r="H8411" s="185"/>
    </row>
    <row r="8412">
      <c r="D8412" s="185"/>
      <c r="E8412" s="185" t="s">
        <v>470</v>
      </c>
      <c r="H8412" s="185"/>
    </row>
    <row r="8413">
      <c r="D8413" s="185"/>
      <c r="E8413" s="185" t="s">
        <v>470</v>
      </c>
      <c r="H8413" s="185"/>
    </row>
    <row r="8414">
      <c r="D8414" s="185"/>
      <c r="E8414" s="185" t="s">
        <v>470</v>
      </c>
      <c r="H8414" s="185"/>
    </row>
    <row r="8415">
      <c r="D8415" s="185"/>
      <c r="E8415" s="185" t="s">
        <v>470</v>
      </c>
      <c r="H8415" s="185"/>
    </row>
    <row r="8416">
      <c r="D8416" s="185"/>
      <c r="E8416" s="185" t="s">
        <v>470</v>
      </c>
      <c r="H8416" s="185"/>
    </row>
    <row r="8417">
      <c r="D8417" s="185"/>
      <c r="E8417" s="185" t="s">
        <v>470</v>
      </c>
      <c r="H8417" s="185"/>
    </row>
    <row r="8418">
      <c r="D8418" s="185"/>
      <c r="E8418" s="185" t="s">
        <v>470</v>
      </c>
      <c r="H8418" s="185"/>
    </row>
    <row r="8419">
      <c r="D8419" s="185"/>
      <c r="E8419" s="185" t="s">
        <v>470</v>
      </c>
      <c r="H8419" s="185"/>
    </row>
    <row r="8420">
      <c r="D8420" s="185"/>
      <c r="E8420" s="185" t="s">
        <v>470</v>
      </c>
      <c r="H8420" s="185"/>
    </row>
    <row r="8421">
      <c r="D8421" s="185"/>
      <c r="E8421" s="185" t="s">
        <v>470</v>
      </c>
      <c r="H8421" s="185"/>
    </row>
    <row r="8422">
      <c r="D8422" s="185"/>
      <c r="E8422" s="185" t="s">
        <v>470</v>
      </c>
      <c r="H8422" s="185"/>
    </row>
    <row r="8423">
      <c r="D8423" s="185"/>
      <c r="E8423" s="185" t="s">
        <v>470</v>
      </c>
      <c r="H8423" s="185"/>
    </row>
    <row r="8424">
      <c r="D8424" s="185"/>
      <c r="E8424" s="185" t="s">
        <v>470</v>
      </c>
      <c r="H8424" s="185"/>
    </row>
    <row r="8425">
      <c r="D8425" s="185"/>
      <c r="E8425" s="185" t="s">
        <v>470</v>
      </c>
      <c r="H8425" s="185"/>
    </row>
    <row r="8426">
      <c r="D8426" s="185"/>
      <c r="E8426" s="185" t="s">
        <v>470</v>
      </c>
      <c r="H8426" s="185"/>
    </row>
    <row r="8427">
      <c r="D8427" s="185"/>
      <c r="E8427" s="185" t="s">
        <v>470</v>
      </c>
      <c r="H8427" s="185"/>
    </row>
    <row r="8428">
      <c r="D8428" s="185"/>
      <c r="E8428" s="185" t="s">
        <v>470</v>
      </c>
      <c r="H8428" s="185"/>
    </row>
    <row r="8429">
      <c r="D8429" s="185"/>
      <c r="E8429" s="185" t="s">
        <v>470</v>
      </c>
      <c r="H8429" s="185"/>
    </row>
    <row r="8430">
      <c r="D8430" s="185"/>
      <c r="E8430" s="185" t="s">
        <v>470</v>
      </c>
      <c r="H8430" s="185"/>
    </row>
    <row r="8431">
      <c r="D8431" s="185"/>
      <c r="E8431" s="185" t="s">
        <v>470</v>
      </c>
      <c r="H8431" s="185"/>
    </row>
    <row r="8432">
      <c r="D8432" s="185"/>
      <c r="E8432" s="185" t="s">
        <v>470</v>
      </c>
      <c r="H8432" s="185"/>
    </row>
    <row r="8433">
      <c r="D8433" s="185"/>
      <c r="E8433" s="185" t="s">
        <v>470</v>
      </c>
      <c r="H8433" s="185"/>
    </row>
    <row r="8434">
      <c r="D8434" s="185"/>
      <c r="E8434" s="185" t="s">
        <v>470</v>
      </c>
      <c r="H8434" s="185"/>
    </row>
    <row r="8435">
      <c r="D8435" s="185"/>
      <c r="E8435" s="185" t="s">
        <v>470</v>
      </c>
      <c r="H8435" s="185"/>
    </row>
    <row r="8436">
      <c r="D8436" s="185"/>
      <c r="E8436" s="185" t="s">
        <v>470</v>
      </c>
      <c r="H8436" s="185"/>
    </row>
    <row r="8437">
      <c r="D8437" s="185"/>
      <c r="E8437" s="185" t="s">
        <v>470</v>
      </c>
      <c r="H8437" s="185"/>
    </row>
    <row r="8438">
      <c r="D8438" s="185"/>
      <c r="E8438" s="185" t="s">
        <v>470</v>
      </c>
      <c r="H8438" s="185"/>
    </row>
    <row r="8439">
      <c r="D8439" s="185"/>
      <c r="E8439" s="185" t="s">
        <v>470</v>
      </c>
      <c r="H8439" s="185"/>
    </row>
    <row r="8440">
      <c r="D8440" s="185"/>
      <c r="E8440" s="185" t="s">
        <v>470</v>
      </c>
      <c r="H8440" s="185"/>
    </row>
    <row r="8441">
      <c r="D8441" s="185"/>
      <c r="E8441" s="185" t="s">
        <v>470</v>
      </c>
      <c r="H8441" s="185"/>
    </row>
    <row r="8442">
      <c r="D8442" s="185"/>
      <c r="E8442" s="185" t="s">
        <v>470</v>
      </c>
      <c r="H8442" s="185"/>
    </row>
    <row r="8443">
      <c r="D8443" s="185"/>
      <c r="E8443" s="185" t="s">
        <v>470</v>
      </c>
      <c r="H8443" s="185"/>
    </row>
    <row r="8444">
      <c r="D8444" s="185"/>
      <c r="E8444" s="185" t="s">
        <v>470</v>
      </c>
      <c r="H8444" s="185"/>
    </row>
    <row r="8445">
      <c r="D8445" s="185"/>
      <c r="E8445" s="185" t="s">
        <v>470</v>
      </c>
      <c r="H8445" s="185"/>
    </row>
    <row r="8446">
      <c r="D8446" s="185"/>
      <c r="E8446" s="185" t="s">
        <v>470</v>
      </c>
      <c r="H8446" s="185"/>
    </row>
    <row r="8447">
      <c r="D8447" s="185"/>
      <c r="E8447" s="185" t="s">
        <v>470</v>
      </c>
      <c r="H8447" s="185"/>
    </row>
    <row r="8448">
      <c r="D8448" s="185"/>
      <c r="E8448" s="185" t="s">
        <v>470</v>
      </c>
      <c r="H8448" s="185"/>
    </row>
    <row r="8449">
      <c r="D8449" s="185"/>
      <c r="E8449" s="185" t="s">
        <v>470</v>
      </c>
      <c r="H8449" s="185"/>
    </row>
    <row r="8450">
      <c r="D8450" s="185"/>
      <c r="E8450" s="185" t="s">
        <v>470</v>
      </c>
      <c r="H8450" s="185"/>
    </row>
    <row r="8451">
      <c r="D8451" s="185"/>
      <c r="E8451" s="185" t="s">
        <v>470</v>
      </c>
      <c r="H8451" s="185"/>
    </row>
    <row r="8452">
      <c r="D8452" s="185"/>
      <c r="E8452" s="185" t="s">
        <v>470</v>
      </c>
      <c r="H8452" s="185"/>
    </row>
    <row r="8453">
      <c r="D8453" s="185"/>
      <c r="E8453" s="185" t="s">
        <v>470</v>
      </c>
      <c r="H8453" s="185"/>
    </row>
    <row r="8454">
      <c r="D8454" s="185"/>
      <c r="E8454" s="185" t="s">
        <v>470</v>
      </c>
      <c r="H8454" s="185"/>
    </row>
    <row r="8455">
      <c r="D8455" s="185"/>
      <c r="E8455" s="185" t="s">
        <v>470</v>
      </c>
      <c r="H8455" s="185"/>
    </row>
    <row r="8456">
      <c r="D8456" s="185"/>
      <c r="E8456" s="185" t="s">
        <v>470</v>
      </c>
      <c r="H8456" s="185"/>
    </row>
    <row r="8457">
      <c r="D8457" s="185"/>
      <c r="E8457" s="185" t="s">
        <v>470</v>
      </c>
      <c r="H8457" s="185"/>
    </row>
    <row r="8458">
      <c r="D8458" s="185"/>
      <c r="E8458" s="185" t="s">
        <v>470</v>
      </c>
      <c r="H8458" s="185"/>
    </row>
    <row r="8459">
      <c r="D8459" s="185"/>
      <c r="E8459" s="185" t="s">
        <v>470</v>
      </c>
      <c r="H8459" s="185"/>
    </row>
    <row r="8460">
      <c r="D8460" s="185"/>
      <c r="E8460" s="185" t="s">
        <v>470</v>
      </c>
      <c r="H8460" s="185"/>
    </row>
    <row r="8461">
      <c r="D8461" s="185"/>
      <c r="E8461" s="185" t="s">
        <v>470</v>
      </c>
      <c r="H8461" s="185"/>
    </row>
    <row r="8462">
      <c r="D8462" s="185"/>
      <c r="E8462" s="185" t="s">
        <v>470</v>
      </c>
      <c r="H8462" s="185"/>
    </row>
    <row r="8463">
      <c r="D8463" s="185"/>
      <c r="E8463" s="185" t="s">
        <v>470</v>
      </c>
      <c r="H8463" s="185"/>
    </row>
    <row r="8464">
      <c r="D8464" s="185"/>
      <c r="E8464" s="185" t="s">
        <v>470</v>
      </c>
      <c r="H8464" s="185"/>
    </row>
    <row r="8465">
      <c r="D8465" s="185"/>
      <c r="E8465" s="185" t="s">
        <v>470</v>
      </c>
      <c r="H8465" s="185"/>
    </row>
    <row r="8466">
      <c r="D8466" s="185"/>
      <c r="E8466" s="185" t="s">
        <v>470</v>
      </c>
      <c r="H8466" s="185"/>
    </row>
    <row r="8467">
      <c r="D8467" s="185"/>
      <c r="E8467" s="185" t="s">
        <v>470</v>
      </c>
      <c r="H8467" s="185"/>
    </row>
    <row r="8468">
      <c r="D8468" s="185"/>
      <c r="E8468" s="185" t="s">
        <v>470</v>
      </c>
      <c r="H8468" s="185"/>
    </row>
    <row r="8469">
      <c r="D8469" s="185"/>
      <c r="E8469" s="185" t="s">
        <v>470</v>
      </c>
      <c r="H8469" s="185"/>
    </row>
    <row r="8470">
      <c r="D8470" s="185"/>
      <c r="E8470" s="185" t="s">
        <v>470</v>
      </c>
      <c r="H8470" s="185"/>
    </row>
    <row r="8471">
      <c r="D8471" s="185"/>
      <c r="E8471" s="185" t="s">
        <v>470</v>
      </c>
      <c r="H8471" s="185"/>
    </row>
    <row r="8472">
      <c r="D8472" s="185"/>
      <c r="E8472" s="185" t="s">
        <v>470</v>
      </c>
      <c r="H8472" s="185"/>
    </row>
    <row r="8473">
      <c r="D8473" s="185"/>
      <c r="E8473" s="185" t="s">
        <v>470</v>
      </c>
      <c r="H8473" s="185"/>
    </row>
    <row r="8474">
      <c r="D8474" s="185"/>
      <c r="E8474" s="185" t="s">
        <v>470</v>
      </c>
      <c r="H8474" s="185"/>
    </row>
    <row r="8475">
      <c r="D8475" s="185"/>
      <c r="E8475" s="185" t="s">
        <v>470</v>
      </c>
      <c r="H8475" s="185"/>
    </row>
    <row r="8476">
      <c r="D8476" s="185"/>
      <c r="E8476" s="185" t="s">
        <v>470</v>
      </c>
      <c r="H8476" s="185"/>
    </row>
    <row r="8477">
      <c r="D8477" s="185"/>
      <c r="E8477" s="185" t="s">
        <v>470</v>
      </c>
      <c r="H8477" s="185"/>
    </row>
    <row r="8478">
      <c r="D8478" s="185"/>
      <c r="E8478" s="185" t="s">
        <v>470</v>
      </c>
      <c r="H8478" s="185"/>
    </row>
    <row r="8479">
      <c r="D8479" s="185"/>
      <c r="E8479" s="185" t="s">
        <v>470</v>
      </c>
      <c r="H8479" s="185"/>
    </row>
    <row r="8480">
      <c r="D8480" s="185"/>
      <c r="E8480" s="185" t="s">
        <v>470</v>
      </c>
      <c r="H8480" s="185"/>
    </row>
    <row r="8481">
      <c r="D8481" s="185"/>
      <c r="E8481" s="185" t="s">
        <v>470</v>
      </c>
      <c r="H8481" s="185"/>
    </row>
    <row r="8482">
      <c r="D8482" s="185"/>
      <c r="E8482" s="185" t="s">
        <v>470</v>
      </c>
      <c r="H8482" s="185"/>
    </row>
    <row r="8483">
      <c r="D8483" s="185"/>
      <c r="E8483" s="185" t="s">
        <v>470</v>
      </c>
      <c r="H8483" s="185"/>
    </row>
    <row r="8484">
      <c r="D8484" s="185"/>
      <c r="E8484" s="185" t="s">
        <v>470</v>
      </c>
      <c r="H8484" s="185"/>
    </row>
    <row r="8485">
      <c r="D8485" s="185"/>
      <c r="E8485" s="185" t="s">
        <v>470</v>
      </c>
      <c r="H8485" s="185"/>
    </row>
    <row r="8486">
      <c r="D8486" s="185"/>
      <c r="E8486" s="185" t="s">
        <v>470</v>
      </c>
      <c r="H8486" s="185"/>
    </row>
    <row r="8487">
      <c r="D8487" s="185"/>
      <c r="E8487" s="185" t="s">
        <v>470</v>
      </c>
      <c r="H8487" s="185"/>
    </row>
    <row r="8488">
      <c r="D8488" s="185"/>
      <c r="E8488" s="185" t="s">
        <v>470</v>
      </c>
      <c r="H8488" s="185"/>
    </row>
    <row r="8489">
      <c r="D8489" s="185"/>
      <c r="E8489" s="185" t="s">
        <v>470</v>
      </c>
      <c r="H8489" s="185"/>
    </row>
    <row r="8490">
      <c r="D8490" s="185"/>
      <c r="E8490" s="185" t="s">
        <v>470</v>
      </c>
      <c r="H8490" s="185"/>
    </row>
    <row r="8491">
      <c r="D8491" s="185"/>
      <c r="E8491" s="185" t="s">
        <v>470</v>
      </c>
      <c r="H8491" s="185"/>
    </row>
    <row r="8492">
      <c r="D8492" s="185"/>
      <c r="E8492" s="185" t="s">
        <v>470</v>
      </c>
      <c r="H8492" s="185"/>
    </row>
    <row r="8493">
      <c r="D8493" s="185"/>
      <c r="E8493" s="185" t="s">
        <v>470</v>
      </c>
      <c r="H8493" s="185"/>
    </row>
    <row r="8494">
      <c r="D8494" s="185"/>
      <c r="E8494" s="185" t="s">
        <v>470</v>
      </c>
      <c r="H8494" s="185"/>
    </row>
    <row r="8495">
      <c r="D8495" s="185"/>
      <c r="E8495" s="185" t="s">
        <v>470</v>
      </c>
      <c r="H8495" s="185"/>
    </row>
    <row r="8496">
      <c r="D8496" s="185"/>
      <c r="E8496" s="185" t="s">
        <v>470</v>
      </c>
      <c r="H8496" s="185"/>
    </row>
    <row r="8497">
      <c r="D8497" s="185"/>
      <c r="E8497" s="185" t="s">
        <v>470</v>
      </c>
      <c r="H8497" s="185"/>
    </row>
    <row r="8498">
      <c r="D8498" s="185"/>
      <c r="E8498" s="185" t="s">
        <v>470</v>
      </c>
      <c r="H8498" s="185"/>
    </row>
    <row r="8499">
      <c r="D8499" s="185"/>
      <c r="E8499" s="185" t="s">
        <v>470</v>
      </c>
      <c r="H8499" s="185"/>
    </row>
    <row r="8500">
      <c r="D8500" s="185"/>
      <c r="E8500" s="185" t="s">
        <v>470</v>
      </c>
      <c r="H8500" s="185"/>
    </row>
    <row r="8501">
      <c r="D8501" s="185"/>
      <c r="E8501" s="185" t="s">
        <v>470</v>
      </c>
      <c r="H8501" s="185"/>
    </row>
    <row r="8502">
      <c r="D8502" s="185"/>
      <c r="E8502" s="185" t="s">
        <v>470</v>
      </c>
      <c r="H8502" s="185"/>
    </row>
    <row r="8503">
      <c r="D8503" s="185"/>
      <c r="E8503" s="185" t="s">
        <v>470</v>
      </c>
      <c r="H8503" s="185"/>
    </row>
    <row r="8504">
      <c r="D8504" s="185"/>
      <c r="E8504" s="185" t="s">
        <v>470</v>
      </c>
      <c r="H8504" s="185"/>
    </row>
    <row r="8505">
      <c r="D8505" s="185"/>
      <c r="E8505" s="185" t="s">
        <v>470</v>
      </c>
      <c r="H8505" s="185"/>
    </row>
    <row r="8506">
      <c r="D8506" s="185"/>
      <c r="E8506" s="185" t="s">
        <v>470</v>
      </c>
      <c r="H8506" s="185"/>
    </row>
    <row r="8507">
      <c r="D8507" s="185"/>
      <c r="E8507" s="185" t="s">
        <v>470</v>
      </c>
      <c r="H8507" s="185"/>
    </row>
    <row r="8508">
      <c r="D8508" s="185"/>
      <c r="E8508" s="185" t="s">
        <v>470</v>
      </c>
      <c r="H8508" s="185"/>
    </row>
    <row r="8509">
      <c r="D8509" s="185"/>
      <c r="E8509" s="185" t="s">
        <v>470</v>
      </c>
      <c r="H8509" s="185"/>
    </row>
    <row r="8510">
      <c r="D8510" s="185"/>
      <c r="E8510" s="185" t="s">
        <v>470</v>
      </c>
      <c r="H8510" s="185"/>
    </row>
    <row r="8511">
      <c r="D8511" s="185"/>
      <c r="E8511" s="185" t="s">
        <v>470</v>
      </c>
      <c r="H8511" s="185"/>
    </row>
    <row r="8512">
      <c r="D8512" s="185"/>
      <c r="E8512" s="185" t="s">
        <v>470</v>
      </c>
      <c r="H8512" s="185"/>
    </row>
    <row r="8513">
      <c r="D8513" s="185"/>
      <c r="E8513" s="185" t="s">
        <v>470</v>
      </c>
      <c r="H8513" s="185"/>
    </row>
    <row r="8514">
      <c r="D8514" s="185"/>
      <c r="E8514" s="185" t="s">
        <v>470</v>
      </c>
      <c r="H8514" s="185"/>
    </row>
    <row r="8515">
      <c r="D8515" s="185"/>
      <c r="E8515" s="185" t="s">
        <v>470</v>
      </c>
      <c r="H8515" s="185"/>
    </row>
    <row r="8516">
      <c r="D8516" s="185"/>
      <c r="E8516" s="185" t="s">
        <v>470</v>
      </c>
      <c r="H8516" s="185"/>
    </row>
    <row r="8517">
      <c r="D8517" s="185"/>
      <c r="E8517" s="185" t="s">
        <v>470</v>
      </c>
      <c r="H8517" s="185"/>
    </row>
    <row r="8518">
      <c r="D8518" s="185"/>
      <c r="E8518" s="185" t="s">
        <v>470</v>
      </c>
      <c r="H8518" s="185"/>
    </row>
    <row r="8519">
      <c r="D8519" s="185"/>
      <c r="E8519" s="185" t="s">
        <v>470</v>
      </c>
      <c r="H8519" s="185"/>
    </row>
    <row r="8520">
      <c r="D8520" s="185"/>
      <c r="E8520" s="185" t="s">
        <v>470</v>
      </c>
      <c r="H8520" s="185"/>
    </row>
    <row r="8521">
      <c r="D8521" s="185"/>
      <c r="E8521" s="185" t="s">
        <v>470</v>
      </c>
      <c r="H8521" s="185"/>
    </row>
    <row r="8522">
      <c r="D8522" s="185"/>
      <c r="E8522" s="185" t="s">
        <v>470</v>
      </c>
      <c r="H8522" s="185"/>
    </row>
    <row r="8523">
      <c r="D8523" s="185"/>
      <c r="E8523" s="185" t="s">
        <v>470</v>
      </c>
      <c r="H8523" s="185"/>
    </row>
    <row r="8524">
      <c r="D8524" s="185"/>
      <c r="E8524" s="185" t="s">
        <v>470</v>
      </c>
      <c r="H8524" s="185"/>
    </row>
    <row r="8525">
      <c r="D8525" s="185"/>
      <c r="E8525" s="185" t="s">
        <v>470</v>
      </c>
      <c r="H8525" s="185"/>
    </row>
    <row r="8526">
      <c r="D8526" s="185"/>
      <c r="E8526" s="185" t="s">
        <v>470</v>
      </c>
      <c r="H8526" s="185"/>
    </row>
    <row r="8527">
      <c r="D8527" s="185"/>
      <c r="E8527" s="185" t="s">
        <v>470</v>
      </c>
      <c r="H8527" s="185"/>
    </row>
    <row r="8528">
      <c r="D8528" s="185"/>
      <c r="E8528" s="185" t="s">
        <v>470</v>
      </c>
      <c r="H8528" s="185"/>
    </row>
    <row r="8529">
      <c r="D8529" s="185"/>
      <c r="E8529" s="185" t="s">
        <v>470</v>
      </c>
      <c r="H8529" s="185"/>
    </row>
    <row r="8530">
      <c r="D8530" s="185"/>
      <c r="E8530" s="185" t="s">
        <v>470</v>
      </c>
      <c r="H8530" s="185"/>
    </row>
    <row r="8531">
      <c r="D8531" s="185"/>
      <c r="E8531" s="185" t="s">
        <v>470</v>
      </c>
      <c r="H8531" s="185"/>
    </row>
    <row r="8532">
      <c r="D8532" s="185"/>
      <c r="E8532" s="185" t="s">
        <v>470</v>
      </c>
      <c r="H8532" s="185"/>
    </row>
    <row r="8533">
      <c r="D8533" s="185"/>
      <c r="E8533" s="185" t="s">
        <v>470</v>
      </c>
      <c r="H8533" s="185"/>
    </row>
    <row r="8534">
      <c r="D8534" s="185"/>
      <c r="E8534" s="185" t="s">
        <v>470</v>
      </c>
      <c r="H8534" s="185"/>
    </row>
    <row r="8535">
      <c r="D8535" s="185"/>
      <c r="E8535" s="185" t="s">
        <v>470</v>
      </c>
      <c r="H8535" s="185"/>
    </row>
    <row r="8536">
      <c r="D8536" s="185"/>
      <c r="E8536" s="185" t="s">
        <v>470</v>
      </c>
      <c r="H8536" s="185"/>
    </row>
    <row r="8537">
      <c r="D8537" s="185"/>
      <c r="E8537" s="185" t="s">
        <v>470</v>
      </c>
      <c r="H8537" s="185"/>
    </row>
    <row r="8538">
      <c r="D8538" s="185"/>
      <c r="E8538" s="185" t="s">
        <v>470</v>
      </c>
      <c r="H8538" s="185"/>
    </row>
    <row r="8539">
      <c r="D8539" s="185"/>
      <c r="E8539" s="185" t="s">
        <v>470</v>
      </c>
      <c r="H8539" s="185"/>
    </row>
    <row r="8540">
      <c r="D8540" s="185"/>
      <c r="E8540" s="185" t="s">
        <v>470</v>
      </c>
      <c r="H8540" s="185"/>
    </row>
    <row r="8541">
      <c r="D8541" s="185"/>
      <c r="E8541" s="185" t="s">
        <v>470</v>
      </c>
      <c r="H8541" s="185"/>
    </row>
    <row r="8542">
      <c r="D8542" s="185"/>
      <c r="E8542" s="185" t="s">
        <v>470</v>
      </c>
      <c r="H8542" s="185"/>
    </row>
    <row r="8543">
      <c r="D8543" s="185"/>
      <c r="E8543" s="185" t="s">
        <v>470</v>
      </c>
      <c r="H8543" s="185"/>
    </row>
    <row r="8544">
      <c r="D8544" s="185"/>
      <c r="E8544" s="185" t="s">
        <v>470</v>
      </c>
      <c r="H8544" s="185"/>
    </row>
    <row r="8545">
      <c r="D8545" s="185"/>
      <c r="E8545" s="185" t="s">
        <v>470</v>
      </c>
      <c r="H8545" s="185"/>
    </row>
    <row r="8546">
      <c r="D8546" s="185"/>
      <c r="E8546" s="185" t="s">
        <v>470</v>
      </c>
      <c r="H8546" s="185"/>
    </row>
    <row r="8547">
      <c r="D8547" s="185"/>
      <c r="E8547" s="185" t="s">
        <v>470</v>
      </c>
      <c r="H8547" s="185"/>
    </row>
    <row r="8548">
      <c r="D8548" s="185"/>
      <c r="E8548" s="185" t="s">
        <v>470</v>
      </c>
      <c r="H8548" s="185"/>
    </row>
    <row r="8549">
      <c r="D8549" s="185"/>
      <c r="E8549" s="185" t="s">
        <v>470</v>
      </c>
      <c r="H8549" s="185"/>
    </row>
    <row r="8550">
      <c r="D8550" s="185"/>
      <c r="E8550" s="185" t="s">
        <v>470</v>
      </c>
      <c r="H8550" s="185"/>
    </row>
    <row r="8551">
      <c r="D8551" s="185"/>
      <c r="E8551" s="185" t="s">
        <v>470</v>
      </c>
      <c r="H8551" s="185"/>
    </row>
    <row r="8552">
      <c r="D8552" s="185"/>
      <c r="E8552" s="185" t="s">
        <v>470</v>
      </c>
      <c r="H8552" s="185"/>
    </row>
    <row r="8553">
      <c r="D8553" s="185"/>
      <c r="E8553" s="185" t="s">
        <v>470</v>
      </c>
      <c r="H8553" s="185"/>
    </row>
    <row r="8554">
      <c r="D8554" s="185"/>
      <c r="E8554" s="185" t="s">
        <v>470</v>
      </c>
      <c r="H8554" s="185"/>
    </row>
    <row r="8555">
      <c r="D8555" s="185"/>
      <c r="E8555" s="185" t="s">
        <v>470</v>
      </c>
      <c r="H8555" s="185"/>
    </row>
    <row r="8556">
      <c r="D8556" s="185"/>
      <c r="E8556" s="185" t="s">
        <v>470</v>
      </c>
      <c r="H8556" s="185"/>
    </row>
    <row r="8557">
      <c r="D8557" s="185"/>
      <c r="E8557" s="185" t="s">
        <v>470</v>
      </c>
      <c r="H8557" s="185"/>
    </row>
    <row r="8558">
      <c r="D8558" s="185"/>
      <c r="E8558" s="185" t="s">
        <v>470</v>
      </c>
      <c r="H8558" s="185"/>
    </row>
    <row r="8559">
      <c r="D8559" s="185"/>
      <c r="E8559" s="185" t="s">
        <v>470</v>
      </c>
      <c r="H8559" s="185"/>
    </row>
    <row r="8560">
      <c r="D8560" s="185"/>
      <c r="E8560" s="185" t="s">
        <v>470</v>
      </c>
      <c r="H8560" s="185"/>
    </row>
    <row r="8561">
      <c r="D8561" s="185"/>
      <c r="E8561" s="185" t="s">
        <v>470</v>
      </c>
      <c r="H8561" s="185"/>
    </row>
    <row r="8562">
      <c r="D8562" s="185"/>
      <c r="E8562" s="185" t="s">
        <v>470</v>
      </c>
      <c r="H8562" s="185"/>
    </row>
    <row r="8563">
      <c r="D8563" s="185"/>
      <c r="E8563" s="185" t="s">
        <v>470</v>
      </c>
      <c r="H8563" s="185"/>
    </row>
    <row r="8564">
      <c r="D8564" s="185"/>
      <c r="E8564" s="185" t="s">
        <v>470</v>
      </c>
      <c r="H8564" s="185"/>
    </row>
    <row r="8565">
      <c r="D8565" s="185"/>
      <c r="E8565" s="185" t="s">
        <v>470</v>
      </c>
      <c r="H8565" s="185"/>
    </row>
    <row r="8566">
      <c r="D8566" s="185"/>
      <c r="E8566" s="185" t="s">
        <v>470</v>
      </c>
      <c r="H8566" s="185"/>
    </row>
    <row r="8567">
      <c r="D8567" s="185"/>
      <c r="E8567" s="185" t="s">
        <v>470</v>
      </c>
      <c r="H8567" s="185"/>
    </row>
    <row r="8568">
      <c r="D8568" s="185"/>
      <c r="E8568" s="185" t="s">
        <v>470</v>
      </c>
      <c r="H8568" s="185"/>
    </row>
    <row r="8569">
      <c r="D8569" s="185"/>
      <c r="E8569" s="185" t="s">
        <v>470</v>
      </c>
      <c r="H8569" s="185"/>
    </row>
    <row r="8570">
      <c r="D8570" s="185"/>
      <c r="E8570" s="185" t="s">
        <v>470</v>
      </c>
      <c r="H8570" s="185"/>
    </row>
    <row r="8571">
      <c r="D8571" s="185"/>
      <c r="E8571" s="185" t="s">
        <v>470</v>
      </c>
      <c r="H8571" s="185"/>
    </row>
    <row r="8572">
      <c r="D8572" s="185"/>
      <c r="E8572" s="185" t="s">
        <v>470</v>
      </c>
      <c r="H8572" s="185"/>
    </row>
    <row r="8573">
      <c r="D8573" s="185"/>
      <c r="E8573" s="185" t="s">
        <v>470</v>
      </c>
      <c r="H8573" s="185"/>
    </row>
    <row r="8574">
      <c r="D8574" s="185"/>
      <c r="E8574" s="185" t="s">
        <v>470</v>
      </c>
      <c r="H8574" s="185"/>
    </row>
    <row r="8575">
      <c r="D8575" s="185"/>
      <c r="E8575" s="185" t="s">
        <v>470</v>
      </c>
      <c r="H8575" s="185"/>
    </row>
    <row r="8576">
      <c r="D8576" s="185"/>
      <c r="E8576" s="185" t="s">
        <v>470</v>
      </c>
      <c r="H8576" s="185"/>
    </row>
    <row r="8577">
      <c r="D8577" s="185"/>
      <c r="E8577" s="185" t="s">
        <v>470</v>
      </c>
      <c r="H8577" s="185"/>
    </row>
    <row r="8578">
      <c r="D8578" s="185"/>
      <c r="E8578" s="185" t="s">
        <v>470</v>
      </c>
      <c r="H8578" s="185"/>
    </row>
    <row r="8579">
      <c r="D8579" s="185"/>
      <c r="E8579" s="185" t="s">
        <v>470</v>
      </c>
      <c r="H8579" s="185"/>
    </row>
    <row r="8580">
      <c r="D8580" s="185"/>
      <c r="E8580" s="185" t="s">
        <v>470</v>
      </c>
      <c r="H8580" s="185"/>
    </row>
    <row r="8581">
      <c r="D8581" s="185"/>
      <c r="E8581" s="185" t="s">
        <v>470</v>
      </c>
      <c r="H8581" s="185"/>
    </row>
    <row r="8582">
      <c r="D8582" s="185"/>
      <c r="E8582" s="185" t="s">
        <v>470</v>
      </c>
      <c r="H8582" s="185"/>
    </row>
    <row r="8583">
      <c r="D8583" s="185"/>
      <c r="E8583" s="185" t="s">
        <v>470</v>
      </c>
      <c r="H8583" s="185"/>
    </row>
    <row r="8584">
      <c r="D8584" s="185"/>
      <c r="E8584" s="185" t="s">
        <v>470</v>
      </c>
      <c r="H8584" s="185"/>
    </row>
    <row r="8585">
      <c r="D8585" s="185"/>
      <c r="E8585" s="185" t="s">
        <v>470</v>
      </c>
      <c r="H8585" s="185"/>
    </row>
    <row r="8586">
      <c r="D8586" s="185"/>
      <c r="E8586" s="185" t="s">
        <v>470</v>
      </c>
      <c r="H8586" s="185"/>
    </row>
    <row r="8587">
      <c r="D8587" s="185"/>
      <c r="E8587" s="185" t="s">
        <v>470</v>
      </c>
      <c r="H8587" s="185"/>
    </row>
    <row r="8588">
      <c r="D8588" s="185"/>
      <c r="E8588" s="185" t="s">
        <v>470</v>
      </c>
      <c r="H8588" s="185"/>
    </row>
    <row r="8589">
      <c r="D8589" s="185"/>
      <c r="E8589" s="185" t="s">
        <v>470</v>
      </c>
      <c r="H8589" s="185"/>
    </row>
    <row r="8590">
      <c r="D8590" s="185"/>
      <c r="E8590" s="185" t="s">
        <v>470</v>
      </c>
      <c r="H8590" s="185"/>
    </row>
    <row r="8591">
      <c r="D8591" s="185"/>
      <c r="E8591" s="185" t="s">
        <v>470</v>
      </c>
      <c r="H8591" s="185"/>
    </row>
    <row r="8592">
      <c r="D8592" s="185"/>
      <c r="E8592" s="185" t="s">
        <v>470</v>
      </c>
      <c r="H8592" s="185"/>
    </row>
    <row r="8593">
      <c r="D8593" s="185"/>
      <c r="E8593" s="185" t="s">
        <v>470</v>
      </c>
      <c r="H8593" s="185"/>
    </row>
    <row r="8594">
      <c r="D8594" s="185"/>
      <c r="E8594" s="185" t="s">
        <v>470</v>
      </c>
      <c r="H8594" s="185"/>
    </row>
    <row r="8595">
      <c r="D8595" s="185"/>
      <c r="E8595" s="185" t="s">
        <v>470</v>
      </c>
      <c r="H8595" s="185"/>
    </row>
    <row r="8596">
      <c r="D8596" s="185"/>
      <c r="E8596" s="185" t="s">
        <v>470</v>
      </c>
      <c r="H8596" s="185"/>
    </row>
    <row r="8597">
      <c r="D8597" s="185"/>
      <c r="E8597" s="185" t="s">
        <v>470</v>
      </c>
      <c r="H8597" s="185"/>
    </row>
    <row r="8598">
      <c r="D8598" s="185"/>
      <c r="E8598" s="185" t="s">
        <v>470</v>
      </c>
      <c r="H8598" s="185"/>
    </row>
    <row r="8599">
      <c r="D8599" s="185"/>
      <c r="E8599" s="185" t="s">
        <v>470</v>
      </c>
      <c r="H8599" s="185"/>
    </row>
    <row r="8600">
      <c r="D8600" s="185"/>
      <c r="E8600" s="185" t="s">
        <v>470</v>
      </c>
      <c r="H8600" s="185"/>
    </row>
    <row r="8601">
      <c r="D8601" s="185"/>
      <c r="E8601" s="185" t="s">
        <v>470</v>
      </c>
      <c r="H8601" s="185"/>
    </row>
    <row r="8602">
      <c r="D8602" s="185"/>
      <c r="E8602" s="185" t="s">
        <v>470</v>
      </c>
      <c r="H8602" s="185"/>
    </row>
    <row r="8603">
      <c r="D8603" s="185"/>
      <c r="E8603" s="185" t="s">
        <v>470</v>
      </c>
      <c r="H8603" s="185"/>
    </row>
    <row r="8604">
      <c r="D8604" s="185"/>
      <c r="E8604" s="185" t="s">
        <v>470</v>
      </c>
      <c r="H8604" s="185"/>
    </row>
    <row r="8605">
      <c r="D8605" s="185"/>
      <c r="E8605" s="185" t="s">
        <v>470</v>
      </c>
      <c r="H8605" s="185"/>
    </row>
    <row r="8606">
      <c r="D8606" s="185"/>
      <c r="E8606" s="185" t="s">
        <v>470</v>
      </c>
      <c r="H8606" s="185"/>
    </row>
    <row r="8607">
      <c r="D8607" s="185"/>
      <c r="E8607" s="185" t="s">
        <v>470</v>
      </c>
      <c r="H8607" s="185"/>
    </row>
    <row r="8608">
      <c r="D8608" s="185"/>
      <c r="E8608" s="185" t="s">
        <v>470</v>
      </c>
      <c r="H8608" s="185"/>
    </row>
    <row r="8609">
      <c r="D8609" s="185"/>
      <c r="E8609" s="185" t="s">
        <v>470</v>
      </c>
      <c r="H8609" s="185"/>
    </row>
    <row r="8610">
      <c r="D8610" s="185"/>
      <c r="E8610" s="185" t="s">
        <v>470</v>
      </c>
      <c r="H8610" s="185"/>
    </row>
    <row r="8611">
      <c r="D8611" s="185"/>
      <c r="E8611" s="185" t="s">
        <v>470</v>
      </c>
      <c r="H8611" s="185"/>
    </row>
    <row r="8612">
      <c r="D8612" s="185"/>
      <c r="E8612" s="185" t="s">
        <v>470</v>
      </c>
      <c r="H8612" s="185"/>
    </row>
    <row r="8613">
      <c r="D8613" s="185"/>
      <c r="E8613" s="185" t="s">
        <v>470</v>
      </c>
      <c r="H8613" s="185"/>
    </row>
    <row r="8614">
      <c r="D8614" s="185"/>
      <c r="E8614" s="185" t="s">
        <v>470</v>
      </c>
      <c r="H8614" s="185"/>
    </row>
    <row r="8615">
      <c r="D8615" s="185"/>
      <c r="E8615" s="185" t="s">
        <v>470</v>
      </c>
      <c r="H8615" s="185"/>
    </row>
    <row r="8616">
      <c r="D8616" s="185"/>
      <c r="E8616" s="185" t="s">
        <v>470</v>
      </c>
      <c r="H8616" s="185"/>
    </row>
    <row r="8617">
      <c r="D8617" s="185"/>
      <c r="E8617" s="185" t="s">
        <v>470</v>
      </c>
      <c r="H8617" s="185"/>
    </row>
    <row r="8618">
      <c r="D8618" s="185"/>
      <c r="E8618" s="185" t="s">
        <v>470</v>
      </c>
      <c r="H8618" s="185"/>
    </row>
    <row r="8619">
      <c r="D8619" s="185"/>
      <c r="E8619" s="185" t="s">
        <v>470</v>
      </c>
      <c r="H8619" s="185"/>
    </row>
    <row r="8620">
      <c r="D8620" s="185"/>
      <c r="E8620" s="185" t="s">
        <v>470</v>
      </c>
      <c r="H8620" s="185"/>
    </row>
    <row r="8621">
      <c r="D8621" s="185"/>
      <c r="E8621" s="185" t="s">
        <v>470</v>
      </c>
      <c r="H8621" s="185"/>
    </row>
    <row r="8622">
      <c r="D8622" s="185"/>
      <c r="E8622" s="185" t="s">
        <v>470</v>
      </c>
      <c r="H8622" s="185"/>
    </row>
    <row r="8623">
      <c r="D8623" s="185"/>
      <c r="E8623" s="185" t="s">
        <v>470</v>
      </c>
      <c r="H8623" s="185"/>
    </row>
    <row r="8624">
      <c r="D8624" s="185"/>
      <c r="E8624" s="185" t="s">
        <v>470</v>
      </c>
      <c r="H8624" s="185"/>
    </row>
    <row r="8625">
      <c r="D8625" s="185"/>
      <c r="E8625" s="185" t="s">
        <v>470</v>
      </c>
      <c r="H8625" s="185"/>
    </row>
    <row r="8626">
      <c r="D8626" s="185"/>
      <c r="E8626" s="185" t="s">
        <v>470</v>
      </c>
      <c r="H8626" s="185"/>
    </row>
    <row r="8627">
      <c r="D8627" s="185"/>
      <c r="E8627" s="185" t="s">
        <v>470</v>
      </c>
      <c r="H8627" s="185"/>
    </row>
    <row r="8628">
      <c r="D8628" s="185"/>
      <c r="E8628" s="185" t="s">
        <v>470</v>
      </c>
      <c r="H8628" s="185"/>
    </row>
    <row r="8629">
      <c r="D8629" s="185"/>
      <c r="E8629" s="185" t="s">
        <v>470</v>
      </c>
      <c r="H8629" s="185"/>
    </row>
    <row r="8630">
      <c r="D8630" s="185"/>
      <c r="E8630" s="185" t="s">
        <v>470</v>
      </c>
      <c r="H8630" s="185"/>
    </row>
    <row r="8631">
      <c r="D8631" s="185"/>
      <c r="E8631" s="185" t="s">
        <v>470</v>
      </c>
      <c r="H8631" s="185"/>
    </row>
    <row r="8632">
      <c r="D8632" s="185"/>
      <c r="E8632" s="185" t="s">
        <v>470</v>
      </c>
      <c r="H8632" s="185"/>
    </row>
    <row r="8633">
      <c r="D8633" s="185"/>
      <c r="E8633" s="185" t="s">
        <v>470</v>
      </c>
      <c r="H8633" s="185"/>
    </row>
    <row r="8634">
      <c r="D8634" s="185"/>
      <c r="E8634" s="185" t="s">
        <v>470</v>
      </c>
      <c r="H8634" s="185"/>
    </row>
    <row r="8635">
      <c r="D8635" s="185"/>
      <c r="E8635" s="185" t="s">
        <v>470</v>
      </c>
      <c r="H8635" s="185"/>
    </row>
    <row r="8636">
      <c r="D8636" s="185"/>
      <c r="E8636" s="185" t="s">
        <v>470</v>
      </c>
      <c r="H8636" s="185"/>
    </row>
    <row r="8637">
      <c r="D8637" s="185"/>
      <c r="E8637" s="185" t="s">
        <v>470</v>
      </c>
      <c r="H8637" s="185"/>
    </row>
    <row r="8638">
      <c r="D8638" s="185"/>
      <c r="E8638" s="185" t="s">
        <v>470</v>
      </c>
      <c r="H8638" s="185"/>
    </row>
    <row r="8639">
      <c r="D8639" s="185"/>
      <c r="E8639" s="185" t="s">
        <v>470</v>
      </c>
      <c r="H8639" s="185"/>
    </row>
    <row r="8640">
      <c r="D8640" s="185"/>
      <c r="E8640" s="185" t="s">
        <v>470</v>
      </c>
      <c r="H8640" s="185"/>
    </row>
    <row r="8641">
      <c r="D8641" s="185"/>
      <c r="E8641" s="185" t="s">
        <v>470</v>
      </c>
      <c r="H8641" s="185"/>
    </row>
    <row r="8642">
      <c r="D8642" s="185"/>
      <c r="E8642" s="185" t="s">
        <v>470</v>
      </c>
      <c r="H8642" s="185"/>
    </row>
    <row r="8643">
      <c r="D8643" s="185"/>
      <c r="E8643" s="185" t="s">
        <v>470</v>
      </c>
      <c r="H8643" s="185"/>
    </row>
    <row r="8644">
      <c r="D8644" s="185"/>
      <c r="E8644" s="185" t="s">
        <v>470</v>
      </c>
      <c r="H8644" s="185"/>
    </row>
    <row r="8645">
      <c r="D8645" s="185"/>
      <c r="E8645" s="185" t="s">
        <v>470</v>
      </c>
      <c r="H8645" s="185"/>
    </row>
    <row r="8646">
      <c r="D8646" s="185"/>
      <c r="E8646" s="185" t="s">
        <v>470</v>
      </c>
      <c r="H8646" s="185"/>
    </row>
    <row r="8647">
      <c r="D8647" s="185"/>
      <c r="E8647" s="185" t="s">
        <v>470</v>
      </c>
      <c r="H8647" s="185"/>
    </row>
    <row r="8648">
      <c r="D8648" s="185"/>
      <c r="E8648" s="185" t="s">
        <v>470</v>
      </c>
      <c r="H8648" s="185"/>
    </row>
    <row r="8649">
      <c r="D8649" s="185"/>
      <c r="E8649" s="185" t="s">
        <v>470</v>
      </c>
      <c r="H8649" s="185"/>
    </row>
    <row r="8650">
      <c r="D8650" s="185"/>
      <c r="E8650" s="185" t="s">
        <v>470</v>
      </c>
      <c r="H8650" s="185"/>
    </row>
    <row r="8651">
      <c r="D8651" s="185"/>
      <c r="E8651" s="185" t="s">
        <v>470</v>
      </c>
      <c r="H8651" s="185"/>
    </row>
    <row r="8652">
      <c r="D8652" s="185"/>
      <c r="E8652" s="185" t="s">
        <v>470</v>
      </c>
      <c r="H8652" s="185"/>
    </row>
    <row r="8653">
      <c r="D8653" s="185"/>
      <c r="E8653" s="185" t="s">
        <v>470</v>
      </c>
      <c r="H8653" s="185"/>
    </row>
    <row r="8654">
      <c r="D8654" s="185"/>
      <c r="E8654" s="185" t="s">
        <v>470</v>
      </c>
      <c r="H8654" s="185"/>
    </row>
    <row r="8655">
      <c r="D8655" s="185"/>
      <c r="E8655" s="185" t="s">
        <v>470</v>
      </c>
      <c r="H8655" s="185"/>
    </row>
    <row r="8656">
      <c r="D8656" s="185"/>
      <c r="E8656" s="185" t="s">
        <v>470</v>
      </c>
      <c r="H8656" s="185"/>
    </row>
    <row r="8657">
      <c r="D8657" s="185"/>
      <c r="E8657" s="185" t="s">
        <v>470</v>
      </c>
      <c r="H8657" s="185"/>
    </row>
    <row r="8658">
      <c r="D8658" s="185"/>
      <c r="E8658" s="185" t="s">
        <v>470</v>
      </c>
      <c r="H8658" s="185"/>
    </row>
    <row r="8659">
      <c r="D8659" s="185"/>
      <c r="E8659" s="185" t="s">
        <v>470</v>
      </c>
      <c r="H8659" s="185"/>
    </row>
    <row r="8660">
      <c r="D8660" s="185"/>
      <c r="E8660" s="185" t="s">
        <v>470</v>
      </c>
      <c r="H8660" s="185"/>
    </row>
    <row r="8661">
      <c r="D8661" s="185"/>
      <c r="E8661" s="185" t="s">
        <v>470</v>
      </c>
      <c r="H8661" s="185"/>
    </row>
    <row r="8662">
      <c r="D8662" s="185"/>
      <c r="E8662" s="185" t="s">
        <v>470</v>
      </c>
      <c r="H8662" s="185"/>
    </row>
    <row r="8663">
      <c r="D8663" s="185"/>
      <c r="E8663" s="185" t="s">
        <v>470</v>
      </c>
      <c r="H8663" s="185"/>
    </row>
    <row r="8664">
      <c r="D8664" s="185"/>
      <c r="E8664" s="185" t="s">
        <v>470</v>
      </c>
      <c r="H8664" s="185"/>
    </row>
    <row r="8665">
      <c r="D8665" s="185"/>
      <c r="E8665" s="185" t="s">
        <v>470</v>
      </c>
      <c r="H8665" s="185"/>
    </row>
    <row r="8666">
      <c r="D8666" s="185"/>
      <c r="E8666" s="185" t="s">
        <v>470</v>
      </c>
      <c r="H8666" s="185"/>
    </row>
    <row r="8667">
      <c r="D8667" s="185"/>
      <c r="E8667" s="185" t="s">
        <v>470</v>
      </c>
      <c r="H8667" s="185"/>
    </row>
    <row r="8668">
      <c r="D8668" s="185"/>
      <c r="E8668" s="185" t="s">
        <v>470</v>
      </c>
      <c r="H8668" s="185"/>
    </row>
    <row r="8669">
      <c r="D8669" s="185"/>
      <c r="E8669" s="185" t="s">
        <v>470</v>
      </c>
      <c r="H8669" s="185"/>
    </row>
    <row r="8670">
      <c r="D8670" s="185"/>
      <c r="E8670" s="185" t="s">
        <v>470</v>
      </c>
      <c r="H8670" s="185"/>
    </row>
    <row r="8671">
      <c r="D8671" s="185"/>
      <c r="E8671" s="185" t="s">
        <v>470</v>
      </c>
      <c r="H8671" s="185"/>
    </row>
    <row r="8672">
      <c r="D8672" s="185"/>
      <c r="E8672" s="185" t="s">
        <v>470</v>
      </c>
      <c r="H8672" s="185"/>
    </row>
    <row r="8673">
      <c r="D8673" s="185"/>
      <c r="E8673" s="185" t="s">
        <v>470</v>
      </c>
      <c r="H8673" s="185"/>
    </row>
    <row r="8674">
      <c r="D8674" s="185"/>
      <c r="E8674" s="185" t="s">
        <v>470</v>
      </c>
      <c r="H8674" s="185"/>
    </row>
    <row r="8675">
      <c r="D8675" s="185"/>
      <c r="E8675" s="185" t="s">
        <v>470</v>
      </c>
      <c r="H8675" s="185"/>
    </row>
    <row r="8676">
      <c r="D8676" s="185"/>
      <c r="E8676" s="185" t="s">
        <v>470</v>
      </c>
      <c r="H8676" s="185"/>
    </row>
    <row r="8677">
      <c r="D8677" s="185"/>
      <c r="E8677" s="185" t="s">
        <v>470</v>
      </c>
      <c r="H8677" s="185"/>
    </row>
    <row r="8678">
      <c r="D8678" s="185"/>
      <c r="E8678" s="185" t="s">
        <v>470</v>
      </c>
      <c r="H8678" s="185"/>
    </row>
    <row r="8679">
      <c r="D8679" s="185"/>
      <c r="E8679" s="185" t="s">
        <v>470</v>
      </c>
      <c r="H8679" s="185"/>
    </row>
    <row r="8680">
      <c r="D8680" s="185"/>
      <c r="E8680" s="185" t="s">
        <v>470</v>
      </c>
      <c r="H8680" s="185"/>
    </row>
    <row r="8681">
      <c r="D8681" s="185"/>
      <c r="E8681" s="185" t="s">
        <v>470</v>
      </c>
      <c r="H8681" s="185"/>
    </row>
    <row r="8682">
      <c r="D8682" s="185"/>
      <c r="E8682" s="185" t="s">
        <v>470</v>
      </c>
      <c r="H8682" s="185"/>
    </row>
    <row r="8683">
      <c r="D8683" s="185"/>
      <c r="E8683" s="185" t="s">
        <v>470</v>
      </c>
      <c r="H8683" s="185"/>
    </row>
    <row r="8684">
      <c r="D8684" s="185"/>
      <c r="E8684" s="185" t="s">
        <v>470</v>
      </c>
      <c r="H8684" s="185"/>
    </row>
    <row r="8685">
      <c r="D8685" s="185"/>
      <c r="E8685" s="185" t="s">
        <v>470</v>
      </c>
      <c r="H8685" s="185"/>
    </row>
    <row r="8686">
      <c r="D8686" s="185"/>
      <c r="E8686" s="185" t="s">
        <v>470</v>
      </c>
      <c r="H8686" s="185"/>
    </row>
    <row r="8687">
      <c r="D8687" s="185"/>
      <c r="E8687" s="185" t="s">
        <v>470</v>
      </c>
      <c r="H8687" s="185"/>
    </row>
    <row r="8688">
      <c r="D8688" s="185"/>
      <c r="E8688" s="185" t="s">
        <v>470</v>
      </c>
      <c r="H8688" s="185"/>
    </row>
    <row r="8689">
      <c r="D8689" s="185"/>
      <c r="E8689" s="185" t="s">
        <v>470</v>
      </c>
      <c r="H8689" s="185"/>
    </row>
    <row r="8690">
      <c r="D8690" s="185"/>
      <c r="E8690" s="185" t="s">
        <v>470</v>
      </c>
      <c r="H8690" s="185"/>
    </row>
    <row r="8691">
      <c r="D8691" s="185"/>
      <c r="E8691" s="185" t="s">
        <v>470</v>
      </c>
      <c r="H8691" s="185"/>
    </row>
    <row r="8692">
      <c r="D8692" s="185"/>
      <c r="E8692" s="185" t="s">
        <v>470</v>
      </c>
      <c r="H8692" s="185"/>
    </row>
    <row r="8693">
      <c r="D8693" s="185"/>
      <c r="E8693" s="185" t="s">
        <v>470</v>
      </c>
      <c r="H8693" s="185"/>
    </row>
    <row r="8694">
      <c r="D8694" s="185"/>
      <c r="E8694" s="185" t="s">
        <v>470</v>
      </c>
      <c r="H8694" s="185"/>
    </row>
    <row r="8695">
      <c r="D8695" s="185"/>
      <c r="E8695" s="185" t="s">
        <v>470</v>
      </c>
      <c r="H8695" s="185"/>
    </row>
    <row r="8696">
      <c r="D8696" s="185"/>
      <c r="E8696" s="185" t="s">
        <v>470</v>
      </c>
      <c r="H8696" s="185"/>
    </row>
    <row r="8697">
      <c r="D8697" s="185"/>
      <c r="E8697" s="185" t="s">
        <v>470</v>
      </c>
      <c r="H8697" s="185"/>
    </row>
    <row r="8698">
      <c r="D8698" s="185"/>
      <c r="E8698" s="185" t="s">
        <v>470</v>
      </c>
      <c r="H8698" s="185"/>
    </row>
    <row r="8699">
      <c r="D8699" s="185"/>
      <c r="E8699" s="185" t="s">
        <v>470</v>
      </c>
      <c r="H8699" s="185"/>
    </row>
    <row r="8700">
      <c r="D8700" s="185"/>
      <c r="E8700" s="185" t="s">
        <v>470</v>
      </c>
      <c r="H8700" s="185"/>
    </row>
    <row r="8701">
      <c r="D8701" s="185"/>
      <c r="E8701" s="185" t="s">
        <v>470</v>
      </c>
      <c r="H8701" s="185"/>
    </row>
    <row r="8702">
      <c r="D8702" s="185"/>
      <c r="E8702" s="185" t="s">
        <v>470</v>
      </c>
      <c r="H8702" s="185"/>
    </row>
    <row r="8703">
      <c r="D8703" s="185"/>
      <c r="E8703" s="185" t="s">
        <v>470</v>
      </c>
      <c r="H8703" s="185"/>
    </row>
    <row r="8704">
      <c r="D8704" s="185"/>
      <c r="E8704" s="185" t="s">
        <v>470</v>
      </c>
      <c r="H8704" s="185"/>
    </row>
    <row r="8705">
      <c r="D8705" s="185"/>
      <c r="E8705" s="185" t="s">
        <v>470</v>
      </c>
      <c r="H8705" s="185"/>
    </row>
    <row r="8706">
      <c r="D8706" s="185"/>
      <c r="E8706" s="185" t="s">
        <v>470</v>
      </c>
      <c r="H8706" s="185"/>
    </row>
    <row r="8707">
      <c r="D8707" s="185"/>
      <c r="E8707" s="185" t="s">
        <v>470</v>
      </c>
      <c r="H8707" s="185"/>
    </row>
    <row r="8708">
      <c r="D8708" s="185"/>
      <c r="E8708" s="185" t="s">
        <v>470</v>
      </c>
      <c r="H8708" s="185"/>
    </row>
    <row r="8709">
      <c r="D8709" s="185"/>
      <c r="E8709" s="185" t="s">
        <v>470</v>
      </c>
      <c r="H8709" s="185"/>
    </row>
    <row r="8710">
      <c r="D8710" s="185"/>
      <c r="E8710" s="185" t="s">
        <v>470</v>
      </c>
      <c r="H8710" s="185"/>
    </row>
    <row r="8711">
      <c r="D8711" s="185"/>
      <c r="E8711" s="185" t="s">
        <v>470</v>
      </c>
      <c r="H8711" s="185"/>
    </row>
    <row r="8712">
      <c r="D8712" s="185"/>
      <c r="E8712" s="185" t="s">
        <v>470</v>
      </c>
      <c r="H8712" s="185"/>
    </row>
    <row r="8713">
      <c r="D8713" s="185"/>
      <c r="E8713" s="185" t="s">
        <v>470</v>
      </c>
      <c r="H8713" s="185"/>
    </row>
    <row r="8714">
      <c r="D8714" s="185"/>
      <c r="E8714" s="185" t="s">
        <v>470</v>
      </c>
      <c r="H8714" s="185"/>
    </row>
    <row r="8715">
      <c r="D8715" s="185"/>
      <c r="E8715" s="185" t="s">
        <v>470</v>
      </c>
      <c r="H8715" s="185"/>
    </row>
    <row r="8716">
      <c r="D8716" s="185"/>
      <c r="E8716" s="185" t="s">
        <v>470</v>
      </c>
      <c r="H8716" s="185"/>
    </row>
    <row r="8717">
      <c r="D8717" s="185"/>
      <c r="E8717" s="185" t="s">
        <v>470</v>
      </c>
      <c r="H8717" s="185"/>
    </row>
    <row r="8718">
      <c r="D8718" s="185"/>
      <c r="E8718" s="185" t="s">
        <v>470</v>
      </c>
      <c r="H8718" s="185"/>
    </row>
    <row r="8719">
      <c r="D8719" s="185"/>
      <c r="E8719" s="185" t="s">
        <v>470</v>
      </c>
      <c r="H8719" s="185"/>
    </row>
    <row r="8720">
      <c r="D8720" s="185"/>
      <c r="E8720" s="185" t="s">
        <v>470</v>
      </c>
      <c r="H8720" s="185"/>
    </row>
    <row r="8721">
      <c r="D8721" s="185"/>
      <c r="E8721" s="185" t="s">
        <v>470</v>
      </c>
      <c r="H8721" s="185"/>
    </row>
    <row r="8722">
      <c r="D8722" s="185"/>
      <c r="E8722" s="185" t="s">
        <v>470</v>
      </c>
      <c r="H8722" s="185"/>
    </row>
    <row r="8723">
      <c r="D8723" s="185"/>
      <c r="E8723" s="185" t="s">
        <v>470</v>
      </c>
      <c r="H8723" s="185"/>
    </row>
    <row r="8724">
      <c r="D8724" s="185"/>
      <c r="E8724" s="185" t="s">
        <v>470</v>
      </c>
      <c r="H8724" s="185"/>
    </row>
    <row r="8725">
      <c r="D8725" s="185"/>
      <c r="E8725" s="185" t="s">
        <v>470</v>
      </c>
      <c r="H8725" s="185"/>
    </row>
    <row r="8726">
      <c r="D8726" s="185"/>
      <c r="E8726" s="185" t="s">
        <v>470</v>
      </c>
      <c r="H8726" s="185"/>
    </row>
    <row r="8727">
      <c r="D8727" s="185"/>
      <c r="E8727" s="185" t="s">
        <v>470</v>
      </c>
      <c r="H8727" s="185"/>
    </row>
    <row r="8728">
      <c r="D8728" s="185"/>
      <c r="E8728" s="185" t="s">
        <v>470</v>
      </c>
      <c r="H8728" s="185"/>
    </row>
    <row r="8729">
      <c r="D8729" s="185"/>
      <c r="E8729" s="185" t="s">
        <v>470</v>
      </c>
      <c r="H8729" s="185"/>
    </row>
    <row r="8730">
      <c r="D8730" s="185"/>
      <c r="E8730" s="185" t="s">
        <v>470</v>
      </c>
      <c r="H8730" s="185"/>
    </row>
    <row r="8731">
      <c r="D8731" s="185"/>
      <c r="E8731" s="185" t="s">
        <v>470</v>
      </c>
      <c r="H8731" s="185"/>
    </row>
    <row r="8732">
      <c r="D8732" s="185"/>
      <c r="E8732" s="185" t="s">
        <v>470</v>
      </c>
      <c r="H8732" s="185"/>
    </row>
    <row r="8733">
      <c r="D8733" s="185"/>
      <c r="E8733" s="185" t="s">
        <v>470</v>
      </c>
      <c r="H8733" s="185"/>
    </row>
    <row r="8734">
      <c r="D8734" s="185"/>
      <c r="E8734" s="185" t="s">
        <v>470</v>
      </c>
      <c r="H8734" s="185"/>
    </row>
    <row r="8735">
      <c r="D8735" s="185"/>
      <c r="E8735" s="185" t="s">
        <v>470</v>
      </c>
      <c r="H8735" s="185"/>
    </row>
    <row r="8736">
      <c r="D8736" s="185"/>
      <c r="E8736" s="185" t="s">
        <v>470</v>
      </c>
      <c r="H8736" s="185"/>
    </row>
    <row r="8737">
      <c r="D8737" s="185"/>
      <c r="E8737" s="185" t="s">
        <v>470</v>
      </c>
      <c r="H8737" s="185"/>
    </row>
    <row r="8738">
      <c r="D8738" s="185"/>
      <c r="E8738" s="185" t="s">
        <v>470</v>
      </c>
      <c r="H8738" s="185"/>
    </row>
    <row r="8739">
      <c r="D8739" s="185"/>
      <c r="E8739" s="185" t="s">
        <v>470</v>
      </c>
      <c r="H8739" s="185"/>
    </row>
    <row r="8740">
      <c r="D8740" s="185"/>
      <c r="E8740" s="185" t="s">
        <v>470</v>
      </c>
      <c r="H8740" s="185"/>
    </row>
    <row r="8741">
      <c r="D8741" s="185"/>
      <c r="E8741" s="185" t="s">
        <v>470</v>
      </c>
      <c r="H8741" s="185"/>
    </row>
    <row r="8742">
      <c r="D8742" s="185"/>
      <c r="E8742" s="185" t="s">
        <v>470</v>
      </c>
      <c r="H8742" s="185"/>
    </row>
    <row r="8743">
      <c r="D8743" s="185"/>
      <c r="E8743" s="185" t="s">
        <v>470</v>
      </c>
      <c r="H8743" s="185"/>
    </row>
    <row r="8744">
      <c r="D8744" s="185"/>
      <c r="E8744" s="185" t="s">
        <v>470</v>
      </c>
      <c r="H8744" s="185"/>
    </row>
    <row r="8745">
      <c r="D8745" s="185"/>
      <c r="E8745" s="185" t="s">
        <v>470</v>
      </c>
      <c r="H8745" s="185"/>
    </row>
    <row r="8746">
      <c r="D8746" s="185"/>
      <c r="E8746" s="185" t="s">
        <v>470</v>
      </c>
      <c r="H8746" s="185"/>
    </row>
    <row r="8747">
      <c r="D8747" s="185"/>
      <c r="E8747" s="185" t="s">
        <v>470</v>
      </c>
      <c r="H8747" s="185"/>
    </row>
    <row r="8748">
      <c r="D8748" s="185"/>
      <c r="E8748" s="185" t="s">
        <v>470</v>
      </c>
      <c r="H8748" s="185"/>
    </row>
    <row r="8749">
      <c r="D8749" s="185"/>
      <c r="E8749" s="185" t="s">
        <v>470</v>
      </c>
      <c r="H8749" s="185"/>
    </row>
    <row r="8750">
      <c r="D8750" s="185"/>
      <c r="E8750" s="185" t="s">
        <v>470</v>
      </c>
      <c r="H8750" s="185"/>
    </row>
    <row r="8751">
      <c r="D8751" s="185"/>
      <c r="E8751" s="185" t="s">
        <v>470</v>
      </c>
      <c r="H8751" s="185"/>
    </row>
    <row r="8752">
      <c r="D8752" s="185"/>
      <c r="E8752" s="185" t="s">
        <v>470</v>
      </c>
      <c r="H8752" s="185"/>
    </row>
    <row r="8753">
      <c r="D8753" s="185"/>
      <c r="E8753" s="185" t="s">
        <v>470</v>
      </c>
      <c r="H8753" s="185"/>
    </row>
    <row r="8754">
      <c r="D8754" s="185"/>
      <c r="E8754" s="185" t="s">
        <v>470</v>
      </c>
      <c r="H8754" s="185"/>
    </row>
    <row r="8755">
      <c r="D8755" s="185"/>
      <c r="E8755" s="185" t="s">
        <v>470</v>
      </c>
      <c r="H8755" s="185"/>
    </row>
    <row r="8756">
      <c r="D8756" s="185"/>
      <c r="E8756" s="185" t="s">
        <v>470</v>
      </c>
      <c r="H8756" s="185"/>
    </row>
    <row r="8757">
      <c r="D8757" s="185"/>
      <c r="E8757" s="185" t="s">
        <v>470</v>
      </c>
      <c r="H8757" s="185"/>
    </row>
    <row r="8758">
      <c r="D8758" s="185"/>
      <c r="E8758" s="185" t="s">
        <v>470</v>
      </c>
      <c r="H8758" s="185"/>
    </row>
    <row r="8759">
      <c r="D8759" s="185"/>
      <c r="E8759" s="185" t="s">
        <v>470</v>
      </c>
      <c r="H8759" s="185"/>
    </row>
    <row r="8760">
      <c r="D8760" s="185"/>
      <c r="E8760" s="185" t="s">
        <v>470</v>
      </c>
      <c r="H8760" s="185"/>
    </row>
    <row r="8761">
      <c r="D8761" s="185"/>
      <c r="E8761" s="185" t="s">
        <v>470</v>
      </c>
      <c r="H8761" s="185"/>
    </row>
    <row r="8762">
      <c r="D8762" s="185"/>
      <c r="E8762" s="185" t="s">
        <v>470</v>
      </c>
      <c r="H8762" s="185"/>
    </row>
    <row r="8763">
      <c r="D8763" s="185"/>
      <c r="E8763" s="185" t="s">
        <v>470</v>
      </c>
      <c r="H8763" s="185"/>
    </row>
    <row r="8764">
      <c r="D8764" s="185"/>
      <c r="E8764" s="185" t="s">
        <v>470</v>
      </c>
      <c r="H8764" s="185"/>
    </row>
    <row r="8765">
      <c r="D8765" s="185"/>
      <c r="E8765" s="185" t="s">
        <v>470</v>
      </c>
      <c r="H8765" s="185"/>
    </row>
    <row r="8766">
      <c r="D8766" s="185"/>
      <c r="E8766" s="185" t="s">
        <v>470</v>
      </c>
      <c r="H8766" s="185"/>
    </row>
    <row r="8767">
      <c r="D8767" s="185"/>
      <c r="E8767" s="185" t="s">
        <v>470</v>
      </c>
      <c r="H8767" s="185"/>
    </row>
    <row r="8768">
      <c r="D8768" s="185"/>
      <c r="E8768" s="185" t="s">
        <v>470</v>
      </c>
      <c r="H8768" s="185"/>
    </row>
    <row r="8769">
      <c r="D8769" s="185"/>
      <c r="E8769" s="185" t="s">
        <v>470</v>
      </c>
      <c r="H8769" s="185"/>
    </row>
    <row r="8770">
      <c r="D8770" s="185"/>
      <c r="E8770" s="185" t="s">
        <v>470</v>
      </c>
      <c r="H8770" s="185"/>
    </row>
    <row r="8771">
      <c r="D8771" s="185"/>
      <c r="E8771" s="185" t="s">
        <v>470</v>
      </c>
      <c r="H8771" s="185"/>
    </row>
    <row r="8772">
      <c r="D8772" s="185"/>
      <c r="E8772" s="185" t="s">
        <v>470</v>
      </c>
      <c r="H8772" s="185"/>
    </row>
    <row r="8773">
      <c r="D8773" s="185"/>
      <c r="E8773" s="185" t="s">
        <v>470</v>
      </c>
      <c r="H8773" s="185"/>
    </row>
    <row r="8774">
      <c r="D8774" s="185"/>
      <c r="E8774" s="185" t="s">
        <v>470</v>
      </c>
      <c r="H8774" s="185"/>
    </row>
    <row r="8775">
      <c r="D8775" s="185"/>
      <c r="E8775" s="185" t="s">
        <v>470</v>
      </c>
      <c r="H8775" s="185"/>
    </row>
    <row r="8776">
      <c r="D8776" s="185"/>
      <c r="E8776" s="185" t="s">
        <v>470</v>
      </c>
      <c r="H8776" s="185"/>
    </row>
    <row r="8777">
      <c r="D8777" s="185"/>
      <c r="E8777" s="185" t="s">
        <v>470</v>
      </c>
      <c r="H8777" s="185"/>
    </row>
    <row r="8778">
      <c r="D8778" s="185"/>
      <c r="E8778" s="185" t="s">
        <v>470</v>
      </c>
      <c r="H8778" s="185"/>
    </row>
    <row r="8779">
      <c r="D8779" s="185"/>
      <c r="E8779" s="185" t="s">
        <v>470</v>
      </c>
      <c r="H8779" s="185"/>
    </row>
    <row r="8780">
      <c r="D8780" s="185"/>
      <c r="E8780" s="185" t="s">
        <v>470</v>
      </c>
      <c r="H8780" s="185"/>
    </row>
    <row r="8781">
      <c r="D8781" s="185"/>
      <c r="E8781" s="185" t="s">
        <v>470</v>
      </c>
      <c r="H8781" s="185"/>
    </row>
    <row r="8782">
      <c r="D8782" s="185"/>
      <c r="E8782" s="185" t="s">
        <v>470</v>
      </c>
      <c r="H8782" s="185"/>
    </row>
    <row r="8783">
      <c r="D8783" s="185"/>
      <c r="E8783" s="185" t="s">
        <v>470</v>
      </c>
      <c r="H8783" s="185"/>
    </row>
    <row r="8784">
      <c r="D8784" s="185"/>
      <c r="E8784" s="185" t="s">
        <v>470</v>
      </c>
      <c r="H8784" s="185"/>
    </row>
    <row r="8785">
      <c r="D8785" s="185"/>
      <c r="E8785" s="185" t="s">
        <v>470</v>
      </c>
      <c r="H8785" s="185"/>
    </row>
    <row r="8786">
      <c r="D8786" s="185"/>
      <c r="E8786" s="185" t="s">
        <v>470</v>
      </c>
      <c r="H8786" s="185"/>
    </row>
    <row r="8787">
      <c r="D8787" s="185"/>
      <c r="E8787" s="185" t="s">
        <v>470</v>
      </c>
      <c r="H8787" s="185"/>
    </row>
    <row r="8788">
      <c r="D8788" s="185"/>
      <c r="E8788" s="185" t="s">
        <v>470</v>
      </c>
      <c r="H8788" s="185"/>
    </row>
    <row r="8789">
      <c r="D8789" s="185"/>
      <c r="E8789" s="185" t="s">
        <v>470</v>
      </c>
      <c r="H8789" s="185"/>
    </row>
    <row r="8790">
      <c r="D8790" s="185"/>
      <c r="E8790" s="185" t="s">
        <v>470</v>
      </c>
      <c r="H8790" s="185"/>
    </row>
    <row r="8791">
      <c r="D8791" s="185"/>
      <c r="E8791" s="185" t="s">
        <v>470</v>
      </c>
      <c r="H8791" s="185"/>
    </row>
    <row r="8792">
      <c r="D8792" s="185"/>
      <c r="E8792" s="185" t="s">
        <v>470</v>
      </c>
      <c r="H8792" s="185"/>
    </row>
    <row r="8793">
      <c r="D8793" s="185"/>
      <c r="E8793" s="185" t="s">
        <v>470</v>
      </c>
      <c r="H8793" s="185"/>
    </row>
    <row r="8794">
      <c r="D8794" s="185"/>
      <c r="E8794" s="185" t="s">
        <v>470</v>
      </c>
      <c r="H8794" s="185"/>
    </row>
    <row r="8795">
      <c r="D8795" s="185"/>
      <c r="E8795" s="185" t="s">
        <v>470</v>
      </c>
      <c r="H8795" s="185"/>
    </row>
    <row r="8796">
      <c r="D8796" s="185"/>
      <c r="E8796" s="185" t="s">
        <v>470</v>
      </c>
      <c r="H8796" s="185"/>
    </row>
    <row r="8797">
      <c r="D8797" s="185"/>
      <c r="E8797" s="185" t="s">
        <v>470</v>
      </c>
      <c r="H8797" s="185"/>
    </row>
    <row r="8798">
      <c r="D8798" s="185"/>
      <c r="E8798" s="185" t="s">
        <v>470</v>
      </c>
      <c r="H8798" s="185"/>
    </row>
    <row r="8799">
      <c r="D8799" s="185"/>
      <c r="E8799" s="185" t="s">
        <v>470</v>
      </c>
      <c r="H8799" s="185"/>
    </row>
    <row r="8800">
      <c r="D8800" s="185"/>
      <c r="E8800" s="185" t="s">
        <v>470</v>
      </c>
      <c r="H8800" s="185"/>
    </row>
    <row r="8801">
      <c r="D8801" s="185"/>
      <c r="E8801" s="185" t="s">
        <v>470</v>
      </c>
      <c r="H8801" s="185"/>
    </row>
    <row r="8802">
      <c r="D8802" s="185"/>
      <c r="E8802" s="185" t="s">
        <v>470</v>
      </c>
      <c r="H8802" s="185"/>
    </row>
    <row r="8803">
      <c r="D8803" s="185"/>
      <c r="E8803" s="185" t="s">
        <v>470</v>
      </c>
      <c r="H8803" s="185"/>
    </row>
    <row r="8804">
      <c r="D8804" s="185"/>
      <c r="E8804" s="185" t="s">
        <v>470</v>
      </c>
      <c r="H8804" s="185"/>
    </row>
    <row r="8805">
      <c r="D8805" s="185"/>
      <c r="E8805" s="185" t="s">
        <v>470</v>
      </c>
      <c r="H8805" s="185"/>
    </row>
    <row r="8806">
      <c r="D8806" s="185"/>
      <c r="E8806" s="185" t="s">
        <v>470</v>
      </c>
      <c r="H8806" s="185"/>
    </row>
    <row r="8807">
      <c r="D8807" s="185"/>
      <c r="E8807" s="185" t="s">
        <v>470</v>
      </c>
      <c r="H8807" s="185"/>
    </row>
    <row r="8808">
      <c r="D8808" s="185"/>
      <c r="E8808" s="185" t="s">
        <v>470</v>
      </c>
      <c r="H8808" s="185"/>
    </row>
    <row r="8809">
      <c r="D8809" s="185"/>
      <c r="E8809" s="185" t="s">
        <v>470</v>
      </c>
      <c r="H8809" s="185"/>
    </row>
    <row r="8810">
      <c r="D8810" s="185"/>
      <c r="E8810" s="185" t="s">
        <v>470</v>
      </c>
      <c r="H8810" s="185"/>
    </row>
    <row r="8811">
      <c r="D8811" s="185"/>
      <c r="E8811" s="185" t="s">
        <v>470</v>
      </c>
      <c r="H8811" s="185"/>
    </row>
    <row r="8812">
      <c r="D8812" s="185"/>
      <c r="E8812" s="185" t="s">
        <v>470</v>
      </c>
      <c r="H8812" s="185"/>
    </row>
    <row r="8813">
      <c r="D8813" s="185"/>
      <c r="E8813" s="185" t="s">
        <v>470</v>
      </c>
      <c r="H8813" s="185"/>
    </row>
    <row r="8814">
      <c r="D8814" s="185"/>
      <c r="E8814" s="185" t="s">
        <v>470</v>
      </c>
      <c r="H8814" s="185"/>
    </row>
    <row r="8815">
      <c r="D8815" s="185"/>
      <c r="E8815" s="185" t="s">
        <v>470</v>
      </c>
      <c r="H8815" s="185"/>
    </row>
    <row r="8816">
      <c r="D8816" s="185"/>
      <c r="E8816" s="185" t="s">
        <v>470</v>
      </c>
      <c r="H8816" s="185"/>
    </row>
    <row r="8817">
      <c r="D8817" s="185"/>
      <c r="E8817" s="185" t="s">
        <v>470</v>
      </c>
      <c r="H8817" s="185"/>
    </row>
    <row r="8818">
      <c r="D8818" s="185"/>
      <c r="E8818" s="185" t="s">
        <v>470</v>
      </c>
      <c r="H8818" s="185"/>
    </row>
    <row r="8819">
      <c r="D8819" s="185"/>
      <c r="E8819" s="185" t="s">
        <v>470</v>
      </c>
      <c r="H8819" s="185"/>
    </row>
    <row r="8820">
      <c r="D8820" s="185"/>
      <c r="E8820" s="185" t="s">
        <v>470</v>
      </c>
      <c r="H8820" s="185"/>
    </row>
    <row r="8821">
      <c r="D8821" s="185"/>
      <c r="E8821" s="185" t="s">
        <v>470</v>
      </c>
      <c r="H8821" s="185"/>
    </row>
    <row r="8822">
      <c r="D8822" s="185"/>
      <c r="E8822" s="185" t="s">
        <v>470</v>
      </c>
      <c r="H8822" s="185"/>
    </row>
    <row r="8823">
      <c r="D8823" s="185"/>
      <c r="E8823" s="185" t="s">
        <v>470</v>
      </c>
      <c r="H8823" s="185"/>
    </row>
    <row r="8824">
      <c r="D8824" s="185"/>
      <c r="E8824" s="185" t="s">
        <v>470</v>
      </c>
      <c r="H8824" s="185"/>
    </row>
    <row r="8825">
      <c r="D8825" s="185"/>
      <c r="E8825" s="185" t="s">
        <v>470</v>
      </c>
      <c r="H8825" s="185"/>
    </row>
    <row r="8826">
      <c r="D8826" s="185"/>
      <c r="E8826" s="185" t="s">
        <v>470</v>
      </c>
      <c r="H8826" s="185"/>
    </row>
    <row r="8827">
      <c r="D8827" s="185"/>
      <c r="E8827" s="185" t="s">
        <v>470</v>
      </c>
      <c r="H8827" s="185"/>
    </row>
    <row r="8828">
      <c r="D8828" s="185"/>
      <c r="E8828" s="185" t="s">
        <v>470</v>
      </c>
      <c r="H8828" s="185"/>
    </row>
    <row r="8829">
      <c r="D8829" s="185"/>
      <c r="E8829" s="185" t="s">
        <v>470</v>
      </c>
      <c r="H8829" s="185"/>
    </row>
    <row r="8830">
      <c r="D8830" s="185"/>
      <c r="E8830" s="185" t="s">
        <v>470</v>
      </c>
      <c r="H8830" s="185"/>
    </row>
    <row r="8831">
      <c r="D8831" s="185"/>
      <c r="E8831" s="185" t="s">
        <v>470</v>
      </c>
      <c r="H8831" s="185"/>
    </row>
    <row r="8832">
      <c r="D8832" s="185"/>
      <c r="E8832" s="185" t="s">
        <v>470</v>
      </c>
      <c r="H8832" s="185"/>
    </row>
    <row r="8833">
      <c r="D8833" s="185"/>
      <c r="E8833" s="185" t="s">
        <v>470</v>
      </c>
      <c r="H8833" s="185"/>
    </row>
    <row r="8834">
      <c r="D8834" s="185"/>
      <c r="E8834" s="185" t="s">
        <v>470</v>
      </c>
      <c r="H8834" s="185"/>
    </row>
    <row r="8835">
      <c r="D8835" s="185"/>
      <c r="E8835" s="185" t="s">
        <v>470</v>
      </c>
      <c r="H8835" s="185"/>
    </row>
    <row r="8836">
      <c r="D8836" s="185"/>
      <c r="E8836" s="185" t="s">
        <v>470</v>
      </c>
      <c r="H8836" s="185"/>
    </row>
    <row r="8837">
      <c r="D8837" s="185"/>
      <c r="E8837" s="185" t="s">
        <v>470</v>
      </c>
      <c r="H8837" s="185"/>
    </row>
    <row r="8838">
      <c r="D8838" s="185"/>
      <c r="E8838" s="185" t="s">
        <v>470</v>
      </c>
      <c r="H8838" s="185"/>
    </row>
    <row r="8839">
      <c r="D8839" s="185"/>
      <c r="E8839" s="185" t="s">
        <v>470</v>
      </c>
      <c r="H8839" s="185"/>
    </row>
    <row r="8840">
      <c r="D8840" s="185"/>
      <c r="E8840" s="185" t="s">
        <v>470</v>
      </c>
      <c r="H8840" s="185"/>
    </row>
    <row r="8841">
      <c r="D8841" s="185"/>
      <c r="E8841" s="185" t="s">
        <v>470</v>
      </c>
      <c r="H8841" s="185"/>
    </row>
    <row r="8842">
      <c r="D8842" s="185"/>
      <c r="E8842" s="185" t="s">
        <v>470</v>
      </c>
      <c r="H8842" s="185"/>
    </row>
    <row r="8843">
      <c r="D8843" s="185"/>
      <c r="E8843" s="185" t="s">
        <v>470</v>
      </c>
      <c r="H8843" s="185"/>
    </row>
    <row r="8844">
      <c r="D8844" s="185"/>
      <c r="E8844" s="185" t="s">
        <v>470</v>
      </c>
      <c r="H8844" s="185"/>
    </row>
    <row r="8845">
      <c r="D8845" s="185"/>
      <c r="E8845" s="185" t="s">
        <v>470</v>
      </c>
      <c r="H8845" s="185"/>
    </row>
    <row r="8846">
      <c r="D8846" s="185"/>
      <c r="E8846" s="185" t="s">
        <v>470</v>
      </c>
      <c r="H8846" s="185"/>
    </row>
    <row r="8847">
      <c r="D8847" s="185"/>
      <c r="E8847" s="185" t="s">
        <v>470</v>
      </c>
      <c r="H8847" s="185"/>
    </row>
    <row r="8848">
      <c r="D8848" s="185"/>
      <c r="E8848" s="185" t="s">
        <v>470</v>
      </c>
      <c r="H8848" s="185"/>
    </row>
    <row r="8849">
      <c r="D8849" s="185"/>
      <c r="E8849" s="185" t="s">
        <v>470</v>
      </c>
      <c r="H8849" s="185"/>
    </row>
    <row r="8850">
      <c r="D8850" s="185"/>
      <c r="E8850" s="185" t="s">
        <v>470</v>
      </c>
      <c r="H8850" s="185"/>
    </row>
    <row r="8851">
      <c r="D8851" s="185"/>
      <c r="E8851" s="185" t="s">
        <v>470</v>
      </c>
      <c r="H8851" s="185"/>
    </row>
    <row r="8852">
      <c r="D8852" s="185"/>
      <c r="E8852" s="185" t="s">
        <v>470</v>
      </c>
      <c r="H8852" s="185"/>
    </row>
    <row r="8853">
      <c r="D8853" s="185"/>
      <c r="E8853" s="185" t="s">
        <v>470</v>
      </c>
      <c r="H8853" s="185"/>
    </row>
    <row r="8854">
      <c r="D8854" s="185"/>
      <c r="E8854" s="185" t="s">
        <v>470</v>
      </c>
      <c r="H8854" s="185"/>
    </row>
    <row r="8855">
      <c r="D8855" s="185"/>
      <c r="E8855" s="185" t="s">
        <v>470</v>
      </c>
      <c r="H8855" s="185"/>
    </row>
    <row r="8856">
      <c r="D8856" s="185"/>
      <c r="E8856" s="185" t="s">
        <v>470</v>
      </c>
      <c r="H8856" s="185"/>
    </row>
    <row r="8857">
      <c r="D8857" s="185"/>
      <c r="E8857" s="185" t="s">
        <v>470</v>
      </c>
      <c r="H8857" s="185"/>
    </row>
    <row r="8858">
      <c r="D8858" s="185"/>
      <c r="E8858" s="185" t="s">
        <v>470</v>
      </c>
      <c r="H8858" s="185"/>
    </row>
    <row r="8859">
      <c r="D8859" s="185"/>
      <c r="E8859" s="185" t="s">
        <v>470</v>
      </c>
      <c r="H8859" s="185"/>
    </row>
    <row r="8860">
      <c r="D8860" s="185"/>
      <c r="E8860" s="185" t="s">
        <v>470</v>
      </c>
      <c r="H8860" s="185"/>
    </row>
    <row r="8861">
      <c r="D8861" s="185"/>
      <c r="E8861" s="185" t="s">
        <v>470</v>
      </c>
      <c r="H8861" s="185"/>
    </row>
    <row r="8862">
      <c r="D8862" s="185"/>
      <c r="E8862" s="185" t="s">
        <v>470</v>
      </c>
      <c r="H8862" s="185"/>
    </row>
    <row r="8863">
      <c r="D8863" s="185"/>
      <c r="E8863" s="185" t="s">
        <v>470</v>
      </c>
      <c r="H8863" s="185"/>
    </row>
    <row r="8864">
      <c r="D8864" s="185"/>
      <c r="E8864" s="185" t="s">
        <v>470</v>
      </c>
      <c r="H8864" s="185"/>
    </row>
    <row r="8865">
      <c r="D8865" s="185"/>
      <c r="E8865" s="185" t="s">
        <v>470</v>
      </c>
      <c r="H8865" s="185"/>
    </row>
    <row r="8866">
      <c r="D8866" s="185"/>
      <c r="E8866" s="185" t="s">
        <v>470</v>
      </c>
      <c r="H8866" s="185"/>
    </row>
    <row r="8867">
      <c r="D8867" s="185"/>
      <c r="E8867" s="185" t="s">
        <v>470</v>
      </c>
      <c r="H8867" s="185"/>
    </row>
    <row r="8868">
      <c r="D8868" s="185"/>
      <c r="E8868" s="185" t="s">
        <v>470</v>
      </c>
      <c r="H8868" s="185"/>
    </row>
    <row r="8869">
      <c r="D8869" s="185"/>
      <c r="E8869" s="185" t="s">
        <v>470</v>
      </c>
      <c r="H8869" s="185"/>
    </row>
    <row r="8870">
      <c r="D8870" s="185"/>
      <c r="E8870" s="185" t="s">
        <v>470</v>
      </c>
      <c r="H8870" s="185"/>
    </row>
    <row r="8871">
      <c r="D8871" s="185"/>
      <c r="E8871" s="185" t="s">
        <v>470</v>
      </c>
      <c r="H8871" s="185"/>
    </row>
    <row r="8872">
      <c r="D8872" s="185"/>
      <c r="E8872" s="185" t="s">
        <v>470</v>
      </c>
      <c r="H8872" s="185"/>
    </row>
    <row r="8873">
      <c r="D8873" s="185"/>
      <c r="E8873" s="185" t="s">
        <v>470</v>
      </c>
      <c r="H8873" s="185"/>
    </row>
    <row r="8874">
      <c r="D8874" s="185"/>
      <c r="E8874" s="185" t="s">
        <v>470</v>
      </c>
      <c r="H8874" s="185"/>
    </row>
    <row r="8875">
      <c r="D8875" s="185"/>
      <c r="E8875" s="185" t="s">
        <v>470</v>
      </c>
      <c r="H8875" s="185"/>
    </row>
    <row r="8876">
      <c r="D8876" s="185"/>
      <c r="E8876" s="185" t="s">
        <v>470</v>
      </c>
      <c r="H8876" s="185"/>
    </row>
    <row r="8877">
      <c r="D8877" s="185"/>
      <c r="E8877" s="185" t="s">
        <v>470</v>
      </c>
      <c r="H8877" s="185"/>
    </row>
    <row r="8878">
      <c r="D8878" s="185"/>
      <c r="E8878" s="185" t="s">
        <v>470</v>
      </c>
      <c r="H8878" s="185"/>
    </row>
    <row r="8879">
      <c r="D8879" s="185"/>
      <c r="E8879" s="185" t="s">
        <v>470</v>
      </c>
      <c r="H8879" s="185"/>
    </row>
    <row r="8880">
      <c r="D8880" s="185"/>
      <c r="E8880" s="185" t="s">
        <v>470</v>
      </c>
      <c r="H8880" s="185"/>
    </row>
    <row r="8881">
      <c r="D8881" s="185"/>
      <c r="E8881" s="185" t="s">
        <v>470</v>
      </c>
      <c r="H8881" s="185"/>
    </row>
    <row r="8882">
      <c r="D8882" s="185"/>
      <c r="E8882" s="185" t="s">
        <v>470</v>
      </c>
      <c r="H8882" s="185"/>
    </row>
    <row r="8883">
      <c r="D8883" s="185"/>
      <c r="E8883" s="185" t="s">
        <v>470</v>
      </c>
      <c r="H8883" s="185"/>
    </row>
    <row r="8884">
      <c r="D8884" s="185"/>
      <c r="E8884" s="185" t="s">
        <v>470</v>
      </c>
      <c r="H8884" s="185"/>
    </row>
    <row r="8885">
      <c r="D8885" s="185"/>
      <c r="E8885" s="185" t="s">
        <v>470</v>
      </c>
      <c r="H8885" s="185"/>
    </row>
    <row r="8886">
      <c r="D8886" s="185"/>
      <c r="E8886" s="185" t="s">
        <v>470</v>
      </c>
      <c r="H8886" s="185"/>
    </row>
    <row r="8887">
      <c r="D8887" s="185"/>
      <c r="E8887" s="185" t="s">
        <v>470</v>
      </c>
      <c r="H8887" s="185"/>
    </row>
    <row r="8888">
      <c r="D8888" s="185"/>
      <c r="E8888" s="185" t="s">
        <v>470</v>
      </c>
      <c r="H8888" s="185"/>
    </row>
    <row r="8889">
      <c r="D8889" s="185"/>
      <c r="E8889" s="185" t="s">
        <v>470</v>
      </c>
      <c r="H8889" s="185"/>
    </row>
    <row r="8890">
      <c r="D8890" s="185"/>
      <c r="E8890" s="185" t="s">
        <v>470</v>
      </c>
      <c r="H8890" s="185"/>
    </row>
    <row r="8891">
      <c r="D8891" s="185"/>
      <c r="E8891" s="185" t="s">
        <v>470</v>
      </c>
      <c r="H8891" s="185"/>
    </row>
    <row r="8892">
      <c r="D8892" s="185"/>
      <c r="E8892" s="185" t="s">
        <v>470</v>
      </c>
      <c r="H8892" s="185"/>
    </row>
    <row r="8893">
      <c r="D8893" s="185"/>
      <c r="E8893" s="185" t="s">
        <v>470</v>
      </c>
      <c r="H8893" s="185"/>
    </row>
    <row r="8894">
      <c r="D8894" s="185"/>
      <c r="E8894" s="185" t="s">
        <v>470</v>
      </c>
      <c r="H8894" s="185"/>
    </row>
    <row r="8895">
      <c r="D8895" s="185"/>
      <c r="E8895" s="185" t="s">
        <v>470</v>
      </c>
      <c r="H8895" s="185"/>
    </row>
    <row r="8896">
      <c r="D8896" s="185"/>
      <c r="E8896" s="185" t="s">
        <v>470</v>
      </c>
      <c r="H8896" s="185"/>
    </row>
    <row r="8897">
      <c r="D8897" s="185"/>
      <c r="E8897" s="185" t="s">
        <v>470</v>
      </c>
      <c r="H8897" s="185"/>
    </row>
    <row r="8898">
      <c r="D8898" s="185"/>
      <c r="E8898" s="185" t="s">
        <v>470</v>
      </c>
      <c r="H8898" s="185"/>
    </row>
    <row r="8899">
      <c r="D8899" s="185"/>
      <c r="E8899" s="185" t="s">
        <v>470</v>
      </c>
      <c r="H8899" s="185"/>
    </row>
    <row r="8900">
      <c r="D8900" s="185"/>
      <c r="E8900" s="185" t="s">
        <v>470</v>
      </c>
      <c r="H8900" s="185"/>
    </row>
    <row r="8901">
      <c r="D8901" s="185"/>
      <c r="E8901" s="185" t="s">
        <v>470</v>
      </c>
      <c r="H8901" s="185"/>
    </row>
    <row r="8902">
      <c r="D8902" s="185"/>
      <c r="E8902" s="185" t="s">
        <v>470</v>
      </c>
      <c r="H8902" s="185"/>
    </row>
    <row r="8903">
      <c r="D8903" s="185"/>
      <c r="E8903" s="185" t="s">
        <v>470</v>
      </c>
      <c r="H8903" s="185"/>
    </row>
    <row r="8904">
      <c r="D8904" s="185"/>
      <c r="E8904" s="185" t="s">
        <v>470</v>
      </c>
      <c r="H8904" s="185"/>
    </row>
    <row r="8905">
      <c r="D8905" s="185"/>
      <c r="E8905" s="185" t="s">
        <v>470</v>
      </c>
      <c r="H8905" s="185"/>
    </row>
    <row r="8906">
      <c r="D8906" s="185"/>
      <c r="E8906" s="185" t="s">
        <v>470</v>
      </c>
      <c r="H8906" s="185"/>
    </row>
    <row r="8907">
      <c r="D8907" s="185"/>
      <c r="E8907" s="185" t="s">
        <v>470</v>
      </c>
      <c r="H8907" s="185"/>
    </row>
    <row r="8908">
      <c r="D8908" s="185"/>
      <c r="E8908" s="185" t="s">
        <v>470</v>
      </c>
      <c r="H8908" s="185"/>
    </row>
    <row r="8909">
      <c r="D8909" s="185"/>
      <c r="E8909" s="185" t="s">
        <v>470</v>
      </c>
      <c r="H8909" s="185"/>
    </row>
    <row r="8910">
      <c r="D8910" s="185"/>
      <c r="E8910" s="185" t="s">
        <v>470</v>
      </c>
      <c r="H8910" s="185"/>
    </row>
    <row r="8911">
      <c r="D8911" s="185"/>
      <c r="E8911" s="185" t="s">
        <v>470</v>
      </c>
      <c r="H8911" s="185"/>
    </row>
    <row r="8912">
      <c r="D8912" s="185"/>
      <c r="E8912" s="185" t="s">
        <v>470</v>
      </c>
      <c r="H8912" s="185"/>
    </row>
    <row r="8913">
      <c r="D8913" s="185"/>
      <c r="E8913" s="185" t="s">
        <v>470</v>
      </c>
      <c r="H8913" s="185"/>
    </row>
    <row r="8914">
      <c r="D8914" s="185"/>
      <c r="E8914" s="185" t="s">
        <v>470</v>
      </c>
      <c r="H8914" s="185"/>
    </row>
    <row r="8915">
      <c r="D8915" s="185"/>
      <c r="E8915" s="185" t="s">
        <v>470</v>
      </c>
      <c r="H8915" s="185"/>
    </row>
    <row r="8916">
      <c r="D8916" s="185"/>
      <c r="E8916" s="185" t="s">
        <v>470</v>
      </c>
      <c r="H8916" s="185"/>
    </row>
    <row r="8917">
      <c r="D8917" s="185"/>
      <c r="E8917" s="185" t="s">
        <v>470</v>
      </c>
      <c r="H8917" s="185"/>
    </row>
    <row r="8918">
      <c r="D8918" s="185"/>
      <c r="E8918" s="185" t="s">
        <v>470</v>
      </c>
      <c r="H8918" s="185"/>
    </row>
    <row r="8919">
      <c r="D8919" s="185"/>
      <c r="E8919" s="185" t="s">
        <v>470</v>
      </c>
      <c r="H8919" s="185"/>
    </row>
    <row r="8920">
      <c r="D8920" s="185"/>
      <c r="E8920" s="185" t="s">
        <v>470</v>
      </c>
      <c r="H8920" s="185"/>
    </row>
    <row r="8921">
      <c r="D8921" s="185"/>
      <c r="E8921" s="185" t="s">
        <v>470</v>
      </c>
      <c r="H8921" s="185"/>
    </row>
    <row r="8922">
      <c r="D8922" s="185"/>
      <c r="E8922" s="185" t="s">
        <v>470</v>
      </c>
      <c r="H8922" s="185"/>
    </row>
    <row r="8923">
      <c r="D8923" s="185"/>
      <c r="E8923" s="185" t="s">
        <v>470</v>
      </c>
      <c r="H8923" s="185"/>
    </row>
    <row r="8924">
      <c r="D8924" s="185"/>
      <c r="E8924" s="185" t="s">
        <v>470</v>
      </c>
      <c r="H8924" s="185"/>
    </row>
    <row r="8925">
      <c r="D8925" s="185"/>
      <c r="E8925" s="185" t="s">
        <v>470</v>
      </c>
      <c r="H8925" s="185"/>
    </row>
    <row r="8926">
      <c r="D8926" s="185"/>
      <c r="E8926" s="185" t="s">
        <v>470</v>
      </c>
      <c r="H8926" s="185"/>
    </row>
    <row r="8927">
      <c r="D8927" s="185"/>
      <c r="E8927" s="185" t="s">
        <v>470</v>
      </c>
      <c r="H8927" s="185"/>
    </row>
    <row r="8928">
      <c r="D8928" s="185"/>
      <c r="E8928" s="185" t="s">
        <v>470</v>
      </c>
      <c r="H8928" s="185"/>
    </row>
    <row r="8929">
      <c r="D8929" s="185"/>
      <c r="E8929" s="185" t="s">
        <v>470</v>
      </c>
      <c r="H8929" s="185"/>
    </row>
    <row r="8930">
      <c r="D8930" s="185"/>
      <c r="E8930" s="185" t="s">
        <v>470</v>
      </c>
      <c r="H8930" s="185"/>
    </row>
    <row r="8931">
      <c r="D8931" s="185"/>
      <c r="E8931" s="185" t="s">
        <v>470</v>
      </c>
      <c r="H8931" s="185"/>
    </row>
    <row r="8932">
      <c r="D8932" s="185"/>
      <c r="E8932" s="185" t="s">
        <v>470</v>
      </c>
      <c r="H8932" s="185"/>
    </row>
    <row r="8933">
      <c r="D8933" s="185"/>
      <c r="E8933" s="185" t="s">
        <v>470</v>
      </c>
      <c r="H8933" s="185"/>
    </row>
    <row r="8934">
      <c r="D8934" s="185"/>
      <c r="E8934" s="185" t="s">
        <v>470</v>
      </c>
      <c r="H8934" s="185"/>
    </row>
    <row r="8935">
      <c r="D8935" s="185"/>
      <c r="E8935" s="185" t="s">
        <v>470</v>
      </c>
      <c r="H8935" s="185"/>
    </row>
    <row r="8936">
      <c r="D8936" s="185"/>
      <c r="E8936" s="185" t="s">
        <v>470</v>
      </c>
      <c r="H8936" s="185"/>
    </row>
    <row r="8937">
      <c r="D8937" s="185"/>
      <c r="E8937" s="185" t="s">
        <v>470</v>
      </c>
      <c r="H8937" s="185"/>
    </row>
    <row r="8938">
      <c r="D8938" s="185"/>
      <c r="E8938" s="185" t="s">
        <v>470</v>
      </c>
      <c r="H8938" s="185"/>
    </row>
    <row r="8939">
      <c r="D8939" s="185"/>
      <c r="E8939" s="185" t="s">
        <v>470</v>
      </c>
      <c r="H8939" s="185"/>
    </row>
    <row r="8940">
      <c r="D8940" s="185"/>
      <c r="E8940" s="185" t="s">
        <v>470</v>
      </c>
      <c r="H8940" s="185"/>
    </row>
    <row r="8941">
      <c r="D8941" s="185"/>
      <c r="E8941" s="185" t="s">
        <v>470</v>
      </c>
      <c r="H8941" s="185"/>
    </row>
    <row r="8942">
      <c r="D8942" s="185"/>
      <c r="E8942" s="185" t="s">
        <v>470</v>
      </c>
      <c r="H8942" s="185"/>
    </row>
    <row r="8943">
      <c r="D8943" s="185"/>
      <c r="E8943" s="185" t="s">
        <v>470</v>
      </c>
      <c r="H8943" s="185"/>
    </row>
    <row r="8944">
      <c r="D8944" s="185"/>
      <c r="E8944" s="185" t="s">
        <v>470</v>
      </c>
      <c r="H8944" s="185"/>
    </row>
    <row r="8945">
      <c r="D8945" s="185"/>
      <c r="E8945" s="185" t="s">
        <v>470</v>
      </c>
      <c r="H8945" s="185"/>
    </row>
    <row r="8946">
      <c r="D8946" s="185"/>
      <c r="E8946" s="185" t="s">
        <v>470</v>
      </c>
      <c r="H8946" s="185"/>
    </row>
    <row r="8947">
      <c r="D8947" s="185"/>
      <c r="E8947" s="185" t="s">
        <v>470</v>
      </c>
      <c r="H8947" s="185"/>
    </row>
    <row r="8948">
      <c r="D8948" s="185"/>
      <c r="E8948" s="185" t="s">
        <v>470</v>
      </c>
      <c r="H8948" s="185"/>
    </row>
    <row r="8949">
      <c r="D8949" s="185"/>
      <c r="E8949" s="185" t="s">
        <v>470</v>
      </c>
      <c r="H8949" s="185"/>
    </row>
    <row r="8950">
      <c r="D8950" s="185"/>
      <c r="E8950" s="185" t="s">
        <v>470</v>
      </c>
      <c r="H8950" s="185"/>
    </row>
    <row r="8951">
      <c r="D8951" s="185"/>
      <c r="E8951" s="185" t="s">
        <v>470</v>
      </c>
      <c r="H8951" s="185"/>
    </row>
    <row r="8952">
      <c r="D8952" s="185"/>
      <c r="E8952" s="185" t="s">
        <v>470</v>
      </c>
      <c r="H8952" s="185"/>
    </row>
    <row r="8953">
      <c r="D8953" s="185"/>
      <c r="E8953" s="185" t="s">
        <v>470</v>
      </c>
      <c r="H8953" s="185"/>
    </row>
    <row r="8954">
      <c r="D8954" s="185"/>
      <c r="E8954" s="185" t="s">
        <v>470</v>
      </c>
      <c r="H8954" s="185"/>
    </row>
    <row r="8955">
      <c r="D8955" s="185"/>
      <c r="E8955" s="185" t="s">
        <v>470</v>
      </c>
      <c r="H8955" s="185"/>
    </row>
    <row r="8956">
      <c r="D8956" s="185"/>
      <c r="E8956" s="185" t="s">
        <v>470</v>
      </c>
      <c r="H8956" s="185"/>
    </row>
    <row r="8957">
      <c r="D8957" s="185"/>
      <c r="E8957" s="185" t="s">
        <v>470</v>
      </c>
      <c r="H8957" s="185"/>
    </row>
    <row r="8958">
      <c r="D8958" s="185"/>
      <c r="E8958" s="185" t="s">
        <v>470</v>
      </c>
      <c r="H8958" s="185"/>
    </row>
    <row r="8959">
      <c r="D8959" s="185"/>
      <c r="E8959" s="185" t="s">
        <v>470</v>
      </c>
      <c r="H8959" s="185"/>
    </row>
    <row r="8960">
      <c r="D8960" s="185"/>
      <c r="E8960" s="185" t="s">
        <v>470</v>
      </c>
      <c r="H8960" s="185"/>
    </row>
    <row r="8961">
      <c r="D8961" s="185"/>
      <c r="E8961" s="185" t="s">
        <v>470</v>
      </c>
      <c r="H8961" s="185"/>
    </row>
    <row r="8962">
      <c r="D8962" s="185"/>
      <c r="E8962" s="185" t="s">
        <v>470</v>
      </c>
      <c r="H8962" s="185"/>
    </row>
    <row r="8963">
      <c r="D8963" s="185"/>
      <c r="E8963" s="185" t="s">
        <v>470</v>
      </c>
      <c r="H8963" s="185"/>
    </row>
    <row r="8964">
      <c r="D8964" s="185"/>
      <c r="E8964" s="185" t="s">
        <v>470</v>
      </c>
      <c r="H8964" s="185"/>
    </row>
    <row r="8965">
      <c r="D8965" s="185"/>
      <c r="E8965" s="185" t="s">
        <v>470</v>
      </c>
      <c r="H8965" s="185"/>
    </row>
    <row r="8966">
      <c r="D8966" s="185"/>
      <c r="E8966" s="185" t="s">
        <v>470</v>
      </c>
      <c r="H8966" s="185"/>
    </row>
    <row r="8967">
      <c r="D8967" s="185"/>
      <c r="E8967" s="185" t="s">
        <v>470</v>
      </c>
      <c r="H8967" s="185"/>
    </row>
    <row r="8968">
      <c r="D8968" s="185"/>
      <c r="E8968" s="185" t="s">
        <v>470</v>
      </c>
      <c r="H8968" s="185"/>
    </row>
    <row r="8969">
      <c r="D8969" s="185"/>
      <c r="E8969" s="185" t="s">
        <v>470</v>
      </c>
      <c r="H8969" s="185"/>
    </row>
    <row r="8970">
      <c r="D8970" s="185"/>
      <c r="E8970" s="185" t="s">
        <v>470</v>
      </c>
      <c r="H8970" s="185"/>
    </row>
    <row r="8971">
      <c r="D8971" s="185"/>
      <c r="E8971" s="185" t="s">
        <v>470</v>
      </c>
      <c r="H8971" s="185"/>
    </row>
    <row r="8972">
      <c r="D8972" s="185"/>
      <c r="E8972" s="185" t="s">
        <v>470</v>
      </c>
      <c r="H8972" s="185"/>
    </row>
    <row r="8973">
      <c r="D8973" s="185"/>
      <c r="E8973" s="185" t="s">
        <v>470</v>
      </c>
      <c r="H8973" s="185"/>
    </row>
    <row r="8974">
      <c r="D8974" s="185"/>
      <c r="E8974" s="185" t="s">
        <v>470</v>
      </c>
      <c r="H8974" s="185"/>
    </row>
    <row r="8975">
      <c r="D8975" s="185"/>
      <c r="E8975" s="185" t="s">
        <v>470</v>
      </c>
      <c r="H8975" s="185"/>
    </row>
    <row r="8976">
      <c r="D8976" s="185"/>
      <c r="E8976" s="185" t="s">
        <v>470</v>
      </c>
      <c r="H8976" s="185"/>
    </row>
    <row r="8977">
      <c r="D8977" s="185"/>
      <c r="E8977" s="185" t="s">
        <v>470</v>
      </c>
      <c r="H8977" s="185"/>
    </row>
    <row r="8978">
      <c r="D8978" s="185"/>
      <c r="E8978" s="185" t="s">
        <v>470</v>
      </c>
      <c r="H8978" s="185"/>
    </row>
    <row r="8979">
      <c r="D8979" s="185"/>
      <c r="E8979" s="185" t="s">
        <v>470</v>
      </c>
      <c r="H8979" s="185"/>
    </row>
    <row r="8980">
      <c r="D8980" s="185"/>
      <c r="E8980" s="185" t="s">
        <v>470</v>
      </c>
      <c r="H8980" s="185"/>
    </row>
    <row r="8981">
      <c r="D8981" s="185"/>
      <c r="E8981" s="185" t="s">
        <v>470</v>
      </c>
      <c r="H8981" s="185"/>
    </row>
    <row r="8982">
      <c r="D8982" s="185"/>
      <c r="E8982" s="185" t="s">
        <v>470</v>
      </c>
      <c r="H8982" s="185"/>
    </row>
    <row r="8983">
      <c r="D8983" s="185"/>
      <c r="E8983" s="185" t="s">
        <v>470</v>
      </c>
      <c r="H8983" s="185"/>
    </row>
    <row r="8984">
      <c r="D8984" s="185"/>
      <c r="E8984" s="185" t="s">
        <v>470</v>
      </c>
      <c r="H8984" s="185"/>
    </row>
    <row r="8985">
      <c r="D8985" s="185"/>
      <c r="E8985" s="185" t="s">
        <v>470</v>
      </c>
      <c r="H8985" s="185"/>
    </row>
    <row r="8986">
      <c r="D8986" s="185"/>
      <c r="E8986" s="185" t="s">
        <v>470</v>
      </c>
      <c r="H8986" s="185"/>
    </row>
    <row r="8987">
      <c r="D8987" s="185"/>
      <c r="E8987" s="185" t="s">
        <v>470</v>
      </c>
      <c r="H8987" s="185"/>
    </row>
    <row r="8988">
      <c r="D8988" s="185"/>
      <c r="E8988" s="185" t="s">
        <v>470</v>
      </c>
      <c r="H8988" s="185"/>
    </row>
    <row r="8989">
      <c r="D8989" s="185"/>
      <c r="E8989" s="185" t="s">
        <v>470</v>
      </c>
      <c r="H8989" s="185"/>
    </row>
    <row r="8990">
      <c r="D8990" s="185"/>
      <c r="E8990" s="185" t="s">
        <v>470</v>
      </c>
      <c r="H8990" s="185"/>
    </row>
    <row r="8991">
      <c r="D8991" s="185"/>
      <c r="E8991" s="185" t="s">
        <v>470</v>
      </c>
      <c r="H8991" s="185"/>
    </row>
    <row r="8992">
      <c r="D8992" s="185"/>
      <c r="E8992" s="185" t="s">
        <v>470</v>
      </c>
      <c r="H8992" s="185"/>
    </row>
    <row r="8993">
      <c r="D8993" s="185"/>
      <c r="E8993" s="185" t="s">
        <v>470</v>
      </c>
      <c r="H8993" s="185"/>
    </row>
    <row r="8994">
      <c r="D8994" s="185"/>
      <c r="E8994" s="185" t="s">
        <v>470</v>
      </c>
      <c r="H8994" s="185"/>
    </row>
    <row r="8995">
      <c r="D8995" s="185"/>
      <c r="E8995" s="185" t="s">
        <v>470</v>
      </c>
      <c r="H8995" s="185"/>
    </row>
    <row r="8996">
      <c r="D8996" s="185"/>
      <c r="E8996" s="185" t="s">
        <v>470</v>
      </c>
      <c r="H8996" s="185"/>
    </row>
    <row r="8997">
      <c r="D8997" s="185"/>
      <c r="E8997" s="185" t="s">
        <v>470</v>
      </c>
      <c r="H8997" s="185"/>
    </row>
    <row r="8998">
      <c r="D8998" s="185"/>
      <c r="E8998" s="185" t="s">
        <v>470</v>
      </c>
      <c r="H8998" s="185"/>
    </row>
    <row r="8999">
      <c r="D8999" s="185"/>
      <c r="E8999" s="185" t="s">
        <v>470</v>
      </c>
      <c r="H8999" s="185"/>
    </row>
    <row r="9000">
      <c r="D9000" s="185"/>
      <c r="E9000" s="185" t="s">
        <v>470</v>
      </c>
      <c r="H9000" s="185"/>
    </row>
    <row r="9001">
      <c r="D9001" s="185"/>
      <c r="E9001" s="185" t="s">
        <v>470</v>
      </c>
      <c r="H9001" s="185"/>
    </row>
    <row r="9002">
      <c r="D9002" s="185"/>
      <c r="E9002" s="185" t="s">
        <v>470</v>
      </c>
      <c r="H9002" s="185"/>
    </row>
    <row r="9003">
      <c r="D9003" s="185"/>
      <c r="E9003" s="185" t="s">
        <v>470</v>
      </c>
      <c r="H9003" s="185"/>
    </row>
    <row r="9004">
      <c r="D9004" s="185"/>
      <c r="E9004" s="185" t="s">
        <v>470</v>
      </c>
      <c r="H9004" s="185"/>
    </row>
    <row r="9005">
      <c r="D9005" s="185"/>
      <c r="E9005" s="185" t="s">
        <v>470</v>
      </c>
      <c r="H9005" s="185"/>
    </row>
    <row r="9006">
      <c r="D9006" s="185"/>
      <c r="E9006" s="185" t="s">
        <v>470</v>
      </c>
      <c r="H9006" s="185"/>
    </row>
    <row r="9007">
      <c r="D9007" s="185"/>
      <c r="E9007" s="185" t="s">
        <v>470</v>
      </c>
      <c r="H9007" s="185"/>
    </row>
    <row r="9008">
      <c r="D9008" s="185"/>
      <c r="E9008" s="185" t="s">
        <v>470</v>
      </c>
      <c r="H9008" s="185"/>
    </row>
    <row r="9009">
      <c r="D9009" s="185"/>
      <c r="E9009" s="185" t="s">
        <v>470</v>
      </c>
      <c r="H9009" s="185"/>
    </row>
    <row r="9010">
      <c r="D9010" s="185"/>
      <c r="E9010" s="185" t="s">
        <v>470</v>
      </c>
      <c r="H9010" s="185"/>
    </row>
    <row r="9011">
      <c r="D9011" s="185"/>
      <c r="E9011" s="185" t="s">
        <v>470</v>
      </c>
      <c r="H9011" s="185"/>
    </row>
    <row r="9012">
      <c r="D9012" s="185"/>
      <c r="E9012" s="185" t="s">
        <v>470</v>
      </c>
      <c r="H9012" s="185"/>
    </row>
    <row r="9013">
      <c r="D9013" s="185"/>
      <c r="E9013" s="185" t="s">
        <v>470</v>
      </c>
      <c r="H9013" s="185"/>
    </row>
    <row r="9014">
      <c r="D9014" s="185"/>
      <c r="E9014" s="185" t="s">
        <v>470</v>
      </c>
      <c r="H9014" s="185"/>
    </row>
    <row r="9015">
      <c r="D9015" s="185"/>
      <c r="E9015" s="185" t="s">
        <v>470</v>
      </c>
      <c r="H9015" s="185"/>
    </row>
    <row r="9016">
      <c r="D9016" s="185"/>
      <c r="E9016" s="185" t="s">
        <v>470</v>
      </c>
      <c r="H9016" s="185"/>
    </row>
    <row r="9017">
      <c r="D9017" s="185"/>
      <c r="E9017" s="185" t="s">
        <v>470</v>
      </c>
      <c r="H9017" s="185"/>
    </row>
    <row r="9018">
      <c r="D9018" s="185"/>
      <c r="E9018" s="185" t="s">
        <v>470</v>
      </c>
      <c r="H9018" s="185"/>
    </row>
    <row r="9019">
      <c r="D9019" s="185"/>
      <c r="E9019" s="185" t="s">
        <v>470</v>
      </c>
      <c r="H9019" s="185"/>
    </row>
    <row r="9020">
      <c r="D9020" s="185"/>
      <c r="E9020" s="185" t="s">
        <v>470</v>
      </c>
      <c r="H9020" s="185"/>
    </row>
    <row r="9021">
      <c r="D9021" s="185"/>
      <c r="E9021" s="185" t="s">
        <v>470</v>
      </c>
      <c r="H9021" s="185"/>
    </row>
    <row r="9022">
      <c r="D9022" s="185"/>
      <c r="E9022" s="185" t="s">
        <v>470</v>
      </c>
      <c r="H9022" s="185"/>
    </row>
    <row r="9023">
      <c r="D9023" s="185"/>
      <c r="E9023" s="185" t="s">
        <v>470</v>
      </c>
      <c r="H9023" s="185"/>
    </row>
    <row r="9024">
      <c r="D9024" s="185"/>
      <c r="E9024" s="185" t="s">
        <v>470</v>
      </c>
      <c r="H9024" s="185"/>
    </row>
    <row r="9025">
      <c r="D9025" s="185"/>
      <c r="E9025" s="185" t="s">
        <v>470</v>
      </c>
      <c r="H9025" s="185"/>
    </row>
    <row r="9026">
      <c r="D9026" s="185"/>
      <c r="E9026" s="185" t="s">
        <v>470</v>
      </c>
      <c r="H9026" s="185"/>
    </row>
    <row r="9027">
      <c r="D9027" s="185"/>
      <c r="E9027" s="185" t="s">
        <v>470</v>
      </c>
      <c r="H9027" s="185"/>
    </row>
    <row r="9028">
      <c r="D9028" s="185"/>
      <c r="E9028" s="185" t="s">
        <v>470</v>
      </c>
      <c r="H9028" s="185"/>
    </row>
    <row r="9029">
      <c r="D9029" s="185"/>
      <c r="E9029" s="185" t="s">
        <v>470</v>
      </c>
      <c r="H9029" s="185"/>
    </row>
    <row r="9030">
      <c r="D9030" s="185"/>
      <c r="E9030" s="185" t="s">
        <v>470</v>
      </c>
      <c r="H9030" s="185"/>
    </row>
    <row r="9031">
      <c r="D9031" s="185"/>
      <c r="E9031" s="185" t="s">
        <v>470</v>
      </c>
      <c r="H9031" s="185"/>
    </row>
    <row r="9032">
      <c r="D9032" s="185"/>
      <c r="E9032" s="185" t="s">
        <v>470</v>
      </c>
      <c r="H9032" s="185"/>
    </row>
    <row r="9033">
      <c r="D9033" s="185"/>
      <c r="E9033" s="185" t="s">
        <v>470</v>
      </c>
      <c r="H9033" s="185"/>
    </row>
    <row r="9034">
      <c r="D9034" s="185"/>
      <c r="E9034" s="185" t="s">
        <v>470</v>
      </c>
      <c r="H9034" s="185"/>
    </row>
    <row r="9035">
      <c r="D9035" s="185"/>
      <c r="E9035" s="185" t="s">
        <v>470</v>
      </c>
      <c r="H9035" s="185"/>
    </row>
    <row r="9036">
      <c r="D9036" s="185"/>
      <c r="E9036" s="185" t="s">
        <v>470</v>
      </c>
      <c r="H9036" s="185"/>
    </row>
    <row r="9037">
      <c r="D9037" s="185"/>
      <c r="E9037" s="185" t="s">
        <v>470</v>
      </c>
      <c r="H9037" s="185"/>
    </row>
    <row r="9038">
      <c r="D9038" s="185"/>
      <c r="E9038" s="185" t="s">
        <v>470</v>
      </c>
      <c r="H9038" s="185"/>
    </row>
    <row r="9039">
      <c r="D9039" s="185"/>
      <c r="E9039" s="185" t="s">
        <v>470</v>
      </c>
      <c r="H9039" s="185"/>
    </row>
    <row r="9040">
      <c r="D9040" s="185"/>
      <c r="E9040" s="185" t="s">
        <v>470</v>
      </c>
      <c r="H9040" s="185"/>
    </row>
    <row r="9041">
      <c r="D9041" s="185"/>
      <c r="E9041" s="185" t="s">
        <v>470</v>
      </c>
      <c r="H9041" s="185"/>
    </row>
    <row r="9042">
      <c r="D9042" s="185"/>
      <c r="E9042" s="185" t="s">
        <v>470</v>
      </c>
      <c r="H9042" s="185"/>
    </row>
    <row r="9043">
      <c r="D9043" s="185"/>
      <c r="E9043" s="185" t="s">
        <v>470</v>
      </c>
      <c r="H9043" s="185"/>
    </row>
    <row r="9044">
      <c r="D9044" s="185"/>
      <c r="E9044" s="185" t="s">
        <v>470</v>
      </c>
      <c r="H9044" s="185"/>
    </row>
    <row r="9045">
      <c r="D9045" s="185"/>
      <c r="E9045" s="185" t="s">
        <v>470</v>
      </c>
      <c r="H9045" s="185"/>
    </row>
    <row r="9046">
      <c r="D9046" s="185"/>
      <c r="E9046" s="185" t="s">
        <v>470</v>
      </c>
      <c r="H9046" s="185"/>
    </row>
    <row r="9047">
      <c r="D9047" s="185"/>
      <c r="E9047" s="185" t="s">
        <v>470</v>
      </c>
      <c r="H9047" s="185"/>
    </row>
    <row r="9048">
      <c r="D9048" s="185"/>
      <c r="E9048" s="185" t="s">
        <v>470</v>
      </c>
      <c r="H9048" s="185"/>
    </row>
    <row r="9049">
      <c r="D9049" s="185"/>
      <c r="E9049" s="185" t="s">
        <v>470</v>
      </c>
      <c r="H9049" s="185"/>
    </row>
    <row r="9050">
      <c r="D9050" s="185"/>
      <c r="E9050" s="185" t="s">
        <v>470</v>
      </c>
      <c r="H9050" s="185"/>
    </row>
    <row r="9051">
      <c r="D9051" s="185"/>
      <c r="E9051" s="185" t="s">
        <v>470</v>
      </c>
      <c r="H9051" s="185"/>
    </row>
    <row r="9052">
      <c r="D9052" s="185"/>
      <c r="E9052" s="185" t="s">
        <v>470</v>
      </c>
      <c r="H9052" s="185"/>
    </row>
    <row r="9053">
      <c r="D9053" s="185"/>
      <c r="E9053" s="185" t="s">
        <v>470</v>
      </c>
      <c r="H9053" s="185"/>
    </row>
    <row r="9054">
      <c r="D9054" s="185"/>
      <c r="E9054" s="185" t="s">
        <v>470</v>
      </c>
      <c r="H9054" s="185"/>
    </row>
    <row r="9055">
      <c r="D9055" s="185"/>
      <c r="E9055" s="185" t="s">
        <v>470</v>
      </c>
      <c r="H9055" s="185"/>
    </row>
    <row r="9056">
      <c r="D9056" s="185"/>
      <c r="E9056" s="185" t="s">
        <v>470</v>
      </c>
      <c r="H9056" s="185"/>
    </row>
    <row r="9057">
      <c r="D9057" s="185"/>
      <c r="E9057" s="185" t="s">
        <v>470</v>
      </c>
      <c r="H9057" s="185"/>
    </row>
    <row r="9058">
      <c r="D9058" s="185"/>
      <c r="E9058" s="185" t="s">
        <v>470</v>
      </c>
      <c r="H9058" s="185"/>
    </row>
    <row r="9059">
      <c r="D9059" s="185"/>
      <c r="E9059" s="185" t="s">
        <v>470</v>
      </c>
      <c r="H9059" s="185"/>
    </row>
    <row r="9060">
      <c r="D9060" s="185"/>
      <c r="E9060" s="185" t="s">
        <v>470</v>
      </c>
      <c r="H9060" s="185"/>
    </row>
    <row r="9061">
      <c r="D9061" s="185"/>
      <c r="E9061" s="185" t="s">
        <v>470</v>
      </c>
      <c r="H9061" s="185"/>
    </row>
    <row r="9062">
      <c r="D9062" s="185"/>
      <c r="E9062" s="185" t="s">
        <v>470</v>
      </c>
      <c r="H9062" s="185"/>
    </row>
    <row r="9063">
      <c r="D9063" s="185"/>
      <c r="E9063" s="185" t="s">
        <v>470</v>
      </c>
      <c r="H9063" s="185"/>
    </row>
    <row r="9064">
      <c r="D9064" s="185"/>
      <c r="E9064" s="185" t="s">
        <v>470</v>
      </c>
      <c r="H9064" s="185"/>
    </row>
    <row r="9065">
      <c r="D9065" s="185"/>
      <c r="E9065" s="185" t="s">
        <v>470</v>
      </c>
      <c r="H9065" s="185"/>
    </row>
    <row r="9066">
      <c r="D9066" s="185"/>
      <c r="E9066" s="185" t="s">
        <v>470</v>
      </c>
      <c r="H9066" s="185"/>
    </row>
    <row r="9067">
      <c r="D9067" s="185"/>
      <c r="E9067" s="185" t="s">
        <v>470</v>
      </c>
      <c r="H9067" s="185"/>
    </row>
    <row r="9068">
      <c r="D9068" s="185"/>
      <c r="E9068" s="185" t="s">
        <v>470</v>
      </c>
      <c r="H9068" s="185"/>
    </row>
    <row r="9069">
      <c r="D9069" s="185"/>
      <c r="E9069" s="185" t="s">
        <v>470</v>
      </c>
      <c r="H9069" s="185"/>
    </row>
    <row r="9070">
      <c r="D9070" s="185"/>
      <c r="E9070" s="185" t="s">
        <v>470</v>
      </c>
      <c r="H9070" s="185"/>
    </row>
    <row r="9071">
      <c r="D9071" s="185"/>
      <c r="E9071" s="185" t="s">
        <v>470</v>
      </c>
      <c r="H9071" s="185"/>
    </row>
    <row r="9072">
      <c r="D9072" s="185"/>
      <c r="E9072" s="185" t="s">
        <v>470</v>
      </c>
      <c r="H9072" s="185"/>
    </row>
    <row r="9073">
      <c r="D9073" s="185"/>
      <c r="E9073" s="185" t="s">
        <v>470</v>
      </c>
      <c r="H9073" s="185"/>
    </row>
    <row r="9074">
      <c r="D9074" s="185"/>
      <c r="E9074" s="185" t="s">
        <v>470</v>
      </c>
      <c r="H9074" s="185"/>
    </row>
    <row r="9075">
      <c r="D9075" s="185"/>
      <c r="E9075" s="185" t="s">
        <v>470</v>
      </c>
      <c r="H9075" s="185"/>
    </row>
    <row r="9076">
      <c r="D9076" s="185"/>
      <c r="E9076" s="185" t="s">
        <v>470</v>
      </c>
      <c r="H9076" s="185"/>
    </row>
    <row r="9077">
      <c r="D9077" s="185"/>
      <c r="E9077" s="185" t="s">
        <v>470</v>
      </c>
      <c r="H9077" s="185"/>
    </row>
    <row r="9078">
      <c r="D9078" s="185"/>
      <c r="E9078" s="185" t="s">
        <v>470</v>
      </c>
      <c r="H9078" s="185"/>
    </row>
    <row r="9079">
      <c r="D9079" s="185"/>
      <c r="E9079" s="185" t="s">
        <v>470</v>
      </c>
      <c r="H9079" s="185"/>
    </row>
    <row r="9080">
      <c r="D9080" s="185"/>
      <c r="E9080" s="185" t="s">
        <v>470</v>
      </c>
      <c r="H9080" s="185"/>
    </row>
    <row r="9081">
      <c r="D9081" s="185"/>
      <c r="E9081" s="185" t="s">
        <v>470</v>
      </c>
      <c r="H9081" s="185"/>
    </row>
    <row r="9082">
      <c r="D9082" s="185"/>
      <c r="E9082" s="185" t="s">
        <v>470</v>
      </c>
      <c r="H9082" s="185"/>
    </row>
    <row r="9083">
      <c r="D9083" s="185"/>
      <c r="E9083" s="185" t="s">
        <v>470</v>
      </c>
      <c r="H9083" s="185"/>
    </row>
    <row r="9084">
      <c r="D9084" s="185"/>
      <c r="E9084" s="185" t="s">
        <v>470</v>
      </c>
      <c r="H9084" s="185"/>
    </row>
    <row r="9085">
      <c r="D9085" s="185"/>
      <c r="E9085" s="185" t="s">
        <v>470</v>
      </c>
      <c r="H9085" s="185"/>
    </row>
    <row r="9086">
      <c r="D9086" s="185"/>
      <c r="E9086" s="185" t="s">
        <v>470</v>
      </c>
      <c r="H9086" s="185"/>
    </row>
    <row r="9087">
      <c r="D9087" s="185"/>
      <c r="E9087" s="185" t="s">
        <v>470</v>
      </c>
      <c r="H9087" s="185"/>
    </row>
    <row r="9088">
      <c r="D9088" s="185"/>
      <c r="E9088" s="185" t="s">
        <v>470</v>
      </c>
      <c r="H9088" s="185"/>
    </row>
    <row r="9089">
      <c r="D9089" s="185"/>
      <c r="E9089" s="185" t="s">
        <v>470</v>
      </c>
      <c r="H9089" s="185"/>
    </row>
    <row r="9090">
      <c r="D9090" s="185"/>
      <c r="E9090" s="185" t="s">
        <v>470</v>
      </c>
      <c r="H9090" s="185"/>
    </row>
    <row r="9091">
      <c r="D9091" s="185"/>
      <c r="E9091" s="185" t="s">
        <v>470</v>
      </c>
      <c r="H9091" s="185"/>
    </row>
    <row r="9092">
      <c r="D9092" s="185"/>
      <c r="E9092" s="185" t="s">
        <v>470</v>
      </c>
      <c r="H9092" s="185"/>
    </row>
    <row r="9093">
      <c r="D9093" s="185"/>
      <c r="E9093" s="185" t="s">
        <v>470</v>
      </c>
      <c r="H9093" s="185"/>
    </row>
    <row r="9094">
      <c r="D9094" s="185"/>
      <c r="E9094" s="185" t="s">
        <v>470</v>
      </c>
      <c r="H9094" s="185"/>
    </row>
    <row r="9095">
      <c r="D9095" s="185"/>
      <c r="E9095" s="185" t="s">
        <v>470</v>
      </c>
      <c r="H9095" s="185"/>
    </row>
    <row r="9096">
      <c r="D9096" s="185"/>
      <c r="E9096" s="185" t="s">
        <v>470</v>
      </c>
      <c r="H9096" s="185"/>
    </row>
    <row r="9097">
      <c r="D9097" s="185"/>
      <c r="E9097" s="185" t="s">
        <v>470</v>
      </c>
      <c r="H9097" s="185"/>
    </row>
    <row r="9098">
      <c r="D9098" s="185"/>
      <c r="E9098" s="185" t="s">
        <v>470</v>
      </c>
      <c r="H9098" s="185"/>
    </row>
    <row r="9099">
      <c r="D9099" s="185"/>
      <c r="E9099" s="185" t="s">
        <v>470</v>
      </c>
      <c r="H9099" s="185"/>
    </row>
    <row r="9100">
      <c r="D9100" s="185"/>
      <c r="E9100" s="185" t="s">
        <v>470</v>
      </c>
      <c r="H9100" s="185"/>
    </row>
    <row r="9101">
      <c r="D9101" s="185"/>
      <c r="E9101" s="185" t="s">
        <v>470</v>
      </c>
      <c r="H9101" s="185"/>
    </row>
    <row r="9102">
      <c r="D9102" s="185"/>
      <c r="E9102" s="185" t="s">
        <v>470</v>
      </c>
      <c r="H9102" s="185"/>
    </row>
    <row r="9103">
      <c r="D9103" s="185"/>
      <c r="E9103" s="185" t="s">
        <v>470</v>
      </c>
      <c r="H9103" s="185"/>
    </row>
    <row r="9104">
      <c r="D9104" s="185"/>
      <c r="E9104" s="185" t="s">
        <v>470</v>
      </c>
      <c r="H9104" s="185"/>
    </row>
    <row r="9105">
      <c r="D9105" s="185"/>
      <c r="E9105" s="185" t="s">
        <v>470</v>
      </c>
      <c r="H9105" s="185"/>
    </row>
    <row r="9106">
      <c r="D9106" s="185"/>
      <c r="E9106" s="185" t="s">
        <v>470</v>
      </c>
      <c r="H9106" s="185"/>
    </row>
    <row r="9107">
      <c r="D9107" s="185"/>
      <c r="E9107" s="185" t="s">
        <v>470</v>
      </c>
      <c r="H9107" s="185"/>
    </row>
    <row r="9108">
      <c r="D9108" s="185"/>
      <c r="E9108" s="185" t="s">
        <v>470</v>
      </c>
      <c r="H9108" s="185"/>
    </row>
    <row r="9109">
      <c r="D9109" s="185"/>
      <c r="E9109" s="185" t="s">
        <v>470</v>
      </c>
      <c r="H9109" s="185"/>
    </row>
    <row r="9110">
      <c r="D9110" s="185"/>
      <c r="E9110" s="185" t="s">
        <v>470</v>
      </c>
      <c r="H9110" s="185"/>
    </row>
    <row r="9111">
      <c r="D9111" s="185"/>
      <c r="E9111" s="185" t="s">
        <v>470</v>
      </c>
      <c r="H9111" s="185"/>
    </row>
    <row r="9112">
      <c r="D9112" s="185"/>
      <c r="E9112" s="185" t="s">
        <v>470</v>
      </c>
      <c r="H9112" s="185"/>
    </row>
    <row r="9113">
      <c r="D9113" s="185"/>
      <c r="E9113" s="185" t="s">
        <v>470</v>
      </c>
      <c r="H9113" s="185"/>
    </row>
    <row r="9114">
      <c r="D9114" s="185"/>
      <c r="E9114" s="185" t="s">
        <v>470</v>
      </c>
      <c r="H9114" s="185"/>
    </row>
    <row r="9115">
      <c r="D9115" s="185"/>
      <c r="E9115" s="185" t="s">
        <v>470</v>
      </c>
      <c r="H9115" s="185"/>
    </row>
    <row r="9116">
      <c r="D9116" s="185"/>
      <c r="E9116" s="185" t="s">
        <v>470</v>
      </c>
      <c r="H9116" s="185"/>
    </row>
    <row r="9117">
      <c r="D9117" s="185"/>
      <c r="E9117" s="185" t="s">
        <v>470</v>
      </c>
      <c r="H9117" s="185"/>
    </row>
    <row r="9118">
      <c r="D9118" s="185"/>
      <c r="E9118" s="185" t="s">
        <v>470</v>
      </c>
      <c r="H9118" s="185"/>
    </row>
    <row r="9119">
      <c r="D9119" s="185"/>
      <c r="E9119" s="185" t="s">
        <v>470</v>
      </c>
      <c r="H9119" s="185"/>
    </row>
    <row r="9120">
      <c r="D9120" s="185"/>
      <c r="E9120" s="185" t="s">
        <v>470</v>
      </c>
      <c r="H9120" s="185"/>
    </row>
    <row r="9121">
      <c r="D9121" s="185"/>
      <c r="E9121" s="185" t="s">
        <v>470</v>
      </c>
      <c r="H9121" s="185"/>
    </row>
    <row r="9122">
      <c r="D9122" s="185"/>
      <c r="E9122" s="185" t="s">
        <v>470</v>
      </c>
      <c r="H9122" s="185"/>
    </row>
    <row r="9123">
      <c r="D9123" s="185"/>
      <c r="E9123" s="185" t="s">
        <v>470</v>
      </c>
      <c r="H9123" s="185"/>
    </row>
    <row r="9124">
      <c r="D9124" s="185"/>
      <c r="E9124" s="185" t="s">
        <v>470</v>
      </c>
      <c r="H9124" s="185"/>
    </row>
    <row r="9125">
      <c r="D9125" s="185"/>
      <c r="E9125" s="185" t="s">
        <v>470</v>
      </c>
      <c r="H9125" s="185"/>
    </row>
    <row r="9126">
      <c r="D9126" s="185"/>
      <c r="E9126" s="185" t="s">
        <v>470</v>
      </c>
      <c r="H9126" s="185"/>
    </row>
    <row r="9127">
      <c r="D9127" s="185"/>
      <c r="E9127" s="185" t="s">
        <v>470</v>
      </c>
      <c r="H9127" s="185"/>
    </row>
    <row r="9128">
      <c r="D9128" s="185"/>
      <c r="E9128" s="185" t="s">
        <v>470</v>
      </c>
      <c r="H9128" s="185"/>
    </row>
    <row r="9129">
      <c r="D9129" s="185"/>
      <c r="E9129" s="185" t="s">
        <v>470</v>
      </c>
      <c r="H9129" s="185"/>
    </row>
    <row r="9130">
      <c r="D9130" s="185"/>
      <c r="E9130" s="185" t="s">
        <v>470</v>
      </c>
      <c r="H9130" s="185"/>
    </row>
    <row r="9131">
      <c r="D9131" s="185"/>
      <c r="E9131" s="185" t="s">
        <v>470</v>
      </c>
      <c r="H9131" s="185"/>
    </row>
    <row r="9132">
      <c r="D9132" s="185"/>
      <c r="E9132" s="185" t="s">
        <v>470</v>
      </c>
      <c r="H9132" s="185"/>
    </row>
    <row r="9133">
      <c r="D9133" s="185"/>
      <c r="E9133" s="185" t="s">
        <v>470</v>
      </c>
      <c r="H9133" s="185"/>
    </row>
    <row r="9134">
      <c r="D9134" s="185"/>
      <c r="E9134" s="185" t="s">
        <v>470</v>
      </c>
      <c r="H9134" s="185"/>
    </row>
    <row r="9135">
      <c r="D9135" s="185"/>
      <c r="E9135" s="185" t="s">
        <v>470</v>
      </c>
      <c r="H9135" s="185"/>
    </row>
    <row r="9136">
      <c r="D9136" s="185"/>
      <c r="E9136" s="185" t="s">
        <v>470</v>
      </c>
      <c r="H9136" s="185"/>
    </row>
    <row r="9137">
      <c r="D9137" s="185"/>
      <c r="E9137" s="185" t="s">
        <v>470</v>
      </c>
      <c r="H9137" s="185"/>
    </row>
    <row r="9138">
      <c r="D9138" s="185"/>
      <c r="E9138" s="185" t="s">
        <v>470</v>
      </c>
      <c r="H9138" s="185"/>
    </row>
    <row r="9139">
      <c r="D9139" s="185"/>
      <c r="E9139" s="185" t="s">
        <v>470</v>
      </c>
      <c r="H9139" s="185"/>
    </row>
    <row r="9140">
      <c r="D9140" s="185"/>
      <c r="E9140" s="185" t="s">
        <v>470</v>
      </c>
      <c r="H9140" s="185"/>
    </row>
    <row r="9141">
      <c r="D9141" s="185"/>
      <c r="E9141" s="185" t="s">
        <v>470</v>
      </c>
      <c r="H9141" s="185"/>
    </row>
    <row r="9142">
      <c r="D9142" s="185"/>
      <c r="E9142" s="185" t="s">
        <v>470</v>
      </c>
      <c r="H9142" s="185"/>
    </row>
    <row r="9143">
      <c r="D9143" s="185"/>
      <c r="E9143" s="185" t="s">
        <v>470</v>
      </c>
      <c r="H9143" s="185"/>
    </row>
    <row r="9144">
      <c r="D9144" s="185"/>
      <c r="E9144" s="185" t="s">
        <v>470</v>
      </c>
      <c r="H9144" s="185"/>
    </row>
    <row r="9145">
      <c r="D9145" s="185"/>
      <c r="E9145" s="185" t="s">
        <v>470</v>
      </c>
      <c r="H9145" s="185"/>
    </row>
    <row r="9146">
      <c r="D9146" s="185"/>
      <c r="E9146" s="185" t="s">
        <v>470</v>
      </c>
      <c r="H9146" s="185"/>
    </row>
    <row r="9147">
      <c r="D9147" s="185"/>
      <c r="E9147" s="185" t="s">
        <v>470</v>
      </c>
      <c r="H9147" s="185"/>
    </row>
    <row r="9148">
      <c r="D9148" s="185"/>
      <c r="E9148" s="185" t="s">
        <v>470</v>
      </c>
      <c r="H9148" s="185"/>
    </row>
    <row r="9149">
      <c r="D9149" s="185"/>
      <c r="E9149" s="185" t="s">
        <v>470</v>
      </c>
      <c r="H9149" s="185"/>
    </row>
    <row r="9150">
      <c r="D9150" s="185"/>
      <c r="E9150" s="185" t="s">
        <v>470</v>
      </c>
      <c r="H9150" s="185"/>
    </row>
    <row r="9151">
      <c r="D9151" s="185"/>
      <c r="E9151" s="185" t="s">
        <v>470</v>
      </c>
      <c r="H9151" s="185"/>
    </row>
    <row r="9152">
      <c r="D9152" s="185"/>
      <c r="E9152" s="185" t="s">
        <v>470</v>
      </c>
      <c r="H9152" s="185"/>
    </row>
    <row r="9153">
      <c r="D9153" s="185"/>
      <c r="E9153" s="185" t="s">
        <v>470</v>
      </c>
      <c r="H9153" s="185"/>
    </row>
    <row r="9154">
      <c r="D9154" s="185"/>
      <c r="E9154" s="185" t="s">
        <v>470</v>
      </c>
      <c r="H9154" s="185"/>
    </row>
    <row r="9155">
      <c r="D9155" s="185"/>
      <c r="E9155" s="185" t="s">
        <v>470</v>
      </c>
      <c r="H9155" s="185"/>
    </row>
    <row r="9156">
      <c r="D9156" s="185"/>
      <c r="E9156" s="185" t="s">
        <v>470</v>
      </c>
      <c r="H9156" s="185"/>
    </row>
    <row r="9157">
      <c r="D9157" s="185"/>
      <c r="E9157" s="185" t="s">
        <v>470</v>
      </c>
      <c r="H9157" s="185"/>
    </row>
    <row r="9158">
      <c r="D9158" s="185"/>
      <c r="E9158" s="185" t="s">
        <v>470</v>
      </c>
      <c r="H9158" s="185"/>
    </row>
    <row r="9159">
      <c r="D9159" s="185"/>
      <c r="E9159" s="185" t="s">
        <v>470</v>
      </c>
      <c r="H9159" s="185"/>
    </row>
    <row r="9160">
      <c r="D9160" s="185"/>
      <c r="E9160" s="185" t="s">
        <v>470</v>
      </c>
      <c r="H9160" s="185"/>
    </row>
    <row r="9161">
      <c r="D9161" s="185"/>
      <c r="E9161" s="185" t="s">
        <v>470</v>
      </c>
      <c r="H9161" s="185"/>
    </row>
    <row r="9162">
      <c r="D9162" s="185"/>
      <c r="E9162" s="185" t="s">
        <v>470</v>
      </c>
      <c r="H9162" s="185"/>
    </row>
    <row r="9163">
      <c r="D9163" s="185"/>
      <c r="E9163" s="185" t="s">
        <v>470</v>
      </c>
      <c r="H9163" s="185"/>
    </row>
    <row r="9164">
      <c r="D9164" s="185"/>
      <c r="E9164" s="185" t="s">
        <v>470</v>
      </c>
      <c r="H9164" s="185"/>
    </row>
    <row r="9165">
      <c r="D9165" s="185"/>
      <c r="E9165" s="185" t="s">
        <v>470</v>
      </c>
      <c r="H9165" s="185"/>
    </row>
    <row r="9166">
      <c r="D9166" s="185"/>
      <c r="E9166" s="185" t="s">
        <v>470</v>
      </c>
      <c r="H9166" s="185"/>
    </row>
    <row r="9167">
      <c r="D9167" s="185"/>
      <c r="E9167" s="185" t="s">
        <v>470</v>
      </c>
      <c r="H9167" s="185"/>
    </row>
    <row r="9168">
      <c r="D9168" s="185"/>
      <c r="E9168" s="185" t="s">
        <v>470</v>
      </c>
      <c r="H9168" s="185"/>
    </row>
    <row r="9169">
      <c r="D9169" s="185"/>
      <c r="E9169" s="185" t="s">
        <v>470</v>
      </c>
      <c r="H9169" s="185"/>
    </row>
    <row r="9170">
      <c r="D9170" s="185"/>
      <c r="E9170" s="185" t="s">
        <v>470</v>
      </c>
      <c r="H9170" s="185"/>
    </row>
    <row r="9171">
      <c r="D9171" s="185"/>
      <c r="E9171" s="185" t="s">
        <v>470</v>
      </c>
      <c r="H9171" s="185"/>
    </row>
    <row r="9172">
      <c r="D9172" s="185"/>
      <c r="E9172" s="185" t="s">
        <v>470</v>
      </c>
      <c r="H9172" s="185"/>
    </row>
    <row r="9173">
      <c r="D9173" s="185"/>
      <c r="E9173" s="185" t="s">
        <v>470</v>
      </c>
      <c r="H9173" s="185"/>
    </row>
    <row r="9174">
      <c r="D9174" s="185"/>
      <c r="E9174" s="185" t="s">
        <v>470</v>
      </c>
      <c r="H9174" s="185"/>
    </row>
    <row r="9175">
      <c r="D9175" s="185"/>
      <c r="E9175" s="185" t="s">
        <v>470</v>
      </c>
      <c r="H9175" s="185"/>
    </row>
    <row r="9176">
      <c r="D9176" s="185"/>
      <c r="E9176" s="185" t="s">
        <v>470</v>
      </c>
      <c r="H9176" s="185"/>
    </row>
    <row r="9177">
      <c r="D9177" s="185"/>
      <c r="E9177" s="185" t="s">
        <v>470</v>
      </c>
      <c r="H9177" s="185"/>
    </row>
    <row r="9178">
      <c r="D9178" s="185"/>
      <c r="E9178" s="185" t="s">
        <v>470</v>
      </c>
      <c r="H9178" s="185"/>
    </row>
    <row r="9179">
      <c r="D9179" s="185"/>
      <c r="E9179" s="185" t="s">
        <v>470</v>
      </c>
      <c r="H9179" s="185"/>
    </row>
    <row r="9180">
      <c r="D9180" s="185"/>
      <c r="E9180" s="185" t="s">
        <v>470</v>
      </c>
      <c r="H9180" s="185"/>
    </row>
    <row r="9181">
      <c r="D9181" s="185"/>
      <c r="E9181" s="185" t="s">
        <v>470</v>
      </c>
      <c r="H9181" s="185"/>
    </row>
    <row r="9182">
      <c r="D9182" s="185"/>
      <c r="E9182" s="185" t="s">
        <v>470</v>
      </c>
      <c r="H9182" s="185"/>
    </row>
    <row r="9183">
      <c r="D9183" s="185"/>
      <c r="E9183" s="185" t="s">
        <v>470</v>
      </c>
      <c r="H9183" s="185"/>
    </row>
    <row r="9184">
      <c r="D9184" s="185"/>
      <c r="E9184" s="185" t="s">
        <v>470</v>
      </c>
      <c r="H9184" s="185"/>
    </row>
    <row r="9185">
      <c r="D9185" s="185"/>
      <c r="E9185" s="185" t="s">
        <v>470</v>
      </c>
      <c r="H9185" s="185"/>
    </row>
    <row r="9186">
      <c r="D9186" s="185"/>
      <c r="E9186" s="185" t="s">
        <v>470</v>
      </c>
      <c r="H9186" s="185"/>
    </row>
    <row r="9187">
      <c r="D9187" s="185"/>
      <c r="E9187" s="185" t="s">
        <v>470</v>
      </c>
      <c r="H9187" s="185"/>
    </row>
    <row r="9188">
      <c r="D9188" s="185"/>
      <c r="E9188" s="185" t="s">
        <v>470</v>
      </c>
      <c r="H9188" s="185"/>
    </row>
    <row r="9189">
      <c r="D9189" s="185"/>
      <c r="E9189" s="185" t="s">
        <v>470</v>
      </c>
      <c r="H9189" s="185"/>
    </row>
    <row r="9190">
      <c r="D9190" s="185"/>
      <c r="E9190" s="185" t="s">
        <v>470</v>
      </c>
      <c r="H9190" s="185"/>
    </row>
    <row r="9191">
      <c r="D9191" s="185"/>
      <c r="E9191" s="185" t="s">
        <v>470</v>
      </c>
      <c r="H9191" s="185"/>
    </row>
    <row r="9192">
      <c r="D9192" s="185"/>
      <c r="E9192" s="185" t="s">
        <v>470</v>
      </c>
      <c r="H9192" s="185"/>
    </row>
    <row r="9193">
      <c r="D9193" s="185"/>
      <c r="E9193" s="185" t="s">
        <v>470</v>
      </c>
      <c r="H9193" s="185"/>
    </row>
    <row r="9194">
      <c r="D9194" s="185"/>
      <c r="E9194" s="185" t="s">
        <v>470</v>
      </c>
      <c r="H9194" s="185"/>
    </row>
    <row r="9195">
      <c r="D9195" s="185"/>
      <c r="E9195" s="185" t="s">
        <v>470</v>
      </c>
      <c r="H9195" s="185"/>
    </row>
    <row r="9196">
      <c r="D9196" s="185"/>
      <c r="E9196" s="185" t="s">
        <v>470</v>
      </c>
      <c r="H9196" s="185"/>
    </row>
    <row r="9197">
      <c r="D9197" s="185"/>
      <c r="E9197" s="185" t="s">
        <v>470</v>
      </c>
      <c r="H9197" s="185"/>
    </row>
    <row r="9198">
      <c r="D9198" s="185"/>
      <c r="E9198" s="185" t="s">
        <v>470</v>
      </c>
      <c r="H9198" s="185"/>
    </row>
    <row r="9199">
      <c r="D9199" s="185"/>
      <c r="E9199" s="185" t="s">
        <v>470</v>
      </c>
      <c r="H9199" s="185"/>
    </row>
    <row r="9200">
      <c r="D9200" s="185"/>
      <c r="E9200" s="185" t="s">
        <v>470</v>
      </c>
      <c r="H9200" s="185"/>
    </row>
    <row r="9201">
      <c r="D9201" s="185"/>
      <c r="E9201" s="185" t="s">
        <v>470</v>
      </c>
      <c r="H9201" s="185"/>
    </row>
    <row r="9202">
      <c r="D9202" s="185"/>
      <c r="E9202" s="185" t="s">
        <v>470</v>
      </c>
      <c r="H9202" s="185"/>
    </row>
    <row r="9203">
      <c r="D9203" s="185"/>
      <c r="E9203" s="185" t="s">
        <v>470</v>
      </c>
      <c r="H9203" s="185"/>
    </row>
    <row r="9204">
      <c r="D9204" s="185"/>
      <c r="E9204" s="185" t="s">
        <v>470</v>
      </c>
      <c r="H9204" s="185"/>
    </row>
    <row r="9205">
      <c r="D9205" s="185"/>
      <c r="E9205" s="185" t="s">
        <v>470</v>
      </c>
      <c r="H9205" s="185"/>
    </row>
    <row r="9206">
      <c r="D9206" s="185"/>
      <c r="E9206" s="185" t="s">
        <v>470</v>
      </c>
      <c r="H9206" s="185"/>
    </row>
    <row r="9207">
      <c r="D9207" s="185"/>
      <c r="E9207" s="185" t="s">
        <v>470</v>
      </c>
      <c r="H9207" s="185"/>
    </row>
    <row r="9208">
      <c r="D9208" s="185"/>
      <c r="E9208" s="185" t="s">
        <v>470</v>
      </c>
      <c r="H9208" s="185"/>
    </row>
    <row r="9209">
      <c r="D9209" s="185"/>
      <c r="E9209" s="185" t="s">
        <v>470</v>
      </c>
      <c r="H9209" s="185"/>
    </row>
    <row r="9210">
      <c r="D9210" s="185"/>
      <c r="E9210" s="185" t="s">
        <v>470</v>
      </c>
      <c r="H9210" s="185"/>
    </row>
    <row r="9211">
      <c r="D9211" s="185"/>
      <c r="E9211" s="185" t="s">
        <v>470</v>
      </c>
      <c r="H9211" s="185"/>
    </row>
    <row r="9212">
      <c r="D9212" s="185"/>
      <c r="E9212" s="185" t="s">
        <v>470</v>
      </c>
      <c r="H9212" s="185"/>
    </row>
    <row r="9213">
      <c r="D9213" s="185"/>
      <c r="E9213" s="185" t="s">
        <v>470</v>
      </c>
      <c r="H9213" s="185"/>
    </row>
    <row r="9214">
      <c r="D9214" s="185"/>
      <c r="E9214" s="185" t="s">
        <v>470</v>
      </c>
      <c r="H9214" s="185"/>
    </row>
    <row r="9215">
      <c r="D9215" s="185"/>
      <c r="E9215" s="185" t="s">
        <v>470</v>
      </c>
      <c r="H9215" s="185"/>
    </row>
    <row r="9216">
      <c r="D9216" s="185"/>
      <c r="E9216" s="185" t="s">
        <v>470</v>
      </c>
      <c r="H9216" s="185"/>
    </row>
    <row r="9217">
      <c r="D9217" s="185"/>
      <c r="E9217" s="185" t="s">
        <v>470</v>
      </c>
      <c r="H9217" s="185"/>
    </row>
    <row r="9218">
      <c r="D9218" s="185"/>
      <c r="E9218" s="185" t="s">
        <v>470</v>
      </c>
      <c r="H9218" s="185"/>
    </row>
    <row r="9219">
      <c r="D9219" s="185"/>
      <c r="E9219" s="185" t="s">
        <v>470</v>
      </c>
      <c r="H9219" s="185"/>
    </row>
    <row r="9220">
      <c r="D9220" s="185"/>
      <c r="E9220" s="185" t="s">
        <v>470</v>
      </c>
      <c r="H9220" s="185"/>
    </row>
    <row r="9221">
      <c r="D9221" s="185"/>
      <c r="E9221" s="185" t="s">
        <v>470</v>
      </c>
      <c r="H9221" s="185"/>
    </row>
    <row r="9222">
      <c r="D9222" s="185"/>
      <c r="E9222" s="185" t="s">
        <v>470</v>
      </c>
      <c r="H9222" s="185"/>
    </row>
    <row r="9223">
      <c r="D9223" s="185"/>
      <c r="E9223" s="185" t="s">
        <v>470</v>
      </c>
      <c r="H9223" s="185"/>
    </row>
    <row r="9224">
      <c r="D9224" s="185"/>
      <c r="E9224" s="185" t="s">
        <v>470</v>
      </c>
      <c r="H9224" s="185"/>
    </row>
    <row r="9225">
      <c r="D9225" s="185"/>
      <c r="E9225" s="185" t="s">
        <v>470</v>
      </c>
      <c r="H9225" s="185"/>
    </row>
    <row r="9226">
      <c r="D9226" s="185"/>
      <c r="E9226" s="185" t="s">
        <v>470</v>
      </c>
      <c r="H9226" s="185"/>
    </row>
    <row r="9227">
      <c r="D9227" s="185"/>
      <c r="E9227" s="185" t="s">
        <v>470</v>
      </c>
      <c r="H9227" s="185"/>
    </row>
    <row r="9228">
      <c r="D9228" s="185"/>
      <c r="E9228" s="185" t="s">
        <v>470</v>
      </c>
      <c r="H9228" s="185"/>
    </row>
    <row r="9229">
      <c r="D9229" s="185"/>
      <c r="E9229" s="185" t="s">
        <v>470</v>
      </c>
      <c r="H9229" s="185"/>
    </row>
    <row r="9230">
      <c r="D9230" s="185"/>
      <c r="E9230" s="185" t="s">
        <v>470</v>
      </c>
      <c r="H9230" s="185"/>
    </row>
    <row r="9231">
      <c r="D9231" s="185"/>
      <c r="E9231" s="185" t="s">
        <v>470</v>
      </c>
      <c r="H9231" s="185"/>
    </row>
    <row r="9232">
      <c r="D9232" s="185"/>
      <c r="E9232" s="185" t="s">
        <v>470</v>
      </c>
      <c r="H9232" s="185"/>
    </row>
    <row r="9233">
      <c r="D9233" s="185"/>
      <c r="E9233" s="185" t="s">
        <v>470</v>
      </c>
      <c r="H9233" s="185"/>
    </row>
    <row r="9234">
      <c r="D9234" s="185"/>
      <c r="E9234" s="185" t="s">
        <v>470</v>
      </c>
      <c r="H9234" s="185"/>
    </row>
    <row r="9235">
      <c r="D9235" s="185"/>
      <c r="E9235" s="185" t="s">
        <v>470</v>
      </c>
      <c r="H9235" s="185"/>
    </row>
    <row r="9236">
      <c r="D9236" s="185"/>
      <c r="E9236" s="185" t="s">
        <v>470</v>
      </c>
      <c r="H9236" s="185"/>
    </row>
    <row r="9237">
      <c r="D9237" s="185"/>
      <c r="E9237" s="185" t="s">
        <v>470</v>
      </c>
      <c r="H9237" s="185"/>
    </row>
    <row r="9238">
      <c r="D9238" s="185"/>
      <c r="E9238" s="185" t="s">
        <v>470</v>
      </c>
      <c r="H9238" s="185"/>
    </row>
    <row r="9239">
      <c r="D9239" s="185"/>
      <c r="E9239" s="185" t="s">
        <v>470</v>
      </c>
      <c r="H9239" s="185"/>
    </row>
    <row r="9240">
      <c r="D9240" s="185"/>
      <c r="E9240" s="185" t="s">
        <v>470</v>
      </c>
      <c r="H9240" s="185"/>
    </row>
    <row r="9241">
      <c r="D9241" s="185"/>
      <c r="E9241" s="185" t="s">
        <v>470</v>
      </c>
      <c r="H9241" s="185"/>
    </row>
    <row r="9242">
      <c r="D9242" s="185"/>
      <c r="E9242" s="185" t="s">
        <v>470</v>
      </c>
      <c r="H9242" s="185"/>
    </row>
    <row r="9243">
      <c r="D9243" s="185"/>
      <c r="E9243" s="185" t="s">
        <v>470</v>
      </c>
      <c r="H9243" s="185"/>
    </row>
    <row r="9244">
      <c r="D9244" s="185"/>
      <c r="E9244" s="185" t="s">
        <v>470</v>
      </c>
      <c r="H9244" s="185"/>
    </row>
    <row r="9245">
      <c r="D9245" s="185"/>
      <c r="E9245" s="185" t="s">
        <v>470</v>
      </c>
      <c r="H9245" s="185"/>
    </row>
    <row r="9246">
      <c r="D9246" s="185"/>
      <c r="E9246" s="185" t="s">
        <v>470</v>
      </c>
      <c r="H9246" s="185"/>
    </row>
    <row r="9247">
      <c r="D9247" s="185"/>
      <c r="E9247" s="185" t="s">
        <v>470</v>
      </c>
      <c r="H9247" s="185"/>
    </row>
    <row r="9248">
      <c r="D9248" s="185"/>
      <c r="E9248" s="185" t="s">
        <v>470</v>
      </c>
      <c r="H9248" s="185"/>
    </row>
    <row r="9249">
      <c r="D9249" s="185"/>
      <c r="E9249" s="185" t="s">
        <v>470</v>
      </c>
      <c r="H9249" s="185"/>
    </row>
    <row r="9250">
      <c r="D9250" s="185"/>
      <c r="E9250" s="185" t="s">
        <v>470</v>
      </c>
      <c r="H9250" s="185"/>
    </row>
    <row r="9251">
      <c r="D9251" s="185"/>
      <c r="E9251" s="185" t="s">
        <v>470</v>
      </c>
      <c r="H9251" s="185"/>
    </row>
    <row r="9252">
      <c r="D9252" s="185"/>
      <c r="E9252" s="185" t="s">
        <v>470</v>
      </c>
      <c r="H9252" s="185"/>
    </row>
    <row r="9253">
      <c r="D9253" s="185"/>
      <c r="E9253" s="185" t="s">
        <v>470</v>
      </c>
      <c r="H9253" s="185"/>
    </row>
    <row r="9254">
      <c r="D9254" s="185"/>
      <c r="E9254" s="185" t="s">
        <v>470</v>
      </c>
      <c r="H9254" s="185"/>
    </row>
    <row r="9255">
      <c r="D9255" s="185"/>
      <c r="E9255" s="185" t="s">
        <v>470</v>
      </c>
      <c r="H9255" s="185"/>
    </row>
    <row r="9256">
      <c r="D9256" s="185"/>
      <c r="E9256" s="185" t="s">
        <v>470</v>
      </c>
      <c r="H9256" s="185"/>
    </row>
    <row r="9257">
      <c r="D9257" s="185"/>
      <c r="E9257" s="185" t="s">
        <v>470</v>
      </c>
      <c r="H9257" s="185"/>
    </row>
    <row r="9258">
      <c r="D9258" s="185"/>
      <c r="E9258" s="185" t="s">
        <v>470</v>
      </c>
      <c r="H9258" s="185"/>
    </row>
    <row r="9259">
      <c r="D9259" s="185"/>
      <c r="E9259" s="185" t="s">
        <v>470</v>
      </c>
      <c r="H9259" s="185"/>
    </row>
    <row r="9260">
      <c r="D9260" s="185"/>
      <c r="E9260" s="185" t="s">
        <v>470</v>
      </c>
      <c r="H9260" s="185"/>
    </row>
    <row r="9261">
      <c r="D9261" s="185"/>
      <c r="E9261" s="185" t="s">
        <v>470</v>
      </c>
      <c r="H9261" s="185"/>
    </row>
    <row r="9262">
      <c r="D9262" s="185"/>
      <c r="E9262" s="185" t="s">
        <v>470</v>
      </c>
      <c r="H9262" s="185"/>
    </row>
    <row r="9263">
      <c r="D9263" s="185"/>
      <c r="E9263" s="185" t="s">
        <v>470</v>
      </c>
      <c r="H9263" s="185"/>
    </row>
    <row r="9264">
      <c r="D9264" s="185"/>
      <c r="E9264" s="185" t="s">
        <v>470</v>
      </c>
      <c r="H9264" s="185"/>
    </row>
    <row r="9265">
      <c r="D9265" s="185"/>
      <c r="E9265" s="185" t="s">
        <v>470</v>
      </c>
      <c r="H9265" s="185"/>
    </row>
    <row r="9266">
      <c r="D9266" s="185"/>
      <c r="E9266" s="185" t="s">
        <v>470</v>
      </c>
      <c r="H9266" s="185"/>
    </row>
    <row r="9267">
      <c r="D9267" s="185"/>
      <c r="E9267" s="185" t="s">
        <v>470</v>
      </c>
      <c r="H9267" s="185"/>
    </row>
    <row r="9268">
      <c r="D9268" s="185"/>
      <c r="E9268" s="185" t="s">
        <v>470</v>
      </c>
      <c r="H9268" s="185"/>
    </row>
    <row r="9269">
      <c r="D9269" s="185"/>
      <c r="E9269" s="185" t="s">
        <v>470</v>
      </c>
      <c r="H9269" s="185"/>
    </row>
    <row r="9270">
      <c r="D9270" s="185"/>
      <c r="E9270" s="185" t="s">
        <v>470</v>
      </c>
      <c r="H9270" s="185"/>
    </row>
    <row r="9271">
      <c r="D9271" s="185"/>
      <c r="E9271" s="185" t="s">
        <v>470</v>
      </c>
      <c r="H9271" s="185"/>
    </row>
    <row r="9272">
      <c r="D9272" s="185"/>
      <c r="E9272" s="185" t="s">
        <v>470</v>
      </c>
      <c r="H9272" s="185"/>
    </row>
    <row r="9273">
      <c r="D9273" s="185"/>
      <c r="E9273" s="185" t="s">
        <v>470</v>
      </c>
      <c r="H9273" s="185"/>
    </row>
    <row r="9274">
      <c r="D9274" s="185"/>
      <c r="E9274" s="185" t="s">
        <v>470</v>
      </c>
      <c r="H9274" s="185"/>
    </row>
    <row r="9275">
      <c r="D9275" s="185"/>
      <c r="E9275" s="185" t="s">
        <v>470</v>
      </c>
      <c r="H9275" s="185"/>
    </row>
    <row r="9276">
      <c r="D9276" s="185"/>
      <c r="E9276" s="185" t="s">
        <v>470</v>
      </c>
      <c r="H9276" s="185"/>
    </row>
    <row r="9277">
      <c r="D9277" s="185"/>
      <c r="E9277" s="185" t="s">
        <v>470</v>
      </c>
      <c r="H9277" s="185"/>
    </row>
    <row r="9278">
      <c r="D9278" s="185"/>
      <c r="E9278" s="185" t="s">
        <v>470</v>
      </c>
      <c r="H9278" s="185"/>
    </row>
    <row r="9279">
      <c r="D9279" s="185"/>
      <c r="E9279" s="185" t="s">
        <v>470</v>
      </c>
      <c r="H9279" s="185"/>
    </row>
    <row r="9280">
      <c r="D9280" s="185"/>
      <c r="E9280" s="185" t="s">
        <v>470</v>
      </c>
      <c r="H9280" s="185"/>
    </row>
    <row r="9281">
      <c r="D9281" s="185"/>
      <c r="E9281" s="185" t="s">
        <v>470</v>
      </c>
      <c r="H9281" s="185"/>
    </row>
    <row r="9282">
      <c r="D9282" s="185"/>
      <c r="E9282" s="185" t="s">
        <v>470</v>
      </c>
      <c r="H9282" s="185"/>
    </row>
    <row r="9283">
      <c r="D9283" s="185"/>
      <c r="E9283" s="185" t="s">
        <v>470</v>
      </c>
      <c r="H9283" s="185"/>
    </row>
    <row r="9284">
      <c r="D9284" s="185"/>
      <c r="E9284" s="185" t="s">
        <v>470</v>
      </c>
      <c r="H9284" s="185"/>
    </row>
    <row r="9285">
      <c r="D9285" s="185"/>
      <c r="E9285" s="185" t="s">
        <v>470</v>
      </c>
      <c r="H9285" s="185"/>
    </row>
    <row r="9286">
      <c r="D9286" s="185"/>
      <c r="E9286" s="185" t="s">
        <v>470</v>
      </c>
      <c r="H9286" s="185"/>
    </row>
    <row r="9287">
      <c r="D9287" s="185"/>
      <c r="E9287" s="185" t="s">
        <v>470</v>
      </c>
      <c r="H9287" s="185"/>
    </row>
    <row r="9288">
      <c r="D9288" s="185"/>
      <c r="E9288" s="185" t="s">
        <v>470</v>
      </c>
      <c r="H9288" s="185"/>
    </row>
    <row r="9289">
      <c r="D9289" s="185"/>
      <c r="E9289" s="185" t="s">
        <v>470</v>
      </c>
      <c r="H9289" s="185"/>
    </row>
    <row r="9290">
      <c r="D9290" s="185"/>
      <c r="E9290" s="185" t="s">
        <v>470</v>
      </c>
      <c r="H9290" s="185"/>
    </row>
    <row r="9291">
      <c r="D9291" s="185"/>
      <c r="E9291" s="185" t="s">
        <v>470</v>
      </c>
      <c r="H9291" s="185"/>
    </row>
    <row r="9292">
      <c r="D9292" s="185"/>
      <c r="E9292" s="185" t="s">
        <v>470</v>
      </c>
      <c r="H9292" s="185"/>
    </row>
    <row r="9293">
      <c r="D9293" s="185"/>
      <c r="E9293" s="185" t="s">
        <v>470</v>
      </c>
      <c r="H9293" s="185"/>
    </row>
    <row r="9294">
      <c r="D9294" s="185"/>
      <c r="E9294" s="185" t="s">
        <v>470</v>
      </c>
      <c r="H9294" s="185"/>
    </row>
    <row r="9295">
      <c r="D9295" s="185"/>
      <c r="E9295" s="185" t="s">
        <v>470</v>
      </c>
      <c r="H9295" s="185"/>
    </row>
    <row r="9296">
      <c r="D9296" s="185"/>
      <c r="E9296" s="185" t="s">
        <v>470</v>
      </c>
      <c r="H9296" s="185"/>
    </row>
    <row r="9297">
      <c r="D9297" s="185"/>
      <c r="E9297" s="185" t="s">
        <v>470</v>
      </c>
      <c r="H9297" s="185"/>
    </row>
    <row r="9298">
      <c r="D9298" s="185"/>
      <c r="E9298" s="185" t="s">
        <v>470</v>
      </c>
      <c r="H9298" s="185"/>
    </row>
    <row r="9299">
      <c r="D9299" s="185"/>
      <c r="E9299" s="185" t="s">
        <v>470</v>
      </c>
      <c r="H9299" s="185"/>
    </row>
    <row r="9300">
      <c r="D9300" s="185"/>
      <c r="E9300" s="185" t="s">
        <v>470</v>
      </c>
      <c r="H9300" s="185"/>
    </row>
    <row r="9301">
      <c r="D9301" s="185"/>
      <c r="E9301" s="185" t="s">
        <v>470</v>
      </c>
      <c r="H9301" s="185"/>
    </row>
    <row r="9302">
      <c r="D9302" s="185"/>
      <c r="E9302" s="185" t="s">
        <v>470</v>
      </c>
      <c r="H9302" s="185"/>
    </row>
    <row r="9303">
      <c r="D9303" s="185"/>
      <c r="E9303" s="185" t="s">
        <v>470</v>
      </c>
      <c r="H9303" s="185"/>
    </row>
    <row r="9304">
      <c r="D9304" s="185"/>
      <c r="E9304" s="185" t="s">
        <v>470</v>
      </c>
      <c r="H9304" s="185"/>
    </row>
    <row r="9305">
      <c r="D9305" s="185"/>
      <c r="E9305" s="185" t="s">
        <v>470</v>
      </c>
      <c r="H9305" s="185"/>
    </row>
    <row r="9306">
      <c r="D9306" s="185"/>
      <c r="E9306" s="185" t="s">
        <v>470</v>
      </c>
      <c r="H9306" s="185"/>
    </row>
    <row r="9307">
      <c r="D9307" s="185"/>
      <c r="E9307" s="185" t="s">
        <v>470</v>
      </c>
      <c r="H9307" s="185"/>
    </row>
    <row r="9308">
      <c r="D9308" s="185"/>
      <c r="E9308" s="185" t="s">
        <v>470</v>
      </c>
      <c r="H9308" s="185"/>
    </row>
    <row r="9309">
      <c r="D9309" s="185"/>
      <c r="E9309" s="185" t="s">
        <v>470</v>
      </c>
      <c r="H9309" s="185"/>
    </row>
    <row r="9310">
      <c r="D9310" s="185"/>
      <c r="E9310" s="185" t="s">
        <v>470</v>
      </c>
      <c r="H9310" s="185"/>
    </row>
    <row r="9311">
      <c r="D9311" s="185"/>
      <c r="E9311" s="185" t="s">
        <v>470</v>
      </c>
      <c r="H9311" s="185"/>
    </row>
    <row r="9312">
      <c r="D9312" s="185"/>
      <c r="E9312" s="185" t="s">
        <v>470</v>
      </c>
      <c r="H9312" s="185"/>
    </row>
    <row r="9313">
      <c r="D9313" s="185"/>
      <c r="E9313" s="185" t="s">
        <v>470</v>
      </c>
      <c r="H9313" s="185"/>
    </row>
    <row r="9314">
      <c r="D9314" s="185"/>
      <c r="E9314" s="185" t="s">
        <v>470</v>
      </c>
      <c r="H9314" s="185"/>
    </row>
    <row r="9315">
      <c r="D9315" s="185"/>
      <c r="E9315" s="185" t="s">
        <v>470</v>
      </c>
      <c r="H9315" s="185"/>
    </row>
    <row r="9316">
      <c r="D9316" s="185"/>
      <c r="E9316" s="185" t="s">
        <v>470</v>
      </c>
      <c r="H9316" s="185"/>
    </row>
    <row r="9317">
      <c r="D9317" s="185"/>
      <c r="E9317" s="185" t="s">
        <v>470</v>
      </c>
      <c r="H9317" s="185"/>
    </row>
    <row r="9318">
      <c r="D9318" s="185"/>
      <c r="E9318" s="185" t="s">
        <v>470</v>
      </c>
      <c r="H9318" s="185"/>
    </row>
    <row r="9319">
      <c r="D9319" s="185"/>
      <c r="E9319" s="185" t="s">
        <v>470</v>
      </c>
      <c r="H9319" s="185"/>
    </row>
    <row r="9320">
      <c r="D9320" s="185"/>
      <c r="E9320" s="185" t="s">
        <v>470</v>
      </c>
      <c r="H9320" s="185"/>
    </row>
    <row r="9321">
      <c r="D9321" s="185"/>
      <c r="E9321" s="185" t="s">
        <v>470</v>
      </c>
      <c r="H9321" s="185"/>
    </row>
    <row r="9322">
      <c r="D9322" s="185"/>
      <c r="E9322" s="185" t="s">
        <v>470</v>
      </c>
      <c r="H9322" s="185"/>
    </row>
    <row r="9323">
      <c r="D9323" s="185"/>
      <c r="E9323" s="185" t="s">
        <v>470</v>
      </c>
      <c r="H9323" s="185"/>
    </row>
    <row r="9324">
      <c r="D9324" s="185"/>
      <c r="E9324" s="185" t="s">
        <v>470</v>
      </c>
      <c r="H9324" s="185"/>
    </row>
    <row r="9325">
      <c r="D9325" s="185"/>
      <c r="E9325" s="185" t="s">
        <v>470</v>
      </c>
      <c r="H9325" s="185"/>
    </row>
    <row r="9326">
      <c r="D9326" s="185"/>
      <c r="E9326" s="185" t="s">
        <v>470</v>
      </c>
      <c r="H9326" s="185"/>
    </row>
    <row r="9327">
      <c r="D9327" s="185"/>
      <c r="E9327" s="185" t="s">
        <v>470</v>
      </c>
      <c r="H9327" s="185"/>
    </row>
    <row r="9328">
      <c r="D9328" s="185"/>
      <c r="E9328" s="185" t="s">
        <v>470</v>
      </c>
      <c r="H9328" s="185"/>
    </row>
    <row r="9329">
      <c r="D9329" s="185"/>
      <c r="E9329" s="185" t="s">
        <v>470</v>
      </c>
      <c r="H9329" s="185"/>
    </row>
    <row r="9330">
      <c r="D9330" s="185"/>
      <c r="E9330" s="185" t="s">
        <v>470</v>
      </c>
      <c r="H9330" s="185"/>
    </row>
    <row r="9331">
      <c r="D9331" s="185"/>
      <c r="E9331" s="185" t="s">
        <v>470</v>
      </c>
      <c r="H9331" s="185"/>
    </row>
    <row r="9332">
      <c r="D9332" s="185"/>
      <c r="E9332" s="185" t="s">
        <v>470</v>
      </c>
      <c r="H9332" s="185"/>
    </row>
    <row r="9333">
      <c r="D9333" s="185"/>
      <c r="E9333" s="185" t="s">
        <v>470</v>
      </c>
      <c r="H9333" s="185"/>
    </row>
    <row r="9334">
      <c r="D9334" s="185"/>
      <c r="E9334" s="185" t="s">
        <v>470</v>
      </c>
      <c r="H9334" s="185"/>
    </row>
    <row r="9335">
      <c r="D9335" s="185"/>
      <c r="E9335" s="185" t="s">
        <v>470</v>
      </c>
      <c r="H9335" s="185"/>
    </row>
    <row r="9336">
      <c r="D9336" s="185"/>
      <c r="E9336" s="185" t="s">
        <v>470</v>
      </c>
      <c r="H9336" s="185"/>
    </row>
    <row r="9337">
      <c r="D9337" s="185"/>
      <c r="E9337" s="185" t="s">
        <v>470</v>
      </c>
      <c r="H9337" s="185"/>
    </row>
    <row r="9338">
      <c r="D9338" s="185"/>
      <c r="E9338" s="185" t="s">
        <v>470</v>
      </c>
      <c r="H9338" s="185"/>
    </row>
    <row r="9339">
      <c r="D9339" s="185"/>
      <c r="E9339" s="185" t="s">
        <v>470</v>
      </c>
      <c r="H9339" s="185"/>
    </row>
    <row r="9340">
      <c r="D9340" s="185"/>
      <c r="E9340" s="185" t="s">
        <v>470</v>
      </c>
      <c r="H9340" s="185"/>
    </row>
    <row r="9341">
      <c r="D9341" s="185"/>
      <c r="E9341" s="185" t="s">
        <v>470</v>
      </c>
      <c r="H9341" s="185"/>
    </row>
    <row r="9342">
      <c r="D9342" s="185"/>
      <c r="E9342" s="185" t="s">
        <v>470</v>
      </c>
      <c r="H9342" s="185"/>
    </row>
    <row r="9343">
      <c r="D9343" s="185"/>
      <c r="E9343" s="185" t="s">
        <v>470</v>
      </c>
      <c r="H9343" s="185"/>
    </row>
    <row r="9344">
      <c r="D9344" s="185"/>
      <c r="E9344" s="185" t="s">
        <v>470</v>
      </c>
      <c r="H9344" s="185"/>
    </row>
    <row r="9345">
      <c r="D9345" s="185"/>
      <c r="E9345" s="185" t="s">
        <v>470</v>
      </c>
      <c r="H9345" s="185"/>
    </row>
    <row r="9346">
      <c r="D9346" s="185"/>
      <c r="E9346" s="185" t="s">
        <v>470</v>
      </c>
      <c r="H9346" s="185"/>
    </row>
    <row r="9347">
      <c r="D9347" s="185"/>
      <c r="E9347" s="185" t="s">
        <v>470</v>
      </c>
      <c r="H9347" s="185"/>
    </row>
    <row r="9348">
      <c r="D9348" s="185"/>
      <c r="E9348" s="185" t="s">
        <v>470</v>
      </c>
      <c r="H9348" s="185"/>
    </row>
    <row r="9349">
      <c r="D9349" s="185"/>
      <c r="E9349" s="185" t="s">
        <v>470</v>
      </c>
      <c r="H9349" s="185"/>
    </row>
    <row r="9350">
      <c r="D9350" s="185"/>
      <c r="E9350" s="185" t="s">
        <v>470</v>
      </c>
      <c r="H9350" s="185"/>
    </row>
    <row r="9351">
      <c r="D9351" s="185"/>
      <c r="E9351" s="185" t="s">
        <v>470</v>
      </c>
      <c r="H9351" s="185"/>
    </row>
    <row r="9352">
      <c r="D9352" s="185"/>
      <c r="E9352" s="185" t="s">
        <v>470</v>
      </c>
      <c r="H9352" s="185"/>
    </row>
    <row r="9353">
      <c r="D9353" s="185"/>
      <c r="E9353" s="185" t="s">
        <v>470</v>
      </c>
      <c r="H9353" s="185"/>
    </row>
    <row r="9354">
      <c r="D9354" s="185"/>
      <c r="E9354" s="185" t="s">
        <v>470</v>
      </c>
      <c r="H9354" s="185"/>
    </row>
    <row r="9355">
      <c r="D9355" s="185"/>
      <c r="E9355" s="185" t="s">
        <v>470</v>
      </c>
      <c r="H9355" s="185"/>
    </row>
    <row r="9356">
      <c r="D9356" s="185"/>
      <c r="E9356" s="185" t="s">
        <v>470</v>
      </c>
      <c r="H9356" s="185"/>
    </row>
    <row r="9357">
      <c r="D9357" s="185"/>
      <c r="E9357" s="185" t="s">
        <v>470</v>
      </c>
      <c r="H9357" s="185"/>
    </row>
    <row r="9358">
      <c r="D9358" s="185"/>
      <c r="E9358" s="185" t="s">
        <v>470</v>
      </c>
      <c r="H9358" s="185"/>
    </row>
    <row r="9359">
      <c r="D9359" s="185"/>
      <c r="E9359" s="185" t="s">
        <v>470</v>
      </c>
      <c r="H9359" s="185"/>
    </row>
    <row r="9360">
      <c r="D9360" s="185"/>
      <c r="E9360" s="185" t="s">
        <v>470</v>
      </c>
      <c r="H9360" s="185"/>
    </row>
    <row r="9361">
      <c r="D9361" s="185"/>
      <c r="E9361" s="185" t="s">
        <v>470</v>
      </c>
      <c r="H9361" s="185"/>
    </row>
    <row r="9362">
      <c r="D9362" s="185"/>
      <c r="E9362" s="185" t="s">
        <v>470</v>
      </c>
      <c r="H9362" s="185"/>
    </row>
    <row r="9363">
      <c r="D9363" s="185"/>
      <c r="E9363" s="185" t="s">
        <v>470</v>
      </c>
      <c r="H9363" s="185"/>
    </row>
    <row r="9364">
      <c r="D9364" s="185"/>
      <c r="E9364" s="185" t="s">
        <v>470</v>
      </c>
      <c r="H9364" s="185"/>
    </row>
    <row r="9365">
      <c r="D9365" s="185"/>
      <c r="E9365" s="185" t="s">
        <v>470</v>
      </c>
      <c r="H9365" s="185"/>
    </row>
    <row r="9366">
      <c r="D9366" s="185"/>
      <c r="E9366" s="185" t="s">
        <v>470</v>
      </c>
      <c r="H9366" s="185"/>
    </row>
    <row r="9367">
      <c r="D9367" s="185"/>
      <c r="E9367" s="185" t="s">
        <v>470</v>
      </c>
      <c r="H9367" s="185"/>
    </row>
    <row r="9368">
      <c r="D9368" s="185"/>
      <c r="E9368" s="185" t="s">
        <v>470</v>
      </c>
      <c r="H9368" s="185"/>
    </row>
    <row r="9369">
      <c r="D9369" s="185"/>
      <c r="E9369" s="185" t="s">
        <v>470</v>
      </c>
      <c r="H9369" s="185"/>
    </row>
    <row r="9370">
      <c r="D9370" s="185"/>
      <c r="E9370" s="185" t="s">
        <v>470</v>
      </c>
      <c r="H9370" s="185"/>
    </row>
    <row r="9371">
      <c r="D9371" s="185"/>
      <c r="E9371" s="185" t="s">
        <v>470</v>
      </c>
      <c r="H9371" s="185"/>
    </row>
    <row r="9372">
      <c r="D9372" s="185"/>
      <c r="E9372" s="185" t="s">
        <v>470</v>
      </c>
      <c r="H9372" s="185"/>
    </row>
    <row r="9373">
      <c r="D9373" s="185"/>
      <c r="E9373" s="185" t="s">
        <v>470</v>
      </c>
      <c r="H9373" s="185"/>
    </row>
    <row r="9374">
      <c r="D9374" s="185"/>
      <c r="E9374" s="185" t="s">
        <v>470</v>
      </c>
      <c r="H9374" s="185"/>
    </row>
    <row r="9375">
      <c r="D9375" s="185"/>
      <c r="E9375" s="185" t="s">
        <v>470</v>
      </c>
      <c r="H9375" s="185"/>
    </row>
    <row r="9376">
      <c r="D9376" s="185"/>
      <c r="E9376" s="185" t="s">
        <v>470</v>
      </c>
      <c r="H9376" s="185"/>
    </row>
    <row r="9377">
      <c r="D9377" s="185"/>
      <c r="E9377" s="185" t="s">
        <v>470</v>
      </c>
      <c r="H9377" s="185"/>
    </row>
    <row r="9378">
      <c r="D9378" s="185"/>
      <c r="E9378" s="185" t="s">
        <v>470</v>
      </c>
      <c r="H9378" s="185"/>
    </row>
    <row r="9379">
      <c r="D9379" s="185"/>
      <c r="E9379" s="185" t="s">
        <v>470</v>
      </c>
      <c r="H9379" s="185"/>
    </row>
    <row r="9380">
      <c r="D9380" s="185"/>
      <c r="E9380" s="185" t="s">
        <v>470</v>
      </c>
      <c r="H9380" s="185"/>
    </row>
    <row r="9381">
      <c r="D9381" s="185"/>
      <c r="E9381" s="185" t="s">
        <v>470</v>
      </c>
      <c r="H9381" s="185"/>
    </row>
    <row r="9382">
      <c r="D9382" s="185"/>
      <c r="E9382" s="185" t="s">
        <v>470</v>
      </c>
      <c r="H9382" s="185"/>
    </row>
    <row r="9383">
      <c r="D9383" s="185"/>
      <c r="E9383" s="185" t="s">
        <v>470</v>
      </c>
      <c r="H9383" s="185"/>
    </row>
    <row r="9384">
      <c r="D9384" s="185"/>
      <c r="E9384" s="185" t="s">
        <v>470</v>
      </c>
      <c r="H9384" s="185"/>
    </row>
    <row r="9385">
      <c r="D9385" s="185"/>
      <c r="E9385" s="185" t="s">
        <v>470</v>
      </c>
      <c r="H9385" s="185"/>
    </row>
    <row r="9386">
      <c r="D9386" s="185"/>
      <c r="E9386" s="185" t="s">
        <v>470</v>
      </c>
      <c r="H9386" s="185"/>
    </row>
    <row r="9387">
      <c r="D9387" s="185"/>
      <c r="E9387" s="185" t="s">
        <v>470</v>
      </c>
      <c r="H9387" s="185"/>
    </row>
    <row r="9388">
      <c r="D9388" s="185"/>
      <c r="E9388" s="185" t="s">
        <v>470</v>
      </c>
      <c r="H9388" s="185"/>
    </row>
    <row r="9389">
      <c r="D9389" s="185"/>
      <c r="E9389" s="185" t="s">
        <v>470</v>
      </c>
      <c r="H9389" s="185"/>
    </row>
    <row r="9390">
      <c r="D9390" s="185"/>
      <c r="E9390" s="185" t="s">
        <v>470</v>
      </c>
      <c r="H9390" s="185"/>
    </row>
    <row r="9391">
      <c r="D9391" s="185"/>
      <c r="E9391" s="185" t="s">
        <v>470</v>
      </c>
      <c r="H9391" s="185"/>
    </row>
    <row r="9392">
      <c r="D9392" s="185"/>
      <c r="E9392" s="185" t="s">
        <v>470</v>
      </c>
      <c r="H9392" s="185"/>
    </row>
    <row r="9393">
      <c r="D9393" s="185"/>
      <c r="E9393" s="185" t="s">
        <v>470</v>
      </c>
      <c r="H9393" s="185"/>
    </row>
    <row r="9394">
      <c r="D9394" s="185"/>
      <c r="E9394" s="185" t="s">
        <v>470</v>
      </c>
      <c r="H9394" s="185"/>
    </row>
    <row r="9395">
      <c r="D9395" s="185"/>
      <c r="E9395" s="185" t="s">
        <v>470</v>
      </c>
      <c r="H9395" s="185"/>
    </row>
    <row r="9396">
      <c r="D9396" s="185"/>
      <c r="E9396" s="185" t="s">
        <v>470</v>
      </c>
      <c r="H9396" s="185"/>
    </row>
    <row r="9397">
      <c r="D9397" s="185"/>
      <c r="E9397" s="185" t="s">
        <v>470</v>
      </c>
      <c r="H9397" s="185"/>
    </row>
    <row r="9398">
      <c r="D9398" s="185"/>
      <c r="E9398" s="185" t="s">
        <v>470</v>
      </c>
      <c r="H9398" s="185"/>
    </row>
    <row r="9399">
      <c r="D9399" s="185"/>
      <c r="E9399" s="185" t="s">
        <v>470</v>
      </c>
      <c r="H9399" s="185"/>
    </row>
    <row r="9400">
      <c r="D9400" s="185"/>
      <c r="E9400" s="185" t="s">
        <v>470</v>
      </c>
      <c r="H9400" s="185"/>
    </row>
    <row r="9401">
      <c r="D9401" s="185"/>
      <c r="E9401" s="185" t="s">
        <v>470</v>
      </c>
      <c r="H9401" s="185"/>
    </row>
    <row r="9402">
      <c r="D9402" s="185"/>
      <c r="E9402" s="185" t="s">
        <v>470</v>
      </c>
      <c r="H9402" s="185"/>
    </row>
    <row r="9403">
      <c r="D9403" s="185"/>
      <c r="E9403" s="185" t="s">
        <v>470</v>
      </c>
      <c r="H9403" s="185"/>
    </row>
    <row r="9404">
      <c r="D9404" s="185"/>
      <c r="E9404" s="185" t="s">
        <v>470</v>
      </c>
      <c r="H9404" s="185"/>
    </row>
    <row r="9405">
      <c r="D9405" s="185"/>
      <c r="E9405" s="185" t="s">
        <v>470</v>
      </c>
      <c r="H9405" s="185"/>
    </row>
    <row r="9406">
      <c r="D9406" s="185"/>
      <c r="E9406" s="185" t="s">
        <v>470</v>
      </c>
      <c r="H9406" s="185"/>
    </row>
    <row r="9407">
      <c r="D9407" s="185"/>
      <c r="E9407" s="185" t="s">
        <v>470</v>
      </c>
      <c r="H9407" s="185"/>
    </row>
    <row r="9408">
      <c r="D9408" s="185"/>
      <c r="E9408" s="185" t="s">
        <v>470</v>
      </c>
      <c r="H9408" s="185"/>
    </row>
    <row r="9409">
      <c r="D9409" s="185"/>
      <c r="E9409" s="185" t="s">
        <v>470</v>
      </c>
      <c r="H9409" s="185"/>
    </row>
    <row r="9410">
      <c r="D9410" s="185"/>
      <c r="E9410" s="185" t="s">
        <v>470</v>
      </c>
      <c r="H9410" s="185"/>
    </row>
    <row r="9411">
      <c r="D9411" s="185"/>
      <c r="E9411" s="185" t="s">
        <v>470</v>
      </c>
      <c r="H9411" s="185"/>
    </row>
    <row r="9412">
      <c r="D9412" s="185"/>
      <c r="E9412" s="185" t="s">
        <v>470</v>
      </c>
      <c r="H9412" s="185"/>
    </row>
    <row r="9413">
      <c r="D9413" s="185"/>
      <c r="E9413" s="185" t="s">
        <v>470</v>
      </c>
      <c r="H9413" s="185"/>
    </row>
    <row r="9414">
      <c r="D9414" s="185"/>
      <c r="E9414" s="185" t="s">
        <v>470</v>
      </c>
      <c r="H9414" s="185"/>
    </row>
    <row r="9415">
      <c r="D9415" s="185"/>
      <c r="E9415" s="185" t="s">
        <v>470</v>
      </c>
      <c r="H9415" s="185"/>
    </row>
    <row r="9416">
      <c r="D9416" s="185"/>
      <c r="E9416" s="185" t="s">
        <v>470</v>
      </c>
      <c r="H9416" s="185"/>
    </row>
    <row r="9417">
      <c r="D9417" s="185"/>
      <c r="E9417" s="185" t="s">
        <v>470</v>
      </c>
      <c r="H9417" s="185"/>
    </row>
    <row r="9418">
      <c r="D9418" s="185"/>
      <c r="E9418" s="185" t="s">
        <v>470</v>
      </c>
      <c r="H9418" s="185"/>
    </row>
    <row r="9419">
      <c r="D9419" s="185"/>
      <c r="E9419" s="185" t="s">
        <v>470</v>
      </c>
      <c r="H9419" s="185"/>
    </row>
    <row r="9420">
      <c r="D9420" s="185"/>
      <c r="E9420" s="185" t="s">
        <v>470</v>
      </c>
      <c r="H9420" s="185"/>
    </row>
    <row r="9421">
      <c r="D9421" s="185"/>
      <c r="E9421" s="185" t="s">
        <v>470</v>
      </c>
      <c r="H9421" s="185"/>
    </row>
    <row r="9422">
      <c r="D9422" s="185"/>
      <c r="E9422" s="185" t="s">
        <v>470</v>
      </c>
      <c r="H9422" s="185"/>
    </row>
    <row r="9423">
      <c r="D9423" s="185"/>
      <c r="E9423" s="185" t="s">
        <v>470</v>
      </c>
      <c r="H9423" s="185"/>
    </row>
    <row r="9424">
      <c r="D9424" s="185"/>
      <c r="E9424" s="185" t="s">
        <v>470</v>
      </c>
      <c r="H9424" s="185"/>
    </row>
    <row r="9425">
      <c r="D9425" s="185"/>
      <c r="E9425" s="185" t="s">
        <v>470</v>
      </c>
      <c r="H9425" s="185"/>
    </row>
    <row r="9426">
      <c r="D9426" s="185"/>
      <c r="E9426" s="185" t="s">
        <v>470</v>
      </c>
      <c r="H9426" s="185"/>
    </row>
    <row r="9427">
      <c r="D9427" s="185"/>
      <c r="E9427" s="185" t="s">
        <v>470</v>
      </c>
      <c r="H9427" s="185"/>
    </row>
    <row r="9428">
      <c r="D9428" s="185"/>
      <c r="E9428" s="185" t="s">
        <v>470</v>
      </c>
      <c r="H9428" s="185"/>
    </row>
    <row r="9429">
      <c r="D9429" s="185"/>
      <c r="E9429" s="185" t="s">
        <v>470</v>
      </c>
      <c r="H9429" s="185"/>
    </row>
    <row r="9430">
      <c r="D9430" s="185"/>
      <c r="E9430" s="185" t="s">
        <v>470</v>
      </c>
      <c r="H9430" s="185"/>
    </row>
    <row r="9431">
      <c r="D9431" s="185"/>
      <c r="E9431" s="185" t="s">
        <v>470</v>
      </c>
      <c r="H9431" s="185"/>
    </row>
    <row r="9432">
      <c r="D9432" s="185"/>
      <c r="E9432" s="185" t="s">
        <v>470</v>
      </c>
      <c r="H9432" s="185"/>
    </row>
    <row r="9433">
      <c r="D9433" s="185"/>
      <c r="E9433" s="185" t="s">
        <v>470</v>
      </c>
      <c r="H9433" s="185"/>
    </row>
    <row r="9434">
      <c r="D9434" s="185"/>
      <c r="E9434" s="185" t="s">
        <v>470</v>
      </c>
      <c r="H9434" s="185"/>
    </row>
    <row r="9435">
      <c r="D9435" s="185"/>
      <c r="E9435" s="185" t="s">
        <v>470</v>
      </c>
      <c r="H9435" s="185"/>
    </row>
    <row r="9436">
      <c r="D9436" s="185"/>
      <c r="E9436" s="185" t="s">
        <v>470</v>
      </c>
      <c r="H9436" s="185"/>
    </row>
    <row r="9437">
      <c r="D9437" s="185"/>
      <c r="E9437" s="185" t="s">
        <v>470</v>
      </c>
      <c r="H9437" s="185"/>
    </row>
    <row r="9438">
      <c r="D9438" s="185"/>
      <c r="E9438" s="185" t="s">
        <v>470</v>
      </c>
      <c r="H9438" s="185"/>
    </row>
    <row r="9439">
      <c r="D9439" s="185"/>
      <c r="E9439" s="185" t="s">
        <v>470</v>
      </c>
      <c r="H9439" s="185"/>
    </row>
    <row r="9440">
      <c r="D9440" s="185"/>
      <c r="E9440" s="185" t="s">
        <v>470</v>
      </c>
      <c r="H9440" s="185"/>
    </row>
    <row r="9441">
      <c r="D9441" s="185"/>
      <c r="E9441" s="185" t="s">
        <v>470</v>
      </c>
      <c r="H9441" s="185"/>
    </row>
    <row r="9442">
      <c r="D9442" s="185"/>
      <c r="E9442" s="185" t="s">
        <v>470</v>
      </c>
      <c r="H9442" s="185"/>
    </row>
    <row r="9443">
      <c r="D9443" s="185"/>
      <c r="E9443" s="185" t="s">
        <v>470</v>
      </c>
      <c r="H9443" s="185"/>
    </row>
    <row r="9444">
      <c r="D9444" s="185"/>
      <c r="E9444" s="185" t="s">
        <v>470</v>
      </c>
      <c r="H9444" s="185"/>
    </row>
    <row r="9445">
      <c r="D9445" s="185"/>
      <c r="E9445" s="185" t="s">
        <v>470</v>
      </c>
      <c r="H9445" s="185"/>
    </row>
    <row r="9446">
      <c r="D9446" s="185"/>
      <c r="E9446" s="185" t="s">
        <v>470</v>
      </c>
      <c r="H9446" s="185"/>
    </row>
    <row r="9447">
      <c r="D9447" s="185"/>
      <c r="E9447" s="185" t="s">
        <v>470</v>
      </c>
      <c r="H9447" s="185"/>
    </row>
    <row r="9448">
      <c r="D9448" s="185"/>
      <c r="E9448" s="185" t="s">
        <v>470</v>
      </c>
      <c r="H9448" s="185"/>
    </row>
    <row r="9449">
      <c r="D9449" s="185"/>
      <c r="E9449" s="185" t="s">
        <v>470</v>
      </c>
      <c r="H9449" s="185"/>
    </row>
    <row r="9450">
      <c r="D9450" s="185"/>
      <c r="E9450" s="185" t="s">
        <v>470</v>
      </c>
      <c r="H9450" s="185"/>
    </row>
    <row r="9451">
      <c r="D9451" s="185"/>
      <c r="E9451" s="185" t="s">
        <v>470</v>
      </c>
      <c r="H9451" s="185"/>
    </row>
    <row r="9452">
      <c r="D9452" s="185"/>
      <c r="E9452" s="185" t="s">
        <v>470</v>
      </c>
      <c r="H9452" s="185"/>
    </row>
    <row r="9453">
      <c r="D9453" s="185"/>
      <c r="E9453" s="185" t="s">
        <v>470</v>
      </c>
      <c r="H9453" s="185"/>
    </row>
    <row r="9454">
      <c r="D9454" s="185"/>
      <c r="E9454" s="185" t="s">
        <v>470</v>
      </c>
      <c r="H9454" s="185"/>
    </row>
    <row r="9455">
      <c r="D9455" s="185"/>
      <c r="E9455" s="185" t="s">
        <v>470</v>
      </c>
      <c r="H9455" s="185"/>
    </row>
    <row r="9456">
      <c r="D9456" s="185"/>
      <c r="E9456" s="185" t="s">
        <v>470</v>
      </c>
      <c r="H9456" s="185"/>
    </row>
    <row r="9457">
      <c r="D9457" s="185"/>
      <c r="E9457" s="185" t="s">
        <v>470</v>
      </c>
      <c r="H9457" s="185"/>
    </row>
    <row r="9458">
      <c r="D9458" s="185"/>
      <c r="E9458" s="185" t="s">
        <v>470</v>
      </c>
      <c r="H9458" s="185"/>
    </row>
    <row r="9459">
      <c r="D9459" s="185"/>
      <c r="E9459" s="185" t="s">
        <v>470</v>
      </c>
      <c r="H9459" s="185"/>
    </row>
    <row r="9460">
      <c r="D9460" s="185"/>
      <c r="E9460" s="185" t="s">
        <v>470</v>
      </c>
      <c r="H9460" s="185"/>
    </row>
    <row r="9461">
      <c r="D9461" s="185"/>
      <c r="E9461" s="185" t="s">
        <v>470</v>
      </c>
      <c r="H9461" s="185"/>
    </row>
    <row r="9462">
      <c r="D9462" s="185"/>
      <c r="E9462" s="185" t="s">
        <v>470</v>
      </c>
      <c r="H9462" s="185"/>
    </row>
    <row r="9463">
      <c r="D9463" s="185"/>
      <c r="E9463" s="185" t="s">
        <v>470</v>
      </c>
      <c r="H9463" s="185"/>
    </row>
    <row r="9464">
      <c r="D9464" s="185"/>
      <c r="E9464" s="185" t="s">
        <v>470</v>
      </c>
      <c r="H9464" s="185"/>
    </row>
    <row r="9465">
      <c r="D9465" s="185"/>
      <c r="E9465" s="185" t="s">
        <v>470</v>
      </c>
      <c r="H9465" s="185"/>
    </row>
    <row r="9466">
      <c r="D9466" s="185"/>
      <c r="E9466" s="185" t="s">
        <v>470</v>
      </c>
      <c r="H9466" s="185"/>
    </row>
    <row r="9467">
      <c r="D9467" s="185"/>
      <c r="E9467" s="185" t="s">
        <v>470</v>
      </c>
      <c r="H9467" s="185"/>
    </row>
    <row r="9468">
      <c r="D9468" s="185"/>
      <c r="E9468" s="185" t="s">
        <v>470</v>
      </c>
      <c r="H9468" s="185"/>
    </row>
    <row r="9469">
      <c r="D9469" s="185"/>
      <c r="E9469" s="185" t="s">
        <v>470</v>
      </c>
      <c r="H9469" s="185"/>
    </row>
    <row r="9470">
      <c r="D9470" s="185"/>
      <c r="E9470" s="185" t="s">
        <v>470</v>
      </c>
      <c r="H9470" s="185"/>
    </row>
    <row r="9471">
      <c r="D9471" s="185"/>
      <c r="E9471" s="185" t="s">
        <v>470</v>
      </c>
      <c r="H9471" s="185"/>
    </row>
    <row r="9472">
      <c r="D9472" s="185"/>
      <c r="E9472" s="185" t="s">
        <v>470</v>
      </c>
      <c r="H9472" s="185"/>
    </row>
    <row r="9473">
      <c r="D9473" s="185"/>
      <c r="E9473" s="185" t="s">
        <v>470</v>
      </c>
      <c r="H9473" s="185"/>
    </row>
    <row r="9474">
      <c r="D9474" s="185"/>
      <c r="E9474" s="185" t="s">
        <v>470</v>
      </c>
      <c r="H9474" s="185"/>
    </row>
    <row r="9475">
      <c r="D9475" s="185"/>
      <c r="E9475" s="185" t="s">
        <v>470</v>
      </c>
      <c r="H9475" s="185"/>
    </row>
    <row r="9476">
      <c r="D9476" s="185"/>
      <c r="E9476" s="185" t="s">
        <v>470</v>
      </c>
      <c r="H9476" s="185"/>
    </row>
    <row r="9477">
      <c r="D9477" s="185"/>
      <c r="E9477" s="185" t="s">
        <v>470</v>
      </c>
      <c r="H9477" s="185"/>
    </row>
    <row r="9478">
      <c r="D9478" s="185"/>
      <c r="E9478" s="185" t="s">
        <v>470</v>
      </c>
      <c r="H9478" s="185"/>
    </row>
    <row r="9479">
      <c r="D9479" s="185"/>
      <c r="E9479" s="185" t="s">
        <v>470</v>
      </c>
      <c r="H9479" s="185"/>
    </row>
    <row r="9480">
      <c r="D9480" s="185"/>
      <c r="E9480" s="185" t="s">
        <v>470</v>
      </c>
      <c r="H9480" s="185"/>
    </row>
    <row r="9481">
      <c r="D9481" s="185"/>
      <c r="E9481" s="185" t="s">
        <v>470</v>
      </c>
      <c r="H9481" s="185"/>
    </row>
    <row r="9482">
      <c r="D9482" s="185"/>
      <c r="E9482" s="185" t="s">
        <v>470</v>
      </c>
      <c r="H9482" s="185"/>
    </row>
    <row r="9483">
      <c r="D9483" s="185"/>
      <c r="E9483" s="185" t="s">
        <v>470</v>
      </c>
      <c r="H9483" s="185"/>
    </row>
    <row r="9484">
      <c r="D9484" s="185"/>
      <c r="E9484" s="185" t="s">
        <v>470</v>
      </c>
      <c r="H9484" s="185"/>
    </row>
    <row r="9485">
      <c r="D9485" s="185"/>
      <c r="E9485" s="185" t="s">
        <v>470</v>
      </c>
      <c r="H9485" s="185"/>
    </row>
    <row r="9486">
      <c r="D9486" s="185"/>
      <c r="E9486" s="185" t="s">
        <v>470</v>
      </c>
      <c r="H9486" s="185"/>
    </row>
    <row r="9487">
      <c r="D9487" s="185"/>
      <c r="E9487" s="185" t="s">
        <v>470</v>
      </c>
      <c r="H9487" s="185"/>
    </row>
    <row r="9488">
      <c r="D9488" s="185"/>
      <c r="E9488" s="185" t="s">
        <v>470</v>
      </c>
      <c r="H9488" s="185"/>
    </row>
    <row r="9489">
      <c r="D9489" s="185"/>
      <c r="E9489" s="185" t="s">
        <v>470</v>
      </c>
      <c r="H9489" s="185"/>
    </row>
    <row r="9490">
      <c r="D9490" s="185"/>
      <c r="E9490" s="185" t="s">
        <v>470</v>
      </c>
      <c r="H9490" s="185"/>
    </row>
    <row r="9491">
      <c r="D9491" s="185"/>
      <c r="E9491" s="185" t="s">
        <v>470</v>
      </c>
      <c r="H9491" s="185"/>
    </row>
    <row r="9492">
      <c r="D9492" s="185"/>
      <c r="E9492" s="185" t="s">
        <v>470</v>
      </c>
      <c r="H9492" s="185"/>
    </row>
    <row r="9493">
      <c r="D9493" s="185"/>
      <c r="E9493" s="185" t="s">
        <v>470</v>
      </c>
      <c r="H9493" s="185"/>
    </row>
    <row r="9494">
      <c r="D9494" s="185"/>
      <c r="E9494" s="185" t="s">
        <v>470</v>
      </c>
      <c r="H9494" s="185"/>
    </row>
    <row r="9495">
      <c r="D9495" s="185"/>
      <c r="E9495" s="185" t="s">
        <v>470</v>
      </c>
      <c r="H9495" s="185"/>
    </row>
    <row r="9496">
      <c r="D9496" s="185"/>
      <c r="E9496" s="185" t="s">
        <v>470</v>
      </c>
      <c r="H9496" s="185"/>
    </row>
    <row r="9497">
      <c r="D9497" s="185"/>
      <c r="E9497" s="185" t="s">
        <v>470</v>
      </c>
      <c r="H9497" s="185"/>
    </row>
    <row r="9498">
      <c r="D9498" s="185"/>
      <c r="E9498" s="185" t="s">
        <v>470</v>
      </c>
      <c r="H9498" s="185"/>
    </row>
    <row r="9499">
      <c r="D9499" s="185"/>
      <c r="E9499" s="185" t="s">
        <v>470</v>
      </c>
      <c r="H9499" s="185"/>
    </row>
    <row r="9500">
      <c r="D9500" s="185"/>
      <c r="E9500" s="185" t="s">
        <v>470</v>
      </c>
      <c r="H9500" s="185"/>
    </row>
    <row r="9501">
      <c r="D9501" s="185"/>
      <c r="E9501" s="185" t="s">
        <v>470</v>
      </c>
      <c r="H9501" s="185"/>
    </row>
    <row r="9502">
      <c r="D9502" s="185"/>
      <c r="E9502" s="185" t="s">
        <v>470</v>
      </c>
      <c r="H9502" s="185"/>
    </row>
    <row r="9503">
      <c r="D9503" s="185"/>
      <c r="E9503" s="185" t="s">
        <v>470</v>
      </c>
      <c r="H9503" s="185"/>
    </row>
    <row r="9504">
      <c r="D9504" s="185"/>
      <c r="E9504" s="185" t="s">
        <v>470</v>
      </c>
      <c r="H9504" s="185"/>
    </row>
    <row r="9505">
      <c r="D9505" s="185"/>
      <c r="E9505" s="185" t="s">
        <v>470</v>
      </c>
      <c r="H9505" s="185"/>
    </row>
    <row r="9506">
      <c r="D9506" s="185"/>
      <c r="E9506" s="185" t="s">
        <v>470</v>
      </c>
      <c r="H9506" s="185"/>
    </row>
    <row r="9507">
      <c r="D9507" s="185"/>
      <c r="E9507" s="185" t="s">
        <v>470</v>
      </c>
      <c r="H9507" s="185"/>
    </row>
    <row r="9508">
      <c r="D9508" s="185"/>
      <c r="E9508" s="185" t="s">
        <v>470</v>
      </c>
      <c r="H9508" s="185"/>
    </row>
    <row r="9509">
      <c r="D9509" s="185"/>
      <c r="E9509" s="185" t="s">
        <v>470</v>
      </c>
      <c r="H9509" s="185"/>
    </row>
    <row r="9510">
      <c r="D9510" s="185"/>
      <c r="E9510" s="185" t="s">
        <v>470</v>
      </c>
      <c r="H9510" s="185"/>
    </row>
    <row r="9511">
      <c r="D9511" s="185"/>
      <c r="E9511" s="185" t="s">
        <v>470</v>
      </c>
      <c r="H9511" s="185"/>
    </row>
    <row r="9512">
      <c r="D9512" s="185"/>
      <c r="E9512" s="185" t="s">
        <v>470</v>
      </c>
      <c r="H9512" s="185"/>
    </row>
    <row r="9513">
      <c r="D9513" s="185"/>
      <c r="E9513" s="185" t="s">
        <v>470</v>
      </c>
      <c r="H9513" s="185"/>
    </row>
    <row r="9514">
      <c r="D9514" s="185"/>
      <c r="E9514" s="185" t="s">
        <v>470</v>
      </c>
      <c r="H9514" s="185"/>
    </row>
    <row r="9515">
      <c r="D9515" s="185"/>
      <c r="E9515" s="185" t="s">
        <v>470</v>
      </c>
      <c r="H9515" s="185"/>
    </row>
    <row r="9516">
      <c r="D9516" s="185"/>
      <c r="E9516" s="185" t="s">
        <v>470</v>
      </c>
      <c r="H9516" s="185"/>
    </row>
    <row r="9517">
      <c r="D9517" s="185"/>
      <c r="E9517" s="185" t="s">
        <v>470</v>
      </c>
      <c r="H9517" s="185"/>
    </row>
    <row r="9518">
      <c r="D9518" s="185"/>
      <c r="E9518" s="185" t="s">
        <v>470</v>
      </c>
      <c r="H9518" s="185"/>
    </row>
    <row r="9519">
      <c r="D9519" s="185"/>
      <c r="E9519" s="185" t="s">
        <v>470</v>
      </c>
      <c r="H9519" s="185"/>
    </row>
    <row r="9520">
      <c r="D9520" s="185"/>
      <c r="E9520" s="185" t="s">
        <v>470</v>
      </c>
      <c r="H9520" s="185"/>
    </row>
    <row r="9521">
      <c r="D9521" s="185"/>
      <c r="E9521" s="185" t="s">
        <v>470</v>
      </c>
      <c r="H9521" s="185"/>
    </row>
    <row r="9522">
      <c r="D9522" s="185"/>
      <c r="E9522" s="185" t="s">
        <v>470</v>
      </c>
      <c r="H9522" s="185"/>
    </row>
    <row r="9523">
      <c r="D9523" s="185"/>
      <c r="E9523" s="185" t="s">
        <v>470</v>
      </c>
      <c r="H9523" s="185"/>
    </row>
    <row r="9524">
      <c r="D9524" s="185"/>
      <c r="E9524" s="185" t="s">
        <v>470</v>
      </c>
      <c r="H9524" s="185"/>
    </row>
    <row r="9525">
      <c r="D9525" s="185"/>
      <c r="E9525" s="185" t="s">
        <v>470</v>
      </c>
      <c r="H9525" s="185"/>
    </row>
    <row r="9526">
      <c r="D9526" s="185"/>
      <c r="E9526" s="185" t="s">
        <v>470</v>
      </c>
      <c r="H9526" s="185"/>
    </row>
    <row r="9527">
      <c r="D9527" s="185"/>
      <c r="E9527" s="185" t="s">
        <v>470</v>
      </c>
      <c r="H9527" s="185"/>
    </row>
    <row r="9528">
      <c r="D9528" s="185"/>
      <c r="E9528" s="185" t="s">
        <v>470</v>
      </c>
      <c r="H9528" s="185"/>
    </row>
    <row r="9529">
      <c r="D9529" s="185"/>
      <c r="E9529" s="185" t="s">
        <v>470</v>
      </c>
      <c r="H9529" s="185"/>
    </row>
    <row r="9530">
      <c r="D9530" s="185"/>
      <c r="E9530" s="185" t="s">
        <v>470</v>
      </c>
      <c r="H9530" s="185"/>
    </row>
    <row r="9531">
      <c r="D9531" s="185"/>
      <c r="E9531" s="185" t="s">
        <v>470</v>
      </c>
      <c r="H9531" s="185"/>
    </row>
    <row r="9532">
      <c r="D9532" s="185"/>
      <c r="E9532" s="185" t="s">
        <v>470</v>
      </c>
      <c r="H9532" s="185"/>
    </row>
    <row r="9533">
      <c r="D9533" s="185"/>
      <c r="E9533" s="185" t="s">
        <v>470</v>
      </c>
      <c r="H9533" s="185"/>
    </row>
    <row r="9534">
      <c r="D9534" s="185"/>
      <c r="E9534" s="185" t="s">
        <v>470</v>
      </c>
      <c r="H9534" s="185"/>
    </row>
    <row r="9535">
      <c r="D9535" s="185"/>
      <c r="E9535" s="185" t="s">
        <v>470</v>
      </c>
      <c r="H9535" s="185"/>
    </row>
    <row r="9536">
      <c r="D9536" s="185"/>
      <c r="E9536" s="185" t="s">
        <v>470</v>
      </c>
      <c r="H9536" s="185"/>
    </row>
    <row r="9537">
      <c r="D9537" s="185"/>
      <c r="E9537" s="185" t="s">
        <v>470</v>
      </c>
      <c r="H9537" s="185"/>
    </row>
    <row r="9538">
      <c r="D9538" s="185"/>
      <c r="E9538" s="185" t="s">
        <v>470</v>
      </c>
      <c r="H9538" s="185"/>
    </row>
    <row r="9539">
      <c r="D9539" s="185"/>
      <c r="E9539" s="185" t="s">
        <v>470</v>
      </c>
      <c r="H9539" s="185"/>
    </row>
    <row r="9540">
      <c r="D9540" s="185"/>
      <c r="E9540" s="185" t="s">
        <v>470</v>
      </c>
      <c r="H9540" s="185"/>
    </row>
    <row r="9541">
      <c r="D9541" s="185"/>
      <c r="E9541" s="185" t="s">
        <v>470</v>
      </c>
      <c r="H9541" s="185"/>
    </row>
    <row r="9542">
      <c r="D9542" s="185"/>
      <c r="E9542" s="185" t="s">
        <v>470</v>
      </c>
      <c r="H9542" s="185"/>
    </row>
    <row r="9543">
      <c r="D9543" s="185"/>
      <c r="E9543" s="185" t="s">
        <v>470</v>
      </c>
      <c r="H9543" s="185"/>
    </row>
    <row r="9544">
      <c r="D9544" s="185"/>
      <c r="E9544" s="185" t="s">
        <v>470</v>
      </c>
      <c r="H9544" s="185"/>
    </row>
    <row r="9545">
      <c r="D9545" s="185"/>
      <c r="E9545" s="185" t="s">
        <v>470</v>
      </c>
      <c r="H9545" s="185"/>
    </row>
    <row r="9546">
      <c r="D9546" s="185"/>
      <c r="E9546" s="185" t="s">
        <v>470</v>
      </c>
      <c r="H9546" s="185"/>
    </row>
    <row r="9547">
      <c r="D9547" s="185"/>
      <c r="E9547" s="185" t="s">
        <v>470</v>
      </c>
      <c r="H9547" s="185"/>
    </row>
    <row r="9548">
      <c r="D9548" s="185"/>
      <c r="E9548" s="185" t="s">
        <v>470</v>
      </c>
      <c r="H9548" s="185"/>
    </row>
    <row r="9549">
      <c r="D9549" s="185"/>
      <c r="E9549" s="185" t="s">
        <v>470</v>
      </c>
      <c r="H9549" s="185"/>
    </row>
    <row r="9550">
      <c r="D9550" s="185"/>
      <c r="E9550" s="185" t="s">
        <v>470</v>
      </c>
      <c r="H9550" s="185"/>
    </row>
    <row r="9551">
      <c r="D9551" s="185"/>
      <c r="E9551" s="185" t="s">
        <v>470</v>
      </c>
      <c r="H9551" s="185"/>
    </row>
    <row r="9552">
      <c r="D9552" s="185"/>
      <c r="E9552" s="185" t="s">
        <v>470</v>
      </c>
      <c r="H9552" s="185"/>
    </row>
    <row r="9553">
      <c r="D9553" s="185"/>
      <c r="E9553" s="185" t="s">
        <v>470</v>
      </c>
      <c r="H9553" s="185"/>
    </row>
    <row r="9554">
      <c r="D9554" s="185"/>
      <c r="E9554" s="185" t="s">
        <v>470</v>
      </c>
      <c r="H9554" s="185"/>
    </row>
    <row r="9555">
      <c r="D9555" s="185"/>
      <c r="E9555" s="185" t="s">
        <v>470</v>
      </c>
      <c r="H9555" s="185"/>
    </row>
    <row r="9556">
      <c r="D9556" s="185"/>
      <c r="E9556" s="185" t="s">
        <v>470</v>
      </c>
      <c r="H9556" s="185"/>
    </row>
    <row r="9557">
      <c r="D9557" s="185"/>
      <c r="E9557" s="185" t="s">
        <v>470</v>
      </c>
      <c r="H9557" s="185"/>
    </row>
    <row r="9558">
      <c r="D9558" s="185"/>
      <c r="E9558" s="185" t="s">
        <v>470</v>
      </c>
      <c r="H9558" s="185"/>
    </row>
    <row r="9559">
      <c r="D9559" s="185"/>
      <c r="E9559" s="185" t="s">
        <v>470</v>
      </c>
      <c r="H9559" s="185"/>
    </row>
    <row r="9560">
      <c r="D9560" s="185"/>
      <c r="E9560" s="185" t="s">
        <v>470</v>
      </c>
      <c r="H9560" s="185"/>
    </row>
    <row r="9561">
      <c r="D9561" s="185"/>
      <c r="E9561" s="185" t="s">
        <v>470</v>
      </c>
      <c r="H9561" s="185"/>
    </row>
    <row r="9562">
      <c r="D9562" s="185"/>
      <c r="E9562" s="185" t="s">
        <v>470</v>
      </c>
      <c r="H9562" s="185"/>
    </row>
    <row r="9563">
      <c r="D9563" s="185"/>
      <c r="E9563" s="185" t="s">
        <v>470</v>
      </c>
      <c r="H9563" s="185"/>
    </row>
    <row r="9564">
      <c r="D9564" s="185"/>
      <c r="E9564" s="185" t="s">
        <v>470</v>
      </c>
      <c r="H9564" s="185"/>
    </row>
    <row r="9565">
      <c r="D9565" s="185"/>
      <c r="E9565" s="185" t="s">
        <v>470</v>
      </c>
      <c r="H9565" s="185"/>
    </row>
    <row r="9566">
      <c r="D9566" s="185"/>
      <c r="E9566" s="185" t="s">
        <v>470</v>
      </c>
      <c r="H9566" s="185"/>
    </row>
    <row r="9567">
      <c r="D9567" s="185"/>
      <c r="E9567" s="185" t="s">
        <v>470</v>
      </c>
      <c r="H9567" s="185"/>
    </row>
    <row r="9568">
      <c r="D9568" s="185"/>
      <c r="E9568" s="185" t="s">
        <v>470</v>
      </c>
      <c r="H9568" s="185"/>
    </row>
    <row r="9569">
      <c r="D9569" s="185"/>
      <c r="E9569" s="185" t="s">
        <v>470</v>
      </c>
      <c r="H9569" s="185"/>
    </row>
    <row r="9570">
      <c r="D9570" s="185"/>
      <c r="E9570" s="185" t="s">
        <v>470</v>
      </c>
      <c r="H9570" s="185"/>
    </row>
    <row r="9571">
      <c r="D9571" s="185"/>
      <c r="E9571" s="185" t="s">
        <v>470</v>
      </c>
      <c r="H9571" s="185"/>
    </row>
    <row r="9572">
      <c r="D9572" s="185"/>
      <c r="E9572" s="185" t="s">
        <v>470</v>
      </c>
      <c r="H9572" s="185"/>
    </row>
    <row r="9573">
      <c r="D9573" s="185"/>
      <c r="E9573" s="185" t="s">
        <v>470</v>
      </c>
      <c r="H9573" s="185"/>
    </row>
    <row r="9574">
      <c r="D9574" s="185"/>
      <c r="E9574" s="185" t="s">
        <v>470</v>
      </c>
      <c r="H9574" s="185"/>
    </row>
    <row r="9575">
      <c r="D9575" s="185"/>
      <c r="E9575" s="185" t="s">
        <v>470</v>
      </c>
      <c r="H9575" s="185"/>
    </row>
    <row r="9576">
      <c r="D9576" s="185"/>
      <c r="E9576" s="185" t="s">
        <v>470</v>
      </c>
      <c r="H9576" s="185"/>
    </row>
    <row r="9577">
      <c r="D9577" s="185"/>
      <c r="E9577" s="185" t="s">
        <v>470</v>
      </c>
      <c r="H9577" s="185"/>
    </row>
    <row r="9578">
      <c r="D9578" s="185"/>
      <c r="E9578" s="185" t="s">
        <v>470</v>
      </c>
      <c r="H9578" s="185"/>
    </row>
    <row r="9579">
      <c r="D9579" s="185"/>
      <c r="E9579" s="185" t="s">
        <v>470</v>
      </c>
      <c r="H9579" s="185"/>
    </row>
    <row r="9580">
      <c r="D9580" s="185"/>
      <c r="E9580" s="185" t="s">
        <v>470</v>
      </c>
      <c r="H9580" s="185"/>
    </row>
    <row r="9581">
      <c r="D9581" s="185"/>
      <c r="E9581" s="185" t="s">
        <v>470</v>
      </c>
      <c r="H9581" s="185"/>
    </row>
    <row r="9582">
      <c r="D9582" s="185"/>
      <c r="E9582" s="185" t="s">
        <v>470</v>
      </c>
      <c r="H9582" s="185"/>
    </row>
    <row r="9583">
      <c r="D9583" s="185"/>
      <c r="E9583" s="185" t="s">
        <v>470</v>
      </c>
      <c r="H9583" s="185"/>
    </row>
    <row r="9584">
      <c r="D9584" s="185"/>
      <c r="E9584" s="185" t="s">
        <v>470</v>
      </c>
      <c r="H9584" s="185"/>
    </row>
    <row r="9585">
      <c r="D9585" s="185"/>
      <c r="E9585" s="185" t="s">
        <v>470</v>
      </c>
      <c r="H9585" s="185"/>
    </row>
    <row r="9586">
      <c r="D9586" s="185"/>
      <c r="E9586" s="185" t="s">
        <v>470</v>
      </c>
      <c r="H9586" s="185"/>
    </row>
    <row r="9587">
      <c r="D9587" s="185"/>
      <c r="E9587" s="185" t="s">
        <v>470</v>
      </c>
      <c r="H9587" s="185"/>
    </row>
    <row r="9588">
      <c r="D9588" s="185"/>
      <c r="E9588" s="185" t="s">
        <v>470</v>
      </c>
      <c r="H9588" s="185"/>
    </row>
    <row r="9589">
      <c r="D9589" s="185"/>
      <c r="E9589" s="185" t="s">
        <v>470</v>
      </c>
      <c r="H9589" s="185"/>
    </row>
    <row r="9590">
      <c r="D9590" s="185"/>
      <c r="E9590" s="185" t="s">
        <v>470</v>
      </c>
      <c r="H9590" s="185"/>
    </row>
    <row r="9591">
      <c r="D9591" s="185"/>
      <c r="E9591" s="185" t="s">
        <v>470</v>
      </c>
      <c r="H9591" s="185"/>
    </row>
    <row r="9592">
      <c r="D9592" s="185"/>
      <c r="E9592" s="185" t="s">
        <v>470</v>
      </c>
      <c r="H9592" s="185"/>
    </row>
    <row r="9593">
      <c r="D9593" s="185"/>
      <c r="E9593" s="185" t="s">
        <v>470</v>
      </c>
      <c r="H9593" s="185"/>
    </row>
    <row r="9594">
      <c r="D9594" s="185"/>
      <c r="E9594" s="185" t="s">
        <v>470</v>
      </c>
      <c r="H9594" s="185"/>
    </row>
    <row r="9595">
      <c r="D9595" s="185"/>
      <c r="E9595" s="185" t="s">
        <v>470</v>
      </c>
      <c r="H9595" s="185"/>
    </row>
    <row r="9596">
      <c r="D9596" s="185"/>
      <c r="E9596" s="185" t="s">
        <v>470</v>
      </c>
      <c r="H9596" s="185"/>
    </row>
    <row r="9597">
      <c r="D9597" s="185"/>
      <c r="E9597" s="185" t="s">
        <v>470</v>
      </c>
      <c r="H9597" s="185"/>
    </row>
    <row r="9598">
      <c r="D9598" s="185"/>
      <c r="E9598" s="185" t="s">
        <v>470</v>
      </c>
      <c r="H9598" s="185"/>
    </row>
    <row r="9599">
      <c r="D9599" s="185"/>
      <c r="E9599" s="185" t="s">
        <v>470</v>
      </c>
      <c r="H9599" s="185"/>
    </row>
    <row r="9600">
      <c r="D9600" s="185"/>
      <c r="E9600" s="185" t="s">
        <v>470</v>
      </c>
      <c r="H9600" s="185"/>
    </row>
    <row r="9601">
      <c r="D9601" s="185"/>
      <c r="E9601" s="185" t="s">
        <v>470</v>
      </c>
      <c r="H9601" s="185"/>
    </row>
    <row r="9602">
      <c r="D9602" s="185"/>
      <c r="E9602" s="185" t="s">
        <v>470</v>
      </c>
      <c r="H9602" s="185"/>
    </row>
    <row r="9603">
      <c r="D9603" s="185"/>
      <c r="E9603" s="185" t="s">
        <v>470</v>
      </c>
      <c r="H9603" s="185"/>
    </row>
    <row r="9604">
      <c r="D9604" s="185"/>
      <c r="E9604" s="185" t="s">
        <v>470</v>
      </c>
      <c r="H9604" s="185"/>
    </row>
    <row r="9605">
      <c r="D9605" s="185"/>
      <c r="E9605" s="185" t="s">
        <v>470</v>
      </c>
      <c r="H9605" s="185"/>
    </row>
    <row r="9606">
      <c r="D9606" s="185"/>
      <c r="E9606" s="185" t="s">
        <v>470</v>
      </c>
      <c r="H9606" s="185"/>
    </row>
    <row r="9607">
      <c r="D9607" s="185"/>
      <c r="E9607" s="185" t="s">
        <v>470</v>
      </c>
      <c r="H9607" s="185"/>
    </row>
    <row r="9608">
      <c r="D9608" s="185"/>
      <c r="E9608" s="185" t="s">
        <v>470</v>
      </c>
      <c r="H9608" s="185"/>
    </row>
    <row r="9609">
      <c r="D9609" s="185"/>
      <c r="E9609" s="185" t="s">
        <v>470</v>
      </c>
      <c r="H9609" s="185"/>
    </row>
    <row r="9610">
      <c r="D9610" s="185"/>
      <c r="E9610" s="185" t="s">
        <v>470</v>
      </c>
      <c r="H9610" s="185"/>
    </row>
    <row r="9611">
      <c r="D9611" s="185"/>
      <c r="E9611" s="185" t="s">
        <v>470</v>
      </c>
      <c r="H9611" s="185"/>
    </row>
    <row r="9612">
      <c r="D9612" s="185"/>
      <c r="E9612" s="185" t="s">
        <v>470</v>
      </c>
      <c r="H9612" s="185"/>
    </row>
    <row r="9613">
      <c r="D9613" s="185"/>
      <c r="E9613" s="185" t="s">
        <v>470</v>
      </c>
      <c r="H9613" s="185"/>
    </row>
    <row r="9614">
      <c r="D9614" s="185"/>
      <c r="E9614" s="185" t="s">
        <v>470</v>
      </c>
      <c r="H9614" s="185"/>
    </row>
    <row r="9615">
      <c r="D9615" s="185"/>
      <c r="E9615" s="185" t="s">
        <v>470</v>
      </c>
      <c r="H9615" s="185"/>
    </row>
    <row r="9616">
      <c r="D9616" s="185"/>
      <c r="E9616" s="185" t="s">
        <v>470</v>
      </c>
      <c r="H9616" s="185"/>
    </row>
    <row r="9617">
      <c r="D9617" s="185"/>
      <c r="E9617" s="185" t="s">
        <v>470</v>
      </c>
      <c r="H9617" s="185"/>
    </row>
    <row r="9618">
      <c r="D9618" s="185"/>
      <c r="E9618" s="185" t="s">
        <v>470</v>
      </c>
      <c r="H9618" s="185"/>
    </row>
    <row r="9619">
      <c r="D9619" s="185"/>
      <c r="E9619" s="185" t="s">
        <v>470</v>
      </c>
      <c r="H9619" s="185"/>
    </row>
    <row r="9620">
      <c r="D9620" s="185"/>
      <c r="E9620" s="185" t="s">
        <v>470</v>
      </c>
      <c r="H9620" s="185"/>
    </row>
    <row r="9621">
      <c r="D9621" s="185"/>
      <c r="E9621" s="185" t="s">
        <v>470</v>
      </c>
      <c r="H9621" s="185"/>
    </row>
    <row r="9622">
      <c r="D9622" s="185"/>
      <c r="E9622" s="185" t="s">
        <v>470</v>
      </c>
      <c r="H9622" s="185"/>
    </row>
    <row r="9623">
      <c r="D9623" s="185"/>
      <c r="E9623" s="185" t="s">
        <v>470</v>
      </c>
      <c r="H9623" s="185"/>
    </row>
    <row r="9624">
      <c r="D9624" s="185"/>
      <c r="E9624" s="185" t="s">
        <v>470</v>
      </c>
      <c r="H9624" s="185"/>
    </row>
    <row r="9625">
      <c r="D9625" s="185"/>
      <c r="E9625" s="185" t="s">
        <v>470</v>
      </c>
      <c r="H9625" s="185"/>
    </row>
    <row r="9626">
      <c r="D9626" s="185"/>
      <c r="E9626" s="185" t="s">
        <v>470</v>
      </c>
      <c r="H9626" s="185"/>
    </row>
    <row r="9627">
      <c r="D9627" s="185"/>
      <c r="E9627" s="185" t="s">
        <v>470</v>
      </c>
      <c r="H9627" s="185"/>
    </row>
    <row r="9628">
      <c r="D9628" s="185"/>
      <c r="E9628" s="185" t="s">
        <v>470</v>
      </c>
      <c r="H9628" s="185"/>
    </row>
    <row r="9629">
      <c r="D9629" s="185"/>
      <c r="E9629" s="185" t="s">
        <v>470</v>
      </c>
      <c r="H9629" s="185"/>
    </row>
    <row r="9630">
      <c r="D9630" s="185"/>
      <c r="E9630" s="185" t="s">
        <v>470</v>
      </c>
      <c r="H9630" s="185"/>
    </row>
    <row r="9631">
      <c r="D9631" s="185"/>
      <c r="E9631" s="185" t="s">
        <v>470</v>
      </c>
      <c r="H9631" s="185"/>
    </row>
    <row r="9632">
      <c r="D9632" s="185"/>
      <c r="E9632" s="185" t="s">
        <v>470</v>
      </c>
      <c r="H9632" s="185"/>
    </row>
    <row r="9633">
      <c r="D9633" s="185"/>
      <c r="E9633" s="185" t="s">
        <v>470</v>
      </c>
      <c r="H9633" s="185"/>
    </row>
    <row r="9634">
      <c r="D9634" s="185"/>
      <c r="E9634" s="185" t="s">
        <v>470</v>
      </c>
      <c r="H9634" s="185"/>
    </row>
    <row r="9635">
      <c r="D9635" s="185"/>
      <c r="E9635" s="185" t="s">
        <v>470</v>
      </c>
      <c r="H9635" s="185"/>
    </row>
    <row r="9636">
      <c r="D9636" s="185"/>
      <c r="E9636" s="185" t="s">
        <v>470</v>
      </c>
      <c r="H9636" s="185"/>
    </row>
    <row r="9637">
      <c r="D9637" s="185"/>
      <c r="E9637" s="185" t="s">
        <v>470</v>
      </c>
      <c r="H9637" s="185"/>
    </row>
    <row r="9638">
      <c r="D9638" s="185"/>
      <c r="E9638" s="185" t="s">
        <v>470</v>
      </c>
      <c r="H9638" s="185"/>
    </row>
    <row r="9639">
      <c r="D9639" s="185"/>
      <c r="E9639" s="185" t="s">
        <v>470</v>
      </c>
      <c r="H9639" s="185"/>
    </row>
    <row r="9640">
      <c r="D9640" s="185"/>
      <c r="E9640" s="185" t="s">
        <v>470</v>
      </c>
      <c r="H9640" s="185"/>
    </row>
    <row r="9641">
      <c r="D9641" s="185"/>
      <c r="E9641" s="185" t="s">
        <v>470</v>
      </c>
      <c r="H9641" s="185"/>
    </row>
    <row r="9642">
      <c r="D9642" s="185"/>
      <c r="E9642" s="185" t="s">
        <v>470</v>
      </c>
      <c r="H9642" s="185"/>
    </row>
    <row r="9643">
      <c r="D9643" s="185"/>
      <c r="E9643" s="185" t="s">
        <v>470</v>
      </c>
      <c r="H9643" s="185"/>
    </row>
    <row r="9644">
      <c r="D9644" s="185"/>
      <c r="E9644" s="185" t="s">
        <v>470</v>
      </c>
      <c r="H9644" s="185"/>
    </row>
    <row r="9645">
      <c r="D9645" s="185"/>
      <c r="E9645" s="185" t="s">
        <v>470</v>
      </c>
      <c r="H9645" s="185"/>
    </row>
    <row r="9646">
      <c r="D9646" s="185"/>
      <c r="E9646" s="185" t="s">
        <v>470</v>
      </c>
      <c r="H9646" s="185"/>
    </row>
    <row r="9647">
      <c r="D9647" s="185"/>
      <c r="E9647" s="185" t="s">
        <v>470</v>
      </c>
      <c r="H9647" s="185"/>
    </row>
    <row r="9648">
      <c r="D9648" s="185"/>
      <c r="E9648" s="185" t="s">
        <v>470</v>
      </c>
      <c r="H9648" s="185"/>
    </row>
    <row r="9649">
      <c r="D9649" s="185"/>
      <c r="E9649" s="185" t="s">
        <v>470</v>
      </c>
      <c r="H9649" s="185"/>
    </row>
    <row r="9650">
      <c r="D9650" s="185"/>
      <c r="E9650" s="185" t="s">
        <v>470</v>
      </c>
      <c r="H9650" s="185"/>
    </row>
    <row r="9651">
      <c r="D9651" s="185"/>
      <c r="E9651" s="185" t="s">
        <v>470</v>
      </c>
      <c r="H9651" s="185"/>
    </row>
    <row r="9652">
      <c r="D9652" s="185"/>
      <c r="E9652" s="185" t="s">
        <v>470</v>
      </c>
      <c r="H9652" s="185"/>
    </row>
    <row r="9653">
      <c r="D9653" s="185"/>
      <c r="E9653" s="185" t="s">
        <v>470</v>
      </c>
      <c r="H9653" s="185"/>
    </row>
    <row r="9654">
      <c r="D9654" s="185"/>
      <c r="E9654" s="185" t="s">
        <v>470</v>
      </c>
      <c r="H9654" s="185"/>
    </row>
    <row r="9655">
      <c r="D9655" s="185"/>
      <c r="E9655" s="185" t="s">
        <v>470</v>
      </c>
      <c r="H9655" s="185"/>
    </row>
    <row r="9656">
      <c r="D9656" s="185"/>
      <c r="E9656" s="185" t="s">
        <v>470</v>
      </c>
      <c r="H9656" s="185"/>
    </row>
    <row r="9657">
      <c r="D9657" s="185"/>
      <c r="E9657" s="185" t="s">
        <v>470</v>
      </c>
      <c r="H9657" s="185"/>
    </row>
    <row r="9658">
      <c r="D9658" s="185"/>
      <c r="E9658" s="185" t="s">
        <v>470</v>
      </c>
      <c r="H9658" s="185"/>
    </row>
    <row r="9659">
      <c r="D9659" s="185"/>
      <c r="E9659" s="185" t="s">
        <v>470</v>
      </c>
      <c r="H9659" s="185"/>
    </row>
    <row r="9660">
      <c r="D9660" s="185"/>
      <c r="E9660" s="185" t="s">
        <v>470</v>
      </c>
      <c r="H9660" s="185"/>
    </row>
    <row r="9661">
      <c r="D9661" s="185"/>
      <c r="E9661" s="185" t="s">
        <v>470</v>
      </c>
      <c r="H9661" s="185"/>
    </row>
    <row r="9662">
      <c r="D9662" s="185"/>
      <c r="E9662" s="185" t="s">
        <v>470</v>
      </c>
      <c r="H9662" s="185"/>
    </row>
    <row r="9663">
      <c r="D9663" s="185"/>
      <c r="E9663" s="185" t="s">
        <v>470</v>
      </c>
      <c r="H9663" s="185"/>
    </row>
    <row r="9664">
      <c r="D9664" s="185"/>
      <c r="E9664" s="185" t="s">
        <v>470</v>
      </c>
      <c r="H9664" s="185"/>
    </row>
    <row r="9665">
      <c r="D9665" s="185"/>
      <c r="E9665" s="185" t="s">
        <v>470</v>
      </c>
      <c r="H9665" s="185"/>
    </row>
    <row r="9666">
      <c r="D9666" s="185"/>
      <c r="E9666" s="185" t="s">
        <v>470</v>
      </c>
      <c r="H9666" s="185"/>
    </row>
    <row r="9667">
      <c r="D9667" s="185"/>
      <c r="E9667" s="185" t="s">
        <v>470</v>
      </c>
      <c r="H9667" s="185"/>
    </row>
    <row r="9668">
      <c r="D9668" s="185"/>
      <c r="E9668" s="185" t="s">
        <v>470</v>
      </c>
      <c r="H9668" s="185"/>
    </row>
    <row r="9669">
      <c r="D9669" s="185"/>
      <c r="E9669" s="185" t="s">
        <v>470</v>
      </c>
      <c r="H9669" s="185"/>
    </row>
    <row r="9670">
      <c r="D9670" s="185"/>
      <c r="E9670" s="185" t="s">
        <v>470</v>
      </c>
      <c r="H9670" s="185"/>
    </row>
    <row r="9671">
      <c r="D9671" s="185"/>
      <c r="E9671" s="185" t="s">
        <v>470</v>
      </c>
      <c r="H9671" s="185"/>
    </row>
    <row r="9672">
      <c r="D9672" s="185"/>
      <c r="E9672" s="185" t="s">
        <v>470</v>
      </c>
      <c r="H9672" s="185"/>
    </row>
    <row r="9673">
      <c r="D9673" s="185"/>
      <c r="E9673" s="185" t="s">
        <v>470</v>
      </c>
      <c r="H9673" s="185"/>
    </row>
    <row r="9674">
      <c r="D9674" s="185"/>
      <c r="E9674" s="185" t="s">
        <v>470</v>
      </c>
      <c r="H9674" s="185"/>
    </row>
    <row r="9675">
      <c r="D9675" s="185"/>
      <c r="E9675" s="185" t="s">
        <v>470</v>
      </c>
      <c r="H9675" s="185"/>
    </row>
    <row r="9676">
      <c r="D9676" s="185"/>
      <c r="E9676" s="185" t="s">
        <v>470</v>
      </c>
      <c r="H9676" s="185"/>
    </row>
    <row r="9677">
      <c r="D9677" s="185"/>
      <c r="E9677" s="185" t="s">
        <v>470</v>
      </c>
      <c r="H9677" s="185"/>
    </row>
    <row r="9678">
      <c r="D9678" s="185"/>
      <c r="E9678" s="185" t="s">
        <v>470</v>
      </c>
      <c r="H9678" s="185"/>
    </row>
    <row r="9679">
      <c r="D9679" s="185"/>
      <c r="E9679" s="185" t="s">
        <v>470</v>
      </c>
      <c r="H9679" s="185"/>
    </row>
    <row r="9680">
      <c r="D9680" s="185"/>
      <c r="E9680" s="185" t="s">
        <v>470</v>
      </c>
      <c r="H9680" s="185"/>
    </row>
    <row r="9681">
      <c r="D9681" s="185"/>
      <c r="E9681" s="185" t="s">
        <v>470</v>
      </c>
      <c r="H9681" s="185"/>
    </row>
    <row r="9682">
      <c r="D9682" s="185"/>
      <c r="E9682" s="185" t="s">
        <v>470</v>
      </c>
      <c r="H9682" s="185"/>
    </row>
    <row r="9683">
      <c r="D9683" s="185"/>
      <c r="E9683" s="185" t="s">
        <v>470</v>
      </c>
      <c r="H9683" s="185"/>
    </row>
    <row r="9684">
      <c r="D9684" s="185"/>
      <c r="E9684" s="185" t="s">
        <v>470</v>
      </c>
      <c r="H9684" s="185"/>
    </row>
    <row r="9685">
      <c r="D9685" s="185"/>
      <c r="E9685" s="185" t="s">
        <v>470</v>
      </c>
      <c r="H9685" s="185"/>
    </row>
    <row r="9686">
      <c r="D9686" s="185"/>
      <c r="E9686" s="185" t="s">
        <v>470</v>
      </c>
      <c r="H9686" s="185"/>
    </row>
    <row r="9687">
      <c r="D9687" s="185"/>
      <c r="E9687" s="185" t="s">
        <v>470</v>
      </c>
      <c r="H9687" s="185"/>
    </row>
    <row r="9688">
      <c r="D9688" s="185"/>
      <c r="E9688" s="185" t="s">
        <v>470</v>
      </c>
      <c r="H9688" s="185"/>
    </row>
    <row r="9689">
      <c r="D9689" s="185"/>
      <c r="E9689" s="185" t="s">
        <v>470</v>
      </c>
      <c r="H9689" s="185"/>
    </row>
    <row r="9690">
      <c r="D9690" s="185"/>
      <c r="E9690" s="185" t="s">
        <v>470</v>
      </c>
      <c r="H9690" s="185"/>
    </row>
    <row r="9691">
      <c r="D9691" s="185"/>
      <c r="E9691" s="185" t="s">
        <v>470</v>
      </c>
      <c r="H9691" s="185"/>
    </row>
    <row r="9692">
      <c r="D9692" s="185"/>
      <c r="E9692" s="185" t="s">
        <v>470</v>
      </c>
      <c r="H9692" s="185"/>
    </row>
    <row r="9693">
      <c r="D9693" s="185"/>
      <c r="E9693" s="185" t="s">
        <v>470</v>
      </c>
      <c r="H9693" s="185"/>
    </row>
    <row r="9694">
      <c r="D9694" s="185"/>
      <c r="E9694" s="185" t="s">
        <v>470</v>
      </c>
      <c r="H9694" s="185"/>
    </row>
    <row r="9695">
      <c r="D9695" s="185"/>
      <c r="E9695" s="185" t="s">
        <v>470</v>
      </c>
      <c r="H9695" s="185"/>
    </row>
    <row r="9696">
      <c r="D9696" s="185"/>
      <c r="E9696" s="185" t="s">
        <v>470</v>
      </c>
      <c r="H9696" s="185"/>
    </row>
    <row r="9697">
      <c r="D9697" s="185"/>
      <c r="E9697" s="185" t="s">
        <v>470</v>
      </c>
      <c r="H9697" s="185"/>
    </row>
    <row r="9698">
      <c r="D9698" s="185"/>
      <c r="E9698" s="185" t="s">
        <v>470</v>
      </c>
      <c r="H9698" s="185"/>
    </row>
    <row r="9699">
      <c r="D9699" s="185"/>
      <c r="E9699" s="185" t="s">
        <v>470</v>
      </c>
      <c r="H9699" s="185"/>
    </row>
    <row r="9700">
      <c r="D9700" s="185"/>
      <c r="E9700" s="185" t="s">
        <v>470</v>
      </c>
      <c r="H9700" s="185"/>
    </row>
    <row r="9701">
      <c r="D9701" s="185"/>
      <c r="E9701" s="185" t="s">
        <v>470</v>
      </c>
      <c r="H9701" s="185"/>
    </row>
    <row r="9702">
      <c r="D9702" s="185"/>
      <c r="E9702" s="185" t="s">
        <v>470</v>
      </c>
      <c r="H9702" s="185"/>
    </row>
    <row r="9703">
      <c r="D9703" s="185"/>
      <c r="E9703" s="185" t="s">
        <v>470</v>
      </c>
      <c r="H9703" s="185"/>
    </row>
    <row r="9704">
      <c r="D9704" s="185"/>
      <c r="E9704" s="185" t="s">
        <v>470</v>
      </c>
      <c r="H9704" s="185"/>
    </row>
    <row r="9705">
      <c r="D9705" s="185"/>
      <c r="E9705" s="185" t="s">
        <v>470</v>
      </c>
      <c r="H9705" s="185"/>
    </row>
    <row r="9706">
      <c r="D9706" s="185"/>
      <c r="E9706" s="185" t="s">
        <v>470</v>
      </c>
      <c r="H9706" s="185"/>
    </row>
    <row r="9707">
      <c r="D9707" s="185"/>
      <c r="E9707" s="185" t="s">
        <v>470</v>
      </c>
      <c r="H9707" s="185"/>
    </row>
    <row r="9708">
      <c r="D9708" s="185"/>
      <c r="E9708" s="185" t="s">
        <v>470</v>
      </c>
      <c r="H9708" s="185"/>
    </row>
    <row r="9709">
      <c r="D9709" s="185"/>
      <c r="E9709" s="185" t="s">
        <v>470</v>
      </c>
      <c r="H9709" s="185"/>
    </row>
    <row r="9710">
      <c r="D9710" s="185"/>
      <c r="E9710" s="185" t="s">
        <v>470</v>
      </c>
      <c r="H9710" s="185"/>
    </row>
    <row r="9711">
      <c r="D9711" s="185"/>
      <c r="E9711" s="185" t="s">
        <v>470</v>
      </c>
      <c r="H9711" s="185"/>
    </row>
    <row r="9712">
      <c r="D9712" s="185"/>
      <c r="E9712" s="185" t="s">
        <v>470</v>
      </c>
      <c r="H9712" s="185"/>
    </row>
    <row r="9713">
      <c r="D9713" s="185"/>
      <c r="E9713" s="185" t="s">
        <v>470</v>
      </c>
      <c r="H9713" s="185"/>
    </row>
    <row r="9714">
      <c r="D9714" s="185"/>
      <c r="E9714" s="185" t="s">
        <v>470</v>
      </c>
      <c r="H9714" s="185"/>
    </row>
    <row r="9715">
      <c r="D9715" s="185"/>
      <c r="E9715" s="185" t="s">
        <v>470</v>
      </c>
      <c r="H9715" s="185"/>
    </row>
    <row r="9716">
      <c r="D9716" s="185"/>
      <c r="E9716" s="185" t="s">
        <v>470</v>
      </c>
      <c r="H9716" s="185"/>
    </row>
    <row r="9717">
      <c r="D9717" s="185"/>
      <c r="E9717" s="185" t="s">
        <v>470</v>
      </c>
      <c r="H9717" s="185"/>
    </row>
    <row r="9718">
      <c r="D9718" s="185"/>
      <c r="E9718" s="185" t="s">
        <v>470</v>
      </c>
      <c r="H9718" s="185"/>
    </row>
    <row r="9719">
      <c r="D9719" s="185"/>
      <c r="E9719" s="185" t="s">
        <v>470</v>
      </c>
      <c r="H9719" s="185"/>
    </row>
    <row r="9720">
      <c r="D9720" s="185"/>
      <c r="E9720" s="185" t="s">
        <v>470</v>
      </c>
      <c r="H9720" s="185"/>
    </row>
    <row r="9721">
      <c r="D9721" s="185"/>
      <c r="E9721" s="185" t="s">
        <v>470</v>
      </c>
      <c r="H9721" s="185"/>
    </row>
    <row r="9722">
      <c r="D9722" s="185"/>
      <c r="E9722" s="185" t="s">
        <v>470</v>
      </c>
      <c r="H9722" s="185"/>
    </row>
    <row r="9723">
      <c r="D9723" s="185"/>
      <c r="E9723" s="185" t="s">
        <v>470</v>
      </c>
      <c r="H9723" s="185"/>
    </row>
    <row r="9724">
      <c r="D9724" s="185"/>
      <c r="E9724" s="185" t="s">
        <v>470</v>
      </c>
      <c r="H9724" s="185"/>
    </row>
    <row r="9725">
      <c r="D9725" s="185"/>
      <c r="E9725" s="185" t="s">
        <v>470</v>
      </c>
      <c r="H9725" s="185"/>
    </row>
    <row r="9726">
      <c r="D9726" s="185"/>
      <c r="E9726" s="185" t="s">
        <v>470</v>
      </c>
      <c r="H9726" s="185"/>
    </row>
    <row r="9727">
      <c r="D9727" s="185"/>
      <c r="E9727" s="185" t="s">
        <v>470</v>
      </c>
      <c r="H9727" s="185"/>
    </row>
    <row r="9728">
      <c r="D9728" s="185"/>
      <c r="E9728" s="185" t="s">
        <v>470</v>
      </c>
      <c r="H9728" s="185"/>
    </row>
    <row r="9729">
      <c r="D9729" s="185"/>
      <c r="E9729" s="185" t="s">
        <v>470</v>
      </c>
      <c r="H9729" s="185"/>
    </row>
    <row r="9730">
      <c r="D9730" s="185"/>
      <c r="E9730" s="185" t="s">
        <v>470</v>
      </c>
      <c r="H9730" s="185"/>
    </row>
    <row r="9731">
      <c r="D9731" s="185"/>
      <c r="E9731" s="185" t="s">
        <v>470</v>
      </c>
      <c r="H9731" s="185"/>
    </row>
    <row r="9732">
      <c r="D9732" s="185"/>
      <c r="E9732" s="185" t="s">
        <v>470</v>
      </c>
      <c r="H9732" s="185"/>
    </row>
    <row r="9733">
      <c r="D9733" s="185"/>
      <c r="E9733" s="185" t="s">
        <v>470</v>
      </c>
      <c r="H9733" s="185"/>
    </row>
    <row r="9734">
      <c r="D9734" s="185"/>
      <c r="E9734" s="185" t="s">
        <v>470</v>
      </c>
      <c r="H9734" s="185"/>
    </row>
    <row r="9735">
      <c r="D9735" s="185"/>
      <c r="E9735" s="185" t="s">
        <v>470</v>
      </c>
      <c r="H9735" s="185"/>
    </row>
    <row r="9736">
      <c r="D9736" s="185"/>
      <c r="E9736" s="185" t="s">
        <v>470</v>
      </c>
      <c r="H9736" s="185"/>
    </row>
    <row r="9737">
      <c r="D9737" s="185"/>
      <c r="E9737" s="185" t="s">
        <v>470</v>
      </c>
      <c r="H9737" s="185"/>
    </row>
    <row r="9738">
      <c r="D9738" s="185"/>
      <c r="E9738" s="185" t="s">
        <v>470</v>
      </c>
      <c r="H9738" s="185"/>
    </row>
    <row r="9739">
      <c r="D9739" s="185"/>
      <c r="E9739" s="185" t="s">
        <v>470</v>
      </c>
      <c r="H9739" s="185"/>
    </row>
    <row r="9740">
      <c r="D9740" s="185"/>
      <c r="E9740" s="185" t="s">
        <v>470</v>
      </c>
      <c r="H9740" s="185"/>
    </row>
    <row r="9741">
      <c r="D9741" s="185"/>
      <c r="E9741" s="185" t="s">
        <v>470</v>
      </c>
      <c r="H9741" s="185"/>
    </row>
    <row r="9742">
      <c r="D9742" s="185"/>
      <c r="E9742" s="185" t="s">
        <v>470</v>
      </c>
      <c r="H9742" s="185"/>
    </row>
    <row r="9743">
      <c r="D9743" s="185"/>
      <c r="E9743" s="185" t="s">
        <v>470</v>
      </c>
      <c r="H9743" s="185"/>
    </row>
    <row r="9744">
      <c r="D9744" s="185"/>
      <c r="E9744" s="185" t="s">
        <v>470</v>
      </c>
      <c r="H9744" s="185"/>
    </row>
    <row r="9745">
      <c r="D9745" s="185"/>
      <c r="E9745" s="185" t="s">
        <v>470</v>
      </c>
      <c r="H9745" s="185"/>
    </row>
    <row r="9746">
      <c r="D9746" s="185"/>
      <c r="E9746" s="185" t="s">
        <v>470</v>
      </c>
      <c r="H9746" s="185"/>
    </row>
    <row r="9747">
      <c r="D9747" s="185"/>
      <c r="E9747" s="185" t="s">
        <v>470</v>
      </c>
      <c r="H9747" s="185"/>
    </row>
    <row r="9748">
      <c r="D9748" s="185"/>
      <c r="E9748" s="185" t="s">
        <v>470</v>
      </c>
      <c r="H9748" s="185"/>
    </row>
    <row r="9749">
      <c r="D9749" s="185"/>
      <c r="E9749" s="185" t="s">
        <v>470</v>
      </c>
      <c r="H9749" s="185"/>
    </row>
    <row r="9750">
      <c r="D9750" s="185"/>
      <c r="E9750" s="185" t="s">
        <v>470</v>
      </c>
      <c r="H9750" s="185"/>
    </row>
    <row r="9751">
      <c r="D9751" s="185"/>
      <c r="E9751" s="185" t="s">
        <v>470</v>
      </c>
      <c r="H9751" s="185"/>
    </row>
    <row r="9752">
      <c r="D9752" s="185"/>
      <c r="E9752" s="185" t="s">
        <v>470</v>
      </c>
      <c r="H9752" s="185"/>
    </row>
    <row r="9753">
      <c r="D9753" s="185"/>
      <c r="E9753" s="185" t="s">
        <v>470</v>
      </c>
      <c r="H9753" s="185"/>
    </row>
    <row r="9754">
      <c r="D9754" s="185"/>
      <c r="E9754" s="185" t="s">
        <v>470</v>
      </c>
      <c r="H9754" s="185"/>
    </row>
    <row r="9755">
      <c r="D9755" s="185"/>
      <c r="E9755" s="185" t="s">
        <v>470</v>
      </c>
      <c r="H9755" s="185"/>
    </row>
    <row r="9756">
      <c r="D9756" s="185"/>
      <c r="E9756" s="185" t="s">
        <v>470</v>
      </c>
      <c r="H9756" s="185"/>
    </row>
    <row r="9757">
      <c r="D9757" s="185"/>
      <c r="E9757" s="185" t="s">
        <v>470</v>
      </c>
      <c r="H9757" s="185"/>
    </row>
    <row r="9758">
      <c r="D9758" s="185"/>
      <c r="E9758" s="185" t="s">
        <v>470</v>
      </c>
      <c r="H9758" s="185"/>
    </row>
    <row r="9759">
      <c r="D9759" s="185"/>
      <c r="E9759" s="185" t="s">
        <v>470</v>
      </c>
      <c r="H9759" s="185"/>
    </row>
    <row r="9760">
      <c r="D9760" s="185"/>
      <c r="E9760" s="185" t="s">
        <v>470</v>
      </c>
      <c r="H9760" s="185"/>
    </row>
    <row r="9761">
      <c r="D9761" s="185"/>
      <c r="E9761" s="185" t="s">
        <v>470</v>
      </c>
      <c r="H9761" s="185"/>
    </row>
    <row r="9762">
      <c r="D9762" s="185"/>
      <c r="E9762" s="185" t="s">
        <v>470</v>
      </c>
      <c r="H9762" s="185"/>
    </row>
    <row r="9763">
      <c r="D9763" s="185"/>
      <c r="E9763" s="185" t="s">
        <v>470</v>
      </c>
      <c r="H9763" s="185"/>
    </row>
    <row r="9764">
      <c r="D9764" s="185"/>
      <c r="E9764" s="185" t="s">
        <v>470</v>
      </c>
      <c r="H9764" s="185"/>
    </row>
    <row r="9765">
      <c r="D9765" s="185"/>
      <c r="E9765" s="185" t="s">
        <v>470</v>
      </c>
      <c r="H9765" s="185"/>
    </row>
    <row r="9766">
      <c r="D9766" s="185"/>
      <c r="E9766" s="185" t="s">
        <v>470</v>
      </c>
      <c r="H9766" s="185"/>
    </row>
    <row r="9767">
      <c r="D9767" s="185"/>
      <c r="E9767" s="185" t="s">
        <v>470</v>
      </c>
      <c r="H9767" s="185"/>
    </row>
    <row r="9768">
      <c r="D9768" s="185"/>
      <c r="E9768" s="185" t="s">
        <v>470</v>
      </c>
      <c r="H9768" s="185"/>
    </row>
    <row r="9769">
      <c r="D9769" s="185"/>
      <c r="E9769" s="185" t="s">
        <v>470</v>
      </c>
      <c r="H9769" s="185"/>
    </row>
    <row r="9770">
      <c r="D9770" s="185"/>
      <c r="E9770" s="185" t="s">
        <v>470</v>
      </c>
      <c r="H9770" s="185"/>
    </row>
    <row r="9771">
      <c r="D9771" s="185"/>
      <c r="E9771" s="185" t="s">
        <v>470</v>
      </c>
      <c r="H9771" s="185"/>
    </row>
    <row r="9772">
      <c r="D9772" s="185"/>
      <c r="E9772" s="185" t="s">
        <v>470</v>
      </c>
      <c r="H9772" s="185"/>
    </row>
    <row r="9773">
      <c r="D9773" s="185"/>
      <c r="E9773" s="185" t="s">
        <v>470</v>
      </c>
      <c r="H9773" s="185"/>
    </row>
    <row r="9774">
      <c r="D9774" s="185"/>
      <c r="E9774" s="185" t="s">
        <v>470</v>
      </c>
      <c r="H9774" s="185"/>
    </row>
    <row r="9775">
      <c r="D9775" s="185"/>
      <c r="E9775" s="185" t="s">
        <v>470</v>
      </c>
      <c r="H9775" s="185"/>
    </row>
    <row r="9776">
      <c r="D9776" s="185"/>
      <c r="E9776" s="185" t="s">
        <v>470</v>
      </c>
      <c r="H9776" s="185"/>
    </row>
    <row r="9777">
      <c r="D9777" s="185"/>
      <c r="E9777" s="185" t="s">
        <v>470</v>
      </c>
      <c r="H9777" s="185"/>
    </row>
    <row r="9778">
      <c r="D9778" s="185"/>
      <c r="E9778" s="185" t="s">
        <v>470</v>
      </c>
      <c r="H9778" s="185"/>
    </row>
    <row r="9779">
      <c r="D9779" s="185"/>
      <c r="E9779" s="185" t="s">
        <v>470</v>
      </c>
      <c r="H9779" s="185"/>
    </row>
    <row r="9780">
      <c r="D9780" s="185"/>
      <c r="E9780" s="185" t="s">
        <v>470</v>
      </c>
      <c r="H9780" s="185"/>
    </row>
    <row r="9781">
      <c r="D9781" s="185"/>
      <c r="E9781" s="185" t="s">
        <v>470</v>
      </c>
      <c r="H9781" s="185"/>
    </row>
    <row r="9782">
      <c r="D9782" s="185"/>
      <c r="E9782" s="185" t="s">
        <v>470</v>
      </c>
      <c r="H9782" s="185"/>
    </row>
    <row r="9783">
      <c r="D9783" s="185"/>
      <c r="E9783" s="185" t="s">
        <v>470</v>
      </c>
      <c r="H9783" s="185"/>
    </row>
    <row r="9784">
      <c r="D9784" s="185"/>
      <c r="E9784" s="185" t="s">
        <v>470</v>
      </c>
      <c r="H9784" s="185"/>
    </row>
    <row r="9785">
      <c r="D9785" s="185"/>
      <c r="E9785" s="185" t="s">
        <v>470</v>
      </c>
      <c r="H9785" s="185"/>
    </row>
    <row r="9786">
      <c r="D9786" s="185"/>
      <c r="E9786" s="185" t="s">
        <v>470</v>
      </c>
      <c r="H9786" s="185"/>
    </row>
    <row r="9787">
      <c r="D9787" s="185"/>
      <c r="E9787" s="185" t="s">
        <v>470</v>
      </c>
      <c r="H9787" s="185"/>
    </row>
    <row r="9788">
      <c r="D9788" s="185"/>
      <c r="E9788" s="185" t="s">
        <v>470</v>
      </c>
      <c r="H9788" s="185"/>
    </row>
    <row r="9789">
      <c r="D9789" s="185"/>
      <c r="E9789" s="185" t="s">
        <v>470</v>
      </c>
      <c r="H9789" s="185"/>
    </row>
    <row r="9790">
      <c r="D9790" s="185"/>
      <c r="E9790" s="185" t="s">
        <v>470</v>
      </c>
      <c r="H9790" s="185"/>
    </row>
    <row r="9791">
      <c r="D9791" s="185"/>
      <c r="E9791" s="185" t="s">
        <v>470</v>
      </c>
      <c r="H9791" s="185"/>
    </row>
    <row r="9792">
      <c r="D9792" s="185"/>
      <c r="E9792" s="185" t="s">
        <v>470</v>
      </c>
      <c r="H9792" s="185"/>
    </row>
    <row r="9793">
      <c r="D9793" s="185"/>
      <c r="E9793" s="185" t="s">
        <v>470</v>
      </c>
      <c r="H9793" s="185"/>
    </row>
    <row r="9794">
      <c r="D9794" s="185"/>
      <c r="E9794" s="185" t="s">
        <v>470</v>
      </c>
      <c r="H9794" s="185"/>
    </row>
    <row r="9795">
      <c r="D9795" s="185"/>
      <c r="E9795" s="185" t="s">
        <v>470</v>
      </c>
      <c r="H9795" s="185"/>
    </row>
    <row r="9796">
      <c r="D9796" s="185"/>
      <c r="E9796" s="185" t="s">
        <v>470</v>
      </c>
      <c r="H9796" s="185"/>
    </row>
    <row r="9797">
      <c r="D9797" s="185"/>
      <c r="E9797" s="185" t="s">
        <v>470</v>
      </c>
      <c r="H9797" s="185"/>
    </row>
    <row r="9798">
      <c r="D9798" s="185"/>
      <c r="E9798" s="185" t="s">
        <v>470</v>
      </c>
      <c r="H9798" s="185"/>
    </row>
    <row r="9799">
      <c r="D9799" s="185"/>
      <c r="E9799" s="185" t="s">
        <v>470</v>
      </c>
      <c r="H9799" s="185"/>
    </row>
    <row r="9800">
      <c r="D9800" s="185"/>
      <c r="E9800" s="185" t="s">
        <v>470</v>
      </c>
      <c r="H9800" s="185"/>
    </row>
    <row r="9801">
      <c r="D9801" s="185"/>
      <c r="E9801" s="185" t="s">
        <v>470</v>
      </c>
      <c r="H9801" s="185"/>
    </row>
    <row r="9802">
      <c r="D9802" s="185"/>
      <c r="E9802" s="185" t="s">
        <v>470</v>
      </c>
      <c r="H9802" s="185"/>
    </row>
    <row r="9803">
      <c r="D9803" s="185"/>
      <c r="E9803" s="185" t="s">
        <v>470</v>
      </c>
      <c r="H9803" s="185"/>
    </row>
    <row r="9804">
      <c r="D9804" s="185"/>
      <c r="E9804" s="185" t="s">
        <v>470</v>
      </c>
      <c r="H9804" s="185"/>
    </row>
    <row r="9805">
      <c r="D9805" s="185"/>
      <c r="E9805" s="185" t="s">
        <v>470</v>
      </c>
      <c r="H9805" s="185"/>
    </row>
    <row r="9806">
      <c r="D9806" s="185"/>
      <c r="E9806" s="185" t="s">
        <v>470</v>
      </c>
      <c r="H9806" s="185"/>
    </row>
    <row r="9807">
      <c r="D9807" s="185"/>
      <c r="E9807" s="185" t="s">
        <v>470</v>
      </c>
      <c r="H9807" s="185"/>
    </row>
    <row r="9808">
      <c r="D9808" s="185"/>
      <c r="E9808" s="185" t="s">
        <v>470</v>
      </c>
      <c r="H9808" s="185"/>
    </row>
    <row r="9809">
      <c r="D9809" s="185"/>
      <c r="E9809" s="185" t="s">
        <v>470</v>
      </c>
      <c r="H9809" s="185"/>
    </row>
    <row r="9810">
      <c r="D9810" s="185"/>
      <c r="E9810" s="185" t="s">
        <v>470</v>
      </c>
      <c r="H9810" s="185"/>
    </row>
    <row r="9811">
      <c r="D9811" s="185"/>
      <c r="E9811" s="185" t="s">
        <v>470</v>
      </c>
      <c r="H9811" s="185"/>
    </row>
    <row r="9812">
      <c r="D9812" s="185"/>
      <c r="E9812" s="185" t="s">
        <v>470</v>
      </c>
      <c r="H9812" s="185"/>
    </row>
    <row r="9813">
      <c r="D9813" s="185"/>
      <c r="E9813" s="185" t="s">
        <v>470</v>
      </c>
      <c r="H9813" s="185"/>
    </row>
    <row r="9814">
      <c r="D9814" s="185"/>
      <c r="E9814" s="185" t="s">
        <v>470</v>
      </c>
      <c r="H9814" s="185"/>
    </row>
    <row r="9815">
      <c r="D9815" s="185"/>
      <c r="E9815" s="185" t="s">
        <v>470</v>
      </c>
      <c r="H9815" s="185"/>
    </row>
    <row r="9816">
      <c r="D9816" s="185"/>
      <c r="E9816" s="185" t="s">
        <v>470</v>
      </c>
      <c r="H9816" s="185"/>
    </row>
    <row r="9817">
      <c r="D9817" s="185"/>
      <c r="E9817" s="185" t="s">
        <v>470</v>
      </c>
      <c r="H9817" s="185"/>
    </row>
    <row r="9818">
      <c r="D9818" s="185"/>
      <c r="E9818" s="185" t="s">
        <v>470</v>
      </c>
      <c r="H9818" s="185"/>
    </row>
    <row r="9819">
      <c r="D9819" s="185"/>
      <c r="E9819" s="185" t="s">
        <v>470</v>
      </c>
      <c r="H9819" s="185"/>
    </row>
    <row r="9820">
      <c r="D9820" s="185"/>
      <c r="E9820" s="185" t="s">
        <v>470</v>
      </c>
      <c r="H9820" s="185"/>
    </row>
    <row r="9821">
      <c r="D9821" s="185"/>
      <c r="E9821" s="185" t="s">
        <v>470</v>
      </c>
      <c r="H9821" s="185"/>
    </row>
    <row r="9822">
      <c r="D9822" s="185"/>
      <c r="E9822" s="185" t="s">
        <v>470</v>
      </c>
      <c r="H9822" s="185"/>
    </row>
    <row r="9823">
      <c r="D9823" s="185"/>
      <c r="E9823" s="185" t="s">
        <v>470</v>
      </c>
      <c r="H9823" s="185"/>
    </row>
    <row r="9824">
      <c r="D9824" s="185"/>
      <c r="E9824" s="185" t="s">
        <v>470</v>
      </c>
      <c r="H9824" s="185"/>
    </row>
    <row r="9825">
      <c r="D9825" s="185"/>
      <c r="E9825" s="185" t="s">
        <v>470</v>
      </c>
      <c r="H9825" s="185"/>
    </row>
    <row r="9826">
      <c r="D9826" s="185"/>
      <c r="E9826" s="185" t="s">
        <v>470</v>
      </c>
      <c r="H9826" s="185"/>
    </row>
    <row r="9827">
      <c r="D9827" s="185"/>
      <c r="E9827" s="185" t="s">
        <v>470</v>
      </c>
      <c r="H9827" s="185"/>
    </row>
    <row r="9828">
      <c r="D9828" s="185"/>
      <c r="E9828" s="185" t="s">
        <v>470</v>
      </c>
      <c r="H9828" s="185"/>
    </row>
    <row r="9829">
      <c r="D9829" s="185"/>
      <c r="E9829" s="185" t="s">
        <v>470</v>
      </c>
      <c r="H9829" s="185"/>
    </row>
    <row r="9830">
      <c r="D9830" s="185"/>
      <c r="E9830" s="185" t="s">
        <v>470</v>
      </c>
      <c r="H9830" s="185"/>
    </row>
    <row r="9831">
      <c r="D9831" s="185"/>
      <c r="E9831" s="185" t="s">
        <v>470</v>
      </c>
      <c r="H9831" s="185"/>
    </row>
    <row r="9832">
      <c r="D9832" s="185"/>
      <c r="E9832" s="185" t="s">
        <v>470</v>
      </c>
      <c r="H9832" s="185"/>
    </row>
    <row r="9833">
      <c r="D9833" s="185"/>
      <c r="E9833" s="185" t="s">
        <v>470</v>
      </c>
      <c r="H9833" s="185"/>
    </row>
    <row r="9834">
      <c r="D9834" s="185"/>
      <c r="E9834" s="185" t="s">
        <v>470</v>
      </c>
      <c r="H9834" s="185"/>
    </row>
    <row r="9835">
      <c r="D9835" s="185"/>
      <c r="E9835" s="185" t="s">
        <v>470</v>
      </c>
      <c r="H9835" s="185"/>
    </row>
    <row r="9836">
      <c r="D9836" s="185"/>
      <c r="E9836" s="185" t="s">
        <v>470</v>
      </c>
      <c r="H9836" s="185"/>
    </row>
    <row r="9837">
      <c r="D9837" s="185"/>
      <c r="E9837" s="185" t="s">
        <v>470</v>
      </c>
      <c r="H9837" s="185"/>
    </row>
    <row r="9838">
      <c r="D9838" s="185"/>
      <c r="E9838" s="185" t="s">
        <v>470</v>
      </c>
      <c r="H9838" s="185"/>
    </row>
    <row r="9839">
      <c r="D9839" s="185"/>
      <c r="E9839" s="185" t="s">
        <v>470</v>
      </c>
      <c r="H9839" s="185"/>
    </row>
    <row r="9840">
      <c r="D9840" s="185"/>
      <c r="E9840" s="185" t="s">
        <v>470</v>
      </c>
      <c r="H9840" s="185"/>
    </row>
    <row r="9841">
      <c r="D9841" s="185"/>
      <c r="E9841" s="185" t="s">
        <v>470</v>
      </c>
      <c r="H9841" s="185"/>
    </row>
    <row r="9842">
      <c r="D9842" s="185"/>
      <c r="E9842" s="185" t="s">
        <v>470</v>
      </c>
      <c r="H9842" s="185"/>
    </row>
    <row r="9843">
      <c r="D9843" s="185"/>
      <c r="E9843" s="185" t="s">
        <v>470</v>
      </c>
      <c r="H9843" s="185"/>
    </row>
    <row r="9844">
      <c r="D9844" s="185"/>
      <c r="E9844" s="185" t="s">
        <v>470</v>
      </c>
      <c r="H9844" s="185"/>
    </row>
    <row r="9845">
      <c r="D9845" s="185"/>
      <c r="E9845" s="185" t="s">
        <v>470</v>
      </c>
      <c r="H9845" s="185"/>
    </row>
    <row r="9846">
      <c r="D9846" s="185"/>
      <c r="E9846" s="185" t="s">
        <v>470</v>
      </c>
      <c r="H9846" s="185"/>
    </row>
    <row r="9847">
      <c r="D9847" s="185"/>
      <c r="E9847" s="185" t="s">
        <v>470</v>
      </c>
      <c r="H9847" s="185"/>
    </row>
    <row r="9848">
      <c r="D9848" s="185"/>
      <c r="E9848" s="185" t="s">
        <v>470</v>
      </c>
      <c r="H9848" s="185"/>
    </row>
    <row r="9849">
      <c r="D9849" s="185"/>
      <c r="E9849" s="185" t="s">
        <v>470</v>
      </c>
      <c r="H9849" s="185"/>
    </row>
    <row r="9850">
      <c r="D9850" s="185"/>
      <c r="E9850" s="185" t="s">
        <v>470</v>
      </c>
      <c r="H9850" s="185"/>
    </row>
    <row r="9851">
      <c r="D9851" s="185"/>
      <c r="E9851" s="185" t="s">
        <v>470</v>
      </c>
      <c r="H9851" s="185"/>
    </row>
    <row r="9852">
      <c r="D9852" s="185"/>
      <c r="E9852" s="185" t="s">
        <v>470</v>
      </c>
      <c r="H9852" s="185"/>
    </row>
    <row r="9853">
      <c r="D9853" s="185"/>
      <c r="E9853" s="185" t="s">
        <v>470</v>
      </c>
      <c r="H9853" s="185"/>
    </row>
    <row r="9854">
      <c r="D9854" s="185"/>
      <c r="E9854" s="185" t="s">
        <v>470</v>
      </c>
      <c r="H9854" s="185"/>
    </row>
    <row r="9855">
      <c r="D9855" s="185"/>
      <c r="E9855" s="185" t="s">
        <v>470</v>
      </c>
      <c r="H9855" s="185"/>
    </row>
    <row r="9856">
      <c r="D9856" s="185"/>
      <c r="E9856" s="185" t="s">
        <v>470</v>
      </c>
      <c r="H9856" s="185"/>
    </row>
    <row r="9857">
      <c r="D9857" s="185"/>
      <c r="E9857" s="185" t="s">
        <v>470</v>
      </c>
      <c r="H9857" s="185"/>
    </row>
    <row r="9858">
      <c r="D9858" s="185"/>
      <c r="E9858" s="185" t="s">
        <v>470</v>
      </c>
      <c r="H9858" s="185"/>
    </row>
    <row r="9859">
      <c r="D9859" s="185"/>
      <c r="E9859" s="185" t="s">
        <v>470</v>
      </c>
      <c r="H9859" s="185"/>
    </row>
    <row r="9860">
      <c r="D9860" s="185"/>
      <c r="E9860" s="185" t="s">
        <v>470</v>
      </c>
      <c r="H9860" s="185"/>
    </row>
    <row r="9861">
      <c r="D9861" s="185"/>
      <c r="E9861" s="185" t="s">
        <v>470</v>
      </c>
      <c r="H9861" s="185"/>
    </row>
    <row r="9862">
      <c r="D9862" s="185"/>
      <c r="E9862" s="185" t="s">
        <v>470</v>
      </c>
      <c r="H9862" s="185"/>
    </row>
    <row r="9863">
      <c r="D9863" s="185"/>
      <c r="E9863" s="185" t="s">
        <v>470</v>
      </c>
      <c r="H9863" s="185"/>
    </row>
    <row r="9864">
      <c r="D9864" s="185"/>
      <c r="E9864" s="185" t="s">
        <v>470</v>
      </c>
      <c r="H9864" s="185"/>
    </row>
    <row r="9865">
      <c r="D9865" s="185"/>
      <c r="E9865" s="185" t="s">
        <v>470</v>
      </c>
      <c r="H9865" s="185"/>
    </row>
    <row r="9866">
      <c r="D9866" s="185"/>
      <c r="E9866" s="185" t="s">
        <v>470</v>
      </c>
      <c r="H9866" s="185"/>
    </row>
    <row r="9867">
      <c r="D9867" s="185"/>
      <c r="E9867" s="185" t="s">
        <v>470</v>
      </c>
      <c r="H9867" s="185"/>
    </row>
    <row r="9868">
      <c r="D9868" s="185"/>
      <c r="E9868" s="185" t="s">
        <v>470</v>
      </c>
      <c r="H9868" s="185"/>
    </row>
    <row r="9869">
      <c r="D9869" s="185"/>
      <c r="E9869" s="185" t="s">
        <v>470</v>
      </c>
      <c r="H9869" s="185"/>
    </row>
    <row r="9870">
      <c r="D9870" s="185"/>
      <c r="E9870" s="185" t="s">
        <v>470</v>
      </c>
      <c r="H9870" s="185"/>
    </row>
    <row r="9871">
      <c r="D9871" s="185"/>
      <c r="E9871" s="185" t="s">
        <v>470</v>
      </c>
      <c r="H9871" s="185"/>
    </row>
    <row r="9872">
      <c r="D9872" s="185"/>
      <c r="E9872" s="185" t="s">
        <v>470</v>
      </c>
      <c r="H9872" s="185"/>
    </row>
    <row r="9873">
      <c r="D9873" s="185"/>
      <c r="E9873" s="185" t="s">
        <v>470</v>
      </c>
      <c r="H9873" s="185"/>
    </row>
    <row r="9874">
      <c r="D9874" s="185"/>
      <c r="E9874" s="185" t="s">
        <v>470</v>
      </c>
      <c r="H9874" s="185"/>
    </row>
    <row r="9875">
      <c r="D9875" s="185"/>
      <c r="E9875" s="185" t="s">
        <v>470</v>
      </c>
      <c r="H9875" s="185"/>
    </row>
    <row r="9876">
      <c r="D9876" s="185"/>
      <c r="E9876" s="185" t="s">
        <v>470</v>
      </c>
      <c r="H9876" s="185"/>
    </row>
    <row r="9877">
      <c r="D9877" s="185"/>
      <c r="E9877" s="185" t="s">
        <v>470</v>
      </c>
      <c r="H9877" s="185"/>
    </row>
    <row r="9878">
      <c r="D9878" s="185"/>
      <c r="E9878" s="185" t="s">
        <v>470</v>
      </c>
      <c r="H9878" s="185"/>
    </row>
    <row r="9879">
      <c r="D9879" s="185"/>
      <c r="E9879" s="185" t="s">
        <v>470</v>
      </c>
      <c r="H9879" s="185"/>
    </row>
    <row r="9880">
      <c r="D9880" s="185"/>
      <c r="E9880" s="185" t="s">
        <v>470</v>
      </c>
      <c r="H9880" s="185"/>
    </row>
    <row r="9881">
      <c r="D9881" s="185"/>
      <c r="E9881" s="185" t="s">
        <v>470</v>
      </c>
      <c r="H9881" s="185"/>
    </row>
    <row r="9882">
      <c r="D9882" s="185"/>
      <c r="E9882" s="185" t="s">
        <v>470</v>
      </c>
      <c r="H9882" s="185"/>
    </row>
    <row r="9883">
      <c r="D9883" s="185"/>
      <c r="E9883" s="185" t="s">
        <v>470</v>
      </c>
      <c r="H9883" s="185"/>
    </row>
    <row r="9884">
      <c r="D9884" s="185"/>
      <c r="E9884" s="185" t="s">
        <v>470</v>
      </c>
      <c r="H9884" s="185"/>
    </row>
    <row r="9885">
      <c r="D9885" s="185"/>
      <c r="E9885" s="185" t="s">
        <v>470</v>
      </c>
      <c r="H9885" s="185"/>
    </row>
    <row r="9886">
      <c r="D9886" s="185"/>
      <c r="E9886" s="185" t="s">
        <v>470</v>
      </c>
      <c r="H9886" s="185"/>
    </row>
    <row r="9887">
      <c r="D9887" s="185"/>
      <c r="E9887" s="185" t="s">
        <v>470</v>
      </c>
      <c r="H9887" s="185"/>
    </row>
    <row r="9888">
      <c r="D9888" s="185"/>
      <c r="E9888" s="185" t="s">
        <v>470</v>
      </c>
      <c r="H9888" s="185"/>
    </row>
    <row r="9889">
      <c r="D9889" s="185"/>
      <c r="E9889" s="185" t="s">
        <v>470</v>
      </c>
      <c r="H9889" s="185"/>
    </row>
    <row r="9890">
      <c r="D9890" s="185"/>
      <c r="E9890" s="185" t="s">
        <v>470</v>
      </c>
      <c r="H9890" s="185"/>
    </row>
    <row r="9891">
      <c r="D9891" s="185"/>
      <c r="E9891" s="185" t="s">
        <v>470</v>
      </c>
      <c r="H9891" s="185"/>
    </row>
    <row r="9892">
      <c r="D9892" s="185"/>
      <c r="E9892" s="185" t="s">
        <v>470</v>
      </c>
      <c r="H9892" s="185"/>
    </row>
    <row r="9893">
      <c r="D9893" s="185"/>
      <c r="E9893" s="185" t="s">
        <v>470</v>
      </c>
      <c r="H9893" s="185"/>
    </row>
    <row r="9894">
      <c r="D9894" s="185"/>
      <c r="E9894" s="185" t="s">
        <v>470</v>
      </c>
      <c r="H9894" s="185"/>
    </row>
    <row r="9895">
      <c r="D9895" s="185"/>
      <c r="E9895" s="185" t="s">
        <v>470</v>
      </c>
      <c r="H9895" s="185"/>
    </row>
    <row r="9896">
      <c r="D9896" s="185"/>
      <c r="E9896" s="185" t="s">
        <v>470</v>
      </c>
      <c r="H9896" s="185"/>
    </row>
    <row r="9897">
      <c r="D9897" s="185"/>
      <c r="E9897" s="185" t="s">
        <v>470</v>
      </c>
      <c r="H9897" s="185"/>
    </row>
    <row r="9898">
      <c r="D9898" s="185"/>
      <c r="E9898" s="185" t="s">
        <v>470</v>
      </c>
      <c r="H9898" s="185"/>
    </row>
    <row r="9899">
      <c r="D9899" s="185"/>
      <c r="E9899" s="185" t="s">
        <v>470</v>
      </c>
      <c r="H9899" s="185"/>
    </row>
    <row r="9900">
      <c r="D9900" s="185"/>
      <c r="E9900" s="185" t="s">
        <v>470</v>
      </c>
      <c r="H9900" s="185"/>
    </row>
    <row r="9901">
      <c r="D9901" s="185"/>
      <c r="E9901" s="185" t="s">
        <v>470</v>
      </c>
      <c r="H9901" s="185"/>
    </row>
    <row r="9902">
      <c r="D9902" s="185"/>
      <c r="E9902" s="185" t="s">
        <v>470</v>
      </c>
      <c r="H9902" s="185"/>
    </row>
    <row r="9903">
      <c r="D9903" s="185"/>
      <c r="E9903" s="185" t="s">
        <v>470</v>
      </c>
      <c r="H9903" s="185"/>
    </row>
    <row r="9904">
      <c r="D9904" s="185"/>
      <c r="E9904" s="185" t="s">
        <v>470</v>
      </c>
      <c r="H9904" s="185"/>
    </row>
    <row r="9905">
      <c r="D9905" s="185"/>
      <c r="E9905" s="185" t="s">
        <v>470</v>
      </c>
      <c r="H9905" s="185"/>
    </row>
    <row r="9906">
      <c r="D9906" s="185"/>
      <c r="E9906" s="185" t="s">
        <v>470</v>
      </c>
      <c r="H9906" s="185"/>
    </row>
    <row r="9907">
      <c r="D9907" s="185"/>
      <c r="E9907" s="185" t="s">
        <v>470</v>
      </c>
      <c r="H9907" s="185"/>
    </row>
    <row r="9908">
      <c r="D9908" s="185"/>
      <c r="E9908" s="185" t="s">
        <v>470</v>
      </c>
      <c r="H9908" s="185"/>
    </row>
    <row r="9909">
      <c r="D9909" s="185"/>
      <c r="E9909" s="185" t="s">
        <v>470</v>
      </c>
      <c r="H9909" s="185"/>
    </row>
    <row r="9910">
      <c r="D9910" s="185"/>
      <c r="E9910" s="185" t="s">
        <v>470</v>
      </c>
      <c r="H9910" s="185"/>
    </row>
    <row r="9911">
      <c r="D9911" s="185"/>
      <c r="E9911" s="185" t="s">
        <v>470</v>
      </c>
      <c r="H9911" s="185"/>
    </row>
    <row r="9912">
      <c r="D9912" s="185"/>
      <c r="E9912" s="185" t="s">
        <v>470</v>
      </c>
      <c r="H9912" s="185"/>
    </row>
    <row r="9913">
      <c r="D9913" s="185"/>
      <c r="E9913" s="185" t="s">
        <v>470</v>
      </c>
      <c r="H9913" s="185"/>
    </row>
    <row r="9914">
      <c r="D9914" s="185"/>
      <c r="E9914" s="185" t="s">
        <v>470</v>
      </c>
      <c r="H9914" s="185"/>
    </row>
    <row r="9915">
      <c r="D9915" s="185"/>
      <c r="E9915" s="185" t="s">
        <v>470</v>
      </c>
      <c r="H9915" s="185"/>
    </row>
    <row r="9916">
      <c r="D9916" s="185"/>
      <c r="E9916" s="185" t="s">
        <v>470</v>
      </c>
      <c r="H9916" s="185"/>
    </row>
    <row r="9917">
      <c r="D9917" s="185"/>
      <c r="E9917" s="185" t="s">
        <v>470</v>
      </c>
      <c r="H9917" s="185"/>
    </row>
    <row r="9918">
      <c r="D9918" s="185"/>
      <c r="E9918" s="185" t="s">
        <v>470</v>
      </c>
      <c r="H9918" s="185"/>
    </row>
    <row r="9919">
      <c r="D9919" s="185"/>
      <c r="E9919" s="185" t="s">
        <v>470</v>
      </c>
      <c r="H9919" s="185"/>
    </row>
    <row r="9920">
      <c r="D9920" s="185"/>
      <c r="E9920" s="185" t="s">
        <v>470</v>
      </c>
      <c r="H9920" s="185"/>
    </row>
    <row r="9921">
      <c r="D9921" s="185"/>
      <c r="E9921" s="185" t="s">
        <v>470</v>
      </c>
      <c r="H9921" s="185"/>
    </row>
    <row r="9922">
      <c r="D9922" s="185"/>
      <c r="E9922" s="185" t="s">
        <v>470</v>
      </c>
      <c r="H9922" s="185"/>
    </row>
    <row r="9923">
      <c r="D9923" s="185"/>
      <c r="E9923" s="185" t="s">
        <v>470</v>
      </c>
      <c r="H9923" s="185"/>
    </row>
    <row r="9924">
      <c r="D9924" s="185"/>
      <c r="E9924" s="185" t="s">
        <v>470</v>
      </c>
      <c r="H9924" s="185"/>
    </row>
    <row r="9925">
      <c r="D9925" s="185"/>
      <c r="E9925" s="185" t="s">
        <v>470</v>
      </c>
      <c r="H9925" s="185"/>
    </row>
    <row r="9926">
      <c r="D9926" s="185"/>
      <c r="E9926" s="185" t="s">
        <v>470</v>
      </c>
      <c r="H9926" s="185"/>
    </row>
    <row r="9927">
      <c r="D9927" s="185"/>
      <c r="E9927" s="185" t="s">
        <v>470</v>
      </c>
      <c r="H9927" s="185"/>
    </row>
    <row r="9928">
      <c r="D9928" s="185"/>
      <c r="E9928" s="185" t="s">
        <v>470</v>
      </c>
      <c r="H9928" s="185"/>
    </row>
    <row r="9929">
      <c r="D9929" s="185"/>
      <c r="E9929" s="185" t="s">
        <v>470</v>
      </c>
      <c r="H9929" s="185"/>
    </row>
    <row r="9930">
      <c r="D9930" s="185"/>
      <c r="E9930" s="185" t="s">
        <v>470</v>
      </c>
      <c r="H9930" s="185"/>
    </row>
    <row r="9931">
      <c r="D9931" s="185"/>
      <c r="E9931" s="185" t="s">
        <v>470</v>
      </c>
      <c r="H9931" s="185"/>
    </row>
    <row r="9932">
      <c r="D9932" s="185"/>
      <c r="E9932" s="185" t="s">
        <v>470</v>
      </c>
      <c r="H9932" s="185"/>
    </row>
    <row r="9933">
      <c r="D9933" s="185"/>
      <c r="E9933" s="185" t="s">
        <v>470</v>
      </c>
      <c r="H9933" s="185"/>
    </row>
    <row r="9934">
      <c r="D9934" s="185"/>
      <c r="E9934" s="185" t="s">
        <v>470</v>
      </c>
      <c r="H9934" s="185"/>
    </row>
    <row r="9935">
      <c r="D9935" s="185"/>
      <c r="E9935" s="185" t="s">
        <v>470</v>
      </c>
      <c r="H9935" s="185"/>
    </row>
    <row r="9936">
      <c r="D9936" s="185"/>
      <c r="E9936" s="185" t="s">
        <v>470</v>
      </c>
      <c r="H9936" s="185"/>
    </row>
    <row r="9937">
      <c r="D9937" s="185"/>
      <c r="E9937" s="185" t="s">
        <v>470</v>
      </c>
      <c r="H9937" s="185"/>
    </row>
    <row r="9938">
      <c r="D9938" s="185"/>
      <c r="E9938" s="185" t="s">
        <v>470</v>
      </c>
      <c r="H9938" s="185"/>
    </row>
    <row r="9939">
      <c r="D9939" s="185"/>
      <c r="E9939" s="185" t="s">
        <v>470</v>
      </c>
      <c r="H9939" s="185"/>
    </row>
    <row r="9940">
      <c r="D9940" s="185"/>
      <c r="E9940" s="185" t="s">
        <v>470</v>
      </c>
      <c r="H9940" s="185"/>
    </row>
    <row r="9941">
      <c r="D9941" s="185"/>
      <c r="E9941" s="185" t="s">
        <v>470</v>
      </c>
      <c r="H9941" s="185"/>
    </row>
    <row r="9942">
      <c r="D9942" s="185"/>
      <c r="E9942" s="185" t="s">
        <v>470</v>
      </c>
      <c r="H9942" s="185"/>
    </row>
    <row r="9943">
      <c r="D9943" s="185"/>
      <c r="E9943" s="185" t="s">
        <v>470</v>
      </c>
      <c r="H9943" s="185"/>
    </row>
    <row r="9944">
      <c r="D9944" s="185"/>
      <c r="E9944" s="185" t="s">
        <v>470</v>
      </c>
      <c r="H9944" s="185"/>
    </row>
    <row r="9945">
      <c r="D9945" s="185"/>
      <c r="E9945" s="185" t="s">
        <v>470</v>
      </c>
      <c r="H9945" s="185"/>
    </row>
    <row r="9946">
      <c r="D9946" s="185"/>
      <c r="E9946" s="185" t="s">
        <v>470</v>
      </c>
      <c r="H9946" s="185"/>
    </row>
    <row r="9947">
      <c r="D9947" s="185"/>
      <c r="E9947" s="185" t="s">
        <v>470</v>
      </c>
      <c r="H9947" s="185"/>
    </row>
    <row r="9948">
      <c r="D9948" s="185"/>
      <c r="E9948" s="185" t="s">
        <v>470</v>
      </c>
      <c r="H9948" s="185"/>
    </row>
    <row r="9949">
      <c r="D9949" s="185"/>
      <c r="E9949" s="185" t="s">
        <v>470</v>
      </c>
      <c r="H9949" s="185"/>
    </row>
    <row r="9950">
      <c r="D9950" s="185"/>
      <c r="E9950" s="185" t="s">
        <v>470</v>
      </c>
      <c r="H9950" s="185"/>
    </row>
    <row r="9951">
      <c r="D9951" s="185"/>
      <c r="E9951" s="185" t="s">
        <v>470</v>
      </c>
      <c r="H9951" s="185"/>
    </row>
    <row r="9952">
      <c r="D9952" s="185"/>
      <c r="E9952" s="185" t="s">
        <v>470</v>
      </c>
      <c r="H9952" s="185"/>
    </row>
    <row r="9953">
      <c r="D9953" s="185"/>
      <c r="E9953" s="185" t="s">
        <v>470</v>
      </c>
      <c r="H9953" s="185"/>
    </row>
    <row r="9954">
      <c r="D9954" s="185"/>
      <c r="E9954" s="185" t="s">
        <v>470</v>
      </c>
      <c r="H9954" s="185"/>
    </row>
    <row r="9955">
      <c r="D9955" s="185"/>
      <c r="E9955" s="185" t="s">
        <v>470</v>
      </c>
      <c r="H9955" s="185"/>
    </row>
    <row r="9956">
      <c r="D9956" s="185"/>
      <c r="E9956" s="185" t="s">
        <v>470</v>
      </c>
      <c r="H9956" s="185"/>
    </row>
    <row r="9957">
      <c r="D9957" s="185"/>
      <c r="E9957" s="185" t="s">
        <v>470</v>
      </c>
      <c r="H9957" s="185"/>
    </row>
    <row r="9958">
      <c r="D9958" s="185"/>
      <c r="E9958" s="185" t="s">
        <v>470</v>
      </c>
      <c r="H9958" s="185"/>
    </row>
    <row r="9959">
      <c r="D9959" s="185"/>
      <c r="E9959" s="185" t="s">
        <v>470</v>
      </c>
      <c r="H9959" s="185"/>
    </row>
    <row r="9960">
      <c r="D9960" s="185"/>
      <c r="E9960" s="185" t="s">
        <v>470</v>
      </c>
      <c r="H9960" s="185"/>
    </row>
    <row r="9961">
      <c r="D9961" s="185"/>
      <c r="E9961" s="185" t="s">
        <v>470</v>
      </c>
      <c r="H9961" s="185"/>
    </row>
    <row r="9962">
      <c r="D9962" s="185"/>
      <c r="E9962" s="185" t="s">
        <v>470</v>
      </c>
      <c r="H9962" s="185"/>
    </row>
    <row r="9963">
      <c r="D9963" s="185"/>
      <c r="E9963" s="185" t="s">
        <v>470</v>
      </c>
      <c r="H9963" s="185"/>
    </row>
    <row r="9964">
      <c r="D9964" s="185"/>
      <c r="E9964" s="185" t="s">
        <v>470</v>
      </c>
      <c r="H9964" s="185"/>
    </row>
    <row r="9965">
      <c r="D9965" s="185"/>
      <c r="E9965" s="185" t="s">
        <v>470</v>
      </c>
      <c r="H9965" s="185"/>
    </row>
    <row r="9966">
      <c r="D9966" s="185"/>
      <c r="E9966" s="185" t="s">
        <v>470</v>
      </c>
      <c r="H9966" s="185"/>
    </row>
    <row r="9967">
      <c r="D9967" s="185"/>
      <c r="E9967" s="185" t="s">
        <v>470</v>
      </c>
      <c r="H9967" s="185"/>
    </row>
    <row r="9968">
      <c r="D9968" s="185"/>
      <c r="E9968" s="185" t="s">
        <v>470</v>
      </c>
      <c r="H9968" s="185"/>
    </row>
    <row r="9969">
      <c r="D9969" s="185"/>
      <c r="E9969" s="185" t="s">
        <v>470</v>
      </c>
      <c r="H9969" s="185"/>
    </row>
    <row r="9970">
      <c r="D9970" s="185"/>
      <c r="E9970" s="185" t="s">
        <v>470</v>
      </c>
      <c r="H9970" s="185"/>
    </row>
    <row r="9971">
      <c r="D9971" s="185"/>
      <c r="E9971" s="185" t="s">
        <v>470</v>
      </c>
      <c r="H9971" s="185"/>
    </row>
    <row r="9972">
      <c r="D9972" s="185"/>
      <c r="E9972" s="185" t="s">
        <v>470</v>
      </c>
      <c r="H9972" s="185"/>
    </row>
    <row r="9973">
      <c r="D9973" s="185"/>
      <c r="E9973" s="185" t="s">
        <v>470</v>
      </c>
      <c r="H9973" s="185"/>
    </row>
    <row r="9974">
      <c r="D9974" s="185"/>
      <c r="E9974" s="185" t="s">
        <v>470</v>
      </c>
      <c r="H9974" s="185"/>
    </row>
    <row r="9975">
      <c r="D9975" s="185"/>
      <c r="E9975" s="185" t="s">
        <v>470</v>
      </c>
      <c r="H9975" s="185"/>
    </row>
    <row r="9976">
      <c r="D9976" s="185"/>
      <c r="E9976" s="185" t="s">
        <v>470</v>
      </c>
      <c r="H9976" s="185"/>
    </row>
    <row r="9977">
      <c r="D9977" s="185"/>
      <c r="E9977" s="185" t="s">
        <v>470</v>
      </c>
      <c r="H9977" s="185"/>
    </row>
    <row r="9978">
      <c r="D9978" s="185"/>
      <c r="E9978" s="185" t="s">
        <v>470</v>
      </c>
      <c r="H9978" s="185"/>
    </row>
    <row r="9979">
      <c r="D9979" s="185"/>
      <c r="E9979" s="185" t="s">
        <v>470</v>
      </c>
      <c r="H9979" s="185"/>
    </row>
    <row r="9980">
      <c r="D9980" s="185"/>
      <c r="E9980" s="185" t="s">
        <v>470</v>
      </c>
      <c r="H9980" s="185"/>
    </row>
    <row r="9981">
      <c r="D9981" s="185"/>
      <c r="E9981" s="185" t="s">
        <v>470</v>
      </c>
      <c r="H9981" s="185"/>
    </row>
    <row r="9982">
      <c r="D9982" s="185"/>
      <c r="E9982" s="185" t="s">
        <v>470</v>
      </c>
      <c r="H9982" s="185"/>
    </row>
    <row r="9983">
      <c r="D9983" s="185"/>
      <c r="E9983" s="185" t="s">
        <v>470</v>
      </c>
      <c r="H9983" s="185"/>
    </row>
    <row r="9984">
      <c r="D9984" s="185"/>
      <c r="E9984" s="185" t="s">
        <v>470</v>
      </c>
      <c r="H9984" s="185"/>
    </row>
    <row r="9985">
      <c r="D9985" s="185"/>
      <c r="E9985" s="185" t="s">
        <v>470</v>
      </c>
      <c r="H9985" s="185"/>
    </row>
    <row r="9986">
      <c r="D9986" s="185"/>
      <c r="E9986" s="185" t="s">
        <v>470</v>
      </c>
      <c r="H9986" s="185"/>
    </row>
    <row r="9987">
      <c r="D9987" s="185"/>
      <c r="E9987" s="185" t="s">
        <v>470</v>
      </c>
      <c r="H9987" s="185"/>
    </row>
    <row r="9988">
      <c r="D9988" s="185"/>
      <c r="E9988" s="185" t="s">
        <v>470</v>
      </c>
      <c r="H9988" s="185"/>
    </row>
    <row r="9989">
      <c r="D9989" s="185"/>
      <c r="E9989" s="185" t="s">
        <v>470</v>
      </c>
      <c r="H9989" s="185"/>
    </row>
    <row r="9990">
      <c r="D9990" s="185"/>
      <c r="E9990" s="185" t="s">
        <v>470</v>
      </c>
      <c r="H9990" s="185"/>
    </row>
    <row r="9991">
      <c r="D9991" s="185"/>
      <c r="E9991" s="185" t="s">
        <v>470</v>
      </c>
      <c r="H9991" s="185"/>
    </row>
    <row r="9992">
      <c r="D9992" s="185"/>
      <c r="E9992" s="185" t="s">
        <v>470</v>
      </c>
      <c r="H9992" s="185"/>
    </row>
    <row r="9993">
      <c r="D9993" s="185"/>
      <c r="E9993" s="185" t="s">
        <v>470</v>
      </c>
      <c r="H9993" s="185"/>
    </row>
    <row r="9994">
      <c r="D9994" s="185"/>
      <c r="E9994" s="185" t="s">
        <v>470</v>
      </c>
      <c r="H9994" s="185"/>
    </row>
    <row r="9995">
      <c r="D9995" s="185"/>
      <c r="E9995" s="185" t="s">
        <v>470</v>
      </c>
      <c r="H9995" s="185"/>
    </row>
    <row r="9996">
      <c r="D9996" s="185"/>
      <c r="E9996" s="185" t="s">
        <v>470</v>
      </c>
      <c r="H9996" s="185"/>
    </row>
    <row r="9997">
      <c r="D9997" s="185"/>
      <c r="E9997" s="185" t="s">
        <v>470</v>
      </c>
      <c r="H9997" s="185"/>
    </row>
    <row r="9998">
      <c r="D9998" s="185"/>
      <c r="E9998" s="185" t="s">
        <v>470</v>
      </c>
      <c r="H9998" s="185"/>
    </row>
    <row r="9999">
      <c r="D9999" s="185"/>
      <c r="E9999" s="185" t="s">
        <v>470</v>
      </c>
      <c r="H9999" s="185"/>
    </row>
    <row r="10000">
      <c r="D10000" s="185"/>
      <c r="E10000" s="185" t="s">
        <v>470</v>
      </c>
      <c r="H10000" s="185"/>
    </row>
    <row r="10001">
      <c r="D10001" s="185"/>
      <c r="E10001" s="185" t="s">
        <v>470</v>
      </c>
      <c r="H10001" s="185"/>
    </row>
    <row r="10002">
      <c r="D10002" s="185"/>
      <c r="E10002" s="185" t="s">
        <v>470</v>
      </c>
      <c r="H10002" s="185"/>
    </row>
    <row r="10003">
      <c r="D10003" s="185"/>
      <c r="E10003" s="185" t="s">
        <v>470</v>
      </c>
      <c r="H10003" s="185"/>
    </row>
    <row r="10004">
      <c r="D10004" s="185"/>
      <c r="E10004" s="185" t="s">
        <v>470</v>
      </c>
      <c r="H10004" s="185"/>
    </row>
    <row r="10005">
      <c r="D10005" s="185"/>
      <c r="E10005" s="185" t="s">
        <v>470</v>
      </c>
      <c r="H10005" s="185"/>
    </row>
    <row r="10006">
      <c r="D10006" s="185"/>
      <c r="E10006" s="185" t="s">
        <v>470</v>
      </c>
      <c r="H10006" s="185"/>
    </row>
    <row r="10007">
      <c r="D10007" s="185"/>
      <c r="E10007" s="185" t="s">
        <v>470</v>
      </c>
      <c r="H10007" s="185"/>
    </row>
    <row r="10008">
      <c r="D10008" s="185"/>
      <c r="E10008" s="185" t="s">
        <v>470</v>
      </c>
      <c r="H10008" s="185"/>
    </row>
    <row r="10009">
      <c r="D10009" s="185"/>
      <c r="E10009" s="185" t="s">
        <v>470</v>
      </c>
      <c r="H10009" s="185"/>
    </row>
    <row r="10010">
      <c r="D10010" s="185"/>
      <c r="E10010" s="185" t="s">
        <v>470</v>
      </c>
      <c r="H10010" s="185"/>
    </row>
    <row r="10011">
      <c r="D10011" s="185"/>
      <c r="E10011" s="185" t="s">
        <v>470</v>
      </c>
      <c r="H10011" s="185"/>
    </row>
    <row r="10012">
      <c r="D10012" s="185"/>
      <c r="E10012" s="185" t="s">
        <v>470</v>
      </c>
      <c r="H10012" s="185"/>
    </row>
    <row r="10013">
      <c r="D10013" s="185"/>
      <c r="E10013" s="185" t="s">
        <v>470</v>
      </c>
      <c r="H10013" s="185"/>
    </row>
    <row r="10014">
      <c r="D10014" s="185"/>
      <c r="E10014" s="185" t="s">
        <v>470</v>
      </c>
      <c r="H10014" s="185"/>
    </row>
    <row r="10015">
      <c r="D10015" s="185"/>
      <c r="E10015" s="185" t="s">
        <v>470</v>
      </c>
      <c r="H10015" s="185"/>
    </row>
    <row r="10016">
      <c r="D10016" s="185"/>
      <c r="E10016" s="185" t="s">
        <v>470</v>
      </c>
      <c r="H10016" s="185"/>
    </row>
    <row r="10017">
      <c r="D10017" s="185"/>
      <c r="E10017" s="185" t="s">
        <v>470</v>
      </c>
      <c r="H10017" s="185"/>
    </row>
    <row r="10018">
      <c r="D10018" s="185"/>
      <c r="E10018" s="185" t="s">
        <v>470</v>
      </c>
      <c r="H10018" s="185"/>
    </row>
    <row r="10019">
      <c r="D10019" s="185"/>
      <c r="E10019" s="185" t="s">
        <v>470</v>
      </c>
      <c r="H10019" s="185"/>
    </row>
    <row r="10020">
      <c r="D10020" s="185"/>
      <c r="E10020" s="185" t="s">
        <v>470</v>
      </c>
      <c r="H10020" s="185"/>
    </row>
    <row r="10021">
      <c r="D10021" s="185"/>
      <c r="E10021" s="185" t="s">
        <v>470</v>
      </c>
      <c r="H10021" s="185"/>
    </row>
    <row r="10022">
      <c r="D10022" s="185"/>
      <c r="E10022" s="185" t="s">
        <v>470</v>
      </c>
      <c r="H10022" s="185"/>
    </row>
    <row r="10023">
      <c r="D10023" s="185"/>
      <c r="E10023" s="185" t="s">
        <v>470</v>
      </c>
      <c r="H10023" s="185"/>
    </row>
    <row r="10024">
      <c r="D10024" s="185"/>
      <c r="E10024" s="185" t="s">
        <v>470</v>
      </c>
      <c r="H10024" s="185"/>
    </row>
    <row r="10025">
      <c r="D10025" s="185"/>
      <c r="E10025" s="185" t="s">
        <v>470</v>
      </c>
      <c r="H10025" s="185"/>
    </row>
    <row r="10026">
      <c r="D10026" s="185"/>
      <c r="E10026" s="185" t="s">
        <v>470</v>
      </c>
      <c r="H10026" s="185"/>
    </row>
    <row r="10027">
      <c r="D10027" s="185"/>
      <c r="E10027" s="185" t="s">
        <v>470</v>
      </c>
      <c r="H10027" s="185"/>
    </row>
    <row r="10028">
      <c r="D10028" s="185"/>
      <c r="E10028" s="185" t="s">
        <v>470</v>
      </c>
      <c r="H10028" s="185"/>
    </row>
    <row r="10029">
      <c r="D10029" s="185"/>
      <c r="E10029" s="185" t="s">
        <v>470</v>
      </c>
      <c r="H10029" s="185"/>
    </row>
    <row r="10030">
      <c r="D10030" s="185"/>
      <c r="E10030" s="185" t="s">
        <v>470</v>
      </c>
      <c r="H10030" s="185"/>
    </row>
    <row r="10031">
      <c r="D10031" s="185"/>
      <c r="E10031" s="185" t="s">
        <v>470</v>
      </c>
      <c r="H10031" s="185"/>
    </row>
    <row r="10032">
      <c r="D10032" s="185"/>
      <c r="E10032" s="185" t="s">
        <v>470</v>
      </c>
      <c r="H10032" s="185"/>
    </row>
    <row r="10033">
      <c r="D10033" s="185"/>
      <c r="E10033" s="185" t="s">
        <v>470</v>
      </c>
      <c r="H10033" s="185"/>
    </row>
    <row r="10034">
      <c r="D10034" s="185"/>
      <c r="E10034" s="185" t="s">
        <v>470</v>
      </c>
      <c r="H10034" s="185"/>
    </row>
    <row r="10035">
      <c r="D10035" s="185"/>
      <c r="E10035" s="185" t="s">
        <v>470</v>
      </c>
      <c r="H10035" s="185"/>
    </row>
    <row r="10036">
      <c r="D10036" s="185"/>
      <c r="E10036" s="185" t="s">
        <v>470</v>
      </c>
      <c r="H10036" s="185"/>
    </row>
    <row r="10037">
      <c r="D10037" s="185"/>
      <c r="E10037" s="185" t="s">
        <v>470</v>
      </c>
      <c r="H10037" s="185"/>
    </row>
    <row r="10038">
      <c r="D10038" s="185"/>
      <c r="E10038" s="185" t="s">
        <v>470</v>
      </c>
      <c r="H10038" s="185"/>
    </row>
    <row r="10039">
      <c r="D10039" s="185"/>
      <c r="E10039" s="185" t="s">
        <v>470</v>
      </c>
      <c r="H10039" s="185"/>
    </row>
    <row r="10040">
      <c r="D10040" s="185"/>
      <c r="E10040" s="185" t="s">
        <v>470</v>
      </c>
      <c r="H10040" s="185"/>
    </row>
    <row r="10041">
      <c r="D10041" s="185"/>
      <c r="E10041" s="185" t="s">
        <v>470</v>
      </c>
      <c r="H10041" s="185"/>
    </row>
    <row r="10042">
      <c r="D10042" s="185"/>
      <c r="E10042" s="185" t="s">
        <v>470</v>
      </c>
      <c r="H10042" s="185"/>
    </row>
    <row r="10043">
      <c r="D10043" s="185"/>
      <c r="E10043" s="185" t="s">
        <v>470</v>
      </c>
      <c r="H10043" s="185"/>
    </row>
    <row r="10044">
      <c r="D10044" s="185"/>
      <c r="E10044" s="185" t="s">
        <v>470</v>
      </c>
      <c r="H10044" s="185"/>
    </row>
    <row r="10045">
      <c r="D10045" s="185"/>
      <c r="E10045" s="185" t="s">
        <v>470</v>
      </c>
      <c r="H10045" s="185"/>
    </row>
    <row r="10046">
      <c r="D10046" s="185"/>
      <c r="E10046" s="185" t="s">
        <v>470</v>
      </c>
      <c r="H10046" s="185"/>
    </row>
    <row r="10047">
      <c r="D10047" s="185"/>
      <c r="E10047" s="185" t="s">
        <v>470</v>
      </c>
      <c r="H10047" s="185"/>
    </row>
    <row r="10048">
      <c r="D10048" s="185"/>
      <c r="E10048" s="185" t="s">
        <v>470</v>
      </c>
      <c r="H10048" s="185"/>
    </row>
    <row r="10049">
      <c r="D10049" s="185"/>
      <c r="E10049" s="185" t="s">
        <v>470</v>
      </c>
      <c r="H10049" s="185"/>
    </row>
    <row r="10050">
      <c r="D10050" s="185"/>
      <c r="E10050" s="185" t="s">
        <v>470</v>
      </c>
      <c r="H10050" s="185"/>
    </row>
    <row r="10051">
      <c r="D10051" s="185"/>
      <c r="E10051" s="185" t="s">
        <v>470</v>
      </c>
      <c r="H10051" s="185"/>
    </row>
    <row r="10052">
      <c r="D10052" s="185"/>
      <c r="E10052" s="185" t="s">
        <v>470</v>
      </c>
      <c r="H10052" s="185"/>
    </row>
    <row r="10053">
      <c r="D10053" s="185"/>
      <c r="E10053" s="185" t="s">
        <v>470</v>
      </c>
      <c r="H10053" s="185"/>
    </row>
    <row r="10054">
      <c r="D10054" s="185"/>
      <c r="E10054" s="185" t="s">
        <v>470</v>
      </c>
      <c r="H10054" s="185"/>
    </row>
    <row r="10055">
      <c r="D10055" s="185"/>
      <c r="E10055" s="185" t="s">
        <v>470</v>
      </c>
      <c r="H10055" s="185"/>
    </row>
    <row r="10056">
      <c r="D10056" s="185"/>
      <c r="E10056" s="185" t="s">
        <v>470</v>
      </c>
      <c r="H10056" s="185"/>
    </row>
    <row r="10057">
      <c r="D10057" s="185"/>
      <c r="E10057" s="185" t="s">
        <v>470</v>
      </c>
      <c r="H10057" s="185"/>
    </row>
    <row r="10058">
      <c r="D10058" s="185"/>
      <c r="E10058" s="185" t="s">
        <v>470</v>
      </c>
      <c r="H10058" s="185"/>
    </row>
    <row r="10059">
      <c r="D10059" s="185"/>
      <c r="E10059" s="185" t="s">
        <v>470</v>
      </c>
      <c r="H10059" s="185"/>
    </row>
    <row r="10060">
      <c r="D10060" s="185"/>
      <c r="E10060" s="185" t="s">
        <v>470</v>
      </c>
      <c r="H10060" s="185"/>
    </row>
    <row r="10061">
      <c r="D10061" s="185"/>
      <c r="E10061" s="185" t="s">
        <v>470</v>
      </c>
      <c r="H10061" s="185"/>
    </row>
    <row r="10062">
      <c r="D10062" s="185"/>
      <c r="E10062" s="185" t="s">
        <v>470</v>
      </c>
      <c r="H10062" s="185"/>
    </row>
    <row r="10063">
      <c r="D10063" s="185"/>
      <c r="E10063" s="185" t="s">
        <v>470</v>
      </c>
      <c r="H10063" s="185"/>
    </row>
    <row r="10064">
      <c r="D10064" s="185"/>
      <c r="E10064" s="185" t="s">
        <v>470</v>
      </c>
      <c r="H10064" s="185"/>
    </row>
    <row r="10065">
      <c r="D10065" s="185"/>
      <c r="E10065" s="185" t="s">
        <v>470</v>
      </c>
      <c r="H10065" s="185"/>
    </row>
    <row r="10066">
      <c r="D10066" s="185"/>
      <c r="E10066" s="185" t="s">
        <v>470</v>
      </c>
      <c r="H10066" s="185"/>
    </row>
    <row r="10067">
      <c r="D10067" s="185"/>
      <c r="E10067" s="185" t="s">
        <v>470</v>
      </c>
      <c r="H10067" s="185"/>
    </row>
    <row r="10068">
      <c r="D10068" s="185"/>
      <c r="E10068" s="185" t="s">
        <v>470</v>
      </c>
      <c r="H10068" s="185"/>
    </row>
    <row r="10069">
      <c r="D10069" s="185"/>
      <c r="E10069" s="185" t="s">
        <v>470</v>
      </c>
      <c r="H10069" s="185"/>
    </row>
    <row r="10070">
      <c r="D10070" s="185"/>
      <c r="E10070" s="185" t="s">
        <v>470</v>
      </c>
      <c r="H10070" s="185"/>
    </row>
    <row r="10071">
      <c r="D10071" s="185"/>
      <c r="E10071" s="185" t="s">
        <v>470</v>
      </c>
      <c r="H10071" s="185"/>
    </row>
    <row r="10072">
      <c r="D10072" s="185"/>
      <c r="E10072" s="185" t="s">
        <v>470</v>
      </c>
      <c r="H10072" s="185"/>
    </row>
    <row r="10073">
      <c r="D10073" s="185"/>
      <c r="E10073" s="185" t="s">
        <v>470</v>
      </c>
      <c r="H10073" s="185"/>
    </row>
    <row r="10074">
      <c r="D10074" s="185"/>
      <c r="E10074" s="185" t="s">
        <v>470</v>
      </c>
      <c r="H10074" s="185"/>
    </row>
    <row r="10075">
      <c r="D10075" s="185"/>
      <c r="E10075" s="185" t="s">
        <v>470</v>
      </c>
      <c r="H10075" s="185"/>
    </row>
    <row r="10076">
      <c r="D10076" s="185"/>
      <c r="E10076" s="185" t="s">
        <v>470</v>
      </c>
      <c r="H10076" s="185"/>
    </row>
    <row r="10077">
      <c r="D10077" s="185"/>
      <c r="E10077" s="185" t="s">
        <v>470</v>
      </c>
      <c r="H10077" s="185"/>
    </row>
    <row r="10078">
      <c r="D10078" s="185"/>
      <c r="E10078" s="185" t="s">
        <v>470</v>
      </c>
      <c r="H10078" s="185"/>
    </row>
    <row r="10079">
      <c r="D10079" s="185"/>
      <c r="E10079" s="185" t="s">
        <v>470</v>
      </c>
      <c r="H10079" s="185"/>
    </row>
    <row r="10080">
      <c r="D10080" s="185"/>
      <c r="E10080" s="185" t="s">
        <v>470</v>
      </c>
      <c r="H10080" s="185"/>
    </row>
    <row r="10081">
      <c r="D10081" s="185"/>
      <c r="E10081" s="185" t="s">
        <v>470</v>
      </c>
      <c r="H10081" s="185"/>
    </row>
    <row r="10082">
      <c r="D10082" s="185"/>
      <c r="E10082" s="185" t="s">
        <v>470</v>
      </c>
      <c r="H10082" s="185"/>
    </row>
    <row r="10083">
      <c r="D10083" s="185"/>
      <c r="E10083" s="185" t="s">
        <v>470</v>
      </c>
      <c r="H10083" s="185"/>
    </row>
    <row r="10084">
      <c r="D10084" s="185"/>
      <c r="E10084" s="185" t="s">
        <v>470</v>
      </c>
      <c r="H10084" s="185"/>
    </row>
    <row r="10085">
      <c r="D10085" s="185"/>
      <c r="E10085" s="185" t="s">
        <v>470</v>
      </c>
      <c r="H10085" s="185"/>
    </row>
    <row r="10086">
      <c r="D10086" s="185"/>
      <c r="E10086" s="185" t="s">
        <v>470</v>
      </c>
      <c r="H10086" s="185"/>
    </row>
    <row r="10087">
      <c r="D10087" s="185"/>
      <c r="E10087" s="185" t="s">
        <v>470</v>
      </c>
      <c r="H10087" s="185"/>
    </row>
    <row r="10088">
      <c r="D10088" s="185"/>
      <c r="E10088" s="185" t="s">
        <v>470</v>
      </c>
      <c r="H10088" s="185"/>
    </row>
    <row r="10089">
      <c r="D10089" s="185"/>
      <c r="E10089" s="185" t="s">
        <v>470</v>
      </c>
      <c r="H10089" s="185"/>
    </row>
    <row r="10090">
      <c r="D10090" s="185"/>
      <c r="E10090" s="185" t="s">
        <v>470</v>
      </c>
      <c r="H10090" s="185"/>
    </row>
    <row r="10091">
      <c r="D10091" s="185"/>
      <c r="E10091" s="185" t="s">
        <v>470</v>
      </c>
      <c r="H10091" s="185"/>
    </row>
    <row r="10092">
      <c r="D10092" s="185"/>
      <c r="E10092" s="185" t="s">
        <v>470</v>
      </c>
      <c r="H10092" s="185"/>
    </row>
    <row r="10093">
      <c r="D10093" s="185"/>
      <c r="E10093" s="185" t="s">
        <v>470</v>
      </c>
      <c r="H10093" s="185"/>
    </row>
    <row r="10094">
      <c r="D10094" s="185"/>
      <c r="E10094" s="185" t="s">
        <v>470</v>
      </c>
      <c r="H10094" s="185"/>
    </row>
    <row r="10095">
      <c r="D10095" s="185"/>
      <c r="E10095" s="185" t="s">
        <v>470</v>
      </c>
      <c r="H10095" s="185"/>
    </row>
    <row r="10096">
      <c r="D10096" s="185"/>
      <c r="E10096" s="185" t="s">
        <v>470</v>
      </c>
      <c r="H10096" s="185"/>
    </row>
    <row r="10097">
      <c r="D10097" s="185"/>
      <c r="E10097" s="185" t="s">
        <v>470</v>
      </c>
      <c r="H10097" s="185"/>
    </row>
    <row r="10098">
      <c r="D10098" s="185"/>
      <c r="E10098" s="185" t="s">
        <v>470</v>
      </c>
      <c r="H10098" s="185"/>
    </row>
    <row r="10099">
      <c r="D10099" s="185"/>
      <c r="E10099" s="185" t="s">
        <v>470</v>
      </c>
      <c r="H10099" s="185"/>
    </row>
    <row r="10100">
      <c r="D10100" s="185"/>
      <c r="E10100" s="185" t="s">
        <v>470</v>
      </c>
      <c r="H10100" s="185"/>
    </row>
    <row r="10101">
      <c r="D10101" s="185"/>
      <c r="E10101" s="185" t="s">
        <v>470</v>
      </c>
      <c r="H10101" s="185"/>
    </row>
    <row r="10102">
      <c r="D10102" s="185"/>
      <c r="E10102" s="185" t="s">
        <v>470</v>
      </c>
      <c r="H10102" s="185"/>
    </row>
    <row r="10103">
      <c r="D10103" s="185"/>
      <c r="E10103" s="185" t="s">
        <v>470</v>
      </c>
      <c r="H10103" s="185"/>
    </row>
    <row r="10104">
      <c r="D10104" s="185"/>
      <c r="E10104" s="185" t="s">
        <v>470</v>
      </c>
      <c r="H10104" s="185"/>
    </row>
    <row r="10105">
      <c r="D10105" s="185"/>
      <c r="E10105" s="185" t="s">
        <v>470</v>
      </c>
      <c r="H10105" s="185"/>
    </row>
    <row r="10106">
      <c r="D10106" s="185"/>
      <c r="E10106" s="185" t="s">
        <v>470</v>
      </c>
      <c r="H10106" s="185"/>
    </row>
    <row r="10107">
      <c r="D10107" s="185"/>
      <c r="E10107" s="185" t="s">
        <v>470</v>
      </c>
      <c r="H10107" s="185"/>
    </row>
    <row r="10108">
      <c r="D10108" s="185"/>
      <c r="E10108" s="185" t="s">
        <v>470</v>
      </c>
      <c r="H10108" s="185"/>
    </row>
    <row r="10109">
      <c r="D10109" s="185"/>
      <c r="E10109" s="185" t="s">
        <v>470</v>
      </c>
      <c r="H10109" s="185"/>
    </row>
    <row r="10110">
      <c r="D10110" s="185"/>
      <c r="E10110" s="185" t="s">
        <v>470</v>
      </c>
      <c r="H10110" s="185"/>
    </row>
    <row r="10111">
      <c r="D10111" s="185"/>
      <c r="E10111" s="185" t="s">
        <v>470</v>
      </c>
      <c r="H10111" s="185"/>
    </row>
    <row r="10112">
      <c r="D10112" s="185"/>
      <c r="E10112" s="185" t="s">
        <v>470</v>
      </c>
      <c r="H10112" s="185"/>
    </row>
    <row r="10113">
      <c r="D10113" s="185"/>
      <c r="E10113" s="185" t="s">
        <v>470</v>
      </c>
      <c r="H10113" s="185"/>
    </row>
    <row r="10114">
      <c r="D10114" s="185"/>
      <c r="E10114" s="185" t="s">
        <v>470</v>
      </c>
      <c r="H10114" s="185"/>
    </row>
    <row r="10115">
      <c r="D10115" s="185"/>
      <c r="E10115" s="185" t="s">
        <v>470</v>
      </c>
      <c r="H10115" s="185"/>
    </row>
    <row r="10116">
      <c r="D10116" s="185"/>
      <c r="E10116" s="185" t="s">
        <v>470</v>
      </c>
      <c r="H10116" s="185"/>
    </row>
    <row r="10117">
      <c r="D10117" s="185"/>
      <c r="E10117" s="185" t="s">
        <v>470</v>
      </c>
      <c r="H10117" s="185"/>
    </row>
    <row r="10118">
      <c r="D10118" s="185"/>
      <c r="E10118" s="185" t="s">
        <v>470</v>
      </c>
      <c r="H10118" s="185"/>
    </row>
    <row r="10119">
      <c r="D10119" s="185"/>
      <c r="E10119" s="185" t="s">
        <v>470</v>
      </c>
      <c r="H10119" s="185"/>
    </row>
    <row r="10120">
      <c r="D10120" s="185"/>
      <c r="E10120" s="185" t="s">
        <v>470</v>
      </c>
      <c r="H10120" s="185"/>
    </row>
    <row r="10121">
      <c r="D10121" s="185"/>
      <c r="E10121" s="185" t="s">
        <v>470</v>
      </c>
      <c r="H10121" s="185"/>
    </row>
    <row r="10122">
      <c r="D10122" s="185"/>
      <c r="E10122" s="185" t="s">
        <v>470</v>
      </c>
      <c r="H10122" s="185"/>
    </row>
    <row r="10123">
      <c r="D10123" s="185"/>
      <c r="E10123" s="185" t="s">
        <v>470</v>
      </c>
      <c r="H10123" s="185"/>
    </row>
    <row r="10124">
      <c r="D10124" s="185"/>
      <c r="E10124" s="185" t="s">
        <v>470</v>
      </c>
      <c r="H10124" s="185"/>
    </row>
    <row r="10125">
      <c r="D10125" s="185"/>
      <c r="E10125" s="185" t="s">
        <v>470</v>
      </c>
      <c r="H10125" s="185"/>
    </row>
    <row r="10126">
      <c r="D10126" s="185"/>
      <c r="E10126" s="185" t="s">
        <v>470</v>
      </c>
      <c r="H10126" s="185"/>
    </row>
    <row r="10127">
      <c r="D10127" s="185"/>
      <c r="E10127" s="185" t="s">
        <v>470</v>
      </c>
      <c r="H10127" s="185"/>
    </row>
    <row r="10128">
      <c r="D10128" s="185"/>
      <c r="E10128" s="185" t="s">
        <v>470</v>
      </c>
      <c r="H10128" s="185"/>
    </row>
    <row r="10129">
      <c r="D10129" s="185"/>
      <c r="E10129" s="185" t="s">
        <v>470</v>
      </c>
      <c r="H10129" s="185"/>
    </row>
    <row r="10130">
      <c r="D10130" s="185"/>
      <c r="E10130" s="185" t="s">
        <v>470</v>
      </c>
      <c r="H10130" s="185"/>
    </row>
    <row r="10131">
      <c r="D10131" s="185"/>
      <c r="E10131" s="185" t="s">
        <v>470</v>
      </c>
      <c r="H10131" s="185"/>
    </row>
    <row r="10132">
      <c r="D10132" s="185"/>
      <c r="E10132" s="185" t="s">
        <v>470</v>
      </c>
      <c r="H10132" s="185"/>
    </row>
    <row r="10133">
      <c r="D10133" s="185"/>
      <c r="E10133" s="185" t="s">
        <v>470</v>
      </c>
      <c r="H10133" s="185"/>
    </row>
    <row r="10134">
      <c r="D10134" s="185"/>
      <c r="E10134" s="185" t="s">
        <v>470</v>
      </c>
      <c r="H10134" s="185"/>
    </row>
    <row r="10135">
      <c r="D10135" s="185"/>
      <c r="E10135" s="185" t="s">
        <v>470</v>
      </c>
      <c r="H10135" s="185"/>
    </row>
    <row r="10136">
      <c r="D10136" s="185"/>
      <c r="E10136" s="185" t="s">
        <v>470</v>
      </c>
      <c r="H10136" s="185"/>
    </row>
    <row r="10137">
      <c r="D10137" s="185"/>
      <c r="E10137" s="185" t="s">
        <v>470</v>
      </c>
      <c r="H10137" s="185"/>
    </row>
    <row r="10138">
      <c r="D10138" s="185"/>
      <c r="E10138" s="185" t="s">
        <v>470</v>
      </c>
      <c r="H10138" s="185"/>
    </row>
    <row r="10139">
      <c r="D10139" s="185"/>
      <c r="E10139" s="185" t="s">
        <v>470</v>
      </c>
      <c r="H10139" s="185"/>
    </row>
    <row r="10140">
      <c r="D10140" s="185"/>
      <c r="E10140" s="185" t="s">
        <v>470</v>
      </c>
      <c r="H10140" s="185"/>
    </row>
    <row r="10141">
      <c r="D10141" s="185"/>
      <c r="E10141" s="185" t="s">
        <v>470</v>
      </c>
      <c r="H10141" s="185"/>
    </row>
    <row r="10142">
      <c r="D10142" s="185"/>
      <c r="E10142" s="185" t="s">
        <v>470</v>
      </c>
      <c r="H10142" s="185"/>
    </row>
    <row r="10143">
      <c r="D10143" s="185"/>
      <c r="E10143" s="185" t="s">
        <v>470</v>
      </c>
      <c r="H10143" s="185"/>
    </row>
    <row r="10144">
      <c r="D10144" s="185"/>
      <c r="E10144" s="185" t="s">
        <v>470</v>
      </c>
      <c r="H10144" s="185"/>
    </row>
    <row r="10145">
      <c r="D10145" s="185"/>
      <c r="E10145" s="185" t="s">
        <v>470</v>
      </c>
      <c r="H10145" s="185"/>
    </row>
    <row r="10146">
      <c r="D10146" s="185"/>
      <c r="E10146" s="185" t="s">
        <v>470</v>
      </c>
      <c r="H10146" s="185"/>
    </row>
    <row r="10147">
      <c r="D10147" s="185"/>
      <c r="E10147" s="185" t="s">
        <v>470</v>
      </c>
      <c r="H10147" s="185"/>
    </row>
    <row r="10148">
      <c r="D10148" s="185"/>
      <c r="E10148" s="185" t="s">
        <v>470</v>
      </c>
      <c r="H10148" s="185"/>
    </row>
    <row r="10149">
      <c r="D10149" s="185"/>
      <c r="E10149" s="185" t="s">
        <v>470</v>
      </c>
      <c r="H10149" s="185"/>
    </row>
    <row r="10150">
      <c r="D10150" s="185"/>
      <c r="E10150" s="185" t="s">
        <v>470</v>
      </c>
      <c r="H10150" s="185"/>
    </row>
    <row r="10151">
      <c r="D10151" s="185"/>
      <c r="E10151" s="185" t="s">
        <v>470</v>
      </c>
      <c r="H10151" s="185"/>
    </row>
    <row r="10152">
      <c r="D10152" s="185"/>
      <c r="E10152" s="185" t="s">
        <v>470</v>
      </c>
      <c r="H10152" s="185"/>
    </row>
    <row r="10153">
      <c r="D10153" s="185"/>
      <c r="E10153" s="185" t="s">
        <v>470</v>
      </c>
      <c r="H10153" s="185"/>
    </row>
    <row r="10154">
      <c r="D10154" s="185"/>
      <c r="E10154" s="185" t="s">
        <v>470</v>
      </c>
      <c r="H10154" s="185"/>
    </row>
    <row r="10155">
      <c r="D10155" s="185"/>
      <c r="E10155" s="185" t="s">
        <v>470</v>
      </c>
      <c r="H10155" s="185"/>
    </row>
    <row r="10156">
      <c r="D10156" s="185"/>
      <c r="E10156" s="185" t="s">
        <v>470</v>
      </c>
      <c r="H10156" s="185"/>
    </row>
    <row r="10157">
      <c r="D10157" s="185"/>
      <c r="E10157" s="185" t="s">
        <v>470</v>
      </c>
      <c r="H10157" s="185"/>
    </row>
    <row r="10158">
      <c r="D10158" s="185"/>
      <c r="E10158" s="185" t="s">
        <v>470</v>
      </c>
      <c r="H10158" s="185"/>
    </row>
    <row r="10159">
      <c r="D10159" s="185"/>
      <c r="E10159" s="185" t="s">
        <v>470</v>
      </c>
      <c r="H10159" s="185"/>
    </row>
    <row r="10160">
      <c r="D10160" s="185"/>
      <c r="E10160" s="185" t="s">
        <v>470</v>
      </c>
      <c r="H10160" s="185"/>
    </row>
    <row r="10161">
      <c r="D10161" s="185"/>
      <c r="E10161" s="185" t="s">
        <v>470</v>
      </c>
      <c r="H10161" s="185"/>
    </row>
    <row r="10162">
      <c r="D10162" s="185"/>
      <c r="E10162" s="185" t="s">
        <v>470</v>
      </c>
      <c r="H10162" s="185"/>
    </row>
    <row r="10163">
      <c r="D10163" s="185"/>
      <c r="E10163" s="185" t="s">
        <v>470</v>
      </c>
      <c r="H10163" s="185"/>
    </row>
    <row r="10164">
      <c r="D10164" s="185"/>
      <c r="E10164" s="185" t="s">
        <v>470</v>
      </c>
      <c r="H10164" s="185"/>
    </row>
    <row r="10165">
      <c r="D10165" s="185"/>
      <c r="E10165" s="185" t="s">
        <v>470</v>
      </c>
      <c r="H10165" s="185"/>
    </row>
    <row r="10166">
      <c r="D10166" s="185"/>
      <c r="E10166" s="185" t="s">
        <v>470</v>
      </c>
      <c r="H10166" s="185"/>
    </row>
    <row r="10167">
      <c r="D10167" s="185"/>
      <c r="E10167" s="185" t="s">
        <v>470</v>
      </c>
      <c r="H10167" s="185"/>
    </row>
    <row r="10168">
      <c r="D10168" s="185"/>
      <c r="E10168" s="185" t="s">
        <v>470</v>
      </c>
      <c r="H10168" s="185"/>
    </row>
    <row r="10169">
      <c r="D10169" s="185"/>
      <c r="E10169" s="185" t="s">
        <v>470</v>
      </c>
      <c r="H10169" s="185"/>
    </row>
    <row r="10170">
      <c r="D10170" s="185"/>
      <c r="E10170" s="185" t="s">
        <v>470</v>
      </c>
      <c r="H10170" s="185"/>
    </row>
    <row r="10171">
      <c r="D10171" s="185"/>
      <c r="E10171" s="185" t="s">
        <v>470</v>
      </c>
      <c r="H10171" s="185"/>
    </row>
    <row r="10172">
      <c r="D10172" s="185"/>
      <c r="E10172" s="185" t="s">
        <v>470</v>
      </c>
      <c r="H10172" s="185"/>
    </row>
    <row r="10173">
      <c r="D10173" s="185"/>
      <c r="E10173" s="185" t="s">
        <v>470</v>
      </c>
      <c r="H10173" s="185"/>
    </row>
    <row r="10174">
      <c r="D10174" s="185"/>
      <c r="E10174" s="185" t="s">
        <v>470</v>
      </c>
      <c r="H10174" s="185"/>
    </row>
    <row r="10175">
      <c r="D10175" s="185"/>
      <c r="E10175" s="185" t="s">
        <v>470</v>
      </c>
      <c r="H10175" s="185"/>
    </row>
    <row r="10176">
      <c r="D10176" s="185"/>
      <c r="E10176" s="185" t="s">
        <v>470</v>
      </c>
      <c r="H10176" s="185"/>
    </row>
    <row r="10177">
      <c r="D10177" s="185"/>
      <c r="E10177" s="185" t="s">
        <v>470</v>
      </c>
      <c r="H10177" s="185"/>
    </row>
    <row r="10178">
      <c r="D10178" s="185"/>
      <c r="E10178" s="185" t="s">
        <v>470</v>
      </c>
      <c r="H10178" s="185"/>
    </row>
    <row r="10179">
      <c r="D10179" s="185"/>
      <c r="E10179" s="185" t="s">
        <v>470</v>
      </c>
      <c r="H10179" s="185"/>
    </row>
    <row r="10180">
      <c r="D10180" s="185"/>
      <c r="E10180" s="185" t="s">
        <v>470</v>
      </c>
      <c r="H10180" s="185"/>
    </row>
    <row r="10181">
      <c r="D10181" s="185"/>
      <c r="E10181" s="185" t="s">
        <v>470</v>
      </c>
      <c r="H10181" s="185"/>
    </row>
    <row r="10182">
      <c r="D10182" s="185"/>
      <c r="E10182" s="185" t="s">
        <v>470</v>
      </c>
      <c r="H10182" s="185"/>
    </row>
    <row r="10183">
      <c r="D10183" s="185"/>
      <c r="E10183" s="185" t="s">
        <v>470</v>
      </c>
      <c r="H10183" s="185"/>
    </row>
    <row r="10184">
      <c r="D10184" s="185"/>
      <c r="E10184" s="185" t="s">
        <v>470</v>
      </c>
      <c r="H10184" s="185"/>
    </row>
    <row r="10185">
      <c r="D10185" s="185"/>
      <c r="E10185" s="185" t="s">
        <v>470</v>
      </c>
      <c r="H10185" s="185"/>
    </row>
    <row r="10186">
      <c r="D10186" s="185"/>
      <c r="E10186" s="185" t="s">
        <v>470</v>
      </c>
      <c r="H10186" s="185"/>
    </row>
    <row r="10187">
      <c r="D10187" s="185"/>
      <c r="E10187" s="185" t="s">
        <v>470</v>
      </c>
      <c r="H10187" s="185"/>
    </row>
    <row r="10188">
      <c r="D10188" s="185"/>
      <c r="E10188" s="185" t="s">
        <v>470</v>
      </c>
      <c r="H10188" s="185"/>
    </row>
    <row r="10189">
      <c r="D10189" s="185"/>
      <c r="E10189" s="185" t="s">
        <v>470</v>
      </c>
      <c r="H10189" s="185"/>
    </row>
    <row r="10190">
      <c r="D10190" s="185"/>
      <c r="E10190" s="185" t="s">
        <v>470</v>
      </c>
      <c r="H10190" s="185"/>
    </row>
    <row r="10191">
      <c r="D10191" s="185"/>
      <c r="E10191" s="185" t="s">
        <v>470</v>
      </c>
      <c r="H10191" s="185"/>
    </row>
    <row r="10192">
      <c r="D10192" s="185"/>
      <c r="E10192" s="185" t="s">
        <v>470</v>
      </c>
      <c r="H10192" s="185"/>
    </row>
    <row r="10193">
      <c r="D10193" s="185"/>
      <c r="E10193" s="185" t="s">
        <v>470</v>
      </c>
      <c r="H10193" s="185"/>
    </row>
    <row r="10194">
      <c r="D10194" s="185"/>
      <c r="E10194" s="185" t="s">
        <v>470</v>
      </c>
      <c r="H10194" s="185"/>
    </row>
    <row r="10195">
      <c r="D10195" s="185"/>
      <c r="E10195" s="185" t="s">
        <v>470</v>
      </c>
      <c r="H10195" s="185"/>
    </row>
    <row r="10196">
      <c r="D10196" s="185"/>
      <c r="E10196" s="185" t="s">
        <v>470</v>
      </c>
      <c r="H10196" s="185"/>
    </row>
    <row r="10197">
      <c r="D10197" s="185"/>
      <c r="E10197" s="185" t="s">
        <v>470</v>
      </c>
      <c r="H10197" s="185"/>
    </row>
    <row r="10198">
      <c r="D10198" s="185"/>
      <c r="E10198" s="185" t="s">
        <v>470</v>
      </c>
      <c r="H10198" s="185"/>
    </row>
    <row r="10199">
      <c r="D10199" s="185"/>
      <c r="E10199" s="185" t="s">
        <v>470</v>
      </c>
      <c r="H10199" s="185"/>
    </row>
    <row r="10200">
      <c r="D10200" s="185"/>
      <c r="E10200" s="185" t="s">
        <v>470</v>
      </c>
      <c r="H10200" s="185"/>
    </row>
    <row r="10201">
      <c r="D10201" s="185"/>
      <c r="E10201" s="185" t="s">
        <v>470</v>
      </c>
      <c r="H10201" s="185"/>
    </row>
    <row r="10202">
      <c r="D10202" s="185"/>
      <c r="E10202" s="185" t="s">
        <v>470</v>
      </c>
      <c r="H10202" s="185"/>
    </row>
    <row r="10203">
      <c r="D10203" s="185"/>
      <c r="E10203" s="185" t="s">
        <v>470</v>
      </c>
      <c r="H10203" s="185"/>
    </row>
    <row r="10204">
      <c r="D10204" s="185"/>
      <c r="E10204" s="185" t="s">
        <v>470</v>
      </c>
      <c r="H10204" s="185"/>
    </row>
    <row r="10205">
      <c r="D10205" s="185"/>
      <c r="E10205" s="185" t="s">
        <v>470</v>
      </c>
      <c r="H10205" s="185"/>
    </row>
    <row r="10206">
      <c r="D10206" s="185"/>
      <c r="E10206" s="185" t="s">
        <v>470</v>
      </c>
      <c r="H10206" s="185"/>
    </row>
    <row r="10207">
      <c r="D10207" s="185"/>
      <c r="E10207" s="185" t="s">
        <v>470</v>
      </c>
      <c r="H10207" s="185"/>
    </row>
    <row r="10208">
      <c r="D10208" s="185"/>
      <c r="E10208" s="185" t="s">
        <v>470</v>
      </c>
      <c r="H10208" s="185"/>
    </row>
    <row r="10209">
      <c r="D10209" s="185"/>
      <c r="E10209" s="185" t="s">
        <v>470</v>
      </c>
      <c r="H10209" s="185"/>
    </row>
    <row r="10210">
      <c r="D10210" s="185"/>
      <c r="E10210" s="185" t="s">
        <v>470</v>
      </c>
      <c r="H10210" s="185"/>
    </row>
    <row r="10211">
      <c r="D10211" s="185"/>
      <c r="E10211" s="185" t="s">
        <v>470</v>
      </c>
      <c r="H10211" s="185"/>
    </row>
    <row r="10212">
      <c r="D10212" s="185"/>
      <c r="E10212" s="185" t="s">
        <v>470</v>
      </c>
      <c r="H10212" s="185"/>
    </row>
    <row r="10213">
      <c r="D10213" s="185"/>
      <c r="E10213" s="185" t="s">
        <v>470</v>
      </c>
      <c r="H10213" s="185"/>
    </row>
    <row r="10214">
      <c r="D10214" s="185"/>
      <c r="E10214" s="185" t="s">
        <v>470</v>
      </c>
      <c r="H10214" s="185"/>
    </row>
    <row r="10215">
      <c r="D10215" s="185"/>
      <c r="E10215" s="185" t="s">
        <v>470</v>
      </c>
      <c r="H10215" s="185"/>
    </row>
    <row r="10216">
      <c r="D10216" s="185"/>
      <c r="E10216" s="185" t="s">
        <v>470</v>
      </c>
      <c r="H10216" s="185"/>
    </row>
    <row r="10217">
      <c r="D10217" s="185"/>
      <c r="E10217" s="185" t="s">
        <v>470</v>
      </c>
      <c r="H10217" s="185"/>
    </row>
    <row r="10218">
      <c r="D10218" s="185"/>
      <c r="E10218" s="185" t="s">
        <v>470</v>
      </c>
      <c r="H10218" s="185"/>
    </row>
    <row r="10219">
      <c r="D10219" s="185"/>
      <c r="E10219" s="185" t="s">
        <v>470</v>
      </c>
      <c r="H10219" s="185"/>
    </row>
    <row r="10220">
      <c r="D10220" s="185"/>
      <c r="E10220" s="185" t="s">
        <v>470</v>
      </c>
      <c r="H10220" s="185"/>
    </row>
    <row r="10221">
      <c r="D10221" s="185"/>
      <c r="E10221" s="185" t="s">
        <v>470</v>
      </c>
      <c r="H10221" s="185"/>
    </row>
    <row r="10222">
      <c r="D10222" s="185"/>
      <c r="E10222" s="185" t="s">
        <v>470</v>
      </c>
      <c r="H10222" s="185"/>
    </row>
    <row r="10223">
      <c r="D10223" s="185"/>
      <c r="E10223" s="185" t="s">
        <v>470</v>
      </c>
      <c r="H10223" s="185"/>
    </row>
    <row r="10224">
      <c r="D10224" s="185"/>
      <c r="E10224" s="185" t="s">
        <v>470</v>
      </c>
      <c r="H10224" s="185"/>
    </row>
    <row r="10225">
      <c r="D10225" s="185"/>
      <c r="E10225" s="185" t="s">
        <v>470</v>
      </c>
      <c r="H10225" s="185"/>
    </row>
    <row r="10226">
      <c r="D10226" s="185"/>
      <c r="E10226" s="185" t="s">
        <v>470</v>
      </c>
      <c r="H10226" s="185"/>
    </row>
    <row r="10227">
      <c r="D10227" s="185"/>
      <c r="E10227" s="185" t="s">
        <v>470</v>
      </c>
      <c r="H10227" s="185"/>
    </row>
    <row r="10228">
      <c r="D10228" s="185"/>
      <c r="E10228" s="185" t="s">
        <v>470</v>
      </c>
      <c r="H10228" s="185"/>
    </row>
    <row r="10229">
      <c r="D10229" s="185"/>
      <c r="E10229" s="185" t="s">
        <v>470</v>
      </c>
      <c r="H10229" s="185"/>
    </row>
    <row r="10230">
      <c r="D10230" s="185"/>
      <c r="E10230" s="185" t="s">
        <v>470</v>
      </c>
      <c r="H10230" s="185"/>
    </row>
    <row r="10231">
      <c r="D10231" s="185"/>
      <c r="E10231" s="185" t="s">
        <v>470</v>
      </c>
      <c r="H10231" s="185"/>
    </row>
    <row r="10232">
      <c r="D10232" s="185"/>
      <c r="E10232" s="185" t="s">
        <v>470</v>
      </c>
      <c r="H10232" s="185"/>
    </row>
    <row r="10233">
      <c r="D10233" s="185"/>
      <c r="E10233" s="185" t="s">
        <v>470</v>
      </c>
      <c r="H10233" s="185"/>
    </row>
    <row r="10234">
      <c r="D10234" s="185"/>
      <c r="E10234" s="185" t="s">
        <v>470</v>
      </c>
      <c r="H10234" s="185"/>
    </row>
    <row r="10235">
      <c r="D10235" s="185"/>
      <c r="E10235" s="185" t="s">
        <v>470</v>
      </c>
      <c r="H10235" s="185"/>
    </row>
    <row r="10236">
      <c r="D10236" s="185"/>
      <c r="E10236" s="185" t="s">
        <v>470</v>
      </c>
      <c r="H10236" s="185"/>
    </row>
    <row r="10237">
      <c r="D10237" s="185"/>
      <c r="E10237" s="185" t="s">
        <v>470</v>
      </c>
      <c r="H10237" s="185"/>
    </row>
    <row r="10238">
      <c r="D10238" s="185"/>
      <c r="E10238" s="185" t="s">
        <v>470</v>
      </c>
      <c r="H10238" s="185"/>
    </row>
    <row r="10239">
      <c r="D10239" s="185"/>
      <c r="E10239" s="185" t="s">
        <v>470</v>
      </c>
      <c r="H10239" s="185"/>
    </row>
    <row r="10240">
      <c r="D10240" s="185"/>
      <c r="E10240" s="185" t="s">
        <v>470</v>
      </c>
      <c r="H10240" s="185"/>
    </row>
    <row r="10241">
      <c r="D10241" s="185"/>
      <c r="E10241" s="185" t="s">
        <v>470</v>
      </c>
      <c r="H10241" s="185"/>
    </row>
    <row r="10242">
      <c r="D10242" s="185"/>
      <c r="E10242" s="185" t="s">
        <v>470</v>
      </c>
      <c r="H10242" s="185"/>
    </row>
    <row r="10243">
      <c r="D10243" s="185"/>
      <c r="E10243" s="185" t="s">
        <v>470</v>
      </c>
      <c r="H10243" s="185"/>
    </row>
    <row r="10244">
      <c r="D10244" s="185"/>
      <c r="E10244" s="185" t="s">
        <v>470</v>
      </c>
      <c r="H10244" s="185"/>
    </row>
    <row r="10245">
      <c r="D10245" s="185"/>
      <c r="E10245" s="185" t="s">
        <v>470</v>
      </c>
      <c r="H10245" s="185"/>
    </row>
    <row r="10246">
      <c r="D10246" s="185"/>
      <c r="E10246" s="185" t="s">
        <v>470</v>
      </c>
      <c r="H10246" s="185"/>
    </row>
    <row r="10247">
      <c r="D10247" s="185"/>
      <c r="E10247" s="185" t="s">
        <v>470</v>
      </c>
      <c r="H10247" s="185"/>
    </row>
    <row r="10248">
      <c r="D10248" s="185"/>
      <c r="E10248" s="185" t="s">
        <v>470</v>
      </c>
      <c r="H10248" s="185"/>
    </row>
    <row r="10249">
      <c r="D10249" s="185"/>
      <c r="E10249" s="185" t="s">
        <v>470</v>
      </c>
      <c r="H10249" s="185"/>
    </row>
    <row r="10250">
      <c r="D10250" s="185"/>
      <c r="E10250" s="185" t="s">
        <v>470</v>
      </c>
      <c r="H10250" s="185"/>
    </row>
    <row r="10251">
      <c r="D10251" s="185"/>
      <c r="E10251" s="185" t="s">
        <v>470</v>
      </c>
      <c r="H10251" s="185"/>
    </row>
    <row r="10252">
      <c r="D10252" s="185"/>
      <c r="E10252" s="185" t="s">
        <v>470</v>
      </c>
      <c r="H10252" s="185"/>
    </row>
    <row r="10253">
      <c r="D10253" s="185"/>
      <c r="E10253" s="185" t="s">
        <v>470</v>
      </c>
      <c r="H10253" s="185"/>
    </row>
    <row r="10254">
      <c r="D10254" s="185"/>
      <c r="E10254" s="185" t="s">
        <v>470</v>
      </c>
      <c r="H10254" s="185"/>
    </row>
    <row r="10255">
      <c r="D10255" s="185"/>
      <c r="E10255" s="185" t="s">
        <v>470</v>
      </c>
      <c r="H10255" s="185"/>
    </row>
    <row r="10256">
      <c r="D10256" s="185"/>
      <c r="E10256" s="185" t="s">
        <v>470</v>
      </c>
      <c r="H10256" s="185"/>
    </row>
    <row r="10257">
      <c r="D10257" s="185"/>
      <c r="E10257" s="185" t="s">
        <v>470</v>
      </c>
      <c r="H10257" s="185"/>
    </row>
    <row r="10258">
      <c r="D10258" s="185"/>
      <c r="E10258" s="185" t="s">
        <v>470</v>
      </c>
      <c r="H10258" s="185"/>
    </row>
    <row r="10259">
      <c r="D10259" s="185"/>
      <c r="E10259" s="185" t="s">
        <v>470</v>
      </c>
      <c r="H10259" s="185"/>
    </row>
    <row r="10260">
      <c r="D10260" s="185"/>
      <c r="E10260" s="185" t="s">
        <v>470</v>
      </c>
      <c r="H10260" s="185"/>
    </row>
    <row r="10261">
      <c r="D10261" s="185"/>
      <c r="E10261" s="185" t="s">
        <v>470</v>
      </c>
      <c r="H10261" s="185"/>
    </row>
    <row r="10262">
      <c r="D10262" s="185"/>
      <c r="E10262" s="185" t="s">
        <v>470</v>
      </c>
      <c r="H10262" s="185"/>
    </row>
    <row r="10263">
      <c r="D10263" s="185"/>
      <c r="E10263" s="185" t="s">
        <v>470</v>
      </c>
      <c r="H10263" s="185"/>
    </row>
    <row r="10264">
      <c r="D10264" s="185"/>
      <c r="E10264" s="185" t="s">
        <v>470</v>
      </c>
      <c r="H10264" s="185"/>
    </row>
    <row r="10265">
      <c r="D10265" s="185"/>
      <c r="E10265" s="185" t="s">
        <v>470</v>
      </c>
      <c r="H10265" s="185"/>
    </row>
    <row r="10266">
      <c r="D10266" s="185"/>
      <c r="E10266" s="185" t="s">
        <v>470</v>
      </c>
      <c r="H10266" s="185"/>
    </row>
    <row r="10267">
      <c r="D10267" s="185"/>
      <c r="E10267" s="185" t="s">
        <v>470</v>
      </c>
      <c r="H10267" s="185"/>
    </row>
    <row r="10268">
      <c r="D10268" s="185"/>
      <c r="E10268" s="185" t="s">
        <v>470</v>
      </c>
      <c r="H10268" s="185"/>
    </row>
    <row r="10269">
      <c r="D10269" s="185"/>
      <c r="E10269" s="185" t="s">
        <v>470</v>
      </c>
      <c r="H10269" s="185"/>
    </row>
    <row r="10270">
      <c r="D10270" s="185"/>
      <c r="E10270" s="185" t="s">
        <v>470</v>
      </c>
      <c r="H10270" s="185"/>
    </row>
    <row r="10271">
      <c r="D10271" s="185"/>
      <c r="E10271" s="185" t="s">
        <v>470</v>
      </c>
      <c r="H10271" s="185"/>
    </row>
    <row r="10272">
      <c r="D10272" s="185"/>
      <c r="E10272" s="185" t="s">
        <v>470</v>
      </c>
      <c r="H10272" s="185"/>
    </row>
    <row r="10273">
      <c r="D10273" s="185"/>
      <c r="E10273" s="185" t="s">
        <v>470</v>
      </c>
      <c r="H10273" s="185"/>
    </row>
    <row r="10274">
      <c r="D10274" s="185"/>
      <c r="E10274" s="185" t="s">
        <v>470</v>
      </c>
      <c r="H10274" s="185"/>
    </row>
    <row r="10275">
      <c r="D10275" s="185"/>
      <c r="E10275" s="185" t="s">
        <v>470</v>
      </c>
      <c r="H10275" s="185"/>
    </row>
    <row r="10276">
      <c r="D10276" s="185"/>
      <c r="E10276" s="185" t="s">
        <v>470</v>
      </c>
      <c r="H10276" s="185"/>
    </row>
    <row r="10277">
      <c r="D10277" s="185"/>
      <c r="E10277" s="185" t="s">
        <v>470</v>
      </c>
      <c r="H10277" s="185"/>
    </row>
    <row r="10278">
      <c r="D10278" s="185"/>
      <c r="E10278" s="185" t="s">
        <v>470</v>
      </c>
      <c r="H10278" s="185"/>
    </row>
    <row r="10279">
      <c r="D10279" s="185"/>
      <c r="E10279" s="185" t="s">
        <v>470</v>
      </c>
      <c r="H10279" s="185"/>
    </row>
    <row r="10280">
      <c r="D10280" s="185"/>
      <c r="E10280" s="185" t="s">
        <v>470</v>
      </c>
      <c r="H10280" s="185"/>
    </row>
    <row r="10281">
      <c r="D10281" s="185"/>
      <c r="E10281" s="185" t="s">
        <v>470</v>
      </c>
      <c r="H10281" s="185"/>
    </row>
    <row r="10282">
      <c r="D10282" s="185"/>
      <c r="E10282" s="185" t="s">
        <v>470</v>
      </c>
      <c r="H10282" s="185"/>
    </row>
    <row r="10283">
      <c r="D10283" s="185"/>
      <c r="E10283" s="185" t="s">
        <v>470</v>
      </c>
      <c r="H10283" s="185"/>
    </row>
    <row r="10284">
      <c r="D10284" s="185"/>
      <c r="E10284" s="185" t="s">
        <v>470</v>
      </c>
      <c r="H10284" s="185"/>
    </row>
    <row r="10285">
      <c r="D10285" s="185"/>
      <c r="E10285" s="185" t="s">
        <v>470</v>
      </c>
      <c r="H10285" s="185"/>
    </row>
    <row r="10286">
      <c r="D10286" s="185"/>
      <c r="E10286" s="185" t="s">
        <v>470</v>
      </c>
      <c r="H10286" s="185"/>
    </row>
    <row r="10287">
      <c r="D10287" s="185"/>
      <c r="E10287" s="185" t="s">
        <v>470</v>
      </c>
      <c r="H10287" s="185"/>
    </row>
    <row r="10288">
      <c r="D10288" s="185"/>
      <c r="E10288" s="185" t="s">
        <v>470</v>
      </c>
      <c r="H10288" s="185"/>
    </row>
    <row r="10289">
      <c r="D10289" s="185"/>
      <c r="E10289" s="185" t="s">
        <v>470</v>
      </c>
      <c r="H10289" s="185"/>
    </row>
    <row r="10290">
      <c r="D10290" s="185"/>
      <c r="E10290" s="185" t="s">
        <v>470</v>
      </c>
      <c r="H10290" s="185"/>
    </row>
    <row r="10291">
      <c r="D10291" s="185"/>
      <c r="E10291" s="185" t="s">
        <v>470</v>
      </c>
      <c r="H10291" s="185"/>
    </row>
    <row r="10292">
      <c r="D10292" s="185"/>
      <c r="E10292" s="185" t="s">
        <v>470</v>
      </c>
      <c r="H10292" s="185"/>
    </row>
    <row r="10293">
      <c r="D10293" s="185"/>
      <c r="E10293" s="185" t="s">
        <v>470</v>
      </c>
      <c r="H10293" s="185"/>
    </row>
    <row r="10294">
      <c r="D10294" s="185"/>
      <c r="E10294" s="185" t="s">
        <v>470</v>
      </c>
      <c r="H10294" s="185"/>
    </row>
    <row r="10295">
      <c r="D10295" s="185"/>
      <c r="E10295" s="185" t="s">
        <v>470</v>
      </c>
      <c r="H10295" s="185"/>
    </row>
    <row r="10296">
      <c r="D10296" s="185"/>
      <c r="E10296" s="185" t="s">
        <v>470</v>
      </c>
      <c r="H10296" s="185"/>
    </row>
    <row r="10297">
      <c r="D10297" s="185"/>
      <c r="E10297" s="185" t="s">
        <v>470</v>
      </c>
      <c r="H10297" s="185"/>
    </row>
    <row r="10298">
      <c r="D10298" s="185"/>
      <c r="E10298" s="185" t="s">
        <v>470</v>
      </c>
      <c r="H10298" s="185"/>
    </row>
    <row r="10299">
      <c r="D10299" s="185"/>
      <c r="E10299" s="185" t="s">
        <v>470</v>
      </c>
      <c r="H10299" s="185"/>
    </row>
    <row r="10300">
      <c r="D10300" s="185"/>
      <c r="E10300" s="185" t="s">
        <v>470</v>
      </c>
      <c r="H10300" s="185"/>
    </row>
    <row r="10301">
      <c r="D10301" s="185"/>
      <c r="E10301" s="185" t="s">
        <v>470</v>
      </c>
      <c r="H10301" s="185"/>
    </row>
    <row r="10302">
      <c r="D10302" s="185"/>
      <c r="E10302" s="185" t="s">
        <v>470</v>
      </c>
      <c r="H10302" s="185"/>
    </row>
    <row r="10303">
      <c r="D10303" s="185"/>
      <c r="E10303" s="185" t="s">
        <v>470</v>
      </c>
      <c r="H10303" s="185"/>
    </row>
    <row r="10304">
      <c r="D10304" s="185"/>
      <c r="E10304" s="185" t="s">
        <v>470</v>
      </c>
      <c r="H10304" s="185"/>
    </row>
    <row r="10305">
      <c r="D10305" s="185"/>
      <c r="E10305" s="185" t="s">
        <v>470</v>
      </c>
      <c r="H10305" s="185"/>
    </row>
    <row r="10306">
      <c r="D10306" s="185"/>
      <c r="E10306" s="185" t="s">
        <v>470</v>
      </c>
      <c r="H10306" s="185"/>
    </row>
    <row r="10307">
      <c r="D10307" s="185"/>
      <c r="E10307" s="185" t="s">
        <v>470</v>
      </c>
      <c r="H10307" s="185"/>
    </row>
    <row r="10308">
      <c r="D10308" s="185"/>
      <c r="E10308" s="185" t="s">
        <v>470</v>
      </c>
      <c r="H10308" s="185"/>
    </row>
    <row r="10309">
      <c r="D10309" s="185"/>
      <c r="E10309" s="185" t="s">
        <v>470</v>
      </c>
      <c r="H10309" s="185"/>
    </row>
    <row r="10310">
      <c r="D10310" s="185"/>
      <c r="E10310" s="185" t="s">
        <v>470</v>
      </c>
      <c r="H10310" s="185"/>
    </row>
    <row r="10311">
      <c r="D10311" s="185"/>
      <c r="E10311" s="185" t="s">
        <v>470</v>
      </c>
      <c r="H10311" s="185"/>
    </row>
    <row r="10312">
      <c r="D10312" s="185"/>
      <c r="E10312" s="185" t="s">
        <v>470</v>
      </c>
      <c r="H10312" s="185"/>
    </row>
    <row r="10313">
      <c r="D10313" s="185"/>
      <c r="E10313" s="185" t="s">
        <v>470</v>
      </c>
      <c r="H10313" s="185"/>
    </row>
    <row r="10314">
      <c r="D10314" s="185"/>
      <c r="E10314" s="185" t="s">
        <v>470</v>
      </c>
      <c r="H10314" s="185"/>
    </row>
    <row r="10315">
      <c r="D10315" s="185"/>
      <c r="E10315" s="185" t="s">
        <v>470</v>
      </c>
      <c r="H10315" s="185"/>
    </row>
    <row r="10316">
      <c r="D10316" s="185"/>
      <c r="E10316" s="185" t="s">
        <v>470</v>
      </c>
      <c r="H10316" s="185"/>
    </row>
    <row r="10317">
      <c r="D10317" s="185"/>
      <c r="E10317" s="185" t="s">
        <v>470</v>
      </c>
      <c r="H10317" s="185"/>
    </row>
    <row r="10318">
      <c r="D10318" s="185"/>
      <c r="E10318" s="185" t="s">
        <v>470</v>
      </c>
      <c r="H10318" s="185"/>
    </row>
    <row r="10319">
      <c r="D10319" s="185"/>
      <c r="E10319" s="185" t="s">
        <v>470</v>
      </c>
      <c r="H10319" s="185"/>
    </row>
    <row r="10320">
      <c r="D10320" s="185"/>
      <c r="E10320" s="185" t="s">
        <v>470</v>
      </c>
      <c r="H10320" s="185"/>
    </row>
    <row r="10321">
      <c r="D10321" s="185"/>
      <c r="E10321" s="185" t="s">
        <v>470</v>
      </c>
      <c r="H10321" s="185"/>
    </row>
    <row r="10322">
      <c r="D10322" s="185"/>
      <c r="E10322" s="185" t="s">
        <v>470</v>
      </c>
      <c r="H10322" s="185"/>
    </row>
    <row r="10323">
      <c r="D10323" s="185"/>
      <c r="E10323" s="185" t="s">
        <v>470</v>
      </c>
      <c r="H10323" s="185"/>
    </row>
    <row r="10324">
      <c r="D10324" s="185"/>
      <c r="E10324" s="185" t="s">
        <v>470</v>
      </c>
      <c r="H10324" s="185"/>
    </row>
    <row r="10325">
      <c r="D10325" s="185"/>
      <c r="E10325" s="185" t="s">
        <v>470</v>
      </c>
      <c r="H10325" s="185"/>
    </row>
    <row r="10326">
      <c r="D10326" s="185"/>
      <c r="E10326" s="185" t="s">
        <v>470</v>
      </c>
      <c r="H10326" s="185"/>
    </row>
    <row r="10327">
      <c r="D10327" s="185"/>
      <c r="E10327" s="185" t="s">
        <v>470</v>
      </c>
      <c r="H10327" s="185"/>
    </row>
    <row r="10328">
      <c r="D10328" s="185"/>
      <c r="E10328" s="185" t="s">
        <v>470</v>
      </c>
      <c r="H10328" s="185"/>
    </row>
    <row r="10329">
      <c r="D10329" s="185"/>
      <c r="E10329" s="185" t="s">
        <v>470</v>
      </c>
      <c r="H10329" s="185"/>
    </row>
    <row r="10330">
      <c r="D10330" s="185"/>
      <c r="E10330" s="185" t="s">
        <v>470</v>
      </c>
      <c r="H10330" s="185"/>
    </row>
    <row r="10331">
      <c r="D10331" s="185"/>
      <c r="E10331" s="185" t="s">
        <v>470</v>
      </c>
      <c r="H10331" s="185"/>
    </row>
    <row r="10332">
      <c r="D10332" s="185"/>
      <c r="E10332" s="185" t="s">
        <v>470</v>
      </c>
      <c r="H10332" s="185"/>
    </row>
    <row r="10333">
      <c r="D10333" s="185"/>
      <c r="E10333" s="185" t="s">
        <v>470</v>
      </c>
      <c r="H10333" s="185"/>
    </row>
    <row r="10334">
      <c r="D10334" s="185"/>
      <c r="E10334" s="185" t="s">
        <v>470</v>
      </c>
      <c r="H10334" s="185"/>
    </row>
    <row r="10335">
      <c r="D10335" s="185"/>
      <c r="E10335" s="185" t="s">
        <v>470</v>
      </c>
      <c r="H10335" s="185"/>
    </row>
    <row r="10336">
      <c r="D10336" s="185"/>
      <c r="E10336" s="185" t="s">
        <v>470</v>
      </c>
      <c r="H10336" s="185"/>
    </row>
    <row r="10337">
      <c r="D10337" s="185"/>
      <c r="E10337" s="185" t="s">
        <v>470</v>
      </c>
      <c r="H10337" s="185"/>
    </row>
    <row r="10338">
      <c r="D10338" s="185"/>
      <c r="E10338" s="185" t="s">
        <v>470</v>
      </c>
      <c r="H10338" s="185"/>
    </row>
    <row r="10339">
      <c r="D10339" s="185"/>
      <c r="E10339" s="185" t="s">
        <v>470</v>
      </c>
      <c r="H10339" s="185"/>
    </row>
    <row r="10340">
      <c r="D10340" s="185"/>
      <c r="E10340" s="185" t="s">
        <v>470</v>
      </c>
      <c r="H10340" s="185"/>
    </row>
    <row r="10341">
      <c r="D10341" s="185"/>
      <c r="E10341" s="185" t="s">
        <v>470</v>
      </c>
      <c r="H10341" s="185"/>
    </row>
    <row r="10342">
      <c r="D10342" s="185"/>
      <c r="E10342" s="185" t="s">
        <v>470</v>
      </c>
      <c r="H10342" s="185"/>
    </row>
    <row r="10343">
      <c r="D10343" s="185"/>
      <c r="E10343" s="185" t="s">
        <v>470</v>
      </c>
      <c r="H10343" s="185"/>
    </row>
    <row r="10344">
      <c r="D10344" s="185"/>
      <c r="E10344" s="185" t="s">
        <v>470</v>
      </c>
      <c r="H10344" s="185"/>
    </row>
    <row r="10345">
      <c r="D10345" s="185"/>
      <c r="E10345" s="185" t="s">
        <v>470</v>
      </c>
      <c r="H10345" s="185"/>
    </row>
    <row r="10346">
      <c r="D10346" s="185"/>
      <c r="E10346" s="185" t="s">
        <v>470</v>
      </c>
      <c r="H10346" s="185"/>
    </row>
    <row r="10347">
      <c r="D10347" s="185"/>
      <c r="E10347" s="185" t="s">
        <v>470</v>
      </c>
      <c r="H10347" s="185"/>
    </row>
    <row r="10348">
      <c r="D10348" s="185"/>
      <c r="E10348" s="185" t="s">
        <v>470</v>
      </c>
      <c r="H10348" s="185"/>
    </row>
    <row r="10349">
      <c r="D10349" s="185"/>
      <c r="E10349" s="185" t="s">
        <v>470</v>
      </c>
      <c r="H10349" s="185"/>
    </row>
    <row r="10350">
      <c r="D10350" s="185"/>
      <c r="E10350" s="185" t="s">
        <v>470</v>
      </c>
      <c r="H10350" s="185"/>
    </row>
    <row r="10351">
      <c r="D10351" s="185"/>
      <c r="E10351" s="185" t="s">
        <v>470</v>
      </c>
      <c r="H10351" s="185"/>
    </row>
    <row r="10352">
      <c r="D10352" s="185"/>
      <c r="E10352" s="185" t="s">
        <v>470</v>
      </c>
      <c r="H10352" s="185"/>
    </row>
    <row r="10353">
      <c r="D10353" s="185"/>
      <c r="E10353" s="185" t="s">
        <v>470</v>
      </c>
      <c r="H10353" s="185"/>
    </row>
    <row r="10354">
      <c r="D10354" s="185"/>
      <c r="E10354" s="185" t="s">
        <v>470</v>
      </c>
      <c r="H10354" s="185"/>
    </row>
    <row r="10355">
      <c r="D10355" s="185"/>
      <c r="E10355" s="185" t="s">
        <v>470</v>
      </c>
      <c r="H10355" s="185"/>
    </row>
    <row r="10356">
      <c r="D10356" s="185"/>
      <c r="E10356" s="185" t="s">
        <v>470</v>
      </c>
      <c r="H10356" s="185"/>
    </row>
    <row r="10357">
      <c r="D10357" s="185"/>
      <c r="E10357" s="185" t="s">
        <v>470</v>
      </c>
      <c r="H10357" s="185"/>
    </row>
    <row r="10358">
      <c r="D10358" s="185"/>
      <c r="E10358" s="185" t="s">
        <v>470</v>
      </c>
      <c r="H10358" s="185"/>
    </row>
    <row r="10359">
      <c r="D10359" s="185"/>
      <c r="E10359" s="185" t="s">
        <v>470</v>
      </c>
      <c r="H10359" s="185"/>
    </row>
    <row r="10360">
      <c r="D10360" s="185"/>
      <c r="E10360" s="185" t="s">
        <v>470</v>
      </c>
      <c r="H10360" s="185"/>
    </row>
    <row r="10361">
      <c r="D10361" s="185"/>
      <c r="E10361" s="185" t="s">
        <v>470</v>
      </c>
      <c r="H10361" s="185"/>
    </row>
    <row r="10362">
      <c r="D10362" s="185"/>
      <c r="E10362" s="185" t="s">
        <v>470</v>
      </c>
      <c r="H10362" s="185"/>
    </row>
    <row r="10363">
      <c r="D10363" s="185"/>
      <c r="E10363" s="185" t="s">
        <v>470</v>
      </c>
      <c r="H10363" s="185"/>
    </row>
    <row r="10364">
      <c r="D10364" s="185"/>
      <c r="E10364" s="185" t="s">
        <v>470</v>
      </c>
      <c r="H10364" s="185"/>
    </row>
    <row r="10365">
      <c r="D10365" s="185"/>
      <c r="E10365" s="185" t="s">
        <v>470</v>
      </c>
      <c r="H10365" s="185"/>
    </row>
    <row r="10366">
      <c r="D10366" s="185"/>
      <c r="E10366" s="185" t="s">
        <v>470</v>
      </c>
      <c r="H10366" s="185"/>
    </row>
    <row r="10367">
      <c r="D10367" s="185"/>
      <c r="E10367" s="185" t="s">
        <v>470</v>
      </c>
      <c r="H10367" s="185"/>
    </row>
    <row r="10368">
      <c r="D10368" s="185"/>
      <c r="E10368" s="185" t="s">
        <v>470</v>
      </c>
      <c r="H10368" s="185"/>
    </row>
    <row r="10369">
      <c r="D10369" s="185"/>
      <c r="E10369" s="185" t="s">
        <v>470</v>
      </c>
      <c r="H10369" s="185"/>
    </row>
    <row r="10370">
      <c r="D10370" s="185"/>
      <c r="E10370" s="185" t="s">
        <v>470</v>
      </c>
      <c r="H10370" s="185"/>
    </row>
    <row r="10371">
      <c r="D10371" s="185"/>
      <c r="E10371" s="185" t="s">
        <v>470</v>
      </c>
      <c r="H10371" s="185"/>
    </row>
    <row r="10372">
      <c r="D10372" s="185"/>
      <c r="E10372" s="185" t="s">
        <v>470</v>
      </c>
      <c r="H10372" s="185"/>
    </row>
    <row r="10373">
      <c r="D10373" s="185"/>
      <c r="E10373" s="185" t="s">
        <v>470</v>
      </c>
      <c r="H10373" s="185"/>
    </row>
    <row r="10374">
      <c r="D10374" s="185"/>
      <c r="E10374" s="185" t="s">
        <v>470</v>
      </c>
      <c r="H10374" s="185"/>
    </row>
    <row r="10375">
      <c r="D10375" s="185"/>
      <c r="E10375" s="185" t="s">
        <v>470</v>
      </c>
      <c r="H10375" s="185"/>
    </row>
    <row r="10376">
      <c r="D10376" s="185"/>
      <c r="E10376" s="185" t="s">
        <v>470</v>
      </c>
      <c r="H10376" s="185"/>
    </row>
    <row r="10377">
      <c r="D10377" s="185"/>
      <c r="E10377" s="185" t="s">
        <v>470</v>
      </c>
      <c r="H10377" s="185"/>
    </row>
    <row r="10378">
      <c r="D10378" s="185"/>
      <c r="E10378" s="185" t="s">
        <v>470</v>
      </c>
      <c r="H10378" s="185"/>
    </row>
    <row r="10379">
      <c r="D10379" s="185"/>
      <c r="E10379" s="185" t="s">
        <v>470</v>
      </c>
      <c r="H10379" s="185"/>
    </row>
    <row r="10380">
      <c r="D10380" s="185"/>
      <c r="E10380" s="185" t="s">
        <v>470</v>
      </c>
      <c r="H10380" s="185"/>
    </row>
    <row r="10381">
      <c r="D10381" s="185"/>
      <c r="E10381" s="185" t="s">
        <v>470</v>
      </c>
      <c r="H10381" s="185"/>
    </row>
    <row r="10382">
      <c r="D10382" s="185"/>
      <c r="E10382" s="185" t="s">
        <v>470</v>
      </c>
      <c r="H10382" s="185"/>
    </row>
    <row r="10383">
      <c r="D10383" s="185"/>
      <c r="E10383" s="185" t="s">
        <v>470</v>
      </c>
      <c r="H10383" s="185"/>
    </row>
    <row r="10384">
      <c r="D10384" s="185"/>
      <c r="E10384" s="185" t="s">
        <v>470</v>
      </c>
      <c r="H10384" s="185"/>
    </row>
    <row r="10385">
      <c r="D10385" s="185"/>
      <c r="E10385" s="185" t="s">
        <v>470</v>
      </c>
      <c r="H10385" s="185"/>
    </row>
    <row r="10386">
      <c r="D10386" s="185"/>
      <c r="E10386" s="185" t="s">
        <v>470</v>
      </c>
      <c r="H10386" s="185"/>
    </row>
    <row r="10387">
      <c r="D10387" s="185"/>
      <c r="E10387" s="185" t="s">
        <v>470</v>
      </c>
      <c r="H10387" s="185"/>
    </row>
    <row r="10388">
      <c r="D10388" s="185"/>
      <c r="E10388" s="185" t="s">
        <v>470</v>
      </c>
      <c r="H10388" s="185"/>
    </row>
    <row r="10389">
      <c r="D10389" s="185"/>
      <c r="E10389" s="185" t="s">
        <v>470</v>
      </c>
      <c r="H10389" s="185"/>
    </row>
    <row r="10390">
      <c r="D10390" s="185"/>
      <c r="E10390" s="185" t="s">
        <v>470</v>
      </c>
      <c r="H10390" s="185"/>
    </row>
    <row r="10391">
      <c r="D10391" s="185"/>
      <c r="E10391" s="185" t="s">
        <v>470</v>
      </c>
      <c r="H10391" s="185"/>
    </row>
    <row r="10392">
      <c r="D10392" s="185"/>
      <c r="E10392" s="185" t="s">
        <v>470</v>
      </c>
      <c r="H10392" s="185"/>
    </row>
    <row r="10393">
      <c r="D10393" s="185"/>
      <c r="E10393" s="185" t="s">
        <v>470</v>
      </c>
      <c r="H10393" s="185"/>
    </row>
    <row r="10394">
      <c r="D10394" s="185"/>
      <c r="E10394" s="185" t="s">
        <v>470</v>
      </c>
      <c r="H10394" s="185"/>
    </row>
    <row r="10395">
      <c r="D10395" s="185"/>
      <c r="E10395" s="185" t="s">
        <v>470</v>
      </c>
      <c r="H10395" s="185"/>
    </row>
    <row r="10396">
      <c r="D10396" s="185"/>
      <c r="E10396" s="185" t="s">
        <v>470</v>
      </c>
      <c r="H10396" s="185"/>
    </row>
    <row r="10397">
      <c r="D10397" s="185"/>
      <c r="E10397" s="185" t="s">
        <v>470</v>
      </c>
      <c r="H10397" s="185"/>
    </row>
    <row r="10398">
      <c r="D10398" s="185"/>
      <c r="E10398" s="185" t="s">
        <v>470</v>
      </c>
      <c r="H10398" s="185"/>
    </row>
    <row r="10399">
      <c r="D10399" s="185"/>
      <c r="E10399" s="185" t="s">
        <v>470</v>
      </c>
      <c r="H10399" s="185"/>
    </row>
    <row r="10400">
      <c r="D10400" s="185"/>
      <c r="E10400" s="185" t="s">
        <v>470</v>
      </c>
      <c r="H10400" s="185"/>
    </row>
    <row r="10401">
      <c r="D10401" s="185"/>
      <c r="E10401" s="185" t="s">
        <v>470</v>
      </c>
      <c r="H10401" s="185"/>
    </row>
    <row r="10402">
      <c r="D10402" s="185"/>
      <c r="E10402" s="185" t="s">
        <v>470</v>
      </c>
      <c r="H10402" s="185"/>
    </row>
    <row r="10403">
      <c r="D10403" s="185"/>
      <c r="E10403" s="185" t="s">
        <v>470</v>
      </c>
      <c r="H10403" s="185"/>
    </row>
    <row r="10404">
      <c r="D10404" s="185"/>
      <c r="E10404" s="185" t="s">
        <v>470</v>
      </c>
      <c r="H10404" s="185"/>
    </row>
    <row r="10405">
      <c r="D10405" s="185"/>
      <c r="E10405" s="185" t="s">
        <v>470</v>
      </c>
      <c r="H10405" s="185"/>
    </row>
    <row r="10406">
      <c r="D10406" s="185"/>
      <c r="E10406" s="185" t="s">
        <v>470</v>
      </c>
      <c r="H10406" s="185"/>
    </row>
    <row r="10407">
      <c r="D10407" s="185"/>
      <c r="E10407" s="185" t="s">
        <v>470</v>
      </c>
      <c r="H10407" s="185"/>
    </row>
    <row r="10408">
      <c r="D10408" s="185"/>
      <c r="E10408" s="185" t="s">
        <v>470</v>
      </c>
      <c r="H10408" s="185"/>
    </row>
    <row r="10409">
      <c r="D10409" s="185"/>
      <c r="E10409" s="185" t="s">
        <v>470</v>
      </c>
      <c r="H10409" s="185"/>
    </row>
    <row r="10410">
      <c r="D10410" s="185"/>
      <c r="E10410" s="185" t="s">
        <v>470</v>
      </c>
      <c r="H10410" s="185"/>
    </row>
    <row r="10411">
      <c r="D10411" s="185"/>
      <c r="E10411" s="185" t="s">
        <v>470</v>
      </c>
      <c r="H10411" s="185"/>
    </row>
    <row r="10412">
      <c r="D10412" s="185"/>
      <c r="E10412" s="185" t="s">
        <v>470</v>
      </c>
      <c r="H10412" s="185"/>
    </row>
    <row r="10413">
      <c r="D10413" s="185"/>
      <c r="E10413" s="185" t="s">
        <v>470</v>
      </c>
      <c r="H10413" s="185"/>
    </row>
    <row r="10414">
      <c r="D10414" s="185"/>
      <c r="E10414" s="185" t="s">
        <v>470</v>
      </c>
      <c r="H10414" s="185"/>
    </row>
    <row r="10415">
      <c r="D10415" s="185"/>
      <c r="E10415" s="185" t="s">
        <v>470</v>
      </c>
      <c r="H10415" s="185"/>
    </row>
    <row r="10416">
      <c r="D10416" s="185"/>
      <c r="E10416" s="185" t="s">
        <v>470</v>
      </c>
      <c r="H10416" s="185"/>
    </row>
    <row r="10417">
      <c r="D10417" s="185"/>
      <c r="E10417" s="185" t="s">
        <v>470</v>
      </c>
      <c r="H10417" s="185"/>
    </row>
    <row r="10418">
      <c r="D10418" s="185"/>
      <c r="E10418" s="185" t="s">
        <v>470</v>
      </c>
      <c r="H10418" s="185"/>
    </row>
    <row r="10419">
      <c r="D10419" s="185"/>
      <c r="E10419" s="185" t="s">
        <v>470</v>
      </c>
      <c r="H10419" s="185"/>
    </row>
    <row r="10420">
      <c r="D10420" s="185"/>
      <c r="E10420" s="185" t="s">
        <v>470</v>
      </c>
      <c r="H10420" s="185"/>
    </row>
    <row r="10421">
      <c r="D10421" s="185"/>
      <c r="E10421" s="185" t="s">
        <v>470</v>
      </c>
      <c r="H10421" s="185"/>
    </row>
    <row r="10422">
      <c r="D10422" s="185"/>
      <c r="E10422" s="185" t="s">
        <v>470</v>
      </c>
      <c r="H10422" s="185"/>
    </row>
    <row r="10423">
      <c r="D10423" s="185"/>
      <c r="E10423" s="185" t="s">
        <v>470</v>
      </c>
      <c r="H10423" s="185"/>
    </row>
    <row r="10424">
      <c r="D10424" s="185"/>
      <c r="E10424" s="185" t="s">
        <v>470</v>
      </c>
      <c r="H10424" s="185"/>
    </row>
    <row r="10425">
      <c r="D10425" s="185"/>
      <c r="E10425" s="185" t="s">
        <v>470</v>
      </c>
      <c r="H10425" s="185"/>
    </row>
    <row r="10426">
      <c r="D10426" s="185"/>
      <c r="E10426" s="185" t="s">
        <v>470</v>
      </c>
      <c r="H10426" s="185"/>
    </row>
    <row r="10427">
      <c r="D10427" s="185"/>
      <c r="E10427" s="185" t="s">
        <v>470</v>
      </c>
      <c r="H10427" s="185"/>
    </row>
    <row r="10428">
      <c r="D10428" s="185"/>
      <c r="E10428" s="185" t="s">
        <v>470</v>
      </c>
      <c r="H10428" s="185"/>
    </row>
    <row r="10429">
      <c r="D10429" s="185"/>
      <c r="E10429" s="185" t="s">
        <v>470</v>
      </c>
      <c r="H10429" s="185"/>
    </row>
    <row r="10430">
      <c r="D10430" s="185"/>
      <c r="E10430" s="185" t="s">
        <v>470</v>
      </c>
      <c r="H10430" s="185"/>
    </row>
    <row r="10431">
      <c r="D10431" s="185"/>
      <c r="E10431" s="185" t="s">
        <v>470</v>
      </c>
      <c r="H10431" s="185"/>
    </row>
    <row r="10432">
      <c r="D10432" s="185"/>
      <c r="E10432" s="185" t="s">
        <v>470</v>
      </c>
      <c r="H10432" s="185"/>
    </row>
    <row r="10433">
      <c r="D10433" s="185"/>
      <c r="E10433" s="185" t="s">
        <v>470</v>
      </c>
      <c r="H10433" s="185"/>
    </row>
    <row r="10434">
      <c r="D10434" s="185"/>
      <c r="E10434" s="185" t="s">
        <v>470</v>
      </c>
      <c r="H10434" s="185"/>
    </row>
    <row r="10435">
      <c r="D10435" s="185"/>
      <c r="E10435" s="185" t="s">
        <v>470</v>
      </c>
      <c r="H10435" s="185"/>
    </row>
    <row r="10436">
      <c r="D10436" s="185"/>
      <c r="E10436" s="185" t="s">
        <v>470</v>
      </c>
      <c r="H10436" s="185"/>
    </row>
    <row r="10437">
      <c r="D10437" s="185"/>
      <c r="E10437" s="185" t="s">
        <v>470</v>
      </c>
      <c r="H10437" s="185"/>
    </row>
    <row r="10438">
      <c r="D10438" s="185"/>
      <c r="E10438" s="185" t="s">
        <v>470</v>
      </c>
      <c r="H10438" s="185"/>
    </row>
    <row r="10439">
      <c r="D10439" s="185"/>
      <c r="E10439" s="185" t="s">
        <v>470</v>
      </c>
      <c r="H10439" s="185"/>
    </row>
    <row r="10440">
      <c r="D10440" s="185"/>
      <c r="E10440" s="185" t="s">
        <v>470</v>
      </c>
      <c r="H10440" s="185"/>
    </row>
    <row r="10441">
      <c r="D10441" s="185"/>
      <c r="E10441" s="185" t="s">
        <v>470</v>
      </c>
      <c r="H10441" s="185"/>
    </row>
    <row r="10442">
      <c r="D10442" s="185"/>
      <c r="E10442" s="185" t="s">
        <v>470</v>
      </c>
      <c r="H10442" s="185"/>
    </row>
    <row r="10443">
      <c r="D10443" s="185"/>
      <c r="E10443" s="185" t="s">
        <v>470</v>
      </c>
      <c r="H10443" s="185"/>
    </row>
    <row r="10444">
      <c r="D10444" s="185"/>
      <c r="E10444" s="185" t="s">
        <v>470</v>
      </c>
      <c r="H10444" s="185"/>
    </row>
    <row r="10445">
      <c r="D10445" s="185"/>
      <c r="E10445" s="185" t="s">
        <v>470</v>
      </c>
      <c r="H10445" s="185"/>
    </row>
    <row r="10446">
      <c r="D10446" s="185"/>
      <c r="E10446" s="185" t="s">
        <v>470</v>
      </c>
      <c r="H10446" s="185"/>
    </row>
    <row r="10447">
      <c r="D10447" s="185"/>
      <c r="E10447" s="185" t="s">
        <v>470</v>
      </c>
      <c r="H10447" s="185"/>
    </row>
    <row r="10448">
      <c r="D10448" s="185"/>
      <c r="E10448" s="185" t="s">
        <v>470</v>
      </c>
      <c r="H10448" s="185"/>
    </row>
    <row r="10449">
      <c r="D10449" s="185"/>
      <c r="E10449" s="185" t="s">
        <v>470</v>
      </c>
      <c r="H10449" s="185"/>
    </row>
    <row r="10450">
      <c r="D10450" s="185"/>
      <c r="E10450" s="185" t="s">
        <v>470</v>
      </c>
      <c r="H10450" s="185"/>
    </row>
    <row r="10451">
      <c r="D10451" s="185"/>
      <c r="E10451" s="185" t="s">
        <v>470</v>
      </c>
      <c r="H10451" s="185"/>
    </row>
    <row r="10452">
      <c r="D10452" s="185"/>
      <c r="E10452" s="185" t="s">
        <v>470</v>
      </c>
      <c r="H10452" s="185"/>
    </row>
    <row r="10453">
      <c r="D10453" s="185"/>
      <c r="E10453" s="185" t="s">
        <v>470</v>
      </c>
      <c r="H10453" s="185"/>
    </row>
    <row r="10454">
      <c r="D10454" s="185"/>
      <c r="E10454" s="185" t="s">
        <v>470</v>
      </c>
      <c r="H10454" s="185"/>
    </row>
    <row r="10455">
      <c r="D10455" s="185"/>
      <c r="E10455" s="185" t="s">
        <v>470</v>
      </c>
      <c r="H10455" s="185"/>
    </row>
    <row r="10456">
      <c r="D10456" s="185"/>
      <c r="E10456" s="185" t="s">
        <v>470</v>
      </c>
      <c r="H10456" s="185"/>
    </row>
    <row r="10457">
      <c r="D10457" s="185"/>
      <c r="E10457" s="185" t="s">
        <v>470</v>
      </c>
      <c r="H10457" s="185"/>
    </row>
    <row r="10458">
      <c r="D10458" s="185"/>
      <c r="E10458" s="185" t="s">
        <v>470</v>
      </c>
      <c r="H10458" s="185"/>
    </row>
    <row r="10459">
      <c r="D10459" s="185"/>
      <c r="E10459" s="185" t="s">
        <v>470</v>
      </c>
      <c r="H10459" s="185"/>
    </row>
    <row r="10460">
      <c r="D10460" s="185"/>
      <c r="E10460" s="185" t="s">
        <v>470</v>
      </c>
      <c r="H10460" s="185"/>
    </row>
    <row r="10461">
      <c r="D10461" s="185"/>
      <c r="E10461" s="185" t="s">
        <v>470</v>
      </c>
      <c r="H10461" s="185"/>
    </row>
    <row r="10462">
      <c r="D10462" s="185"/>
      <c r="E10462" s="185" t="s">
        <v>470</v>
      </c>
      <c r="H10462" s="185"/>
    </row>
    <row r="10463">
      <c r="D10463" s="185"/>
      <c r="E10463" s="185" t="s">
        <v>470</v>
      </c>
      <c r="H10463" s="185"/>
    </row>
    <row r="10464">
      <c r="D10464" s="185"/>
      <c r="E10464" s="185" t="s">
        <v>470</v>
      </c>
      <c r="H10464" s="185"/>
    </row>
    <row r="10465">
      <c r="D10465" s="185"/>
      <c r="E10465" s="185" t="s">
        <v>470</v>
      </c>
      <c r="H10465" s="185"/>
    </row>
    <row r="10466">
      <c r="D10466" s="185"/>
      <c r="E10466" s="185" t="s">
        <v>470</v>
      </c>
      <c r="H10466" s="185"/>
    </row>
    <row r="10467">
      <c r="D10467" s="185"/>
      <c r="E10467" s="185" t="s">
        <v>470</v>
      </c>
      <c r="H10467" s="185"/>
    </row>
    <row r="10468">
      <c r="D10468" s="185"/>
      <c r="E10468" s="185" t="s">
        <v>470</v>
      </c>
      <c r="H10468" s="185"/>
    </row>
    <row r="10469">
      <c r="D10469" s="185"/>
      <c r="E10469" s="185" t="s">
        <v>470</v>
      </c>
      <c r="H10469" s="185"/>
    </row>
    <row r="10470">
      <c r="D10470" s="185"/>
      <c r="E10470" s="185" t="s">
        <v>470</v>
      </c>
      <c r="H10470" s="185"/>
    </row>
    <row r="10471">
      <c r="D10471" s="185"/>
      <c r="E10471" s="185" t="s">
        <v>470</v>
      </c>
      <c r="H10471" s="185"/>
    </row>
    <row r="10472">
      <c r="D10472" s="185"/>
      <c r="E10472" s="185" t="s">
        <v>470</v>
      </c>
      <c r="H10472" s="185"/>
    </row>
    <row r="10473">
      <c r="D10473" s="185"/>
      <c r="E10473" s="185" t="s">
        <v>470</v>
      </c>
      <c r="H10473" s="185"/>
    </row>
    <row r="10474">
      <c r="D10474" s="185"/>
      <c r="E10474" s="185" t="s">
        <v>470</v>
      </c>
      <c r="H10474" s="185"/>
    </row>
    <row r="10475">
      <c r="D10475" s="185"/>
      <c r="E10475" s="185" t="s">
        <v>470</v>
      </c>
      <c r="H10475" s="185"/>
    </row>
    <row r="10476">
      <c r="D10476" s="185"/>
      <c r="E10476" s="185" t="s">
        <v>470</v>
      </c>
      <c r="H10476" s="185"/>
    </row>
    <row r="10477">
      <c r="D10477" s="185"/>
      <c r="E10477" s="185" t="s">
        <v>470</v>
      </c>
      <c r="H10477" s="185"/>
    </row>
    <row r="10478">
      <c r="D10478" s="185"/>
      <c r="E10478" s="185" t="s">
        <v>470</v>
      </c>
      <c r="H10478" s="185"/>
    </row>
    <row r="10479">
      <c r="D10479" s="185"/>
      <c r="E10479" s="185" t="s">
        <v>470</v>
      </c>
      <c r="H10479" s="185"/>
    </row>
    <row r="10480">
      <c r="D10480" s="185"/>
      <c r="E10480" s="185" t="s">
        <v>470</v>
      </c>
      <c r="H10480" s="185"/>
    </row>
    <row r="10481">
      <c r="D10481" s="185"/>
      <c r="E10481" s="185" t="s">
        <v>470</v>
      </c>
      <c r="H10481" s="185"/>
    </row>
    <row r="10482">
      <c r="D10482" s="185"/>
      <c r="E10482" s="185" t="s">
        <v>470</v>
      </c>
      <c r="H10482" s="185"/>
    </row>
    <row r="10483">
      <c r="D10483" s="185"/>
      <c r="E10483" s="185" t="s">
        <v>470</v>
      </c>
      <c r="H10483" s="185"/>
    </row>
    <row r="10484">
      <c r="D10484" s="185"/>
      <c r="E10484" s="185" t="s">
        <v>470</v>
      </c>
      <c r="H10484" s="185"/>
    </row>
    <row r="10485">
      <c r="D10485" s="185"/>
      <c r="E10485" s="185" t="s">
        <v>470</v>
      </c>
      <c r="H10485" s="185"/>
    </row>
    <row r="10486">
      <c r="D10486" s="185"/>
      <c r="E10486" s="185" t="s">
        <v>470</v>
      </c>
      <c r="H10486" s="185"/>
    </row>
    <row r="10487">
      <c r="D10487" s="185"/>
      <c r="E10487" s="185" t="s">
        <v>470</v>
      </c>
      <c r="H10487" s="185"/>
    </row>
    <row r="10488">
      <c r="D10488" s="185"/>
      <c r="E10488" s="185" t="s">
        <v>470</v>
      </c>
      <c r="H10488" s="185"/>
    </row>
    <row r="10489">
      <c r="D10489" s="185"/>
      <c r="E10489" s="185" t="s">
        <v>470</v>
      </c>
      <c r="H10489" s="185"/>
    </row>
    <row r="10490">
      <c r="D10490" s="185"/>
      <c r="E10490" s="185" t="s">
        <v>470</v>
      </c>
      <c r="H10490" s="185"/>
    </row>
    <row r="10491">
      <c r="D10491" s="185"/>
      <c r="E10491" s="185" t="s">
        <v>470</v>
      </c>
      <c r="H10491" s="185"/>
    </row>
    <row r="10492">
      <c r="D10492" s="185"/>
      <c r="E10492" s="185" t="s">
        <v>470</v>
      </c>
      <c r="H10492" s="185"/>
    </row>
    <row r="10493">
      <c r="D10493" s="185"/>
      <c r="E10493" s="185" t="s">
        <v>470</v>
      </c>
      <c r="H10493" s="185"/>
    </row>
    <row r="10494">
      <c r="D10494" s="185"/>
      <c r="E10494" s="185" t="s">
        <v>470</v>
      </c>
      <c r="H10494" s="185"/>
    </row>
    <row r="10495">
      <c r="D10495" s="185"/>
      <c r="E10495" s="185" t="s">
        <v>470</v>
      </c>
      <c r="H10495" s="185"/>
    </row>
    <row r="10496">
      <c r="D10496" s="185"/>
      <c r="E10496" s="185" t="s">
        <v>470</v>
      </c>
      <c r="H10496" s="185"/>
    </row>
    <row r="10497">
      <c r="D10497" s="185"/>
      <c r="E10497" s="185" t="s">
        <v>470</v>
      </c>
      <c r="H10497" s="185"/>
    </row>
    <row r="10498">
      <c r="D10498" s="185"/>
      <c r="E10498" s="185" t="s">
        <v>470</v>
      </c>
      <c r="H10498" s="185"/>
    </row>
    <row r="10499">
      <c r="D10499" s="185"/>
      <c r="E10499" s="185" t="s">
        <v>470</v>
      </c>
      <c r="H10499" s="185"/>
    </row>
    <row r="10500">
      <c r="D10500" s="185"/>
      <c r="E10500" s="185" t="s">
        <v>470</v>
      </c>
      <c r="H10500" s="185"/>
    </row>
    <row r="10501">
      <c r="D10501" s="185"/>
      <c r="E10501" s="185" t="s">
        <v>470</v>
      </c>
      <c r="H10501" s="185"/>
    </row>
    <row r="10502">
      <c r="D10502" s="185"/>
      <c r="E10502" s="185" t="s">
        <v>470</v>
      </c>
      <c r="H10502" s="185"/>
    </row>
    <row r="10503">
      <c r="D10503" s="185"/>
      <c r="E10503" s="185" t="s">
        <v>470</v>
      </c>
      <c r="H10503" s="185"/>
    </row>
    <row r="10504">
      <c r="D10504" s="185"/>
      <c r="E10504" s="185" t="s">
        <v>470</v>
      </c>
      <c r="H10504" s="185"/>
    </row>
    <row r="10505">
      <c r="D10505" s="185"/>
      <c r="E10505" s="185" t="s">
        <v>470</v>
      </c>
      <c r="H10505" s="185"/>
    </row>
    <row r="10506">
      <c r="D10506" s="185"/>
      <c r="E10506" s="185" t="s">
        <v>470</v>
      </c>
      <c r="H10506" s="185"/>
    </row>
    <row r="10507">
      <c r="D10507" s="185"/>
      <c r="E10507" s="185" t="s">
        <v>470</v>
      </c>
      <c r="H10507" s="185"/>
    </row>
    <row r="10508">
      <c r="D10508" s="185"/>
      <c r="E10508" s="185" t="s">
        <v>470</v>
      </c>
      <c r="H10508" s="185"/>
    </row>
    <row r="10509">
      <c r="D10509" s="185"/>
      <c r="E10509" s="185" t="s">
        <v>470</v>
      </c>
      <c r="H10509" s="185"/>
    </row>
    <row r="10510">
      <c r="D10510" s="185"/>
      <c r="E10510" s="185" t="s">
        <v>470</v>
      </c>
      <c r="H10510" s="185"/>
    </row>
    <row r="10511">
      <c r="D10511" s="185"/>
      <c r="E10511" s="185" t="s">
        <v>470</v>
      </c>
      <c r="H10511" s="185"/>
    </row>
    <row r="10512">
      <c r="D10512" s="185"/>
      <c r="E10512" s="185" t="s">
        <v>470</v>
      </c>
      <c r="H10512" s="185"/>
    </row>
    <row r="10513">
      <c r="D10513" s="185"/>
      <c r="E10513" s="185" t="s">
        <v>470</v>
      </c>
      <c r="H10513" s="185"/>
    </row>
    <row r="10514">
      <c r="D10514" s="185"/>
      <c r="E10514" s="185" t="s">
        <v>470</v>
      </c>
      <c r="H10514" s="185"/>
    </row>
    <row r="10515">
      <c r="D10515" s="185"/>
      <c r="E10515" s="185" t="s">
        <v>470</v>
      </c>
      <c r="H10515" s="185"/>
    </row>
    <row r="10516">
      <c r="D10516" s="185"/>
      <c r="E10516" s="185" t="s">
        <v>470</v>
      </c>
      <c r="H10516" s="185"/>
    </row>
    <row r="10517">
      <c r="D10517" s="185"/>
      <c r="E10517" s="185" t="s">
        <v>470</v>
      </c>
      <c r="H10517" s="185"/>
    </row>
    <row r="10518">
      <c r="D10518" s="185"/>
      <c r="E10518" s="185" t="s">
        <v>470</v>
      </c>
      <c r="H10518" s="185"/>
    </row>
    <row r="10519">
      <c r="D10519" s="185"/>
      <c r="E10519" s="185" t="s">
        <v>470</v>
      </c>
      <c r="H10519" s="185"/>
    </row>
    <row r="10520">
      <c r="D10520" s="185"/>
      <c r="E10520" s="185" t="s">
        <v>470</v>
      </c>
      <c r="H10520" s="185"/>
    </row>
    <row r="10521">
      <c r="D10521" s="185"/>
      <c r="E10521" s="185" t="s">
        <v>470</v>
      </c>
      <c r="H10521" s="185"/>
    </row>
    <row r="10522">
      <c r="D10522" s="185"/>
      <c r="E10522" s="185" t="s">
        <v>470</v>
      </c>
      <c r="H10522" s="185"/>
    </row>
    <row r="10523">
      <c r="D10523" s="185"/>
      <c r="E10523" s="185" t="s">
        <v>470</v>
      </c>
      <c r="H10523" s="185"/>
    </row>
    <row r="10524">
      <c r="D10524" s="185"/>
      <c r="E10524" s="185" t="s">
        <v>470</v>
      </c>
      <c r="H10524" s="185"/>
    </row>
    <row r="10525">
      <c r="D10525" s="185"/>
      <c r="E10525" s="185" t="s">
        <v>470</v>
      </c>
      <c r="H10525" s="185"/>
    </row>
    <row r="10526">
      <c r="D10526" s="185"/>
      <c r="E10526" s="185" t="s">
        <v>470</v>
      </c>
      <c r="H10526" s="185"/>
    </row>
    <row r="10527">
      <c r="D10527" s="185"/>
      <c r="E10527" s="185" t="s">
        <v>470</v>
      </c>
      <c r="H10527" s="185"/>
    </row>
    <row r="10528">
      <c r="D10528" s="185"/>
      <c r="E10528" s="185" t="s">
        <v>470</v>
      </c>
      <c r="H10528" s="185"/>
    </row>
    <row r="10529">
      <c r="D10529" s="185"/>
      <c r="E10529" s="185" t="s">
        <v>470</v>
      </c>
      <c r="H10529" s="185"/>
    </row>
    <row r="10530">
      <c r="D10530" s="185"/>
      <c r="E10530" s="185" t="s">
        <v>470</v>
      </c>
      <c r="H10530" s="185"/>
    </row>
    <row r="10531">
      <c r="D10531" s="185"/>
      <c r="E10531" s="185" t="s">
        <v>470</v>
      </c>
      <c r="H10531" s="185"/>
    </row>
    <row r="10532">
      <c r="D10532" s="185"/>
      <c r="E10532" s="185" t="s">
        <v>470</v>
      </c>
      <c r="H10532" s="185"/>
    </row>
    <row r="10533">
      <c r="D10533" s="185"/>
      <c r="E10533" s="185" t="s">
        <v>470</v>
      </c>
      <c r="H10533" s="185"/>
    </row>
    <row r="10534">
      <c r="D10534" s="185"/>
      <c r="E10534" s="185" t="s">
        <v>470</v>
      </c>
      <c r="H10534" s="185"/>
    </row>
    <row r="10535">
      <c r="D10535" s="185"/>
      <c r="E10535" s="185" t="s">
        <v>470</v>
      </c>
      <c r="H10535" s="185"/>
    </row>
    <row r="10536">
      <c r="D10536" s="185"/>
      <c r="E10536" s="185" t="s">
        <v>470</v>
      </c>
      <c r="H10536" s="185"/>
    </row>
    <row r="10537">
      <c r="D10537" s="185"/>
      <c r="E10537" s="185" t="s">
        <v>470</v>
      </c>
      <c r="H10537" s="185"/>
    </row>
    <row r="10538">
      <c r="D10538" s="185"/>
      <c r="E10538" s="185" t="s">
        <v>470</v>
      </c>
      <c r="H10538" s="185"/>
    </row>
    <row r="10539">
      <c r="D10539" s="185"/>
      <c r="E10539" s="185" t="s">
        <v>470</v>
      </c>
      <c r="H10539" s="185"/>
    </row>
    <row r="10540">
      <c r="D10540" s="185"/>
      <c r="E10540" s="185" t="s">
        <v>470</v>
      </c>
      <c r="H10540" s="185"/>
    </row>
    <row r="10541">
      <c r="D10541" s="185"/>
      <c r="E10541" s="185" t="s">
        <v>470</v>
      </c>
      <c r="H10541" s="185"/>
    </row>
    <row r="10542">
      <c r="D10542" s="185"/>
      <c r="E10542" s="185" t="s">
        <v>470</v>
      </c>
      <c r="H10542" s="185"/>
    </row>
    <row r="10543">
      <c r="D10543" s="185"/>
      <c r="E10543" s="185" t="s">
        <v>470</v>
      </c>
      <c r="H10543" s="185"/>
    </row>
    <row r="10544">
      <c r="D10544" s="185"/>
      <c r="E10544" s="185" t="s">
        <v>470</v>
      </c>
      <c r="H10544" s="185"/>
    </row>
    <row r="10545">
      <c r="D10545" s="185"/>
      <c r="E10545" s="185" t="s">
        <v>470</v>
      </c>
      <c r="H10545" s="185"/>
    </row>
    <row r="10546">
      <c r="D10546" s="185"/>
      <c r="E10546" s="185" t="s">
        <v>470</v>
      </c>
      <c r="H10546" s="185"/>
    </row>
    <row r="10547">
      <c r="D10547" s="185"/>
      <c r="E10547" s="185" t="s">
        <v>470</v>
      </c>
      <c r="H10547" s="185"/>
    </row>
    <row r="10548">
      <c r="D10548" s="185"/>
      <c r="E10548" s="185" t="s">
        <v>470</v>
      </c>
      <c r="H10548" s="185"/>
    </row>
    <row r="10549">
      <c r="D10549" s="185"/>
      <c r="E10549" s="185" t="s">
        <v>470</v>
      </c>
      <c r="H10549" s="185"/>
    </row>
    <row r="10550">
      <c r="D10550" s="185"/>
      <c r="E10550" s="185" t="s">
        <v>470</v>
      </c>
      <c r="H10550" s="185"/>
    </row>
    <row r="10551">
      <c r="D10551" s="185"/>
      <c r="E10551" s="185" t="s">
        <v>470</v>
      </c>
      <c r="H10551" s="185"/>
    </row>
    <row r="10552">
      <c r="D10552" s="185"/>
      <c r="E10552" s="185" t="s">
        <v>470</v>
      </c>
      <c r="H10552" s="185"/>
    </row>
    <row r="10553">
      <c r="D10553" s="185"/>
      <c r="E10553" s="185" t="s">
        <v>470</v>
      </c>
      <c r="H10553" s="185"/>
    </row>
    <row r="10554">
      <c r="D10554" s="185"/>
      <c r="E10554" s="185" t="s">
        <v>470</v>
      </c>
      <c r="H10554" s="185"/>
    </row>
    <row r="10555">
      <c r="D10555" s="185"/>
      <c r="E10555" s="185" t="s">
        <v>470</v>
      </c>
      <c r="H10555" s="185"/>
    </row>
    <row r="10556">
      <c r="D10556" s="185"/>
      <c r="E10556" s="185" t="s">
        <v>470</v>
      </c>
      <c r="H10556" s="185"/>
    </row>
    <row r="10557">
      <c r="D10557" s="185"/>
      <c r="E10557" s="185" t="s">
        <v>470</v>
      </c>
      <c r="H10557" s="185"/>
    </row>
    <row r="10558">
      <c r="D10558" s="185"/>
      <c r="E10558" s="185" t="s">
        <v>470</v>
      </c>
      <c r="H10558" s="185"/>
    </row>
    <row r="10559">
      <c r="D10559" s="185"/>
      <c r="E10559" s="185" t="s">
        <v>470</v>
      </c>
      <c r="H10559" s="185"/>
    </row>
    <row r="10560">
      <c r="D10560" s="185"/>
      <c r="E10560" s="185" t="s">
        <v>470</v>
      </c>
      <c r="H10560" s="185"/>
    </row>
    <row r="10561">
      <c r="D10561" s="185"/>
      <c r="E10561" s="185" t="s">
        <v>470</v>
      </c>
      <c r="H10561" s="185"/>
    </row>
    <row r="10562">
      <c r="D10562" s="185"/>
      <c r="E10562" s="185" t="s">
        <v>470</v>
      </c>
      <c r="H10562" s="185"/>
    </row>
    <row r="10563">
      <c r="D10563" s="185"/>
      <c r="E10563" s="185" t="s">
        <v>470</v>
      </c>
      <c r="H10563" s="185"/>
    </row>
    <row r="10564">
      <c r="D10564" s="185"/>
      <c r="E10564" s="185" t="s">
        <v>470</v>
      </c>
      <c r="H10564" s="185"/>
    </row>
    <row r="10565">
      <c r="D10565" s="185"/>
      <c r="E10565" s="185" t="s">
        <v>470</v>
      </c>
      <c r="H10565" s="185"/>
    </row>
    <row r="10566">
      <c r="D10566" s="185"/>
      <c r="E10566" s="185" t="s">
        <v>470</v>
      </c>
      <c r="H10566" s="185"/>
    </row>
    <row r="10567">
      <c r="D10567" s="185"/>
      <c r="E10567" s="185" t="s">
        <v>470</v>
      </c>
      <c r="H10567" s="185"/>
    </row>
    <row r="10568">
      <c r="D10568" s="185"/>
      <c r="E10568" s="185" t="s">
        <v>470</v>
      </c>
      <c r="H10568" s="185"/>
    </row>
    <row r="10569">
      <c r="D10569" s="185"/>
      <c r="E10569" s="185" t="s">
        <v>470</v>
      </c>
      <c r="H10569" s="185"/>
    </row>
    <row r="10570">
      <c r="D10570" s="185"/>
      <c r="E10570" s="185" t="s">
        <v>470</v>
      </c>
      <c r="H10570" s="185"/>
    </row>
    <row r="10571">
      <c r="D10571" s="185"/>
      <c r="E10571" s="185" t="s">
        <v>470</v>
      </c>
      <c r="H10571" s="185"/>
    </row>
    <row r="10572">
      <c r="D10572" s="185"/>
      <c r="E10572" s="185" t="s">
        <v>470</v>
      </c>
      <c r="H10572" s="185"/>
    </row>
    <row r="10573">
      <c r="D10573" s="185"/>
      <c r="E10573" s="185" t="s">
        <v>470</v>
      </c>
      <c r="H10573" s="185"/>
    </row>
    <row r="10574">
      <c r="D10574" s="185"/>
      <c r="E10574" s="185" t="s">
        <v>470</v>
      </c>
      <c r="H10574" s="185"/>
    </row>
    <row r="10575">
      <c r="D10575" s="185"/>
      <c r="E10575" s="185" t="s">
        <v>470</v>
      </c>
      <c r="H10575" s="185"/>
    </row>
    <row r="10576">
      <c r="D10576" s="185"/>
      <c r="E10576" s="185" t="s">
        <v>470</v>
      </c>
      <c r="H10576" s="185"/>
    </row>
    <row r="10577">
      <c r="D10577" s="185"/>
      <c r="E10577" s="185" t="s">
        <v>470</v>
      </c>
      <c r="H10577" s="185"/>
    </row>
    <row r="10578">
      <c r="D10578" s="185"/>
      <c r="E10578" s="185" t="s">
        <v>470</v>
      </c>
      <c r="H10578" s="185"/>
    </row>
    <row r="10579">
      <c r="D10579" s="185"/>
      <c r="E10579" s="185" t="s">
        <v>470</v>
      </c>
      <c r="H10579" s="185"/>
    </row>
    <row r="10580">
      <c r="D10580" s="185"/>
      <c r="E10580" s="185" t="s">
        <v>470</v>
      </c>
      <c r="H10580" s="185"/>
    </row>
    <row r="10581">
      <c r="D10581" s="185"/>
      <c r="E10581" s="185" t="s">
        <v>470</v>
      </c>
      <c r="H10581" s="185"/>
    </row>
    <row r="10582">
      <c r="D10582" s="185"/>
      <c r="E10582" s="185" t="s">
        <v>470</v>
      </c>
      <c r="H10582" s="185"/>
    </row>
    <row r="10583">
      <c r="D10583" s="185"/>
      <c r="E10583" s="185" t="s">
        <v>470</v>
      </c>
      <c r="H10583" s="185"/>
    </row>
    <row r="10584">
      <c r="D10584" s="185"/>
      <c r="E10584" s="185" t="s">
        <v>470</v>
      </c>
      <c r="H10584" s="185"/>
    </row>
    <row r="10585">
      <c r="D10585" s="185"/>
      <c r="E10585" s="185" t="s">
        <v>470</v>
      </c>
      <c r="H10585" s="185"/>
    </row>
    <row r="10586">
      <c r="D10586" s="185"/>
      <c r="E10586" s="185" t="s">
        <v>470</v>
      </c>
      <c r="H10586" s="185"/>
    </row>
    <row r="10587">
      <c r="D10587" s="185"/>
      <c r="E10587" s="185" t="s">
        <v>470</v>
      </c>
      <c r="H10587" s="185"/>
    </row>
    <row r="10588">
      <c r="D10588" s="185"/>
      <c r="E10588" s="185" t="s">
        <v>470</v>
      </c>
      <c r="H10588" s="185"/>
    </row>
    <row r="10589">
      <c r="D10589" s="185"/>
      <c r="E10589" s="185" t="s">
        <v>470</v>
      </c>
      <c r="H10589" s="185"/>
    </row>
    <row r="10590">
      <c r="D10590" s="185"/>
      <c r="E10590" s="185" t="s">
        <v>470</v>
      </c>
      <c r="H10590" s="185"/>
    </row>
    <row r="10591">
      <c r="D10591" s="185"/>
      <c r="E10591" s="185" t="s">
        <v>470</v>
      </c>
      <c r="H10591" s="185"/>
    </row>
    <row r="10592">
      <c r="D10592" s="185"/>
      <c r="E10592" s="185" t="s">
        <v>470</v>
      </c>
      <c r="H10592" s="185"/>
    </row>
    <row r="10593">
      <c r="D10593" s="185"/>
      <c r="E10593" s="185" t="s">
        <v>470</v>
      </c>
      <c r="H10593" s="185"/>
    </row>
    <row r="10594">
      <c r="D10594" s="185"/>
      <c r="E10594" s="185" t="s">
        <v>470</v>
      </c>
      <c r="H10594" s="185"/>
    </row>
    <row r="10595">
      <c r="D10595" s="185"/>
      <c r="E10595" s="185" t="s">
        <v>470</v>
      </c>
      <c r="H10595" s="185"/>
    </row>
    <row r="10596">
      <c r="D10596" s="185"/>
      <c r="E10596" s="185" t="s">
        <v>470</v>
      </c>
      <c r="H10596" s="185"/>
    </row>
    <row r="10597">
      <c r="D10597" s="185"/>
      <c r="E10597" s="185" t="s">
        <v>470</v>
      </c>
      <c r="H10597" s="185"/>
    </row>
    <row r="10598">
      <c r="D10598" s="185"/>
      <c r="E10598" s="185" t="s">
        <v>470</v>
      </c>
      <c r="H10598" s="185"/>
    </row>
    <row r="10599">
      <c r="D10599" s="185"/>
      <c r="E10599" s="185" t="s">
        <v>470</v>
      </c>
      <c r="H10599" s="185"/>
    </row>
    <row r="10600">
      <c r="D10600" s="185"/>
      <c r="E10600" s="185" t="s">
        <v>470</v>
      </c>
      <c r="H10600" s="185"/>
    </row>
    <row r="10601">
      <c r="D10601" s="185"/>
      <c r="E10601" s="185" t="s">
        <v>470</v>
      </c>
      <c r="H10601" s="185"/>
    </row>
    <row r="10602">
      <c r="D10602" s="185"/>
      <c r="E10602" s="185" t="s">
        <v>470</v>
      </c>
      <c r="H10602" s="185"/>
    </row>
    <row r="10603">
      <c r="D10603" s="185"/>
      <c r="E10603" s="185" t="s">
        <v>470</v>
      </c>
      <c r="H10603" s="185"/>
    </row>
    <row r="10604">
      <c r="D10604" s="185"/>
      <c r="E10604" s="185" t="s">
        <v>470</v>
      </c>
      <c r="H10604" s="185"/>
    </row>
    <row r="10605">
      <c r="D10605" s="185"/>
      <c r="E10605" s="185" t="s">
        <v>470</v>
      </c>
      <c r="H10605" s="185"/>
    </row>
    <row r="10606">
      <c r="D10606" s="185"/>
      <c r="E10606" s="185" t="s">
        <v>470</v>
      </c>
      <c r="H10606" s="185"/>
    </row>
    <row r="10607">
      <c r="D10607" s="185"/>
      <c r="E10607" s="185" t="s">
        <v>470</v>
      </c>
      <c r="H10607" s="185"/>
    </row>
    <row r="10608">
      <c r="D10608" s="185"/>
      <c r="E10608" s="185" t="s">
        <v>470</v>
      </c>
      <c r="H10608" s="185"/>
    </row>
    <row r="10609">
      <c r="D10609" s="185"/>
      <c r="E10609" s="185" t="s">
        <v>470</v>
      </c>
      <c r="H10609" s="185"/>
    </row>
    <row r="10610">
      <c r="D10610" s="185"/>
      <c r="E10610" s="185" t="s">
        <v>470</v>
      </c>
      <c r="H10610" s="185"/>
    </row>
    <row r="10611">
      <c r="D10611" s="185"/>
      <c r="E10611" s="185" t="s">
        <v>470</v>
      </c>
      <c r="H10611" s="185"/>
    </row>
    <row r="10612">
      <c r="D10612" s="185"/>
      <c r="E10612" s="185" t="s">
        <v>470</v>
      </c>
      <c r="H10612" s="185"/>
    </row>
    <row r="10613">
      <c r="D10613" s="185"/>
      <c r="E10613" s="185" t="s">
        <v>470</v>
      </c>
      <c r="H10613" s="185"/>
    </row>
    <row r="10614">
      <c r="D10614" s="185"/>
      <c r="E10614" s="185" t="s">
        <v>470</v>
      </c>
      <c r="H10614" s="185"/>
    </row>
    <row r="10615">
      <c r="D10615" s="185"/>
      <c r="E10615" s="185" t="s">
        <v>470</v>
      </c>
      <c r="H10615" s="185"/>
    </row>
    <row r="10616">
      <c r="D10616" s="185"/>
      <c r="E10616" s="185" t="s">
        <v>470</v>
      </c>
      <c r="H10616" s="185"/>
    </row>
    <row r="10617">
      <c r="D10617" s="185"/>
      <c r="E10617" s="185" t="s">
        <v>470</v>
      </c>
      <c r="H10617" s="185"/>
    </row>
    <row r="10618">
      <c r="D10618" s="185"/>
      <c r="E10618" s="185" t="s">
        <v>470</v>
      </c>
      <c r="H10618" s="185"/>
    </row>
    <row r="10619">
      <c r="D10619" s="185"/>
      <c r="E10619" s="185" t="s">
        <v>470</v>
      </c>
      <c r="H10619" s="185"/>
    </row>
    <row r="10620">
      <c r="D10620" s="185"/>
      <c r="E10620" s="185" t="s">
        <v>470</v>
      </c>
      <c r="H10620" s="185"/>
    </row>
    <row r="10621">
      <c r="D10621" s="185"/>
      <c r="E10621" s="185" t="s">
        <v>470</v>
      </c>
      <c r="H10621" s="185"/>
    </row>
    <row r="10622">
      <c r="D10622" s="185"/>
      <c r="E10622" s="185" t="s">
        <v>470</v>
      </c>
      <c r="H10622" s="185"/>
    </row>
    <row r="10623">
      <c r="D10623" s="185"/>
      <c r="E10623" s="185" t="s">
        <v>470</v>
      </c>
      <c r="H10623" s="185"/>
    </row>
    <row r="10624">
      <c r="D10624" s="185"/>
      <c r="E10624" s="185" t="s">
        <v>470</v>
      </c>
      <c r="H10624" s="185"/>
    </row>
    <row r="10625">
      <c r="D10625" s="185"/>
      <c r="E10625" s="185" t="s">
        <v>470</v>
      </c>
      <c r="H10625" s="185"/>
    </row>
    <row r="10626">
      <c r="D10626" s="185"/>
      <c r="E10626" s="185" t="s">
        <v>470</v>
      </c>
      <c r="H10626" s="185"/>
    </row>
    <row r="10627">
      <c r="D10627" s="185"/>
      <c r="E10627" s="185" t="s">
        <v>470</v>
      </c>
      <c r="H10627" s="185"/>
    </row>
    <row r="10628">
      <c r="D10628" s="185"/>
      <c r="E10628" s="185" t="s">
        <v>470</v>
      </c>
      <c r="H10628" s="185"/>
    </row>
    <row r="10629">
      <c r="D10629" s="185"/>
      <c r="E10629" s="185" t="s">
        <v>470</v>
      </c>
      <c r="H10629" s="185"/>
    </row>
    <row r="10630">
      <c r="D10630" s="185"/>
      <c r="E10630" s="185" t="s">
        <v>470</v>
      </c>
      <c r="H10630" s="185"/>
    </row>
    <row r="10631">
      <c r="D10631" s="185"/>
      <c r="E10631" s="185" t="s">
        <v>470</v>
      </c>
      <c r="H10631" s="185"/>
    </row>
    <row r="10632">
      <c r="D10632" s="185"/>
      <c r="E10632" s="185" t="s">
        <v>470</v>
      </c>
      <c r="H10632" s="185"/>
    </row>
    <row r="10633">
      <c r="D10633" s="185"/>
      <c r="E10633" s="185" t="s">
        <v>470</v>
      </c>
      <c r="H10633" s="185"/>
    </row>
    <row r="10634">
      <c r="D10634" s="185"/>
      <c r="E10634" s="185" t="s">
        <v>470</v>
      </c>
      <c r="H10634" s="185"/>
    </row>
    <row r="10635">
      <c r="D10635" s="185"/>
      <c r="E10635" s="185" t="s">
        <v>470</v>
      </c>
      <c r="H10635" s="185"/>
    </row>
    <row r="10636">
      <c r="D10636" s="185"/>
      <c r="E10636" s="185" t="s">
        <v>470</v>
      </c>
      <c r="H10636" s="185"/>
    </row>
    <row r="10637">
      <c r="D10637" s="185"/>
      <c r="E10637" s="185" t="s">
        <v>470</v>
      </c>
      <c r="H10637" s="185"/>
    </row>
    <row r="10638">
      <c r="D10638" s="185"/>
      <c r="E10638" s="185" t="s">
        <v>470</v>
      </c>
      <c r="H10638" s="185"/>
    </row>
    <row r="10639">
      <c r="D10639" s="185"/>
      <c r="E10639" s="185" t="s">
        <v>470</v>
      </c>
      <c r="H10639" s="185"/>
    </row>
    <row r="10640">
      <c r="D10640" s="185"/>
      <c r="E10640" s="185" t="s">
        <v>470</v>
      </c>
      <c r="H10640" s="185"/>
    </row>
    <row r="10641">
      <c r="D10641" s="185"/>
      <c r="E10641" s="185" t="s">
        <v>470</v>
      </c>
      <c r="H10641" s="185"/>
    </row>
    <row r="10642">
      <c r="D10642" s="185"/>
      <c r="E10642" s="185" t="s">
        <v>470</v>
      </c>
      <c r="H10642" s="185"/>
    </row>
    <row r="10643">
      <c r="D10643" s="185"/>
      <c r="E10643" s="185" t="s">
        <v>470</v>
      </c>
      <c r="H10643" s="185"/>
    </row>
    <row r="10644">
      <c r="D10644" s="185"/>
      <c r="E10644" s="185" t="s">
        <v>470</v>
      </c>
      <c r="H10644" s="185"/>
    </row>
    <row r="10645">
      <c r="D10645" s="185"/>
      <c r="E10645" s="185" t="s">
        <v>470</v>
      </c>
      <c r="H10645" s="185"/>
    </row>
    <row r="10646">
      <c r="D10646" s="185"/>
      <c r="E10646" s="185" t="s">
        <v>470</v>
      </c>
      <c r="H10646" s="185"/>
    </row>
    <row r="10647">
      <c r="D10647" s="185"/>
      <c r="E10647" s="185" t="s">
        <v>470</v>
      </c>
      <c r="H10647" s="185"/>
    </row>
    <row r="10648">
      <c r="D10648" s="185"/>
      <c r="E10648" s="185" t="s">
        <v>470</v>
      </c>
      <c r="H10648" s="185"/>
    </row>
    <row r="10649">
      <c r="D10649" s="185"/>
      <c r="E10649" s="185" t="s">
        <v>470</v>
      </c>
      <c r="H10649" s="185"/>
    </row>
    <row r="10650">
      <c r="D10650" s="185"/>
      <c r="E10650" s="185" t="s">
        <v>470</v>
      </c>
      <c r="H10650" s="185"/>
    </row>
    <row r="10651">
      <c r="D10651" s="185"/>
      <c r="E10651" s="185" t="s">
        <v>470</v>
      </c>
      <c r="H10651" s="185"/>
    </row>
    <row r="10652">
      <c r="D10652" s="185"/>
      <c r="E10652" s="185" t="s">
        <v>470</v>
      </c>
      <c r="H10652" s="185"/>
    </row>
    <row r="10653">
      <c r="D10653" s="185"/>
      <c r="E10653" s="185" t="s">
        <v>470</v>
      </c>
      <c r="H10653" s="185"/>
    </row>
    <row r="10654">
      <c r="D10654" s="185"/>
      <c r="E10654" s="185" t="s">
        <v>470</v>
      </c>
      <c r="H10654" s="185"/>
    </row>
    <row r="10655">
      <c r="D10655" s="185"/>
      <c r="E10655" s="185" t="s">
        <v>470</v>
      </c>
      <c r="H10655" s="185"/>
    </row>
    <row r="10656">
      <c r="D10656" s="185"/>
      <c r="E10656" s="185" t="s">
        <v>470</v>
      </c>
      <c r="H10656" s="185"/>
    </row>
    <row r="10657">
      <c r="D10657" s="185"/>
      <c r="E10657" s="185" t="s">
        <v>470</v>
      </c>
      <c r="H10657" s="185"/>
    </row>
    <row r="10658">
      <c r="D10658" s="185"/>
      <c r="E10658" s="185" t="s">
        <v>470</v>
      </c>
      <c r="H10658" s="185"/>
    </row>
    <row r="10659">
      <c r="D10659" s="185"/>
      <c r="E10659" s="185" t="s">
        <v>470</v>
      </c>
      <c r="H10659" s="185"/>
    </row>
    <row r="10660">
      <c r="D10660" s="185"/>
      <c r="E10660" s="185" t="s">
        <v>470</v>
      </c>
      <c r="H10660" s="185"/>
    </row>
    <row r="10661">
      <c r="D10661" s="185"/>
      <c r="E10661" s="185" t="s">
        <v>470</v>
      </c>
      <c r="H10661" s="185"/>
    </row>
    <row r="10662">
      <c r="D10662" s="185"/>
      <c r="E10662" s="185" t="s">
        <v>470</v>
      </c>
      <c r="H10662" s="185"/>
    </row>
    <row r="10663">
      <c r="D10663" s="185"/>
      <c r="E10663" s="185" t="s">
        <v>470</v>
      </c>
      <c r="H10663" s="185"/>
    </row>
    <row r="10664">
      <c r="D10664" s="185"/>
      <c r="E10664" s="185" t="s">
        <v>470</v>
      </c>
      <c r="H10664" s="185"/>
    </row>
    <row r="10665">
      <c r="D10665" s="185"/>
      <c r="E10665" s="185" t="s">
        <v>470</v>
      </c>
      <c r="H10665" s="185"/>
    </row>
    <row r="10666">
      <c r="D10666" s="185"/>
      <c r="E10666" s="185" t="s">
        <v>470</v>
      </c>
      <c r="H10666" s="185"/>
    </row>
    <row r="10667">
      <c r="D10667" s="185"/>
      <c r="E10667" s="185" t="s">
        <v>470</v>
      </c>
      <c r="H10667" s="185"/>
    </row>
    <row r="10668">
      <c r="D10668" s="185"/>
      <c r="E10668" s="185" t="s">
        <v>470</v>
      </c>
      <c r="H10668" s="185"/>
    </row>
    <row r="10669">
      <c r="D10669" s="185"/>
      <c r="E10669" s="185" t="s">
        <v>470</v>
      </c>
      <c r="H10669" s="185"/>
    </row>
    <row r="10670">
      <c r="D10670" s="185"/>
      <c r="E10670" s="185" t="s">
        <v>470</v>
      </c>
      <c r="H10670" s="185"/>
    </row>
    <row r="10671">
      <c r="D10671" s="185"/>
      <c r="E10671" s="185" t="s">
        <v>470</v>
      </c>
      <c r="H10671" s="185"/>
    </row>
    <row r="10672">
      <c r="D10672" s="185"/>
      <c r="E10672" s="185" t="s">
        <v>470</v>
      </c>
      <c r="H10672" s="185"/>
    </row>
    <row r="10673">
      <c r="D10673" s="185"/>
      <c r="E10673" s="185" t="s">
        <v>470</v>
      </c>
      <c r="H10673" s="185"/>
    </row>
    <row r="10674">
      <c r="D10674" s="185"/>
      <c r="E10674" s="185" t="s">
        <v>470</v>
      </c>
      <c r="H10674" s="185"/>
    </row>
    <row r="10675">
      <c r="D10675" s="185"/>
      <c r="E10675" s="185" t="s">
        <v>470</v>
      </c>
      <c r="H10675" s="185"/>
    </row>
    <row r="10676">
      <c r="D10676" s="185"/>
      <c r="E10676" s="185" t="s">
        <v>470</v>
      </c>
      <c r="H10676" s="185"/>
    </row>
    <row r="10677">
      <c r="D10677" s="185"/>
      <c r="E10677" s="185" t="s">
        <v>470</v>
      </c>
      <c r="H10677" s="185"/>
    </row>
    <row r="10678">
      <c r="D10678" s="185"/>
      <c r="E10678" s="185" t="s">
        <v>470</v>
      </c>
      <c r="H10678" s="185"/>
    </row>
    <row r="10679">
      <c r="D10679" s="185"/>
      <c r="E10679" s="185" t="s">
        <v>470</v>
      </c>
      <c r="H10679" s="185"/>
    </row>
    <row r="10680">
      <c r="D10680" s="185"/>
      <c r="E10680" s="185" t="s">
        <v>470</v>
      </c>
      <c r="H10680" s="185"/>
    </row>
    <row r="10681">
      <c r="D10681" s="185"/>
      <c r="E10681" s="185" t="s">
        <v>470</v>
      </c>
      <c r="H10681" s="185"/>
    </row>
    <row r="10682">
      <c r="D10682" s="185"/>
      <c r="E10682" s="185" t="s">
        <v>470</v>
      </c>
      <c r="H10682" s="185"/>
    </row>
    <row r="10683">
      <c r="D10683" s="185"/>
      <c r="E10683" s="185" t="s">
        <v>470</v>
      </c>
      <c r="H10683" s="185"/>
    </row>
    <row r="10684">
      <c r="D10684" s="185"/>
      <c r="E10684" s="185" t="s">
        <v>470</v>
      </c>
      <c r="H10684" s="185"/>
    </row>
    <row r="10685">
      <c r="D10685" s="185"/>
      <c r="E10685" s="185" t="s">
        <v>470</v>
      </c>
      <c r="H10685" s="185"/>
    </row>
    <row r="10686">
      <c r="D10686" s="185"/>
      <c r="E10686" s="185" t="s">
        <v>470</v>
      </c>
      <c r="H10686" s="185"/>
    </row>
    <row r="10687">
      <c r="D10687" s="185"/>
      <c r="E10687" s="185" t="s">
        <v>470</v>
      </c>
      <c r="H10687" s="185"/>
    </row>
    <row r="10688">
      <c r="D10688" s="185"/>
      <c r="E10688" s="185" t="s">
        <v>470</v>
      </c>
      <c r="H10688" s="185"/>
    </row>
    <row r="10689">
      <c r="D10689" s="185"/>
      <c r="E10689" s="185" t="s">
        <v>470</v>
      </c>
      <c r="H10689" s="185"/>
    </row>
    <row r="10690">
      <c r="D10690" s="185"/>
      <c r="E10690" s="185" t="s">
        <v>470</v>
      </c>
      <c r="H10690" s="185"/>
    </row>
    <row r="10691">
      <c r="D10691" s="185"/>
      <c r="E10691" s="185" t="s">
        <v>470</v>
      </c>
      <c r="H10691" s="185"/>
    </row>
    <row r="10692">
      <c r="D10692" s="185"/>
      <c r="E10692" s="185" t="s">
        <v>470</v>
      </c>
      <c r="H10692" s="185"/>
    </row>
    <row r="10693">
      <c r="D10693" s="185"/>
      <c r="E10693" s="185" t="s">
        <v>470</v>
      </c>
      <c r="H10693" s="185"/>
    </row>
    <row r="10694">
      <c r="D10694" s="185"/>
      <c r="E10694" s="185" t="s">
        <v>470</v>
      </c>
      <c r="H10694" s="185"/>
    </row>
    <row r="10695">
      <c r="D10695" s="185"/>
      <c r="E10695" s="185" t="s">
        <v>470</v>
      </c>
      <c r="H10695" s="185"/>
    </row>
    <row r="10696">
      <c r="D10696" s="185"/>
      <c r="E10696" s="185" t="s">
        <v>470</v>
      </c>
      <c r="H10696" s="185"/>
    </row>
    <row r="10697">
      <c r="D10697" s="185"/>
      <c r="E10697" s="185" t="s">
        <v>470</v>
      </c>
      <c r="H10697" s="185"/>
    </row>
    <row r="10698">
      <c r="D10698" s="185"/>
      <c r="E10698" s="185" t="s">
        <v>470</v>
      </c>
      <c r="H10698" s="185"/>
    </row>
    <row r="10699">
      <c r="D10699" s="185"/>
      <c r="E10699" s="185" t="s">
        <v>470</v>
      </c>
      <c r="H10699" s="185"/>
    </row>
    <row r="10700">
      <c r="D10700" s="185"/>
      <c r="E10700" s="185" t="s">
        <v>470</v>
      </c>
      <c r="H10700" s="185"/>
    </row>
    <row r="10701">
      <c r="D10701" s="185"/>
      <c r="E10701" s="185" t="s">
        <v>470</v>
      </c>
      <c r="H10701" s="185"/>
    </row>
    <row r="10702">
      <c r="D10702" s="185"/>
      <c r="E10702" s="185" t="s">
        <v>470</v>
      </c>
      <c r="H10702" s="185"/>
    </row>
    <row r="10703">
      <c r="D10703" s="185"/>
      <c r="E10703" s="185" t="s">
        <v>470</v>
      </c>
      <c r="H10703" s="185"/>
    </row>
    <row r="10704">
      <c r="D10704" s="185"/>
      <c r="E10704" s="185" t="s">
        <v>470</v>
      </c>
      <c r="H10704" s="185"/>
    </row>
    <row r="10705">
      <c r="D10705" s="185"/>
      <c r="E10705" s="185" t="s">
        <v>470</v>
      </c>
      <c r="H10705" s="185"/>
    </row>
    <row r="10706">
      <c r="D10706" s="185"/>
      <c r="E10706" s="185" t="s">
        <v>470</v>
      </c>
      <c r="H10706" s="185"/>
    </row>
    <row r="10707">
      <c r="D10707" s="185"/>
      <c r="E10707" s="185" t="s">
        <v>470</v>
      </c>
      <c r="H10707" s="185"/>
    </row>
    <row r="10708">
      <c r="D10708" s="185"/>
      <c r="E10708" s="185" t="s">
        <v>470</v>
      </c>
      <c r="H10708" s="185"/>
    </row>
    <row r="10709">
      <c r="D10709" s="185"/>
      <c r="E10709" s="185" t="s">
        <v>470</v>
      </c>
      <c r="H10709" s="185"/>
    </row>
    <row r="10710">
      <c r="D10710" s="185"/>
      <c r="E10710" s="185" t="s">
        <v>470</v>
      </c>
      <c r="H10710" s="185"/>
    </row>
    <row r="10711">
      <c r="D10711" s="185"/>
      <c r="E10711" s="185" t="s">
        <v>470</v>
      </c>
      <c r="H10711" s="185"/>
    </row>
    <row r="10712">
      <c r="D10712" s="185"/>
      <c r="E10712" s="185" t="s">
        <v>470</v>
      </c>
      <c r="H10712" s="185"/>
    </row>
    <row r="10713">
      <c r="D10713" s="185"/>
      <c r="E10713" s="185" t="s">
        <v>470</v>
      </c>
      <c r="H10713" s="185"/>
    </row>
    <row r="10714">
      <c r="D10714" s="185"/>
      <c r="E10714" s="185" t="s">
        <v>470</v>
      </c>
      <c r="H10714" s="185"/>
    </row>
    <row r="10715">
      <c r="D10715" s="185"/>
      <c r="E10715" s="185" t="s">
        <v>470</v>
      </c>
      <c r="H10715" s="185"/>
    </row>
    <row r="10716">
      <c r="D10716" s="185"/>
      <c r="E10716" s="185" t="s">
        <v>470</v>
      </c>
      <c r="H10716" s="185"/>
    </row>
    <row r="10717">
      <c r="D10717" s="185"/>
      <c r="E10717" s="185" t="s">
        <v>470</v>
      </c>
      <c r="H10717" s="185"/>
    </row>
    <row r="10718">
      <c r="D10718" s="185"/>
      <c r="E10718" s="185" t="s">
        <v>470</v>
      </c>
      <c r="H10718" s="185"/>
    </row>
    <row r="10719">
      <c r="D10719" s="185"/>
      <c r="E10719" s="185" t="s">
        <v>470</v>
      </c>
      <c r="H10719" s="185"/>
    </row>
    <row r="10720">
      <c r="D10720" s="185"/>
      <c r="E10720" s="185" t="s">
        <v>470</v>
      </c>
      <c r="H10720" s="185"/>
    </row>
    <row r="10721">
      <c r="D10721" s="185"/>
      <c r="E10721" s="185" t="s">
        <v>470</v>
      </c>
      <c r="H10721" s="185"/>
    </row>
    <row r="10722">
      <c r="D10722" s="185"/>
      <c r="E10722" s="185" t="s">
        <v>470</v>
      </c>
      <c r="H10722" s="185"/>
    </row>
    <row r="10723">
      <c r="D10723" s="185"/>
      <c r="E10723" s="185" t="s">
        <v>470</v>
      </c>
      <c r="H10723" s="185"/>
    </row>
    <row r="10724">
      <c r="D10724" s="185"/>
      <c r="E10724" s="185" t="s">
        <v>470</v>
      </c>
      <c r="H10724" s="185"/>
    </row>
    <row r="10725">
      <c r="D10725" s="185"/>
      <c r="E10725" s="185" t="s">
        <v>470</v>
      </c>
      <c r="H10725" s="185"/>
    </row>
    <row r="10726">
      <c r="D10726" s="185"/>
      <c r="E10726" s="185" t="s">
        <v>470</v>
      </c>
      <c r="H10726" s="185"/>
    </row>
    <row r="10727">
      <c r="D10727" s="185"/>
      <c r="E10727" s="185" t="s">
        <v>470</v>
      </c>
      <c r="H10727" s="185"/>
    </row>
    <row r="10728">
      <c r="D10728" s="185"/>
      <c r="E10728" s="185" t="s">
        <v>470</v>
      </c>
      <c r="H10728" s="185"/>
    </row>
    <row r="10729">
      <c r="D10729" s="185"/>
      <c r="E10729" s="185" t="s">
        <v>470</v>
      </c>
      <c r="H10729" s="185"/>
    </row>
    <row r="10730">
      <c r="D10730" s="185"/>
      <c r="E10730" s="185" t="s">
        <v>470</v>
      </c>
      <c r="H10730" s="185"/>
    </row>
    <row r="10731">
      <c r="D10731" s="185"/>
      <c r="E10731" s="185" t="s">
        <v>470</v>
      </c>
      <c r="H10731" s="185"/>
    </row>
    <row r="10732">
      <c r="D10732" s="185"/>
      <c r="E10732" s="185" t="s">
        <v>470</v>
      </c>
      <c r="H10732" s="185"/>
    </row>
    <row r="10733">
      <c r="D10733" s="185"/>
      <c r="E10733" s="185" t="s">
        <v>470</v>
      </c>
      <c r="H10733" s="185"/>
    </row>
    <row r="10734">
      <c r="D10734" s="185"/>
      <c r="E10734" s="185" t="s">
        <v>470</v>
      </c>
      <c r="H10734" s="185"/>
    </row>
    <row r="10735">
      <c r="D10735" s="185"/>
      <c r="E10735" s="185" t="s">
        <v>470</v>
      </c>
      <c r="H10735" s="185"/>
    </row>
    <row r="10736">
      <c r="D10736" s="185"/>
      <c r="E10736" s="185" t="s">
        <v>470</v>
      </c>
      <c r="H10736" s="185"/>
    </row>
    <row r="10737">
      <c r="D10737" s="185"/>
      <c r="E10737" s="185" t="s">
        <v>470</v>
      </c>
      <c r="H10737" s="185"/>
    </row>
    <row r="10738">
      <c r="D10738" s="185"/>
      <c r="E10738" s="185" t="s">
        <v>470</v>
      </c>
      <c r="H10738" s="185"/>
    </row>
    <row r="10739">
      <c r="D10739" s="185"/>
      <c r="E10739" s="185" t="s">
        <v>470</v>
      </c>
      <c r="H10739" s="185"/>
    </row>
    <row r="10740">
      <c r="D10740" s="185"/>
      <c r="E10740" s="185" t="s">
        <v>470</v>
      </c>
      <c r="H10740" s="185"/>
    </row>
    <row r="10741">
      <c r="D10741" s="185"/>
      <c r="E10741" s="185" t="s">
        <v>470</v>
      </c>
      <c r="H10741" s="185"/>
    </row>
    <row r="10742">
      <c r="D10742" s="185"/>
      <c r="E10742" s="185" t="s">
        <v>470</v>
      </c>
      <c r="H10742" s="185"/>
    </row>
    <row r="10743">
      <c r="D10743" s="185"/>
      <c r="E10743" s="185" t="s">
        <v>470</v>
      </c>
      <c r="H10743" s="185"/>
    </row>
    <row r="10744">
      <c r="D10744" s="185"/>
      <c r="E10744" s="185" t="s">
        <v>470</v>
      </c>
      <c r="H10744" s="185"/>
    </row>
    <row r="10745">
      <c r="D10745" s="185"/>
      <c r="E10745" s="185" t="s">
        <v>470</v>
      </c>
      <c r="H10745" s="185"/>
    </row>
    <row r="10746">
      <c r="D10746" s="185"/>
      <c r="E10746" s="185" t="s">
        <v>470</v>
      </c>
      <c r="H10746" s="185"/>
    </row>
    <row r="10747">
      <c r="D10747" s="185"/>
      <c r="E10747" s="185" t="s">
        <v>470</v>
      </c>
      <c r="H10747" s="185"/>
    </row>
    <row r="10748">
      <c r="D10748" s="185"/>
      <c r="E10748" s="185" t="s">
        <v>470</v>
      </c>
      <c r="H10748" s="185"/>
    </row>
    <row r="10749">
      <c r="D10749" s="185"/>
      <c r="E10749" s="185" t="s">
        <v>470</v>
      </c>
      <c r="H10749" s="185"/>
    </row>
    <row r="10750">
      <c r="D10750" s="185"/>
      <c r="E10750" s="185" t="s">
        <v>470</v>
      </c>
      <c r="H10750" s="185"/>
    </row>
    <row r="10751">
      <c r="D10751" s="185"/>
      <c r="E10751" s="185" t="s">
        <v>470</v>
      </c>
      <c r="H10751" s="185"/>
    </row>
    <row r="10752">
      <c r="D10752" s="185"/>
      <c r="E10752" s="185" t="s">
        <v>470</v>
      </c>
      <c r="H10752" s="185"/>
    </row>
    <row r="10753">
      <c r="D10753" s="185"/>
      <c r="E10753" s="185" t="s">
        <v>470</v>
      </c>
      <c r="H10753" s="185"/>
    </row>
    <row r="10754">
      <c r="D10754" s="185"/>
      <c r="E10754" s="185" t="s">
        <v>470</v>
      </c>
      <c r="H10754" s="185"/>
    </row>
    <row r="10755">
      <c r="D10755" s="185"/>
      <c r="E10755" s="185" t="s">
        <v>470</v>
      </c>
      <c r="H10755" s="185"/>
    </row>
    <row r="10756">
      <c r="D10756" s="185"/>
      <c r="E10756" s="185" t="s">
        <v>470</v>
      </c>
      <c r="H10756" s="185"/>
    </row>
    <row r="10757">
      <c r="D10757" s="185"/>
      <c r="E10757" s="185" t="s">
        <v>470</v>
      </c>
      <c r="H10757" s="185"/>
    </row>
    <row r="10758">
      <c r="D10758" s="185"/>
      <c r="E10758" s="185" t="s">
        <v>470</v>
      </c>
      <c r="H10758" s="185"/>
    </row>
    <row r="10759">
      <c r="D10759" s="185"/>
      <c r="E10759" s="185" t="s">
        <v>470</v>
      </c>
      <c r="H10759" s="185"/>
    </row>
    <row r="10760">
      <c r="D10760" s="185"/>
      <c r="E10760" s="185" t="s">
        <v>470</v>
      </c>
      <c r="H10760" s="185"/>
    </row>
    <row r="10761">
      <c r="D10761" s="185"/>
      <c r="E10761" s="185" t="s">
        <v>470</v>
      </c>
      <c r="H10761" s="185"/>
    </row>
    <row r="10762">
      <c r="D10762" s="185"/>
      <c r="E10762" s="185" t="s">
        <v>470</v>
      </c>
      <c r="H10762" s="185"/>
    </row>
    <row r="10763">
      <c r="D10763" s="185"/>
      <c r="E10763" s="185" t="s">
        <v>470</v>
      </c>
      <c r="H10763" s="185"/>
    </row>
    <row r="10764">
      <c r="D10764" s="185"/>
      <c r="E10764" s="185" t="s">
        <v>470</v>
      </c>
      <c r="H10764" s="185"/>
    </row>
    <row r="10765">
      <c r="D10765" s="185"/>
      <c r="E10765" s="185" t="s">
        <v>470</v>
      </c>
      <c r="H10765" s="185"/>
    </row>
    <row r="10766">
      <c r="D10766" s="185"/>
      <c r="E10766" s="185" t="s">
        <v>470</v>
      </c>
      <c r="H10766" s="185"/>
    </row>
    <row r="10767">
      <c r="D10767" s="185"/>
      <c r="E10767" s="185" t="s">
        <v>470</v>
      </c>
      <c r="H10767" s="185"/>
    </row>
    <row r="10768">
      <c r="D10768" s="185"/>
      <c r="E10768" s="185" t="s">
        <v>470</v>
      </c>
      <c r="H10768" s="185"/>
    </row>
    <row r="10769">
      <c r="D10769" s="185"/>
      <c r="E10769" s="185" t="s">
        <v>470</v>
      </c>
      <c r="H10769" s="185"/>
    </row>
    <row r="10770">
      <c r="D10770" s="185"/>
      <c r="E10770" s="185" t="s">
        <v>470</v>
      </c>
      <c r="H10770" s="185"/>
    </row>
    <row r="10771">
      <c r="D10771" s="185"/>
      <c r="E10771" s="185" t="s">
        <v>470</v>
      </c>
      <c r="H10771" s="185"/>
    </row>
    <row r="10772">
      <c r="D10772" s="185"/>
      <c r="E10772" s="185" t="s">
        <v>470</v>
      </c>
      <c r="H10772" s="185"/>
    </row>
    <row r="10773">
      <c r="D10773" s="185"/>
      <c r="E10773" s="185" t="s">
        <v>470</v>
      </c>
      <c r="H10773" s="185"/>
    </row>
    <row r="10774">
      <c r="D10774" s="185"/>
      <c r="E10774" s="185" t="s">
        <v>470</v>
      </c>
      <c r="H10774" s="185"/>
    </row>
    <row r="10775">
      <c r="D10775" s="185"/>
      <c r="E10775" s="185" t="s">
        <v>470</v>
      </c>
      <c r="H10775" s="185"/>
    </row>
    <row r="10776">
      <c r="D10776" s="185"/>
      <c r="E10776" s="185" t="s">
        <v>470</v>
      </c>
      <c r="H10776" s="185"/>
    </row>
    <row r="10777">
      <c r="D10777" s="185"/>
      <c r="E10777" s="185" t="s">
        <v>470</v>
      </c>
      <c r="H10777" s="185"/>
    </row>
    <row r="10778">
      <c r="D10778" s="185"/>
      <c r="E10778" s="185" t="s">
        <v>470</v>
      </c>
      <c r="H10778" s="185"/>
    </row>
    <row r="10779">
      <c r="D10779" s="185"/>
      <c r="E10779" s="185" t="s">
        <v>470</v>
      </c>
      <c r="H10779" s="185"/>
    </row>
    <row r="10780">
      <c r="D10780" s="185"/>
      <c r="E10780" s="185" t="s">
        <v>470</v>
      </c>
      <c r="H10780" s="185"/>
    </row>
    <row r="10781">
      <c r="D10781" s="185"/>
      <c r="E10781" s="185" t="s">
        <v>470</v>
      </c>
      <c r="H10781" s="185"/>
    </row>
    <row r="10782">
      <c r="D10782" s="185"/>
      <c r="E10782" s="185" t="s">
        <v>470</v>
      </c>
      <c r="H10782" s="185"/>
    </row>
    <row r="10783">
      <c r="D10783" s="185"/>
      <c r="E10783" s="185" t="s">
        <v>470</v>
      </c>
      <c r="H10783" s="185"/>
    </row>
    <row r="10784">
      <c r="D10784" s="185"/>
      <c r="E10784" s="185" t="s">
        <v>470</v>
      </c>
      <c r="H10784" s="185"/>
    </row>
    <row r="10785">
      <c r="D10785" s="185"/>
      <c r="E10785" s="185" t="s">
        <v>470</v>
      </c>
      <c r="H10785" s="185"/>
    </row>
    <row r="10786">
      <c r="D10786" s="185"/>
      <c r="E10786" s="185" t="s">
        <v>470</v>
      </c>
      <c r="H10786" s="185"/>
    </row>
    <row r="10787">
      <c r="D10787" s="185"/>
      <c r="E10787" s="185" t="s">
        <v>470</v>
      </c>
      <c r="H10787" s="185"/>
    </row>
    <row r="10788">
      <c r="D10788" s="185"/>
      <c r="E10788" s="185" t="s">
        <v>470</v>
      </c>
      <c r="H10788" s="185"/>
    </row>
    <row r="10789">
      <c r="D10789" s="185"/>
      <c r="E10789" s="185" t="s">
        <v>470</v>
      </c>
      <c r="H10789" s="185"/>
    </row>
    <row r="10790">
      <c r="D10790" s="185"/>
      <c r="E10790" s="185" t="s">
        <v>470</v>
      </c>
      <c r="H10790" s="185"/>
    </row>
    <row r="10791">
      <c r="D10791" s="185"/>
      <c r="E10791" s="185" t="s">
        <v>470</v>
      </c>
      <c r="H10791" s="185"/>
    </row>
    <row r="10792">
      <c r="D10792" s="185"/>
      <c r="E10792" s="185" t="s">
        <v>470</v>
      </c>
      <c r="H10792" s="185"/>
    </row>
    <row r="10793">
      <c r="D10793" s="185"/>
      <c r="E10793" s="185" t="s">
        <v>470</v>
      </c>
      <c r="H10793" s="185"/>
    </row>
    <row r="10794">
      <c r="D10794" s="185"/>
      <c r="E10794" s="185" t="s">
        <v>470</v>
      </c>
      <c r="H10794" s="185"/>
    </row>
    <row r="10795">
      <c r="D10795" s="185"/>
      <c r="E10795" s="185" t="s">
        <v>470</v>
      </c>
      <c r="H10795" s="185"/>
    </row>
    <row r="10796">
      <c r="D10796" s="185"/>
      <c r="E10796" s="185" t="s">
        <v>470</v>
      </c>
      <c r="H10796" s="185"/>
    </row>
    <row r="10797">
      <c r="D10797" s="185"/>
      <c r="E10797" s="185" t="s">
        <v>470</v>
      </c>
      <c r="H10797" s="185"/>
    </row>
    <row r="10798">
      <c r="D10798" s="185"/>
      <c r="E10798" s="185" t="s">
        <v>470</v>
      </c>
      <c r="H10798" s="185"/>
    </row>
    <row r="10799">
      <c r="D10799" s="185"/>
      <c r="E10799" s="185" t="s">
        <v>470</v>
      </c>
      <c r="H10799" s="185"/>
    </row>
    <row r="10800">
      <c r="D10800" s="185"/>
      <c r="E10800" s="185" t="s">
        <v>470</v>
      </c>
      <c r="H10800" s="185"/>
    </row>
    <row r="10801">
      <c r="D10801" s="185"/>
      <c r="E10801" s="185" t="s">
        <v>470</v>
      </c>
      <c r="H10801" s="185"/>
    </row>
    <row r="10802">
      <c r="D10802" s="185"/>
      <c r="E10802" s="185" t="s">
        <v>470</v>
      </c>
      <c r="H10802" s="185"/>
    </row>
    <row r="10803">
      <c r="D10803" s="185"/>
      <c r="E10803" s="185" t="s">
        <v>470</v>
      </c>
      <c r="H10803" s="185"/>
    </row>
    <row r="10804">
      <c r="D10804" s="185"/>
      <c r="E10804" s="185" t="s">
        <v>470</v>
      </c>
      <c r="H10804" s="185"/>
    </row>
    <row r="10805">
      <c r="D10805" s="185"/>
      <c r="E10805" s="185" t="s">
        <v>470</v>
      </c>
      <c r="H10805" s="185"/>
    </row>
    <row r="10806">
      <c r="D10806" s="185"/>
      <c r="E10806" s="185" t="s">
        <v>470</v>
      </c>
      <c r="H10806" s="185"/>
    </row>
    <row r="10807">
      <c r="D10807" s="185"/>
      <c r="E10807" s="185" t="s">
        <v>470</v>
      </c>
      <c r="H10807" s="185"/>
    </row>
    <row r="10808">
      <c r="D10808" s="185"/>
      <c r="E10808" s="185" t="s">
        <v>470</v>
      </c>
      <c r="H10808" s="185"/>
    </row>
    <row r="10809">
      <c r="D10809" s="185"/>
      <c r="E10809" s="185" t="s">
        <v>470</v>
      </c>
      <c r="H10809" s="185"/>
    </row>
    <row r="10810">
      <c r="D10810" s="185"/>
      <c r="E10810" s="185" t="s">
        <v>470</v>
      </c>
      <c r="H10810" s="185"/>
    </row>
    <row r="10811">
      <c r="D10811" s="185"/>
      <c r="E10811" s="185" t="s">
        <v>470</v>
      </c>
      <c r="H10811" s="185"/>
    </row>
    <row r="10812">
      <c r="D10812" s="185"/>
      <c r="E10812" s="185" t="s">
        <v>470</v>
      </c>
      <c r="H10812" s="185"/>
    </row>
    <row r="10813">
      <c r="D10813" s="185"/>
      <c r="E10813" s="185" t="s">
        <v>470</v>
      </c>
      <c r="H10813" s="185"/>
    </row>
    <row r="10814">
      <c r="D10814" s="185"/>
      <c r="E10814" s="185" t="s">
        <v>470</v>
      </c>
      <c r="H10814" s="185"/>
    </row>
    <row r="10815">
      <c r="D10815" s="185"/>
      <c r="E10815" s="185" t="s">
        <v>470</v>
      </c>
      <c r="H10815" s="185"/>
    </row>
    <row r="10816">
      <c r="D10816" s="185"/>
      <c r="E10816" s="185" t="s">
        <v>470</v>
      </c>
      <c r="H10816" s="185"/>
    </row>
    <row r="10817">
      <c r="D10817" s="185"/>
      <c r="E10817" s="185" t="s">
        <v>470</v>
      </c>
      <c r="H10817" s="185"/>
    </row>
    <row r="10818">
      <c r="D10818" s="185"/>
      <c r="E10818" s="185" t="s">
        <v>470</v>
      </c>
      <c r="H10818" s="185"/>
    </row>
    <row r="10819">
      <c r="D10819" s="185"/>
      <c r="E10819" s="185" t="s">
        <v>470</v>
      </c>
      <c r="H10819" s="185"/>
    </row>
    <row r="10820">
      <c r="D10820" s="185"/>
      <c r="E10820" s="185" t="s">
        <v>470</v>
      </c>
      <c r="H10820" s="185"/>
    </row>
    <row r="10821">
      <c r="D10821" s="185"/>
      <c r="E10821" s="185" t="s">
        <v>470</v>
      </c>
      <c r="H10821" s="185"/>
    </row>
    <row r="10822">
      <c r="D10822" s="185"/>
      <c r="E10822" s="185" t="s">
        <v>470</v>
      </c>
      <c r="H10822" s="185"/>
    </row>
    <row r="10823">
      <c r="D10823" s="185"/>
      <c r="E10823" s="185" t="s">
        <v>470</v>
      </c>
      <c r="H10823" s="185"/>
    </row>
    <row r="10824">
      <c r="D10824" s="185"/>
      <c r="E10824" s="185" t="s">
        <v>470</v>
      </c>
      <c r="H10824" s="185"/>
    </row>
    <row r="10825">
      <c r="D10825" s="185"/>
      <c r="E10825" s="185" t="s">
        <v>470</v>
      </c>
      <c r="H10825" s="185"/>
    </row>
    <row r="10826">
      <c r="D10826" s="185"/>
      <c r="E10826" s="185" t="s">
        <v>470</v>
      </c>
      <c r="H10826" s="185"/>
    </row>
    <row r="10827">
      <c r="D10827" s="185"/>
      <c r="E10827" s="185" t="s">
        <v>470</v>
      </c>
      <c r="H10827" s="185"/>
    </row>
    <row r="10828">
      <c r="D10828" s="185"/>
      <c r="E10828" s="185" t="s">
        <v>470</v>
      </c>
      <c r="H10828" s="185"/>
    </row>
    <row r="10829">
      <c r="D10829" s="185"/>
      <c r="E10829" s="185" t="s">
        <v>470</v>
      </c>
      <c r="H10829" s="185"/>
    </row>
    <row r="10830">
      <c r="D10830" s="185"/>
      <c r="E10830" s="185" t="s">
        <v>470</v>
      </c>
      <c r="H10830" s="185"/>
    </row>
    <row r="10831">
      <c r="D10831" s="185"/>
      <c r="E10831" s="185" t="s">
        <v>470</v>
      </c>
      <c r="H10831" s="185"/>
    </row>
    <row r="10832">
      <c r="D10832" s="185"/>
      <c r="E10832" s="185" t="s">
        <v>470</v>
      </c>
      <c r="H10832" s="185"/>
    </row>
    <row r="10833">
      <c r="D10833" s="185"/>
      <c r="E10833" s="185" t="s">
        <v>470</v>
      </c>
      <c r="H10833" s="185"/>
    </row>
    <row r="10834">
      <c r="D10834" s="185"/>
      <c r="E10834" s="185" t="s">
        <v>470</v>
      </c>
      <c r="H10834" s="185"/>
    </row>
    <row r="10835">
      <c r="D10835" s="185"/>
      <c r="E10835" s="185" t="s">
        <v>470</v>
      </c>
      <c r="H10835" s="185"/>
    </row>
    <row r="10836">
      <c r="D10836" s="185"/>
      <c r="E10836" s="185" t="s">
        <v>470</v>
      </c>
      <c r="H10836" s="185"/>
    </row>
    <row r="10837">
      <c r="D10837" s="185"/>
      <c r="E10837" s="185" t="s">
        <v>470</v>
      </c>
      <c r="H10837" s="185"/>
    </row>
    <row r="10838">
      <c r="D10838" s="185"/>
      <c r="E10838" s="185" t="s">
        <v>470</v>
      </c>
      <c r="H10838" s="185"/>
    </row>
    <row r="10839">
      <c r="D10839" s="185"/>
      <c r="E10839" s="185" t="s">
        <v>470</v>
      </c>
      <c r="H10839" s="185"/>
    </row>
    <row r="10840">
      <c r="D10840" s="185"/>
      <c r="E10840" s="185" t="s">
        <v>470</v>
      </c>
      <c r="H10840" s="185"/>
    </row>
    <row r="10841">
      <c r="D10841" s="185"/>
      <c r="E10841" s="185" t="s">
        <v>470</v>
      </c>
      <c r="H10841" s="185"/>
    </row>
    <row r="10842">
      <c r="D10842" s="185"/>
      <c r="E10842" s="185" t="s">
        <v>470</v>
      </c>
      <c r="H10842" s="185"/>
    </row>
    <row r="10843">
      <c r="D10843" s="185"/>
      <c r="E10843" s="185" t="s">
        <v>470</v>
      </c>
      <c r="H10843" s="185"/>
    </row>
    <row r="10844">
      <c r="D10844" s="185"/>
      <c r="E10844" s="185" t="s">
        <v>470</v>
      </c>
      <c r="H10844" s="185"/>
    </row>
    <row r="10845">
      <c r="D10845" s="185"/>
      <c r="E10845" s="185" t="s">
        <v>470</v>
      </c>
      <c r="H10845" s="185"/>
    </row>
    <row r="10846">
      <c r="D10846" s="185"/>
      <c r="E10846" s="185" t="s">
        <v>470</v>
      </c>
      <c r="H10846" s="185"/>
    </row>
    <row r="10847">
      <c r="D10847" s="185"/>
      <c r="E10847" s="185" t="s">
        <v>470</v>
      </c>
      <c r="H10847" s="185"/>
    </row>
    <row r="10848">
      <c r="D10848" s="185"/>
      <c r="E10848" s="185" t="s">
        <v>470</v>
      </c>
      <c r="H10848" s="185"/>
    </row>
    <row r="10849">
      <c r="D10849" s="185"/>
      <c r="E10849" s="185" t="s">
        <v>470</v>
      </c>
      <c r="H10849" s="185"/>
    </row>
    <row r="10850">
      <c r="D10850" s="185"/>
      <c r="E10850" s="185" t="s">
        <v>470</v>
      </c>
      <c r="H10850" s="185"/>
    </row>
    <row r="10851">
      <c r="D10851" s="185"/>
      <c r="E10851" s="185" t="s">
        <v>470</v>
      </c>
      <c r="H10851" s="185"/>
    </row>
    <row r="10852">
      <c r="D10852" s="185"/>
      <c r="E10852" s="185" t="s">
        <v>470</v>
      </c>
      <c r="H10852" s="185"/>
    </row>
    <row r="10853">
      <c r="D10853" s="185"/>
      <c r="E10853" s="185" t="s">
        <v>470</v>
      </c>
      <c r="H10853" s="185"/>
    </row>
    <row r="10854">
      <c r="D10854" s="185"/>
      <c r="E10854" s="185" t="s">
        <v>470</v>
      </c>
      <c r="H10854" s="185"/>
    </row>
    <row r="10855">
      <c r="D10855" s="185"/>
      <c r="E10855" s="185" t="s">
        <v>470</v>
      </c>
      <c r="H10855" s="185"/>
    </row>
    <row r="10856">
      <c r="D10856" s="185"/>
      <c r="E10856" s="185" t="s">
        <v>470</v>
      </c>
      <c r="H10856" s="185"/>
    </row>
    <row r="10857">
      <c r="D10857" s="185"/>
      <c r="E10857" s="185" t="s">
        <v>470</v>
      </c>
      <c r="H10857" s="185"/>
    </row>
    <row r="10858">
      <c r="D10858" s="185"/>
      <c r="E10858" s="185" t="s">
        <v>470</v>
      </c>
      <c r="H10858" s="185"/>
    </row>
    <row r="10859">
      <c r="D10859" s="185"/>
      <c r="E10859" s="185" t="s">
        <v>470</v>
      </c>
      <c r="H10859" s="185"/>
    </row>
    <row r="10860">
      <c r="D10860" s="185"/>
      <c r="E10860" s="185" t="s">
        <v>470</v>
      </c>
      <c r="H10860" s="185"/>
    </row>
    <row r="10861">
      <c r="D10861" s="185"/>
      <c r="E10861" s="185" t="s">
        <v>470</v>
      </c>
      <c r="H10861" s="185"/>
    </row>
    <row r="10862">
      <c r="D10862" s="185"/>
      <c r="E10862" s="185" t="s">
        <v>470</v>
      </c>
      <c r="H10862" s="185"/>
    </row>
    <row r="10863">
      <c r="D10863" s="185"/>
      <c r="E10863" s="185" t="s">
        <v>470</v>
      </c>
      <c r="H10863" s="185"/>
    </row>
    <row r="10864">
      <c r="D10864" s="185"/>
      <c r="E10864" s="185" t="s">
        <v>470</v>
      </c>
      <c r="H10864" s="185"/>
    </row>
    <row r="10865">
      <c r="D10865" s="185"/>
      <c r="E10865" s="185" t="s">
        <v>470</v>
      </c>
      <c r="H10865" s="185"/>
    </row>
    <row r="10866">
      <c r="D10866" s="185"/>
      <c r="E10866" s="185" t="s">
        <v>470</v>
      </c>
      <c r="H10866" s="185"/>
    </row>
    <row r="10867">
      <c r="D10867" s="185"/>
      <c r="E10867" s="185" t="s">
        <v>470</v>
      </c>
      <c r="H10867" s="185"/>
    </row>
    <row r="10868">
      <c r="D10868" s="185"/>
      <c r="E10868" s="185" t="s">
        <v>470</v>
      </c>
      <c r="H10868" s="185"/>
    </row>
    <row r="10869">
      <c r="D10869" s="185"/>
      <c r="E10869" s="185" t="s">
        <v>470</v>
      </c>
      <c r="H10869" s="185"/>
    </row>
    <row r="10870">
      <c r="D10870" s="185"/>
      <c r="E10870" s="185" t="s">
        <v>470</v>
      </c>
      <c r="H10870" s="185"/>
    </row>
    <row r="10871">
      <c r="D10871" s="185"/>
      <c r="E10871" s="185" t="s">
        <v>470</v>
      </c>
      <c r="H10871" s="185"/>
    </row>
    <row r="10872">
      <c r="D10872" s="185"/>
      <c r="E10872" s="185" t="s">
        <v>470</v>
      </c>
      <c r="H10872" s="185"/>
    </row>
    <row r="10873">
      <c r="D10873" s="185"/>
      <c r="E10873" s="185" t="s">
        <v>470</v>
      </c>
      <c r="H10873" s="185"/>
    </row>
    <row r="10874">
      <c r="D10874" s="185"/>
      <c r="E10874" s="185" t="s">
        <v>470</v>
      </c>
      <c r="H10874" s="185"/>
    </row>
    <row r="10875">
      <c r="D10875" s="185"/>
      <c r="E10875" s="185" t="s">
        <v>470</v>
      </c>
      <c r="H10875" s="185"/>
    </row>
    <row r="10876">
      <c r="D10876" s="185"/>
      <c r="E10876" s="185" t="s">
        <v>470</v>
      </c>
      <c r="H10876" s="185"/>
    </row>
    <row r="10877">
      <c r="D10877" s="185"/>
      <c r="E10877" s="185" t="s">
        <v>470</v>
      </c>
      <c r="H10877" s="185"/>
    </row>
    <row r="10878">
      <c r="D10878" s="185"/>
      <c r="E10878" s="185" t="s">
        <v>470</v>
      </c>
      <c r="H10878" s="185"/>
    </row>
    <row r="10879">
      <c r="D10879" s="185"/>
      <c r="E10879" s="185" t="s">
        <v>470</v>
      </c>
      <c r="H10879" s="185"/>
    </row>
    <row r="10880">
      <c r="D10880" s="185"/>
      <c r="E10880" s="185" t="s">
        <v>470</v>
      </c>
      <c r="H10880" s="185"/>
    </row>
    <row r="10881">
      <c r="D10881" s="185"/>
      <c r="E10881" s="185" t="s">
        <v>470</v>
      </c>
      <c r="H10881" s="185"/>
    </row>
    <row r="10882">
      <c r="D10882" s="185"/>
      <c r="E10882" s="185" t="s">
        <v>470</v>
      </c>
      <c r="H10882" s="185"/>
    </row>
    <row r="10883">
      <c r="D10883" s="185"/>
      <c r="E10883" s="185" t="s">
        <v>470</v>
      </c>
      <c r="H10883" s="185"/>
    </row>
    <row r="10884">
      <c r="D10884" s="185"/>
      <c r="E10884" s="185" t="s">
        <v>470</v>
      </c>
      <c r="H10884" s="185"/>
    </row>
    <row r="10885">
      <c r="D10885" s="185"/>
      <c r="E10885" s="185" t="s">
        <v>470</v>
      </c>
      <c r="H10885" s="185"/>
    </row>
    <row r="10886">
      <c r="D10886" s="185"/>
      <c r="E10886" s="185" t="s">
        <v>470</v>
      </c>
      <c r="H10886" s="185"/>
    </row>
    <row r="10887">
      <c r="D10887" s="185"/>
      <c r="E10887" s="185" t="s">
        <v>470</v>
      </c>
      <c r="H10887" s="185"/>
    </row>
    <row r="10888">
      <c r="D10888" s="185"/>
      <c r="E10888" s="185" t="s">
        <v>470</v>
      </c>
      <c r="H10888" s="185"/>
    </row>
    <row r="10889">
      <c r="D10889" s="185"/>
      <c r="E10889" s="185" t="s">
        <v>470</v>
      </c>
      <c r="H10889" s="185"/>
    </row>
    <row r="10890">
      <c r="D10890" s="185"/>
      <c r="E10890" s="185" t="s">
        <v>470</v>
      </c>
      <c r="H10890" s="185"/>
    </row>
    <row r="10891">
      <c r="D10891" s="185"/>
      <c r="E10891" s="185" t="s">
        <v>470</v>
      </c>
      <c r="H10891" s="185"/>
    </row>
    <row r="10892">
      <c r="D10892" s="185"/>
      <c r="E10892" s="185" t="s">
        <v>470</v>
      </c>
      <c r="H10892" s="185"/>
    </row>
    <row r="10893">
      <c r="D10893" s="185"/>
      <c r="E10893" s="185" t="s">
        <v>470</v>
      </c>
      <c r="H10893" s="185"/>
    </row>
    <row r="10894">
      <c r="D10894" s="185"/>
      <c r="E10894" s="185" t="s">
        <v>470</v>
      </c>
      <c r="H10894" s="185"/>
    </row>
    <row r="10895">
      <c r="D10895" s="185"/>
      <c r="E10895" s="185" t="s">
        <v>470</v>
      </c>
      <c r="H10895" s="185"/>
    </row>
    <row r="10896">
      <c r="D10896" s="185"/>
      <c r="E10896" s="185" t="s">
        <v>470</v>
      </c>
      <c r="H10896" s="185"/>
    </row>
    <row r="10897">
      <c r="D10897" s="185"/>
      <c r="E10897" s="185" t="s">
        <v>470</v>
      </c>
      <c r="H10897" s="185"/>
    </row>
    <row r="10898">
      <c r="D10898" s="185"/>
      <c r="E10898" s="185" t="s">
        <v>470</v>
      </c>
      <c r="H10898" s="185"/>
    </row>
    <row r="10899">
      <c r="D10899" s="185"/>
      <c r="E10899" s="185" t="s">
        <v>470</v>
      </c>
      <c r="H10899" s="185"/>
    </row>
    <row r="10900">
      <c r="D10900" s="185"/>
      <c r="E10900" s="185" t="s">
        <v>470</v>
      </c>
      <c r="H10900" s="185"/>
    </row>
    <row r="10901">
      <c r="D10901" s="185"/>
      <c r="E10901" s="185" t="s">
        <v>470</v>
      </c>
      <c r="H10901" s="185"/>
    </row>
    <row r="10902">
      <c r="D10902" s="185"/>
      <c r="E10902" s="185" t="s">
        <v>470</v>
      </c>
      <c r="H10902" s="185"/>
    </row>
    <row r="10903">
      <c r="D10903" s="185"/>
      <c r="E10903" s="185" t="s">
        <v>470</v>
      </c>
      <c r="H10903" s="185"/>
    </row>
    <row r="10904">
      <c r="D10904" s="185"/>
      <c r="E10904" s="185" t="s">
        <v>470</v>
      </c>
      <c r="H10904" s="185"/>
    </row>
    <row r="10905">
      <c r="D10905" s="185"/>
      <c r="E10905" s="185" t="s">
        <v>470</v>
      </c>
      <c r="H10905" s="185"/>
    </row>
    <row r="10906">
      <c r="D10906" s="185"/>
      <c r="E10906" s="185" t="s">
        <v>470</v>
      </c>
      <c r="H10906" s="185"/>
    </row>
    <row r="10907">
      <c r="D10907" s="185"/>
      <c r="E10907" s="185" t="s">
        <v>470</v>
      </c>
      <c r="H10907" s="185"/>
    </row>
    <row r="10908">
      <c r="D10908" s="185"/>
      <c r="E10908" s="185" t="s">
        <v>470</v>
      </c>
      <c r="H10908" s="185"/>
    </row>
    <row r="10909">
      <c r="D10909" s="185"/>
      <c r="E10909" s="185" t="s">
        <v>470</v>
      </c>
      <c r="H10909" s="185"/>
    </row>
    <row r="10910">
      <c r="D10910" s="185"/>
      <c r="E10910" s="185" t="s">
        <v>470</v>
      </c>
      <c r="H10910" s="185"/>
    </row>
    <row r="10911">
      <c r="D10911" s="185"/>
      <c r="E10911" s="185" t="s">
        <v>470</v>
      </c>
      <c r="H10911" s="185"/>
    </row>
    <row r="10912">
      <c r="D10912" s="185"/>
      <c r="E10912" s="185" t="s">
        <v>470</v>
      </c>
      <c r="H10912" s="185"/>
    </row>
    <row r="10913">
      <c r="D10913" s="185"/>
      <c r="E10913" s="185" t="s">
        <v>470</v>
      </c>
      <c r="H10913" s="185"/>
    </row>
    <row r="10914">
      <c r="D10914" s="185"/>
      <c r="E10914" s="185" t="s">
        <v>470</v>
      </c>
      <c r="H10914" s="185"/>
    </row>
    <row r="10915">
      <c r="D10915" s="185"/>
      <c r="E10915" s="185" t="s">
        <v>470</v>
      </c>
      <c r="H10915" s="185"/>
    </row>
    <row r="10916">
      <c r="D10916" s="185"/>
      <c r="E10916" s="185" t="s">
        <v>470</v>
      </c>
      <c r="H10916" s="185"/>
    </row>
    <row r="10917">
      <c r="D10917" s="185"/>
      <c r="E10917" s="185" t="s">
        <v>470</v>
      </c>
      <c r="H10917" s="185"/>
    </row>
    <row r="10918">
      <c r="D10918" s="185"/>
      <c r="E10918" s="185" t="s">
        <v>470</v>
      </c>
      <c r="H10918" s="185"/>
    </row>
    <row r="10919">
      <c r="D10919" s="185"/>
      <c r="E10919" s="185" t="s">
        <v>470</v>
      </c>
      <c r="H10919" s="185"/>
    </row>
    <row r="10920">
      <c r="D10920" s="185"/>
      <c r="E10920" s="185" t="s">
        <v>470</v>
      </c>
      <c r="H10920" s="185"/>
    </row>
    <row r="10921">
      <c r="D10921" s="185"/>
      <c r="E10921" s="185" t="s">
        <v>470</v>
      </c>
      <c r="H10921" s="185"/>
    </row>
    <row r="10922">
      <c r="D10922" s="185"/>
      <c r="E10922" s="185" t="s">
        <v>470</v>
      </c>
      <c r="H10922" s="185"/>
    </row>
    <row r="10923">
      <c r="D10923" s="185"/>
      <c r="E10923" s="185" t="s">
        <v>470</v>
      </c>
      <c r="H10923" s="185"/>
    </row>
    <row r="10924">
      <c r="D10924" s="185"/>
      <c r="E10924" s="185" t="s">
        <v>470</v>
      </c>
      <c r="H10924" s="185"/>
    </row>
    <row r="10925">
      <c r="D10925" s="185"/>
      <c r="E10925" s="185" t="s">
        <v>470</v>
      </c>
      <c r="H10925" s="185"/>
    </row>
    <row r="10926">
      <c r="D10926" s="185"/>
      <c r="E10926" s="185" t="s">
        <v>470</v>
      </c>
      <c r="H10926" s="185"/>
    </row>
    <row r="10927">
      <c r="D10927" s="185"/>
      <c r="E10927" s="185" t="s">
        <v>470</v>
      </c>
      <c r="H10927" s="185"/>
    </row>
    <row r="10928">
      <c r="D10928" s="185"/>
      <c r="E10928" s="185" t="s">
        <v>470</v>
      </c>
      <c r="H10928" s="185"/>
    </row>
    <row r="10929">
      <c r="D10929" s="185"/>
      <c r="E10929" s="185" t="s">
        <v>470</v>
      </c>
      <c r="H10929" s="185"/>
    </row>
    <row r="10930">
      <c r="D10930" s="185"/>
      <c r="E10930" s="185" t="s">
        <v>470</v>
      </c>
      <c r="H10930" s="185"/>
    </row>
    <row r="10931">
      <c r="D10931" s="185"/>
      <c r="E10931" s="185" t="s">
        <v>470</v>
      </c>
      <c r="H10931" s="185"/>
    </row>
    <row r="10932">
      <c r="D10932" s="185"/>
      <c r="E10932" s="185" t="s">
        <v>470</v>
      </c>
      <c r="H10932" s="185"/>
    </row>
    <row r="10933">
      <c r="D10933" s="185"/>
      <c r="E10933" s="185" t="s">
        <v>470</v>
      </c>
      <c r="H10933" s="185"/>
    </row>
    <row r="10934">
      <c r="D10934" s="185"/>
      <c r="E10934" s="185" t="s">
        <v>470</v>
      </c>
      <c r="H10934" s="185"/>
    </row>
    <row r="10935">
      <c r="D10935" s="185"/>
      <c r="E10935" s="185" t="s">
        <v>470</v>
      </c>
      <c r="H10935" s="185"/>
    </row>
    <row r="10936">
      <c r="D10936" s="185"/>
      <c r="E10936" s="185" t="s">
        <v>470</v>
      </c>
      <c r="H10936" s="185"/>
    </row>
    <row r="10937">
      <c r="D10937" s="185"/>
      <c r="E10937" s="185" t="s">
        <v>470</v>
      </c>
      <c r="H10937" s="185"/>
    </row>
    <row r="10938">
      <c r="D10938" s="185"/>
      <c r="E10938" s="185" t="s">
        <v>470</v>
      </c>
      <c r="H10938" s="185"/>
    </row>
    <row r="10939">
      <c r="D10939" s="185"/>
      <c r="E10939" s="185" t="s">
        <v>470</v>
      </c>
      <c r="H10939" s="185"/>
    </row>
    <row r="10940">
      <c r="D10940" s="185"/>
      <c r="E10940" s="185" t="s">
        <v>470</v>
      </c>
      <c r="H10940" s="185"/>
    </row>
    <row r="10941">
      <c r="D10941" s="185"/>
      <c r="E10941" s="185" t="s">
        <v>470</v>
      </c>
      <c r="H10941" s="185"/>
    </row>
    <row r="10942">
      <c r="D10942" s="185"/>
      <c r="E10942" s="185" t="s">
        <v>470</v>
      </c>
      <c r="H10942" s="185"/>
    </row>
    <row r="10943">
      <c r="D10943" s="185"/>
      <c r="E10943" s="185" t="s">
        <v>470</v>
      </c>
      <c r="H10943" s="185"/>
    </row>
    <row r="10944">
      <c r="D10944" s="185"/>
      <c r="E10944" s="185" t="s">
        <v>470</v>
      </c>
      <c r="H10944" s="185"/>
    </row>
    <row r="10945">
      <c r="D10945" s="185"/>
      <c r="E10945" s="185" t="s">
        <v>470</v>
      </c>
      <c r="H10945" s="185"/>
    </row>
    <row r="10946">
      <c r="D10946" s="185"/>
      <c r="E10946" s="185" t="s">
        <v>470</v>
      </c>
      <c r="H10946" s="185"/>
    </row>
    <row r="10947">
      <c r="D10947" s="185"/>
      <c r="E10947" s="185" t="s">
        <v>470</v>
      </c>
      <c r="H10947" s="185"/>
    </row>
    <row r="10948">
      <c r="D10948" s="185"/>
      <c r="E10948" s="185" t="s">
        <v>470</v>
      </c>
      <c r="H10948" s="185"/>
    </row>
    <row r="10949">
      <c r="D10949" s="185"/>
      <c r="E10949" s="185" t="s">
        <v>470</v>
      </c>
      <c r="H10949" s="185"/>
    </row>
    <row r="10950">
      <c r="D10950" s="185"/>
      <c r="E10950" s="185" t="s">
        <v>470</v>
      </c>
      <c r="H10950" s="185"/>
    </row>
    <row r="10951">
      <c r="D10951" s="185"/>
      <c r="E10951" s="185" t="s">
        <v>470</v>
      </c>
      <c r="H10951" s="185"/>
    </row>
    <row r="10952">
      <c r="D10952" s="185"/>
      <c r="E10952" s="185" t="s">
        <v>470</v>
      </c>
      <c r="H10952" s="185"/>
    </row>
    <row r="10953">
      <c r="D10953" s="185"/>
      <c r="E10953" s="185" t="s">
        <v>470</v>
      </c>
      <c r="H10953" s="185"/>
    </row>
    <row r="10954">
      <c r="D10954" s="185"/>
      <c r="E10954" s="185" t="s">
        <v>470</v>
      </c>
      <c r="H10954" s="185"/>
    </row>
    <row r="10955">
      <c r="D10955" s="185"/>
      <c r="E10955" s="185" t="s">
        <v>470</v>
      </c>
      <c r="H10955" s="185"/>
    </row>
    <row r="10956">
      <c r="D10956" s="185"/>
      <c r="E10956" s="185" t="s">
        <v>470</v>
      </c>
      <c r="H10956" s="185"/>
    </row>
    <row r="10957">
      <c r="D10957" s="185"/>
      <c r="E10957" s="185" t="s">
        <v>470</v>
      </c>
      <c r="H10957" s="185"/>
    </row>
    <row r="10958">
      <c r="D10958" s="185"/>
      <c r="E10958" s="185" t="s">
        <v>470</v>
      </c>
      <c r="H10958" s="185"/>
    </row>
    <row r="10959">
      <c r="D10959" s="185"/>
      <c r="E10959" s="185" t="s">
        <v>470</v>
      </c>
      <c r="H10959" s="185"/>
    </row>
    <row r="10960">
      <c r="D10960" s="185"/>
      <c r="E10960" s="185" t="s">
        <v>470</v>
      </c>
      <c r="H10960" s="185"/>
    </row>
    <row r="10961">
      <c r="D10961" s="185"/>
      <c r="E10961" s="185" t="s">
        <v>470</v>
      </c>
      <c r="H10961" s="185"/>
    </row>
    <row r="10962">
      <c r="D10962" s="185"/>
      <c r="E10962" s="185" t="s">
        <v>470</v>
      </c>
      <c r="H10962" s="185"/>
    </row>
    <row r="10963">
      <c r="D10963" s="185"/>
      <c r="E10963" s="185" t="s">
        <v>470</v>
      </c>
      <c r="H10963" s="185"/>
    </row>
    <row r="10964">
      <c r="D10964" s="185"/>
      <c r="E10964" s="185" t="s">
        <v>470</v>
      </c>
      <c r="H10964" s="185"/>
    </row>
    <row r="10965">
      <c r="D10965" s="185"/>
      <c r="E10965" s="185" t="s">
        <v>470</v>
      </c>
      <c r="H10965" s="185"/>
    </row>
    <row r="10966">
      <c r="D10966" s="185"/>
      <c r="E10966" s="185" t="s">
        <v>470</v>
      </c>
      <c r="H10966" s="185"/>
    </row>
    <row r="10967">
      <c r="D10967" s="185"/>
      <c r="E10967" s="185" t="s">
        <v>470</v>
      </c>
      <c r="H10967" s="185"/>
    </row>
    <row r="10968">
      <c r="D10968" s="185"/>
      <c r="E10968" s="185" t="s">
        <v>470</v>
      </c>
      <c r="H10968" s="185"/>
    </row>
    <row r="10969">
      <c r="D10969" s="185"/>
      <c r="E10969" s="185" t="s">
        <v>470</v>
      </c>
      <c r="H10969" s="185"/>
    </row>
    <row r="10970">
      <c r="D10970" s="185"/>
      <c r="E10970" s="185" t="s">
        <v>470</v>
      </c>
      <c r="H10970" s="185"/>
    </row>
    <row r="10971">
      <c r="D10971" s="185"/>
      <c r="E10971" s="185" t="s">
        <v>470</v>
      </c>
      <c r="H10971" s="185"/>
    </row>
    <row r="10972">
      <c r="D10972" s="185"/>
      <c r="E10972" s="185" t="s">
        <v>470</v>
      </c>
      <c r="H10972" s="185"/>
    </row>
    <row r="10973">
      <c r="D10973" s="185"/>
      <c r="E10973" s="185" t="s">
        <v>470</v>
      </c>
      <c r="H10973" s="185"/>
    </row>
    <row r="10974">
      <c r="D10974" s="185"/>
      <c r="E10974" s="185" t="s">
        <v>470</v>
      </c>
      <c r="H10974" s="185"/>
    </row>
    <row r="10975">
      <c r="D10975" s="185"/>
      <c r="E10975" s="185" t="s">
        <v>470</v>
      </c>
      <c r="H10975" s="185"/>
    </row>
    <row r="10976">
      <c r="D10976" s="185"/>
      <c r="E10976" s="185" t="s">
        <v>470</v>
      </c>
      <c r="H10976" s="185"/>
    </row>
    <row r="10977">
      <c r="D10977" s="185"/>
      <c r="E10977" s="185" t="s">
        <v>470</v>
      </c>
      <c r="H10977" s="185"/>
    </row>
    <row r="10978">
      <c r="D10978" s="185"/>
      <c r="E10978" s="185" t="s">
        <v>470</v>
      </c>
      <c r="H10978" s="185"/>
    </row>
    <row r="10979">
      <c r="D10979" s="185"/>
      <c r="E10979" s="185" t="s">
        <v>470</v>
      </c>
      <c r="H10979" s="185"/>
    </row>
    <row r="10980">
      <c r="D10980" s="185"/>
      <c r="E10980" s="185" t="s">
        <v>470</v>
      </c>
      <c r="H10980" s="185"/>
    </row>
    <row r="10981">
      <c r="D10981" s="185"/>
      <c r="E10981" s="185" t="s">
        <v>470</v>
      </c>
      <c r="H10981" s="185"/>
    </row>
    <row r="10982">
      <c r="D10982" s="185"/>
      <c r="E10982" s="185" t="s">
        <v>470</v>
      </c>
      <c r="H10982" s="185"/>
    </row>
    <row r="10983">
      <c r="D10983" s="185"/>
      <c r="E10983" s="185" t="s">
        <v>470</v>
      </c>
      <c r="H10983" s="185"/>
    </row>
    <row r="10984">
      <c r="D10984" s="185"/>
      <c r="E10984" s="185" t="s">
        <v>470</v>
      </c>
      <c r="H10984" s="185"/>
    </row>
    <row r="10985">
      <c r="D10985" s="185"/>
      <c r="E10985" s="185" t="s">
        <v>470</v>
      </c>
      <c r="H10985" s="185"/>
    </row>
    <row r="10986">
      <c r="D10986" s="185"/>
      <c r="E10986" s="185" t="s">
        <v>470</v>
      </c>
      <c r="H10986" s="185"/>
    </row>
    <row r="10987">
      <c r="D10987" s="185"/>
      <c r="E10987" s="185" t="s">
        <v>470</v>
      </c>
      <c r="H10987" s="185"/>
    </row>
    <row r="10988">
      <c r="D10988" s="185"/>
      <c r="E10988" s="185" t="s">
        <v>470</v>
      </c>
      <c r="H10988" s="185"/>
    </row>
    <row r="10989">
      <c r="D10989" s="185"/>
      <c r="E10989" s="185" t="s">
        <v>470</v>
      </c>
      <c r="H10989" s="185"/>
    </row>
    <row r="10990">
      <c r="D10990" s="185"/>
      <c r="E10990" s="185" t="s">
        <v>470</v>
      </c>
      <c r="H10990" s="185"/>
    </row>
    <row r="10991">
      <c r="D10991" s="185"/>
      <c r="E10991" s="185" t="s">
        <v>470</v>
      </c>
      <c r="H10991" s="185"/>
    </row>
    <row r="10992">
      <c r="D10992" s="185"/>
      <c r="E10992" s="185" t="s">
        <v>470</v>
      </c>
      <c r="H10992" s="185"/>
    </row>
    <row r="10993">
      <c r="D10993" s="185"/>
      <c r="E10993" s="185" t="s">
        <v>470</v>
      </c>
      <c r="H10993" s="185"/>
    </row>
    <row r="10994">
      <c r="D10994" s="185"/>
      <c r="E10994" s="185" t="s">
        <v>470</v>
      </c>
      <c r="H10994" s="185"/>
    </row>
    <row r="10995">
      <c r="D10995" s="185"/>
      <c r="E10995" s="185" t="s">
        <v>470</v>
      </c>
      <c r="H10995" s="185"/>
    </row>
    <row r="10996">
      <c r="D10996" s="185"/>
      <c r="E10996" s="185" t="s">
        <v>470</v>
      </c>
      <c r="H10996" s="185"/>
    </row>
    <row r="10997">
      <c r="D10997" s="185"/>
      <c r="E10997" s="185" t="s">
        <v>470</v>
      </c>
      <c r="H10997" s="185"/>
    </row>
    <row r="10998">
      <c r="D10998" s="185"/>
      <c r="E10998" s="185" t="s">
        <v>470</v>
      </c>
      <c r="H10998" s="185"/>
    </row>
    <row r="10999">
      <c r="D10999" s="185"/>
      <c r="E10999" s="185" t="s">
        <v>470</v>
      </c>
      <c r="H10999" s="185"/>
    </row>
    <row r="11000">
      <c r="D11000" s="185"/>
      <c r="E11000" s="185" t="s">
        <v>470</v>
      </c>
      <c r="H11000" s="185"/>
    </row>
    <row r="11001">
      <c r="D11001" s="185"/>
      <c r="E11001" s="185" t="s">
        <v>470</v>
      </c>
      <c r="H11001" s="185"/>
    </row>
    <row r="11002">
      <c r="D11002" s="185"/>
      <c r="E11002" s="185" t="s">
        <v>470</v>
      </c>
      <c r="H11002" s="185"/>
    </row>
    <row r="11003">
      <c r="D11003" s="185"/>
      <c r="E11003" s="185" t="s">
        <v>470</v>
      </c>
      <c r="H11003" s="185"/>
    </row>
    <row r="11004">
      <c r="D11004" s="185"/>
      <c r="E11004" s="185" t="s">
        <v>470</v>
      </c>
      <c r="H11004" s="185"/>
    </row>
    <row r="11005">
      <c r="D11005" s="185"/>
      <c r="E11005" s="185" t="s">
        <v>470</v>
      </c>
      <c r="H11005" s="185"/>
    </row>
    <row r="11006">
      <c r="D11006" s="185"/>
      <c r="E11006" s="185" t="s">
        <v>470</v>
      </c>
      <c r="H11006" s="185"/>
    </row>
    <row r="11007">
      <c r="D11007" s="185"/>
      <c r="E11007" s="185" t="s">
        <v>470</v>
      </c>
      <c r="H11007" s="185"/>
    </row>
    <row r="11008">
      <c r="D11008" s="185"/>
      <c r="E11008" s="185" t="s">
        <v>470</v>
      </c>
      <c r="H11008" s="185"/>
    </row>
    <row r="11009">
      <c r="D11009" s="185"/>
      <c r="E11009" s="185" t="s">
        <v>470</v>
      </c>
      <c r="H11009" s="185"/>
    </row>
    <row r="11010">
      <c r="D11010" s="185"/>
      <c r="E11010" s="185" t="s">
        <v>470</v>
      </c>
      <c r="H11010" s="185"/>
    </row>
    <row r="11011">
      <c r="D11011" s="185"/>
      <c r="E11011" s="185" t="s">
        <v>470</v>
      </c>
      <c r="H11011" s="185"/>
    </row>
    <row r="11012">
      <c r="D11012" s="185"/>
      <c r="E11012" s="185" t="s">
        <v>470</v>
      </c>
      <c r="H11012" s="185"/>
    </row>
    <row r="11013">
      <c r="D11013" s="185"/>
      <c r="E11013" s="185" t="s">
        <v>470</v>
      </c>
      <c r="H11013" s="185"/>
    </row>
    <row r="11014">
      <c r="D11014" s="185"/>
      <c r="E11014" s="185" t="s">
        <v>470</v>
      </c>
      <c r="H11014" s="185"/>
    </row>
    <row r="11015">
      <c r="D11015" s="185"/>
      <c r="E11015" s="185" t="s">
        <v>470</v>
      </c>
      <c r="H11015" s="185"/>
    </row>
    <row r="11016">
      <c r="D11016" s="185"/>
      <c r="E11016" s="185" t="s">
        <v>470</v>
      </c>
      <c r="H11016" s="185"/>
    </row>
    <row r="11017">
      <c r="D11017" s="185"/>
      <c r="E11017" s="185" t="s">
        <v>470</v>
      </c>
      <c r="H11017" s="185"/>
    </row>
    <row r="11018">
      <c r="D11018" s="185"/>
      <c r="E11018" s="185" t="s">
        <v>470</v>
      </c>
      <c r="H11018" s="185"/>
    </row>
    <row r="11019">
      <c r="D11019" s="185"/>
      <c r="E11019" s="185" t="s">
        <v>470</v>
      </c>
      <c r="H11019" s="185"/>
    </row>
    <row r="11020">
      <c r="D11020" s="185"/>
      <c r="E11020" s="185" t="s">
        <v>470</v>
      </c>
      <c r="H11020" s="185"/>
    </row>
    <row r="11021">
      <c r="D11021" s="185"/>
      <c r="E11021" s="185" t="s">
        <v>470</v>
      </c>
      <c r="H11021" s="185"/>
    </row>
    <row r="11022">
      <c r="D11022" s="185"/>
      <c r="E11022" s="185" t="s">
        <v>470</v>
      </c>
      <c r="H11022" s="185"/>
    </row>
    <row r="11023">
      <c r="D11023" s="185"/>
      <c r="E11023" s="185" t="s">
        <v>470</v>
      </c>
      <c r="H11023" s="185"/>
    </row>
    <row r="11024">
      <c r="D11024" s="185"/>
      <c r="E11024" s="185" t="s">
        <v>470</v>
      </c>
      <c r="H11024" s="185"/>
    </row>
    <row r="11025">
      <c r="D11025" s="185"/>
      <c r="E11025" s="185" t="s">
        <v>470</v>
      </c>
      <c r="H11025" s="185"/>
    </row>
    <row r="11026">
      <c r="D11026" s="185"/>
      <c r="E11026" s="185" t="s">
        <v>470</v>
      </c>
      <c r="H11026" s="185"/>
    </row>
    <row r="11027">
      <c r="D11027" s="185"/>
      <c r="E11027" s="185" t="s">
        <v>470</v>
      </c>
      <c r="H11027" s="185"/>
    </row>
    <row r="11028">
      <c r="D11028" s="185"/>
      <c r="E11028" s="185" t="s">
        <v>470</v>
      </c>
      <c r="H11028" s="185"/>
    </row>
    <row r="11029">
      <c r="D11029" s="185"/>
      <c r="E11029" s="185" t="s">
        <v>470</v>
      </c>
      <c r="H11029" s="185"/>
    </row>
    <row r="11030">
      <c r="D11030" s="185"/>
      <c r="E11030" s="185" t="s">
        <v>470</v>
      </c>
      <c r="H11030" s="185"/>
    </row>
    <row r="11031">
      <c r="D11031" s="185"/>
      <c r="E11031" s="185" t="s">
        <v>470</v>
      </c>
      <c r="H11031" s="185"/>
    </row>
    <row r="11032">
      <c r="D11032" s="185"/>
      <c r="E11032" s="185" t="s">
        <v>470</v>
      </c>
      <c r="H11032" s="185"/>
    </row>
    <row r="11033">
      <c r="D11033" s="185"/>
      <c r="E11033" s="185" t="s">
        <v>470</v>
      </c>
      <c r="H11033" s="185"/>
    </row>
    <row r="11034">
      <c r="D11034" s="185"/>
      <c r="E11034" s="185" t="s">
        <v>470</v>
      </c>
      <c r="H11034" s="185"/>
    </row>
    <row r="11035">
      <c r="D11035" s="185"/>
      <c r="E11035" s="185" t="s">
        <v>470</v>
      </c>
      <c r="H11035" s="185"/>
    </row>
    <row r="11036">
      <c r="D11036" s="185"/>
      <c r="E11036" s="185" t="s">
        <v>470</v>
      </c>
      <c r="H11036" s="185"/>
    </row>
    <row r="11037">
      <c r="D11037" s="185"/>
      <c r="E11037" s="185" t="s">
        <v>470</v>
      </c>
      <c r="H11037" s="185"/>
    </row>
    <row r="11038">
      <c r="D11038" s="185"/>
      <c r="E11038" s="185" t="s">
        <v>470</v>
      </c>
      <c r="H11038" s="185"/>
    </row>
    <row r="11039">
      <c r="D11039" s="185"/>
      <c r="E11039" s="185" t="s">
        <v>470</v>
      </c>
      <c r="H11039" s="185"/>
    </row>
    <row r="11040">
      <c r="D11040" s="185"/>
      <c r="E11040" s="185" t="s">
        <v>470</v>
      </c>
      <c r="H11040" s="185"/>
    </row>
    <row r="11041">
      <c r="D11041" s="185"/>
      <c r="E11041" s="185" t="s">
        <v>470</v>
      </c>
      <c r="H11041" s="185"/>
    </row>
    <row r="11042">
      <c r="D11042" s="185"/>
      <c r="E11042" s="185" t="s">
        <v>470</v>
      </c>
      <c r="H11042" s="185"/>
    </row>
    <row r="11043">
      <c r="D11043" s="185"/>
      <c r="E11043" s="185" t="s">
        <v>470</v>
      </c>
      <c r="H11043" s="185"/>
    </row>
    <row r="11044">
      <c r="D11044" s="185"/>
      <c r="E11044" s="185" t="s">
        <v>470</v>
      </c>
      <c r="H11044" s="185"/>
    </row>
    <row r="11045">
      <c r="D11045" s="185"/>
      <c r="E11045" s="185" t="s">
        <v>470</v>
      </c>
      <c r="H11045" s="185"/>
    </row>
    <row r="11046">
      <c r="D11046" s="185"/>
      <c r="E11046" s="185" t="s">
        <v>470</v>
      </c>
      <c r="H11046" s="185"/>
    </row>
    <row r="11047">
      <c r="D11047" s="185"/>
      <c r="E11047" s="185" t="s">
        <v>470</v>
      </c>
      <c r="H11047" s="185"/>
    </row>
    <row r="11048">
      <c r="D11048" s="185"/>
      <c r="E11048" s="185" t="s">
        <v>470</v>
      </c>
      <c r="H11048" s="185"/>
    </row>
    <row r="11049">
      <c r="D11049" s="185"/>
      <c r="E11049" s="185" t="s">
        <v>470</v>
      </c>
      <c r="H11049" s="185"/>
    </row>
    <row r="11050">
      <c r="D11050" s="185"/>
      <c r="E11050" s="185" t="s">
        <v>470</v>
      </c>
      <c r="H11050" s="185"/>
    </row>
    <row r="11051">
      <c r="D11051" s="185"/>
      <c r="E11051" s="185" t="s">
        <v>470</v>
      </c>
      <c r="H11051" s="185"/>
    </row>
    <row r="11052">
      <c r="D11052" s="185"/>
      <c r="E11052" s="185" t="s">
        <v>470</v>
      </c>
      <c r="H11052" s="185"/>
    </row>
    <row r="11053">
      <c r="D11053" s="185"/>
      <c r="E11053" s="185" t="s">
        <v>470</v>
      </c>
      <c r="H11053" s="185"/>
    </row>
    <row r="11054">
      <c r="D11054" s="185"/>
      <c r="E11054" s="185" t="s">
        <v>470</v>
      </c>
      <c r="H11054" s="185"/>
    </row>
    <row r="11055">
      <c r="D11055" s="185"/>
      <c r="E11055" s="185" t="s">
        <v>470</v>
      </c>
      <c r="H11055" s="185"/>
    </row>
    <row r="11056">
      <c r="D11056" s="185"/>
      <c r="E11056" s="185" t="s">
        <v>470</v>
      </c>
      <c r="H11056" s="185"/>
    </row>
    <row r="11057">
      <c r="D11057" s="185"/>
      <c r="E11057" s="185" t="s">
        <v>470</v>
      </c>
      <c r="H11057" s="185"/>
    </row>
    <row r="11058">
      <c r="D11058" s="185"/>
      <c r="E11058" s="185" t="s">
        <v>470</v>
      </c>
      <c r="H11058" s="185"/>
    </row>
    <row r="11059">
      <c r="D11059" s="185"/>
      <c r="E11059" s="185" t="s">
        <v>470</v>
      </c>
      <c r="H11059" s="185"/>
    </row>
    <row r="11060">
      <c r="D11060" s="185"/>
      <c r="E11060" s="185" t="s">
        <v>470</v>
      </c>
      <c r="H11060" s="185"/>
    </row>
    <row r="11061">
      <c r="D11061" s="185"/>
      <c r="E11061" s="185" t="s">
        <v>470</v>
      </c>
      <c r="H11061" s="185"/>
    </row>
    <row r="11062">
      <c r="D11062" s="185"/>
      <c r="E11062" s="185" t="s">
        <v>470</v>
      </c>
      <c r="H11062" s="185"/>
    </row>
    <row r="11063">
      <c r="D11063" s="185"/>
      <c r="E11063" s="185" t="s">
        <v>470</v>
      </c>
      <c r="H11063" s="185"/>
    </row>
    <row r="11064">
      <c r="D11064" s="185"/>
      <c r="E11064" s="185" t="s">
        <v>470</v>
      </c>
      <c r="H11064" s="185"/>
    </row>
    <row r="11065">
      <c r="D11065" s="185"/>
      <c r="E11065" s="185" t="s">
        <v>470</v>
      </c>
      <c r="H11065" s="185"/>
    </row>
    <row r="11066">
      <c r="D11066" s="185"/>
      <c r="E11066" s="185" t="s">
        <v>470</v>
      </c>
      <c r="H11066" s="185"/>
    </row>
    <row r="11067">
      <c r="D11067" s="185"/>
      <c r="E11067" s="185" t="s">
        <v>470</v>
      </c>
      <c r="H11067" s="185"/>
    </row>
    <row r="11068">
      <c r="D11068" s="185"/>
      <c r="E11068" s="185" t="s">
        <v>470</v>
      </c>
      <c r="H11068" s="185"/>
    </row>
    <row r="11069">
      <c r="D11069" s="185"/>
      <c r="E11069" s="185" t="s">
        <v>470</v>
      </c>
      <c r="H11069" s="185"/>
    </row>
    <row r="11070">
      <c r="D11070" s="185"/>
      <c r="E11070" s="185" t="s">
        <v>470</v>
      </c>
      <c r="H11070" s="185"/>
    </row>
    <row r="11071">
      <c r="D11071" s="185"/>
      <c r="E11071" s="185" t="s">
        <v>470</v>
      </c>
      <c r="H11071" s="185"/>
    </row>
    <row r="11072">
      <c r="D11072" s="185"/>
      <c r="E11072" s="185" t="s">
        <v>470</v>
      </c>
      <c r="H11072" s="185"/>
    </row>
    <row r="11073">
      <c r="D11073" s="185"/>
      <c r="E11073" s="185" t="s">
        <v>470</v>
      </c>
      <c r="H11073" s="185"/>
    </row>
    <row r="11074">
      <c r="D11074" s="185"/>
      <c r="E11074" s="185" t="s">
        <v>470</v>
      </c>
      <c r="H11074" s="185"/>
    </row>
    <row r="11075">
      <c r="D11075" s="185"/>
      <c r="E11075" s="185" t="s">
        <v>470</v>
      </c>
      <c r="H11075" s="185"/>
    </row>
    <row r="11076">
      <c r="D11076" s="185"/>
      <c r="E11076" s="185" t="s">
        <v>470</v>
      </c>
      <c r="H11076" s="185"/>
    </row>
    <row r="11077">
      <c r="D11077" s="185"/>
      <c r="E11077" s="185" t="s">
        <v>470</v>
      </c>
      <c r="H11077" s="185"/>
    </row>
    <row r="11078">
      <c r="D11078" s="185"/>
      <c r="E11078" s="185" t="s">
        <v>470</v>
      </c>
      <c r="H11078" s="185"/>
    </row>
    <row r="11079">
      <c r="D11079" s="185"/>
      <c r="E11079" s="185" t="s">
        <v>470</v>
      </c>
      <c r="H11079" s="185"/>
    </row>
    <row r="11080">
      <c r="D11080" s="185"/>
      <c r="E11080" s="185" t="s">
        <v>470</v>
      </c>
      <c r="H11080" s="185"/>
    </row>
    <row r="11081">
      <c r="D11081" s="185"/>
      <c r="E11081" s="185" t="s">
        <v>470</v>
      </c>
      <c r="H11081" s="185"/>
    </row>
    <row r="11082">
      <c r="D11082" s="185"/>
      <c r="E11082" s="185" t="s">
        <v>470</v>
      </c>
      <c r="H11082" s="185"/>
    </row>
    <row r="11083">
      <c r="D11083" s="185"/>
      <c r="E11083" s="185" t="s">
        <v>470</v>
      </c>
      <c r="H11083" s="185"/>
    </row>
    <row r="11084">
      <c r="D11084" s="185"/>
      <c r="E11084" s="185" t="s">
        <v>470</v>
      </c>
      <c r="H11084" s="185"/>
    </row>
    <row r="11085">
      <c r="D11085" s="185"/>
      <c r="E11085" s="185" t="s">
        <v>470</v>
      </c>
      <c r="H11085" s="185"/>
    </row>
    <row r="11086">
      <c r="D11086" s="185"/>
      <c r="E11086" s="185" t="s">
        <v>470</v>
      </c>
      <c r="H11086" s="185"/>
    </row>
    <row r="11087">
      <c r="D11087" s="185"/>
      <c r="E11087" s="185" t="s">
        <v>470</v>
      </c>
      <c r="H11087" s="185"/>
    </row>
    <row r="11088">
      <c r="D11088" s="185"/>
      <c r="E11088" s="185" t="s">
        <v>470</v>
      </c>
      <c r="H11088" s="185"/>
    </row>
    <row r="11089">
      <c r="D11089" s="185"/>
      <c r="E11089" s="185" t="s">
        <v>470</v>
      </c>
      <c r="H11089" s="185"/>
    </row>
    <row r="11090">
      <c r="D11090" s="185"/>
      <c r="E11090" s="185" t="s">
        <v>470</v>
      </c>
      <c r="H11090" s="185"/>
    </row>
    <row r="11091">
      <c r="D11091" s="185"/>
      <c r="E11091" s="185" t="s">
        <v>470</v>
      </c>
      <c r="H11091" s="185"/>
    </row>
    <row r="11092">
      <c r="D11092" s="185"/>
      <c r="E11092" s="185" t="s">
        <v>470</v>
      </c>
      <c r="H11092" s="185"/>
    </row>
    <row r="11093">
      <c r="D11093" s="185"/>
      <c r="E11093" s="185" t="s">
        <v>470</v>
      </c>
      <c r="H11093" s="185"/>
    </row>
    <row r="11094">
      <c r="D11094" s="185"/>
      <c r="E11094" s="185" t="s">
        <v>470</v>
      </c>
      <c r="H11094" s="185"/>
    </row>
    <row r="11095">
      <c r="D11095" s="185"/>
      <c r="E11095" s="185" t="s">
        <v>470</v>
      </c>
      <c r="H11095" s="185"/>
    </row>
    <row r="11096">
      <c r="D11096" s="185"/>
      <c r="E11096" s="185" t="s">
        <v>470</v>
      </c>
      <c r="H11096" s="185"/>
    </row>
    <row r="11097">
      <c r="D11097" s="185"/>
      <c r="E11097" s="185" t="s">
        <v>470</v>
      </c>
      <c r="H11097" s="185"/>
    </row>
    <row r="11098">
      <c r="D11098" s="185"/>
      <c r="E11098" s="185" t="s">
        <v>470</v>
      </c>
      <c r="H11098" s="185"/>
    </row>
    <row r="11099">
      <c r="D11099" s="185"/>
      <c r="E11099" s="185" t="s">
        <v>470</v>
      </c>
      <c r="H11099" s="185"/>
    </row>
    <row r="11100">
      <c r="D11100" s="185"/>
      <c r="E11100" s="185" t="s">
        <v>470</v>
      </c>
      <c r="H11100" s="185"/>
    </row>
    <row r="11101">
      <c r="D11101" s="185"/>
      <c r="E11101" s="185" t="s">
        <v>470</v>
      </c>
      <c r="H11101" s="185"/>
    </row>
    <row r="11102">
      <c r="D11102" s="185"/>
      <c r="E11102" s="185" t="s">
        <v>470</v>
      </c>
      <c r="H11102" s="185"/>
    </row>
    <row r="11103">
      <c r="D11103" s="185"/>
      <c r="E11103" s="185" t="s">
        <v>470</v>
      </c>
      <c r="H11103" s="185"/>
    </row>
    <row r="11104">
      <c r="D11104" s="185"/>
      <c r="E11104" s="185" t="s">
        <v>470</v>
      </c>
      <c r="H11104" s="185"/>
    </row>
    <row r="11105">
      <c r="D11105" s="185"/>
      <c r="E11105" s="185" t="s">
        <v>470</v>
      </c>
      <c r="H11105" s="185"/>
    </row>
    <row r="11106">
      <c r="D11106" s="185"/>
      <c r="E11106" s="185" t="s">
        <v>470</v>
      </c>
      <c r="H11106" s="185"/>
    </row>
    <row r="11107">
      <c r="D11107" s="185"/>
      <c r="E11107" s="185" t="s">
        <v>470</v>
      </c>
      <c r="H11107" s="185"/>
    </row>
    <row r="11108">
      <c r="D11108" s="185"/>
      <c r="E11108" s="185" t="s">
        <v>470</v>
      </c>
      <c r="H11108" s="185"/>
    </row>
    <row r="11109">
      <c r="D11109" s="185"/>
      <c r="E11109" s="185" t="s">
        <v>470</v>
      </c>
      <c r="H11109" s="185"/>
    </row>
    <row r="11110">
      <c r="D11110" s="185"/>
      <c r="E11110" s="185" t="s">
        <v>470</v>
      </c>
      <c r="H11110" s="185"/>
    </row>
    <row r="11111">
      <c r="D11111" s="185"/>
      <c r="E11111" s="185" t="s">
        <v>470</v>
      </c>
      <c r="H11111" s="185"/>
    </row>
    <row r="11112">
      <c r="D11112" s="185"/>
      <c r="E11112" s="185" t="s">
        <v>470</v>
      </c>
      <c r="H11112" s="185"/>
    </row>
    <row r="11113">
      <c r="D11113" s="185"/>
      <c r="E11113" s="185" t="s">
        <v>470</v>
      </c>
      <c r="H11113" s="185"/>
    </row>
    <row r="11114">
      <c r="D11114" s="185"/>
      <c r="E11114" s="185" t="s">
        <v>470</v>
      </c>
      <c r="H11114" s="185"/>
    </row>
    <row r="11115">
      <c r="D11115" s="185"/>
      <c r="E11115" s="185" t="s">
        <v>470</v>
      </c>
      <c r="H11115" s="185"/>
    </row>
    <row r="11116">
      <c r="D11116" s="185"/>
      <c r="E11116" s="185" t="s">
        <v>470</v>
      </c>
      <c r="H11116" s="185"/>
    </row>
    <row r="11117">
      <c r="D11117" s="185"/>
      <c r="E11117" s="185" t="s">
        <v>470</v>
      </c>
      <c r="H11117" s="185"/>
    </row>
    <row r="11118">
      <c r="D11118" s="185"/>
      <c r="E11118" s="185" t="s">
        <v>470</v>
      </c>
      <c r="H11118" s="185"/>
    </row>
    <row r="11119">
      <c r="D11119" s="185"/>
      <c r="E11119" s="185" t="s">
        <v>470</v>
      </c>
      <c r="H11119" s="185"/>
    </row>
    <row r="11120">
      <c r="D11120" s="185"/>
      <c r="E11120" s="185" t="s">
        <v>470</v>
      </c>
      <c r="H11120" s="185"/>
    </row>
    <row r="11121">
      <c r="D11121" s="185"/>
      <c r="E11121" s="185" t="s">
        <v>470</v>
      </c>
      <c r="H11121" s="185"/>
    </row>
    <row r="11122">
      <c r="D11122" s="185"/>
      <c r="E11122" s="185" t="s">
        <v>470</v>
      </c>
      <c r="H11122" s="185"/>
    </row>
    <row r="11123">
      <c r="D11123" s="185"/>
      <c r="E11123" s="185" t="s">
        <v>470</v>
      </c>
      <c r="H11123" s="185"/>
    </row>
    <row r="11124">
      <c r="D11124" s="185"/>
      <c r="E11124" s="185" t="s">
        <v>470</v>
      </c>
      <c r="H11124" s="185"/>
    </row>
    <row r="11125">
      <c r="D11125" s="185"/>
      <c r="E11125" s="185" t="s">
        <v>470</v>
      </c>
      <c r="H11125" s="185"/>
    </row>
    <row r="11126">
      <c r="D11126" s="185"/>
      <c r="E11126" s="185" t="s">
        <v>470</v>
      </c>
      <c r="H11126" s="185"/>
    </row>
    <row r="11127">
      <c r="D11127" s="185"/>
      <c r="E11127" s="185" t="s">
        <v>470</v>
      </c>
      <c r="H11127" s="185"/>
    </row>
    <row r="11128">
      <c r="D11128" s="185"/>
      <c r="E11128" s="185" t="s">
        <v>470</v>
      </c>
      <c r="H11128" s="185"/>
    </row>
    <row r="11129">
      <c r="D11129" s="185"/>
      <c r="E11129" s="185" t="s">
        <v>470</v>
      </c>
      <c r="H11129" s="185"/>
    </row>
    <row r="11130">
      <c r="D11130" s="185"/>
      <c r="E11130" s="185" t="s">
        <v>470</v>
      </c>
      <c r="H11130" s="185"/>
    </row>
    <row r="11131">
      <c r="D11131" s="185"/>
      <c r="E11131" s="185" t="s">
        <v>470</v>
      </c>
      <c r="H11131" s="185"/>
    </row>
    <row r="11132">
      <c r="D11132" s="185"/>
      <c r="E11132" s="185" t="s">
        <v>470</v>
      </c>
      <c r="H11132" s="185"/>
    </row>
    <row r="11133">
      <c r="D11133" s="185"/>
      <c r="E11133" s="185" t="s">
        <v>470</v>
      </c>
      <c r="H11133" s="185"/>
    </row>
    <row r="11134">
      <c r="D11134" s="185"/>
      <c r="E11134" s="185" t="s">
        <v>470</v>
      </c>
      <c r="H11134" s="185"/>
    </row>
    <row r="11135">
      <c r="D11135" s="185"/>
      <c r="E11135" s="185" t="s">
        <v>470</v>
      </c>
      <c r="H11135" s="185"/>
    </row>
    <row r="11136">
      <c r="D11136" s="185"/>
      <c r="E11136" s="185" t="s">
        <v>470</v>
      </c>
      <c r="H11136" s="185"/>
    </row>
    <row r="11137">
      <c r="D11137" s="185"/>
      <c r="E11137" s="185" t="s">
        <v>470</v>
      </c>
      <c r="H11137" s="185"/>
    </row>
    <row r="11138">
      <c r="D11138" s="185"/>
      <c r="E11138" s="185" t="s">
        <v>470</v>
      </c>
      <c r="H11138" s="185"/>
    </row>
    <row r="11139">
      <c r="D11139" s="185"/>
      <c r="E11139" s="185" t="s">
        <v>470</v>
      </c>
      <c r="H11139" s="185"/>
    </row>
    <row r="11140">
      <c r="D11140" s="185"/>
      <c r="E11140" s="185" t="s">
        <v>470</v>
      </c>
      <c r="H11140" s="185"/>
    </row>
    <row r="11141">
      <c r="D11141" s="185"/>
      <c r="E11141" s="185" t="s">
        <v>470</v>
      </c>
      <c r="H11141" s="185"/>
    </row>
    <row r="11142">
      <c r="D11142" s="185"/>
      <c r="E11142" s="185" t="s">
        <v>470</v>
      </c>
      <c r="H11142" s="185"/>
    </row>
    <row r="11143">
      <c r="D11143" s="185"/>
      <c r="E11143" s="185" t="s">
        <v>470</v>
      </c>
      <c r="H11143" s="185"/>
    </row>
    <row r="11144">
      <c r="D11144" s="185"/>
      <c r="E11144" s="185" t="s">
        <v>470</v>
      </c>
      <c r="H11144" s="185"/>
    </row>
    <row r="11145">
      <c r="D11145" s="185"/>
      <c r="E11145" s="185" t="s">
        <v>470</v>
      </c>
      <c r="H11145" s="185"/>
    </row>
    <row r="11146">
      <c r="D11146" s="185"/>
      <c r="E11146" s="185" t="s">
        <v>470</v>
      </c>
      <c r="H11146" s="185"/>
    </row>
    <row r="11147">
      <c r="D11147" s="185"/>
      <c r="E11147" s="185" t="s">
        <v>470</v>
      </c>
      <c r="H11147" s="185"/>
    </row>
    <row r="11148">
      <c r="D11148" s="185"/>
      <c r="E11148" s="185" t="s">
        <v>470</v>
      </c>
      <c r="H11148" s="185"/>
    </row>
    <row r="11149">
      <c r="D11149" s="185"/>
      <c r="E11149" s="185" t="s">
        <v>470</v>
      </c>
      <c r="H11149" s="185"/>
    </row>
    <row r="11150">
      <c r="D11150" s="185"/>
      <c r="E11150" s="185" t="s">
        <v>470</v>
      </c>
      <c r="H11150" s="185"/>
    </row>
    <row r="11151">
      <c r="D11151" s="185"/>
      <c r="E11151" s="185" t="s">
        <v>470</v>
      </c>
      <c r="H11151" s="185"/>
    </row>
    <row r="11152">
      <c r="D11152" s="185"/>
      <c r="E11152" s="185" t="s">
        <v>470</v>
      </c>
      <c r="H11152" s="185"/>
    </row>
    <row r="11153">
      <c r="D11153" s="185"/>
      <c r="E11153" s="185" t="s">
        <v>470</v>
      </c>
      <c r="H11153" s="185"/>
    </row>
    <row r="11154">
      <c r="D11154" s="185"/>
      <c r="E11154" s="185" t="s">
        <v>470</v>
      </c>
      <c r="H11154" s="185"/>
    </row>
    <row r="11155">
      <c r="D11155" s="185"/>
      <c r="E11155" s="185" t="s">
        <v>470</v>
      </c>
      <c r="H11155" s="185"/>
    </row>
    <row r="11156">
      <c r="D11156" s="185"/>
      <c r="E11156" s="185" t="s">
        <v>470</v>
      </c>
      <c r="H11156" s="185"/>
    </row>
    <row r="11157">
      <c r="D11157" s="185"/>
      <c r="E11157" s="185" t="s">
        <v>470</v>
      </c>
      <c r="H11157" s="185"/>
    </row>
    <row r="11158">
      <c r="D11158" s="185"/>
      <c r="E11158" s="185" t="s">
        <v>470</v>
      </c>
      <c r="H11158" s="185"/>
    </row>
    <row r="11159">
      <c r="D11159" s="185"/>
      <c r="E11159" s="185" t="s">
        <v>470</v>
      </c>
      <c r="H11159" s="185"/>
    </row>
    <row r="11160">
      <c r="D11160" s="185"/>
      <c r="E11160" s="185" t="s">
        <v>470</v>
      </c>
      <c r="H11160" s="185"/>
    </row>
    <row r="11161">
      <c r="D11161" s="185"/>
      <c r="E11161" s="185" t="s">
        <v>470</v>
      </c>
      <c r="H11161" s="185"/>
    </row>
    <row r="11162">
      <c r="D11162" s="185"/>
      <c r="E11162" s="185" t="s">
        <v>470</v>
      </c>
      <c r="H11162" s="185"/>
    </row>
    <row r="11163">
      <c r="D11163" s="185"/>
      <c r="E11163" s="185" t="s">
        <v>470</v>
      </c>
      <c r="H11163" s="185"/>
    </row>
    <row r="11164">
      <c r="D11164" s="185"/>
      <c r="E11164" s="185" t="s">
        <v>470</v>
      </c>
      <c r="H11164" s="185"/>
    </row>
    <row r="11165">
      <c r="D11165" s="185"/>
      <c r="E11165" s="185" t="s">
        <v>470</v>
      </c>
      <c r="H11165" s="185"/>
    </row>
    <row r="11166">
      <c r="D11166" s="185"/>
      <c r="E11166" s="185" t="s">
        <v>470</v>
      </c>
      <c r="H11166" s="185"/>
    </row>
    <row r="11167">
      <c r="D11167" s="185"/>
      <c r="E11167" s="185" t="s">
        <v>470</v>
      </c>
      <c r="H11167" s="185"/>
    </row>
    <row r="11168">
      <c r="D11168" s="185"/>
      <c r="E11168" s="185" t="s">
        <v>470</v>
      </c>
      <c r="H11168" s="185"/>
    </row>
    <row r="11169">
      <c r="D11169" s="185"/>
      <c r="E11169" s="185" t="s">
        <v>470</v>
      </c>
      <c r="H11169" s="185"/>
    </row>
    <row r="11170">
      <c r="D11170" s="185"/>
      <c r="E11170" s="185" t="s">
        <v>470</v>
      </c>
      <c r="H11170" s="185"/>
    </row>
    <row r="11171">
      <c r="D11171" s="185"/>
      <c r="E11171" s="185" t="s">
        <v>470</v>
      </c>
      <c r="H11171" s="185"/>
    </row>
    <row r="11172">
      <c r="D11172" s="185"/>
      <c r="E11172" s="185" t="s">
        <v>470</v>
      </c>
      <c r="H11172" s="185"/>
    </row>
    <row r="11173">
      <c r="D11173" s="185"/>
      <c r="E11173" s="185" t="s">
        <v>470</v>
      </c>
      <c r="H11173" s="185"/>
    </row>
    <row r="11174">
      <c r="D11174" s="185"/>
      <c r="E11174" s="185" t="s">
        <v>470</v>
      </c>
      <c r="H11174" s="185"/>
    </row>
    <row r="11175">
      <c r="D11175" s="185"/>
      <c r="E11175" s="185" t="s">
        <v>470</v>
      </c>
      <c r="H11175" s="185"/>
    </row>
    <row r="11176">
      <c r="D11176" s="185"/>
      <c r="E11176" s="185" t="s">
        <v>470</v>
      </c>
      <c r="H11176" s="185"/>
    </row>
    <row r="11177">
      <c r="D11177" s="185"/>
      <c r="E11177" s="185" t="s">
        <v>470</v>
      </c>
      <c r="H11177" s="185"/>
    </row>
    <row r="11178">
      <c r="D11178" s="185"/>
      <c r="E11178" s="185" t="s">
        <v>470</v>
      </c>
      <c r="H11178" s="185"/>
    </row>
    <row r="11179">
      <c r="D11179" s="185"/>
      <c r="E11179" s="185" t="s">
        <v>470</v>
      </c>
      <c r="H11179" s="185"/>
    </row>
    <row r="11180">
      <c r="D11180" s="185"/>
      <c r="E11180" s="185" t="s">
        <v>470</v>
      </c>
      <c r="H11180" s="185"/>
    </row>
    <row r="11181">
      <c r="D11181" s="185"/>
      <c r="E11181" s="185" t="s">
        <v>470</v>
      </c>
      <c r="H11181" s="185"/>
    </row>
    <row r="11182">
      <c r="D11182" s="185"/>
      <c r="E11182" s="185" t="s">
        <v>470</v>
      </c>
      <c r="H11182" s="185"/>
    </row>
    <row r="11183">
      <c r="D11183" s="185"/>
      <c r="E11183" s="185" t="s">
        <v>470</v>
      </c>
      <c r="H11183" s="185"/>
    </row>
    <row r="11184">
      <c r="D11184" s="185"/>
      <c r="E11184" s="185" t="s">
        <v>470</v>
      </c>
      <c r="H11184" s="185"/>
    </row>
    <row r="11185">
      <c r="D11185" s="185"/>
      <c r="E11185" s="185" t="s">
        <v>470</v>
      </c>
      <c r="H11185" s="185"/>
    </row>
    <row r="11186">
      <c r="D11186" s="185"/>
      <c r="E11186" s="185" t="s">
        <v>470</v>
      </c>
      <c r="H11186" s="185"/>
    </row>
    <row r="11187">
      <c r="D11187" s="185"/>
      <c r="E11187" s="185" t="s">
        <v>470</v>
      </c>
      <c r="H11187" s="185"/>
    </row>
    <row r="11188">
      <c r="D11188" s="185"/>
      <c r="E11188" s="185" t="s">
        <v>470</v>
      </c>
      <c r="H11188" s="185"/>
    </row>
    <row r="11189">
      <c r="D11189" s="185"/>
      <c r="E11189" s="185" t="s">
        <v>470</v>
      </c>
      <c r="H11189" s="185"/>
    </row>
    <row r="11190">
      <c r="D11190" s="185"/>
      <c r="E11190" s="185" t="s">
        <v>470</v>
      </c>
      <c r="H11190" s="185"/>
    </row>
    <row r="11191">
      <c r="D11191" s="185"/>
      <c r="E11191" s="185" t="s">
        <v>470</v>
      </c>
      <c r="H11191" s="185"/>
    </row>
    <row r="11192">
      <c r="D11192" s="185"/>
      <c r="E11192" s="185" t="s">
        <v>470</v>
      </c>
      <c r="H11192" s="185"/>
    </row>
    <row r="11193">
      <c r="D11193" s="185"/>
      <c r="E11193" s="185" t="s">
        <v>470</v>
      </c>
      <c r="H11193" s="185"/>
    </row>
    <row r="11194">
      <c r="D11194" s="185"/>
      <c r="E11194" s="185" t="s">
        <v>470</v>
      </c>
      <c r="H11194" s="185"/>
    </row>
    <row r="11195">
      <c r="D11195" s="185"/>
      <c r="E11195" s="185" t="s">
        <v>470</v>
      </c>
      <c r="H11195" s="185"/>
    </row>
    <row r="11196">
      <c r="D11196" s="185"/>
      <c r="E11196" s="185" t="s">
        <v>470</v>
      </c>
      <c r="H11196" s="185"/>
    </row>
    <row r="11197">
      <c r="D11197" s="185"/>
      <c r="E11197" s="185" t="s">
        <v>470</v>
      </c>
      <c r="H11197" s="185"/>
    </row>
    <row r="11198">
      <c r="D11198" s="185"/>
      <c r="E11198" s="185" t="s">
        <v>470</v>
      </c>
      <c r="H11198" s="185"/>
    </row>
    <row r="11199">
      <c r="D11199" s="185"/>
      <c r="E11199" s="185" t="s">
        <v>470</v>
      </c>
      <c r="H11199" s="185"/>
    </row>
    <row r="11200">
      <c r="D11200" s="185"/>
      <c r="E11200" s="185" t="s">
        <v>470</v>
      </c>
      <c r="H11200" s="185"/>
    </row>
    <row r="11201">
      <c r="D11201" s="185"/>
      <c r="E11201" s="185" t="s">
        <v>470</v>
      </c>
      <c r="H11201" s="185"/>
    </row>
    <row r="11202">
      <c r="D11202" s="185"/>
      <c r="E11202" s="185" t="s">
        <v>470</v>
      </c>
      <c r="H11202" s="185"/>
    </row>
    <row r="11203">
      <c r="D11203" s="185"/>
      <c r="E11203" s="185" t="s">
        <v>470</v>
      </c>
      <c r="H11203" s="185"/>
    </row>
    <row r="11204">
      <c r="D11204" s="185"/>
      <c r="E11204" s="185" t="s">
        <v>470</v>
      </c>
      <c r="H11204" s="185"/>
    </row>
    <row r="11205">
      <c r="D11205" s="185"/>
      <c r="E11205" s="185" t="s">
        <v>470</v>
      </c>
      <c r="H11205" s="185"/>
    </row>
    <row r="11206">
      <c r="D11206" s="185"/>
      <c r="E11206" s="185" t="s">
        <v>470</v>
      </c>
      <c r="H11206" s="185"/>
    </row>
    <row r="11207">
      <c r="D11207" s="185"/>
      <c r="E11207" s="185" t="s">
        <v>470</v>
      </c>
      <c r="H11207" s="185"/>
    </row>
    <row r="11208">
      <c r="D11208" s="185"/>
      <c r="E11208" s="185" t="s">
        <v>470</v>
      </c>
      <c r="H11208" s="185"/>
    </row>
    <row r="11209">
      <c r="D11209" s="185"/>
      <c r="E11209" s="185" t="s">
        <v>470</v>
      </c>
      <c r="H11209" s="185"/>
    </row>
    <row r="11210">
      <c r="D11210" s="185"/>
      <c r="E11210" s="185" t="s">
        <v>470</v>
      </c>
      <c r="H11210" s="185"/>
    </row>
    <row r="11211">
      <c r="D11211" s="185"/>
      <c r="E11211" s="185" t="s">
        <v>470</v>
      </c>
      <c r="H11211" s="185"/>
    </row>
    <row r="11212">
      <c r="D11212" s="185"/>
      <c r="E11212" s="185" t="s">
        <v>470</v>
      </c>
      <c r="H11212" s="185"/>
    </row>
    <row r="11213">
      <c r="D11213" s="185"/>
      <c r="E11213" s="185" t="s">
        <v>470</v>
      </c>
      <c r="H11213" s="185"/>
    </row>
    <row r="11214">
      <c r="D11214" s="185"/>
      <c r="E11214" s="185" t="s">
        <v>470</v>
      </c>
      <c r="H11214" s="185"/>
    </row>
    <row r="11215">
      <c r="D11215" s="185"/>
      <c r="E11215" s="185" t="s">
        <v>470</v>
      </c>
      <c r="H11215" s="185"/>
    </row>
    <row r="11216">
      <c r="D11216" s="185"/>
      <c r="E11216" s="185" t="s">
        <v>470</v>
      </c>
      <c r="H11216" s="185"/>
    </row>
    <row r="11217">
      <c r="D11217" s="185"/>
      <c r="E11217" s="185" t="s">
        <v>470</v>
      </c>
      <c r="H11217" s="185"/>
    </row>
    <row r="11218">
      <c r="D11218" s="185"/>
      <c r="E11218" s="185" t="s">
        <v>470</v>
      </c>
      <c r="H11218" s="185"/>
    </row>
    <row r="11219">
      <c r="D11219" s="185"/>
      <c r="E11219" s="185" t="s">
        <v>470</v>
      </c>
      <c r="H11219" s="185"/>
    </row>
    <row r="11220">
      <c r="D11220" s="185"/>
      <c r="E11220" s="185" t="s">
        <v>470</v>
      </c>
      <c r="H11220" s="185"/>
    </row>
    <row r="11221">
      <c r="D11221" s="185"/>
      <c r="E11221" s="185" t="s">
        <v>470</v>
      </c>
      <c r="H11221" s="185"/>
    </row>
    <row r="11222">
      <c r="D11222" s="185"/>
      <c r="E11222" s="185" t="s">
        <v>470</v>
      </c>
      <c r="H11222" s="185"/>
    </row>
    <row r="11223">
      <c r="D11223" s="185"/>
      <c r="E11223" s="185" t="s">
        <v>470</v>
      </c>
      <c r="H11223" s="185"/>
    </row>
    <row r="11224">
      <c r="D11224" s="185"/>
      <c r="E11224" s="185" t="s">
        <v>470</v>
      </c>
      <c r="H11224" s="185"/>
    </row>
    <row r="11225">
      <c r="D11225" s="185"/>
      <c r="E11225" s="185" t="s">
        <v>470</v>
      </c>
      <c r="H11225" s="185"/>
    </row>
    <row r="11226">
      <c r="D11226" s="185"/>
      <c r="E11226" s="185" t="s">
        <v>470</v>
      </c>
      <c r="H11226" s="185"/>
    </row>
    <row r="11227">
      <c r="D11227" s="185"/>
      <c r="E11227" s="185" t="s">
        <v>470</v>
      </c>
      <c r="H11227" s="185"/>
    </row>
    <row r="11228">
      <c r="D11228" s="185"/>
      <c r="E11228" s="185" t="s">
        <v>470</v>
      </c>
      <c r="H11228" s="185"/>
    </row>
    <row r="11229">
      <c r="D11229" s="185"/>
      <c r="E11229" s="185" t="s">
        <v>470</v>
      </c>
      <c r="H11229" s="185"/>
    </row>
    <row r="11230">
      <c r="D11230" s="185"/>
      <c r="E11230" s="185" t="s">
        <v>470</v>
      </c>
      <c r="H11230" s="185"/>
    </row>
    <row r="11231">
      <c r="D11231" s="185"/>
      <c r="E11231" s="185" t="s">
        <v>470</v>
      </c>
      <c r="H11231" s="185"/>
    </row>
    <row r="11232">
      <c r="D11232" s="185"/>
      <c r="E11232" s="185" t="s">
        <v>470</v>
      </c>
      <c r="H11232" s="185"/>
    </row>
    <row r="11233">
      <c r="D11233" s="185"/>
      <c r="E11233" s="185" t="s">
        <v>470</v>
      </c>
      <c r="H11233" s="185"/>
    </row>
    <row r="11234">
      <c r="D11234" s="185"/>
      <c r="E11234" s="185" t="s">
        <v>470</v>
      </c>
      <c r="H11234" s="185"/>
    </row>
    <row r="11235">
      <c r="D11235" s="185"/>
      <c r="E11235" s="185" t="s">
        <v>470</v>
      </c>
      <c r="H11235" s="185"/>
    </row>
    <row r="11236">
      <c r="D11236" s="185"/>
      <c r="E11236" s="185" t="s">
        <v>470</v>
      </c>
      <c r="H11236" s="185"/>
    </row>
    <row r="11237">
      <c r="D11237" s="185"/>
      <c r="E11237" s="185" t="s">
        <v>470</v>
      </c>
      <c r="H11237" s="185"/>
    </row>
    <row r="11238">
      <c r="D11238" s="185"/>
      <c r="E11238" s="185" t="s">
        <v>470</v>
      </c>
      <c r="H11238" s="185"/>
    </row>
    <row r="11239">
      <c r="D11239" s="185"/>
      <c r="E11239" s="185" t="s">
        <v>470</v>
      </c>
      <c r="H11239" s="185"/>
    </row>
    <row r="11240">
      <c r="D11240" s="185"/>
      <c r="E11240" s="185" t="s">
        <v>470</v>
      </c>
      <c r="H11240" s="185"/>
    </row>
    <row r="11241">
      <c r="D11241" s="185"/>
      <c r="E11241" s="185" t="s">
        <v>470</v>
      </c>
      <c r="H11241" s="185"/>
    </row>
    <row r="11242">
      <c r="D11242" s="185"/>
      <c r="E11242" s="185" t="s">
        <v>470</v>
      </c>
      <c r="H11242" s="185"/>
    </row>
    <row r="11243">
      <c r="D11243" s="185"/>
      <c r="E11243" s="185" t="s">
        <v>470</v>
      </c>
      <c r="H11243" s="185"/>
    </row>
    <row r="11244">
      <c r="D11244" s="185"/>
      <c r="E11244" s="185" t="s">
        <v>470</v>
      </c>
      <c r="H11244" s="185"/>
    </row>
    <row r="11245">
      <c r="D11245" s="185"/>
      <c r="E11245" s="185" t="s">
        <v>470</v>
      </c>
      <c r="H11245" s="185"/>
    </row>
    <row r="11246">
      <c r="D11246" s="185"/>
      <c r="E11246" s="185" t="s">
        <v>470</v>
      </c>
      <c r="H11246" s="185"/>
    </row>
    <row r="11247">
      <c r="D11247" s="185"/>
      <c r="E11247" s="185" t="s">
        <v>470</v>
      </c>
      <c r="H11247" s="185"/>
    </row>
    <row r="11248">
      <c r="D11248" s="185"/>
      <c r="E11248" s="185" t="s">
        <v>470</v>
      </c>
      <c r="H11248" s="185"/>
    </row>
    <row r="11249">
      <c r="D11249" s="185"/>
      <c r="E11249" s="185" t="s">
        <v>470</v>
      </c>
      <c r="H11249" s="185"/>
    </row>
    <row r="11250">
      <c r="D11250" s="185"/>
      <c r="E11250" s="185" t="s">
        <v>470</v>
      </c>
      <c r="H11250" s="185"/>
    </row>
    <row r="11251">
      <c r="D11251" s="185"/>
      <c r="E11251" s="185" t="s">
        <v>470</v>
      </c>
      <c r="H11251" s="185"/>
    </row>
    <row r="11252">
      <c r="D11252" s="185"/>
      <c r="E11252" s="185" t="s">
        <v>470</v>
      </c>
      <c r="H11252" s="185"/>
    </row>
    <row r="11253">
      <c r="D11253" s="185"/>
      <c r="E11253" s="185" t="s">
        <v>470</v>
      </c>
      <c r="H11253" s="185"/>
    </row>
    <row r="11254">
      <c r="D11254" s="185"/>
      <c r="E11254" s="185" t="s">
        <v>470</v>
      </c>
      <c r="H11254" s="185"/>
    </row>
    <row r="11255">
      <c r="D11255" s="185"/>
      <c r="E11255" s="185" t="s">
        <v>470</v>
      </c>
      <c r="H11255" s="185"/>
    </row>
    <row r="11256">
      <c r="D11256" s="185"/>
      <c r="E11256" s="185" t="s">
        <v>470</v>
      </c>
      <c r="H11256" s="185"/>
    </row>
    <row r="11257">
      <c r="D11257" s="185"/>
      <c r="E11257" s="185" t="s">
        <v>470</v>
      </c>
      <c r="H11257" s="185"/>
    </row>
    <row r="11258">
      <c r="D11258" s="185"/>
      <c r="E11258" s="185" t="s">
        <v>470</v>
      </c>
      <c r="H11258" s="185"/>
    </row>
    <row r="11259">
      <c r="D11259" s="185"/>
      <c r="E11259" s="185" t="s">
        <v>470</v>
      </c>
      <c r="H11259" s="185"/>
    </row>
    <row r="11260">
      <c r="D11260" s="185"/>
      <c r="E11260" s="185" t="s">
        <v>470</v>
      </c>
      <c r="H11260" s="185"/>
    </row>
    <row r="11261">
      <c r="D11261" s="185"/>
      <c r="E11261" s="185" t="s">
        <v>470</v>
      </c>
      <c r="H11261" s="185"/>
    </row>
    <row r="11262">
      <c r="D11262" s="185"/>
      <c r="E11262" s="185" t="s">
        <v>470</v>
      </c>
      <c r="H11262" s="185"/>
    </row>
    <row r="11263">
      <c r="D11263" s="185"/>
      <c r="E11263" s="185" t="s">
        <v>470</v>
      </c>
      <c r="H11263" s="185"/>
    </row>
    <row r="11264">
      <c r="D11264" s="185"/>
      <c r="E11264" s="185" t="s">
        <v>470</v>
      </c>
      <c r="H11264" s="185"/>
    </row>
    <row r="11265">
      <c r="D11265" s="185"/>
      <c r="E11265" s="185" t="s">
        <v>470</v>
      </c>
      <c r="H11265" s="185"/>
    </row>
    <row r="11266">
      <c r="D11266" s="185"/>
      <c r="E11266" s="185" t="s">
        <v>470</v>
      </c>
      <c r="H11266" s="185"/>
    </row>
    <row r="11267">
      <c r="D11267" s="185"/>
      <c r="E11267" s="185" t="s">
        <v>470</v>
      </c>
      <c r="H11267" s="185"/>
    </row>
    <row r="11268">
      <c r="D11268" s="185"/>
      <c r="E11268" s="185" t="s">
        <v>470</v>
      </c>
      <c r="H11268" s="185"/>
    </row>
    <row r="11269">
      <c r="D11269" s="185"/>
      <c r="E11269" s="185" t="s">
        <v>470</v>
      </c>
      <c r="H11269" s="185"/>
    </row>
    <row r="11270">
      <c r="D11270" s="185"/>
      <c r="E11270" s="185" t="s">
        <v>470</v>
      </c>
      <c r="H11270" s="185"/>
    </row>
    <row r="11271">
      <c r="D11271" s="185"/>
      <c r="E11271" s="185" t="s">
        <v>470</v>
      </c>
      <c r="H11271" s="185"/>
    </row>
    <row r="11272">
      <c r="D11272" s="185"/>
      <c r="E11272" s="185" t="s">
        <v>470</v>
      </c>
      <c r="H11272" s="185"/>
    </row>
    <row r="11273">
      <c r="D11273" s="185"/>
      <c r="E11273" s="185" t="s">
        <v>470</v>
      </c>
      <c r="H11273" s="185"/>
    </row>
    <row r="11274">
      <c r="D11274" s="185"/>
      <c r="E11274" s="185" t="s">
        <v>470</v>
      </c>
      <c r="H11274" s="185"/>
    </row>
    <row r="11275">
      <c r="D11275" s="185"/>
      <c r="E11275" s="185" t="s">
        <v>470</v>
      </c>
      <c r="H11275" s="185"/>
    </row>
    <row r="11276">
      <c r="D11276" s="185"/>
      <c r="E11276" s="185" t="s">
        <v>470</v>
      </c>
      <c r="H11276" s="185"/>
    </row>
    <row r="11277">
      <c r="D11277" s="185"/>
      <c r="E11277" s="185" t="s">
        <v>470</v>
      </c>
      <c r="H11277" s="185"/>
    </row>
    <row r="11278">
      <c r="D11278" s="185"/>
      <c r="E11278" s="185" t="s">
        <v>470</v>
      </c>
      <c r="H11278" s="185"/>
    </row>
    <row r="11279">
      <c r="D11279" s="185"/>
      <c r="E11279" s="185" t="s">
        <v>470</v>
      </c>
      <c r="H11279" s="185"/>
    </row>
    <row r="11280">
      <c r="D11280" s="185"/>
      <c r="E11280" s="185" t="s">
        <v>470</v>
      </c>
      <c r="H11280" s="185"/>
    </row>
    <row r="11281">
      <c r="D11281" s="185"/>
      <c r="E11281" s="185" t="s">
        <v>470</v>
      </c>
      <c r="H11281" s="185"/>
    </row>
    <row r="11282">
      <c r="D11282" s="185"/>
      <c r="E11282" s="185" t="s">
        <v>470</v>
      </c>
      <c r="H11282" s="185"/>
    </row>
    <row r="11283">
      <c r="D11283" s="185"/>
      <c r="E11283" s="185" t="s">
        <v>470</v>
      </c>
      <c r="H11283" s="185"/>
    </row>
    <row r="11284">
      <c r="D11284" s="185"/>
      <c r="E11284" s="185" t="s">
        <v>470</v>
      </c>
      <c r="H11284" s="185"/>
    </row>
    <row r="11285">
      <c r="D11285" s="185"/>
      <c r="E11285" s="185" t="s">
        <v>470</v>
      </c>
      <c r="H11285" s="185"/>
    </row>
    <row r="11286">
      <c r="D11286" s="185"/>
      <c r="E11286" s="185" t="s">
        <v>470</v>
      </c>
      <c r="H11286" s="185"/>
    </row>
    <row r="11287">
      <c r="D11287" s="185"/>
      <c r="E11287" s="185" t="s">
        <v>470</v>
      </c>
      <c r="H11287" s="185"/>
    </row>
    <row r="11288">
      <c r="D11288" s="185"/>
      <c r="E11288" s="185" t="s">
        <v>470</v>
      </c>
      <c r="H11288" s="185"/>
    </row>
    <row r="11289">
      <c r="D11289" s="185"/>
      <c r="E11289" s="185" t="s">
        <v>470</v>
      </c>
      <c r="H11289" s="185"/>
    </row>
    <row r="11290">
      <c r="D11290" s="185"/>
      <c r="E11290" s="185" t="s">
        <v>470</v>
      </c>
      <c r="H11290" s="185"/>
    </row>
    <row r="11291">
      <c r="D11291" s="185"/>
      <c r="E11291" s="185" t="s">
        <v>470</v>
      </c>
      <c r="H11291" s="185"/>
    </row>
    <row r="11292">
      <c r="D11292" s="185"/>
      <c r="E11292" s="185" t="s">
        <v>470</v>
      </c>
      <c r="H11292" s="185"/>
    </row>
    <row r="11293">
      <c r="D11293" s="185"/>
      <c r="E11293" s="185" t="s">
        <v>470</v>
      </c>
      <c r="H11293" s="185"/>
    </row>
    <row r="11294">
      <c r="D11294" s="185"/>
      <c r="E11294" s="185" t="s">
        <v>470</v>
      </c>
      <c r="H11294" s="185"/>
    </row>
    <row r="11295">
      <c r="D11295" s="185"/>
      <c r="E11295" s="185" t="s">
        <v>470</v>
      </c>
      <c r="H11295" s="185"/>
    </row>
    <row r="11296">
      <c r="D11296" s="185"/>
      <c r="E11296" s="185" t="s">
        <v>470</v>
      </c>
      <c r="H11296" s="185"/>
    </row>
    <row r="11297">
      <c r="D11297" s="185"/>
      <c r="E11297" s="185" t="s">
        <v>470</v>
      </c>
      <c r="H11297" s="185"/>
    </row>
    <row r="11298">
      <c r="D11298" s="185"/>
      <c r="E11298" s="185" t="s">
        <v>470</v>
      </c>
      <c r="H11298" s="185"/>
    </row>
    <row r="11299">
      <c r="D11299" s="185"/>
      <c r="E11299" s="185" t="s">
        <v>470</v>
      </c>
      <c r="H11299" s="185"/>
    </row>
    <row r="11300">
      <c r="D11300" s="185"/>
      <c r="E11300" s="185" t="s">
        <v>470</v>
      </c>
      <c r="H11300" s="185"/>
    </row>
    <row r="11301">
      <c r="D11301" s="185"/>
      <c r="E11301" s="185" t="s">
        <v>470</v>
      </c>
      <c r="H11301" s="185"/>
    </row>
    <row r="11302">
      <c r="D11302" s="185"/>
      <c r="E11302" s="185" t="s">
        <v>470</v>
      </c>
      <c r="H11302" s="185"/>
    </row>
    <row r="11303">
      <c r="D11303" s="185"/>
      <c r="E11303" s="185" t="s">
        <v>470</v>
      </c>
      <c r="H11303" s="185"/>
    </row>
    <row r="11304">
      <c r="D11304" s="185"/>
      <c r="E11304" s="185" t="s">
        <v>470</v>
      </c>
      <c r="H11304" s="185"/>
    </row>
    <row r="11305">
      <c r="D11305" s="185"/>
      <c r="E11305" s="185" t="s">
        <v>470</v>
      </c>
      <c r="H11305" s="185"/>
    </row>
    <row r="11306">
      <c r="D11306" s="185"/>
      <c r="E11306" s="185" t="s">
        <v>470</v>
      </c>
      <c r="H11306" s="185"/>
    </row>
    <row r="11307">
      <c r="D11307" s="185"/>
      <c r="E11307" s="185" t="s">
        <v>470</v>
      </c>
      <c r="H11307" s="185"/>
    </row>
    <row r="11308">
      <c r="D11308" s="185"/>
      <c r="E11308" s="185" t="s">
        <v>470</v>
      </c>
      <c r="H11308" s="185"/>
    </row>
    <row r="11309">
      <c r="D11309" s="185"/>
      <c r="E11309" s="185" t="s">
        <v>470</v>
      </c>
      <c r="H11309" s="185"/>
    </row>
    <row r="11310">
      <c r="D11310" s="185"/>
      <c r="E11310" s="185" t="s">
        <v>470</v>
      </c>
      <c r="H11310" s="185"/>
    </row>
    <row r="11311">
      <c r="D11311" s="185"/>
      <c r="E11311" s="185" t="s">
        <v>470</v>
      </c>
      <c r="H11311" s="185"/>
    </row>
    <row r="11312">
      <c r="D11312" s="185"/>
      <c r="E11312" s="185" t="s">
        <v>470</v>
      </c>
      <c r="H11312" s="185"/>
    </row>
    <row r="11313">
      <c r="D11313" s="185"/>
      <c r="E11313" s="185" t="s">
        <v>470</v>
      </c>
      <c r="H11313" s="185"/>
    </row>
    <row r="11314">
      <c r="D11314" s="185"/>
      <c r="E11314" s="185" t="s">
        <v>470</v>
      </c>
      <c r="H11314" s="185"/>
    </row>
    <row r="11315">
      <c r="D11315" s="185"/>
      <c r="E11315" s="185" t="s">
        <v>470</v>
      </c>
      <c r="H11315" s="185"/>
    </row>
    <row r="11316">
      <c r="D11316" s="185"/>
      <c r="E11316" s="185" t="s">
        <v>470</v>
      </c>
      <c r="H11316" s="185"/>
    </row>
    <row r="11317">
      <c r="D11317" s="185"/>
      <c r="E11317" s="185" t="s">
        <v>470</v>
      </c>
      <c r="H11317" s="185"/>
    </row>
    <row r="11318">
      <c r="D11318" s="185"/>
      <c r="E11318" s="185" t="s">
        <v>470</v>
      </c>
      <c r="H11318" s="185"/>
    </row>
    <row r="11319">
      <c r="D11319" s="185"/>
      <c r="E11319" s="185" t="s">
        <v>470</v>
      </c>
      <c r="H11319" s="185"/>
    </row>
    <row r="11320">
      <c r="D11320" s="185"/>
      <c r="E11320" s="185" t="s">
        <v>470</v>
      </c>
      <c r="H11320" s="185"/>
    </row>
    <row r="11321">
      <c r="D11321" s="185"/>
      <c r="E11321" s="185" t="s">
        <v>470</v>
      </c>
      <c r="H11321" s="185"/>
    </row>
    <row r="11322">
      <c r="D11322" s="185"/>
      <c r="E11322" s="185" t="s">
        <v>470</v>
      </c>
      <c r="H11322" s="185"/>
    </row>
    <row r="11323">
      <c r="D11323" s="185"/>
      <c r="E11323" s="185" t="s">
        <v>470</v>
      </c>
      <c r="H11323" s="185"/>
    </row>
    <row r="11324">
      <c r="D11324" s="185"/>
      <c r="E11324" s="185" t="s">
        <v>470</v>
      </c>
      <c r="H11324" s="185"/>
    </row>
    <row r="11325">
      <c r="D11325" s="185"/>
      <c r="E11325" s="185" t="s">
        <v>470</v>
      </c>
      <c r="H11325" s="185"/>
    </row>
    <row r="11326">
      <c r="D11326" s="185"/>
      <c r="E11326" s="185" t="s">
        <v>470</v>
      </c>
      <c r="H11326" s="185"/>
    </row>
    <row r="11327">
      <c r="D11327" s="185"/>
      <c r="E11327" s="185" t="s">
        <v>470</v>
      </c>
      <c r="H11327" s="185"/>
    </row>
    <row r="11328">
      <c r="D11328" s="185"/>
      <c r="E11328" s="185" t="s">
        <v>470</v>
      </c>
      <c r="H11328" s="185"/>
    </row>
    <row r="11329">
      <c r="D11329" s="185"/>
      <c r="E11329" s="185" t="s">
        <v>470</v>
      </c>
      <c r="H11329" s="185"/>
    </row>
    <row r="11330">
      <c r="D11330" s="185"/>
      <c r="E11330" s="185" t="s">
        <v>470</v>
      </c>
      <c r="H11330" s="185"/>
    </row>
    <row r="11331">
      <c r="D11331" s="185"/>
      <c r="E11331" s="185" t="s">
        <v>470</v>
      </c>
      <c r="H11331" s="185"/>
    </row>
    <row r="11332">
      <c r="D11332" s="185"/>
      <c r="E11332" s="185" t="s">
        <v>470</v>
      </c>
      <c r="H11332" s="185"/>
    </row>
    <row r="11333">
      <c r="D11333" s="185"/>
      <c r="E11333" s="185" t="s">
        <v>470</v>
      </c>
      <c r="H11333" s="185"/>
    </row>
    <row r="11334">
      <c r="D11334" s="185"/>
      <c r="E11334" s="185" t="s">
        <v>470</v>
      </c>
      <c r="H11334" s="185"/>
    </row>
    <row r="11335">
      <c r="D11335" s="185"/>
      <c r="E11335" s="185" t="s">
        <v>470</v>
      </c>
      <c r="H11335" s="185"/>
    </row>
    <row r="11336">
      <c r="D11336" s="185"/>
      <c r="E11336" s="185" t="s">
        <v>470</v>
      </c>
      <c r="H11336" s="185"/>
    </row>
    <row r="11337">
      <c r="D11337" s="185"/>
      <c r="E11337" s="185" t="s">
        <v>470</v>
      </c>
      <c r="H11337" s="185"/>
    </row>
    <row r="11338">
      <c r="D11338" s="185"/>
      <c r="E11338" s="185" t="s">
        <v>470</v>
      </c>
      <c r="H11338" s="185"/>
    </row>
    <row r="11339">
      <c r="D11339" s="185"/>
      <c r="E11339" s="185" t="s">
        <v>470</v>
      </c>
      <c r="H11339" s="185"/>
    </row>
    <row r="11340">
      <c r="D11340" s="185"/>
      <c r="E11340" s="185" t="s">
        <v>470</v>
      </c>
      <c r="H11340" s="185"/>
    </row>
    <row r="11341">
      <c r="D11341" s="185"/>
      <c r="E11341" s="185" t="s">
        <v>470</v>
      </c>
      <c r="H11341" s="185"/>
    </row>
    <row r="11342">
      <c r="D11342" s="185"/>
      <c r="E11342" s="185" t="s">
        <v>470</v>
      </c>
      <c r="H11342" s="185"/>
    </row>
    <row r="11343">
      <c r="D11343" s="185"/>
      <c r="E11343" s="185" t="s">
        <v>470</v>
      </c>
      <c r="H11343" s="185"/>
    </row>
    <row r="11344">
      <c r="D11344" s="185"/>
      <c r="E11344" s="185" t="s">
        <v>470</v>
      </c>
      <c r="H11344" s="185"/>
    </row>
    <row r="11345">
      <c r="D11345" s="185"/>
      <c r="E11345" s="185" t="s">
        <v>470</v>
      </c>
      <c r="H11345" s="185"/>
    </row>
    <row r="11346">
      <c r="D11346" s="185"/>
      <c r="E11346" s="185" t="s">
        <v>470</v>
      </c>
      <c r="H11346" s="185"/>
    </row>
    <row r="11347">
      <c r="D11347" s="185"/>
      <c r="E11347" s="185" t="s">
        <v>470</v>
      </c>
      <c r="H11347" s="185"/>
    </row>
    <row r="11348">
      <c r="D11348" s="185"/>
      <c r="E11348" s="185" t="s">
        <v>470</v>
      </c>
      <c r="H11348" s="185"/>
    </row>
    <row r="11349">
      <c r="D11349" s="185"/>
      <c r="E11349" s="185" t="s">
        <v>470</v>
      </c>
      <c r="H11349" s="185"/>
    </row>
    <row r="11350">
      <c r="D11350" s="185"/>
      <c r="E11350" s="185" t="s">
        <v>470</v>
      </c>
      <c r="H11350" s="185"/>
    </row>
    <row r="11351">
      <c r="D11351" s="185"/>
      <c r="E11351" s="185" t="s">
        <v>470</v>
      </c>
      <c r="H11351" s="185"/>
    </row>
    <row r="11352">
      <c r="D11352" s="185"/>
      <c r="E11352" s="185" t="s">
        <v>470</v>
      </c>
      <c r="H11352" s="185"/>
    </row>
    <row r="11353">
      <c r="D11353" s="185"/>
      <c r="E11353" s="185" t="s">
        <v>470</v>
      </c>
      <c r="H11353" s="185"/>
    </row>
    <row r="11354">
      <c r="D11354" s="185"/>
      <c r="E11354" s="185" t="s">
        <v>470</v>
      </c>
      <c r="H11354" s="185"/>
    </row>
    <row r="11355">
      <c r="D11355" s="185"/>
      <c r="E11355" s="185" t="s">
        <v>470</v>
      </c>
      <c r="H11355" s="185"/>
    </row>
    <row r="11356">
      <c r="D11356" s="185"/>
      <c r="E11356" s="185" t="s">
        <v>470</v>
      </c>
      <c r="H11356" s="185"/>
    </row>
    <row r="11357">
      <c r="D11357" s="185"/>
      <c r="E11357" s="185" t="s">
        <v>470</v>
      </c>
      <c r="H11357" s="185"/>
    </row>
    <row r="11358">
      <c r="D11358" s="185"/>
      <c r="E11358" s="185" t="s">
        <v>470</v>
      </c>
      <c r="H11358" s="185"/>
    </row>
    <row r="11359">
      <c r="D11359" s="185"/>
      <c r="E11359" s="185" t="s">
        <v>470</v>
      </c>
      <c r="H11359" s="185"/>
    </row>
    <row r="11360">
      <c r="D11360" s="185"/>
      <c r="E11360" s="185" t="s">
        <v>470</v>
      </c>
      <c r="H11360" s="185"/>
    </row>
    <row r="11361">
      <c r="D11361" s="185"/>
      <c r="E11361" s="185" t="s">
        <v>470</v>
      </c>
      <c r="H11361" s="185"/>
    </row>
    <row r="11362">
      <c r="D11362" s="185"/>
      <c r="E11362" s="185" t="s">
        <v>470</v>
      </c>
      <c r="H11362" s="185"/>
    </row>
    <row r="11363">
      <c r="D11363" s="185"/>
      <c r="E11363" s="185" t="s">
        <v>470</v>
      </c>
      <c r="H11363" s="185"/>
    </row>
    <row r="11364">
      <c r="D11364" s="185"/>
      <c r="E11364" s="185" t="s">
        <v>470</v>
      </c>
      <c r="H11364" s="185"/>
    </row>
    <row r="11365">
      <c r="D11365" s="185"/>
      <c r="E11365" s="185" t="s">
        <v>470</v>
      </c>
      <c r="H11365" s="185"/>
    </row>
    <row r="11366">
      <c r="D11366" s="185"/>
      <c r="E11366" s="185" t="s">
        <v>470</v>
      </c>
      <c r="H11366" s="185"/>
    </row>
    <row r="11367">
      <c r="D11367" s="185"/>
      <c r="E11367" s="185" t="s">
        <v>470</v>
      </c>
      <c r="H11367" s="185"/>
    </row>
    <row r="11368">
      <c r="D11368" s="185"/>
      <c r="E11368" s="185" t="s">
        <v>470</v>
      </c>
      <c r="H11368" s="185"/>
    </row>
    <row r="11369">
      <c r="D11369" s="185"/>
      <c r="E11369" s="185" t="s">
        <v>470</v>
      </c>
      <c r="H11369" s="185"/>
    </row>
    <row r="11370">
      <c r="D11370" s="185"/>
      <c r="E11370" s="185" t="s">
        <v>470</v>
      </c>
      <c r="H11370" s="185"/>
    </row>
    <row r="11371">
      <c r="D11371" s="185"/>
      <c r="E11371" s="185" t="s">
        <v>470</v>
      </c>
      <c r="H11371" s="185"/>
    </row>
    <row r="11372">
      <c r="D11372" s="185"/>
      <c r="E11372" s="185" t="s">
        <v>470</v>
      </c>
      <c r="H11372" s="185"/>
    </row>
    <row r="11373">
      <c r="D11373" s="185"/>
      <c r="E11373" s="185" t="s">
        <v>470</v>
      </c>
      <c r="H11373" s="185"/>
    </row>
    <row r="11374">
      <c r="D11374" s="185"/>
      <c r="E11374" s="185" t="s">
        <v>470</v>
      </c>
      <c r="H11374" s="185"/>
    </row>
    <row r="11375">
      <c r="D11375" s="185"/>
      <c r="E11375" s="185" t="s">
        <v>470</v>
      </c>
      <c r="H11375" s="185"/>
    </row>
    <row r="11376">
      <c r="D11376" s="185"/>
      <c r="E11376" s="185" t="s">
        <v>470</v>
      </c>
      <c r="H11376" s="185"/>
    </row>
    <row r="11377">
      <c r="D11377" s="185"/>
      <c r="E11377" s="185" t="s">
        <v>470</v>
      </c>
      <c r="H11377" s="185"/>
    </row>
    <row r="11378">
      <c r="D11378" s="185"/>
      <c r="E11378" s="185" t="s">
        <v>470</v>
      </c>
      <c r="H11378" s="185"/>
    </row>
    <row r="11379">
      <c r="D11379" s="185"/>
      <c r="E11379" s="185" t="s">
        <v>470</v>
      </c>
      <c r="H11379" s="185"/>
    </row>
    <row r="11380">
      <c r="D11380" s="185"/>
      <c r="E11380" s="185" t="s">
        <v>470</v>
      </c>
      <c r="H11380" s="185"/>
    </row>
    <row r="11381">
      <c r="D11381" s="185"/>
      <c r="E11381" s="185" t="s">
        <v>470</v>
      </c>
      <c r="H11381" s="185"/>
    </row>
    <row r="11382">
      <c r="D11382" s="185"/>
      <c r="E11382" s="185" t="s">
        <v>470</v>
      </c>
      <c r="H11382" s="185"/>
    </row>
    <row r="11383">
      <c r="D11383" s="185"/>
      <c r="E11383" s="185" t="s">
        <v>470</v>
      </c>
      <c r="H11383" s="185"/>
    </row>
    <row r="11384">
      <c r="D11384" s="185"/>
      <c r="E11384" s="185" t="s">
        <v>470</v>
      </c>
      <c r="H11384" s="185"/>
    </row>
    <row r="11385">
      <c r="D11385" s="185"/>
      <c r="E11385" s="185" t="s">
        <v>470</v>
      </c>
      <c r="H11385" s="185"/>
    </row>
    <row r="11386">
      <c r="D11386" s="185"/>
      <c r="E11386" s="185" t="s">
        <v>470</v>
      </c>
      <c r="H11386" s="185"/>
    </row>
    <row r="11387">
      <c r="D11387" s="185"/>
      <c r="E11387" s="185" t="s">
        <v>470</v>
      </c>
      <c r="H11387" s="185"/>
    </row>
    <row r="11388">
      <c r="D11388" s="185"/>
      <c r="E11388" s="185" t="s">
        <v>470</v>
      </c>
      <c r="H11388" s="185"/>
    </row>
    <row r="11389">
      <c r="D11389" s="185"/>
      <c r="E11389" s="185" t="s">
        <v>470</v>
      </c>
      <c r="H11389" s="185"/>
    </row>
    <row r="11390">
      <c r="D11390" s="185"/>
      <c r="E11390" s="185" t="s">
        <v>470</v>
      </c>
      <c r="H11390" s="185"/>
    </row>
    <row r="11391">
      <c r="D11391" s="185"/>
      <c r="E11391" s="185" t="s">
        <v>470</v>
      </c>
      <c r="H11391" s="185"/>
    </row>
    <row r="11392">
      <c r="D11392" s="185"/>
      <c r="E11392" s="185" t="s">
        <v>470</v>
      </c>
      <c r="H11392" s="185"/>
    </row>
    <row r="11393">
      <c r="D11393" s="185"/>
      <c r="E11393" s="185" t="s">
        <v>470</v>
      </c>
      <c r="H11393" s="185"/>
    </row>
    <row r="11394">
      <c r="D11394" s="185"/>
      <c r="E11394" s="185" t="s">
        <v>470</v>
      </c>
      <c r="H11394" s="185"/>
    </row>
    <row r="11395">
      <c r="D11395" s="185"/>
      <c r="E11395" s="185" t="s">
        <v>470</v>
      </c>
      <c r="H11395" s="185"/>
    </row>
    <row r="11396">
      <c r="D11396" s="185"/>
      <c r="E11396" s="185" t="s">
        <v>470</v>
      </c>
      <c r="H11396" s="185"/>
    </row>
    <row r="11397">
      <c r="D11397" s="185"/>
      <c r="E11397" s="185" t="s">
        <v>470</v>
      </c>
      <c r="H11397" s="185"/>
    </row>
    <row r="11398">
      <c r="D11398" s="185"/>
      <c r="E11398" s="185" t="s">
        <v>470</v>
      </c>
      <c r="H11398" s="185"/>
    </row>
    <row r="11399">
      <c r="D11399" s="185"/>
      <c r="E11399" s="185" t="s">
        <v>470</v>
      </c>
      <c r="H11399" s="185"/>
    </row>
    <row r="11400">
      <c r="D11400" s="185"/>
      <c r="E11400" s="185" t="s">
        <v>470</v>
      </c>
      <c r="H11400" s="185"/>
    </row>
    <row r="11401">
      <c r="D11401" s="185"/>
      <c r="E11401" s="185" t="s">
        <v>470</v>
      </c>
      <c r="H11401" s="185"/>
    </row>
    <row r="11402">
      <c r="D11402" s="185"/>
      <c r="E11402" s="185" t="s">
        <v>470</v>
      </c>
      <c r="H11402" s="185"/>
    </row>
    <row r="11403">
      <c r="D11403" s="185"/>
      <c r="E11403" s="185" t="s">
        <v>470</v>
      </c>
      <c r="H11403" s="185"/>
    </row>
    <row r="11404">
      <c r="D11404" s="185"/>
      <c r="E11404" s="185" t="s">
        <v>470</v>
      </c>
      <c r="H11404" s="185"/>
    </row>
    <row r="11405">
      <c r="D11405" s="185"/>
      <c r="E11405" s="185" t="s">
        <v>470</v>
      </c>
      <c r="H11405" s="185"/>
    </row>
    <row r="11406">
      <c r="D11406" s="185"/>
      <c r="E11406" s="185" t="s">
        <v>470</v>
      </c>
      <c r="H11406" s="185"/>
    </row>
    <row r="11407">
      <c r="D11407" s="185"/>
      <c r="E11407" s="185" t="s">
        <v>470</v>
      </c>
      <c r="H11407" s="185"/>
    </row>
    <row r="11408">
      <c r="D11408" s="185"/>
      <c r="E11408" s="185" t="s">
        <v>470</v>
      </c>
      <c r="H11408" s="185"/>
    </row>
    <row r="11409">
      <c r="D11409" s="185"/>
      <c r="E11409" s="185" t="s">
        <v>470</v>
      </c>
      <c r="H11409" s="185"/>
    </row>
    <row r="11410">
      <c r="D11410" s="185"/>
      <c r="E11410" s="185" t="s">
        <v>470</v>
      </c>
      <c r="H11410" s="185"/>
    </row>
    <row r="11411">
      <c r="D11411" s="185"/>
      <c r="E11411" s="185" t="s">
        <v>470</v>
      </c>
      <c r="H11411" s="185"/>
    </row>
    <row r="11412">
      <c r="D11412" s="185"/>
      <c r="E11412" s="185" t="s">
        <v>470</v>
      </c>
      <c r="H11412" s="185"/>
    </row>
    <row r="11413">
      <c r="D11413" s="185"/>
      <c r="E11413" s="185" t="s">
        <v>470</v>
      </c>
      <c r="H11413" s="185"/>
    </row>
    <row r="11414">
      <c r="D11414" s="185"/>
      <c r="E11414" s="185" t="s">
        <v>470</v>
      </c>
      <c r="H11414" s="185"/>
    </row>
    <row r="11415">
      <c r="D11415" s="185"/>
      <c r="E11415" s="185" t="s">
        <v>470</v>
      </c>
      <c r="H11415" s="185"/>
    </row>
    <row r="11416">
      <c r="D11416" s="185"/>
      <c r="E11416" s="185" t="s">
        <v>470</v>
      </c>
      <c r="H11416" s="185"/>
    </row>
    <row r="11417">
      <c r="D11417" s="185"/>
      <c r="E11417" s="185" t="s">
        <v>470</v>
      </c>
      <c r="H11417" s="185"/>
    </row>
    <row r="11418">
      <c r="D11418" s="185"/>
      <c r="E11418" s="185" t="s">
        <v>470</v>
      </c>
      <c r="H11418" s="185"/>
    </row>
    <row r="11419">
      <c r="D11419" s="185"/>
      <c r="E11419" s="185" t="s">
        <v>470</v>
      </c>
      <c r="H11419" s="185"/>
    </row>
    <row r="11420">
      <c r="D11420" s="185"/>
      <c r="E11420" s="185" t="s">
        <v>470</v>
      </c>
      <c r="H11420" s="185"/>
    </row>
    <row r="11421">
      <c r="D11421" s="185"/>
      <c r="E11421" s="185" t="s">
        <v>470</v>
      </c>
      <c r="H11421" s="185"/>
    </row>
    <row r="11422">
      <c r="D11422" s="185"/>
      <c r="E11422" s="185" t="s">
        <v>470</v>
      </c>
      <c r="H11422" s="185"/>
    </row>
    <row r="11423">
      <c r="D11423" s="185"/>
      <c r="E11423" s="185" t="s">
        <v>470</v>
      </c>
      <c r="H11423" s="185"/>
    </row>
    <row r="11424">
      <c r="D11424" s="185"/>
      <c r="E11424" s="185" t="s">
        <v>470</v>
      </c>
      <c r="H11424" s="185"/>
    </row>
    <row r="11425">
      <c r="D11425" s="185"/>
      <c r="E11425" s="185" t="s">
        <v>470</v>
      </c>
      <c r="H11425" s="185"/>
    </row>
    <row r="11426">
      <c r="D11426" s="185"/>
      <c r="E11426" s="185" t="s">
        <v>470</v>
      </c>
      <c r="H11426" s="185"/>
    </row>
    <row r="11427">
      <c r="D11427" s="185"/>
      <c r="E11427" s="185" t="s">
        <v>470</v>
      </c>
      <c r="H11427" s="185"/>
    </row>
    <row r="11428">
      <c r="D11428" s="185"/>
      <c r="E11428" s="185" t="s">
        <v>470</v>
      </c>
      <c r="H11428" s="185"/>
    </row>
    <row r="11429">
      <c r="D11429" s="185"/>
      <c r="E11429" s="185" t="s">
        <v>470</v>
      </c>
      <c r="H11429" s="185"/>
    </row>
    <row r="11430">
      <c r="D11430" s="185"/>
      <c r="E11430" s="185" t="s">
        <v>470</v>
      </c>
      <c r="H11430" s="185"/>
    </row>
    <row r="11431">
      <c r="D11431" s="185"/>
      <c r="E11431" s="185" t="s">
        <v>470</v>
      </c>
      <c r="H11431" s="185"/>
    </row>
    <row r="11432">
      <c r="D11432" s="185"/>
      <c r="E11432" s="185" t="s">
        <v>470</v>
      </c>
      <c r="H11432" s="185"/>
    </row>
    <row r="11433">
      <c r="D11433" s="185"/>
      <c r="E11433" s="185" t="s">
        <v>470</v>
      </c>
      <c r="H11433" s="185"/>
    </row>
    <row r="11434">
      <c r="D11434" s="185"/>
      <c r="E11434" s="185" t="s">
        <v>470</v>
      </c>
      <c r="H11434" s="185"/>
    </row>
    <row r="11435">
      <c r="D11435" s="185"/>
      <c r="E11435" s="185" t="s">
        <v>470</v>
      </c>
      <c r="H11435" s="185"/>
    </row>
    <row r="11436">
      <c r="D11436" s="185"/>
      <c r="E11436" s="185" t="s">
        <v>470</v>
      </c>
      <c r="H11436" s="185"/>
    </row>
    <row r="11437">
      <c r="D11437" s="185"/>
      <c r="E11437" s="185" t="s">
        <v>470</v>
      </c>
      <c r="H11437" s="185"/>
    </row>
    <row r="11438">
      <c r="D11438" s="185"/>
      <c r="E11438" s="185" t="s">
        <v>470</v>
      </c>
      <c r="H11438" s="185"/>
    </row>
    <row r="11439">
      <c r="D11439" s="185"/>
      <c r="E11439" s="185" t="s">
        <v>470</v>
      </c>
      <c r="H11439" s="185"/>
    </row>
    <row r="11440">
      <c r="D11440" s="185"/>
      <c r="E11440" s="185" t="s">
        <v>470</v>
      </c>
      <c r="H11440" s="185"/>
    </row>
    <row r="11441">
      <c r="D11441" s="185"/>
      <c r="E11441" s="185" t="s">
        <v>470</v>
      </c>
      <c r="H11441" s="185"/>
    </row>
    <row r="11442">
      <c r="D11442" s="185"/>
      <c r="E11442" s="185" t="s">
        <v>470</v>
      </c>
      <c r="H11442" s="185"/>
    </row>
    <row r="11443">
      <c r="D11443" s="185"/>
      <c r="E11443" s="185" t="s">
        <v>470</v>
      </c>
      <c r="H11443" s="185"/>
    </row>
    <row r="11444">
      <c r="D11444" s="185"/>
      <c r="E11444" s="185" t="s">
        <v>470</v>
      </c>
      <c r="H11444" s="185"/>
    </row>
    <row r="11445">
      <c r="D11445" s="185"/>
      <c r="E11445" s="185" t="s">
        <v>470</v>
      </c>
      <c r="H11445" s="185"/>
    </row>
    <row r="11446">
      <c r="D11446" s="185"/>
      <c r="E11446" s="185" t="s">
        <v>470</v>
      </c>
      <c r="H11446" s="185"/>
    </row>
    <row r="11447">
      <c r="D11447" s="185"/>
      <c r="E11447" s="185" t="s">
        <v>470</v>
      </c>
      <c r="H11447" s="185"/>
    </row>
    <row r="11448">
      <c r="D11448" s="185"/>
      <c r="E11448" s="185" t="s">
        <v>470</v>
      </c>
      <c r="H11448" s="185"/>
    </row>
    <row r="11449">
      <c r="D11449" s="185"/>
      <c r="E11449" s="185" t="s">
        <v>470</v>
      </c>
      <c r="H11449" s="185"/>
    </row>
    <row r="11450">
      <c r="D11450" s="185"/>
      <c r="E11450" s="185" t="s">
        <v>470</v>
      </c>
      <c r="H11450" s="185"/>
    </row>
    <row r="11451">
      <c r="D11451" s="185"/>
      <c r="E11451" s="185" t="s">
        <v>470</v>
      </c>
      <c r="H11451" s="185"/>
    </row>
    <row r="11452">
      <c r="D11452" s="185"/>
      <c r="E11452" s="185" t="s">
        <v>470</v>
      </c>
      <c r="H11452" s="185"/>
    </row>
    <row r="11453">
      <c r="D11453" s="185"/>
      <c r="E11453" s="185" t="s">
        <v>470</v>
      </c>
      <c r="H11453" s="185"/>
    </row>
    <row r="11454">
      <c r="D11454" s="185"/>
      <c r="E11454" s="185" t="s">
        <v>470</v>
      </c>
      <c r="H11454" s="185"/>
    </row>
    <row r="11455">
      <c r="D11455" s="185"/>
      <c r="E11455" s="185" t="s">
        <v>470</v>
      </c>
      <c r="H11455" s="185"/>
    </row>
    <row r="11456">
      <c r="D11456" s="185"/>
      <c r="E11456" s="185" t="s">
        <v>470</v>
      </c>
      <c r="H11456" s="185"/>
    </row>
    <row r="11457">
      <c r="D11457" s="185"/>
      <c r="E11457" s="185" t="s">
        <v>470</v>
      </c>
      <c r="H11457" s="185"/>
    </row>
    <row r="11458">
      <c r="D11458" s="185"/>
      <c r="E11458" s="185" t="s">
        <v>470</v>
      </c>
      <c r="H11458" s="185"/>
    </row>
    <row r="11459">
      <c r="D11459" s="185"/>
      <c r="E11459" s="185" t="s">
        <v>470</v>
      </c>
      <c r="H11459" s="185"/>
    </row>
    <row r="11460">
      <c r="D11460" s="185"/>
      <c r="E11460" s="185" t="s">
        <v>470</v>
      </c>
      <c r="H11460" s="185"/>
    </row>
    <row r="11461">
      <c r="D11461" s="185"/>
      <c r="E11461" s="185" t="s">
        <v>470</v>
      </c>
      <c r="H11461" s="185"/>
    </row>
    <row r="11462">
      <c r="D11462" s="185"/>
      <c r="E11462" s="185" t="s">
        <v>470</v>
      </c>
      <c r="H11462" s="185"/>
    </row>
    <row r="11463">
      <c r="D11463" s="185"/>
      <c r="E11463" s="185" t="s">
        <v>470</v>
      </c>
      <c r="H11463" s="185"/>
    </row>
    <row r="11464">
      <c r="D11464" s="185"/>
      <c r="E11464" s="185" t="s">
        <v>470</v>
      </c>
      <c r="H11464" s="185"/>
    </row>
    <row r="11465">
      <c r="D11465" s="185"/>
      <c r="E11465" s="185" t="s">
        <v>470</v>
      </c>
      <c r="H11465" s="185"/>
    </row>
    <row r="11466">
      <c r="D11466" s="185"/>
      <c r="E11466" s="185" t="s">
        <v>470</v>
      </c>
      <c r="H11466" s="185"/>
    </row>
    <row r="11467">
      <c r="D11467" s="185"/>
      <c r="E11467" s="185" t="s">
        <v>470</v>
      </c>
      <c r="H11467" s="185"/>
    </row>
    <row r="11468">
      <c r="D11468" s="185"/>
      <c r="E11468" s="185" t="s">
        <v>470</v>
      </c>
      <c r="H11468" s="185"/>
    </row>
    <row r="11469">
      <c r="D11469" s="185"/>
      <c r="E11469" s="185" t="s">
        <v>470</v>
      </c>
      <c r="H11469" s="185"/>
    </row>
    <row r="11470">
      <c r="D11470" s="185"/>
      <c r="E11470" s="185" t="s">
        <v>470</v>
      </c>
      <c r="H11470" s="185"/>
    </row>
    <row r="11471">
      <c r="D11471" s="185"/>
      <c r="E11471" s="185" t="s">
        <v>470</v>
      </c>
      <c r="H11471" s="185"/>
    </row>
    <row r="11472">
      <c r="D11472" s="185"/>
      <c r="E11472" s="185" t="s">
        <v>470</v>
      </c>
      <c r="H11472" s="185"/>
    </row>
    <row r="11473">
      <c r="D11473" s="185"/>
      <c r="E11473" s="185" t="s">
        <v>470</v>
      </c>
      <c r="H11473" s="185"/>
    </row>
    <row r="11474">
      <c r="D11474" s="185"/>
      <c r="E11474" s="185" t="s">
        <v>470</v>
      </c>
      <c r="H11474" s="185"/>
    </row>
    <row r="11475">
      <c r="D11475" s="185"/>
      <c r="E11475" s="185" t="s">
        <v>470</v>
      </c>
      <c r="H11475" s="185"/>
    </row>
    <row r="11476">
      <c r="D11476" s="185"/>
      <c r="E11476" s="185" t="s">
        <v>470</v>
      </c>
      <c r="H11476" s="185"/>
    </row>
    <row r="11477">
      <c r="D11477" s="185"/>
      <c r="E11477" s="185" t="s">
        <v>470</v>
      </c>
      <c r="H11477" s="185"/>
    </row>
    <row r="11478">
      <c r="D11478" s="185"/>
      <c r="E11478" s="185" t="s">
        <v>470</v>
      </c>
      <c r="H11478" s="185"/>
    </row>
    <row r="11479">
      <c r="D11479" s="185"/>
      <c r="E11479" s="185" t="s">
        <v>470</v>
      </c>
      <c r="H11479" s="185"/>
    </row>
    <row r="11480">
      <c r="D11480" s="185"/>
      <c r="E11480" s="185" t="s">
        <v>470</v>
      </c>
      <c r="H11480" s="185"/>
    </row>
    <row r="11481">
      <c r="D11481" s="185"/>
      <c r="E11481" s="185" t="s">
        <v>470</v>
      </c>
      <c r="H11481" s="185"/>
    </row>
    <row r="11482">
      <c r="D11482" s="185"/>
      <c r="E11482" s="185" t="s">
        <v>470</v>
      </c>
      <c r="H11482" s="185"/>
    </row>
    <row r="11483">
      <c r="D11483" s="185"/>
      <c r="E11483" s="185" t="s">
        <v>470</v>
      </c>
      <c r="H11483" s="185"/>
    </row>
    <row r="11484">
      <c r="D11484" s="185"/>
      <c r="E11484" s="185" t="s">
        <v>470</v>
      </c>
      <c r="H11484" s="185"/>
    </row>
    <row r="11485">
      <c r="D11485" s="185"/>
      <c r="E11485" s="185" t="s">
        <v>470</v>
      </c>
      <c r="H11485" s="185"/>
    </row>
    <row r="11486">
      <c r="D11486" s="185"/>
      <c r="E11486" s="185" t="s">
        <v>470</v>
      </c>
      <c r="H11486" s="185"/>
    </row>
    <row r="11487">
      <c r="D11487" s="185"/>
      <c r="E11487" s="185" t="s">
        <v>470</v>
      </c>
      <c r="H11487" s="185"/>
    </row>
    <row r="11488">
      <c r="D11488" s="185"/>
      <c r="E11488" s="185" t="s">
        <v>470</v>
      </c>
      <c r="H11488" s="185"/>
    </row>
    <row r="11489">
      <c r="D11489" s="185"/>
      <c r="E11489" s="185" t="s">
        <v>470</v>
      </c>
      <c r="H11489" s="185"/>
    </row>
    <row r="11490">
      <c r="D11490" s="185"/>
      <c r="E11490" s="185" t="s">
        <v>470</v>
      </c>
      <c r="H11490" s="185"/>
    </row>
    <row r="11491">
      <c r="D11491" s="185"/>
      <c r="E11491" s="185" t="s">
        <v>470</v>
      </c>
      <c r="H11491" s="185"/>
    </row>
    <row r="11492">
      <c r="D11492" s="185"/>
      <c r="E11492" s="185" t="s">
        <v>470</v>
      </c>
      <c r="H11492" s="185"/>
    </row>
    <row r="11493">
      <c r="D11493" s="185"/>
      <c r="E11493" s="185" t="s">
        <v>470</v>
      </c>
      <c r="H11493" s="185"/>
    </row>
    <row r="11494">
      <c r="D11494" s="185"/>
      <c r="E11494" s="185" t="s">
        <v>470</v>
      </c>
      <c r="H11494" s="185"/>
    </row>
    <row r="11495">
      <c r="D11495" s="185"/>
      <c r="E11495" s="185" t="s">
        <v>470</v>
      </c>
      <c r="H11495" s="185"/>
    </row>
    <row r="11496">
      <c r="D11496" s="185"/>
      <c r="E11496" s="185" t="s">
        <v>470</v>
      </c>
      <c r="H11496" s="185"/>
    </row>
    <row r="11497">
      <c r="D11497" s="185"/>
      <c r="E11497" s="185" t="s">
        <v>470</v>
      </c>
      <c r="H11497" s="185"/>
    </row>
    <row r="11498">
      <c r="D11498" s="185"/>
      <c r="E11498" s="185" t="s">
        <v>470</v>
      </c>
      <c r="H11498" s="185"/>
    </row>
    <row r="11499">
      <c r="D11499" s="185"/>
      <c r="E11499" s="185" t="s">
        <v>470</v>
      </c>
      <c r="H11499" s="185"/>
    </row>
    <row r="11500">
      <c r="D11500" s="185"/>
      <c r="E11500" s="185" t="s">
        <v>470</v>
      </c>
      <c r="H11500" s="185"/>
    </row>
    <row r="11501">
      <c r="D11501" s="185"/>
      <c r="E11501" s="185" t="s">
        <v>470</v>
      </c>
      <c r="H11501" s="185"/>
    </row>
    <row r="11502">
      <c r="D11502" s="185"/>
      <c r="E11502" s="185" t="s">
        <v>470</v>
      </c>
      <c r="H11502" s="185"/>
    </row>
    <row r="11503">
      <c r="D11503" s="185"/>
      <c r="E11503" s="185" t="s">
        <v>470</v>
      </c>
      <c r="H11503" s="185"/>
    </row>
    <row r="11504">
      <c r="D11504" s="185"/>
      <c r="E11504" s="185" t="s">
        <v>470</v>
      </c>
      <c r="H11504" s="185"/>
    </row>
    <row r="11505">
      <c r="D11505" s="185"/>
      <c r="E11505" s="185" t="s">
        <v>470</v>
      </c>
      <c r="H11505" s="185"/>
    </row>
    <row r="11506">
      <c r="D11506" s="185"/>
      <c r="E11506" s="185" t="s">
        <v>470</v>
      </c>
      <c r="H11506" s="185"/>
    </row>
    <row r="11507">
      <c r="D11507" s="185"/>
      <c r="E11507" s="185" t="s">
        <v>470</v>
      </c>
      <c r="H11507" s="185"/>
    </row>
    <row r="11508">
      <c r="D11508" s="185"/>
      <c r="E11508" s="185" t="s">
        <v>470</v>
      </c>
      <c r="H11508" s="185"/>
    </row>
    <row r="11509">
      <c r="D11509" s="185"/>
      <c r="E11509" s="185" t="s">
        <v>470</v>
      </c>
      <c r="H11509" s="185"/>
    </row>
    <row r="11510">
      <c r="D11510" s="185"/>
      <c r="E11510" s="185" t="s">
        <v>470</v>
      </c>
      <c r="H11510" s="185"/>
    </row>
    <row r="11511">
      <c r="D11511" s="185"/>
      <c r="E11511" s="185" t="s">
        <v>470</v>
      </c>
      <c r="H11511" s="185"/>
    </row>
    <row r="11512">
      <c r="D11512" s="185"/>
      <c r="E11512" s="185" t="s">
        <v>470</v>
      </c>
      <c r="H11512" s="185"/>
    </row>
    <row r="11513">
      <c r="D11513" s="185"/>
      <c r="E11513" s="185" t="s">
        <v>470</v>
      </c>
      <c r="H11513" s="185"/>
    </row>
    <row r="11514">
      <c r="D11514" s="185"/>
      <c r="E11514" s="185" t="s">
        <v>470</v>
      </c>
      <c r="H11514" s="185"/>
    </row>
    <row r="11515">
      <c r="D11515" s="185"/>
      <c r="E11515" s="185" t="s">
        <v>470</v>
      </c>
      <c r="H11515" s="185"/>
    </row>
    <row r="11516">
      <c r="D11516" s="185"/>
      <c r="E11516" s="185" t="s">
        <v>470</v>
      </c>
      <c r="H11516" s="185"/>
    </row>
    <row r="11517">
      <c r="D11517" s="185"/>
      <c r="E11517" s="185" t="s">
        <v>470</v>
      </c>
      <c r="H11517" s="185"/>
    </row>
    <row r="11518">
      <c r="D11518" s="185"/>
      <c r="E11518" s="185" t="s">
        <v>470</v>
      </c>
      <c r="H11518" s="185"/>
    </row>
    <row r="11519">
      <c r="D11519" s="185"/>
      <c r="E11519" s="185" t="s">
        <v>470</v>
      </c>
      <c r="H11519" s="185"/>
    </row>
    <row r="11520">
      <c r="D11520" s="185"/>
      <c r="E11520" s="185" t="s">
        <v>470</v>
      </c>
      <c r="H11520" s="185"/>
    </row>
    <row r="11521">
      <c r="D11521" s="185"/>
      <c r="E11521" s="185" t="s">
        <v>470</v>
      </c>
      <c r="H11521" s="185"/>
    </row>
    <row r="11522">
      <c r="D11522" s="185"/>
      <c r="E11522" s="185" t="s">
        <v>470</v>
      </c>
      <c r="H11522" s="185"/>
    </row>
    <row r="11523">
      <c r="D11523" s="185"/>
      <c r="E11523" s="185" t="s">
        <v>470</v>
      </c>
      <c r="H11523" s="185"/>
    </row>
    <row r="11524">
      <c r="D11524" s="185"/>
      <c r="E11524" s="185" t="s">
        <v>470</v>
      </c>
      <c r="H11524" s="185"/>
    </row>
    <row r="11525">
      <c r="D11525" s="185"/>
      <c r="E11525" s="185" t="s">
        <v>470</v>
      </c>
      <c r="H11525" s="185"/>
    </row>
    <row r="11526">
      <c r="D11526" s="185"/>
      <c r="E11526" s="185" t="s">
        <v>470</v>
      </c>
      <c r="H11526" s="185"/>
    </row>
    <row r="11527">
      <c r="D11527" s="185"/>
      <c r="E11527" s="185" t="s">
        <v>470</v>
      </c>
      <c r="H11527" s="185"/>
    </row>
    <row r="11528">
      <c r="D11528" s="185"/>
      <c r="E11528" s="185" t="s">
        <v>470</v>
      </c>
      <c r="H11528" s="185"/>
    </row>
    <row r="11529">
      <c r="D11529" s="185"/>
      <c r="E11529" s="185" t="s">
        <v>470</v>
      </c>
      <c r="H11529" s="185"/>
    </row>
    <row r="11530">
      <c r="D11530" s="185"/>
      <c r="E11530" s="185" t="s">
        <v>470</v>
      </c>
      <c r="H11530" s="185"/>
    </row>
    <row r="11531">
      <c r="D11531" s="185"/>
      <c r="E11531" s="185" t="s">
        <v>470</v>
      </c>
      <c r="H11531" s="185"/>
    </row>
    <row r="11532">
      <c r="D11532" s="185"/>
      <c r="E11532" s="185" t="s">
        <v>470</v>
      </c>
      <c r="H11532" s="185"/>
    </row>
    <row r="11533">
      <c r="D11533" s="185"/>
      <c r="E11533" s="185" t="s">
        <v>470</v>
      </c>
      <c r="H11533" s="185"/>
    </row>
    <row r="11534">
      <c r="D11534" s="185"/>
      <c r="E11534" s="185" t="s">
        <v>470</v>
      </c>
      <c r="H11534" s="185"/>
    </row>
    <row r="11535">
      <c r="D11535" s="185"/>
      <c r="E11535" s="185" t="s">
        <v>470</v>
      </c>
      <c r="H11535" s="185"/>
    </row>
    <row r="11536">
      <c r="D11536" s="185"/>
      <c r="E11536" s="185" t="s">
        <v>470</v>
      </c>
      <c r="H11536" s="185"/>
    </row>
    <row r="11537">
      <c r="D11537" s="185"/>
      <c r="E11537" s="185" t="s">
        <v>470</v>
      </c>
      <c r="H11537" s="185"/>
    </row>
    <row r="11538">
      <c r="D11538" s="185"/>
      <c r="E11538" s="185" t="s">
        <v>470</v>
      </c>
      <c r="H11538" s="185"/>
    </row>
    <row r="11539">
      <c r="D11539" s="185"/>
      <c r="E11539" s="185" t="s">
        <v>470</v>
      </c>
      <c r="H11539" s="185"/>
    </row>
    <row r="11540">
      <c r="D11540" s="185"/>
      <c r="E11540" s="185" t="s">
        <v>470</v>
      </c>
      <c r="H11540" s="185"/>
    </row>
    <row r="11541">
      <c r="D11541" s="185"/>
      <c r="E11541" s="185" t="s">
        <v>470</v>
      </c>
      <c r="H11541" s="185"/>
    </row>
    <row r="11542">
      <c r="D11542" s="185"/>
      <c r="E11542" s="185" t="s">
        <v>470</v>
      </c>
      <c r="H11542" s="185"/>
    </row>
    <row r="11543">
      <c r="D11543" s="185"/>
      <c r="E11543" s="185" t="s">
        <v>470</v>
      </c>
      <c r="H11543" s="185"/>
    </row>
    <row r="11544">
      <c r="D11544" s="185"/>
      <c r="E11544" s="185" t="s">
        <v>470</v>
      </c>
      <c r="H11544" s="185"/>
    </row>
    <row r="11545">
      <c r="D11545" s="185"/>
      <c r="E11545" s="185" t="s">
        <v>470</v>
      </c>
      <c r="H11545" s="185"/>
    </row>
    <row r="11546">
      <c r="D11546" s="185"/>
      <c r="E11546" s="185" t="s">
        <v>470</v>
      </c>
      <c r="H11546" s="185"/>
    </row>
    <row r="11547">
      <c r="D11547" s="185"/>
      <c r="E11547" s="185" t="s">
        <v>470</v>
      </c>
      <c r="H11547" s="185"/>
    </row>
    <row r="11548">
      <c r="D11548" s="185"/>
      <c r="E11548" s="185" t="s">
        <v>470</v>
      </c>
      <c r="H11548" s="185"/>
    </row>
    <row r="11549">
      <c r="D11549" s="185"/>
      <c r="E11549" s="185" t="s">
        <v>470</v>
      </c>
      <c r="H11549" s="185"/>
    </row>
    <row r="11550">
      <c r="D11550" s="185"/>
      <c r="E11550" s="185" t="s">
        <v>470</v>
      </c>
      <c r="H11550" s="185"/>
    </row>
    <row r="11551">
      <c r="D11551" s="185"/>
      <c r="E11551" s="185" t="s">
        <v>470</v>
      </c>
      <c r="H11551" s="185"/>
    </row>
    <row r="11552">
      <c r="D11552" s="185"/>
      <c r="E11552" s="185" t="s">
        <v>470</v>
      </c>
      <c r="H11552" s="185"/>
    </row>
    <row r="11553">
      <c r="D11553" s="185"/>
      <c r="E11553" s="185" t="s">
        <v>470</v>
      </c>
      <c r="H11553" s="185"/>
    </row>
    <row r="11554">
      <c r="D11554" s="185"/>
      <c r="E11554" s="185" t="s">
        <v>470</v>
      </c>
      <c r="H11554" s="185"/>
    </row>
    <row r="11555">
      <c r="D11555" s="185"/>
      <c r="E11555" s="185" t="s">
        <v>470</v>
      </c>
      <c r="H11555" s="185"/>
    </row>
    <row r="11556">
      <c r="D11556" s="185"/>
      <c r="E11556" s="185" t="s">
        <v>470</v>
      </c>
      <c r="H11556" s="185"/>
    </row>
    <row r="11557">
      <c r="D11557" s="185"/>
      <c r="E11557" s="185" t="s">
        <v>470</v>
      </c>
      <c r="H11557" s="185"/>
    </row>
    <row r="11558">
      <c r="D11558" s="185"/>
      <c r="E11558" s="185" t="s">
        <v>470</v>
      </c>
      <c r="H11558" s="185"/>
    </row>
    <row r="11559">
      <c r="D11559" s="185"/>
      <c r="E11559" s="185" t="s">
        <v>470</v>
      </c>
      <c r="H11559" s="185"/>
    </row>
    <row r="11560">
      <c r="D11560" s="185"/>
      <c r="E11560" s="185" t="s">
        <v>470</v>
      </c>
      <c r="H11560" s="185"/>
    </row>
    <row r="11561">
      <c r="D11561" s="185"/>
      <c r="E11561" s="185" t="s">
        <v>470</v>
      </c>
      <c r="H11561" s="185"/>
    </row>
    <row r="11562">
      <c r="D11562" s="185"/>
      <c r="E11562" s="185" t="s">
        <v>470</v>
      </c>
      <c r="H11562" s="185"/>
    </row>
    <row r="11563">
      <c r="D11563" s="185"/>
      <c r="E11563" s="185" t="s">
        <v>470</v>
      </c>
      <c r="H11563" s="185"/>
    </row>
    <row r="11564">
      <c r="D11564" s="185"/>
      <c r="E11564" s="185" t="s">
        <v>470</v>
      </c>
      <c r="H11564" s="185"/>
    </row>
    <row r="11565">
      <c r="D11565" s="185"/>
      <c r="E11565" s="185" t="s">
        <v>470</v>
      </c>
      <c r="H11565" s="185"/>
    </row>
    <row r="11566">
      <c r="D11566" s="185"/>
      <c r="E11566" s="185" t="s">
        <v>470</v>
      </c>
      <c r="H11566" s="185"/>
    </row>
    <row r="11567">
      <c r="D11567" s="185"/>
      <c r="E11567" s="185" t="s">
        <v>470</v>
      </c>
      <c r="H11567" s="185"/>
    </row>
    <row r="11568">
      <c r="D11568" s="185"/>
      <c r="E11568" s="185" t="s">
        <v>470</v>
      </c>
      <c r="H11568" s="185"/>
    </row>
    <row r="11569">
      <c r="D11569" s="185"/>
      <c r="E11569" s="185" t="s">
        <v>470</v>
      </c>
      <c r="H11569" s="185"/>
    </row>
    <row r="11570">
      <c r="D11570" s="185"/>
      <c r="E11570" s="185" t="s">
        <v>470</v>
      </c>
      <c r="H11570" s="185"/>
    </row>
    <row r="11571">
      <c r="D11571" s="185"/>
      <c r="E11571" s="185" t="s">
        <v>470</v>
      </c>
      <c r="H11571" s="185"/>
    </row>
    <row r="11572">
      <c r="D11572" s="185"/>
      <c r="E11572" s="185" t="s">
        <v>470</v>
      </c>
      <c r="H11572" s="185"/>
    </row>
    <row r="11573">
      <c r="D11573" s="185"/>
      <c r="E11573" s="185" t="s">
        <v>470</v>
      </c>
      <c r="H11573" s="185"/>
    </row>
    <row r="11574">
      <c r="D11574" s="185"/>
      <c r="E11574" s="185" t="s">
        <v>470</v>
      </c>
      <c r="H11574" s="185"/>
    </row>
    <row r="11575">
      <c r="D11575" s="185"/>
      <c r="E11575" s="185" t="s">
        <v>470</v>
      </c>
      <c r="H11575" s="185"/>
    </row>
    <row r="11576">
      <c r="D11576" s="185"/>
      <c r="E11576" s="185" t="s">
        <v>470</v>
      </c>
      <c r="H11576" s="185"/>
    </row>
    <row r="11577">
      <c r="D11577" s="185"/>
      <c r="E11577" s="185" t="s">
        <v>470</v>
      </c>
      <c r="H11577" s="185"/>
    </row>
    <row r="11578">
      <c r="D11578" s="185"/>
      <c r="E11578" s="185" t="s">
        <v>470</v>
      </c>
      <c r="H11578" s="185"/>
    </row>
    <row r="11579">
      <c r="D11579" s="185"/>
      <c r="E11579" s="185" t="s">
        <v>470</v>
      </c>
      <c r="H11579" s="185"/>
    </row>
    <row r="11580">
      <c r="D11580" s="185"/>
      <c r="E11580" s="185" t="s">
        <v>470</v>
      </c>
      <c r="H11580" s="185"/>
    </row>
    <row r="11581">
      <c r="D11581" s="185"/>
      <c r="E11581" s="185" t="s">
        <v>470</v>
      </c>
      <c r="H11581" s="185"/>
    </row>
    <row r="11582">
      <c r="D11582" s="185"/>
      <c r="E11582" s="185" t="s">
        <v>470</v>
      </c>
      <c r="H11582" s="185"/>
    </row>
    <row r="11583">
      <c r="D11583" s="185"/>
      <c r="E11583" s="185" t="s">
        <v>470</v>
      </c>
      <c r="H11583" s="185"/>
    </row>
    <row r="11584">
      <c r="D11584" s="185"/>
      <c r="E11584" s="185" t="s">
        <v>470</v>
      </c>
      <c r="H11584" s="185"/>
    </row>
    <row r="11585">
      <c r="D11585" s="185"/>
      <c r="E11585" s="185" t="s">
        <v>470</v>
      </c>
      <c r="H11585" s="185"/>
    </row>
    <row r="11586">
      <c r="D11586" s="185"/>
      <c r="E11586" s="185" t="s">
        <v>470</v>
      </c>
      <c r="H11586" s="185"/>
    </row>
    <row r="11587">
      <c r="D11587" s="185"/>
      <c r="E11587" s="185" t="s">
        <v>470</v>
      </c>
      <c r="H11587" s="185"/>
    </row>
    <row r="11588">
      <c r="D11588" s="185"/>
      <c r="E11588" s="185" t="s">
        <v>470</v>
      </c>
      <c r="H11588" s="185"/>
    </row>
    <row r="11589">
      <c r="D11589" s="185"/>
      <c r="E11589" s="185" t="s">
        <v>470</v>
      </c>
      <c r="H11589" s="185"/>
    </row>
    <row r="11590">
      <c r="D11590" s="185"/>
      <c r="E11590" s="185" t="s">
        <v>470</v>
      </c>
      <c r="H11590" s="185"/>
    </row>
    <row r="11591">
      <c r="D11591" s="185"/>
      <c r="E11591" s="185" t="s">
        <v>470</v>
      </c>
      <c r="H11591" s="185"/>
    </row>
    <row r="11592">
      <c r="D11592" s="185"/>
      <c r="E11592" s="185" t="s">
        <v>470</v>
      </c>
      <c r="H11592" s="185"/>
    </row>
    <row r="11593">
      <c r="D11593" s="185"/>
      <c r="E11593" s="185" t="s">
        <v>470</v>
      </c>
      <c r="H11593" s="185"/>
    </row>
    <row r="11594">
      <c r="D11594" s="185"/>
      <c r="E11594" s="185" t="s">
        <v>470</v>
      </c>
      <c r="H11594" s="185"/>
    </row>
    <row r="11595">
      <c r="D11595" s="185"/>
      <c r="E11595" s="185" t="s">
        <v>470</v>
      </c>
      <c r="H11595" s="185"/>
    </row>
    <row r="11596">
      <c r="D11596" s="185"/>
      <c r="E11596" s="185" t="s">
        <v>470</v>
      </c>
      <c r="H11596" s="185"/>
    </row>
    <row r="11597">
      <c r="D11597" s="185"/>
      <c r="E11597" s="185" t="s">
        <v>470</v>
      </c>
      <c r="H11597" s="185"/>
    </row>
    <row r="11598">
      <c r="D11598" s="185"/>
      <c r="E11598" s="185" t="s">
        <v>470</v>
      </c>
      <c r="H11598" s="185"/>
    </row>
    <row r="11599">
      <c r="D11599" s="185"/>
      <c r="E11599" s="185" t="s">
        <v>470</v>
      </c>
      <c r="H11599" s="185"/>
    </row>
    <row r="11600">
      <c r="D11600" s="185"/>
      <c r="E11600" s="185" t="s">
        <v>470</v>
      </c>
      <c r="H11600" s="185"/>
    </row>
    <row r="11601">
      <c r="D11601" s="185"/>
      <c r="E11601" s="185" t="s">
        <v>470</v>
      </c>
      <c r="H11601" s="185"/>
    </row>
    <row r="11602">
      <c r="D11602" s="185"/>
      <c r="E11602" s="185" t="s">
        <v>470</v>
      </c>
      <c r="H11602" s="185"/>
    </row>
    <row r="11603">
      <c r="D11603" s="185"/>
      <c r="E11603" s="185" t="s">
        <v>470</v>
      </c>
      <c r="H11603" s="185"/>
    </row>
    <row r="11604">
      <c r="D11604" s="185"/>
      <c r="E11604" s="185" t="s">
        <v>470</v>
      </c>
      <c r="H11604" s="185"/>
    </row>
    <row r="11605">
      <c r="D11605" s="185"/>
      <c r="E11605" s="185" t="s">
        <v>470</v>
      </c>
      <c r="H11605" s="185"/>
    </row>
    <row r="11606">
      <c r="D11606" s="185"/>
      <c r="E11606" s="185" t="s">
        <v>470</v>
      </c>
      <c r="H11606" s="185"/>
    </row>
    <row r="11607">
      <c r="D11607" s="185"/>
      <c r="E11607" s="185" t="s">
        <v>470</v>
      </c>
      <c r="H11607" s="185"/>
    </row>
    <row r="11608">
      <c r="D11608" s="185"/>
      <c r="E11608" s="185" t="s">
        <v>470</v>
      </c>
      <c r="H11608" s="185"/>
    </row>
    <row r="11609">
      <c r="D11609" s="185"/>
      <c r="E11609" s="185" t="s">
        <v>470</v>
      </c>
      <c r="H11609" s="185"/>
    </row>
    <row r="11610">
      <c r="D11610" s="185"/>
      <c r="E11610" s="185" t="s">
        <v>470</v>
      </c>
      <c r="H11610" s="185"/>
    </row>
    <row r="11611">
      <c r="D11611" s="185"/>
      <c r="E11611" s="185" t="s">
        <v>470</v>
      </c>
      <c r="H11611" s="185"/>
    </row>
    <row r="11612">
      <c r="D11612" s="185"/>
      <c r="E11612" s="185" t="s">
        <v>470</v>
      </c>
      <c r="H11612" s="185"/>
    </row>
    <row r="11613">
      <c r="D11613" s="185"/>
      <c r="E11613" s="185" t="s">
        <v>470</v>
      </c>
      <c r="H11613" s="185"/>
    </row>
    <row r="11614">
      <c r="D11614" s="185"/>
      <c r="E11614" s="185" t="s">
        <v>470</v>
      </c>
      <c r="H11614" s="185"/>
    </row>
    <row r="11615">
      <c r="D11615" s="185"/>
      <c r="E11615" s="185" t="s">
        <v>470</v>
      </c>
      <c r="H11615" s="185"/>
    </row>
    <row r="11616">
      <c r="D11616" s="185"/>
      <c r="E11616" s="185" t="s">
        <v>470</v>
      </c>
      <c r="H11616" s="185"/>
    </row>
    <row r="11617">
      <c r="D11617" s="185"/>
      <c r="E11617" s="185" t="s">
        <v>470</v>
      </c>
      <c r="H11617" s="185"/>
    </row>
    <row r="11618">
      <c r="D11618" s="185"/>
      <c r="E11618" s="185" t="s">
        <v>470</v>
      </c>
      <c r="H11618" s="185"/>
    </row>
    <row r="11619">
      <c r="D11619" s="185"/>
      <c r="E11619" s="185" t="s">
        <v>470</v>
      </c>
      <c r="H11619" s="185"/>
    </row>
    <row r="11620">
      <c r="D11620" s="185"/>
      <c r="E11620" s="185" t="s">
        <v>470</v>
      </c>
      <c r="H11620" s="185"/>
    </row>
    <row r="11621">
      <c r="D11621" s="185"/>
      <c r="E11621" s="185" t="s">
        <v>470</v>
      </c>
      <c r="H11621" s="185"/>
    </row>
    <row r="11622">
      <c r="D11622" s="185"/>
      <c r="E11622" s="185" t="s">
        <v>470</v>
      </c>
      <c r="H11622" s="185"/>
    </row>
    <row r="11623">
      <c r="D11623" s="185"/>
      <c r="E11623" s="185" t="s">
        <v>470</v>
      </c>
      <c r="H11623" s="185"/>
    </row>
    <row r="11624">
      <c r="D11624" s="185"/>
      <c r="E11624" s="185" t="s">
        <v>470</v>
      </c>
      <c r="H11624" s="185"/>
    </row>
    <row r="11625">
      <c r="D11625" s="185"/>
      <c r="E11625" s="185" t="s">
        <v>470</v>
      </c>
      <c r="H11625" s="185"/>
    </row>
    <row r="11626">
      <c r="D11626" s="185"/>
      <c r="E11626" s="185" t="s">
        <v>470</v>
      </c>
      <c r="H11626" s="185"/>
    </row>
    <row r="11627">
      <c r="D11627" s="185"/>
      <c r="E11627" s="185" t="s">
        <v>470</v>
      </c>
      <c r="H11627" s="185"/>
    </row>
    <row r="11628">
      <c r="D11628" s="185"/>
      <c r="E11628" s="185" t="s">
        <v>470</v>
      </c>
      <c r="H11628" s="185"/>
    </row>
    <row r="11629">
      <c r="D11629" s="185"/>
      <c r="E11629" s="185" t="s">
        <v>470</v>
      </c>
      <c r="H11629" s="185"/>
    </row>
    <row r="11630">
      <c r="D11630" s="185"/>
      <c r="E11630" s="185" t="s">
        <v>470</v>
      </c>
      <c r="H11630" s="185"/>
    </row>
    <row r="11631">
      <c r="D11631" s="185"/>
      <c r="E11631" s="185" t="s">
        <v>470</v>
      </c>
      <c r="H11631" s="185"/>
    </row>
    <row r="11632">
      <c r="D11632" s="185"/>
      <c r="E11632" s="185" t="s">
        <v>470</v>
      </c>
      <c r="H11632" s="185"/>
    </row>
    <row r="11633">
      <c r="D11633" s="185"/>
      <c r="E11633" s="185" t="s">
        <v>470</v>
      </c>
      <c r="H11633" s="185"/>
    </row>
    <row r="11634">
      <c r="D11634" s="185"/>
      <c r="E11634" s="185" t="s">
        <v>470</v>
      </c>
      <c r="H11634" s="185"/>
    </row>
    <row r="11635">
      <c r="D11635" s="185"/>
      <c r="E11635" s="185" t="s">
        <v>470</v>
      </c>
      <c r="H11635" s="185"/>
    </row>
    <row r="11636">
      <c r="D11636" s="185"/>
      <c r="E11636" s="185" t="s">
        <v>470</v>
      </c>
      <c r="H11636" s="185"/>
    </row>
    <row r="11637">
      <c r="D11637" s="185"/>
      <c r="E11637" s="185" t="s">
        <v>470</v>
      </c>
      <c r="H11637" s="185"/>
    </row>
    <row r="11638">
      <c r="D11638" s="185"/>
      <c r="E11638" s="185" t="s">
        <v>470</v>
      </c>
      <c r="H11638" s="185"/>
    </row>
    <row r="11639">
      <c r="D11639" s="185"/>
      <c r="E11639" s="185" t="s">
        <v>470</v>
      </c>
      <c r="H11639" s="185"/>
    </row>
    <row r="11640">
      <c r="D11640" s="185"/>
      <c r="E11640" s="185" t="s">
        <v>470</v>
      </c>
      <c r="H11640" s="185"/>
    </row>
    <row r="11641">
      <c r="D11641" s="185"/>
      <c r="E11641" s="185" t="s">
        <v>470</v>
      </c>
      <c r="H11641" s="185"/>
    </row>
    <row r="11642">
      <c r="D11642" s="185"/>
      <c r="E11642" s="185" t="s">
        <v>470</v>
      </c>
      <c r="H11642" s="185"/>
    </row>
    <row r="11643">
      <c r="D11643" s="185"/>
      <c r="E11643" s="185" t="s">
        <v>470</v>
      </c>
      <c r="H11643" s="185"/>
    </row>
    <row r="11644">
      <c r="D11644" s="185"/>
      <c r="E11644" s="185" t="s">
        <v>470</v>
      </c>
      <c r="H11644" s="185"/>
    </row>
    <row r="11645">
      <c r="D11645" s="185"/>
      <c r="E11645" s="185" t="s">
        <v>470</v>
      </c>
      <c r="H11645" s="185"/>
    </row>
    <row r="11646">
      <c r="D11646" s="185"/>
      <c r="E11646" s="185" t="s">
        <v>470</v>
      </c>
      <c r="H11646" s="185"/>
    </row>
    <row r="11647">
      <c r="D11647" s="185"/>
      <c r="E11647" s="185" t="s">
        <v>470</v>
      </c>
      <c r="H11647" s="185"/>
    </row>
    <row r="11648">
      <c r="D11648" s="185"/>
      <c r="E11648" s="185" t="s">
        <v>470</v>
      </c>
      <c r="H11648" s="185"/>
    </row>
    <row r="11649">
      <c r="D11649" s="185"/>
      <c r="E11649" s="185" t="s">
        <v>470</v>
      </c>
      <c r="H11649" s="185"/>
    </row>
    <row r="11650">
      <c r="D11650" s="185"/>
      <c r="E11650" s="185" t="s">
        <v>470</v>
      </c>
      <c r="H11650" s="185"/>
    </row>
    <row r="11651">
      <c r="D11651" s="185"/>
      <c r="E11651" s="185" t="s">
        <v>470</v>
      </c>
      <c r="H11651" s="185"/>
    </row>
    <row r="11652">
      <c r="D11652" s="185"/>
      <c r="E11652" s="185" t="s">
        <v>470</v>
      </c>
      <c r="H11652" s="185"/>
    </row>
    <row r="11653">
      <c r="D11653" s="185"/>
      <c r="E11653" s="185" t="s">
        <v>470</v>
      </c>
      <c r="H11653" s="185"/>
    </row>
    <row r="11654">
      <c r="D11654" s="185"/>
      <c r="E11654" s="185" t="s">
        <v>470</v>
      </c>
      <c r="H11654" s="185"/>
    </row>
    <row r="11655">
      <c r="D11655" s="185"/>
      <c r="E11655" s="185" t="s">
        <v>470</v>
      </c>
      <c r="H11655" s="185"/>
    </row>
    <row r="11656">
      <c r="D11656" s="185"/>
      <c r="E11656" s="185" t="s">
        <v>470</v>
      </c>
      <c r="H11656" s="185"/>
    </row>
    <row r="11657">
      <c r="D11657" s="185"/>
      <c r="E11657" s="185" t="s">
        <v>470</v>
      </c>
      <c r="H11657" s="185"/>
    </row>
    <row r="11658">
      <c r="D11658" s="185"/>
      <c r="E11658" s="185" t="s">
        <v>470</v>
      </c>
      <c r="H11658" s="185"/>
    </row>
    <row r="11659">
      <c r="D11659" s="185"/>
      <c r="E11659" s="185" t="s">
        <v>470</v>
      </c>
      <c r="H11659" s="185"/>
    </row>
    <row r="11660">
      <c r="D11660" s="185"/>
      <c r="E11660" s="185" t="s">
        <v>470</v>
      </c>
      <c r="H11660" s="185"/>
    </row>
    <row r="11661">
      <c r="D11661" s="185"/>
      <c r="E11661" s="185" t="s">
        <v>470</v>
      </c>
      <c r="H11661" s="185"/>
    </row>
    <row r="11662">
      <c r="D11662" s="185"/>
      <c r="E11662" s="185" t="s">
        <v>470</v>
      </c>
      <c r="H11662" s="185"/>
    </row>
    <row r="11663">
      <c r="D11663" s="185"/>
      <c r="E11663" s="185" t="s">
        <v>470</v>
      </c>
      <c r="H11663" s="185"/>
    </row>
    <row r="11664">
      <c r="D11664" s="185"/>
      <c r="E11664" s="185" t="s">
        <v>470</v>
      </c>
      <c r="H11664" s="185"/>
    </row>
    <row r="11665">
      <c r="D11665" s="185"/>
      <c r="E11665" s="185" t="s">
        <v>470</v>
      </c>
      <c r="H11665" s="185"/>
    </row>
    <row r="11666">
      <c r="D11666" s="185"/>
      <c r="E11666" s="185" t="s">
        <v>470</v>
      </c>
      <c r="H11666" s="185"/>
    </row>
    <row r="11667">
      <c r="D11667" s="185"/>
      <c r="E11667" s="185" t="s">
        <v>470</v>
      </c>
      <c r="H11667" s="185"/>
    </row>
    <row r="11668">
      <c r="D11668" s="185"/>
      <c r="E11668" s="185" t="s">
        <v>470</v>
      </c>
      <c r="H11668" s="185"/>
    </row>
    <row r="11669">
      <c r="D11669" s="185"/>
      <c r="E11669" s="185" t="s">
        <v>470</v>
      </c>
      <c r="H11669" s="185"/>
    </row>
    <row r="11670">
      <c r="D11670" s="185"/>
      <c r="E11670" s="185" t="s">
        <v>470</v>
      </c>
      <c r="H11670" s="185"/>
    </row>
    <row r="11671">
      <c r="D11671" s="185"/>
      <c r="E11671" s="185" t="s">
        <v>470</v>
      </c>
      <c r="H11671" s="185"/>
    </row>
    <row r="11672">
      <c r="D11672" s="185"/>
      <c r="E11672" s="185" t="s">
        <v>470</v>
      </c>
      <c r="H11672" s="185"/>
    </row>
    <row r="11673">
      <c r="D11673" s="185"/>
      <c r="E11673" s="185" t="s">
        <v>470</v>
      </c>
      <c r="H11673" s="185"/>
    </row>
    <row r="11674">
      <c r="D11674" s="185"/>
      <c r="E11674" s="185" t="s">
        <v>470</v>
      </c>
      <c r="H11674" s="185"/>
    </row>
    <row r="11675">
      <c r="D11675" s="185"/>
      <c r="E11675" s="185" t="s">
        <v>470</v>
      </c>
      <c r="H11675" s="185"/>
    </row>
    <row r="11676">
      <c r="D11676" s="185"/>
      <c r="E11676" s="185" t="s">
        <v>470</v>
      </c>
      <c r="H11676" s="185"/>
    </row>
    <row r="11677">
      <c r="D11677" s="185"/>
      <c r="E11677" s="185" t="s">
        <v>470</v>
      </c>
      <c r="H11677" s="185"/>
    </row>
    <row r="11678">
      <c r="D11678" s="185"/>
      <c r="E11678" s="185" t="s">
        <v>470</v>
      </c>
      <c r="H11678" s="185"/>
    </row>
    <row r="11679">
      <c r="D11679" s="185"/>
      <c r="E11679" s="185" t="s">
        <v>470</v>
      </c>
      <c r="H11679" s="185"/>
    </row>
    <row r="11680">
      <c r="D11680" s="185"/>
      <c r="E11680" s="185" t="s">
        <v>470</v>
      </c>
      <c r="H11680" s="185"/>
    </row>
    <row r="11681">
      <c r="D11681" s="185"/>
      <c r="E11681" s="185" t="s">
        <v>470</v>
      </c>
      <c r="H11681" s="185"/>
    </row>
    <row r="11682">
      <c r="D11682" s="185"/>
      <c r="E11682" s="185" t="s">
        <v>470</v>
      </c>
      <c r="H11682" s="185"/>
    </row>
    <row r="11683">
      <c r="D11683" s="185"/>
      <c r="E11683" s="185" t="s">
        <v>470</v>
      </c>
      <c r="H11683" s="185"/>
    </row>
    <row r="11684">
      <c r="D11684" s="185"/>
      <c r="E11684" s="185" t="s">
        <v>470</v>
      </c>
      <c r="H11684" s="185"/>
    </row>
    <row r="11685">
      <c r="D11685" s="185"/>
      <c r="E11685" s="185" t="s">
        <v>470</v>
      </c>
      <c r="H11685" s="185"/>
    </row>
    <row r="11686">
      <c r="D11686" s="185"/>
      <c r="E11686" s="185" t="s">
        <v>470</v>
      </c>
      <c r="H11686" s="185"/>
    </row>
    <row r="11687">
      <c r="D11687" s="185"/>
      <c r="E11687" s="185" t="s">
        <v>470</v>
      </c>
      <c r="H11687" s="185"/>
    </row>
    <row r="11688">
      <c r="D11688" s="185"/>
      <c r="E11688" s="185" t="s">
        <v>470</v>
      </c>
      <c r="H11688" s="185"/>
    </row>
    <row r="11689">
      <c r="D11689" s="185"/>
      <c r="E11689" s="185" t="s">
        <v>470</v>
      </c>
      <c r="H11689" s="185"/>
    </row>
    <row r="11690">
      <c r="D11690" s="185"/>
      <c r="E11690" s="185" t="s">
        <v>470</v>
      </c>
      <c r="H11690" s="185"/>
    </row>
    <row r="11691">
      <c r="D11691" s="185"/>
      <c r="E11691" s="185" t="s">
        <v>470</v>
      </c>
      <c r="H11691" s="185"/>
    </row>
    <row r="11692">
      <c r="D11692" s="185"/>
      <c r="E11692" s="185" t="s">
        <v>470</v>
      </c>
      <c r="H11692" s="185"/>
    </row>
    <row r="11693">
      <c r="D11693" s="185"/>
      <c r="E11693" s="185" t="s">
        <v>470</v>
      </c>
      <c r="H11693" s="185"/>
    </row>
    <row r="11694">
      <c r="D11694" s="185"/>
      <c r="E11694" s="185" t="s">
        <v>470</v>
      </c>
      <c r="H11694" s="185"/>
    </row>
    <row r="11695">
      <c r="D11695" s="185"/>
      <c r="E11695" s="185" t="s">
        <v>470</v>
      </c>
      <c r="H11695" s="185"/>
    </row>
    <row r="11696">
      <c r="D11696" s="185"/>
      <c r="E11696" s="185" t="s">
        <v>470</v>
      </c>
      <c r="H11696" s="185"/>
    </row>
    <row r="11697">
      <c r="D11697" s="185"/>
      <c r="E11697" s="185" t="s">
        <v>470</v>
      </c>
      <c r="H11697" s="185"/>
    </row>
    <row r="11698">
      <c r="D11698" s="185"/>
      <c r="E11698" s="185" t="s">
        <v>470</v>
      </c>
      <c r="H11698" s="185"/>
    </row>
    <row r="11699">
      <c r="D11699" s="185"/>
      <c r="E11699" s="185" t="s">
        <v>470</v>
      </c>
      <c r="H11699" s="185"/>
    </row>
    <row r="11700">
      <c r="D11700" s="185"/>
      <c r="E11700" s="185" t="s">
        <v>470</v>
      </c>
      <c r="H11700" s="185"/>
    </row>
    <row r="11701">
      <c r="D11701" s="185"/>
      <c r="E11701" s="185" t="s">
        <v>470</v>
      </c>
      <c r="H11701" s="185"/>
    </row>
    <row r="11702">
      <c r="D11702" s="185"/>
      <c r="E11702" s="185" t="s">
        <v>470</v>
      </c>
      <c r="H11702" s="185"/>
    </row>
    <row r="11703">
      <c r="D11703" s="185"/>
      <c r="E11703" s="185" t="s">
        <v>470</v>
      </c>
      <c r="H11703" s="185"/>
    </row>
    <row r="11704">
      <c r="D11704" s="185"/>
      <c r="E11704" s="185" t="s">
        <v>470</v>
      </c>
      <c r="H11704" s="185"/>
    </row>
    <row r="11705">
      <c r="D11705" s="185"/>
      <c r="E11705" s="185" t="s">
        <v>470</v>
      </c>
      <c r="H11705" s="185"/>
    </row>
    <row r="11706">
      <c r="D11706" s="185"/>
      <c r="E11706" s="185" t="s">
        <v>470</v>
      </c>
      <c r="H11706" s="185"/>
    </row>
    <row r="11707">
      <c r="D11707" s="185"/>
      <c r="E11707" s="185" t="s">
        <v>470</v>
      </c>
      <c r="H11707" s="185"/>
    </row>
    <row r="11708">
      <c r="D11708" s="185"/>
      <c r="E11708" s="185" t="s">
        <v>470</v>
      </c>
      <c r="H11708" s="185"/>
    </row>
    <row r="11709">
      <c r="D11709" s="185"/>
      <c r="E11709" s="185" t="s">
        <v>470</v>
      </c>
      <c r="H11709" s="185"/>
    </row>
    <row r="11710">
      <c r="D11710" s="185"/>
      <c r="E11710" s="185" t="s">
        <v>470</v>
      </c>
      <c r="H11710" s="185"/>
    </row>
    <row r="11711">
      <c r="D11711" s="185"/>
      <c r="E11711" s="185" t="s">
        <v>470</v>
      </c>
      <c r="H11711" s="185"/>
    </row>
    <row r="11712">
      <c r="D11712" s="185"/>
      <c r="E11712" s="185" t="s">
        <v>470</v>
      </c>
      <c r="H11712" s="185"/>
    </row>
    <row r="11713">
      <c r="D11713" s="185"/>
      <c r="E11713" s="185" t="s">
        <v>470</v>
      </c>
      <c r="H11713" s="185"/>
    </row>
    <row r="11714">
      <c r="D11714" s="185"/>
      <c r="E11714" s="185" t="s">
        <v>470</v>
      </c>
      <c r="H11714" s="185"/>
    </row>
    <row r="11715">
      <c r="D11715" s="185"/>
      <c r="E11715" s="185" t="s">
        <v>470</v>
      </c>
      <c r="H11715" s="185"/>
    </row>
    <row r="11716">
      <c r="D11716" s="185"/>
      <c r="E11716" s="185" t="s">
        <v>470</v>
      </c>
      <c r="H11716" s="185"/>
    </row>
    <row r="11717">
      <c r="D11717" s="185"/>
      <c r="E11717" s="185" t="s">
        <v>470</v>
      </c>
      <c r="H11717" s="185"/>
    </row>
    <row r="11718">
      <c r="D11718" s="185"/>
      <c r="E11718" s="185" t="s">
        <v>470</v>
      </c>
      <c r="H11718" s="185"/>
    </row>
    <row r="11719">
      <c r="D11719" s="185"/>
      <c r="E11719" s="185" t="s">
        <v>470</v>
      </c>
      <c r="H11719" s="185"/>
    </row>
    <row r="11720">
      <c r="D11720" s="185"/>
      <c r="E11720" s="185" t="s">
        <v>470</v>
      </c>
      <c r="H11720" s="185"/>
    </row>
    <row r="11721">
      <c r="D11721" s="185"/>
      <c r="E11721" s="185" t="s">
        <v>470</v>
      </c>
      <c r="H11721" s="185"/>
    </row>
    <row r="11722">
      <c r="D11722" s="185"/>
      <c r="E11722" s="185" t="s">
        <v>470</v>
      </c>
      <c r="H11722" s="185"/>
    </row>
    <row r="11723">
      <c r="D11723" s="185"/>
      <c r="E11723" s="185" t="s">
        <v>470</v>
      </c>
      <c r="H11723" s="185"/>
    </row>
    <row r="11724">
      <c r="D11724" s="185"/>
      <c r="E11724" s="185" t="s">
        <v>470</v>
      </c>
      <c r="H11724" s="185"/>
    </row>
    <row r="11725">
      <c r="D11725" s="185"/>
      <c r="E11725" s="185" t="s">
        <v>470</v>
      </c>
      <c r="H11725" s="185"/>
    </row>
    <row r="11726">
      <c r="D11726" s="185"/>
      <c r="E11726" s="185" t="s">
        <v>470</v>
      </c>
      <c r="H11726" s="185"/>
    </row>
    <row r="11727">
      <c r="D11727" s="185"/>
      <c r="E11727" s="185" t="s">
        <v>470</v>
      </c>
      <c r="H11727" s="185"/>
    </row>
    <row r="11728">
      <c r="D11728" s="185"/>
      <c r="E11728" s="185" t="s">
        <v>470</v>
      </c>
      <c r="H11728" s="185"/>
    </row>
    <row r="11729">
      <c r="D11729" s="185"/>
      <c r="E11729" s="185" t="s">
        <v>470</v>
      </c>
      <c r="H11729" s="185"/>
    </row>
    <row r="11730">
      <c r="D11730" s="185"/>
      <c r="E11730" s="185" t="s">
        <v>470</v>
      </c>
      <c r="H11730" s="185"/>
    </row>
    <row r="11731">
      <c r="D11731" s="185"/>
      <c r="E11731" s="185" t="s">
        <v>470</v>
      </c>
      <c r="H11731" s="185"/>
    </row>
    <row r="11732">
      <c r="D11732" s="185"/>
      <c r="E11732" s="185" t="s">
        <v>470</v>
      </c>
      <c r="H11732" s="185"/>
    </row>
    <row r="11733">
      <c r="D11733" s="185"/>
      <c r="E11733" s="185" t="s">
        <v>470</v>
      </c>
      <c r="H11733" s="185"/>
    </row>
    <row r="11734">
      <c r="D11734" s="185"/>
      <c r="E11734" s="185" t="s">
        <v>470</v>
      </c>
      <c r="H11734" s="185"/>
    </row>
    <row r="11735">
      <c r="D11735" s="185"/>
      <c r="E11735" s="185" t="s">
        <v>470</v>
      </c>
      <c r="H11735" s="185"/>
    </row>
    <row r="11736">
      <c r="D11736" s="185"/>
      <c r="E11736" s="185" t="s">
        <v>470</v>
      </c>
      <c r="H11736" s="185"/>
    </row>
    <row r="11737">
      <c r="D11737" s="185"/>
      <c r="E11737" s="185" t="s">
        <v>470</v>
      </c>
      <c r="H11737" s="185"/>
    </row>
    <row r="11738">
      <c r="D11738" s="185"/>
      <c r="E11738" s="185" t="s">
        <v>470</v>
      </c>
      <c r="H11738" s="185"/>
    </row>
    <row r="11739">
      <c r="D11739" s="185"/>
      <c r="E11739" s="185" t="s">
        <v>470</v>
      </c>
      <c r="H11739" s="185"/>
    </row>
    <row r="11740">
      <c r="D11740" s="185"/>
      <c r="E11740" s="185" t="s">
        <v>470</v>
      </c>
      <c r="H11740" s="185"/>
    </row>
    <row r="11741">
      <c r="D11741" s="185"/>
      <c r="E11741" s="185" t="s">
        <v>470</v>
      </c>
      <c r="H11741" s="185"/>
    </row>
    <row r="11742">
      <c r="D11742" s="185"/>
      <c r="E11742" s="185" t="s">
        <v>470</v>
      </c>
      <c r="H11742" s="185"/>
    </row>
    <row r="11743">
      <c r="D11743" s="185"/>
      <c r="E11743" s="185" t="s">
        <v>470</v>
      </c>
      <c r="H11743" s="185"/>
    </row>
    <row r="11744">
      <c r="D11744" s="185"/>
      <c r="E11744" s="185" t="s">
        <v>470</v>
      </c>
      <c r="H11744" s="185"/>
    </row>
    <row r="11745">
      <c r="D11745" s="185"/>
      <c r="E11745" s="185" t="s">
        <v>470</v>
      </c>
      <c r="H11745" s="185"/>
    </row>
    <row r="11746">
      <c r="D11746" s="185"/>
      <c r="E11746" s="185" t="s">
        <v>470</v>
      </c>
      <c r="H11746" s="185"/>
    </row>
    <row r="11747">
      <c r="D11747" s="185"/>
      <c r="E11747" s="185" t="s">
        <v>470</v>
      </c>
      <c r="H11747" s="185"/>
    </row>
    <row r="11748">
      <c r="D11748" s="185"/>
      <c r="E11748" s="185" t="s">
        <v>470</v>
      </c>
      <c r="H11748" s="185"/>
    </row>
    <row r="11749">
      <c r="D11749" s="185"/>
      <c r="E11749" s="185" t="s">
        <v>470</v>
      </c>
      <c r="H11749" s="185"/>
    </row>
    <row r="11750">
      <c r="D11750" s="185"/>
      <c r="E11750" s="185" t="s">
        <v>470</v>
      </c>
      <c r="H11750" s="185"/>
    </row>
    <row r="11751">
      <c r="D11751" s="185"/>
      <c r="E11751" s="185" t="s">
        <v>470</v>
      </c>
      <c r="H11751" s="185"/>
    </row>
    <row r="11752">
      <c r="D11752" s="185"/>
      <c r="E11752" s="185" t="s">
        <v>470</v>
      </c>
      <c r="H11752" s="185"/>
    </row>
    <row r="11753">
      <c r="D11753" s="185"/>
      <c r="E11753" s="185" t="s">
        <v>470</v>
      </c>
      <c r="H11753" s="185"/>
    </row>
    <row r="11754">
      <c r="D11754" s="185"/>
      <c r="E11754" s="185" t="s">
        <v>470</v>
      </c>
      <c r="H11754" s="185"/>
    </row>
    <row r="11755">
      <c r="D11755" s="185"/>
      <c r="E11755" s="185" t="s">
        <v>470</v>
      </c>
      <c r="H11755" s="185"/>
    </row>
    <row r="11756">
      <c r="D11756" s="185"/>
      <c r="E11756" s="185" t="s">
        <v>470</v>
      </c>
      <c r="H11756" s="185"/>
    </row>
    <row r="11757">
      <c r="D11757" s="185"/>
      <c r="E11757" s="185" t="s">
        <v>470</v>
      </c>
      <c r="H11757" s="185"/>
    </row>
    <row r="11758">
      <c r="D11758" s="185"/>
      <c r="E11758" s="185" t="s">
        <v>470</v>
      </c>
      <c r="H11758" s="185"/>
    </row>
    <row r="11759">
      <c r="D11759" s="185"/>
      <c r="E11759" s="185" t="s">
        <v>470</v>
      </c>
      <c r="H11759" s="185"/>
    </row>
    <row r="11760">
      <c r="D11760" s="185"/>
      <c r="E11760" s="185" t="s">
        <v>470</v>
      </c>
      <c r="H11760" s="185"/>
    </row>
    <row r="11761">
      <c r="D11761" s="185"/>
      <c r="E11761" s="185" t="s">
        <v>470</v>
      </c>
      <c r="H11761" s="185"/>
    </row>
    <row r="11762">
      <c r="D11762" s="185"/>
      <c r="E11762" s="185" t="s">
        <v>470</v>
      </c>
      <c r="H11762" s="185"/>
    </row>
    <row r="11763">
      <c r="D11763" s="185"/>
      <c r="E11763" s="185" t="s">
        <v>470</v>
      </c>
      <c r="H11763" s="185"/>
    </row>
    <row r="11764">
      <c r="D11764" s="185"/>
      <c r="E11764" s="185" t="s">
        <v>470</v>
      </c>
      <c r="H11764" s="185"/>
    </row>
    <row r="11765">
      <c r="D11765" s="185"/>
      <c r="E11765" s="185" t="s">
        <v>470</v>
      </c>
      <c r="H11765" s="185"/>
    </row>
    <row r="11766">
      <c r="D11766" s="185"/>
      <c r="E11766" s="185" t="s">
        <v>470</v>
      </c>
      <c r="H11766" s="185"/>
    </row>
    <row r="11767">
      <c r="D11767" s="185"/>
      <c r="E11767" s="185" t="s">
        <v>470</v>
      </c>
      <c r="H11767" s="185"/>
    </row>
    <row r="11768">
      <c r="D11768" s="185"/>
      <c r="E11768" s="185" t="s">
        <v>470</v>
      </c>
      <c r="H11768" s="185"/>
    </row>
    <row r="11769">
      <c r="D11769" s="185"/>
      <c r="E11769" s="185" t="s">
        <v>470</v>
      </c>
      <c r="H11769" s="185"/>
    </row>
    <row r="11770">
      <c r="D11770" s="185"/>
      <c r="E11770" s="185" t="s">
        <v>470</v>
      </c>
      <c r="H11770" s="185"/>
    </row>
    <row r="11771">
      <c r="D11771" s="185"/>
      <c r="E11771" s="185" t="s">
        <v>470</v>
      </c>
      <c r="H11771" s="185"/>
    </row>
    <row r="11772">
      <c r="D11772" s="185"/>
      <c r="E11772" s="185" t="s">
        <v>470</v>
      </c>
      <c r="H11772" s="185"/>
    </row>
    <row r="11773">
      <c r="D11773" s="185"/>
      <c r="E11773" s="185" t="s">
        <v>470</v>
      </c>
      <c r="H11773" s="185"/>
    </row>
    <row r="11774">
      <c r="D11774" s="185"/>
      <c r="E11774" s="185" t="s">
        <v>470</v>
      </c>
      <c r="H11774" s="185"/>
    </row>
    <row r="11775">
      <c r="D11775" s="185"/>
      <c r="E11775" s="185" t="s">
        <v>470</v>
      </c>
      <c r="H11775" s="185"/>
    </row>
    <row r="11776">
      <c r="D11776" s="185"/>
      <c r="E11776" s="185" t="s">
        <v>470</v>
      </c>
      <c r="H11776" s="185"/>
    </row>
    <row r="11777">
      <c r="D11777" s="185"/>
      <c r="E11777" s="185" t="s">
        <v>470</v>
      </c>
      <c r="H11777" s="185"/>
    </row>
    <row r="11778">
      <c r="D11778" s="185"/>
      <c r="E11778" s="185" t="s">
        <v>470</v>
      </c>
      <c r="H11778" s="185"/>
    </row>
    <row r="11779">
      <c r="D11779" s="185"/>
      <c r="E11779" s="185" t="s">
        <v>470</v>
      </c>
      <c r="H11779" s="185"/>
    </row>
    <row r="11780">
      <c r="D11780" s="185"/>
      <c r="E11780" s="185" t="s">
        <v>470</v>
      </c>
      <c r="H11780" s="185"/>
    </row>
    <row r="11781">
      <c r="D11781" s="185"/>
      <c r="E11781" s="185" t="s">
        <v>470</v>
      </c>
      <c r="H11781" s="185"/>
    </row>
    <row r="11782">
      <c r="D11782" s="185"/>
      <c r="E11782" s="185" t="s">
        <v>470</v>
      </c>
      <c r="H11782" s="185"/>
    </row>
    <row r="11783">
      <c r="D11783" s="185"/>
      <c r="E11783" s="185" t="s">
        <v>470</v>
      </c>
      <c r="H11783" s="185"/>
    </row>
    <row r="11784">
      <c r="D11784" s="185"/>
      <c r="E11784" s="185" t="s">
        <v>470</v>
      </c>
      <c r="H11784" s="185"/>
    </row>
    <row r="11785">
      <c r="D11785" s="185"/>
      <c r="E11785" s="185" t="s">
        <v>470</v>
      </c>
      <c r="H11785" s="185"/>
    </row>
    <row r="11786">
      <c r="D11786" s="185"/>
      <c r="E11786" s="185" t="s">
        <v>470</v>
      </c>
      <c r="H11786" s="185"/>
    </row>
    <row r="11787">
      <c r="D11787" s="185"/>
      <c r="E11787" s="185" t="s">
        <v>470</v>
      </c>
      <c r="H11787" s="185"/>
    </row>
    <row r="11788">
      <c r="D11788" s="185"/>
      <c r="E11788" s="185" t="s">
        <v>470</v>
      </c>
      <c r="H11788" s="185"/>
    </row>
    <row r="11789">
      <c r="D11789" s="185"/>
      <c r="E11789" s="185" t="s">
        <v>470</v>
      </c>
      <c r="H11789" s="185"/>
    </row>
    <row r="11790">
      <c r="D11790" s="185"/>
      <c r="E11790" s="185" t="s">
        <v>470</v>
      </c>
      <c r="H11790" s="185"/>
    </row>
    <row r="11791">
      <c r="D11791" s="185"/>
      <c r="E11791" s="185" t="s">
        <v>470</v>
      </c>
      <c r="H11791" s="185"/>
    </row>
    <row r="11792">
      <c r="D11792" s="185"/>
      <c r="E11792" s="185" t="s">
        <v>470</v>
      </c>
      <c r="H11792" s="185"/>
    </row>
    <row r="11793">
      <c r="D11793" s="185"/>
      <c r="E11793" s="185" t="s">
        <v>470</v>
      </c>
      <c r="H11793" s="185"/>
    </row>
    <row r="11794">
      <c r="D11794" s="185"/>
      <c r="E11794" s="185" t="s">
        <v>470</v>
      </c>
      <c r="H11794" s="185"/>
    </row>
    <row r="11795">
      <c r="D11795" s="185"/>
      <c r="E11795" s="185" t="s">
        <v>470</v>
      </c>
      <c r="H11795" s="185"/>
    </row>
    <row r="11796">
      <c r="D11796" s="185"/>
      <c r="E11796" s="185" t="s">
        <v>470</v>
      </c>
      <c r="H11796" s="185"/>
    </row>
    <row r="11797">
      <c r="D11797" s="185"/>
      <c r="E11797" s="185" t="s">
        <v>470</v>
      </c>
      <c r="H11797" s="185"/>
    </row>
    <row r="11798">
      <c r="D11798" s="185"/>
      <c r="E11798" s="185" t="s">
        <v>470</v>
      </c>
      <c r="H11798" s="185"/>
    </row>
    <row r="11799">
      <c r="D11799" s="185"/>
      <c r="E11799" s="185" t="s">
        <v>470</v>
      </c>
      <c r="H11799" s="185"/>
    </row>
    <row r="11800">
      <c r="D11800" s="185"/>
      <c r="E11800" s="185" t="s">
        <v>470</v>
      </c>
      <c r="H11800" s="185"/>
    </row>
    <row r="11801">
      <c r="D11801" s="185"/>
      <c r="E11801" s="185" t="s">
        <v>470</v>
      </c>
      <c r="H11801" s="185"/>
    </row>
    <row r="11802">
      <c r="D11802" s="185"/>
      <c r="E11802" s="185" t="s">
        <v>470</v>
      </c>
      <c r="H11802" s="185"/>
    </row>
    <row r="11803">
      <c r="D11803" s="185"/>
      <c r="E11803" s="185" t="s">
        <v>470</v>
      </c>
      <c r="H11803" s="185"/>
    </row>
    <row r="11804">
      <c r="D11804" s="185"/>
      <c r="E11804" s="185" t="s">
        <v>470</v>
      </c>
      <c r="H11804" s="185"/>
    </row>
    <row r="11805">
      <c r="D11805" s="185"/>
      <c r="E11805" s="185" t="s">
        <v>470</v>
      </c>
      <c r="H11805" s="185"/>
    </row>
    <row r="11806">
      <c r="D11806" s="185"/>
      <c r="E11806" s="185" t="s">
        <v>470</v>
      </c>
      <c r="H11806" s="185"/>
    </row>
    <row r="11807">
      <c r="D11807" s="185"/>
      <c r="E11807" s="185" t="s">
        <v>470</v>
      </c>
      <c r="H11807" s="185"/>
    </row>
    <row r="11808">
      <c r="D11808" s="185"/>
      <c r="E11808" s="185" t="s">
        <v>470</v>
      </c>
      <c r="H11808" s="185"/>
    </row>
    <row r="11809">
      <c r="D11809" s="185"/>
      <c r="E11809" s="185" t="s">
        <v>470</v>
      </c>
      <c r="H11809" s="185"/>
    </row>
    <row r="11810">
      <c r="D11810" s="185"/>
      <c r="E11810" s="185" t="s">
        <v>470</v>
      </c>
      <c r="H11810" s="185"/>
    </row>
    <row r="11811">
      <c r="D11811" s="185"/>
      <c r="E11811" s="185" t="s">
        <v>470</v>
      </c>
      <c r="H11811" s="185"/>
    </row>
    <row r="11812">
      <c r="D11812" s="185"/>
      <c r="E11812" s="185" t="s">
        <v>470</v>
      </c>
      <c r="H11812" s="185"/>
    </row>
    <row r="11813">
      <c r="D11813" s="185"/>
      <c r="E11813" s="185" t="s">
        <v>470</v>
      </c>
      <c r="H11813" s="185"/>
    </row>
    <row r="11814">
      <c r="D11814" s="185"/>
      <c r="E11814" s="185" t="s">
        <v>470</v>
      </c>
      <c r="H11814" s="185"/>
    </row>
    <row r="11815">
      <c r="D11815" s="185"/>
      <c r="E11815" s="185" t="s">
        <v>470</v>
      </c>
      <c r="H11815" s="185"/>
    </row>
    <row r="11816">
      <c r="D11816" s="185"/>
      <c r="E11816" s="185" t="s">
        <v>470</v>
      </c>
      <c r="H11816" s="185"/>
    </row>
    <row r="11817">
      <c r="D11817" s="185"/>
      <c r="E11817" s="185" t="s">
        <v>470</v>
      </c>
      <c r="H11817" s="185"/>
    </row>
    <row r="11818">
      <c r="D11818" s="185"/>
      <c r="E11818" s="185" t="s">
        <v>470</v>
      </c>
      <c r="H11818" s="185"/>
    </row>
    <row r="11819">
      <c r="D11819" s="185"/>
      <c r="E11819" s="185" t="s">
        <v>470</v>
      </c>
      <c r="H11819" s="185"/>
    </row>
    <row r="11820">
      <c r="D11820" s="185"/>
      <c r="E11820" s="185" t="s">
        <v>470</v>
      </c>
      <c r="H11820" s="185"/>
    </row>
    <row r="11821">
      <c r="D11821" s="185"/>
      <c r="E11821" s="185" t="s">
        <v>470</v>
      </c>
      <c r="H11821" s="185"/>
    </row>
    <row r="11822">
      <c r="D11822" s="185"/>
      <c r="E11822" s="185" t="s">
        <v>470</v>
      </c>
      <c r="H11822" s="185"/>
    </row>
    <row r="11823">
      <c r="D11823" s="185"/>
      <c r="E11823" s="185" t="s">
        <v>470</v>
      </c>
      <c r="H11823" s="185"/>
    </row>
    <row r="11824">
      <c r="D11824" s="185"/>
      <c r="E11824" s="185" t="s">
        <v>470</v>
      </c>
      <c r="H11824" s="185"/>
    </row>
    <row r="11825">
      <c r="D11825" s="185"/>
      <c r="E11825" s="185" t="s">
        <v>470</v>
      </c>
      <c r="H11825" s="185"/>
    </row>
    <row r="11826">
      <c r="D11826" s="185"/>
      <c r="E11826" s="185" t="s">
        <v>470</v>
      </c>
      <c r="H11826" s="185"/>
    </row>
    <row r="11827">
      <c r="D11827" s="185"/>
      <c r="E11827" s="185" t="s">
        <v>470</v>
      </c>
      <c r="H11827" s="185"/>
    </row>
    <row r="11828">
      <c r="D11828" s="185"/>
      <c r="E11828" s="185" t="s">
        <v>470</v>
      </c>
      <c r="H11828" s="185"/>
    </row>
    <row r="11829">
      <c r="D11829" s="185"/>
      <c r="E11829" s="185" t="s">
        <v>470</v>
      </c>
      <c r="H11829" s="185"/>
    </row>
    <row r="11830">
      <c r="D11830" s="185"/>
      <c r="E11830" s="185" t="s">
        <v>470</v>
      </c>
      <c r="H11830" s="185"/>
    </row>
    <row r="11831">
      <c r="D11831" s="185"/>
      <c r="E11831" s="185" t="s">
        <v>470</v>
      </c>
      <c r="H11831" s="185"/>
    </row>
    <row r="11832">
      <c r="D11832" s="185"/>
      <c r="E11832" s="185" t="s">
        <v>470</v>
      </c>
      <c r="H11832" s="185"/>
    </row>
    <row r="11833">
      <c r="D11833" s="185"/>
      <c r="E11833" s="185" t="s">
        <v>470</v>
      </c>
      <c r="H11833" s="185"/>
    </row>
    <row r="11834">
      <c r="D11834" s="185"/>
      <c r="E11834" s="185" t="s">
        <v>470</v>
      </c>
      <c r="H11834" s="185"/>
    </row>
    <row r="11835">
      <c r="D11835" s="185"/>
      <c r="E11835" s="185" t="s">
        <v>470</v>
      </c>
      <c r="H11835" s="185"/>
    </row>
    <row r="11836">
      <c r="D11836" s="185"/>
      <c r="E11836" s="185" t="s">
        <v>470</v>
      </c>
      <c r="H11836" s="185"/>
    </row>
    <row r="11837">
      <c r="D11837" s="185"/>
      <c r="E11837" s="185" t="s">
        <v>470</v>
      </c>
      <c r="H11837" s="185"/>
    </row>
    <row r="11838">
      <c r="D11838" s="185"/>
      <c r="E11838" s="185" t="s">
        <v>470</v>
      </c>
      <c r="H11838" s="185"/>
    </row>
    <row r="11839">
      <c r="D11839" s="185"/>
      <c r="E11839" s="185" t="s">
        <v>470</v>
      </c>
      <c r="H11839" s="185"/>
    </row>
    <row r="11840">
      <c r="D11840" s="185"/>
      <c r="E11840" s="185" t="s">
        <v>470</v>
      </c>
      <c r="H11840" s="185"/>
    </row>
    <row r="11841">
      <c r="D11841" s="185"/>
      <c r="E11841" s="185" t="s">
        <v>470</v>
      </c>
      <c r="H11841" s="185"/>
    </row>
    <row r="11842">
      <c r="D11842" s="185"/>
      <c r="E11842" s="185" t="s">
        <v>470</v>
      </c>
      <c r="H11842" s="185"/>
    </row>
    <row r="11843">
      <c r="D11843" s="185"/>
      <c r="E11843" s="185" t="s">
        <v>470</v>
      </c>
      <c r="H11843" s="185"/>
    </row>
    <row r="11844">
      <c r="D11844" s="185"/>
      <c r="E11844" s="185" t="s">
        <v>470</v>
      </c>
      <c r="H11844" s="185"/>
    </row>
    <row r="11845">
      <c r="D11845" s="185"/>
      <c r="E11845" s="185" t="s">
        <v>470</v>
      </c>
      <c r="H11845" s="185"/>
    </row>
    <row r="11846">
      <c r="D11846" s="185"/>
      <c r="E11846" s="185" t="s">
        <v>470</v>
      </c>
      <c r="H11846" s="185"/>
    </row>
    <row r="11847">
      <c r="D11847" s="185"/>
      <c r="E11847" s="185" t="s">
        <v>470</v>
      </c>
      <c r="H11847" s="185"/>
    </row>
    <row r="11848">
      <c r="D11848" s="185"/>
      <c r="E11848" s="185" t="s">
        <v>470</v>
      </c>
      <c r="H11848" s="185"/>
    </row>
    <row r="11849">
      <c r="D11849" s="185"/>
      <c r="E11849" s="185" t="s">
        <v>470</v>
      </c>
      <c r="H11849" s="185"/>
    </row>
    <row r="11850">
      <c r="D11850" s="185"/>
      <c r="E11850" s="185" t="s">
        <v>470</v>
      </c>
      <c r="H11850" s="185"/>
    </row>
    <row r="11851">
      <c r="D11851" s="185"/>
      <c r="E11851" s="185" t="s">
        <v>470</v>
      </c>
      <c r="H11851" s="185"/>
    </row>
    <row r="11852">
      <c r="D11852" s="185"/>
      <c r="E11852" s="185" t="s">
        <v>470</v>
      </c>
      <c r="H11852" s="185"/>
    </row>
    <row r="11853">
      <c r="D11853" s="185"/>
      <c r="E11853" s="185" t="s">
        <v>470</v>
      </c>
      <c r="H11853" s="185"/>
    </row>
    <row r="11854">
      <c r="D11854" s="185"/>
      <c r="E11854" s="185" t="s">
        <v>470</v>
      </c>
      <c r="H11854" s="185"/>
    </row>
    <row r="11855">
      <c r="D11855" s="185"/>
      <c r="E11855" s="185" t="s">
        <v>470</v>
      </c>
      <c r="H11855" s="185"/>
    </row>
    <row r="11856">
      <c r="D11856" s="185"/>
      <c r="E11856" s="185" t="s">
        <v>470</v>
      </c>
      <c r="H11856" s="185"/>
    </row>
    <row r="11857">
      <c r="D11857" s="185"/>
      <c r="E11857" s="185" t="s">
        <v>470</v>
      </c>
      <c r="H11857" s="185"/>
    </row>
    <row r="11858">
      <c r="D11858" s="185"/>
      <c r="E11858" s="185" t="s">
        <v>470</v>
      </c>
      <c r="H11858" s="185"/>
    </row>
    <row r="11859">
      <c r="D11859" s="185"/>
      <c r="E11859" s="185" t="s">
        <v>470</v>
      </c>
      <c r="H11859" s="185"/>
    </row>
    <row r="11860">
      <c r="D11860" s="185"/>
      <c r="E11860" s="185" t="s">
        <v>470</v>
      </c>
      <c r="H11860" s="185"/>
    </row>
    <row r="11861">
      <c r="D11861" s="185"/>
      <c r="E11861" s="185" t="s">
        <v>470</v>
      </c>
      <c r="H11861" s="185"/>
    </row>
    <row r="11862">
      <c r="D11862" s="185"/>
      <c r="E11862" s="185" t="s">
        <v>470</v>
      </c>
      <c r="H11862" s="185"/>
    </row>
    <row r="11863">
      <c r="D11863" s="185"/>
      <c r="E11863" s="185" t="s">
        <v>470</v>
      </c>
      <c r="H11863" s="185"/>
    </row>
    <row r="11864">
      <c r="D11864" s="185"/>
      <c r="E11864" s="185" t="s">
        <v>470</v>
      </c>
      <c r="H11864" s="185"/>
    </row>
    <row r="11865">
      <c r="D11865" s="185"/>
      <c r="E11865" s="185" t="s">
        <v>470</v>
      </c>
      <c r="H11865" s="185"/>
    </row>
    <row r="11866">
      <c r="D11866" s="185"/>
      <c r="E11866" s="185" t="s">
        <v>470</v>
      </c>
      <c r="H11866" s="185"/>
    </row>
    <row r="11867">
      <c r="D11867" s="185"/>
      <c r="E11867" s="185" t="s">
        <v>470</v>
      </c>
      <c r="H11867" s="185"/>
    </row>
    <row r="11868">
      <c r="D11868" s="185"/>
      <c r="E11868" s="185" t="s">
        <v>470</v>
      </c>
      <c r="H11868" s="185"/>
    </row>
    <row r="11869">
      <c r="D11869" s="185"/>
      <c r="E11869" s="185" t="s">
        <v>470</v>
      </c>
      <c r="H11869" s="185"/>
    </row>
    <row r="11870">
      <c r="D11870" s="185"/>
      <c r="E11870" s="185" t="s">
        <v>470</v>
      </c>
      <c r="H11870" s="185"/>
    </row>
    <row r="11871">
      <c r="D11871" s="185"/>
      <c r="E11871" s="185" t="s">
        <v>470</v>
      </c>
      <c r="H11871" s="185"/>
    </row>
    <row r="11872">
      <c r="D11872" s="185"/>
      <c r="E11872" s="185" t="s">
        <v>470</v>
      </c>
      <c r="H11872" s="185"/>
    </row>
    <row r="11873">
      <c r="D11873" s="185"/>
      <c r="E11873" s="185" t="s">
        <v>470</v>
      </c>
      <c r="H11873" s="185"/>
    </row>
    <row r="11874">
      <c r="D11874" s="185"/>
      <c r="E11874" s="185" t="s">
        <v>470</v>
      </c>
      <c r="H11874" s="185"/>
    </row>
    <row r="11875">
      <c r="D11875" s="185"/>
      <c r="E11875" s="185" t="s">
        <v>470</v>
      </c>
      <c r="H11875" s="185"/>
    </row>
    <row r="11876">
      <c r="D11876" s="185"/>
      <c r="E11876" s="185" t="s">
        <v>470</v>
      </c>
      <c r="H11876" s="185"/>
    </row>
    <row r="11877">
      <c r="D11877" s="185"/>
      <c r="E11877" s="185" t="s">
        <v>470</v>
      </c>
      <c r="H11877" s="185"/>
    </row>
    <row r="11878">
      <c r="D11878" s="185"/>
      <c r="E11878" s="185" t="s">
        <v>470</v>
      </c>
      <c r="H11878" s="185"/>
    </row>
    <row r="11879">
      <c r="D11879" s="185"/>
      <c r="E11879" s="185" t="s">
        <v>470</v>
      </c>
      <c r="H11879" s="185"/>
    </row>
    <row r="11880">
      <c r="D11880" s="185"/>
      <c r="E11880" s="185" t="s">
        <v>470</v>
      </c>
      <c r="H11880" s="185"/>
    </row>
    <row r="11881">
      <c r="D11881" s="185"/>
      <c r="E11881" s="185" t="s">
        <v>470</v>
      </c>
      <c r="H11881" s="185"/>
    </row>
    <row r="11882">
      <c r="D11882" s="185"/>
      <c r="E11882" s="185" t="s">
        <v>470</v>
      </c>
      <c r="H11882" s="185"/>
    </row>
    <row r="11883">
      <c r="D11883" s="185"/>
      <c r="E11883" s="185" t="s">
        <v>470</v>
      </c>
      <c r="H11883" s="185"/>
    </row>
    <row r="11884">
      <c r="D11884" s="185"/>
      <c r="E11884" s="185" t="s">
        <v>470</v>
      </c>
      <c r="H11884" s="185"/>
    </row>
    <row r="11885">
      <c r="D11885" s="185"/>
      <c r="E11885" s="185" t="s">
        <v>470</v>
      </c>
      <c r="H11885" s="185"/>
    </row>
    <row r="11886">
      <c r="D11886" s="185"/>
      <c r="E11886" s="185" t="s">
        <v>470</v>
      </c>
      <c r="H11886" s="185"/>
    </row>
    <row r="11887">
      <c r="D11887" s="185"/>
      <c r="E11887" s="185" t="s">
        <v>470</v>
      </c>
      <c r="H11887" s="185"/>
    </row>
    <row r="11888">
      <c r="D11888" s="185"/>
      <c r="E11888" s="185" t="s">
        <v>470</v>
      </c>
      <c r="H11888" s="185"/>
    </row>
    <row r="11889">
      <c r="D11889" s="185"/>
      <c r="E11889" s="185" t="s">
        <v>470</v>
      </c>
      <c r="H11889" s="185"/>
    </row>
    <row r="11890">
      <c r="D11890" s="185"/>
      <c r="E11890" s="185" t="s">
        <v>470</v>
      </c>
      <c r="H11890" s="185"/>
    </row>
    <row r="11891">
      <c r="D11891" s="185"/>
      <c r="E11891" s="185" t="s">
        <v>470</v>
      </c>
      <c r="H11891" s="185"/>
    </row>
    <row r="11892">
      <c r="D11892" s="185"/>
      <c r="E11892" s="185" t="s">
        <v>470</v>
      </c>
      <c r="H11892" s="185"/>
    </row>
    <row r="11893">
      <c r="D11893" s="185"/>
      <c r="E11893" s="185" t="s">
        <v>470</v>
      </c>
      <c r="H11893" s="185"/>
    </row>
    <row r="11894">
      <c r="D11894" s="185"/>
      <c r="E11894" s="185" t="s">
        <v>470</v>
      </c>
      <c r="H11894" s="185"/>
    </row>
    <row r="11895">
      <c r="D11895" s="185"/>
      <c r="E11895" s="185" t="s">
        <v>470</v>
      </c>
      <c r="H11895" s="185"/>
    </row>
    <row r="11896">
      <c r="D11896" s="185"/>
      <c r="E11896" s="185" t="s">
        <v>470</v>
      </c>
      <c r="H11896" s="185"/>
    </row>
    <row r="11897">
      <c r="D11897" s="185"/>
      <c r="E11897" s="185" t="s">
        <v>470</v>
      </c>
      <c r="H11897" s="185"/>
    </row>
    <row r="11898">
      <c r="D11898" s="185"/>
      <c r="E11898" s="185" t="s">
        <v>470</v>
      </c>
      <c r="H11898" s="185"/>
    </row>
    <row r="11899">
      <c r="D11899" s="185"/>
      <c r="E11899" s="185" t="s">
        <v>470</v>
      </c>
      <c r="H11899" s="185"/>
    </row>
    <row r="11900">
      <c r="D11900" s="185"/>
      <c r="E11900" s="185" t="s">
        <v>470</v>
      </c>
      <c r="H11900" s="185"/>
    </row>
    <row r="11901">
      <c r="D11901" s="185"/>
      <c r="E11901" s="185" t="s">
        <v>470</v>
      </c>
      <c r="H11901" s="185"/>
    </row>
    <row r="11902">
      <c r="D11902" s="185"/>
      <c r="E11902" s="185" t="s">
        <v>470</v>
      </c>
      <c r="H11902" s="185"/>
    </row>
    <row r="11903">
      <c r="D11903" s="185"/>
      <c r="E11903" s="185" t="s">
        <v>470</v>
      </c>
      <c r="H11903" s="185"/>
    </row>
    <row r="11904">
      <c r="D11904" s="185"/>
      <c r="E11904" s="185" t="s">
        <v>470</v>
      </c>
      <c r="H11904" s="185"/>
    </row>
    <row r="11905">
      <c r="D11905" s="185"/>
      <c r="E11905" s="185" t="s">
        <v>470</v>
      </c>
      <c r="H11905" s="185"/>
    </row>
    <row r="11906">
      <c r="D11906" s="185"/>
      <c r="E11906" s="185" t="s">
        <v>470</v>
      </c>
      <c r="H11906" s="185"/>
    </row>
    <row r="11907">
      <c r="D11907" s="185"/>
      <c r="E11907" s="185" t="s">
        <v>470</v>
      </c>
      <c r="H11907" s="185"/>
    </row>
    <row r="11908">
      <c r="D11908" s="185"/>
      <c r="E11908" s="185" t="s">
        <v>470</v>
      </c>
      <c r="H11908" s="185"/>
    </row>
    <row r="11909">
      <c r="D11909" s="185"/>
      <c r="E11909" s="185" t="s">
        <v>470</v>
      </c>
      <c r="H11909" s="185"/>
    </row>
    <row r="11910">
      <c r="D11910" s="185"/>
      <c r="E11910" s="185" t="s">
        <v>470</v>
      </c>
      <c r="H11910" s="185"/>
    </row>
    <row r="11911">
      <c r="D11911" s="185"/>
      <c r="E11911" s="185" t="s">
        <v>470</v>
      </c>
      <c r="H11911" s="185"/>
    </row>
    <row r="11912">
      <c r="D11912" s="185"/>
      <c r="E11912" s="185" t="s">
        <v>470</v>
      </c>
      <c r="H11912" s="185"/>
    </row>
    <row r="11913">
      <c r="D11913" s="185"/>
      <c r="E11913" s="185" t="s">
        <v>470</v>
      </c>
      <c r="H11913" s="185"/>
    </row>
    <row r="11914">
      <c r="D11914" s="185"/>
      <c r="E11914" s="185" t="s">
        <v>470</v>
      </c>
      <c r="H11914" s="185"/>
    </row>
    <row r="11915">
      <c r="D11915" s="185"/>
      <c r="E11915" s="185" t="s">
        <v>470</v>
      </c>
      <c r="H11915" s="185"/>
    </row>
    <row r="11916">
      <c r="D11916" s="185"/>
      <c r="E11916" s="185" t="s">
        <v>470</v>
      </c>
      <c r="H11916" s="185"/>
    </row>
    <row r="11917">
      <c r="D11917" s="185"/>
      <c r="E11917" s="185" t="s">
        <v>470</v>
      </c>
      <c r="H11917" s="185"/>
    </row>
    <row r="11918">
      <c r="D11918" s="185"/>
      <c r="E11918" s="185" t="s">
        <v>470</v>
      </c>
      <c r="H11918" s="185"/>
    </row>
    <row r="11919">
      <c r="D11919" s="185"/>
      <c r="E11919" s="185" t="s">
        <v>470</v>
      </c>
      <c r="H11919" s="185"/>
    </row>
    <row r="11920">
      <c r="D11920" s="185"/>
      <c r="E11920" s="185" t="s">
        <v>470</v>
      </c>
      <c r="H11920" s="185"/>
    </row>
    <row r="11921">
      <c r="D11921" s="185"/>
      <c r="E11921" s="185" t="s">
        <v>470</v>
      </c>
      <c r="H11921" s="185"/>
    </row>
    <row r="11922">
      <c r="D11922" s="185"/>
      <c r="E11922" s="185" t="s">
        <v>470</v>
      </c>
      <c r="H11922" s="185"/>
    </row>
    <row r="11923">
      <c r="D11923" s="185"/>
      <c r="E11923" s="185" t="s">
        <v>470</v>
      </c>
      <c r="H11923" s="185"/>
    </row>
    <row r="11924">
      <c r="D11924" s="185"/>
      <c r="E11924" s="185" t="s">
        <v>470</v>
      </c>
      <c r="H11924" s="185"/>
    </row>
    <row r="11925">
      <c r="D11925" s="185"/>
      <c r="E11925" s="185" t="s">
        <v>470</v>
      </c>
      <c r="H11925" s="185"/>
    </row>
    <row r="11926">
      <c r="D11926" s="185"/>
      <c r="E11926" s="185" t="s">
        <v>470</v>
      </c>
      <c r="H11926" s="185"/>
    </row>
    <row r="11927">
      <c r="D11927" s="185"/>
      <c r="E11927" s="185" t="s">
        <v>470</v>
      </c>
      <c r="H11927" s="185"/>
    </row>
    <row r="11928">
      <c r="D11928" s="185"/>
      <c r="E11928" s="185" t="s">
        <v>470</v>
      </c>
      <c r="H11928" s="185"/>
    </row>
    <row r="11929">
      <c r="D11929" s="185"/>
      <c r="E11929" s="185" t="s">
        <v>470</v>
      </c>
      <c r="H11929" s="185"/>
    </row>
    <row r="11930">
      <c r="D11930" s="185"/>
      <c r="E11930" s="185" t="s">
        <v>470</v>
      </c>
      <c r="H11930" s="185"/>
    </row>
    <row r="11931">
      <c r="D11931" s="185"/>
      <c r="E11931" s="185" t="s">
        <v>470</v>
      </c>
      <c r="H11931" s="185"/>
    </row>
    <row r="11932">
      <c r="D11932" s="185"/>
      <c r="E11932" s="185" t="s">
        <v>470</v>
      </c>
      <c r="H11932" s="185"/>
    </row>
    <row r="11933">
      <c r="D11933" s="185"/>
      <c r="E11933" s="185" t="s">
        <v>470</v>
      </c>
      <c r="H11933" s="185"/>
    </row>
    <row r="11934">
      <c r="D11934" s="185"/>
      <c r="E11934" s="185" t="s">
        <v>470</v>
      </c>
      <c r="H11934" s="185"/>
    </row>
    <row r="11935">
      <c r="D11935" s="185"/>
      <c r="E11935" s="185" t="s">
        <v>470</v>
      </c>
      <c r="H11935" s="185"/>
    </row>
    <row r="11936">
      <c r="D11936" s="185"/>
      <c r="E11936" s="185" t="s">
        <v>470</v>
      </c>
      <c r="H11936" s="185"/>
    </row>
    <row r="11937">
      <c r="D11937" s="185"/>
      <c r="E11937" s="185" t="s">
        <v>470</v>
      </c>
      <c r="H11937" s="185"/>
    </row>
    <row r="11938">
      <c r="D11938" s="185"/>
      <c r="E11938" s="185" t="s">
        <v>470</v>
      </c>
      <c r="H11938" s="185"/>
    </row>
    <row r="11939">
      <c r="D11939" s="185"/>
      <c r="E11939" s="185" t="s">
        <v>470</v>
      </c>
      <c r="H11939" s="185"/>
    </row>
    <row r="11940">
      <c r="D11940" s="185"/>
      <c r="E11940" s="185" t="s">
        <v>470</v>
      </c>
      <c r="H11940" s="185"/>
    </row>
    <row r="11941">
      <c r="D11941" s="185"/>
      <c r="E11941" s="185" t="s">
        <v>470</v>
      </c>
      <c r="H11941" s="185"/>
    </row>
    <row r="11942">
      <c r="D11942" s="185"/>
      <c r="E11942" s="185" t="s">
        <v>470</v>
      </c>
      <c r="H11942" s="185"/>
    </row>
    <row r="11943">
      <c r="D11943" s="185"/>
      <c r="E11943" s="185" t="s">
        <v>470</v>
      </c>
      <c r="H11943" s="185"/>
    </row>
    <row r="11944">
      <c r="D11944" s="185"/>
      <c r="E11944" s="185" t="s">
        <v>470</v>
      </c>
      <c r="H11944" s="185"/>
    </row>
    <row r="11945">
      <c r="D11945" s="185"/>
      <c r="E11945" s="185" t="s">
        <v>470</v>
      </c>
      <c r="H11945" s="185"/>
    </row>
    <row r="11946">
      <c r="D11946" s="185"/>
      <c r="E11946" s="185" t="s">
        <v>470</v>
      </c>
      <c r="H11946" s="185"/>
    </row>
    <row r="11947">
      <c r="D11947" s="185"/>
      <c r="E11947" s="185" t="s">
        <v>470</v>
      </c>
      <c r="H11947" s="185"/>
    </row>
    <row r="11948">
      <c r="D11948" s="185"/>
      <c r="E11948" s="185" t="s">
        <v>470</v>
      </c>
      <c r="H11948" s="185"/>
    </row>
    <row r="11949">
      <c r="D11949" s="185"/>
      <c r="E11949" s="185" t="s">
        <v>470</v>
      </c>
      <c r="H11949" s="185"/>
    </row>
    <row r="11950">
      <c r="D11950" s="185"/>
      <c r="E11950" s="185" t="s">
        <v>470</v>
      </c>
      <c r="H11950" s="185"/>
    </row>
    <row r="11951">
      <c r="D11951" s="185"/>
      <c r="E11951" s="185" t="s">
        <v>470</v>
      </c>
      <c r="H11951" s="185"/>
    </row>
    <row r="11952">
      <c r="D11952" s="185"/>
      <c r="E11952" s="185" t="s">
        <v>470</v>
      </c>
      <c r="H11952" s="185"/>
    </row>
    <row r="11953">
      <c r="D11953" s="185"/>
      <c r="E11953" s="185" t="s">
        <v>470</v>
      </c>
      <c r="H11953" s="185"/>
    </row>
    <row r="11954">
      <c r="D11954" s="185"/>
      <c r="E11954" s="185" t="s">
        <v>470</v>
      </c>
      <c r="H11954" s="185"/>
    </row>
    <row r="11955">
      <c r="D11955" s="185"/>
      <c r="E11955" s="185" t="s">
        <v>470</v>
      </c>
      <c r="H11955" s="185"/>
    </row>
    <row r="11956">
      <c r="D11956" s="185"/>
      <c r="E11956" s="185" t="s">
        <v>470</v>
      </c>
      <c r="H11956" s="185"/>
    </row>
    <row r="11957">
      <c r="D11957" s="185"/>
      <c r="E11957" s="185" t="s">
        <v>470</v>
      </c>
      <c r="H11957" s="185"/>
    </row>
    <row r="11958">
      <c r="D11958" s="185"/>
      <c r="E11958" s="185" t="s">
        <v>470</v>
      </c>
      <c r="H11958" s="185"/>
    </row>
    <row r="11959">
      <c r="D11959" s="185"/>
      <c r="E11959" s="185" t="s">
        <v>470</v>
      </c>
      <c r="H11959" s="185"/>
    </row>
    <row r="11960">
      <c r="D11960" s="185"/>
      <c r="E11960" s="185" t="s">
        <v>470</v>
      </c>
      <c r="H11960" s="185"/>
    </row>
    <row r="11961">
      <c r="D11961" s="185"/>
      <c r="E11961" s="185" t="s">
        <v>470</v>
      </c>
      <c r="H11961" s="185"/>
    </row>
    <row r="11962">
      <c r="D11962" s="185"/>
      <c r="E11962" s="185" t="s">
        <v>470</v>
      </c>
      <c r="H11962" s="185"/>
    </row>
    <row r="11963">
      <c r="D11963" s="185"/>
      <c r="E11963" s="185" t="s">
        <v>470</v>
      </c>
      <c r="H11963" s="185"/>
    </row>
    <row r="11964">
      <c r="D11964" s="185"/>
      <c r="E11964" s="185" t="s">
        <v>470</v>
      </c>
      <c r="H11964" s="185"/>
    </row>
    <row r="11965">
      <c r="D11965" s="185"/>
      <c r="E11965" s="185" t="s">
        <v>470</v>
      </c>
      <c r="H11965" s="185"/>
    </row>
    <row r="11966">
      <c r="D11966" s="185"/>
      <c r="E11966" s="185" t="s">
        <v>470</v>
      </c>
      <c r="H11966" s="185"/>
    </row>
    <row r="11967">
      <c r="D11967" s="185"/>
      <c r="E11967" s="185" t="s">
        <v>470</v>
      </c>
      <c r="H11967" s="185"/>
    </row>
    <row r="11968">
      <c r="D11968" s="185"/>
      <c r="E11968" s="185" t="s">
        <v>470</v>
      </c>
      <c r="H11968" s="185"/>
    </row>
    <row r="11969">
      <c r="D11969" s="185"/>
      <c r="E11969" s="185" t="s">
        <v>470</v>
      </c>
      <c r="H11969" s="185"/>
    </row>
    <row r="11970">
      <c r="D11970" s="185"/>
      <c r="E11970" s="185" t="s">
        <v>470</v>
      </c>
      <c r="H11970" s="185"/>
    </row>
    <row r="11971">
      <c r="D11971" s="185"/>
      <c r="E11971" s="185" t="s">
        <v>470</v>
      </c>
      <c r="H11971" s="185"/>
    </row>
    <row r="11972">
      <c r="D11972" s="185"/>
      <c r="E11972" s="185" t="s">
        <v>470</v>
      </c>
      <c r="H11972" s="185"/>
    </row>
    <row r="11973">
      <c r="D11973" s="185"/>
      <c r="E11973" s="185" t="s">
        <v>470</v>
      </c>
      <c r="H11973" s="185"/>
    </row>
    <row r="11974">
      <c r="D11974" s="185"/>
      <c r="E11974" s="185" t="s">
        <v>470</v>
      </c>
      <c r="H11974" s="185"/>
    </row>
    <row r="11975">
      <c r="D11975" s="185"/>
      <c r="E11975" s="185" t="s">
        <v>470</v>
      </c>
      <c r="H11975" s="185"/>
    </row>
    <row r="11976">
      <c r="D11976" s="185"/>
      <c r="E11976" s="185" t="s">
        <v>470</v>
      </c>
      <c r="H11976" s="185"/>
    </row>
    <row r="11977">
      <c r="D11977" s="185"/>
      <c r="E11977" s="185" t="s">
        <v>470</v>
      </c>
      <c r="H11977" s="185"/>
    </row>
    <row r="11978">
      <c r="D11978" s="185"/>
      <c r="E11978" s="185" t="s">
        <v>470</v>
      </c>
      <c r="H11978" s="185"/>
    </row>
    <row r="11979">
      <c r="D11979" s="185"/>
      <c r="E11979" s="185" t="s">
        <v>470</v>
      </c>
      <c r="H11979" s="185"/>
    </row>
    <row r="11980">
      <c r="D11980" s="185"/>
      <c r="E11980" s="185" t="s">
        <v>470</v>
      </c>
      <c r="H11980" s="185"/>
    </row>
    <row r="11981">
      <c r="D11981" s="185"/>
      <c r="E11981" s="185" t="s">
        <v>470</v>
      </c>
      <c r="H11981" s="185"/>
    </row>
    <row r="11982">
      <c r="D11982" s="185"/>
      <c r="E11982" s="185" t="s">
        <v>470</v>
      </c>
      <c r="H11982" s="185"/>
    </row>
    <row r="11983">
      <c r="D11983" s="185"/>
      <c r="E11983" s="185" t="s">
        <v>470</v>
      </c>
      <c r="H11983" s="185"/>
    </row>
    <row r="11984">
      <c r="D11984" s="185"/>
      <c r="E11984" s="185" t="s">
        <v>470</v>
      </c>
      <c r="H11984" s="185"/>
    </row>
    <row r="11985">
      <c r="D11985" s="185"/>
      <c r="E11985" s="185" t="s">
        <v>470</v>
      </c>
      <c r="H11985" s="185"/>
    </row>
    <row r="11986">
      <c r="D11986" s="185"/>
      <c r="E11986" s="185" t="s">
        <v>470</v>
      </c>
      <c r="H11986" s="185"/>
    </row>
    <row r="11987">
      <c r="D11987" s="185"/>
      <c r="E11987" s="185" t="s">
        <v>470</v>
      </c>
      <c r="H11987" s="185"/>
    </row>
    <row r="11988">
      <c r="D11988" s="185"/>
      <c r="E11988" s="185" t="s">
        <v>470</v>
      </c>
      <c r="H11988" s="185"/>
    </row>
    <row r="11989">
      <c r="D11989" s="185"/>
      <c r="E11989" s="185" t="s">
        <v>470</v>
      </c>
      <c r="H11989" s="185"/>
    </row>
    <row r="11990">
      <c r="D11990" s="185"/>
      <c r="E11990" s="185" t="s">
        <v>470</v>
      </c>
      <c r="H11990" s="185"/>
    </row>
    <row r="11991">
      <c r="D11991" s="185"/>
      <c r="E11991" s="185" t="s">
        <v>470</v>
      </c>
      <c r="H11991" s="185"/>
    </row>
    <row r="11992">
      <c r="D11992" s="185"/>
      <c r="E11992" s="185" t="s">
        <v>470</v>
      </c>
      <c r="H11992" s="185"/>
    </row>
    <row r="11993">
      <c r="D11993" s="185"/>
      <c r="E11993" s="185" t="s">
        <v>470</v>
      </c>
      <c r="H11993" s="185"/>
    </row>
    <row r="11994">
      <c r="D11994" s="185"/>
      <c r="E11994" s="185" t="s">
        <v>470</v>
      </c>
      <c r="H11994" s="185"/>
    </row>
    <row r="11995">
      <c r="D11995" s="185"/>
      <c r="E11995" s="185" t="s">
        <v>470</v>
      </c>
      <c r="H11995" s="185"/>
    </row>
    <row r="11996">
      <c r="D11996" s="185"/>
      <c r="E11996" s="185" t="s">
        <v>470</v>
      </c>
      <c r="H11996" s="185"/>
    </row>
    <row r="11997">
      <c r="D11997" s="185"/>
      <c r="E11997" s="185" t="s">
        <v>470</v>
      </c>
      <c r="H11997" s="185"/>
    </row>
    <row r="11998">
      <c r="D11998" s="185"/>
      <c r="E11998" s="185" t="s">
        <v>470</v>
      </c>
      <c r="H11998" s="185"/>
    </row>
    <row r="11999">
      <c r="D11999" s="185"/>
      <c r="E11999" s="185" t="s">
        <v>470</v>
      </c>
      <c r="H11999" s="185"/>
    </row>
    <row r="12000">
      <c r="D12000" s="185"/>
      <c r="E12000" s="185" t="s">
        <v>470</v>
      </c>
      <c r="H12000" s="185"/>
    </row>
    <row r="12001">
      <c r="D12001" s="185"/>
      <c r="E12001" s="185" t="s">
        <v>470</v>
      </c>
      <c r="H12001" s="185"/>
    </row>
    <row r="12002">
      <c r="D12002" s="185"/>
      <c r="E12002" s="185" t="s">
        <v>470</v>
      </c>
      <c r="H12002" s="185"/>
    </row>
    <row r="12003">
      <c r="D12003" s="185"/>
      <c r="E12003" s="185" t="s">
        <v>470</v>
      </c>
      <c r="H12003" s="185"/>
    </row>
    <row r="12004">
      <c r="D12004" s="185"/>
      <c r="E12004" s="185" t="s">
        <v>470</v>
      </c>
      <c r="H12004" s="185"/>
    </row>
    <row r="12005">
      <c r="D12005" s="185"/>
      <c r="E12005" s="185" t="s">
        <v>470</v>
      </c>
      <c r="H12005" s="185"/>
    </row>
    <row r="12006">
      <c r="D12006" s="185"/>
      <c r="E12006" s="185" t="s">
        <v>470</v>
      </c>
      <c r="H12006" s="185"/>
    </row>
    <row r="12007">
      <c r="D12007" s="185"/>
      <c r="E12007" s="185" t="s">
        <v>470</v>
      </c>
      <c r="H12007" s="185"/>
    </row>
    <row r="12008">
      <c r="D12008" s="185"/>
      <c r="E12008" s="185" t="s">
        <v>470</v>
      </c>
      <c r="H12008" s="185"/>
    </row>
    <row r="12009">
      <c r="D12009" s="185"/>
      <c r="E12009" s="185" t="s">
        <v>470</v>
      </c>
      <c r="H12009" s="185"/>
    </row>
    <row r="12010">
      <c r="D12010" s="185"/>
      <c r="E12010" s="185" t="s">
        <v>470</v>
      </c>
      <c r="H12010" s="185"/>
    </row>
    <row r="12011">
      <c r="D12011" s="185"/>
      <c r="E12011" s="185" t="s">
        <v>470</v>
      </c>
      <c r="H12011" s="185"/>
    </row>
    <row r="12012">
      <c r="D12012" s="185"/>
      <c r="E12012" s="185" t="s">
        <v>470</v>
      </c>
      <c r="H12012" s="185"/>
    </row>
    <row r="12013">
      <c r="D12013" s="185"/>
      <c r="E12013" s="185" t="s">
        <v>470</v>
      </c>
      <c r="H12013" s="185"/>
    </row>
    <row r="12014">
      <c r="D12014" s="185"/>
      <c r="E12014" s="185" t="s">
        <v>470</v>
      </c>
      <c r="H12014" s="185"/>
    </row>
    <row r="12015">
      <c r="D12015" s="185"/>
      <c r="E12015" s="185" t="s">
        <v>470</v>
      </c>
      <c r="H12015" s="185"/>
    </row>
    <row r="12016">
      <c r="D12016" s="185"/>
      <c r="E12016" s="185" t="s">
        <v>470</v>
      </c>
      <c r="H12016" s="185"/>
    </row>
    <row r="12017">
      <c r="D12017" s="185"/>
      <c r="E12017" s="185" t="s">
        <v>470</v>
      </c>
      <c r="H12017" s="185"/>
    </row>
    <row r="12018">
      <c r="D12018" s="185"/>
      <c r="E12018" s="185" t="s">
        <v>470</v>
      </c>
      <c r="H12018" s="185"/>
    </row>
    <row r="12019">
      <c r="D12019" s="185"/>
      <c r="E12019" s="185" t="s">
        <v>470</v>
      </c>
      <c r="H12019" s="185"/>
    </row>
    <row r="12020">
      <c r="D12020" s="185"/>
      <c r="E12020" s="185" t="s">
        <v>470</v>
      </c>
      <c r="H12020" s="185"/>
    </row>
    <row r="12021">
      <c r="D12021" s="185"/>
      <c r="E12021" s="185" t="s">
        <v>470</v>
      </c>
      <c r="H12021" s="185"/>
    </row>
    <row r="12022">
      <c r="D12022" s="185"/>
      <c r="E12022" s="185" t="s">
        <v>470</v>
      </c>
      <c r="H12022" s="185"/>
    </row>
    <row r="12023">
      <c r="D12023" s="185"/>
      <c r="E12023" s="185" t="s">
        <v>470</v>
      </c>
      <c r="H12023" s="185"/>
    </row>
    <row r="12024">
      <c r="D12024" s="185"/>
      <c r="E12024" s="185" t="s">
        <v>470</v>
      </c>
      <c r="H12024" s="185"/>
    </row>
    <row r="12025">
      <c r="D12025" s="185"/>
      <c r="E12025" s="185" t="s">
        <v>470</v>
      </c>
      <c r="H12025" s="185"/>
    </row>
    <row r="12026">
      <c r="D12026" s="185"/>
      <c r="E12026" s="185" t="s">
        <v>470</v>
      </c>
      <c r="H12026" s="185"/>
    </row>
    <row r="12027">
      <c r="D12027" s="185"/>
      <c r="E12027" s="185" t="s">
        <v>470</v>
      </c>
      <c r="H12027" s="185"/>
    </row>
    <row r="12028">
      <c r="D12028" s="185"/>
      <c r="E12028" s="185" t="s">
        <v>470</v>
      </c>
      <c r="H12028" s="185"/>
    </row>
    <row r="12029">
      <c r="D12029" s="185"/>
      <c r="E12029" s="185" t="s">
        <v>470</v>
      </c>
      <c r="H12029" s="185"/>
    </row>
    <row r="12030">
      <c r="D12030" s="185"/>
      <c r="E12030" s="185" t="s">
        <v>470</v>
      </c>
      <c r="H12030" s="185"/>
    </row>
    <row r="12031">
      <c r="D12031" s="185"/>
      <c r="E12031" s="185" t="s">
        <v>470</v>
      </c>
      <c r="H12031" s="185"/>
    </row>
    <row r="12032">
      <c r="D12032" s="185"/>
      <c r="E12032" s="185" t="s">
        <v>470</v>
      </c>
      <c r="H12032" s="185"/>
    </row>
    <row r="12033">
      <c r="D12033" s="185"/>
      <c r="E12033" s="185" t="s">
        <v>470</v>
      </c>
      <c r="H12033" s="185"/>
    </row>
    <row r="12034">
      <c r="D12034" s="185"/>
      <c r="E12034" s="185" t="s">
        <v>470</v>
      </c>
      <c r="H12034" s="185"/>
    </row>
    <row r="12035">
      <c r="D12035" s="185"/>
      <c r="E12035" s="185" t="s">
        <v>470</v>
      </c>
      <c r="H12035" s="185"/>
    </row>
    <row r="12036">
      <c r="D12036" s="185"/>
      <c r="E12036" s="185" t="s">
        <v>470</v>
      </c>
      <c r="H12036" s="185"/>
    </row>
    <row r="12037">
      <c r="D12037" s="185"/>
      <c r="E12037" s="185" t="s">
        <v>470</v>
      </c>
      <c r="H12037" s="185"/>
    </row>
    <row r="12038">
      <c r="D12038" s="185"/>
      <c r="E12038" s="185" t="s">
        <v>470</v>
      </c>
      <c r="H12038" s="185"/>
    </row>
    <row r="12039">
      <c r="D12039" s="185"/>
      <c r="E12039" s="185" t="s">
        <v>470</v>
      </c>
      <c r="H12039" s="185"/>
    </row>
    <row r="12040">
      <c r="D12040" s="185"/>
      <c r="E12040" s="185" t="s">
        <v>470</v>
      </c>
      <c r="H12040" s="185"/>
    </row>
    <row r="12041">
      <c r="D12041" s="185"/>
      <c r="E12041" s="185" t="s">
        <v>470</v>
      </c>
      <c r="H12041" s="185"/>
    </row>
    <row r="12042">
      <c r="D12042" s="185"/>
      <c r="E12042" s="185" t="s">
        <v>470</v>
      </c>
      <c r="H12042" s="185"/>
    </row>
    <row r="12043">
      <c r="D12043" s="185"/>
      <c r="E12043" s="185" t="s">
        <v>470</v>
      </c>
      <c r="H12043" s="185"/>
    </row>
    <row r="12044">
      <c r="D12044" s="185"/>
      <c r="E12044" s="185" t="s">
        <v>470</v>
      </c>
      <c r="H12044" s="185"/>
    </row>
    <row r="12045">
      <c r="D12045" s="185"/>
      <c r="E12045" s="185" t="s">
        <v>470</v>
      </c>
      <c r="H12045" s="185"/>
    </row>
    <row r="12046">
      <c r="D12046" s="185"/>
      <c r="E12046" s="185" t="s">
        <v>470</v>
      </c>
      <c r="H12046" s="185"/>
    </row>
    <row r="12047">
      <c r="D12047" s="185"/>
      <c r="E12047" s="185" t="s">
        <v>470</v>
      </c>
      <c r="H12047" s="185"/>
    </row>
    <row r="12048">
      <c r="D12048" s="185"/>
      <c r="E12048" s="185" t="s">
        <v>470</v>
      </c>
      <c r="H12048" s="185"/>
    </row>
    <row r="12049">
      <c r="D12049" s="185"/>
      <c r="E12049" s="185" t="s">
        <v>470</v>
      </c>
      <c r="H12049" s="185"/>
    </row>
    <row r="12050">
      <c r="D12050" s="185"/>
      <c r="E12050" s="185" t="s">
        <v>470</v>
      </c>
      <c r="H12050" s="185"/>
    </row>
    <row r="12051">
      <c r="D12051" s="185"/>
      <c r="E12051" s="185" t="s">
        <v>470</v>
      </c>
      <c r="H12051" s="185"/>
    </row>
    <row r="12052">
      <c r="D12052" s="185"/>
      <c r="E12052" s="185" t="s">
        <v>470</v>
      </c>
      <c r="H12052" s="185"/>
    </row>
    <row r="12053">
      <c r="D12053" s="185"/>
      <c r="E12053" s="185" t="s">
        <v>470</v>
      </c>
      <c r="H12053" s="185"/>
    </row>
    <row r="12054">
      <c r="D12054" s="185"/>
      <c r="E12054" s="185" t="s">
        <v>470</v>
      </c>
      <c r="H12054" s="185"/>
    </row>
    <row r="12055">
      <c r="D12055" s="185"/>
      <c r="E12055" s="185" t="s">
        <v>470</v>
      </c>
      <c r="H12055" s="185"/>
    </row>
    <row r="12056">
      <c r="D12056" s="185"/>
      <c r="E12056" s="185" t="s">
        <v>470</v>
      </c>
      <c r="H12056" s="185"/>
    </row>
    <row r="12057">
      <c r="D12057" s="185"/>
      <c r="E12057" s="185" t="s">
        <v>470</v>
      </c>
      <c r="H12057" s="185"/>
    </row>
    <row r="12058">
      <c r="D12058" s="185"/>
      <c r="E12058" s="185" t="s">
        <v>470</v>
      </c>
      <c r="H12058" s="185"/>
    </row>
    <row r="12059">
      <c r="D12059" s="185"/>
      <c r="E12059" s="185" t="s">
        <v>470</v>
      </c>
      <c r="H12059" s="185"/>
    </row>
    <row r="12060">
      <c r="D12060" s="185"/>
      <c r="E12060" s="185" t="s">
        <v>470</v>
      </c>
      <c r="H12060" s="185"/>
    </row>
    <row r="12061">
      <c r="D12061" s="185"/>
      <c r="E12061" s="185" t="s">
        <v>470</v>
      </c>
      <c r="H12061" s="185"/>
    </row>
    <row r="12062">
      <c r="D12062" s="185"/>
      <c r="E12062" s="185" t="s">
        <v>470</v>
      </c>
      <c r="H12062" s="185"/>
    </row>
    <row r="12063">
      <c r="D12063" s="185"/>
      <c r="E12063" s="185" t="s">
        <v>470</v>
      </c>
      <c r="H12063" s="185"/>
    </row>
    <row r="12064">
      <c r="D12064" s="185"/>
      <c r="E12064" s="185" t="s">
        <v>470</v>
      </c>
      <c r="H12064" s="185"/>
    </row>
    <row r="12065">
      <c r="D12065" s="185"/>
      <c r="E12065" s="185" t="s">
        <v>470</v>
      </c>
      <c r="H12065" s="185"/>
    </row>
    <row r="12066">
      <c r="D12066" s="185"/>
      <c r="E12066" s="185" t="s">
        <v>470</v>
      </c>
      <c r="H12066" s="185"/>
    </row>
    <row r="12067">
      <c r="D12067" s="185"/>
      <c r="E12067" s="185" t="s">
        <v>470</v>
      </c>
      <c r="H12067" s="185"/>
    </row>
    <row r="12068">
      <c r="D12068" s="185"/>
      <c r="E12068" s="185" t="s">
        <v>470</v>
      </c>
      <c r="H12068" s="185"/>
    </row>
    <row r="12069">
      <c r="D12069" s="185"/>
      <c r="E12069" s="185" t="s">
        <v>470</v>
      </c>
      <c r="H12069" s="185"/>
    </row>
    <row r="12070">
      <c r="D12070" s="185"/>
      <c r="E12070" s="185" t="s">
        <v>470</v>
      </c>
      <c r="H12070" s="185"/>
    </row>
    <row r="12071">
      <c r="D12071" s="185"/>
      <c r="E12071" s="185" t="s">
        <v>470</v>
      </c>
      <c r="H12071" s="185"/>
    </row>
    <row r="12072">
      <c r="D12072" s="185"/>
      <c r="E12072" s="185" t="s">
        <v>470</v>
      </c>
      <c r="H12072" s="185"/>
    </row>
    <row r="12073">
      <c r="D12073" s="185"/>
      <c r="E12073" s="185" t="s">
        <v>470</v>
      </c>
      <c r="H12073" s="185"/>
    </row>
    <row r="12074">
      <c r="D12074" s="185"/>
      <c r="E12074" s="185" t="s">
        <v>470</v>
      </c>
      <c r="H12074" s="185"/>
    </row>
    <row r="12075">
      <c r="D12075" s="185"/>
      <c r="E12075" s="185" t="s">
        <v>470</v>
      </c>
      <c r="H12075" s="185"/>
    </row>
    <row r="12076">
      <c r="D12076" s="185"/>
      <c r="E12076" s="185" t="s">
        <v>470</v>
      </c>
      <c r="H12076" s="185"/>
    </row>
    <row r="12077">
      <c r="D12077" s="185"/>
      <c r="E12077" s="185" t="s">
        <v>470</v>
      </c>
      <c r="H12077" s="185"/>
    </row>
    <row r="12078">
      <c r="D12078" s="185"/>
      <c r="E12078" s="185" t="s">
        <v>470</v>
      </c>
      <c r="H12078" s="185"/>
    </row>
    <row r="12079">
      <c r="D12079" s="185"/>
      <c r="E12079" s="185" t="s">
        <v>470</v>
      </c>
      <c r="H12079" s="185"/>
    </row>
    <row r="12080">
      <c r="D12080" s="185"/>
      <c r="E12080" s="185" t="s">
        <v>470</v>
      </c>
      <c r="H12080" s="185"/>
    </row>
    <row r="12081">
      <c r="D12081" s="185"/>
      <c r="E12081" s="185" t="s">
        <v>470</v>
      </c>
      <c r="H12081" s="185"/>
    </row>
    <row r="12082">
      <c r="D12082" s="185"/>
      <c r="E12082" s="185" t="s">
        <v>470</v>
      </c>
      <c r="H12082" s="185"/>
    </row>
    <row r="12083">
      <c r="D12083" s="185"/>
      <c r="E12083" s="185" t="s">
        <v>470</v>
      </c>
      <c r="H12083" s="185"/>
    </row>
    <row r="12084">
      <c r="D12084" s="185"/>
      <c r="E12084" s="185" t="s">
        <v>470</v>
      </c>
      <c r="H12084" s="185"/>
    </row>
    <row r="12085">
      <c r="D12085" s="185"/>
      <c r="E12085" s="185" t="s">
        <v>470</v>
      </c>
      <c r="H12085" s="185"/>
    </row>
    <row r="12086">
      <c r="D12086" s="185"/>
      <c r="E12086" s="185" t="s">
        <v>470</v>
      </c>
      <c r="H12086" s="185"/>
    </row>
    <row r="12087">
      <c r="D12087" s="185"/>
      <c r="E12087" s="185" t="s">
        <v>470</v>
      </c>
      <c r="H12087" s="185"/>
    </row>
    <row r="12088">
      <c r="D12088" s="185"/>
      <c r="E12088" s="185" t="s">
        <v>470</v>
      </c>
      <c r="H12088" s="185"/>
    </row>
    <row r="12089">
      <c r="D12089" s="185"/>
      <c r="E12089" s="185" t="s">
        <v>470</v>
      </c>
      <c r="H12089" s="185"/>
    </row>
    <row r="12090">
      <c r="D12090" s="185"/>
      <c r="E12090" s="185" t="s">
        <v>470</v>
      </c>
      <c r="H12090" s="185"/>
    </row>
    <row r="12091">
      <c r="D12091" s="185"/>
      <c r="E12091" s="185" t="s">
        <v>470</v>
      </c>
      <c r="H12091" s="185"/>
    </row>
    <row r="12092">
      <c r="D12092" s="185"/>
      <c r="E12092" s="185" t="s">
        <v>470</v>
      </c>
      <c r="H12092" s="185"/>
    </row>
    <row r="12093">
      <c r="D12093" s="185"/>
      <c r="E12093" s="185" t="s">
        <v>470</v>
      </c>
      <c r="H12093" s="185"/>
    </row>
    <row r="12094">
      <c r="D12094" s="185"/>
      <c r="E12094" s="185" t="s">
        <v>470</v>
      </c>
      <c r="H12094" s="185"/>
    </row>
    <row r="12095">
      <c r="D12095" s="185"/>
      <c r="E12095" s="185" t="s">
        <v>470</v>
      </c>
      <c r="H12095" s="185"/>
    </row>
    <row r="12096">
      <c r="D12096" s="185"/>
      <c r="E12096" s="185" t="s">
        <v>470</v>
      </c>
      <c r="H12096" s="185"/>
    </row>
    <row r="12097">
      <c r="D12097" s="185"/>
      <c r="E12097" s="185" t="s">
        <v>470</v>
      </c>
      <c r="H12097" s="185"/>
    </row>
    <row r="12098">
      <c r="D12098" s="185"/>
      <c r="E12098" s="185" t="s">
        <v>470</v>
      </c>
      <c r="H12098" s="185"/>
    </row>
    <row r="12099">
      <c r="D12099" s="185"/>
      <c r="E12099" s="185" t="s">
        <v>470</v>
      </c>
      <c r="H12099" s="185"/>
    </row>
    <row r="12100">
      <c r="D12100" s="185"/>
      <c r="E12100" s="185" t="s">
        <v>470</v>
      </c>
      <c r="H12100" s="185"/>
    </row>
    <row r="12101">
      <c r="D12101" s="185"/>
      <c r="E12101" s="185" t="s">
        <v>470</v>
      </c>
      <c r="H12101" s="185"/>
    </row>
    <row r="12102">
      <c r="D12102" s="185"/>
      <c r="E12102" s="185" t="s">
        <v>470</v>
      </c>
      <c r="H12102" s="185"/>
    </row>
    <row r="12103">
      <c r="D12103" s="185"/>
      <c r="E12103" s="185" t="s">
        <v>470</v>
      </c>
      <c r="H12103" s="185"/>
    </row>
    <row r="12104">
      <c r="D12104" s="185"/>
      <c r="E12104" s="185" t="s">
        <v>470</v>
      </c>
      <c r="H12104" s="185"/>
    </row>
    <row r="12105">
      <c r="D12105" s="185"/>
      <c r="E12105" s="185" t="s">
        <v>470</v>
      </c>
      <c r="H12105" s="185"/>
    </row>
    <row r="12106">
      <c r="D12106" s="185"/>
      <c r="E12106" s="185" t="s">
        <v>470</v>
      </c>
      <c r="H12106" s="185"/>
    </row>
    <row r="12107">
      <c r="D12107" s="185"/>
      <c r="E12107" s="185" t="s">
        <v>470</v>
      </c>
      <c r="H12107" s="185"/>
    </row>
    <row r="12108">
      <c r="D12108" s="185"/>
      <c r="E12108" s="185" t="s">
        <v>470</v>
      </c>
      <c r="H12108" s="185"/>
    </row>
    <row r="12109">
      <c r="D12109" s="185"/>
      <c r="E12109" s="185" t="s">
        <v>470</v>
      </c>
      <c r="H12109" s="185"/>
    </row>
    <row r="12110">
      <c r="D12110" s="185"/>
      <c r="E12110" s="185" t="s">
        <v>470</v>
      </c>
      <c r="H12110" s="185"/>
    </row>
    <row r="12111">
      <c r="D12111" s="185"/>
      <c r="E12111" s="185" t="s">
        <v>470</v>
      </c>
      <c r="H12111" s="185"/>
    </row>
    <row r="12112">
      <c r="D12112" s="185"/>
      <c r="E12112" s="185" t="s">
        <v>470</v>
      </c>
      <c r="H12112" s="185"/>
    </row>
    <row r="12113">
      <c r="D12113" s="185"/>
      <c r="E12113" s="185" t="s">
        <v>470</v>
      </c>
      <c r="H12113" s="185"/>
    </row>
    <row r="12114">
      <c r="D12114" s="185"/>
      <c r="E12114" s="185" t="s">
        <v>470</v>
      </c>
      <c r="H12114" s="185"/>
    </row>
    <row r="12115">
      <c r="D12115" s="185"/>
      <c r="E12115" s="185" t="s">
        <v>470</v>
      </c>
      <c r="H12115" s="185"/>
    </row>
    <row r="12116">
      <c r="D12116" s="185"/>
      <c r="E12116" s="185" t="s">
        <v>470</v>
      </c>
      <c r="H12116" s="185"/>
    </row>
    <row r="12117">
      <c r="D12117" s="185"/>
      <c r="E12117" s="185" t="s">
        <v>470</v>
      </c>
      <c r="H12117" s="185"/>
    </row>
    <row r="12118">
      <c r="D12118" s="185"/>
      <c r="E12118" s="185" t="s">
        <v>470</v>
      </c>
      <c r="H12118" s="185"/>
    </row>
    <row r="12119">
      <c r="D12119" s="185"/>
      <c r="E12119" s="185" t="s">
        <v>470</v>
      </c>
      <c r="H12119" s="185"/>
    </row>
    <row r="12120">
      <c r="D12120" s="185"/>
      <c r="E12120" s="185" t="s">
        <v>470</v>
      </c>
      <c r="H12120" s="185"/>
    </row>
    <row r="12121">
      <c r="D12121" s="185"/>
      <c r="E12121" s="185" t="s">
        <v>470</v>
      </c>
      <c r="H12121" s="185"/>
    </row>
    <row r="12122">
      <c r="D12122" s="185"/>
      <c r="E12122" s="185" t="s">
        <v>470</v>
      </c>
      <c r="H12122" s="185"/>
    </row>
    <row r="12123">
      <c r="D12123" s="185"/>
      <c r="E12123" s="185" t="s">
        <v>470</v>
      </c>
      <c r="H12123" s="185"/>
    </row>
    <row r="12124">
      <c r="D12124" s="185"/>
      <c r="E12124" s="185" t="s">
        <v>470</v>
      </c>
      <c r="H12124" s="185"/>
    </row>
    <row r="12125">
      <c r="D12125" s="185"/>
      <c r="E12125" s="185" t="s">
        <v>470</v>
      </c>
      <c r="H12125" s="185"/>
    </row>
    <row r="12126">
      <c r="D12126" s="185"/>
      <c r="E12126" s="185" t="s">
        <v>470</v>
      </c>
      <c r="H12126" s="185"/>
    </row>
    <row r="12127">
      <c r="D12127" s="185"/>
      <c r="E12127" s="185" t="s">
        <v>470</v>
      </c>
      <c r="H12127" s="185"/>
    </row>
    <row r="12128">
      <c r="D12128" s="185"/>
      <c r="E12128" s="185" t="s">
        <v>470</v>
      </c>
      <c r="H12128" s="185"/>
    </row>
    <row r="12129">
      <c r="D12129" s="185"/>
      <c r="E12129" s="185" t="s">
        <v>470</v>
      </c>
      <c r="H12129" s="185"/>
    </row>
    <row r="12130">
      <c r="D12130" s="185"/>
      <c r="E12130" s="185" t="s">
        <v>470</v>
      </c>
      <c r="H12130" s="185"/>
    </row>
    <row r="12131">
      <c r="D12131" s="185"/>
      <c r="E12131" s="185" t="s">
        <v>470</v>
      </c>
      <c r="H12131" s="185"/>
    </row>
    <row r="12132">
      <c r="D12132" s="185"/>
      <c r="E12132" s="185" t="s">
        <v>470</v>
      </c>
      <c r="H12132" s="185"/>
    </row>
    <row r="12133">
      <c r="D12133" s="185"/>
      <c r="E12133" s="185" t="s">
        <v>470</v>
      </c>
      <c r="H12133" s="185"/>
    </row>
    <row r="12134">
      <c r="D12134" s="185"/>
      <c r="E12134" s="185" t="s">
        <v>470</v>
      </c>
      <c r="H12134" s="185"/>
    </row>
    <row r="12135">
      <c r="D12135" s="185"/>
      <c r="E12135" s="185" t="s">
        <v>470</v>
      </c>
      <c r="H12135" s="185"/>
    </row>
    <row r="12136">
      <c r="D12136" s="185"/>
      <c r="E12136" s="185" t="s">
        <v>470</v>
      </c>
      <c r="H12136" s="185"/>
    </row>
    <row r="12137">
      <c r="D12137" s="185"/>
      <c r="E12137" s="185" t="s">
        <v>470</v>
      </c>
      <c r="H12137" s="185"/>
    </row>
    <row r="12138">
      <c r="D12138" s="185"/>
      <c r="E12138" s="185" t="s">
        <v>470</v>
      </c>
      <c r="H12138" s="185"/>
    </row>
    <row r="12139">
      <c r="D12139" s="185"/>
      <c r="E12139" s="185" t="s">
        <v>470</v>
      </c>
      <c r="H12139" s="185"/>
    </row>
    <row r="12140">
      <c r="D12140" s="185"/>
      <c r="E12140" s="185" t="s">
        <v>470</v>
      </c>
      <c r="H12140" s="185"/>
    </row>
    <row r="12141">
      <c r="D12141" s="185"/>
      <c r="E12141" s="185" t="s">
        <v>470</v>
      </c>
      <c r="H12141" s="185"/>
    </row>
    <row r="12142">
      <c r="D12142" s="185"/>
      <c r="E12142" s="185" t="s">
        <v>470</v>
      </c>
      <c r="H12142" s="185"/>
    </row>
    <row r="12143">
      <c r="D12143" s="185"/>
      <c r="E12143" s="185" t="s">
        <v>470</v>
      </c>
      <c r="H12143" s="185"/>
    </row>
    <row r="12144">
      <c r="D12144" s="185"/>
      <c r="E12144" s="185" t="s">
        <v>470</v>
      </c>
      <c r="H12144" s="185"/>
    </row>
    <row r="12145">
      <c r="D12145" s="185"/>
      <c r="E12145" s="185" t="s">
        <v>470</v>
      </c>
      <c r="H12145" s="185"/>
    </row>
    <row r="12146">
      <c r="D12146" s="185"/>
      <c r="E12146" s="185" t="s">
        <v>470</v>
      </c>
      <c r="H12146" s="185"/>
    </row>
    <row r="12147">
      <c r="D12147" s="185"/>
      <c r="E12147" s="185" t="s">
        <v>470</v>
      </c>
      <c r="H12147" s="185"/>
    </row>
    <row r="12148">
      <c r="D12148" s="185"/>
      <c r="E12148" s="185" t="s">
        <v>470</v>
      </c>
      <c r="H12148" s="185"/>
    </row>
    <row r="12149">
      <c r="D12149" s="185"/>
      <c r="E12149" s="185" t="s">
        <v>470</v>
      </c>
      <c r="H12149" s="185"/>
    </row>
    <row r="12150">
      <c r="D12150" s="185"/>
      <c r="E12150" s="185" t="s">
        <v>470</v>
      </c>
      <c r="H12150" s="185"/>
    </row>
    <row r="12151">
      <c r="D12151" s="185"/>
      <c r="E12151" s="185" t="s">
        <v>470</v>
      </c>
      <c r="H12151" s="185"/>
    </row>
    <row r="12152">
      <c r="D12152" s="185"/>
      <c r="E12152" s="185" t="s">
        <v>470</v>
      </c>
      <c r="H12152" s="185"/>
    </row>
    <row r="12153">
      <c r="D12153" s="185"/>
      <c r="E12153" s="185" t="s">
        <v>470</v>
      </c>
      <c r="H12153" s="185"/>
    </row>
    <row r="12154">
      <c r="D12154" s="185"/>
      <c r="E12154" s="185" t="s">
        <v>470</v>
      </c>
      <c r="H12154" s="185"/>
    </row>
    <row r="12155">
      <c r="D12155" s="185"/>
      <c r="E12155" s="185" t="s">
        <v>470</v>
      </c>
      <c r="H12155" s="185"/>
    </row>
    <row r="12156">
      <c r="D12156" s="185"/>
      <c r="E12156" s="185" t="s">
        <v>470</v>
      </c>
      <c r="H12156" s="185"/>
    </row>
    <row r="12157">
      <c r="D12157" s="185"/>
      <c r="E12157" s="185" t="s">
        <v>470</v>
      </c>
      <c r="H12157" s="185"/>
    </row>
    <row r="12158">
      <c r="D12158" s="185"/>
      <c r="E12158" s="185" t="s">
        <v>470</v>
      </c>
      <c r="H12158" s="185"/>
    </row>
    <row r="12159">
      <c r="D12159" s="185"/>
      <c r="E12159" s="185" t="s">
        <v>470</v>
      </c>
      <c r="H12159" s="185"/>
    </row>
    <row r="12160">
      <c r="D12160" s="185"/>
      <c r="E12160" s="185" t="s">
        <v>470</v>
      </c>
      <c r="H12160" s="185"/>
    </row>
    <row r="12161">
      <c r="D12161" s="185"/>
      <c r="E12161" s="185" t="s">
        <v>470</v>
      </c>
      <c r="H12161" s="185"/>
    </row>
    <row r="12162">
      <c r="D12162" s="185"/>
      <c r="E12162" s="185" t="s">
        <v>470</v>
      </c>
      <c r="H12162" s="185"/>
    </row>
    <row r="12163">
      <c r="D12163" s="185"/>
      <c r="E12163" s="185" t="s">
        <v>470</v>
      </c>
      <c r="H12163" s="185"/>
    </row>
    <row r="12164">
      <c r="D12164" s="185"/>
      <c r="E12164" s="185" t="s">
        <v>470</v>
      </c>
      <c r="H12164" s="185"/>
    </row>
    <row r="12165">
      <c r="D12165" s="185"/>
      <c r="E12165" s="185" t="s">
        <v>470</v>
      </c>
      <c r="H12165" s="185"/>
    </row>
    <row r="12166">
      <c r="D12166" s="185"/>
      <c r="E12166" s="185" t="s">
        <v>470</v>
      </c>
      <c r="H12166" s="185"/>
    </row>
    <row r="12167">
      <c r="D12167" s="185"/>
      <c r="E12167" s="185" t="s">
        <v>470</v>
      </c>
      <c r="H12167" s="185"/>
    </row>
    <row r="12168">
      <c r="D12168" s="185"/>
      <c r="E12168" s="185" t="s">
        <v>470</v>
      </c>
      <c r="H12168" s="185"/>
    </row>
    <row r="12169">
      <c r="D12169" s="185"/>
      <c r="E12169" s="185" t="s">
        <v>470</v>
      </c>
      <c r="H12169" s="185"/>
    </row>
    <row r="12170">
      <c r="D12170" s="185"/>
      <c r="E12170" s="185" t="s">
        <v>470</v>
      </c>
      <c r="H12170" s="185"/>
    </row>
    <row r="12171">
      <c r="D12171" s="185"/>
      <c r="E12171" s="185" t="s">
        <v>470</v>
      </c>
      <c r="H12171" s="185"/>
    </row>
    <row r="12172">
      <c r="D12172" s="185"/>
      <c r="E12172" s="185" t="s">
        <v>470</v>
      </c>
      <c r="H12172" s="185"/>
    </row>
    <row r="12173">
      <c r="D12173" s="185"/>
      <c r="E12173" s="185" t="s">
        <v>470</v>
      </c>
      <c r="H12173" s="185"/>
    </row>
    <row r="12174">
      <c r="D12174" s="185"/>
      <c r="E12174" s="185" t="s">
        <v>470</v>
      </c>
      <c r="H12174" s="185"/>
    </row>
    <row r="12175">
      <c r="D12175" s="185"/>
      <c r="E12175" s="185" t="s">
        <v>470</v>
      </c>
      <c r="H12175" s="185"/>
    </row>
    <row r="12176">
      <c r="D12176" s="185"/>
      <c r="E12176" s="185" t="s">
        <v>470</v>
      </c>
      <c r="H12176" s="185"/>
    </row>
    <row r="12177">
      <c r="D12177" s="185"/>
      <c r="E12177" s="185" t="s">
        <v>470</v>
      </c>
      <c r="H12177" s="185"/>
    </row>
    <row r="12178">
      <c r="D12178" s="185"/>
      <c r="E12178" s="185" t="s">
        <v>470</v>
      </c>
      <c r="H12178" s="185"/>
    </row>
    <row r="12179">
      <c r="D12179" s="185"/>
      <c r="E12179" s="185" t="s">
        <v>470</v>
      </c>
      <c r="H12179" s="185"/>
    </row>
    <row r="12180">
      <c r="D12180" s="185"/>
      <c r="E12180" s="185" t="s">
        <v>470</v>
      </c>
      <c r="H12180" s="185"/>
    </row>
    <row r="12181">
      <c r="D12181" s="185"/>
      <c r="E12181" s="185" t="s">
        <v>470</v>
      </c>
      <c r="H12181" s="185"/>
    </row>
    <row r="12182">
      <c r="D12182" s="185"/>
      <c r="E12182" s="185" t="s">
        <v>470</v>
      </c>
      <c r="H12182" s="185"/>
    </row>
    <row r="12183">
      <c r="D12183" s="185"/>
      <c r="E12183" s="185" t="s">
        <v>470</v>
      </c>
      <c r="H12183" s="185"/>
    </row>
    <row r="12184">
      <c r="D12184" s="185"/>
      <c r="E12184" s="185" t="s">
        <v>470</v>
      </c>
      <c r="H12184" s="185"/>
    </row>
    <row r="12185">
      <c r="D12185" s="185"/>
      <c r="E12185" s="185" t="s">
        <v>470</v>
      </c>
      <c r="H12185" s="185"/>
    </row>
    <row r="12186">
      <c r="D12186" s="185"/>
      <c r="E12186" s="185" t="s">
        <v>470</v>
      </c>
      <c r="H12186" s="185"/>
    </row>
    <row r="12187">
      <c r="D12187" s="185"/>
      <c r="E12187" s="185" t="s">
        <v>470</v>
      </c>
      <c r="H12187" s="185"/>
    </row>
    <row r="12188">
      <c r="D12188" s="185"/>
      <c r="E12188" s="185" t="s">
        <v>470</v>
      </c>
      <c r="H12188" s="185"/>
    </row>
    <row r="12189">
      <c r="D12189" s="185"/>
      <c r="E12189" s="185" t="s">
        <v>470</v>
      </c>
      <c r="H12189" s="185"/>
    </row>
    <row r="12190">
      <c r="D12190" s="185"/>
      <c r="E12190" s="185" t="s">
        <v>470</v>
      </c>
      <c r="H12190" s="185"/>
    </row>
    <row r="12191">
      <c r="D12191" s="185"/>
      <c r="E12191" s="185" t="s">
        <v>470</v>
      </c>
      <c r="H12191" s="185"/>
    </row>
    <row r="12192">
      <c r="D12192" s="185"/>
      <c r="E12192" s="185" t="s">
        <v>470</v>
      </c>
      <c r="H12192" s="185"/>
    </row>
    <row r="12193">
      <c r="D12193" s="185"/>
      <c r="E12193" s="185" t="s">
        <v>470</v>
      </c>
      <c r="H12193" s="185"/>
    </row>
    <row r="12194">
      <c r="D12194" s="185"/>
      <c r="E12194" s="185" t="s">
        <v>470</v>
      </c>
      <c r="H12194" s="185"/>
    </row>
    <row r="12195">
      <c r="D12195" s="185"/>
      <c r="E12195" s="185" t="s">
        <v>470</v>
      </c>
      <c r="H12195" s="185"/>
    </row>
    <row r="12196">
      <c r="D12196" s="185"/>
      <c r="E12196" s="185" t="s">
        <v>470</v>
      </c>
      <c r="H12196" s="185"/>
    </row>
    <row r="12197">
      <c r="D12197" s="185"/>
      <c r="E12197" s="185" t="s">
        <v>470</v>
      </c>
      <c r="H12197" s="185"/>
    </row>
    <row r="12198">
      <c r="D12198" s="185"/>
      <c r="E12198" s="185" t="s">
        <v>470</v>
      </c>
      <c r="H12198" s="185"/>
    </row>
    <row r="12199">
      <c r="D12199" s="185"/>
      <c r="E12199" s="185" t="s">
        <v>470</v>
      </c>
      <c r="H12199" s="185"/>
    </row>
    <row r="12200">
      <c r="D12200" s="185"/>
      <c r="E12200" s="185" t="s">
        <v>470</v>
      </c>
      <c r="H12200" s="185"/>
    </row>
    <row r="12201">
      <c r="D12201" s="185"/>
      <c r="E12201" s="185" t="s">
        <v>470</v>
      </c>
      <c r="H12201" s="185"/>
    </row>
    <row r="12202">
      <c r="D12202" s="185"/>
      <c r="E12202" s="185" t="s">
        <v>470</v>
      </c>
      <c r="H12202" s="185"/>
    </row>
    <row r="12203">
      <c r="D12203" s="185"/>
      <c r="E12203" s="185" t="s">
        <v>470</v>
      </c>
      <c r="H12203" s="185"/>
    </row>
    <row r="12204">
      <c r="D12204" s="185"/>
      <c r="E12204" s="185" t="s">
        <v>470</v>
      </c>
      <c r="H12204" s="185"/>
    </row>
    <row r="12205">
      <c r="D12205" s="185"/>
      <c r="E12205" s="185" t="s">
        <v>470</v>
      </c>
      <c r="H12205" s="185"/>
    </row>
    <row r="12206">
      <c r="D12206" s="185"/>
      <c r="E12206" s="185" t="s">
        <v>470</v>
      </c>
      <c r="H12206" s="185"/>
    </row>
    <row r="12207">
      <c r="D12207" s="185"/>
      <c r="E12207" s="185" t="s">
        <v>470</v>
      </c>
      <c r="H12207" s="185"/>
    </row>
    <row r="12208">
      <c r="D12208" s="185"/>
      <c r="E12208" s="185" t="s">
        <v>470</v>
      </c>
      <c r="H12208" s="185"/>
    </row>
    <row r="12209">
      <c r="D12209" s="185"/>
      <c r="E12209" s="185" t="s">
        <v>470</v>
      </c>
      <c r="H12209" s="185"/>
    </row>
    <row r="12210">
      <c r="D12210" s="185"/>
      <c r="E12210" s="185" t="s">
        <v>470</v>
      </c>
      <c r="H12210" s="185"/>
    </row>
    <row r="12211">
      <c r="D12211" s="185"/>
      <c r="E12211" s="185" t="s">
        <v>470</v>
      </c>
      <c r="H12211" s="185"/>
    </row>
    <row r="12212">
      <c r="D12212" s="185"/>
      <c r="E12212" s="185" t="s">
        <v>470</v>
      </c>
      <c r="H12212" s="185"/>
    </row>
    <row r="12213">
      <c r="D12213" s="185"/>
      <c r="E12213" s="185" t="s">
        <v>470</v>
      </c>
      <c r="H12213" s="185"/>
    </row>
    <row r="12214">
      <c r="D12214" s="185"/>
      <c r="E12214" s="185" t="s">
        <v>470</v>
      </c>
      <c r="H12214" s="185"/>
    </row>
    <row r="12215">
      <c r="D12215" s="185"/>
      <c r="E12215" s="185" t="s">
        <v>470</v>
      </c>
      <c r="H12215" s="185"/>
    </row>
    <row r="12216">
      <c r="D12216" s="185"/>
      <c r="E12216" s="185" t="s">
        <v>470</v>
      </c>
      <c r="H12216" s="185"/>
    </row>
    <row r="12217">
      <c r="D12217" s="185"/>
      <c r="E12217" s="185" t="s">
        <v>470</v>
      </c>
      <c r="H12217" s="185"/>
    </row>
    <row r="12218">
      <c r="D12218" s="185"/>
      <c r="E12218" s="185" t="s">
        <v>470</v>
      </c>
      <c r="H12218" s="185"/>
    </row>
    <row r="12219">
      <c r="D12219" s="185"/>
      <c r="E12219" s="185" t="s">
        <v>470</v>
      </c>
      <c r="H12219" s="185"/>
    </row>
    <row r="12220">
      <c r="D12220" s="185"/>
      <c r="E12220" s="185" t="s">
        <v>470</v>
      </c>
      <c r="H12220" s="185"/>
    </row>
    <row r="12221">
      <c r="D12221" s="185"/>
      <c r="E12221" s="185" t="s">
        <v>470</v>
      </c>
      <c r="H12221" s="185"/>
    </row>
    <row r="12222">
      <c r="D12222" s="185"/>
      <c r="E12222" s="185" t="s">
        <v>470</v>
      </c>
      <c r="H12222" s="185"/>
    </row>
    <row r="12223">
      <c r="D12223" s="185"/>
      <c r="E12223" s="185" t="s">
        <v>470</v>
      </c>
      <c r="H12223" s="185"/>
    </row>
    <row r="12224">
      <c r="D12224" s="185"/>
      <c r="E12224" s="185" t="s">
        <v>470</v>
      </c>
      <c r="H12224" s="185"/>
    </row>
    <row r="12225">
      <c r="D12225" s="185"/>
      <c r="E12225" s="185" t="s">
        <v>470</v>
      </c>
      <c r="H12225" s="185"/>
    </row>
    <row r="12226">
      <c r="D12226" s="185"/>
      <c r="E12226" s="185" t="s">
        <v>470</v>
      </c>
      <c r="H12226" s="185"/>
    </row>
    <row r="12227">
      <c r="D12227" s="185"/>
      <c r="E12227" s="185" t="s">
        <v>470</v>
      </c>
      <c r="H12227" s="185"/>
    </row>
    <row r="12228">
      <c r="D12228" s="185"/>
      <c r="E12228" s="185" t="s">
        <v>470</v>
      </c>
      <c r="H12228" s="185"/>
    </row>
    <row r="12229">
      <c r="D12229" s="185"/>
      <c r="E12229" s="185" t="s">
        <v>470</v>
      </c>
      <c r="H12229" s="185"/>
    </row>
    <row r="12230">
      <c r="D12230" s="185"/>
      <c r="E12230" s="185" t="s">
        <v>470</v>
      </c>
      <c r="H12230" s="185"/>
    </row>
    <row r="12231">
      <c r="D12231" s="185"/>
      <c r="E12231" s="185" t="s">
        <v>470</v>
      </c>
      <c r="H12231" s="185"/>
    </row>
    <row r="12232">
      <c r="D12232" s="185"/>
      <c r="E12232" s="185" t="s">
        <v>470</v>
      </c>
      <c r="H12232" s="185"/>
    </row>
    <row r="12233">
      <c r="D12233" s="185"/>
      <c r="E12233" s="185" t="s">
        <v>470</v>
      </c>
      <c r="H12233" s="185"/>
    </row>
    <row r="12234">
      <c r="D12234" s="185"/>
      <c r="E12234" s="185" t="s">
        <v>470</v>
      </c>
      <c r="H12234" s="185"/>
    </row>
    <row r="12235">
      <c r="D12235" s="185"/>
      <c r="E12235" s="185" t="s">
        <v>470</v>
      </c>
      <c r="H12235" s="185"/>
    </row>
    <row r="12236">
      <c r="D12236" s="185"/>
      <c r="E12236" s="185" t="s">
        <v>470</v>
      </c>
      <c r="H12236" s="185"/>
    </row>
    <row r="12237">
      <c r="D12237" s="185"/>
      <c r="E12237" s="185" t="s">
        <v>470</v>
      </c>
      <c r="H12237" s="185"/>
    </row>
    <row r="12238">
      <c r="D12238" s="185"/>
      <c r="E12238" s="185" t="s">
        <v>470</v>
      </c>
      <c r="H12238" s="185"/>
    </row>
    <row r="12239">
      <c r="D12239" s="185"/>
      <c r="E12239" s="185" t="s">
        <v>470</v>
      </c>
      <c r="H12239" s="185"/>
    </row>
    <row r="12240">
      <c r="D12240" s="185"/>
      <c r="E12240" s="185" t="s">
        <v>470</v>
      </c>
      <c r="H12240" s="185"/>
    </row>
    <row r="12241">
      <c r="D12241" s="185"/>
      <c r="E12241" s="185" t="s">
        <v>470</v>
      </c>
      <c r="H12241" s="185"/>
    </row>
    <row r="12242">
      <c r="D12242" s="185"/>
      <c r="E12242" s="185" t="s">
        <v>470</v>
      </c>
      <c r="H12242" s="185"/>
    </row>
    <row r="12243">
      <c r="D12243" s="185"/>
      <c r="E12243" s="185" t="s">
        <v>470</v>
      </c>
      <c r="H12243" s="185"/>
    </row>
    <row r="12244">
      <c r="D12244" s="185"/>
      <c r="E12244" s="185" t="s">
        <v>470</v>
      </c>
      <c r="H12244" s="185"/>
    </row>
    <row r="12245">
      <c r="D12245" s="185"/>
      <c r="E12245" s="185" t="s">
        <v>470</v>
      </c>
      <c r="H12245" s="185"/>
    </row>
    <row r="12246">
      <c r="D12246" s="185"/>
      <c r="E12246" s="185" t="s">
        <v>470</v>
      </c>
      <c r="H12246" s="185"/>
    </row>
    <row r="12247">
      <c r="D12247" s="185"/>
      <c r="E12247" s="185" t="s">
        <v>470</v>
      </c>
      <c r="H12247" s="185"/>
    </row>
    <row r="12248">
      <c r="D12248" s="185"/>
      <c r="E12248" s="185" t="s">
        <v>470</v>
      </c>
      <c r="H12248" s="185"/>
    </row>
    <row r="12249">
      <c r="D12249" s="185"/>
      <c r="E12249" s="185" t="s">
        <v>470</v>
      </c>
      <c r="H12249" s="185"/>
    </row>
    <row r="12250">
      <c r="D12250" s="185"/>
      <c r="E12250" s="185" t="s">
        <v>470</v>
      </c>
      <c r="H12250" s="185"/>
    </row>
    <row r="12251">
      <c r="D12251" s="185"/>
      <c r="E12251" s="185" t="s">
        <v>470</v>
      </c>
      <c r="H12251" s="185"/>
    </row>
    <row r="12252">
      <c r="D12252" s="185"/>
      <c r="E12252" s="185" t="s">
        <v>470</v>
      </c>
      <c r="H12252" s="185"/>
    </row>
    <row r="12253">
      <c r="D12253" s="185"/>
      <c r="E12253" s="185" t="s">
        <v>470</v>
      </c>
      <c r="H12253" s="185"/>
    </row>
    <row r="12254">
      <c r="D12254" s="185"/>
      <c r="E12254" s="185" t="s">
        <v>470</v>
      </c>
      <c r="H12254" s="185"/>
    </row>
    <row r="12255">
      <c r="D12255" s="185"/>
      <c r="E12255" s="185" t="s">
        <v>470</v>
      </c>
      <c r="H12255" s="185"/>
    </row>
    <row r="12256">
      <c r="D12256" s="185"/>
      <c r="E12256" s="185" t="s">
        <v>470</v>
      </c>
      <c r="H12256" s="185"/>
    </row>
    <row r="12257">
      <c r="D12257" s="185"/>
      <c r="E12257" s="185" t="s">
        <v>470</v>
      </c>
      <c r="H12257" s="185"/>
    </row>
    <row r="12258">
      <c r="D12258" s="185"/>
      <c r="E12258" s="185" t="s">
        <v>470</v>
      </c>
      <c r="H12258" s="185"/>
    </row>
    <row r="12259">
      <c r="D12259" s="185"/>
      <c r="E12259" s="185" t="s">
        <v>470</v>
      </c>
      <c r="H12259" s="185"/>
    </row>
    <row r="12260">
      <c r="D12260" s="185"/>
      <c r="E12260" s="185" t="s">
        <v>470</v>
      </c>
      <c r="H12260" s="185"/>
    </row>
    <row r="12261">
      <c r="D12261" s="185"/>
      <c r="E12261" s="185" t="s">
        <v>470</v>
      </c>
      <c r="H12261" s="185"/>
    </row>
    <row r="12262">
      <c r="D12262" s="185"/>
      <c r="E12262" s="185" t="s">
        <v>470</v>
      </c>
      <c r="H12262" s="185"/>
    </row>
    <row r="12263">
      <c r="D12263" s="185"/>
      <c r="E12263" s="185" t="s">
        <v>470</v>
      </c>
      <c r="H12263" s="185"/>
    </row>
    <row r="12264">
      <c r="D12264" s="185"/>
      <c r="E12264" s="185" t="s">
        <v>470</v>
      </c>
      <c r="H12264" s="185"/>
    </row>
    <row r="12265">
      <c r="D12265" s="185"/>
      <c r="E12265" s="185" t="s">
        <v>470</v>
      </c>
      <c r="H12265" s="185"/>
    </row>
    <row r="12266">
      <c r="D12266" s="185"/>
      <c r="E12266" s="185" t="s">
        <v>470</v>
      </c>
      <c r="H12266" s="185"/>
    </row>
    <row r="12267">
      <c r="D12267" s="185"/>
      <c r="E12267" s="185" t="s">
        <v>470</v>
      </c>
      <c r="H12267" s="185"/>
    </row>
    <row r="12268">
      <c r="D12268" s="185"/>
      <c r="E12268" s="185" t="s">
        <v>470</v>
      </c>
      <c r="H12268" s="185"/>
    </row>
    <row r="12269">
      <c r="D12269" s="185"/>
      <c r="E12269" s="185" t="s">
        <v>470</v>
      </c>
      <c r="H12269" s="185"/>
    </row>
    <row r="12270">
      <c r="D12270" s="185"/>
      <c r="E12270" s="185" t="s">
        <v>470</v>
      </c>
      <c r="H12270" s="185"/>
    </row>
    <row r="12271">
      <c r="D12271" s="185"/>
      <c r="E12271" s="185" t="s">
        <v>470</v>
      </c>
      <c r="H12271" s="185"/>
    </row>
    <row r="12272">
      <c r="D12272" s="185"/>
      <c r="E12272" s="185" t="s">
        <v>470</v>
      </c>
      <c r="H12272" s="185"/>
    </row>
    <row r="12273">
      <c r="D12273" s="185"/>
      <c r="E12273" s="185" t="s">
        <v>470</v>
      </c>
      <c r="H12273" s="185"/>
    </row>
    <row r="12274">
      <c r="D12274" s="185"/>
      <c r="E12274" s="185" t="s">
        <v>470</v>
      </c>
      <c r="H12274" s="185"/>
    </row>
    <row r="12275">
      <c r="D12275" s="185"/>
      <c r="E12275" s="185" t="s">
        <v>470</v>
      </c>
      <c r="H12275" s="185"/>
    </row>
    <row r="12276">
      <c r="D12276" s="185"/>
      <c r="E12276" s="185" t="s">
        <v>470</v>
      </c>
      <c r="H12276" s="185"/>
    </row>
    <row r="12277">
      <c r="D12277" s="185"/>
      <c r="E12277" s="185" t="s">
        <v>470</v>
      </c>
      <c r="H12277" s="185"/>
    </row>
    <row r="12278">
      <c r="D12278" s="185"/>
      <c r="E12278" s="185" t="s">
        <v>470</v>
      </c>
      <c r="H12278" s="185"/>
    </row>
    <row r="12279">
      <c r="D12279" s="185"/>
      <c r="E12279" s="185" t="s">
        <v>470</v>
      </c>
      <c r="H12279" s="185"/>
    </row>
    <row r="12280">
      <c r="D12280" s="185"/>
      <c r="E12280" s="185" t="s">
        <v>470</v>
      </c>
      <c r="H12280" s="185"/>
    </row>
    <row r="12281">
      <c r="D12281" s="185"/>
      <c r="E12281" s="185" t="s">
        <v>470</v>
      </c>
      <c r="H12281" s="185"/>
    </row>
    <row r="12282">
      <c r="D12282" s="185"/>
      <c r="E12282" s="185" t="s">
        <v>470</v>
      </c>
      <c r="H12282" s="185"/>
    </row>
    <row r="12283">
      <c r="D12283" s="185"/>
      <c r="E12283" s="185" t="s">
        <v>470</v>
      </c>
      <c r="H12283" s="185"/>
    </row>
    <row r="12284">
      <c r="D12284" s="185"/>
      <c r="E12284" s="185" t="s">
        <v>470</v>
      </c>
      <c r="H12284" s="185"/>
    </row>
    <row r="12285">
      <c r="D12285" s="185"/>
      <c r="E12285" s="185" t="s">
        <v>470</v>
      </c>
      <c r="H12285" s="185"/>
    </row>
    <row r="12286">
      <c r="D12286" s="185"/>
      <c r="E12286" s="185" t="s">
        <v>470</v>
      </c>
      <c r="H12286" s="185"/>
    </row>
    <row r="12287">
      <c r="D12287" s="185"/>
      <c r="E12287" s="185" t="s">
        <v>470</v>
      </c>
      <c r="H12287" s="185"/>
    </row>
    <row r="12288">
      <c r="D12288" s="185"/>
      <c r="E12288" s="185" t="s">
        <v>470</v>
      </c>
      <c r="H12288" s="185"/>
    </row>
    <row r="12289">
      <c r="D12289" s="185"/>
      <c r="E12289" s="185" t="s">
        <v>470</v>
      </c>
      <c r="H12289" s="185"/>
    </row>
    <row r="12290">
      <c r="D12290" s="185"/>
      <c r="E12290" s="185" t="s">
        <v>470</v>
      </c>
      <c r="H12290" s="185"/>
    </row>
    <row r="12291">
      <c r="D12291" s="185"/>
      <c r="E12291" s="185" t="s">
        <v>470</v>
      </c>
      <c r="H12291" s="185"/>
    </row>
    <row r="12292">
      <c r="D12292" s="185"/>
      <c r="E12292" s="185" t="s">
        <v>470</v>
      </c>
      <c r="H12292" s="185"/>
    </row>
    <row r="12293">
      <c r="D12293" s="185"/>
      <c r="E12293" s="185" t="s">
        <v>470</v>
      </c>
      <c r="H12293" s="185"/>
    </row>
    <row r="12294">
      <c r="D12294" s="185"/>
      <c r="E12294" s="185" t="s">
        <v>470</v>
      </c>
      <c r="H12294" s="185"/>
    </row>
    <row r="12295">
      <c r="D12295" s="185"/>
      <c r="E12295" s="185" t="s">
        <v>470</v>
      </c>
      <c r="H12295" s="185"/>
    </row>
    <row r="12296">
      <c r="D12296" s="185"/>
      <c r="E12296" s="185" t="s">
        <v>470</v>
      </c>
      <c r="H12296" s="185"/>
    </row>
    <row r="12297">
      <c r="D12297" s="185"/>
      <c r="E12297" s="185" t="s">
        <v>470</v>
      </c>
      <c r="H12297" s="185"/>
    </row>
    <row r="12298">
      <c r="D12298" s="185"/>
      <c r="E12298" s="185" t="s">
        <v>470</v>
      </c>
      <c r="H12298" s="185"/>
    </row>
    <row r="12299">
      <c r="D12299" s="185"/>
      <c r="E12299" s="185" t="s">
        <v>470</v>
      </c>
      <c r="H12299" s="185"/>
    </row>
    <row r="12300">
      <c r="D12300" s="185"/>
      <c r="E12300" s="185" t="s">
        <v>470</v>
      </c>
      <c r="H12300" s="185"/>
    </row>
    <row r="12301">
      <c r="D12301" s="185"/>
      <c r="E12301" s="185" t="s">
        <v>470</v>
      </c>
      <c r="H12301" s="185"/>
    </row>
    <row r="12302">
      <c r="D12302" s="185"/>
      <c r="E12302" s="185" t="s">
        <v>470</v>
      </c>
      <c r="H12302" s="185"/>
    </row>
    <row r="12303">
      <c r="D12303" s="185"/>
      <c r="E12303" s="185" t="s">
        <v>470</v>
      </c>
      <c r="H12303" s="185"/>
    </row>
    <row r="12304">
      <c r="D12304" s="185"/>
      <c r="E12304" s="185" t="s">
        <v>470</v>
      </c>
      <c r="H12304" s="185"/>
    </row>
    <row r="12305">
      <c r="D12305" s="185"/>
      <c r="E12305" s="185" t="s">
        <v>470</v>
      </c>
      <c r="H12305" s="185"/>
    </row>
    <row r="12306">
      <c r="D12306" s="185"/>
      <c r="E12306" s="185" t="s">
        <v>470</v>
      </c>
      <c r="H12306" s="185"/>
    </row>
    <row r="12307">
      <c r="D12307" s="185"/>
      <c r="E12307" s="185" t="s">
        <v>470</v>
      </c>
      <c r="H12307" s="185"/>
    </row>
    <row r="12308">
      <c r="D12308" s="185"/>
      <c r="E12308" s="185" t="s">
        <v>470</v>
      </c>
      <c r="H12308" s="185"/>
    </row>
    <row r="12309">
      <c r="D12309" s="185"/>
      <c r="E12309" s="185" t="s">
        <v>470</v>
      </c>
      <c r="H12309" s="185"/>
    </row>
    <row r="12310">
      <c r="D12310" s="185"/>
      <c r="E12310" s="185" t="s">
        <v>470</v>
      </c>
      <c r="H12310" s="185"/>
    </row>
    <row r="12311">
      <c r="D12311" s="185"/>
      <c r="E12311" s="185" t="s">
        <v>470</v>
      </c>
      <c r="H12311" s="185"/>
    </row>
    <row r="12312">
      <c r="D12312" s="185"/>
      <c r="E12312" s="185" t="s">
        <v>470</v>
      </c>
      <c r="H12312" s="185"/>
    </row>
    <row r="12313">
      <c r="D12313" s="185"/>
      <c r="E12313" s="185" t="s">
        <v>470</v>
      </c>
      <c r="H12313" s="185"/>
    </row>
    <row r="12314">
      <c r="D12314" s="185"/>
      <c r="E12314" s="185" t="s">
        <v>470</v>
      </c>
      <c r="H12314" s="185"/>
    </row>
    <row r="12315">
      <c r="D12315" s="185"/>
      <c r="E12315" s="185" t="s">
        <v>470</v>
      </c>
      <c r="H12315" s="185"/>
    </row>
    <row r="12316">
      <c r="D12316" s="185"/>
      <c r="E12316" s="185" t="s">
        <v>470</v>
      </c>
      <c r="H12316" s="185"/>
    </row>
    <row r="12317">
      <c r="D12317" s="185"/>
      <c r="E12317" s="185" t="s">
        <v>470</v>
      </c>
      <c r="H12317" s="185"/>
    </row>
    <row r="12318">
      <c r="D12318" s="185"/>
      <c r="E12318" s="185" t="s">
        <v>470</v>
      </c>
      <c r="H12318" s="185"/>
    </row>
    <row r="12319">
      <c r="D12319" s="185"/>
      <c r="E12319" s="185" t="s">
        <v>470</v>
      </c>
      <c r="H12319" s="185"/>
    </row>
    <row r="12320">
      <c r="D12320" s="185"/>
      <c r="E12320" s="185" t="s">
        <v>470</v>
      </c>
      <c r="H12320" s="185"/>
    </row>
    <row r="12321">
      <c r="D12321" s="185"/>
      <c r="E12321" s="185" t="s">
        <v>470</v>
      </c>
      <c r="H12321" s="185"/>
    </row>
    <row r="12322">
      <c r="D12322" s="185"/>
      <c r="E12322" s="185" t="s">
        <v>470</v>
      </c>
      <c r="H12322" s="185"/>
    </row>
    <row r="12323">
      <c r="D12323" s="185"/>
      <c r="E12323" s="185" t="s">
        <v>470</v>
      </c>
      <c r="H12323" s="185"/>
    </row>
    <row r="12324">
      <c r="D12324" s="185"/>
      <c r="E12324" s="185" t="s">
        <v>470</v>
      </c>
      <c r="H12324" s="185"/>
    </row>
    <row r="12325">
      <c r="D12325" s="185"/>
      <c r="E12325" s="185" t="s">
        <v>470</v>
      </c>
      <c r="H12325" s="185"/>
    </row>
    <row r="12326">
      <c r="D12326" s="185"/>
      <c r="E12326" s="185" t="s">
        <v>470</v>
      </c>
      <c r="H12326" s="185"/>
    </row>
    <row r="12327">
      <c r="D12327" s="185"/>
      <c r="E12327" s="185" t="s">
        <v>470</v>
      </c>
      <c r="H12327" s="185"/>
    </row>
    <row r="12328">
      <c r="D12328" s="185"/>
      <c r="E12328" s="185" t="s">
        <v>470</v>
      </c>
      <c r="H12328" s="185"/>
    </row>
    <row r="12329">
      <c r="D12329" s="185"/>
      <c r="E12329" s="185" t="s">
        <v>470</v>
      </c>
      <c r="H12329" s="185"/>
    </row>
    <row r="12330">
      <c r="D12330" s="185"/>
      <c r="E12330" s="185" t="s">
        <v>470</v>
      </c>
      <c r="H12330" s="185"/>
    </row>
    <row r="12331">
      <c r="D12331" s="185"/>
      <c r="E12331" s="185" t="s">
        <v>470</v>
      </c>
      <c r="H12331" s="185"/>
    </row>
    <row r="12332">
      <c r="D12332" s="185"/>
      <c r="E12332" s="185" t="s">
        <v>470</v>
      </c>
      <c r="H12332" s="185"/>
    </row>
    <row r="12333">
      <c r="D12333" s="185"/>
      <c r="E12333" s="185" t="s">
        <v>470</v>
      </c>
      <c r="H12333" s="185"/>
    </row>
    <row r="12334">
      <c r="D12334" s="185"/>
      <c r="E12334" s="185" t="s">
        <v>470</v>
      </c>
      <c r="H12334" s="185"/>
    </row>
    <row r="12335">
      <c r="D12335" s="185"/>
      <c r="E12335" s="185" t="s">
        <v>470</v>
      </c>
      <c r="H12335" s="185"/>
    </row>
    <row r="12336">
      <c r="D12336" s="185"/>
      <c r="E12336" s="185" t="s">
        <v>470</v>
      </c>
      <c r="H12336" s="185"/>
    </row>
    <row r="12337">
      <c r="D12337" s="185"/>
      <c r="E12337" s="185" t="s">
        <v>470</v>
      </c>
      <c r="H12337" s="185"/>
    </row>
    <row r="12338">
      <c r="D12338" s="185"/>
      <c r="E12338" s="185" t="s">
        <v>470</v>
      </c>
      <c r="H12338" s="185"/>
    </row>
    <row r="12339">
      <c r="D12339" s="185"/>
      <c r="E12339" s="185" t="s">
        <v>470</v>
      </c>
      <c r="H12339" s="185"/>
    </row>
    <row r="12340">
      <c r="D12340" s="185"/>
      <c r="E12340" s="185" t="s">
        <v>470</v>
      </c>
      <c r="H12340" s="185"/>
    </row>
    <row r="12341">
      <c r="D12341" s="185"/>
      <c r="E12341" s="185" t="s">
        <v>470</v>
      </c>
      <c r="H12341" s="185"/>
    </row>
    <row r="12342">
      <c r="D12342" s="185"/>
      <c r="E12342" s="185" t="s">
        <v>470</v>
      </c>
      <c r="H12342" s="185"/>
    </row>
    <row r="12343">
      <c r="D12343" s="185"/>
      <c r="E12343" s="185" t="s">
        <v>470</v>
      </c>
      <c r="H12343" s="185"/>
    </row>
    <row r="12344">
      <c r="D12344" s="185"/>
      <c r="E12344" s="185" t="s">
        <v>470</v>
      </c>
      <c r="H12344" s="185"/>
    </row>
    <row r="12345">
      <c r="D12345" s="185"/>
      <c r="E12345" s="185" t="s">
        <v>470</v>
      </c>
      <c r="H12345" s="185"/>
    </row>
    <row r="12346">
      <c r="D12346" s="185"/>
      <c r="E12346" s="185" t="s">
        <v>470</v>
      </c>
      <c r="H12346" s="185"/>
    </row>
    <row r="12347">
      <c r="D12347" s="185"/>
      <c r="E12347" s="185" t="s">
        <v>470</v>
      </c>
      <c r="H12347" s="185"/>
    </row>
    <row r="12348">
      <c r="D12348" s="185"/>
      <c r="E12348" s="185" t="s">
        <v>470</v>
      </c>
      <c r="H12348" s="185"/>
    </row>
    <row r="12349">
      <c r="D12349" s="185"/>
      <c r="E12349" s="185" t="s">
        <v>470</v>
      </c>
      <c r="H12349" s="185"/>
    </row>
    <row r="12350">
      <c r="D12350" s="185"/>
      <c r="E12350" s="185" t="s">
        <v>470</v>
      </c>
      <c r="H12350" s="185"/>
    </row>
    <row r="12351">
      <c r="D12351" s="185"/>
      <c r="E12351" s="185" t="s">
        <v>470</v>
      </c>
      <c r="H12351" s="185"/>
    </row>
    <row r="12352">
      <c r="D12352" s="185"/>
      <c r="E12352" s="185" t="s">
        <v>470</v>
      </c>
      <c r="H12352" s="185"/>
    </row>
    <row r="12353">
      <c r="D12353" s="185"/>
      <c r="E12353" s="185" t="s">
        <v>470</v>
      </c>
      <c r="H12353" s="185"/>
    </row>
    <row r="12354">
      <c r="D12354" s="185"/>
      <c r="E12354" s="185" t="s">
        <v>470</v>
      </c>
      <c r="H12354" s="185"/>
    </row>
    <row r="12355">
      <c r="D12355" s="185"/>
      <c r="E12355" s="185" t="s">
        <v>470</v>
      </c>
      <c r="H12355" s="185"/>
    </row>
    <row r="12356">
      <c r="D12356" s="185"/>
      <c r="E12356" s="185" t="s">
        <v>470</v>
      </c>
      <c r="H12356" s="185"/>
    </row>
    <row r="12357">
      <c r="D12357" s="185"/>
      <c r="E12357" s="185" t="s">
        <v>470</v>
      </c>
      <c r="H12357" s="185"/>
    </row>
    <row r="12358">
      <c r="D12358" s="185"/>
      <c r="E12358" s="185" t="s">
        <v>470</v>
      </c>
      <c r="H12358" s="185"/>
    </row>
    <row r="12359">
      <c r="D12359" s="185"/>
      <c r="E12359" s="185" t="s">
        <v>470</v>
      </c>
      <c r="H12359" s="185"/>
    </row>
    <row r="12360">
      <c r="D12360" s="185"/>
      <c r="E12360" s="185" t="s">
        <v>470</v>
      </c>
      <c r="H12360" s="185"/>
    </row>
    <row r="12361">
      <c r="D12361" s="185"/>
      <c r="E12361" s="185" t="s">
        <v>470</v>
      </c>
      <c r="H12361" s="185"/>
    </row>
    <row r="12362">
      <c r="D12362" s="185"/>
      <c r="E12362" s="185" t="s">
        <v>470</v>
      </c>
      <c r="H12362" s="185"/>
    </row>
    <row r="12363">
      <c r="D12363" s="185"/>
      <c r="E12363" s="185" t="s">
        <v>470</v>
      </c>
      <c r="H12363" s="185"/>
    </row>
    <row r="12364">
      <c r="D12364" s="185"/>
      <c r="E12364" s="185" t="s">
        <v>470</v>
      </c>
      <c r="H12364" s="185"/>
    </row>
    <row r="12365">
      <c r="D12365" s="185"/>
      <c r="E12365" s="185" t="s">
        <v>470</v>
      </c>
      <c r="H12365" s="185"/>
    </row>
    <row r="12366">
      <c r="D12366" s="185"/>
      <c r="E12366" s="185" t="s">
        <v>470</v>
      </c>
      <c r="H12366" s="185"/>
    </row>
    <row r="12367">
      <c r="D12367" s="185"/>
      <c r="E12367" s="185" t="s">
        <v>470</v>
      </c>
      <c r="H12367" s="185"/>
    </row>
    <row r="12368">
      <c r="D12368" s="185"/>
      <c r="E12368" s="185" t="s">
        <v>470</v>
      </c>
      <c r="H12368" s="185"/>
    </row>
    <row r="12369">
      <c r="D12369" s="185"/>
      <c r="E12369" s="185" t="s">
        <v>470</v>
      </c>
      <c r="H12369" s="185"/>
    </row>
    <row r="12370">
      <c r="D12370" s="185"/>
      <c r="E12370" s="185" t="s">
        <v>470</v>
      </c>
      <c r="H12370" s="185"/>
    </row>
    <row r="12371">
      <c r="D12371" s="185"/>
      <c r="E12371" s="185" t="s">
        <v>470</v>
      </c>
      <c r="H12371" s="185"/>
    </row>
    <row r="12372">
      <c r="D12372" s="185"/>
      <c r="E12372" s="185" t="s">
        <v>470</v>
      </c>
      <c r="H12372" s="185"/>
    </row>
    <row r="12373">
      <c r="D12373" s="185"/>
      <c r="E12373" s="185" t="s">
        <v>470</v>
      </c>
      <c r="H12373" s="185"/>
    </row>
    <row r="12374">
      <c r="D12374" s="185"/>
      <c r="E12374" s="185" t="s">
        <v>470</v>
      </c>
      <c r="H12374" s="185"/>
    </row>
    <row r="12375">
      <c r="D12375" s="185"/>
      <c r="E12375" s="185" t="s">
        <v>470</v>
      </c>
      <c r="H12375" s="185"/>
    </row>
    <row r="12376">
      <c r="D12376" s="185"/>
      <c r="E12376" s="185" t="s">
        <v>470</v>
      </c>
      <c r="H12376" s="185"/>
    </row>
    <row r="12377">
      <c r="D12377" s="185"/>
      <c r="E12377" s="185" t="s">
        <v>470</v>
      </c>
      <c r="H12377" s="185"/>
    </row>
    <row r="12378">
      <c r="D12378" s="185"/>
      <c r="E12378" s="185" t="s">
        <v>470</v>
      </c>
      <c r="H12378" s="185"/>
    </row>
    <row r="12379">
      <c r="D12379" s="185"/>
      <c r="E12379" s="185" t="s">
        <v>470</v>
      </c>
      <c r="H12379" s="185"/>
    </row>
    <row r="12380">
      <c r="D12380" s="185"/>
      <c r="E12380" s="185" t="s">
        <v>470</v>
      </c>
      <c r="H12380" s="185"/>
    </row>
    <row r="12381">
      <c r="D12381" s="185"/>
      <c r="E12381" s="185" t="s">
        <v>470</v>
      </c>
      <c r="H12381" s="185"/>
    </row>
    <row r="12382">
      <c r="D12382" s="185"/>
      <c r="E12382" s="185" t="s">
        <v>470</v>
      </c>
      <c r="H12382" s="185"/>
    </row>
    <row r="12383">
      <c r="D12383" s="185"/>
      <c r="E12383" s="185" t="s">
        <v>470</v>
      </c>
      <c r="H12383" s="185"/>
    </row>
    <row r="12384">
      <c r="D12384" s="185"/>
      <c r="E12384" s="185" t="s">
        <v>470</v>
      </c>
      <c r="H12384" s="185"/>
    </row>
    <row r="12385">
      <c r="D12385" s="185"/>
      <c r="E12385" s="185" t="s">
        <v>470</v>
      </c>
      <c r="H12385" s="185"/>
    </row>
    <row r="12386">
      <c r="D12386" s="185"/>
      <c r="E12386" s="185" t="s">
        <v>470</v>
      </c>
      <c r="H12386" s="185"/>
    </row>
    <row r="12387">
      <c r="D12387" s="185"/>
      <c r="E12387" s="185" t="s">
        <v>470</v>
      </c>
      <c r="H12387" s="185"/>
    </row>
    <row r="12388">
      <c r="D12388" s="185"/>
      <c r="E12388" s="185" t="s">
        <v>470</v>
      </c>
      <c r="H12388" s="185"/>
    </row>
    <row r="12389">
      <c r="D12389" s="185"/>
      <c r="E12389" s="185" t="s">
        <v>470</v>
      </c>
      <c r="H12389" s="185"/>
    </row>
    <row r="12390">
      <c r="D12390" s="185"/>
      <c r="E12390" s="185" t="s">
        <v>470</v>
      </c>
      <c r="H12390" s="185"/>
    </row>
    <row r="12391">
      <c r="D12391" s="185"/>
      <c r="E12391" s="185" t="s">
        <v>470</v>
      </c>
      <c r="H12391" s="185"/>
    </row>
    <row r="12392">
      <c r="D12392" s="185"/>
      <c r="E12392" s="185" t="s">
        <v>470</v>
      </c>
      <c r="H12392" s="185"/>
    </row>
    <row r="12393">
      <c r="D12393" s="185"/>
      <c r="E12393" s="185" t="s">
        <v>470</v>
      </c>
      <c r="H12393" s="185"/>
    </row>
    <row r="12394">
      <c r="D12394" s="185"/>
      <c r="E12394" s="185" t="s">
        <v>470</v>
      </c>
      <c r="H12394" s="185"/>
    </row>
    <row r="12395">
      <c r="D12395" s="185"/>
      <c r="E12395" s="185" t="s">
        <v>470</v>
      </c>
      <c r="H12395" s="185"/>
    </row>
    <row r="12396">
      <c r="D12396" s="185"/>
      <c r="E12396" s="185" t="s">
        <v>470</v>
      </c>
      <c r="H12396" s="185"/>
    </row>
    <row r="12397">
      <c r="D12397" s="185"/>
      <c r="E12397" s="185" t="s">
        <v>470</v>
      </c>
      <c r="H12397" s="185"/>
    </row>
    <row r="12398">
      <c r="D12398" s="185"/>
      <c r="E12398" s="185" t="s">
        <v>470</v>
      </c>
      <c r="H12398" s="185"/>
    </row>
    <row r="12399">
      <c r="D12399" s="185"/>
      <c r="E12399" s="185" t="s">
        <v>470</v>
      </c>
      <c r="H12399" s="185"/>
    </row>
    <row r="12400">
      <c r="D12400" s="185"/>
      <c r="E12400" s="185" t="s">
        <v>470</v>
      </c>
      <c r="H12400" s="185"/>
    </row>
    <row r="12401">
      <c r="D12401" s="185"/>
      <c r="E12401" s="185" t="s">
        <v>470</v>
      </c>
      <c r="H12401" s="185"/>
    </row>
    <row r="12402">
      <c r="D12402" s="185"/>
      <c r="E12402" s="185" t="s">
        <v>470</v>
      </c>
      <c r="H12402" s="185"/>
    </row>
    <row r="12403">
      <c r="D12403" s="185"/>
      <c r="E12403" s="185" t="s">
        <v>470</v>
      </c>
      <c r="H12403" s="185"/>
    </row>
    <row r="12404">
      <c r="D12404" s="185"/>
      <c r="E12404" s="185" t="s">
        <v>470</v>
      </c>
      <c r="H12404" s="185"/>
    </row>
    <row r="12405">
      <c r="D12405" s="185"/>
      <c r="E12405" s="185" t="s">
        <v>470</v>
      </c>
      <c r="H12405" s="185"/>
    </row>
    <row r="12406">
      <c r="D12406" s="185"/>
      <c r="E12406" s="185" t="s">
        <v>470</v>
      </c>
      <c r="H12406" s="185"/>
    </row>
    <row r="12407">
      <c r="D12407" s="185"/>
      <c r="E12407" s="185" t="s">
        <v>470</v>
      </c>
      <c r="H12407" s="185"/>
    </row>
    <row r="12408">
      <c r="D12408" s="185"/>
      <c r="E12408" s="185" t="s">
        <v>470</v>
      </c>
      <c r="H12408" s="185"/>
    </row>
    <row r="12409">
      <c r="D12409" s="185"/>
      <c r="E12409" s="185" t="s">
        <v>470</v>
      </c>
      <c r="H12409" s="185"/>
    </row>
    <row r="12410">
      <c r="D12410" s="185"/>
      <c r="E12410" s="185" t="s">
        <v>470</v>
      </c>
      <c r="H12410" s="185"/>
    </row>
    <row r="12411">
      <c r="D12411" s="185"/>
      <c r="E12411" s="185" t="s">
        <v>470</v>
      </c>
      <c r="H12411" s="185"/>
    </row>
    <row r="12412">
      <c r="D12412" s="185"/>
      <c r="E12412" s="185" t="s">
        <v>470</v>
      </c>
      <c r="H12412" s="185"/>
    </row>
    <row r="12413">
      <c r="D12413" s="185"/>
      <c r="E12413" s="185" t="s">
        <v>470</v>
      </c>
      <c r="H12413" s="185"/>
    </row>
    <row r="12414">
      <c r="D12414" s="185"/>
      <c r="E12414" s="185" t="s">
        <v>470</v>
      </c>
      <c r="H12414" s="185"/>
    </row>
    <row r="12415">
      <c r="D12415" s="185"/>
      <c r="E12415" s="185" t="s">
        <v>470</v>
      </c>
      <c r="H12415" s="185"/>
    </row>
    <row r="12416">
      <c r="D12416" s="185"/>
      <c r="E12416" s="185" t="s">
        <v>470</v>
      </c>
      <c r="H12416" s="185"/>
    </row>
    <row r="12417">
      <c r="D12417" s="185"/>
      <c r="E12417" s="185" t="s">
        <v>470</v>
      </c>
      <c r="H12417" s="185"/>
    </row>
    <row r="12418">
      <c r="D12418" s="185"/>
      <c r="E12418" s="185" t="s">
        <v>470</v>
      </c>
      <c r="H12418" s="185"/>
    </row>
    <row r="12419">
      <c r="D12419" s="185"/>
      <c r="E12419" s="185" t="s">
        <v>470</v>
      </c>
      <c r="H12419" s="185"/>
    </row>
    <row r="12420">
      <c r="D12420" s="185"/>
      <c r="E12420" s="185" t="s">
        <v>470</v>
      </c>
      <c r="H12420" s="185"/>
    </row>
    <row r="12421">
      <c r="D12421" s="185"/>
      <c r="E12421" s="185" t="s">
        <v>470</v>
      </c>
      <c r="H12421" s="185"/>
    </row>
    <row r="12422">
      <c r="D12422" s="185"/>
      <c r="E12422" s="185" t="s">
        <v>470</v>
      </c>
      <c r="H12422" s="185"/>
    </row>
    <row r="12423">
      <c r="D12423" s="185"/>
      <c r="E12423" s="185" t="s">
        <v>470</v>
      </c>
      <c r="H12423" s="185"/>
    </row>
    <row r="12424">
      <c r="D12424" s="185"/>
      <c r="E12424" s="185" t="s">
        <v>470</v>
      </c>
      <c r="H12424" s="185"/>
    </row>
    <row r="12425">
      <c r="D12425" s="185"/>
      <c r="E12425" s="185" t="s">
        <v>470</v>
      </c>
      <c r="H12425" s="185"/>
    </row>
    <row r="12426">
      <c r="D12426" s="185"/>
      <c r="E12426" s="185" t="s">
        <v>470</v>
      </c>
      <c r="H12426" s="185"/>
    </row>
    <row r="12427">
      <c r="D12427" s="185"/>
      <c r="E12427" s="185" t="s">
        <v>470</v>
      </c>
      <c r="H12427" s="185"/>
    </row>
    <row r="12428">
      <c r="D12428" s="185"/>
      <c r="E12428" s="185" t="s">
        <v>470</v>
      </c>
      <c r="H12428" s="185"/>
    </row>
    <row r="12429">
      <c r="D12429" s="185"/>
      <c r="E12429" s="185" t="s">
        <v>470</v>
      </c>
      <c r="H12429" s="185"/>
    </row>
    <row r="12430">
      <c r="D12430" s="185"/>
      <c r="E12430" s="185" t="s">
        <v>470</v>
      </c>
      <c r="H12430" s="185"/>
    </row>
    <row r="12431">
      <c r="D12431" s="185"/>
      <c r="E12431" s="185" t="s">
        <v>470</v>
      </c>
      <c r="H12431" s="185"/>
    </row>
    <row r="12432">
      <c r="D12432" s="185"/>
      <c r="E12432" s="185" t="s">
        <v>470</v>
      </c>
      <c r="H12432" s="185"/>
    </row>
    <row r="12433">
      <c r="D12433" s="185"/>
      <c r="E12433" s="185" t="s">
        <v>470</v>
      </c>
      <c r="H12433" s="185"/>
    </row>
    <row r="12434">
      <c r="D12434" s="185"/>
      <c r="E12434" s="185" t="s">
        <v>470</v>
      </c>
      <c r="H12434" s="185"/>
    </row>
    <row r="12435">
      <c r="D12435" s="185"/>
      <c r="E12435" s="185" t="s">
        <v>470</v>
      </c>
      <c r="H12435" s="185"/>
    </row>
    <row r="12436">
      <c r="D12436" s="185"/>
      <c r="E12436" s="185" t="s">
        <v>470</v>
      </c>
      <c r="H12436" s="185"/>
    </row>
    <row r="12437">
      <c r="D12437" s="185"/>
      <c r="E12437" s="185" t="s">
        <v>470</v>
      </c>
      <c r="H12437" s="185"/>
    </row>
    <row r="12438">
      <c r="D12438" s="185"/>
      <c r="E12438" s="185" t="s">
        <v>470</v>
      </c>
      <c r="H12438" s="185"/>
    </row>
    <row r="12439">
      <c r="D12439" s="185"/>
      <c r="E12439" s="185" t="s">
        <v>470</v>
      </c>
      <c r="H12439" s="185"/>
    </row>
    <row r="12440">
      <c r="D12440" s="185"/>
      <c r="E12440" s="185" t="s">
        <v>470</v>
      </c>
      <c r="H12440" s="185"/>
    </row>
    <row r="12441">
      <c r="D12441" s="185"/>
      <c r="E12441" s="185" t="s">
        <v>470</v>
      </c>
      <c r="H12441" s="185"/>
    </row>
    <row r="12442">
      <c r="D12442" s="185"/>
      <c r="E12442" s="185" t="s">
        <v>470</v>
      </c>
      <c r="H12442" s="185"/>
    </row>
    <row r="12443">
      <c r="D12443" s="185"/>
      <c r="E12443" s="185" t="s">
        <v>470</v>
      </c>
      <c r="H12443" s="185"/>
    </row>
    <row r="12444">
      <c r="D12444" s="185"/>
      <c r="E12444" s="185" t="s">
        <v>470</v>
      </c>
      <c r="H12444" s="185"/>
    </row>
    <row r="12445">
      <c r="D12445" s="185"/>
      <c r="E12445" s="185" t="s">
        <v>470</v>
      </c>
      <c r="H12445" s="185"/>
    </row>
    <row r="12446">
      <c r="D12446" s="185"/>
      <c r="E12446" s="185" t="s">
        <v>470</v>
      </c>
      <c r="H12446" s="185"/>
    </row>
    <row r="12447">
      <c r="D12447" s="185"/>
      <c r="E12447" s="185" t="s">
        <v>470</v>
      </c>
      <c r="H12447" s="185"/>
    </row>
    <row r="12448">
      <c r="D12448" s="185"/>
      <c r="E12448" s="185" t="s">
        <v>470</v>
      </c>
      <c r="H12448" s="185"/>
    </row>
    <row r="12449">
      <c r="D12449" s="185"/>
      <c r="E12449" s="185" t="s">
        <v>470</v>
      </c>
      <c r="H12449" s="185"/>
    </row>
    <row r="12450">
      <c r="D12450" s="185"/>
      <c r="E12450" s="185" t="s">
        <v>470</v>
      </c>
      <c r="H12450" s="185"/>
    </row>
    <row r="12451">
      <c r="D12451" s="185"/>
      <c r="E12451" s="185" t="s">
        <v>470</v>
      </c>
      <c r="H12451" s="185"/>
    </row>
    <row r="12452">
      <c r="D12452" s="185"/>
      <c r="E12452" s="185" t="s">
        <v>470</v>
      </c>
      <c r="H12452" s="185"/>
    </row>
    <row r="12453">
      <c r="D12453" s="185"/>
      <c r="E12453" s="185" t="s">
        <v>470</v>
      </c>
      <c r="H12453" s="185"/>
    </row>
    <row r="12454">
      <c r="D12454" s="185"/>
      <c r="E12454" s="185" t="s">
        <v>470</v>
      </c>
      <c r="H12454" s="185"/>
    </row>
    <row r="12455">
      <c r="D12455" s="185"/>
      <c r="E12455" s="185" t="s">
        <v>470</v>
      </c>
      <c r="H12455" s="185"/>
    </row>
    <row r="12456">
      <c r="D12456" s="185"/>
      <c r="E12456" s="185" t="s">
        <v>470</v>
      </c>
      <c r="H12456" s="185"/>
    </row>
    <row r="12457">
      <c r="D12457" s="185"/>
      <c r="E12457" s="185" t="s">
        <v>470</v>
      </c>
      <c r="H12457" s="185"/>
    </row>
    <row r="12458">
      <c r="D12458" s="185"/>
      <c r="E12458" s="185" t="s">
        <v>470</v>
      </c>
      <c r="H12458" s="185"/>
    </row>
    <row r="12459">
      <c r="D12459" s="185"/>
      <c r="E12459" s="185" t="s">
        <v>470</v>
      </c>
      <c r="H12459" s="185"/>
    </row>
    <row r="12460">
      <c r="D12460" s="185"/>
      <c r="E12460" s="185" t="s">
        <v>470</v>
      </c>
      <c r="H12460" s="185"/>
    </row>
    <row r="12461">
      <c r="D12461" s="185"/>
      <c r="E12461" s="185" t="s">
        <v>470</v>
      </c>
      <c r="H12461" s="185"/>
    </row>
    <row r="12462">
      <c r="D12462" s="185"/>
      <c r="E12462" s="185" t="s">
        <v>470</v>
      </c>
      <c r="H12462" s="185"/>
    </row>
    <row r="12463">
      <c r="D12463" s="185"/>
      <c r="E12463" s="185" t="s">
        <v>470</v>
      </c>
      <c r="H12463" s="185"/>
    </row>
    <row r="12464">
      <c r="D12464" s="185"/>
      <c r="E12464" s="185" t="s">
        <v>470</v>
      </c>
      <c r="H12464" s="185"/>
    </row>
    <row r="12465">
      <c r="D12465" s="185"/>
      <c r="E12465" s="185" t="s">
        <v>470</v>
      </c>
      <c r="H12465" s="185"/>
    </row>
    <row r="12466">
      <c r="D12466" s="185"/>
      <c r="E12466" s="185" t="s">
        <v>470</v>
      </c>
      <c r="H12466" s="185"/>
    </row>
    <row r="12467">
      <c r="D12467" s="185"/>
      <c r="E12467" s="185" t="s">
        <v>470</v>
      </c>
      <c r="H12467" s="185"/>
    </row>
    <row r="12468">
      <c r="D12468" s="185"/>
      <c r="E12468" s="185" t="s">
        <v>470</v>
      </c>
      <c r="H12468" s="185"/>
    </row>
    <row r="12469">
      <c r="D12469" s="185"/>
      <c r="E12469" s="185" t="s">
        <v>470</v>
      </c>
      <c r="H12469" s="185"/>
    </row>
    <row r="12470">
      <c r="D12470" s="185"/>
      <c r="E12470" s="185" t="s">
        <v>470</v>
      </c>
      <c r="H12470" s="185"/>
    </row>
    <row r="12471">
      <c r="D12471" s="185"/>
      <c r="E12471" s="185" t="s">
        <v>470</v>
      </c>
      <c r="H12471" s="185"/>
    </row>
    <row r="12472">
      <c r="D12472" s="185"/>
      <c r="E12472" s="185" t="s">
        <v>470</v>
      </c>
      <c r="H12472" s="185"/>
    </row>
    <row r="12473">
      <c r="D12473" s="185"/>
      <c r="E12473" s="185" t="s">
        <v>470</v>
      </c>
      <c r="H12473" s="185"/>
    </row>
    <row r="12474">
      <c r="D12474" s="185"/>
      <c r="E12474" s="185" t="s">
        <v>470</v>
      </c>
      <c r="H12474" s="185"/>
    </row>
    <row r="12475">
      <c r="D12475" s="185"/>
      <c r="E12475" s="185" t="s">
        <v>470</v>
      </c>
      <c r="H12475" s="185"/>
    </row>
    <row r="12476">
      <c r="D12476" s="185"/>
      <c r="E12476" s="185" t="s">
        <v>470</v>
      </c>
      <c r="H12476" s="185"/>
    </row>
    <row r="12477">
      <c r="D12477" s="185"/>
      <c r="E12477" s="185" t="s">
        <v>470</v>
      </c>
      <c r="H12477" s="185"/>
    </row>
    <row r="12478">
      <c r="D12478" s="185"/>
      <c r="E12478" s="185" t="s">
        <v>470</v>
      </c>
      <c r="H12478" s="185"/>
    </row>
    <row r="12479">
      <c r="D12479" s="185"/>
      <c r="E12479" s="185" t="s">
        <v>470</v>
      </c>
      <c r="H12479" s="185"/>
    </row>
    <row r="12480">
      <c r="D12480" s="185"/>
      <c r="E12480" s="185" t="s">
        <v>470</v>
      </c>
      <c r="H12480" s="185"/>
    </row>
    <row r="12481">
      <c r="D12481" s="185"/>
      <c r="E12481" s="185" t="s">
        <v>470</v>
      </c>
      <c r="H12481" s="185"/>
    </row>
    <row r="12482">
      <c r="D12482" s="185"/>
      <c r="E12482" s="185" t="s">
        <v>470</v>
      </c>
      <c r="H12482" s="185"/>
    </row>
    <row r="12483">
      <c r="D12483" s="185"/>
      <c r="E12483" s="185" t="s">
        <v>470</v>
      </c>
      <c r="H12483" s="185"/>
    </row>
    <row r="12484">
      <c r="D12484" s="185"/>
      <c r="E12484" s="185" t="s">
        <v>470</v>
      </c>
      <c r="H12484" s="185"/>
    </row>
    <row r="12485">
      <c r="D12485" s="185"/>
      <c r="E12485" s="185" t="s">
        <v>470</v>
      </c>
      <c r="H12485" s="185"/>
    </row>
    <row r="12486">
      <c r="D12486" s="185"/>
      <c r="E12486" s="185" t="s">
        <v>470</v>
      </c>
      <c r="H12486" s="185"/>
    </row>
    <row r="12487">
      <c r="D12487" s="185"/>
      <c r="E12487" s="185" t="s">
        <v>470</v>
      </c>
      <c r="H12487" s="185"/>
    </row>
    <row r="12488">
      <c r="D12488" s="185"/>
      <c r="E12488" s="185" t="s">
        <v>470</v>
      </c>
      <c r="H12488" s="185"/>
    </row>
    <row r="12489">
      <c r="D12489" s="185"/>
      <c r="E12489" s="185" t="s">
        <v>470</v>
      </c>
      <c r="H12489" s="185"/>
    </row>
    <row r="12490">
      <c r="D12490" s="185"/>
      <c r="E12490" s="185" t="s">
        <v>470</v>
      </c>
      <c r="H12490" s="185"/>
    </row>
    <row r="12491">
      <c r="D12491" s="185"/>
      <c r="E12491" s="185" t="s">
        <v>470</v>
      </c>
      <c r="H12491" s="185"/>
    </row>
    <row r="12492">
      <c r="D12492" s="185"/>
      <c r="E12492" s="185" t="s">
        <v>470</v>
      </c>
      <c r="H12492" s="185"/>
    </row>
    <row r="12493">
      <c r="D12493" s="185"/>
      <c r="E12493" s="185" t="s">
        <v>470</v>
      </c>
      <c r="H12493" s="185"/>
    </row>
    <row r="12494">
      <c r="D12494" s="185"/>
      <c r="E12494" s="185" t="s">
        <v>470</v>
      </c>
      <c r="H12494" s="185"/>
    </row>
    <row r="12495">
      <c r="D12495" s="185"/>
      <c r="E12495" s="185" t="s">
        <v>470</v>
      </c>
      <c r="H12495" s="185"/>
    </row>
    <row r="12496">
      <c r="D12496" s="185"/>
      <c r="E12496" s="185" t="s">
        <v>470</v>
      </c>
      <c r="H12496" s="185"/>
    </row>
    <row r="12497">
      <c r="D12497" s="185"/>
      <c r="E12497" s="185" t="s">
        <v>470</v>
      </c>
      <c r="H12497" s="185"/>
    </row>
    <row r="12498">
      <c r="D12498" s="185"/>
      <c r="E12498" s="185" t="s">
        <v>470</v>
      </c>
      <c r="H12498" s="185"/>
    </row>
    <row r="12499">
      <c r="D12499" s="185"/>
      <c r="E12499" s="185" t="s">
        <v>470</v>
      </c>
      <c r="H12499" s="185"/>
    </row>
    <row r="12500">
      <c r="D12500" s="185"/>
      <c r="E12500" s="185" t="s">
        <v>470</v>
      </c>
      <c r="H12500" s="185"/>
    </row>
    <row r="12501">
      <c r="D12501" s="185"/>
      <c r="E12501" s="185" t="s">
        <v>470</v>
      </c>
      <c r="H12501" s="185"/>
    </row>
    <row r="12502">
      <c r="D12502" s="185"/>
      <c r="E12502" s="185" t="s">
        <v>470</v>
      </c>
      <c r="H12502" s="185"/>
    </row>
    <row r="12503">
      <c r="D12503" s="185"/>
      <c r="E12503" s="185" t="s">
        <v>470</v>
      </c>
      <c r="H12503" s="185"/>
    </row>
    <row r="12504">
      <c r="D12504" s="185"/>
      <c r="E12504" s="185" t="s">
        <v>470</v>
      </c>
      <c r="H12504" s="185"/>
    </row>
    <row r="12505">
      <c r="D12505" s="185"/>
      <c r="E12505" s="185" t="s">
        <v>470</v>
      </c>
      <c r="H12505" s="185"/>
    </row>
    <row r="12506">
      <c r="D12506" s="185"/>
      <c r="E12506" s="185" t="s">
        <v>470</v>
      </c>
      <c r="H12506" s="185"/>
    </row>
    <row r="12507">
      <c r="D12507" s="185"/>
      <c r="E12507" s="185" t="s">
        <v>470</v>
      </c>
      <c r="H12507" s="185"/>
    </row>
    <row r="12508">
      <c r="D12508" s="185"/>
      <c r="E12508" s="185" t="s">
        <v>470</v>
      </c>
      <c r="H12508" s="185"/>
    </row>
    <row r="12509">
      <c r="D12509" s="185"/>
      <c r="E12509" s="185" t="s">
        <v>470</v>
      </c>
      <c r="H12509" s="185"/>
    </row>
    <row r="12510">
      <c r="D12510" s="185"/>
      <c r="E12510" s="185" t="s">
        <v>470</v>
      </c>
      <c r="H12510" s="185"/>
    </row>
    <row r="12511">
      <c r="D12511" s="185"/>
      <c r="E12511" s="185" t="s">
        <v>470</v>
      </c>
      <c r="H12511" s="185"/>
    </row>
    <row r="12512">
      <c r="D12512" s="185"/>
      <c r="E12512" s="185" t="s">
        <v>470</v>
      </c>
      <c r="H12512" s="185"/>
    </row>
    <row r="12513">
      <c r="D12513" s="185"/>
      <c r="E12513" s="185" t="s">
        <v>470</v>
      </c>
      <c r="H12513" s="185"/>
    </row>
    <row r="12514">
      <c r="D12514" s="185"/>
      <c r="E12514" s="185" t="s">
        <v>470</v>
      </c>
      <c r="H12514" s="185"/>
    </row>
    <row r="12515">
      <c r="D12515" s="185"/>
      <c r="E12515" s="185" t="s">
        <v>470</v>
      </c>
      <c r="H12515" s="185"/>
    </row>
    <row r="12516">
      <c r="D12516" s="185"/>
      <c r="E12516" s="185" t="s">
        <v>470</v>
      </c>
      <c r="H12516" s="185"/>
    </row>
    <row r="12517">
      <c r="D12517" s="185"/>
      <c r="E12517" s="185" t="s">
        <v>470</v>
      </c>
      <c r="H12517" s="185"/>
    </row>
    <row r="12518">
      <c r="D12518" s="185"/>
      <c r="E12518" s="185" t="s">
        <v>470</v>
      </c>
      <c r="H12518" s="185"/>
    </row>
    <row r="12519">
      <c r="D12519" s="185"/>
      <c r="E12519" s="185" t="s">
        <v>470</v>
      </c>
      <c r="H12519" s="185"/>
    </row>
    <row r="12520">
      <c r="D12520" s="185"/>
      <c r="E12520" s="185" t="s">
        <v>470</v>
      </c>
      <c r="H12520" s="185"/>
    </row>
    <row r="12521">
      <c r="D12521" s="185"/>
      <c r="E12521" s="185" t="s">
        <v>470</v>
      </c>
      <c r="H12521" s="185"/>
    </row>
    <row r="12522">
      <c r="D12522" s="185"/>
      <c r="E12522" s="185" t="s">
        <v>470</v>
      </c>
      <c r="H12522" s="185"/>
    </row>
    <row r="12523">
      <c r="D12523" s="185"/>
      <c r="E12523" s="185" t="s">
        <v>470</v>
      </c>
      <c r="H12523" s="185"/>
    </row>
    <row r="12524">
      <c r="D12524" s="185"/>
      <c r="E12524" s="185" t="s">
        <v>470</v>
      </c>
      <c r="H12524" s="185"/>
    </row>
    <row r="12525">
      <c r="D12525" s="185"/>
      <c r="E12525" s="185" t="s">
        <v>470</v>
      </c>
      <c r="H12525" s="185"/>
    </row>
    <row r="12526">
      <c r="D12526" s="185"/>
      <c r="E12526" s="185" t="s">
        <v>470</v>
      </c>
      <c r="H12526" s="185"/>
    </row>
    <row r="12527">
      <c r="D12527" s="185"/>
      <c r="E12527" s="185" t="s">
        <v>470</v>
      </c>
      <c r="H12527" s="185"/>
    </row>
    <row r="12528">
      <c r="D12528" s="185"/>
      <c r="E12528" s="185" t="s">
        <v>470</v>
      </c>
      <c r="H12528" s="185"/>
    </row>
    <row r="12529">
      <c r="D12529" s="185"/>
      <c r="E12529" s="185" t="s">
        <v>470</v>
      </c>
      <c r="H12529" s="185"/>
    </row>
    <row r="12530">
      <c r="D12530" s="185"/>
      <c r="E12530" s="185" t="s">
        <v>470</v>
      </c>
      <c r="H12530" s="185"/>
    </row>
    <row r="12531">
      <c r="D12531" s="185"/>
      <c r="E12531" s="185" t="s">
        <v>470</v>
      </c>
      <c r="H12531" s="185"/>
    </row>
    <row r="12532">
      <c r="D12532" s="185"/>
      <c r="E12532" s="185" t="s">
        <v>470</v>
      </c>
      <c r="H12532" s="185"/>
    </row>
    <row r="12533">
      <c r="D12533" s="185"/>
      <c r="E12533" s="185" t="s">
        <v>470</v>
      </c>
      <c r="H12533" s="185"/>
    </row>
    <row r="12534">
      <c r="D12534" s="185"/>
      <c r="E12534" s="185" t="s">
        <v>470</v>
      </c>
      <c r="H12534" s="185"/>
    </row>
    <row r="12535">
      <c r="D12535" s="185"/>
      <c r="E12535" s="185" t="s">
        <v>470</v>
      </c>
      <c r="H12535" s="185"/>
    </row>
    <row r="12536">
      <c r="D12536" s="185"/>
      <c r="E12536" s="185" t="s">
        <v>470</v>
      </c>
      <c r="H12536" s="185"/>
    </row>
    <row r="12537">
      <c r="D12537" s="185"/>
      <c r="E12537" s="185" t="s">
        <v>470</v>
      </c>
      <c r="H12537" s="185"/>
    </row>
    <row r="12538">
      <c r="D12538" s="185"/>
      <c r="E12538" s="185" t="s">
        <v>470</v>
      </c>
      <c r="H12538" s="185"/>
    </row>
    <row r="12539">
      <c r="D12539" s="185"/>
      <c r="E12539" s="185" t="s">
        <v>470</v>
      </c>
      <c r="H12539" s="185"/>
    </row>
    <row r="12540">
      <c r="D12540" s="185"/>
      <c r="E12540" s="185" t="s">
        <v>470</v>
      </c>
      <c r="H12540" s="185"/>
    </row>
    <row r="12541">
      <c r="D12541" s="185"/>
      <c r="E12541" s="185" t="s">
        <v>470</v>
      </c>
      <c r="H12541" s="185"/>
    </row>
    <row r="12542">
      <c r="D12542" s="185"/>
      <c r="E12542" s="185" t="s">
        <v>470</v>
      </c>
      <c r="H12542" s="185"/>
    </row>
    <row r="12543">
      <c r="D12543" s="185"/>
      <c r="E12543" s="185" t="s">
        <v>470</v>
      </c>
      <c r="H12543" s="185"/>
    </row>
    <row r="12544">
      <c r="D12544" s="185"/>
      <c r="E12544" s="185" t="s">
        <v>470</v>
      </c>
      <c r="H12544" s="185"/>
    </row>
    <row r="12545">
      <c r="D12545" s="185"/>
      <c r="E12545" s="185" t="s">
        <v>470</v>
      </c>
      <c r="H12545" s="185"/>
    </row>
    <row r="12546">
      <c r="D12546" s="185"/>
      <c r="E12546" s="185" t="s">
        <v>470</v>
      </c>
      <c r="H12546" s="185"/>
    </row>
    <row r="12547">
      <c r="D12547" s="185"/>
      <c r="E12547" s="185" t="s">
        <v>470</v>
      </c>
      <c r="H12547" s="185"/>
    </row>
    <row r="12548">
      <c r="D12548" s="185"/>
      <c r="E12548" s="185" t="s">
        <v>470</v>
      </c>
      <c r="H12548" s="185"/>
    </row>
    <row r="12549">
      <c r="D12549" s="185"/>
      <c r="E12549" s="185" t="s">
        <v>470</v>
      </c>
      <c r="H12549" s="185"/>
    </row>
    <row r="12550">
      <c r="D12550" s="185"/>
      <c r="E12550" s="185" t="s">
        <v>470</v>
      </c>
      <c r="H12550" s="185"/>
    </row>
    <row r="12551">
      <c r="D12551" s="185"/>
      <c r="E12551" s="185" t="s">
        <v>470</v>
      </c>
      <c r="H12551" s="185"/>
    </row>
    <row r="12552">
      <c r="D12552" s="185"/>
      <c r="E12552" s="185" t="s">
        <v>470</v>
      </c>
      <c r="H12552" s="185"/>
    </row>
    <row r="12553">
      <c r="D12553" s="185"/>
      <c r="E12553" s="185" t="s">
        <v>470</v>
      </c>
      <c r="H12553" s="185"/>
    </row>
    <row r="12554">
      <c r="D12554" s="185"/>
      <c r="E12554" s="185" t="s">
        <v>470</v>
      </c>
      <c r="H12554" s="185"/>
    </row>
    <row r="12555">
      <c r="D12555" s="185"/>
      <c r="E12555" s="185" t="s">
        <v>470</v>
      </c>
      <c r="H12555" s="185"/>
    </row>
    <row r="12556">
      <c r="D12556" s="185"/>
      <c r="E12556" s="185" t="s">
        <v>470</v>
      </c>
      <c r="H12556" s="185"/>
    </row>
    <row r="12557">
      <c r="D12557" s="185"/>
      <c r="E12557" s="185" t="s">
        <v>470</v>
      </c>
      <c r="H12557" s="185"/>
    </row>
    <row r="12558">
      <c r="D12558" s="185"/>
      <c r="E12558" s="185" t="s">
        <v>470</v>
      </c>
      <c r="H12558" s="185"/>
    </row>
    <row r="12559">
      <c r="D12559" s="185"/>
      <c r="E12559" s="185" t="s">
        <v>470</v>
      </c>
      <c r="H12559" s="185"/>
    </row>
    <row r="12560">
      <c r="D12560" s="185"/>
      <c r="E12560" s="185" t="s">
        <v>470</v>
      </c>
      <c r="H12560" s="185"/>
    </row>
    <row r="12561">
      <c r="D12561" s="185"/>
      <c r="E12561" s="185" t="s">
        <v>470</v>
      </c>
      <c r="H12561" s="185"/>
    </row>
    <row r="12562">
      <c r="D12562" s="185"/>
      <c r="E12562" s="185" t="s">
        <v>470</v>
      </c>
      <c r="H12562" s="185"/>
    </row>
    <row r="12563">
      <c r="D12563" s="185"/>
      <c r="E12563" s="185" t="s">
        <v>470</v>
      </c>
      <c r="H12563" s="185"/>
    </row>
    <row r="12564">
      <c r="D12564" s="185"/>
      <c r="E12564" s="185" t="s">
        <v>470</v>
      </c>
      <c r="H12564" s="185"/>
    </row>
    <row r="12565">
      <c r="D12565" s="185"/>
      <c r="E12565" s="185" t="s">
        <v>470</v>
      </c>
      <c r="H12565" s="185"/>
    </row>
    <row r="12566">
      <c r="D12566" s="185"/>
      <c r="E12566" s="185" t="s">
        <v>470</v>
      </c>
      <c r="H12566" s="185"/>
    </row>
    <row r="12567">
      <c r="D12567" s="185"/>
      <c r="E12567" s="185" t="s">
        <v>470</v>
      </c>
      <c r="H12567" s="185"/>
    </row>
    <row r="12568">
      <c r="D12568" s="185"/>
      <c r="E12568" s="185" t="s">
        <v>470</v>
      </c>
      <c r="H12568" s="185"/>
    </row>
    <row r="12569">
      <c r="D12569" s="185"/>
      <c r="E12569" s="185" t="s">
        <v>470</v>
      </c>
      <c r="H12569" s="185"/>
    </row>
    <row r="12570">
      <c r="D12570" s="185"/>
      <c r="E12570" s="185" t="s">
        <v>470</v>
      </c>
      <c r="H12570" s="185"/>
    </row>
    <row r="12571">
      <c r="D12571" s="185"/>
      <c r="E12571" s="185" t="s">
        <v>470</v>
      </c>
      <c r="H12571" s="185"/>
    </row>
    <row r="12572">
      <c r="D12572" s="185"/>
      <c r="E12572" s="185" t="s">
        <v>470</v>
      </c>
      <c r="H12572" s="185"/>
    </row>
    <row r="12573">
      <c r="D12573" s="185"/>
      <c r="E12573" s="185" t="s">
        <v>470</v>
      </c>
      <c r="H12573" s="185"/>
    </row>
    <row r="12574">
      <c r="D12574" s="185"/>
      <c r="E12574" s="185" t="s">
        <v>470</v>
      </c>
      <c r="H12574" s="185"/>
    </row>
    <row r="12575">
      <c r="D12575" s="185"/>
      <c r="E12575" s="185" t="s">
        <v>470</v>
      </c>
      <c r="H12575" s="185"/>
    </row>
    <row r="12576">
      <c r="D12576" s="185"/>
      <c r="E12576" s="185" t="s">
        <v>470</v>
      </c>
      <c r="H12576" s="185"/>
    </row>
    <row r="12577">
      <c r="D12577" s="185"/>
      <c r="E12577" s="185" t="s">
        <v>470</v>
      </c>
      <c r="H12577" s="185"/>
    </row>
    <row r="12578">
      <c r="D12578" s="185"/>
      <c r="E12578" s="185" t="s">
        <v>470</v>
      </c>
      <c r="H12578" s="185"/>
    </row>
    <row r="12579">
      <c r="D12579" s="185"/>
      <c r="E12579" s="185" t="s">
        <v>470</v>
      </c>
      <c r="H12579" s="185"/>
    </row>
    <row r="12580">
      <c r="D12580" s="185"/>
      <c r="E12580" s="185" t="s">
        <v>470</v>
      </c>
      <c r="H12580" s="185"/>
    </row>
    <row r="12581">
      <c r="D12581" s="185"/>
      <c r="E12581" s="185" t="s">
        <v>470</v>
      </c>
      <c r="H12581" s="185"/>
    </row>
    <row r="12582">
      <c r="D12582" s="185"/>
      <c r="E12582" s="185" t="s">
        <v>470</v>
      </c>
      <c r="H12582" s="185"/>
    </row>
    <row r="12583">
      <c r="D12583" s="185"/>
      <c r="E12583" s="185" t="s">
        <v>470</v>
      </c>
      <c r="H12583" s="185"/>
    </row>
    <row r="12584">
      <c r="D12584" s="185"/>
      <c r="E12584" s="185" t="s">
        <v>470</v>
      </c>
      <c r="H12584" s="185"/>
    </row>
    <row r="12585">
      <c r="D12585" s="185"/>
      <c r="E12585" s="185" t="s">
        <v>470</v>
      </c>
      <c r="H12585" s="185"/>
    </row>
    <row r="12586">
      <c r="D12586" s="185"/>
      <c r="E12586" s="185" t="s">
        <v>470</v>
      </c>
      <c r="H12586" s="185"/>
    </row>
    <row r="12587">
      <c r="D12587" s="185"/>
      <c r="E12587" s="185" t="s">
        <v>470</v>
      </c>
      <c r="H12587" s="185"/>
    </row>
    <row r="12588">
      <c r="D12588" s="185"/>
      <c r="E12588" s="185" t="s">
        <v>470</v>
      </c>
      <c r="H12588" s="185"/>
    </row>
    <row r="12589">
      <c r="D12589" s="185"/>
      <c r="E12589" s="185" t="s">
        <v>470</v>
      </c>
      <c r="H12589" s="185"/>
    </row>
    <row r="12590">
      <c r="D12590" s="185"/>
      <c r="E12590" s="185" t="s">
        <v>470</v>
      </c>
      <c r="H12590" s="185"/>
    </row>
    <row r="12591">
      <c r="D12591" s="185"/>
      <c r="E12591" s="185" t="s">
        <v>470</v>
      </c>
      <c r="H12591" s="185"/>
    </row>
    <row r="12592">
      <c r="D12592" s="185"/>
      <c r="E12592" s="185" t="s">
        <v>470</v>
      </c>
      <c r="H12592" s="185"/>
    </row>
    <row r="12593">
      <c r="D12593" s="185"/>
      <c r="E12593" s="185" t="s">
        <v>470</v>
      </c>
      <c r="H12593" s="185"/>
    </row>
    <row r="12594">
      <c r="D12594" s="185"/>
      <c r="E12594" s="185" t="s">
        <v>470</v>
      </c>
      <c r="H12594" s="185"/>
    </row>
    <row r="12595">
      <c r="D12595" s="185"/>
      <c r="E12595" s="185" t="s">
        <v>470</v>
      </c>
      <c r="H12595" s="185"/>
    </row>
    <row r="12596">
      <c r="D12596" s="185"/>
      <c r="E12596" s="185" t="s">
        <v>470</v>
      </c>
      <c r="H12596" s="185"/>
    </row>
    <row r="12597">
      <c r="D12597" s="185"/>
      <c r="E12597" s="185" t="s">
        <v>470</v>
      </c>
      <c r="H12597" s="185"/>
    </row>
    <row r="12598">
      <c r="D12598" s="185"/>
      <c r="E12598" s="185" t="s">
        <v>470</v>
      </c>
      <c r="H12598" s="185"/>
    </row>
    <row r="12599">
      <c r="D12599" s="185"/>
      <c r="E12599" s="185" t="s">
        <v>470</v>
      </c>
      <c r="H12599" s="185"/>
    </row>
    <row r="12600">
      <c r="D12600" s="185"/>
      <c r="E12600" s="185" t="s">
        <v>470</v>
      </c>
      <c r="H12600" s="185"/>
    </row>
    <row r="12601">
      <c r="D12601" s="185"/>
      <c r="E12601" s="185" t="s">
        <v>470</v>
      </c>
      <c r="H12601" s="185"/>
    </row>
    <row r="12602">
      <c r="D12602" s="185"/>
      <c r="E12602" s="185" t="s">
        <v>470</v>
      </c>
      <c r="H12602" s="185"/>
    </row>
    <row r="12603">
      <c r="D12603" s="185"/>
      <c r="E12603" s="185" t="s">
        <v>470</v>
      </c>
      <c r="H12603" s="185"/>
    </row>
    <row r="12604">
      <c r="D12604" s="185"/>
      <c r="E12604" s="185" t="s">
        <v>470</v>
      </c>
      <c r="H12604" s="185"/>
    </row>
    <row r="12605">
      <c r="D12605" s="185"/>
      <c r="E12605" s="185" t="s">
        <v>470</v>
      </c>
      <c r="H12605" s="185"/>
    </row>
    <row r="12606">
      <c r="D12606" s="185"/>
      <c r="E12606" s="185" t="s">
        <v>470</v>
      </c>
      <c r="H12606" s="185"/>
    </row>
    <row r="12607">
      <c r="D12607" s="185"/>
      <c r="E12607" s="185" t="s">
        <v>470</v>
      </c>
      <c r="H12607" s="185"/>
    </row>
    <row r="12608">
      <c r="D12608" s="185"/>
      <c r="E12608" s="185" t="s">
        <v>470</v>
      </c>
      <c r="H12608" s="185"/>
    </row>
    <row r="12609">
      <c r="D12609" s="185"/>
      <c r="E12609" s="185" t="s">
        <v>470</v>
      </c>
      <c r="H12609" s="185"/>
    </row>
    <row r="12610">
      <c r="D12610" s="185"/>
      <c r="E12610" s="185" t="s">
        <v>470</v>
      </c>
      <c r="H12610" s="185"/>
    </row>
    <row r="12611">
      <c r="D12611" s="185"/>
      <c r="E12611" s="185" t="s">
        <v>470</v>
      </c>
      <c r="H12611" s="185"/>
    </row>
    <row r="12612">
      <c r="D12612" s="185"/>
      <c r="E12612" s="185" t="s">
        <v>470</v>
      </c>
      <c r="H12612" s="185"/>
    </row>
    <row r="12613">
      <c r="D12613" s="185"/>
      <c r="E12613" s="185" t="s">
        <v>470</v>
      </c>
      <c r="H12613" s="185"/>
    </row>
    <row r="12614">
      <c r="D12614" s="185"/>
      <c r="E12614" s="185" t="s">
        <v>470</v>
      </c>
      <c r="H12614" s="185"/>
    </row>
    <row r="12615">
      <c r="D12615" s="185"/>
      <c r="E12615" s="185" t="s">
        <v>470</v>
      </c>
      <c r="H12615" s="185"/>
    </row>
    <row r="12616">
      <c r="D12616" s="185"/>
      <c r="E12616" s="185" t="s">
        <v>470</v>
      </c>
      <c r="H12616" s="185"/>
    </row>
    <row r="12617">
      <c r="D12617" s="185"/>
      <c r="E12617" s="185" t="s">
        <v>470</v>
      </c>
      <c r="H12617" s="185"/>
    </row>
    <row r="12618">
      <c r="D12618" s="185"/>
      <c r="E12618" s="185" t="s">
        <v>470</v>
      </c>
      <c r="H12618" s="185"/>
    </row>
    <row r="12619">
      <c r="D12619" s="185"/>
      <c r="E12619" s="185" t="s">
        <v>470</v>
      </c>
      <c r="H12619" s="185"/>
    </row>
    <row r="12620">
      <c r="D12620" s="185"/>
      <c r="E12620" s="185" t="s">
        <v>470</v>
      </c>
      <c r="H12620" s="185"/>
    </row>
    <row r="12621">
      <c r="D12621" s="185"/>
      <c r="E12621" s="185" t="s">
        <v>470</v>
      </c>
      <c r="H12621" s="185"/>
    </row>
    <row r="12622">
      <c r="D12622" s="185"/>
      <c r="E12622" s="185" t="s">
        <v>470</v>
      </c>
      <c r="H12622" s="185"/>
    </row>
    <row r="12623">
      <c r="D12623" s="185"/>
      <c r="E12623" s="185" t="s">
        <v>470</v>
      </c>
      <c r="H12623" s="185"/>
    </row>
    <row r="12624">
      <c r="D12624" s="185"/>
      <c r="E12624" s="185" t="s">
        <v>470</v>
      </c>
      <c r="H12624" s="185"/>
    </row>
    <row r="12625">
      <c r="D12625" s="185"/>
      <c r="E12625" s="185" t="s">
        <v>470</v>
      </c>
      <c r="H12625" s="185"/>
    </row>
    <row r="12626">
      <c r="D12626" s="185"/>
      <c r="E12626" s="185" t="s">
        <v>470</v>
      </c>
      <c r="H12626" s="185"/>
    </row>
    <row r="12627">
      <c r="D12627" s="185"/>
      <c r="E12627" s="185" t="s">
        <v>470</v>
      </c>
      <c r="H12627" s="185"/>
    </row>
    <row r="12628">
      <c r="D12628" s="185"/>
      <c r="E12628" s="185" t="s">
        <v>470</v>
      </c>
      <c r="H12628" s="185"/>
    </row>
    <row r="12629">
      <c r="D12629" s="185"/>
      <c r="E12629" s="185" t="s">
        <v>470</v>
      </c>
      <c r="H12629" s="185"/>
    </row>
    <row r="12630">
      <c r="D12630" s="185"/>
      <c r="E12630" s="185" t="s">
        <v>470</v>
      </c>
      <c r="H12630" s="185"/>
    </row>
    <row r="12631">
      <c r="D12631" s="185"/>
      <c r="E12631" s="185" t="s">
        <v>470</v>
      </c>
      <c r="H12631" s="185"/>
    </row>
    <row r="12632">
      <c r="D12632" s="185"/>
      <c r="E12632" s="185" t="s">
        <v>470</v>
      </c>
      <c r="H12632" s="185"/>
    </row>
    <row r="12633">
      <c r="D12633" s="185"/>
      <c r="E12633" s="185" t="s">
        <v>470</v>
      </c>
      <c r="H12633" s="185"/>
    </row>
    <row r="12634">
      <c r="D12634" s="185"/>
      <c r="E12634" s="185" t="s">
        <v>470</v>
      </c>
      <c r="H12634" s="185"/>
    </row>
    <row r="12635">
      <c r="D12635" s="185"/>
      <c r="E12635" s="185" t="s">
        <v>470</v>
      </c>
      <c r="H12635" s="185"/>
    </row>
    <row r="12636">
      <c r="D12636" s="185"/>
      <c r="E12636" s="185" t="s">
        <v>470</v>
      </c>
      <c r="H12636" s="185"/>
    </row>
    <row r="12637">
      <c r="D12637" s="185"/>
      <c r="E12637" s="185" t="s">
        <v>470</v>
      </c>
      <c r="H12637" s="185"/>
    </row>
    <row r="12638">
      <c r="D12638" s="185"/>
      <c r="E12638" s="185" t="s">
        <v>470</v>
      </c>
      <c r="H12638" s="185"/>
    </row>
    <row r="12639">
      <c r="D12639" s="185"/>
      <c r="E12639" s="185" t="s">
        <v>470</v>
      </c>
      <c r="H12639" s="185"/>
    </row>
    <row r="12640">
      <c r="D12640" s="185"/>
      <c r="E12640" s="185" t="s">
        <v>470</v>
      </c>
      <c r="H12640" s="185"/>
    </row>
    <row r="12641">
      <c r="D12641" s="185"/>
      <c r="E12641" s="185" t="s">
        <v>470</v>
      </c>
      <c r="H12641" s="185"/>
    </row>
    <row r="12642">
      <c r="D12642" s="185"/>
      <c r="E12642" s="185" t="s">
        <v>470</v>
      </c>
      <c r="H12642" s="185"/>
    </row>
    <row r="12643">
      <c r="D12643" s="185"/>
      <c r="E12643" s="185" t="s">
        <v>470</v>
      </c>
      <c r="H12643" s="185"/>
    </row>
    <row r="12644">
      <c r="D12644" s="185"/>
      <c r="E12644" s="185" t="s">
        <v>470</v>
      </c>
      <c r="H12644" s="185"/>
    </row>
    <row r="12645">
      <c r="D12645" s="185"/>
      <c r="E12645" s="185" t="s">
        <v>470</v>
      </c>
      <c r="H12645" s="185"/>
    </row>
    <row r="12646">
      <c r="D12646" s="185"/>
      <c r="E12646" s="185" t="s">
        <v>470</v>
      </c>
      <c r="H12646" s="185"/>
    </row>
    <row r="12647">
      <c r="D12647" s="185"/>
      <c r="E12647" s="185" t="s">
        <v>470</v>
      </c>
      <c r="H12647" s="185"/>
    </row>
    <row r="12648">
      <c r="D12648" s="185"/>
      <c r="E12648" s="185" t="s">
        <v>470</v>
      </c>
      <c r="H12648" s="185"/>
    </row>
    <row r="12649">
      <c r="D12649" s="185"/>
      <c r="E12649" s="185" t="s">
        <v>470</v>
      </c>
      <c r="H12649" s="185"/>
    </row>
    <row r="12650">
      <c r="D12650" s="185"/>
      <c r="E12650" s="185" t="s">
        <v>470</v>
      </c>
      <c r="H12650" s="185"/>
    </row>
    <row r="12651">
      <c r="D12651" s="185"/>
      <c r="E12651" s="185" t="s">
        <v>470</v>
      </c>
      <c r="H12651" s="185"/>
    </row>
    <row r="12652">
      <c r="D12652" s="185"/>
      <c r="E12652" s="185" t="s">
        <v>470</v>
      </c>
      <c r="H12652" s="185"/>
    </row>
    <row r="12653">
      <c r="D12653" s="185"/>
      <c r="E12653" s="185" t="s">
        <v>470</v>
      </c>
      <c r="H12653" s="185"/>
    </row>
    <row r="12654">
      <c r="D12654" s="185"/>
      <c r="E12654" s="185" t="s">
        <v>470</v>
      </c>
      <c r="H12654" s="185"/>
    </row>
    <row r="12655">
      <c r="D12655" s="185"/>
      <c r="E12655" s="185" t="s">
        <v>470</v>
      </c>
      <c r="H12655" s="185"/>
    </row>
    <row r="12656">
      <c r="D12656" s="185"/>
      <c r="E12656" s="185" t="s">
        <v>470</v>
      </c>
      <c r="H12656" s="185"/>
    </row>
    <row r="12657">
      <c r="D12657" s="185"/>
      <c r="E12657" s="185" t="s">
        <v>470</v>
      </c>
      <c r="H12657" s="185"/>
    </row>
    <row r="12658">
      <c r="D12658" s="185"/>
      <c r="E12658" s="185" t="s">
        <v>470</v>
      </c>
      <c r="H12658" s="185"/>
    </row>
    <row r="12659">
      <c r="D12659" s="185"/>
      <c r="E12659" s="185" t="s">
        <v>470</v>
      </c>
      <c r="H12659" s="185"/>
    </row>
    <row r="12660">
      <c r="D12660" s="185"/>
      <c r="E12660" s="185" t="s">
        <v>470</v>
      </c>
      <c r="H12660" s="185"/>
    </row>
    <row r="12661">
      <c r="D12661" s="185"/>
      <c r="E12661" s="185" t="s">
        <v>470</v>
      </c>
      <c r="H12661" s="185"/>
    </row>
    <row r="12662">
      <c r="D12662" s="185"/>
      <c r="E12662" s="185" t="s">
        <v>470</v>
      </c>
      <c r="H12662" s="185"/>
    </row>
    <row r="12663">
      <c r="D12663" s="185"/>
      <c r="E12663" s="185" t="s">
        <v>470</v>
      </c>
      <c r="H12663" s="185"/>
    </row>
    <row r="12664">
      <c r="D12664" s="185"/>
      <c r="E12664" s="185" t="s">
        <v>470</v>
      </c>
      <c r="H12664" s="185"/>
    </row>
    <row r="12665">
      <c r="D12665" s="185"/>
      <c r="E12665" s="185" t="s">
        <v>470</v>
      </c>
      <c r="H12665" s="185"/>
    </row>
    <row r="12666">
      <c r="D12666" s="185"/>
      <c r="E12666" s="185" t="s">
        <v>470</v>
      </c>
      <c r="H12666" s="185"/>
    </row>
    <row r="12667">
      <c r="D12667" s="185"/>
      <c r="E12667" s="185" t="s">
        <v>470</v>
      </c>
      <c r="H12667" s="185"/>
    </row>
    <row r="12668">
      <c r="D12668" s="185"/>
      <c r="E12668" s="185" t="s">
        <v>470</v>
      </c>
      <c r="H12668" s="185"/>
    </row>
    <row r="12669">
      <c r="D12669" s="185"/>
      <c r="E12669" s="185" t="s">
        <v>470</v>
      </c>
      <c r="H12669" s="185"/>
    </row>
    <row r="12670">
      <c r="D12670" s="185"/>
      <c r="E12670" s="185" t="s">
        <v>470</v>
      </c>
      <c r="H12670" s="185"/>
    </row>
    <row r="12671">
      <c r="D12671" s="185"/>
      <c r="E12671" s="185" t="s">
        <v>470</v>
      </c>
      <c r="H12671" s="185"/>
    </row>
    <row r="12672">
      <c r="D12672" s="185"/>
      <c r="E12672" s="185" t="s">
        <v>470</v>
      </c>
      <c r="H12672" s="185"/>
    </row>
    <row r="12673">
      <c r="D12673" s="185"/>
      <c r="E12673" s="185" t="s">
        <v>470</v>
      </c>
      <c r="H12673" s="185"/>
    </row>
    <row r="12674">
      <c r="D12674" s="185"/>
      <c r="E12674" s="185" t="s">
        <v>470</v>
      </c>
      <c r="H12674" s="185"/>
    </row>
    <row r="12675">
      <c r="D12675" s="185"/>
      <c r="E12675" s="185" t="s">
        <v>470</v>
      </c>
      <c r="H12675" s="185"/>
    </row>
    <row r="12676">
      <c r="D12676" s="185"/>
      <c r="E12676" s="185" t="s">
        <v>470</v>
      </c>
      <c r="H12676" s="185"/>
    </row>
    <row r="12677">
      <c r="D12677" s="185"/>
      <c r="E12677" s="185" t="s">
        <v>470</v>
      </c>
      <c r="H12677" s="185"/>
    </row>
    <row r="12678">
      <c r="D12678" s="185"/>
      <c r="E12678" s="185" t="s">
        <v>470</v>
      </c>
      <c r="H12678" s="185"/>
    </row>
    <row r="12679">
      <c r="D12679" s="185"/>
      <c r="E12679" s="185" t="s">
        <v>470</v>
      </c>
      <c r="H12679" s="185"/>
    </row>
    <row r="12680">
      <c r="D12680" s="185"/>
      <c r="E12680" s="185" t="s">
        <v>470</v>
      </c>
      <c r="H12680" s="185"/>
    </row>
    <row r="12681">
      <c r="D12681" s="185"/>
      <c r="E12681" s="185" t="s">
        <v>470</v>
      </c>
      <c r="H12681" s="185"/>
    </row>
    <row r="12682">
      <c r="D12682" s="185"/>
      <c r="E12682" s="185" t="s">
        <v>470</v>
      </c>
      <c r="H12682" s="185"/>
    </row>
    <row r="12683">
      <c r="D12683" s="185"/>
      <c r="E12683" s="185" t="s">
        <v>470</v>
      </c>
      <c r="H12683" s="185"/>
    </row>
    <row r="12684">
      <c r="D12684" s="185"/>
      <c r="E12684" s="185" t="s">
        <v>470</v>
      </c>
      <c r="H12684" s="185"/>
    </row>
    <row r="12685">
      <c r="D12685" s="185"/>
      <c r="E12685" s="185" t="s">
        <v>470</v>
      </c>
      <c r="H12685" s="185"/>
    </row>
    <row r="12686">
      <c r="D12686" s="185"/>
      <c r="E12686" s="185" t="s">
        <v>470</v>
      </c>
      <c r="H12686" s="185"/>
    </row>
    <row r="12687">
      <c r="D12687" s="185"/>
      <c r="E12687" s="185" t="s">
        <v>470</v>
      </c>
      <c r="H12687" s="185"/>
    </row>
    <row r="12688">
      <c r="D12688" s="185"/>
      <c r="E12688" s="185" t="s">
        <v>470</v>
      </c>
      <c r="H12688" s="185"/>
    </row>
    <row r="12689">
      <c r="D12689" s="185"/>
      <c r="E12689" s="185" t="s">
        <v>470</v>
      </c>
      <c r="H12689" s="185"/>
    </row>
    <row r="12690">
      <c r="D12690" s="185"/>
      <c r="E12690" s="185" t="s">
        <v>470</v>
      </c>
      <c r="H12690" s="185"/>
    </row>
    <row r="12691">
      <c r="D12691" s="185"/>
      <c r="E12691" s="185" t="s">
        <v>470</v>
      </c>
      <c r="H12691" s="185"/>
    </row>
    <row r="12692">
      <c r="D12692" s="185"/>
      <c r="E12692" s="185" t="s">
        <v>470</v>
      </c>
      <c r="H12692" s="185"/>
    </row>
    <row r="12693">
      <c r="D12693" s="185"/>
      <c r="E12693" s="185" t="s">
        <v>470</v>
      </c>
      <c r="H12693" s="185"/>
    </row>
    <row r="12694">
      <c r="D12694" s="185"/>
      <c r="E12694" s="185" t="s">
        <v>470</v>
      </c>
      <c r="H12694" s="185"/>
    </row>
    <row r="12695">
      <c r="D12695" s="185"/>
      <c r="E12695" s="185" t="s">
        <v>470</v>
      </c>
      <c r="H12695" s="185"/>
    </row>
    <row r="12696">
      <c r="D12696" s="185"/>
      <c r="E12696" s="185" t="s">
        <v>470</v>
      </c>
      <c r="H12696" s="185"/>
    </row>
    <row r="12697">
      <c r="D12697" s="185"/>
      <c r="E12697" s="185" t="s">
        <v>470</v>
      </c>
      <c r="H12697" s="185"/>
    </row>
    <row r="12698">
      <c r="D12698" s="185"/>
      <c r="E12698" s="185" t="s">
        <v>470</v>
      </c>
      <c r="H12698" s="185"/>
    </row>
    <row r="12699">
      <c r="D12699" s="185"/>
      <c r="E12699" s="185" t="s">
        <v>470</v>
      </c>
      <c r="H12699" s="185"/>
    </row>
    <row r="12700">
      <c r="D12700" s="185"/>
      <c r="E12700" s="185" t="s">
        <v>470</v>
      </c>
      <c r="H12700" s="185"/>
    </row>
    <row r="12701">
      <c r="D12701" s="185"/>
      <c r="E12701" s="185" t="s">
        <v>470</v>
      </c>
      <c r="H12701" s="185"/>
    </row>
    <row r="12702">
      <c r="D12702" s="185"/>
      <c r="E12702" s="185" t="s">
        <v>470</v>
      </c>
      <c r="H12702" s="185"/>
    </row>
    <row r="12703">
      <c r="D12703" s="185"/>
      <c r="E12703" s="185" t="s">
        <v>470</v>
      </c>
      <c r="H12703" s="185"/>
    </row>
    <row r="12704">
      <c r="D12704" s="185"/>
      <c r="E12704" s="185" t="s">
        <v>470</v>
      </c>
      <c r="H12704" s="185"/>
    </row>
    <row r="12705">
      <c r="D12705" s="185"/>
      <c r="E12705" s="185" t="s">
        <v>470</v>
      </c>
      <c r="H12705" s="185"/>
    </row>
    <row r="12706">
      <c r="D12706" s="185"/>
      <c r="E12706" s="185" t="s">
        <v>470</v>
      </c>
      <c r="H12706" s="185"/>
    </row>
    <row r="12707">
      <c r="D12707" s="185"/>
      <c r="E12707" s="185" t="s">
        <v>470</v>
      </c>
      <c r="H12707" s="185"/>
    </row>
    <row r="12708">
      <c r="D12708" s="185"/>
      <c r="E12708" s="185" t="s">
        <v>470</v>
      </c>
      <c r="H12708" s="185"/>
    </row>
    <row r="12709">
      <c r="D12709" s="185"/>
      <c r="E12709" s="185" t="s">
        <v>470</v>
      </c>
      <c r="H12709" s="185"/>
    </row>
    <row r="12710">
      <c r="D12710" s="185"/>
      <c r="E12710" s="185" t="s">
        <v>470</v>
      </c>
      <c r="H12710" s="185"/>
    </row>
    <row r="12711">
      <c r="D12711" s="185"/>
      <c r="E12711" s="185" t="s">
        <v>470</v>
      </c>
      <c r="H12711" s="185"/>
    </row>
    <row r="12712">
      <c r="D12712" s="185"/>
      <c r="E12712" s="185" t="s">
        <v>470</v>
      </c>
      <c r="H12712" s="185"/>
    </row>
    <row r="12713">
      <c r="D12713" s="185"/>
      <c r="E12713" s="185" t="s">
        <v>470</v>
      </c>
      <c r="H12713" s="185"/>
    </row>
    <row r="12714">
      <c r="D12714" s="185"/>
      <c r="E12714" s="185" t="s">
        <v>470</v>
      </c>
      <c r="H12714" s="185"/>
    </row>
    <row r="12715">
      <c r="D12715" s="185"/>
      <c r="E12715" s="185" t="s">
        <v>470</v>
      </c>
      <c r="H12715" s="185"/>
    </row>
    <row r="12716">
      <c r="D12716" s="185"/>
      <c r="E12716" s="185" t="s">
        <v>470</v>
      </c>
      <c r="H12716" s="185"/>
    </row>
    <row r="12717">
      <c r="D12717" s="185"/>
      <c r="E12717" s="185" t="s">
        <v>470</v>
      </c>
      <c r="H12717" s="185"/>
    </row>
    <row r="12718">
      <c r="D12718" s="185"/>
      <c r="E12718" s="185" t="s">
        <v>470</v>
      </c>
      <c r="H12718" s="185"/>
    </row>
    <row r="12719">
      <c r="D12719" s="185"/>
      <c r="E12719" s="185" t="s">
        <v>470</v>
      </c>
      <c r="H12719" s="185"/>
    </row>
    <row r="12720">
      <c r="D12720" s="185"/>
      <c r="E12720" s="185" t="s">
        <v>470</v>
      </c>
      <c r="H12720" s="185"/>
    </row>
    <row r="12721">
      <c r="D12721" s="185"/>
      <c r="E12721" s="185" t="s">
        <v>470</v>
      </c>
      <c r="H12721" s="185"/>
    </row>
    <row r="12722">
      <c r="D12722" s="185"/>
      <c r="E12722" s="185" t="s">
        <v>470</v>
      </c>
      <c r="H12722" s="185"/>
    </row>
    <row r="12723">
      <c r="D12723" s="185"/>
      <c r="E12723" s="185" t="s">
        <v>470</v>
      </c>
      <c r="H12723" s="185"/>
    </row>
    <row r="12724">
      <c r="D12724" s="185"/>
      <c r="E12724" s="185" t="s">
        <v>470</v>
      </c>
      <c r="H12724" s="185"/>
    </row>
    <row r="12725">
      <c r="D12725" s="185"/>
      <c r="E12725" s="185" t="s">
        <v>470</v>
      </c>
      <c r="H12725" s="185"/>
    </row>
    <row r="12726">
      <c r="D12726" s="185"/>
      <c r="E12726" s="185" t="s">
        <v>470</v>
      </c>
      <c r="H12726" s="185"/>
    </row>
    <row r="12727">
      <c r="D12727" s="185"/>
      <c r="E12727" s="185" t="s">
        <v>470</v>
      </c>
      <c r="H12727" s="185"/>
    </row>
    <row r="12728">
      <c r="D12728" s="185"/>
      <c r="E12728" s="185" t="s">
        <v>470</v>
      </c>
      <c r="H12728" s="185"/>
    </row>
    <row r="12729">
      <c r="D12729" s="185"/>
      <c r="E12729" s="185" t="s">
        <v>470</v>
      </c>
      <c r="H12729" s="185"/>
    </row>
    <row r="12730">
      <c r="D12730" s="185"/>
      <c r="E12730" s="185" t="s">
        <v>470</v>
      </c>
      <c r="H12730" s="185"/>
    </row>
    <row r="12731">
      <c r="D12731" s="185"/>
      <c r="E12731" s="185" t="s">
        <v>470</v>
      </c>
      <c r="H12731" s="185"/>
    </row>
    <row r="12732">
      <c r="D12732" s="185"/>
      <c r="E12732" s="185" t="s">
        <v>470</v>
      </c>
      <c r="H12732" s="185"/>
    </row>
    <row r="12733">
      <c r="D12733" s="185"/>
      <c r="E12733" s="185" t="s">
        <v>470</v>
      </c>
      <c r="H12733" s="185"/>
    </row>
    <row r="12734">
      <c r="D12734" s="185"/>
      <c r="E12734" s="185" t="s">
        <v>470</v>
      </c>
      <c r="H12734" s="185"/>
    </row>
    <row r="12735">
      <c r="D12735" s="185"/>
      <c r="E12735" s="185" t="s">
        <v>470</v>
      </c>
      <c r="H12735" s="185"/>
    </row>
    <row r="12736">
      <c r="D12736" s="185"/>
      <c r="E12736" s="185" t="s">
        <v>470</v>
      </c>
      <c r="H12736" s="185"/>
    </row>
    <row r="12737">
      <c r="D12737" s="185"/>
      <c r="E12737" s="185" t="s">
        <v>470</v>
      </c>
      <c r="H12737" s="185"/>
    </row>
    <row r="12738">
      <c r="D12738" s="185"/>
      <c r="E12738" s="185" t="s">
        <v>470</v>
      </c>
      <c r="H12738" s="185"/>
    </row>
    <row r="12739">
      <c r="D12739" s="185"/>
      <c r="E12739" s="185" t="s">
        <v>470</v>
      </c>
      <c r="H12739" s="185"/>
    </row>
    <row r="12740">
      <c r="D12740" s="185"/>
      <c r="E12740" s="185" t="s">
        <v>470</v>
      </c>
      <c r="H12740" s="185"/>
    </row>
    <row r="12741">
      <c r="D12741" s="185"/>
      <c r="E12741" s="185" t="s">
        <v>470</v>
      </c>
      <c r="H12741" s="185"/>
    </row>
    <row r="12742">
      <c r="D12742" s="185"/>
      <c r="E12742" s="185" t="s">
        <v>470</v>
      </c>
      <c r="H12742" s="185"/>
    </row>
    <row r="12743">
      <c r="D12743" s="185"/>
      <c r="E12743" s="185" t="s">
        <v>470</v>
      </c>
      <c r="H12743" s="185"/>
    </row>
    <row r="12744">
      <c r="D12744" s="185"/>
      <c r="E12744" s="185" t="s">
        <v>470</v>
      </c>
      <c r="H12744" s="185"/>
    </row>
    <row r="12745">
      <c r="D12745" s="185"/>
      <c r="E12745" s="185" t="s">
        <v>470</v>
      </c>
      <c r="H12745" s="185"/>
    </row>
    <row r="12746">
      <c r="D12746" s="185"/>
      <c r="E12746" s="185" t="s">
        <v>470</v>
      </c>
      <c r="H12746" s="185"/>
    </row>
    <row r="12747">
      <c r="D12747" s="185"/>
      <c r="E12747" s="185" t="s">
        <v>470</v>
      </c>
      <c r="H12747" s="185"/>
    </row>
    <row r="12748">
      <c r="D12748" s="185"/>
      <c r="E12748" s="185" t="s">
        <v>470</v>
      </c>
      <c r="H12748" s="185"/>
    </row>
    <row r="12749">
      <c r="D12749" s="185"/>
      <c r="E12749" s="185" t="s">
        <v>470</v>
      </c>
      <c r="H12749" s="185"/>
    </row>
    <row r="12750">
      <c r="D12750" s="185"/>
      <c r="E12750" s="185" t="s">
        <v>470</v>
      </c>
      <c r="H12750" s="185"/>
    </row>
    <row r="12751">
      <c r="D12751" s="185"/>
      <c r="E12751" s="185" t="s">
        <v>470</v>
      </c>
      <c r="H12751" s="185"/>
    </row>
    <row r="12752">
      <c r="D12752" s="185"/>
      <c r="E12752" s="185" t="s">
        <v>470</v>
      </c>
      <c r="H12752" s="185"/>
    </row>
    <row r="12753">
      <c r="D12753" s="185"/>
      <c r="E12753" s="185" t="s">
        <v>470</v>
      </c>
      <c r="H12753" s="185"/>
    </row>
    <row r="12754">
      <c r="D12754" s="185"/>
      <c r="E12754" s="185" t="s">
        <v>470</v>
      </c>
      <c r="H12754" s="185"/>
    </row>
    <row r="12755">
      <c r="D12755" s="185"/>
      <c r="E12755" s="185" t="s">
        <v>470</v>
      </c>
      <c r="H12755" s="185"/>
    </row>
    <row r="12756">
      <c r="D12756" s="185"/>
      <c r="E12756" s="185" t="s">
        <v>470</v>
      </c>
      <c r="H12756" s="185"/>
    </row>
    <row r="12757">
      <c r="D12757" s="185"/>
      <c r="E12757" s="185" t="s">
        <v>470</v>
      </c>
      <c r="H12757" s="185"/>
    </row>
    <row r="12758">
      <c r="D12758" s="185"/>
      <c r="E12758" s="185" t="s">
        <v>470</v>
      </c>
      <c r="H12758" s="185"/>
    </row>
    <row r="12759">
      <c r="D12759" s="185"/>
      <c r="E12759" s="185" t="s">
        <v>470</v>
      </c>
      <c r="H12759" s="185"/>
    </row>
    <row r="12760">
      <c r="D12760" s="185"/>
      <c r="E12760" s="185" t="s">
        <v>470</v>
      </c>
      <c r="H12760" s="185"/>
    </row>
    <row r="12761">
      <c r="D12761" s="185"/>
      <c r="E12761" s="185" t="s">
        <v>470</v>
      </c>
      <c r="H12761" s="185"/>
    </row>
    <row r="12762">
      <c r="D12762" s="185"/>
      <c r="E12762" s="185" t="s">
        <v>470</v>
      </c>
      <c r="H12762" s="185"/>
    </row>
    <row r="12763">
      <c r="D12763" s="185"/>
      <c r="E12763" s="185" t="s">
        <v>470</v>
      </c>
      <c r="H12763" s="185"/>
    </row>
    <row r="12764">
      <c r="D12764" s="185"/>
      <c r="E12764" s="185" t="s">
        <v>470</v>
      </c>
      <c r="H12764" s="185"/>
    </row>
    <row r="12765">
      <c r="D12765" s="185"/>
      <c r="E12765" s="185" t="s">
        <v>470</v>
      </c>
      <c r="H12765" s="185"/>
    </row>
    <row r="12766">
      <c r="D12766" s="185"/>
      <c r="E12766" s="185" t="s">
        <v>470</v>
      </c>
      <c r="H12766" s="185"/>
    </row>
    <row r="12767">
      <c r="D12767" s="185"/>
      <c r="E12767" s="185" t="s">
        <v>470</v>
      </c>
      <c r="H12767" s="185"/>
    </row>
    <row r="12768">
      <c r="D12768" s="185"/>
      <c r="E12768" s="185" t="s">
        <v>470</v>
      </c>
      <c r="H12768" s="185"/>
    </row>
    <row r="12769">
      <c r="D12769" s="185"/>
      <c r="E12769" s="185" t="s">
        <v>470</v>
      </c>
      <c r="H12769" s="185"/>
    </row>
    <row r="12770">
      <c r="D12770" s="185"/>
      <c r="E12770" s="185" t="s">
        <v>470</v>
      </c>
      <c r="H12770" s="185"/>
    </row>
    <row r="12771">
      <c r="D12771" s="185"/>
      <c r="E12771" s="185" t="s">
        <v>470</v>
      </c>
      <c r="H12771" s="185"/>
    </row>
    <row r="12772">
      <c r="D12772" s="185"/>
      <c r="E12772" s="185" t="s">
        <v>470</v>
      </c>
      <c r="H12772" s="185"/>
    </row>
    <row r="12773">
      <c r="D12773" s="185"/>
      <c r="E12773" s="185" t="s">
        <v>470</v>
      </c>
      <c r="H12773" s="185"/>
    </row>
    <row r="12774">
      <c r="D12774" s="185"/>
      <c r="E12774" s="185" t="s">
        <v>470</v>
      </c>
      <c r="H12774" s="185"/>
    </row>
    <row r="12775">
      <c r="D12775" s="185"/>
      <c r="E12775" s="185" t="s">
        <v>470</v>
      </c>
      <c r="H12775" s="185"/>
    </row>
    <row r="12776">
      <c r="D12776" s="185"/>
      <c r="E12776" s="185" t="s">
        <v>470</v>
      </c>
      <c r="H12776" s="185"/>
    </row>
    <row r="12777">
      <c r="D12777" s="185"/>
      <c r="E12777" s="185" t="s">
        <v>470</v>
      </c>
      <c r="H12777" s="185"/>
    </row>
    <row r="12778">
      <c r="D12778" s="185"/>
      <c r="E12778" s="185" t="s">
        <v>470</v>
      </c>
      <c r="H12778" s="185"/>
    </row>
    <row r="12779">
      <c r="D12779" s="185"/>
      <c r="E12779" s="185" t="s">
        <v>470</v>
      </c>
      <c r="H12779" s="185"/>
    </row>
    <row r="12780">
      <c r="D12780" s="185"/>
      <c r="E12780" s="185" t="s">
        <v>470</v>
      </c>
      <c r="H12780" s="185"/>
    </row>
    <row r="12781">
      <c r="D12781" s="185"/>
      <c r="E12781" s="185" t="s">
        <v>470</v>
      </c>
      <c r="H12781" s="185"/>
    </row>
    <row r="12782">
      <c r="D12782" s="185"/>
      <c r="E12782" s="185" t="s">
        <v>470</v>
      </c>
      <c r="H12782" s="185"/>
    </row>
    <row r="12783">
      <c r="D12783" s="185"/>
      <c r="E12783" s="185" t="s">
        <v>470</v>
      </c>
      <c r="H12783" s="185"/>
    </row>
    <row r="12784">
      <c r="D12784" s="185"/>
      <c r="E12784" s="185" t="s">
        <v>470</v>
      </c>
      <c r="H12784" s="185"/>
    </row>
    <row r="12785">
      <c r="D12785" s="185"/>
      <c r="E12785" s="185" t="s">
        <v>470</v>
      </c>
      <c r="H12785" s="185"/>
    </row>
    <row r="12786">
      <c r="D12786" s="185"/>
      <c r="E12786" s="185" t="s">
        <v>470</v>
      </c>
      <c r="H12786" s="185"/>
    </row>
    <row r="12787">
      <c r="D12787" s="185"/>
      <c r="E12787" s="185" t="s">
        <v>470</v>
      </c>
      <c r="H12787" s="185"/>
    </row>
    <row r="12788">
      <c r="D12788" s="185"/>
      <c r="E12788" s="185" t="s">
        <v>470</v>
      </c>
      <c r="H12788" s="185"/>
    </row>
    <row r="12789">
      <c r="D12789" s="185"/>
      <c r="E12789" s="185" t="s">
        <v>470</v>
      </c>
      <c r="H12789" s="185"/>
    </row>
    <row r="12790">
      <c r="D12790" s="185"/>
      <c r="E12790" s="185" t="s">
        <v>470</v>
      </c>
      <c r="H12790" s="185"/>
    </row>
    <row r="12791">
      <c r="D12791" s="185"/>
      <c r="E12791" s="185" t="s">
        <v>470</v>
      </c>
      <c r="H12791" s="185"/>
    </row>
    <row r="12792">
      <c r="D12792" s="185"/>
      <c r="E12792" s="185" t="s">
        <v>470</v>
      </c>
      <c r="H12792" s="185"/>
    </row>
    <row r="12793">
      <c r="D12793" s="185"/>
      <c r="E12793" s="185" t="s">
        <v>470</v>
      </c>
      <c r="H12793" s="185"/>
    </row>
    <row r="12794">
      <c r="D12794" s="185"/>
      <c r="E12794" s="185" t="s">
        <v>470</v>
      </c>
      <c r="H12794" s="185"/>
    </row>
    <row r="12795">
      <c r="D12795" s="185"/>
      <c r="E12795" s="185" t="s">
        <v>470</v>
      </c>
      <c r="H12795" s="185"/>
    </row>
    <row r="12796">
      <c r="D12796" s="185"/>
      <c r="E12796" s="185" t="s">
        <v>470</v>
      </c>
      <c r="H12796" s="185"/>
    </row>
    <row r="12797">
      <c r="D12797" s="185"/>
      <c r="E12797" s="185" t="s">
        <v>470</v>
      </c>
      <c r="H12797" s="185"/>
    </row>
    <row r="12798">
      <c r="D12798" s="185"/>
      <c r="E12798" s="185" t="s">
        <v>470</v>
      </c>
      <c r="H12798" s="185"/>
    </row>
    <row r="12799">
      <c r="D12799" s="185"/>
      <c r="E12799" s="185" t="s">
        <v>470</v>
      </c>
      <c r="H12799" s="185"/>
    </row>
    <row r="12800">
      <c r="D12800" s="185"/>
      <c r="E12800" s="185" t="s">
        <v>470</v>
      </c>
      <c r="H12800" s="185"/>
    </row>
    <row r="12801">
      <c r="D12801" s="185"/>
      <c r="E12801" s="185" t="s">
        <v>470</v>
      </c>
      <c r="H12801" s="185"/>
    </row>
    <row r="12802">
      <c r="D12802" s="185"/>
      <c r="E12802" s="185" t="s">
        <v>470</v>
      </c>
      <c r="H12802" s="185"/>
    </row>
    <row r="12803">
      <c r="D12803" s="185"/>
      <c r="E12803" s="185" t="s">
        <v>470</v>
      </c>
      <c r="H12803" s="185"/>
    </row>
    <row r="12804">
      <c r="D12804" s="185"/>
      <c r="E12804" s="185" t="s">
        <v>470</v>
      </c>
      <c r="H12804" s="185"/>
    </row>
    <row r="12805">
      <c r="D12805" s="185"/>
      <c r="E12805" s="185" t="s">
        <v>470</v>
      </c>
      <c r="H12805" s="185"/>
    </row>
    <row r="12806">
      <c r="D12806" s="185"/>
      <c r="E12806" s="185" t="s">
        <v>470</v>
      </c>
      <c r="H12806" s="185"/>
    </row>
    <row r="12807">
      <c r="D12807" s="185"/>
      <c r="E12807" s="185" t="s">
        <v>470</v>
      </c>
      <c r="H12807" s="185"/>
    </row>
    <row r="12808">
      <c r="D12808" s="185"/>
      <c r="E12808" s="185" t="s">
        <v>470</v>
      </c>
      <c r="H12808" s="185"/>
    </row>
    <row r="12809">
      <c r="D12809" s="185"/>
      <c r="E12809" s="185" t="s">
        <v>470</v>
      </c>
      <c r="H12809" s="185"/>
    </row>
    <row r="12810">
      <c r="D12810" s="185"/>
      <c r="E12810" s="185" t="s">
        <v>470</v>
      </c>
      <c r="H12810" s="185"/>
    </row>
    <row r="12811">
      <c r="D12811" s="185"/>
      <c r="E12811" s="185" t="s">
        <v>470</v>
      </c>
      <c r="H12811" s="185"/>
    </row>
    <row r="12812">
      <c r="D12812" s="185"/>
      <c r="E12812" s="185" t="s">
        <v>470</v>
      </c>
      <c r="H12812" s="185"/>
    </row>
    <row r="12813">
      <c r="D12813" s="185"/>
      <c r="E12813" s="185" t="s">
        <v>470</v>
      </c>
      <c r="H12813" s="185"/>
    </row>
    <row r="12814">
      <c r="D12814" s="185"/>
      <c r="E12814" s="185" t="s">
        <v>470</v>
      </c>
      <c r="H12814" s="185"/>
    </row>
    <row r="12815">
      <c r="D12815" s="185"/>
      <c r="E12815" s="185" t="s">
        <v>470</v>
      </c>
      <c r="H12815" s="185"/>
    </row>
    <row r="12816">
      <c r="D12816" s="185"/>
      <c r="E12816" s="185" t="s">
        <v>470</v>
      </c>
      <c r="H12816" s="185"/>
    </row>
    <row r="12817">
      <c r="D12817" s="185"/>
      <c r="E12817" s="185" t="s">
        <v>470</v>
      </c>
      <c r="H12817" s="185"/>
    </row>
    <row r="12818">
      <c r="D12818" s="185"/>
      <c r="E12818" s="185" t="s">
        <v>470</v>
      </c>
      <c r="H12818" s="185"/>
    </row>
    <row r="12819">
      <c r="D12819" s="185"/>
      <c r="E12819" s="185" t="s">
        <v>470</v>
      </c>
      <c r="H12819" s="185"/>
    </row>
    <row r="12820">
      <c r="D12820" s="185"/>
      <c r="E12820" s="185" t="s">
        <v>470</v>
      </c>
      <c r="H12820" s="185"/>
    </row>
    <row r="12821">
      <c r="D12821" s="185"/>
      <c r="E12821" s="185" t="s">
        <v>470</v>
      </c>
      <c r="H12821" s="185"/>
    </row>
    <row r="12822">
      <c r="D12822" s="185"/>
      <c r="E12822" s="185" t="s">
        <v>470</v>
      </c>
      <c r="H12822" s="185"/>
    </row>
    <row r="12823">
      <c r="D12823" s="185"/>
      <c r="E12823" s="185" t="s">
        <v>470</v>
      </c>
      <c r="H12823" s="185"/>
    </row>
    <row r="12824">
      <c r="D12824" s="185"/>
      <c r="E12824" s="185" t="s">
        <v>470</v>
      </c>
      <c r="H12824" s="185"/>
    </row>
    <row r="12825">
      <c r="D12825" s="185"/>
      <c r="E12825" s="185" t="s">
        <v>470</v>
      </c>
      <c r="H12825" s="185"/>
    </row>
    <row r="12826">
      <c r="D12826" s="185"/>
      <c r="E12826" s="185" t="s">
        <v>470</v>
      </c>
      <c r="H12826" s="185"/>
    </row>
    <row r="12827">
      <c r="D12827" s="185"/>
      <c r="E12827" s="185" t="s">
        <v>470</v>
      </c>
      <c r="H12827" s="185"/>
    </row>
    <row r="12828">
      <c r="D12828" s="185"/>
      <c r="E12828" s="185" t="s">
        <v>470</v>
      </c>
      <c r="H12828" s="185"/>
    </row>
    <row r="12829">
      <c r="D12829" s="185"/>
      <c r="E12829" s="185" t="s">
        <v>470</v>
      </c>
      <c r="H12829" s="185"/>
    </row>
    <row r="12830">
      <c r="D12830" s="185"/>
      <c r="E12830" s="185" t="s">
        <v>470</v>
      </c>
      <c r="H12830" s="185"/>
    </row>
    <row r="12831">
      <c r="D12831" s="185"/>
      <c r="E12831" s="185" t="s">
        <v>470</v>
      </c>
      <c r="H12831" s="185"/>
    </row>
    <row r="12832">
      <c r="D12832" s="185"/>
      <c r="E12832" s="185" t="s">
        <v>470</v>
      </c>
      <c r="H12832" s="185"/>
    </row>
    <row r="12833">
      <c r="D12833" s="185"/>
      <c r="E12833" s="185" t="s">
        <v>470</v>
      </c>
      <c r="H12833" s="185"/>
    </row>
    <row r="12834">
      <c r="D12834" s="185"/>
      <c r="E12834" s="185" t="s">
        <v>470</v>
      </c>
      <c r="H12834" s="185"/>
    </row>
    <row r="12835">
      <c r="D12835" s="185"/>
      <c r="E12835" s="185" t="s">
        <v>470</v>
      </c>
      <c r="H12835" s="185"/>
    </row>
    <row r="12836">
      <c r="D12836" s="185"/>
      <c r="E12836" s="185" t="s">
        <v>470</v>
      </c>
      <c r="H12836" s="185"/>
    </row>
    <row r="12837">
      <c r="D12837" s="185"/>
      <c r="E12837" s="185" t="s">
        <v>470</v>
      </c>
      <c r="H12837" s="185"/>
    </row>
    <row r="12838">
      <c r="D12838" s="185"/>
      <c r="E12838" s="185" t="s">
        <v>470</v>
      </c>
      <c r="H12838" s="185"/>
    </row>
    <row r="12839">
      <c r="D12839" s="185"/>
      <c r="E12839" s="185" t="s">
        <v>470</v>
      </c>
      <c r="H12839" s="185"/>
    </row>
    <row r="12840">
      <c r="D12840" s="185"/>
      <c r="E12840" s="185" t="s">
        <v>470</v>
      </c>
      <c r="H12840" s="185"/>
    </row>
    <row r="12841">
      <c r="D12841" s="185"/>
      <c r="E12841" s="185" t="s">
        <v>470</v>
      </c>
      <c r="H12841" s="185"/>
    </row>
    <row r="12842">
      <c r="D12842" s="185"/>
      <c r="E12842" s="185" t="s">
        <v>470</v>
      </c>
      <c r="H12842" s="185"/>
    </row>
    <row r="12843">
      <c r="D12843" s="185"/>
      <c r="E12843" s="185" t="s">
        <v>470</v>
      </c>
      <c r="H12843" s="185"/>
    </row>
    <row r="12844">
      <c r="D12844" s="185"/>
      <c r="E12844" s="185" t="s">
        <v>470</v>
      </c>
      <c r="H12844" s="185"/>
    </row>
    <row r="12845">
      <c r="D12845" s="185"/>
      <c r="E12845" s="185" t="s">
        <v>470</v>
      </c>
      <c r="H12845" s="185"/>
    </row>
    <row r="12846">
      <c r="D12846" s="185"/>
      <c r="E12846" s="185" t="s">
        <v>470</v>
      </c>
      <c r="H12846" s="185"/>
    </row>
    <row r="12847">
      <c r="D12847" s="185"/>
      <c r="E12847" s="185" t="s">
        <v>470</v>
      </c>
      <c r="H12847" s="185"/>
    </row>
    <row r="12848">
      <c r="D12848" s="185"/>
      <c r="E12848" s="185" t="s">
        <v>470</v>
      </c>
      <c r="H12848" s="185"/>
    </row>
    <row r="12849">
      <c r="D12849" s="185"/>
      <c r="E12849" s="185" t="s">
        <v>470</v>
      </c>
      <c r="H12849" s="185"/>
    </row>
    <row r="12850">
      <c r="D12850" s="185"/>
      <c r="E12850" s="185" t="s">
        <v>470</v>
      </c>
      <c r="H12850" s="185"/>
    </row>
    <row r="12851">
      <c r="D12851" s="185"/>
      <c r="E12851" s="185" t="s">
        <v>470</v>
      </c>
      <c r="H12851" s="185"/>
    </row>
    <row r="12852">
      <c r="D12852" s="185"/>
      <c r="E12852" s="185" t="s">
        <v>470</v>
      </c>
      <c r="H12852" s="185"/>
    </row>
    <row r="12853">
      <c r="D12853" s="185"/>
      <c r="E12853" s="185" t="s">
        <v>470</v>
      </c>
      <c r="H12853" s="185"/>
    </row>
    <row r="12854">
      <c r="D12854" s="185"/>
      <c r="E12854" s="185" t="s">
        <v>470</v>
      </c>
      <c r="H12854" s="185"/>
    </row>
    <row r="12855">
      <c r="D12855" s="185"/>
      <c r="E12855" s="185" t="s">
        <v>470</v>
      </c>
      <c r="H12855" s="185"/>
    </row>
    <row r="12856">
      <c r="D12856" s="185"/>
      <c r="E12856" s="185" t="s">
        <v>470</v>
      </c>
      <c r="H12856" s="185"/>
    </row>
    <row r="12857">
      <c r="D12857" s="185"/>
      <c r="E12857" s="185" t="s">
        <v>470</v>
      </c>
      <c r="H12857" s="185"/>
    </row>
    <row r="12858">
      <c r="D12858" s="185"/>
      <c r="E12858" s="185" t="s">
        <v>470</v>
      </c>
      <c r="H12858" s="185"/>
    </row>
    <row r="12859">
      <c r="D12859" s="185"/>
      <c r="E12859" s="185" t="s">
        <v>470</v>
      </c>
      <c r="H12859" s="185"/>
    </row>
    <row r="12860">
      <c r="D12860" s="185"/>
      <c r="E12860" s="185" t="s">
        <v>470</v>
      </c>
      <c r="H12860" s="185"/>
    </row>
    <row r="12861">
      <c r="D12861" s="185"/>
      <c r="E12861" s="185" t="s">
        <v>470</v>
      </c>
      <c r="H12861" s="185"/>
    </row>
    <row r="12862">
      <c r="D12862" s="185"/>
      <c r="E12862" s="185" t="s">
        <v>470</v>
      </c>
      <c r="H12862" s="185"/>
    </row>
    <row r="12863">
      <c r="D12863" s="185"/>
      <c r="E12863" s="185" t="s">
        <v>470</v>
      </c>
      <c r="H12863" s="185"/>
    </row>
    <row r="12864">
      <c r="D12864" s="185"/>
      <c r="E12864" s="185" t="s">
        <v>470</v>
      </c>
      <c r="H12864" s="185"/>
    </row>
    <row r="12865">
      <c r="D12865" s="185"/>
      <c r="E12865" s="185" t="s">
        <v>470</v>
      </c>
      <c r="H12865" s="185"/>
    </row>
    <row r="12866">
      <c r="D12866" s="185"/>
      <c r="E12866" s="185" t="s">
        <v>470</v>
      </c>
      <c r="H12866" s="185"/>
    </row>
    <row r="12867">
      <c r="D12867" s="185"/>
      <c r="E12867" s="185" t="s">
        <v>470</v>
      </c>
      <c r="H12867" s="185"/>
    </row>
    <row r="12868">
      <c r="D12868" s="185"/>
      <c r="E12868" s="185" t="s">
        <v>470</v>
      </c>
      <c r="H12868" s="185"/>
    </row>
    <row r="12869">
      <c r="D12869" s="185"/>
      <c r="E12869" s="185" t="s">
        <v>470</v>
      </c>
      <c r="H12869" s="185"/>
    </row>
    <row r="12870">
      <c r="D12870" s="185"/>
      <c r="E12870" s="185" t="s">
        <v>470</v>
      </c>
      <c r="H12870" s="185"/>
    </row>
    <row r="12871">
      <c r="D12871" s="185"/>
      <c r="E12871" s="185" t="s">
        <v>470</v>
      </c>
      <c r="H12871" s="185"/>
    </row>
    <row r="12872">
      <c r="D12872" s="185"/>
      <c r="E12872" s="185" t="s">
        <v>470</v>
      </c>
      <c r="H12872" s="185"/>
    </row>
    <row r="12873">
      <c r="D12873" s="185"/>
      <c r="E12873" s="185" t="s">
        <v>470</v>
      </c>
      <c r="H12873" s="185"/>
    </row>
    <row r="12874">
      <c r="D12874" s="185"/>
      <c r="E12874" s="185" t="s">
        <v>470</v>
      </c>
      <c r="H12874" s="185"/>
    </row>
    <row r="12875">
      <c r="D12875" s="185"/>
      <c r="E12875" s="185" t="s">
        <v>470</v>
      </c>
      <c r="H12875" s="185"/>
    </row>
    <row r="12876">
      <c r="D12876" s="185"/>
      <c r="E12876" s="185" t="s">
        <v>470</v>
      </c>
      <c r="H12876" s="185"/>
    </row>
    <row r="12877">
      <c r="D12877" s="185"/>
      <c r="E12877" s="185" t="s">
        <v>470</v>
      </c>
      <c r="H12877" s="185"/>
    </row>
    <row r="12878">
      <c r="D12878" s="185"/>
      <c r="E12878" s="185" t="s">
        <v>470</v>
      </c>
      <c r="H12878" s="185"/>
    </row>
    <row r="12879">
      <c r="D12879" s="185"/>
      <c r="E12879" s="185" t="s">
        <v>470</v>
      </c>
      <c r="H12879" s="185"/>
    </row>
    <row r="12880">
      <c r="D12880" s="185"/>
      <c r="E12880" s="185" t="s">
        <v>470</v>
      </c>
      <c r="H12880" s="185"/>
    </row>
    <row r="12881">
      <c r="D12881" s="185"/>
      <c r="E12881" s="185" t="s">
        <v>470</v>
      </c>
      <c r="H12881" s="185"/>
    </row>
    <row r="12882">
      <c r="D12882" s="185"/>
      <c r="E12882" s="185" t="s">
        <v>470</v>
      </c>
      <c r="H12882" s="185"/>
    </row>
    <row r="12883">
      <c r="D12883" s="185"/>
      <c r="E12883" s="185" t="s">
        <v>470</v>
      </c>
      <c r="H12883" s="185"/>
    </row>
    <row r="12884">
      <c r="D12884" s="185"/>
      <c r="E12884" s="185" t="s">
        <v>470</v>
      </c>
      <c r="H12884" s="185"/>
    </row>
    <row r="12885">
      <c r="D12885" s="185"/>
      <c r="E12885" s="185" t="s">
        <v>470</v>
      </c>
      <c r="H12885" s="185"/>
    </row>
    <row r="12886">
      <c r="D12886" s="185"/>
      <c r="E12886" s="185" t="s">
        <v>470</v>
      </c>
      <c r="H12886" s="185"/>
    </row>
    <row r="12887">
      <c r="D12887" s="185"/>
      <c r="E12887" s="185" t="s">
        <v>470</v>
      </c>
      <c r="H12887" s="185"/>
    </row>
    <row r="12888">
      <c r="D12888" s="185"/>
      <c r="E12888" s="185" t="s">
        <v>470</v>
      </c>
      <c r="H12888" s="185"/>
    </row>
    <row r="12889">
      <c r="D12889" s="185"/>
      <c r="E12889" s="185" t="s">
        <v>470</v>
      </c>
      <c r="H12889" s="185"/>
    </row>
    <row r="12890">
      <c r="D12890" s="185"/>
      <c r="E12890" s="185" t="s">
        <v>470</v>
      </c>
      <c r="H12890" s="185"/>
    </row>
    <row r="12891">
      <c r="D12891" s="185"/>
      <c r="E12891" s="185" t="s">
        <v>470</v>
      </c>
      <c r="H12891" s="185"/>
    </row>
    <row r="12892">
      <c r="D12892" s="185"/>
      <c r="E12892" s="185" t="s">
        <v>470</v>
      </c>
      <c r="H12892" s="185"/>
    </row>
    <row r="12893">
      <c r="D12893" s="185"/>
      <c r="E12893" s="185" t="s">
        <v>470</v>
      </c>
      <c r="H12893" s="185"/>
    </row>
    <row r="12894">
      <c r="D12894" s="185"/>
      <c r="E12894" s="185" t="s">
        <v>470</v>
      </c>
      <c r="H12894" s="185"/>
    </row>
    <row r="12895">
      <c r="D12895" s="185"/>
      <c r="E12895" s="185" t="s">
        <v>470</v>
      </c>
      <c r="H12895" s="185"/>
    </row>
    <row r="12896">
      <c r="D12896" s="185"/>
      <c r="E12896" s="185" t="s">
        <v>470</v>
      </c>
      <c r="H12896" s="185"/>
    </row>
    <row r="12897">
      <c r="D12897" s="185"/>
      <c r="E12897" s="185" t="s">
        <v>470</v>
      </c>
      <c r="H12897" s="185"/>
    </row>
    <row r="12898">
      <c r="D12898" s="185"/>
      <c r="E12898" s="185" t="s">
        <v>470</v>
      </c>
      <c r="H12898" s="185"/>
    </row>
    <row r="12899">
      <c r="D12899" s="185"/>
      <c r="E12899" s="185" t="s">
        <v>470</v>
      </c>
      <c r="H12899" s="185"/>
    </row>
    <row r="12900">
      <c r="D12900" s="185"/>
      <c r="E12900" s="185" t="s">
        <v>470</v>
      </c>
      <c r="H12900" s="185"/>
    </row>
    <row r="12901">
      <c r="D12901" s="185"/>
      <c r="E12901" s="185" t="s">
        <v>470</v>
      </c>
      <c r="H12901" s="185"/>
    </row>
    <row r="12902">
      <c r="D12902" s="185"/>
      <c r="E12902" s="185" t="s">
        <v>470</v>
      </c>
      <c r="H12902" s="185"/>
    </row>
    <row r="12903">
      <c r="D12903" s="185"/>
      <c r="E12903" s="185" t="s">
        <v>470</v>
      </c>
      <c r="H12903" s="185"/>
    </row>
    <row r="12904">
      <c r="D12904" s="185"/>
      <c r="E12904" s="185" t="s">
        <v>470</v>
      </c>
      <c r="H12904" s="185"/>
    </row>
    <row r="12905">
      <c r="D12905" s="185"/>
      <c r="E12905" s="185" t="s">
        <v>470</v>
      </c>
      <c r="H12905" s="185"/>
    </row>
    <row r="12906">
      <c r="D12906" s="185"/>
      <c r="E12906" s="185" t="s">
        <v>470</v>
      </c>
      <c r="H12906" s="185"/>
    </row>
    <row r="12907">
      <c r="D12907" s="185"/>
      <c r="E12907" s="185" t="s">
        <v>470</v>
      </c>
      <c r="H12907" s="185"/>
    </row>
    <row r="12908">
      <c r="D12908" s="185"/>
      <c r="E12908" s="185" t="s">
        <v>470</v>
      </c>
      <c r="H12908" s="185"/>
    </row>
    <row r="12909">
      <c r="D12909" s="185"/>
      <c r="E12909" s="185" t="s">
        <v>470</v>
      </c>
      <c r="H12909" s="185"/>
    </row>
    <row r="12910">
      <c r="D12910" s="185"/>
      <c r="E12910" s="185" t="s">
        <v>470</v>
      </c>
      <c r="H12910" s="185"/>
    </row>
    <row r="12911">
      <c r="D12911" s="185"/>
      <c r="E12911" s="185" t="s">
        <v>470</v>
      </c>
      <c r="H12911" s="185"/>
    </row>
    <row r="12912">
      <c r="D12912" s="185"/>
      <c r="E12912" s="185" t="s">
        <v>470</v>
      </c>
      <c r="H12912" s="185"/>
    </row>
    <row r="12913">
      <c r="D12913" s="185"/>
      <c r="E12913" s="185" t="s">
        <v>470</v>
      </c>
      <c r="H12913" s="185"/>
    </row>
    <row r="12914">
      <c r="D12914" s="185"/>
      <c r="E12914" s="185" t="s">
        <v>470</v>
      </c>
      <c r="H12914" s="185"/>
    </row>
    <row r="12915">
      <c r="D12915" s="185"/>
      <c r="E12915" s="185" t="s">
        <v>470</v>
      </c>
      <c r="H12915" s="185"/>
    </row>
    <row r="12916">
      <c r="D12916" s="185"/>
      <c r="E12916" s="185" t="s">
        <v>470</v>
      </c>
      <c r="H12916" s="185"/>
    </row>
    <row r="12917">
      <c r="D12917" s="185"/>
      <c r="E12917" s="185" t="s">
        <v>470</v>
      </c>
      <c r="H12917" s="185"/>
    </row>
    <row r="12918">
      <c r="D12918" s="185"/>
      <c r="E12918" s="185" t="s">
        <v>470</v>
      </c>
      <c r="H12918" s="185"/>
    </row>
    <row r="12919">
      <c r="D12919" s="185"/>
      <c r="E12919" s="185" t="s">
        <v>470</v>
      </c>
      <c r="H12919" s="185"/>
    </row>
    <row r="12920">
      <c r="D12920" s="185"/>
      <c r="E12920" s="185" t="s">
        <v>470</v>
      </c>
      <c r="H12920" s="185"/>
    </row>
    <row r="12921">
      <c r="D12921" s="185"/>
      <c r="E12921" s="185" t="s">
        <v>470</v>
      </c>
      <c r="H12921" s="185"/>
    </row>
    <row r="12922">
      <c r="D12922" s="185"/>
      <c r="E12922" s="185" t="s">
        <v>470</v>
      </c>
      <c r="H12922" s="185"/>
    </row>
    <row r="12923">
      <c r="D12923" s="185"/>
      <c r="E12923" s="185" t="s">
        <v>470</v>
      </c>
      <c r="H12923" s="185"/>
    </row>
    <row r="12924">
      <c r="D12924" s="185"/>
      <c r="E12924" s="185" t="s">
        <v>470</v>
      </c>
      <c r="H12924" s="185"/>
    </row>
    <row r="12925">
      <c r="D12925" s="185"/>
      <c r="E12925" s="185" t="s">
        <v>470</v>
      </c>
      <c r="H12925" s="185"/>
    </row>
    <row r="12926">
      <c r="D12926" s="185"/>
      <c r="E12926" s="185" t="s">
        <v>470</v>
      </c>
      <c r="H12926" s="185"/>
    </row>
    <row r="12927">
      <c r="D12927" s="185"/>
      <c r="E12927" s="185" t="s">
        <v>470</v>
      </c>
      <c r="H12927" s="185"/>
    </row>
    <row r="12928">
      <c r="D12928" s="185"/>
      <c r="E12928" s="185" t="s">
        <v>470</v>
      </c>
      <c r="H12928" s="185"/>
    </row>
    <row r="12929">
      <c r="D12929" s="185"/>
      <c r="E12929" s="185" t="s">
        <v>470</v>
      </c>
      <c r="H12929" s="185"/>
    </row>
    <row r="12930">
      <c r="D12930" s="185"/>
      <c r="E12930" s="185" t="s">
        <v>470</v>
      </c>
      <c r="H12930" s="185"/>
    </row>
    <row r="12931">
      <c r="D12931" s="185"/>
      <c r="E12931" s="185" t="s">
        <v>470</v>
      </c>
      <c r="H12931" s="185"/>
    </row>
    <row r="12932">
      <c r="D12932" s="185"/>
      <c r="E12932" s="185" t="s">
        <v>470</v>
      </c>
      <c r="H12932" s="185"/>
    </row>
    <row r="12933">
      <c r="D12933" s="185"/>
      <c r="E12933" s="185" t="s">
        <v>470</v>
      </c>
      <c r="H12933" s="185"/>
    </row>
    <row r="12934">
      <c r="D12934" s="185"/>
      <c r="E12934" s="185" t="s">
        <v>470</v>
      </c>
      <c r="H12934" s="185"/>
    </row>
    <row r="12935">
      <c r="D12935" s="185"/>
      <c r="E12935" s="185" t="s">
        <v>470</v>
      </c>
      <c r="H12935" s="185"/>
    </row>
    <row r="12936">
      <c r="D12936" s="185"/>
      <c r="E12936" s="185" t="s">
        <v>470</v>
      </c>
      <c r="H12936" s="185"/>
    </row>
    <row r="12937">
      <c r="D12937" s="185"/>
      <c r="E12937" s="185" t="s">
        <v>470</v>
      </c>
      <c r="H12937" s="185"/>
    </row>
    <row r="12938">
      <c r="D12938" s="185"/>
      <c r="E12938" s="185" t="s">
        <v>470</v>
      </c>
      <c r="H12938" s="185"/>
    </row>
    <row r="12939">
      <c r="D12939" s="185"/>
      <c r="E12939" s="185" t="s">
        <v>470</v>
      </c>
      <c r="H12939" s="185"/>
    </row>
    <row r="12940">
      <c r="D12940" s="185"/>
      <c r="E12940" s="185" t="s">
        <v>470</v>
      </c>
      <c r="H12940" s="185"/>
    </row>
    <row r="12941">
      <c r="D12941" s="185"/>
      <c r="E12941" s="185" t="s">
        <v>470</v>
      </c>
      <c r="H12941" s="185"/>
    </row>
    <row r="12942">
      <c r="D12942" s="185"/>
      <c r="E12942" s="185" t="s">
        <v>470</v>
      </c>
      <c r="H12942" s="185"/>
    </row>
    <row r="12943">
      <c r="D12943" s="185"/>
      <c r="E12943" s="185" t="s">
        <v>470</v>
      </c>
      <c r="H12943" s="185"/>
    </row>
    <row r="12944">
      <c r="D12944" s="185"/>
      <c r="E12944" s="185" t="s">
        <v>470</v>
      </c>
      <c r="H12944" s="185"/>
    </row>
    <row r="12945">
      <c r="D12945" s="185"/>
      <c r="E12945" s="185" t="s">
        <v>470</v>
      </c>
      <c r="H12945" s="185"/>
    </row>
    <row r="12946">
      <c r="D12946" s="185"/>
      <c r="E12946" s="185" t="s">
        <v>470</v>
      </c>
      <c r="H12946" s="185"/>
    </row>
    <row r="12947">
      <c r="D12947" s="185"/>
      <c r="E12947" s="185" t="s">
        <v>470</v>
      </c>
      <c r="H12947" s="185"/>
    </row>
    <row r="12948">
      <c r="D12948" s="185"/>
      <c r="E12948" s="185" t="s">
        <v>470</v>
      </c>
      <c r="H12948" s="185"/>
    </row>
    <row r="12949">
      <c r="D12949" s="185"/>
      <c r="E12949" s="185" t="s">
        <v>470</v>
      </c>
      <c r="H12949" s="185"/>
    </row>
    <row r="12950">
      <c r="D12950" s="185"/>
      <c r="E12950" s="185" t="s">
        <v>470</v>
      </c>
      <c r="H12950" s="185"/>
    </row>
    <row r="12951">
      <c r="D12951" s="185"/>
      <c r="E12951" s="185" t="s">
        <v>470</v>
      </c>
      <c r="H12951" s="185"/>
    </row>
    <row r="12952">
      <c r="D12952" s="185"/>
      <c r="E12952" s="185" t="s">
        <v>470</v>
      </c>
      <c r="H12952" s="185"/>
    </row>
    <row r="12953">
      <c r="D12953" s="185"/>
      <c r="E12953" s="185" t="s">
        <v>470</v>
      </c>
      <c r="H12953" s="185"/>
    </row>
    <row r="12954">
      <c r="D12954" s="185"/>
      <c r="E12954" s="185" t="s">
        <v>470</v>
      </c>
      <c r="H12954" s="185"/>
    </row>
    <row r="12955">
      <c r="D12955" s="185"/>
      <c r="E12955" s="185" t="s">
        <v>470</v>
      </c>
      <c r="H12955" s="185"/>
    </row>
    <row r="12956">
      <c r="D12956" s="185"/>
      <c r="E12956" s="185" t="s">
        <v>470</v>
      </c>
      <c r="H12956" s="185"/>
    </row>
    <row r="12957">
      <c r="D12957" s="185"/>
      <c r="E12957" s="185" t="s">
        <v>470</v>
      </c>
      <c r="H12957" s="185"/>
    </row>
    <row r="12958">
      <c r="D12958" s="185"/>
      <c r="E12958" s="185" t="s">
        <v>470</v>
      </c>
      <c r="H12958" s="185"/>
    </row>
    <row r="12959">
      <c r="D12959" s="185"/>
      <c r="E12959" s="185" t="s">
        <v>470</v>
      </c>
      <c r="H12959" s="185"/>
    </row>
    <row r="12960">
      <c r="D12960" s="185"/>
      <c r="E12960" s="185" t="s">
        <v>470</v>
      </c>
      <c r="H12960" s="185"/>
    </row>
    <row r="12961">
      <c r="D12961" s="185"/>
      <c r="E12961" s="185" t="s">
        <v>470</v>
      </c>
      <c r="H12961" s="185"/>
    </row>
    <row r="12962">
      <c r="D12962" s="185"/>
      <c r="E12962" s="185" t="s">
        <v>470</v>
      </c>
      <c r="H12962" s="185"/>
    </row>
    <row r="12963">
      <c r="D12963" s="185"/>
      <c r="E12963" s="185" t="s">
        <v>470</v>
      </c>
      <c r="H12963" s="185"/>
    </row>
    <row r="12964">
      <c r="D12964" s="185"/>
      <c r="E12964" s="185" t="s">
        <v>470</v>
      </c>
      <c r="H12964" s="185"/>
    </row>
    <row r="12965">
      <c r="D12965" s="185"/>
      <c r="E12965" s="185" t="s">
        <v>470</v>
      </c>
      <c r="H12965" s="185"/>
    </row>
    <row r="12966">
      <c r="D12966" s="185"/>
      <c r="E12966" s="185" t="s">
        <v>470</v>
      </c>
      <c r="H12966" s="185"/>
    </row>
    <row r="12967">
      <c r="D12967" s="185"/>
      <c r="E12967" s="185" t="s">
        <v>470</v>
      </c>
      <c r="H12967" s="185"/>
    </row>
    <row r="12968">
      <c r="D12968" s="185"/>
      <c r="E12968" s="185" t="s">
        <v>470</v>
      </c>
      <c r="H12968" s="185"/>
    </row>
    <row r="12969">
      <c r="D12969" s="185"/>
      <c r="E12969" s="185" t="s">
        <v>470</v>
      </c>
      <c r="H12969" s="185"/>
    </row>
    <row r="12970">
      <c r="D12970" s="185"/>
      <c r="E12970" s="185" t="s">
        <v>470</v>
      </c>
      <c r="H12970" s="185"/>
    </row>
    <row r="12971">
      <c r="D12971" s="185"/>
      <c r="E12971" s="185" t="s">
        <v>470</v>
      </c>
      <c r="H12971" s="185"/>
    </row>
    <row r="12972">
      <c r="D12972" s="185"/>
      <c r="E12972" s="185" t="s">
        <v>470</v>
      </c>
      <c r="H12972" s="185"/>
    </row>
    <row r="12973">
      <c r="D12973" s="185"/>
      <c r="E12973" s="185" t="s">
        <v>470</v>
      </c>
      <c r="H12973" s="185"/>
    </row>
    <row r="12974">
      <c r="D12974" s="185"/>
      <c r="E12974" s="185" t="s">
        <v>470</v>
      </c>
      <c r="H12974" s="185"/>
    </row>
    <row r="12975">
      <c r="D12975" s="185"/>
      <c r="E12975" s="185" t="s">
        <v>470</v>
      </c>
      <c r="H12975" s="185"/>
    </row>
    <row r="12976">
      <c r="D12976" s="185"/>
      <c r="E12976" s="185" t="s">
        <v>470</v>
      </c>
      <c r="H12976" s="185"/>
    </row>
    <row r="12977">
      <c r="D12977" s="185"/>
      <c r="E12977" s="185" t="s">
        <v>470</v>
      </c>
      <c r="H12977" s="185"/>
    </row>
    <row r="12978">
      <c r="D12978" s="185"/>
      <c r="E12978" s="185" t="s">
        <v>470</v>
      </c>
      <c r="H12978" s="185"/>
    </row>
    <row r="12979">
      <c r="D12979" s="185"/>
      <c r="E12979" s="185" t="s">
        <v>470</v>
      </c>
      <c r="H12979" s="185"/>
    </row>
    <row r="12980">
      <c r="D12980" s="185"/>
      <c r="E12980" s="185" t="s">
        <v>470</v>
      </c>
      <c r="H12980" s="185"/>
    </row>
    <row r="12981">
      <c r="D12981" s="185"/>
      <c r="E12981" s="185" t="s">
        <v>470</v>
      </c>
      <c r="H12981" s="185"/>
    </row>
    <row r="12982">
      <c r="D12982" s="185"/>
      <c r="E12982" s="185" t="s">
        <v>470</v>
      </c>
      <c r="H12982" s="185"/>
    </row>
    <row r="12983">
      <c r="D12983" s="185"/>
      <c r="E12983" s="185" t="s">
        <v>470</v>
      </c>
      <c r="H12983" s="185"/>
    </row>
    <row r="12984">
      <c r="D12984" s="185"/>
      <c r="E12984" s="185" t="s">
        <v>470</v>
      </c>
      <c r="H12984" s="185"/>
    </row>
    <row r="12985">
      <c r="D12985" s="185"/>
      <c r="E12985" s="185" t="s">
        <v>470</v>
      </c>
      <c r="H12985" s="185"/>
    </row>
    <row r="12986">
      <c r="D12986" s="185"/>
      <c r="E12986" s="185" t="s">
        <v>470</v>
      </c>
      <c r="H12986" s="185"/>
    </row>
    <row r="12987">
      <c r="D12987" s="185"/>
      <c r="E12987" s="185" t="s">
        <v>470</v>
      </c>
      <c r="H12987" s="185"/>
    </row>
    <row r="12988">
      <c r="D12988" s="185"/>
      <c r="E12988" s="185" t="s">
        <v>470</v>
      </c>
      <c r="H12988" s="185"/>
    </row>
    <row r="12989">
      <c r="D12989" s="185"/>
      <c r="E12989" s="185" t="s">
        <v>470</v>
      </c>
      <c r="H12989" s="185"/>
    </row>
    <row r="12990">
      <c r="D12990" s="185"/>
      <c r="E12990" s="185" t="s">
        <v>470</v>
      </c>
      <c r="H12990" s="185"/>
    </row>
    <row r="12991">
      <c r="D12991" s="185"/>
      <c r="E12991" s="185" t="s">
        <v>470</v>
      </c>
      <c r="H12991" s="185"/>
    </row>
    <row r="12992">
      <c r="D12992" s="185"/>
      <c r="E12992" s="185" t="s">
        <v>470</v>
      </c>
      <c r="H12992" s="185"/>
    </row>
    <row r="12993">
      <c r="D12993" s="185"/>
      <c r="E12993" s="185" t="s">
        <v>470</v>
      </c>
      <c r="H12993" s="185"/>
    </row>
    <row r="12994">
      <c r="D12994" s="185"/>
      <c r="E12994" s="185" t="s">
        <v>470</v>
      </c>
      <c r="H12994" s="185"/>
    </row>
    <row r="12995">
      <c r="D12995" s="185"/>
      <c r="E12995" s="185" t="s">
        <v>470</v>
      </c>
      <c r="H12995" s="185"/>
    </row>
    <row r="12996">
      <c r="D12996" s="185"/>
      <c r="E12996" s="185" t="s">
        <v>470</v>
      </c>
      <c r="H12996" s="185"/>
    </row>
    <row r="12997">
      <c r="D12997" s="185"/>
      <c r="E12997" s="185" t="s">
        <v>470</v>
      </c>
      <c r="H12997" s="185"/>
    </row>
    <row r="12998">
      <c r="D12998" s="185"/>
      <c r="E12998" s="185" t="s">
        <v>470</v>
      </c>
      <c r="H12998" s="185"/>
    </row>
    <row r="12999">
      <c r="D12999" s="185"/>
      <c r="E12999" s="185" t="s">
        <v>470</v>
      </c>
      <c r="H12999" s="185"/>
    </row>
    <row r="13000">
      <c r="D13000" s="185"/>
      <c r="E13000" s="185" t="s">
        <v>470</v>
      </c>
      <c r="H13000" s="185"/>
    </row>
    <row r="13001">
      <c r="D13001" s="185"/>
      <c r="E13001" s="185" t="s">
        <v>470</v>
      </c>
      <c r="H13001" s="185"/>
    </row>
    <row r="13002">
      <c r="D13002" s="185"/>
      <c r="E13002" s="185" t="s">
        <v>470</v>
      </c>
      <c r="H13002" s="185"/>
    </row>
    <row r="13003">
      <c r="D13003" s="185"/>
      <c r="E13003" s="185" t="s">
        <v>470</v>
      </c>
      <c r="H13003" s="185"/>
    </row>
    <row r="13004">
      <c r="D13004" s="185"/>
      <c r="E13004" s="185" t="s">
        <v>470</v>
      </c>
      <c r="H13004" s="185"/>
    </row>
    <row r="13005">
      <c r="D13005" s="185"/>
      <c r="E13005" s="185" t="s">
        <v>470</v>
      </c>
      <c r="H13005" s="185"/>
    </row>
    <row r="13006">
      <c r="D13006" s="185"/>
      <c r="E13006" s="185" t="s">
        <v>470</v>
      </c>
      <c r="H13006" s="185"/>
    </row>
    <row r="13007">
      <c r="D13007" s="185"/>
      <c r="E13007" s="185" t="s">
        <v>470</v>
      </c>
      <c r="H13007" s="185"/>
    </row>
    <row r="13008">
      <c r="D13008" s="185"/>
      <c r="E13008" s="185" t="s">
        <v>470</v>
      </c>
      <c r="H13008" s="185"/>
    </row>
    <row r="13009">
      <c r="D13009" s="185"/>
      <c r="E13009" s="185" t="s">
        <v>470</v>
      </c>
      <c r="H13009" s="185"/>
    </row>
    <row r="13010">
      <c r="D13010" s="185"/>
      <c r="E13010" s="185" t="s">
        <v>470</v>
      </c>
      <c r="H13010" s="185"/>
    </row>
    <row r="13011">
      <c r="D13011" s="185"/>
      <c r="E13011" s="185" t="s">
        <v>470</v>
      </c>
      <c r="H13011" s="185"/>
    </row>
    <row r="13012">
      <c r="D13012" s="185"/>
      <c r="E13012" s="185" t="s">
        <v>470</v>
      </c>
      <c r="H13012" s="185"/>
    </row>
    <row r="13013">
      <c r="D13013" s="185"/>
      <c r="E13013" s="185" t="s">
        <v>470</v>
      </c>
      <c r="H13013" s="185"/>
    </row>
    <row r="13014">
      <c r="D13014" s="185"/>
      <c r="E13014" s="185" t="s">
        <v>470</v>
      </c>
      <c r="H13014" s="185"/>
    </row>
    <row r="13015">
      <c r="D13015" s="185"/>
      <c r="E13015" s="185" t="s">
        <v>470</v>
      </c>
      <c r="H13015" s="185"/>
    </row>
    <row r="13016">
      <c r="D13016" s="185"/>
      <c r="E13016" s="185" t="s">
        <v>470</v>
      </c>
      <c r="H13016" s="185"/>
    </row>
    <row r="13017">
      <c r="D13017" s="185"/>
      <c r="E13017" s="185" t="s">
        <v>470</v>
      </c>
      <c r="H13017" s="185"/>
    </row>
    <row r="13018">
      <c r="D13018" s="185"/>
      <c r="E13018" s="185" t="s">
        <v>470</v>
      </c>
      <c r="H13018" s="185"/>
    </row>
    <row r="13019">
      <c r="D13019" s="185"/>
      <c r="E13019" s="185" t="s">
        <v>470</v>
      </c>
      <c r="H13019" s="185"/>
    </row>
    <row r="13020">
      <c r="D13020" s="185"/>
      <c r="E13020" s="185" t="s">
        <v>470</v>
      </c>
      <c r="H13020" s="185"/>
    </row>
    <row r="13021">
      <c r="D13021" s="185"/>
      <c r="E13021" s="185" t="s">
        <v>470</v>
      </c>
      <c r="H13021" s="185"/>
    </row>
    <row r="13022">
      <c r="D13022" s="185"/>
      <c r="E13022" s="185" t="s">
        <v>470</v>
      </c>
      <c r="H13022" s="185"/>
    </row>
    <row r="13023">
      <c r="D13023" s="185"/>
      <c r="E13023" s="185" t="s">
        <v>470</v>
      </c>
      <c r="H13023" s="185"/>
    </row>
    <row r="13024">
      <c r="D13024" s="185"/>
      <c r="E13024" s="185" t="s">
        <v>470</v>
      </c>
      <c r="H13024" s="185"/>
    </row>
    <row r="13025">
      <c r="D13025" s="185"/>
      <c r="E13025" s="185" t="s">
        <v>470</v>
      </c>
      <c r="H13025" s="185"/>
    </row>
    <row r="13026">
      <c r="D13026" s="185"/>
      <c r="E13026" s="185" t="s">
        <v>470</v>
      </c>
      <c r="H13026" s="185"/>
    </row>
    <row r="13027">
      <c r="D13027" s="185"/>
      <c r="E13027" s="185" t="s">
        <v>470</v>
      </c>
      <c r="H13027" s="185"/>
    </row>
    <row r="13028">
      <c r="D13028" s="185"/>
      <c r="E13028" s="185" t="s">
        <v>470</v>
      </c>
      <c r="H13028" s="185"/>
    </row>
    <row r="13029">
      <c r="D13029" s="185"/>
      <c r="E13029" s="185" t="s">
        <v>470</v>
      </c>
      <c r="H13029" s="185"/>
    </row>
    <row r="13030">
      <c r="D13030" s="185"/>
      <c r="E13030" s="185" t="s">
        <v>470</v>
      </c>
      <c r="H13030" s="185"/>
    </row>
    <row r="13031">
      <c r="D13031" s="185"/>
      <c r="E13031" s="185" t="s">
        <v>470</v>
      </c>
      <c r="H13031" s="185"/>
    </row>
    <row r="13032">
      <c r="D13032" s="185"/>
      <c r="E13032" s="185" t="s">
        <v>470</v>
      </c>
      <c r="H13032" s="185"/>
    </row>
    <row r="13033">
      <c r="D13033" s="185"/>
      <c r="E13033" s="185" t="s">
        <v>470</v>
      </c>
      <c r="H13033" s="185"/>
    </row>
    <row r="13034">
      <c r="D13034" s="185"/>
      <c r="E13034" s="185" t="s">
        <v>470</v>
      </c>
      <c r="H13034" s="185"/>
    </row>
    <row r="13035">
      <c r="D13035" s="185"/>
      <c r="E13035" s="185" t="s">
        <v>470</v>
      </c>
      <c r="H13035" s="185"/>
    </row>
    <row r="13036">
      <c r="D13036" s="185"/>
      <c r="E13036" s="185" t="s">
        <v>470</v>
      </c>
      <c r="H13036" s="185"/>
    </row>
    <row r="13037">
      <c r="D13037" s="185"/>
      <c r="E13037" s="185" t="s">
        <v>470</v>
      </c>
      <c r="H13037" s="185"/>
    </row>
    <row r="13038">
      <c r="D13038" s="185"/>
      <c r="E13038" s="185" t="s">
        <v>470</v>
      </c>
      <c r="H13038" s="185"/>
    </row>
    <row r="13039">
      <c r="D13039" s="185"/>
      <c r="E13039" s="185" t="s">
        <v>470</v>
      </c>
      <c r="H13039" s="185"/>
    </row>
    <row r="13040">
      <c r="D13040" s="185"/>
      <c r="E13040" s="185" t="s">
        <v>470</v>
      </c>
      <c r="H13040" s="185"/>
    </row>
    <row r="13041">
      <c r="D13041" s="185"/>
      <c r="E13041" s="185" t="s">
        <v>470</v>
      </c>
      <c r="H13041" s="185"/>
    </row>
    <row r="13042">
      <c r="D13042" s="185"/>
      <c r="E13042" s="185" t="s">
        <v>470</v>
      </c>
      <c r="H13042" s="185"/>
    </row>
    <row r="13043">
      <c r="D13043" s="185"/>
      <c r="E13043" s="185" t="s">
        <v>470</v>
      </c>
      <c r="H13043" s="185"/>
    </row>
    <row r="13044">
      <c r="D13044" s="185"/>
      <c r="E13044" s="185" t="s">
        <v>470</v>
      </c>
      <c r="H13044" s="185"/>
    </row>
    <row r="13045">
      <c r="D13045" s="185"/>
      <c r="E13045" s="185" t="s">
        <v>470</v>
      </c>
      <c r="H13045" s="185"/>
    </row>
    <row r="13046">
      <c r="D13046" s="185"/>
      <c r="E13046" s="185" t="s">
        <v>470</v>
      </c>
      <c r="H13046" s="185"/>
    </row>
    <row r="13047">
      <c r="D13047" s="185"/>
      <c r="E13047" s="185" t="s">
        <v>470</v>
      </c>
      <c r="H13047" s="185"/>
    </row>
    <row r="13048">
      <c r="D13048" s="185"/>
      <c r="E13048" s="185" t="s">
        <v>470</v>
      </c>
      <c r="H13048" s="185"/>
    </row>
    <row r="13049">
      <c r="D13049" s="185"/>
      <c r="E13049" s="185" t="s">
        <v>470</v>
      </c>
      <c r="H13049" s="185"/>
    </row>
    <row r="13050">
      <c r="D13050" s="185"/>
      <c r="E13050" s="185" t="s">
        <v>470</v>
      </c>
      <c r="H13050" s="185"/>
    </row>
    <row r="13051">
      <c r="D13051" s="185"/>
      <c r="E13051" s="185" t="s">
        <v>470</v>
      </c>
      <c r="H13051" s="185"/>
    </row>
    <row r="13052">
      <c r="D13052" s="185"/>
      <c r="E13052" s="185" t="s">
        <v>470</v>
      </c>
      <c r="H13052" s="185"/>
    </row>
    <row r="13053">
      <c r="D13053" s="185"/>
      <c r="E13053" s="185" t="s">
        <v>470</v>
      </c>
      <c r="H13053" s="185"/>
    </row>
    <row r="13054">
      <c r="D13054" s="185"/>
      <c r="E13054" s="185" t="s">
        <v>470</v>
      </c>
      <c r="H13054" s="185"/>
    </row>
    <row r="13055">
      <c r="D13055" s="185"/>
      <c r="E13055" s="185" t="s">
        <v>470</v>
      </c>
      <c r="H13055" s="185"/>
    </row>
    <row r="13056">
      <c r="D13056" s="185"/>
      <c r="E13056" s="185" t="s">
        <v>470</v>
      </c>
      <c r="H13056" s="185"/>
    </row>
    <row r="13057">
      <c r="D13057" s="185"/>
      <c r="E13057" s="185" t="s">
        <v>470</v>
      </c>
      <c r="H13057" s="185"/>
    </row>
    <row r="13058">
      <c r="D13058" s="185"/>
      <c r="E13058" s="185" t="s">
        <v>470</v>
      </c>
      <c r="H13058" s="185"/>
    </row>
    <row r="13059">
      <c r="D13059" s="185"/>
      <c r="E13059" s="185" t="s">
        <v>470</v>
      </c>
      <c r="H13059" s="185"/>
    </row>
    <row r="13060">
      <c r="D13060" s="185"/>
      <c r="E13060" s="185" t="s">
        <v>470</v>
      </c>
      <c r="H13060" s="185"/>
    </row>
    <row r="13061">
      <c r="D13061" s="185"/>
      <c r="E13061" s="185" t="s">
        <v>470</v>
      </c>
      <c r="H13061" s="185"/>
    </row>
    <row r="13062">
      <c r="D13062" s="185"/>
      <c r="E13062" s="185" t="s">
        <v>470</v>
      </c>
      <c r="H13062" s="185"/>
    </row>
    <row r="13063">
      <c r="D13063" s="185"/>
      <c r="E13063" s="185" t="s">
        <v>470</v>
      </c>
      <c r="H13063" s="185"/>
    </row>
    <row r="13064">
      <c r="D13064" s="185"/>
      <c r="E13064" s="185" t="s">
        <v>470</v>
      </c>
      <c r="H13064" s="185"/>
    </row>
    <row r="13065">
      <c r="D13065" s="185"/>
      <c r="E13065" s="185" t="s">
        <v>470</v>
      </c>
      <c r="H13065" s="185"/>
    </row>
    <row r="13066">
      <c r="D13066" s="185"/>
      <c r="E13066" s="185" t="s">
        <v>470</v>
      </c>
      <c r="H13066" s="185"/>
    </row>
    <row r="13067">
      <c r="D13067" s="185"/>
      <c r="E13067" s="185" t="s">
        <v>470</v>
      </c>
      <c r="H13067" s="185"/>
    </row>
    <row r="13068">
      <c r="D13068" s="185"/>
      <c r="E13068" s="185" t="s">
        <v>470</v>
      </c>
      <c r="H13068" s="185"/>
    </row>
    <row r="13069">
      <c r="D13069" s="185"/>
      <c r="E13069" s="185" t="s">
        <v>470</v>
      </c>
      <c r="H13069" s="185"/>
    </row>
    <row r="13070">
      <c r="D13070" s="185"/>
      <c r="E13070" s="185" t="s">
        <v>470</v>
      </c>
      <c r="H13070" s="185"/>
    </row>
    <row r="13071">
      <c r="D13071" s="185"/>
      <c r="E13071" s="185" t="s">
        <v>470</v>
      </c>
      <c r="H13071" s="185"/>
    </row>
    <row r="13072">
      <c r="D13072" s="185"/>
      <c r="E13072" s="185" t="s">
        <v>470</v>
      </c>
      <c r="H13072" s="185"/>
    </row>
    <row r="13073">
      <c r="D13073" s="185"/>
      <c r="E13073" s="185" t="s">
        <v>470</v>
      </c>
      <c r="H13073" s="185"/>
    </row>
    <row r="13074">
      <c r="D13074" s="185"/>
      <c r="E13074" s="185" t="s">
        <v>470</v>
      </c>
      <c r="H13074" s="185"/>
    </row>
    <row r="13075">
      <c r="D13075" s="185"/>
      <c r="E13075" s="185" t="s">
        <v>470</v>
      </c>
      <c r="H13075" s="185"/>
    </row>
    <row r="13076">
      <c r="D13076" s="185"/>
      <c r="E13076" s="185" t="s">
        <v>470</v>
      </c>
      <c r="H13076" s="185"/>
    </row>
    <row r="13077">
      <c r="D13077" s="185"/>
      <c r="E13077" s="185" t="s">
        <v>470</v>
      </c>
      <c r="H13077" s="185"/>
    </row>
    <row r="13078">
      <c r="D13078" s="185"/>
      <c r="E13078" s="185" t="s">
        <v>470</v>
      </c>
      <c r="H13078" s="185"/>
    </row>
    <row r="13079">
      <c r="D13079" s="185"/>
      <c r="E13079" s="185" t="s">
        <v>470</v>
      </c>
      <c r="H13079" s="185"/>
    </row>
    <row r="13080">
      <c r="D13080" s="185"/>
      <c r="E13080" s="185" t="s">
        <v>470</v>
      </c>
      <c r="H13080" s="185"/>
    </row>
    <row r="13081">
      <c r="D13081" s="185"/>
      <c r="E13081" s="185" t="s">
        <v>470</v>
      </c>
      <c r="H13081" s="185"/>
    </row>
    <row r="13082">
      <c r="D13082" s="185"/>
      <c r="E13082" s="185" t="s">
        <v>470</v>
      </c>
      <c r="H13082" s="185"/>
    </row>
    <row r="13083">
      <c r="D13083" s="185"/>
      <c r="E13083" s="185" t="s">
        <v>470</v>
      </c>
      <c r="H13083" s="185"/>
    </row>
    <row r="13084">
      <c r="D13084" s="185"/>
      <c r="E13084" s="185" t="s">
        <v>470</v>
      </c>
      <c r="H13084" s="185"/>
    </row>
    <row r="13085">
      <c r="D13085" s="185"/>
      <c r="E13085" s="185" t="s">
        <v>470</v>
      </c>
      <c r="H13085" s="185"/>
    </row>
    <row r="13086">
      <c r="D13086" s="185"/>
      <c r="E13086" s="185" t="s">
        <v>470</v>
      </c>
      <c r="H13086" s="185"/>
    </row>
    <row r="13087">
      <c r="D13087" s="185"/>
      <c r="E13087" s="185" t="s">
        <v>470</v>
      </c>
      <c r="H13087" s="185"/>
    </row>
    <row r="13088">
      <c r="D13088" s="185"/>
      <c r="E13088" s="185" t="s">
        <v>470</v>
      </c>
      <c r="H13088" s="185"/>
    </row>
    <row r="13089">
      <c r="D13089" s="185"/>
      <c r="E13089" s="185" t="s">
        <v>470</v>
      </c>
      <c r="H13089" s="185"/>
    </row>
    <row r="13090">
      <c r="D13090" s="185"/>
      <c r="E13090" s="185" t="s">
        <v>470</v>
      </c>
      <c r="H13090" s="185"/>
    </row>
    <row r="13091">
      <c r="D13091" s="185"/>
      <c r="E13091" s="185" t="s">
        <v>470</v>
      </c>
      <c r="H13091" s="185"/>
    </row>
    <row r="13092">
      <c r="D13092" s="185"/>
      <c r="E13092" s="185" t="s">
        <v>470</v>
      </c>
      <c r="H13092" s="185"/>
    </row>
    <row r="13093">
      <c r="D13093" s="185"/>
      <c r="E13093" s="185" t="s">
        <v>470</v>
      </c>
      <c r="H13093" s="185"/>
    </row>
    <row r="13094">
      <c r="D13094" s="185"/>
      <c r="E13094" s="185" t="s">
        <v>470</v>
      </c>
      <c r="H13094" s="185"/>
    </row>
    <row r="13095">
      <c r="D13095" s="185"/>
      <c r="E13095" s="185" t="s">
        <v>470</v>
      </c>
      <c r="H13095" s="185"/>
    </row>
    <row r="13096">
      <c r="D13096" s="185"/>
      <c r="E13096" s="185" t="s">
        <v>470</v>
      </c>
      <c r="H13096" s="185"/>
    </row>
    <row r="13097">
      <c r="D13097" s="185"/>
      <c r="E13097" s="185" t="s">
        <v>470</v>
      </c>
      <c r="H13097" s="185"/>
    </row>
    <row r="13098">
      <c r="D13098" s="185"/>
      <c r="E13098" s="185" t="s">
        <v>470</v>
      </c>
      <c r="H13098" s="185"/>
    </row>
    <row r="13099">
      <c r="D13099" s="185"/>
      <c r="E13099" s="185" t="s">
        <v>470</v>
      </c>
      <c r="H13099" s="185"/>
    </row>
    <row r="13100">
      <c r="D13100" s="185"/>
      <c r="E13100" s="185" t="s">
        <v>470</v>
      </c>
      <c r="H13100" s="185"/>
    </row>
    <row r="13101">
      <c r="D13101" s="185"/>
      <c r="E13101" s="185" t="s">
        <v>470</v>
      </c>
      <c r="H13101" s="185"/>
    </row>
    <row r="13102">
      <c r="D13102" s="185"/>
      <c r="E13102" s="185" t="s">
        <v>470</v>
      </c>
      <c r="H13102" s="185"/>
    </row>
    <row r="13103">
      <c r="D13103" s="185"/>
      <c r="E13103" s="185" t="s">
        <v>470</v>
      </c>
      <c r="H13103" s="185"/>
    </row>
    <row r="13104">
      <c r="D13104" s="185"/>
      <c r="E13104" s="185" t="s">
        <v>470</v>
      </c>
      <c r="H13104" s="185"/>
    </row>
    <row r="13105">
      <c r="D13105" s="185"/>
      <c r="E13105" s="185" t="s">
        <v>470</v>
      </c>
      <c r="H13105" s="185"/>
    </row>
    <row r="13106">
      <c r="D13106" s="185"/>
      <c r="E13106" s="185" t="s">
        <v>470</v>
      </c>
      <c r="H13106" s="185"/>
    </row>
    <row r="13107">
      <c r="D13107" s="185"/>
      <c r="E13107" s="185" t="s">
        <v>470</v>
      </c>
      <c r="H13107" s="185"/>
    </row>
    <row r="13108">
      <c r="D13108" s="185"/>
      <c r="E13108" s="185" t="s">
        <v>470</v>
      </c>
      <c r="H13108" s="185"/>
    </row>
    <row r="13109">
      <c r="D13109" s="185"/>
      <c r="E13109" s="185" t="s">
        <v>470</v>
      </c>
      <c r="H13109" s="185"/>
    </row>
    <row r="13110">
      <c r="D13110" s="185"/>
      <c r="E13110" s="185" t="s">
        <v>470</v>
      </c>
      <c r="H13110" s="185"/>
    </row>
    <row r="13111">
      <c r="D13111" s="185"/>
      <c r="E13111" s="185" t="s">
        <v>470</v>
      </c>
      <c r="H13111" s="185"/>
    </row>
    <row r="13112">
      <c r="D13112" s="185"/>
      <c r="E13112" s="185" t="s">
        <v>470</v>
      </c>
      <c r="H13112" s="185"/>
    </row>
    <row r="13113">
      <c r="D13113" s="185"/>
      <c r="E13113" s="185" t="s">
        <v>470</v>
      </c>
      <c r="H13113" s="185"/>
    </row>
    <row r="13114">
      <c r="D13114" s="185"/>
      <c r="E13114" s="185" t="s">
        <v>470</v>
      </c>
      <c r="H13114" s="185"/>
    </row>
    <row r="13115">
      <c r="D13115" s="185"/>
      <c r="E13115" s="185" t="s">
        <v>470</v>
      </c>
      <c r="H13115" s="185"/>
    </row>
    <row r="13116">
      <c r="D13116" s="185"/>
      <c r="E13116" s="185" t="s">
        <v>470</v>
      </c>
      <c r="H13116" s="185"/>
    </row>
    <row r="13117">
      <c r="D13117" s="185"/>
      <c r="E13117" s="185" t="s">
        <v>470</v>
      </c>
      <c r="H13117" s="185"/>
    </row>
    <row r="13118">
      <c r="D13118" s="185"/>
      <c r="E13118" s="185" t="s">
        <v>470</v>
      </c>
      <c r="H13118" s="185"/>
    </row>
    <row r="13119">
      <c r="D13119" s="185"/>
      <c r="E13119" s="185" t="s">
        <v>470</v>
      </c>
      <c r="H13119" s="185"/>
    </row>
    <row r="13120">
      <c r="D13120" s="185"/>
      <c r="E13120" s="185" t="s">
        <v>470</v>
      </c>
      <c r="H13120" s="185"/>
    </row>
    <row r="13121">
      <c r="D13121" s="185"/>
      <c r="E13121" s="185" t="s">
        <v>470</v>
      </c>
      <c r="H13121" s="185"/>
    </row>
    <row r="13122">
      <c r="D13122" s="185"/>
      <c r="E13122" s="185" t="s">
        <v>470</v>
      </c>
      <c r="H13122" s="185"/>
    </row>
    <row r="13123">
      <c r="D13123" s="185"/>
      <c r="E13123" s="185" t="s">
        <v>470</v>
      </c>
      <c r="H13123" s="185"/>
    </row>
    <row r="13124">
      <c r="D13124" s="185"/>
      <c r="E13124" s="185" t="s">
        <v>470</v>
      </c>
      <c r="H13124" s="185"/>
    </row>
    <row r="13125">
      <c r="D13125" s="185"/>
      <c r="E13125" s="185" t="s">
        <v>470</v>
      </c>
      <c r="H13125" s="185"/>
    </row>
    <row r="13126">
      <c r="D13126" s="185"/>
      <c r="E13126" s="185" t="s">
        <v>470</v>
      </c>
      <c r="H13126" s="185"/>
    </row>
    <row r="13127">
      <c r="D13127" s="185"/>
      <c r="E13127" s="185" t="s">
        <v>470</v>
      </c>
      <c r="H13127" s="185"/>
    </row>
    <row r="13128">
      <c r="D13128" s="185"/>
      <c r="E13128" s="185" t="s">
        <v>470</v>
      </c>
      <c r="H13128" s="185"/>
    </row>
    <row r="13129">
      <c r="D13129" s="185"/>
      <c r="E13129" s="185" t="s">
        <v>470</v>
      </c>
      <c r="H13129" s="185"/>
    </row>
    <row r="13130">
      <c r="D13130" s="185"/>
      <c r="E13130" s="185" t="s">
        <v>470</v>
      </c>
      <c r="H13130" s="185"/>
    </row>
    <row r="13131">
      <c r="D13131" s="185"/>
      <c r="E13131" s="185" t="s">
        <v>470</v>
      </c>
      <c r="H13131" s="185"/>
    </row>
    <row r="13132">
      <c r="D13132" s="185"/>
      <c r="E13132" s="185" t="s">
        <v>470</v>
      </c>
      <c r="H13132" s="185"/>
    </row>
    <row r="13133">
      <c r="D13133" s="185"/>
      <c r="E13133" s="185" t="s">
        <v>470</v>
      </c>
      <c r="H13133" s="185"/>
    </row>
    <row r="13134">
      <c r="D13134" s="185"/>
      <c r="E13134" s="185" t="s">
        <v>470</v>
      </c>
      <c r="H13134" s="185"/>
    </row>
    <row r="13135">
      <c r="D13135" s="185"/>
      <c r="E13135" s="185" t="s">
        <v>470</v>
      </c>
      <c r="H13135" s="185"/>
    </row>
    <row r="13136">
      <c r="D13136" s="185"/>
      <c r="E13136" s="185" t="s">
        <v>470</v>
      </c>
      <c r="H13136" s="185"/>
    </row>
    <row r="13137">
      <c r="D13137" s="185"/>
      <c r="E13137" s="185" t="s">
        <v>470</v>
      </c>
      <c r="H13137" s="185"/>
    </row>
    <row r="13138">
      <c r="D13138" s="185"/>
      <c r="E13138" s="185" t="s">
        <v>470</v>
      </c>
      <c r="H13138" s="185"/>
    </row>
    <row r="13139">
      <c r="D13139" s="185"/>
      <c r="E13139" s="185" t="s">
        <v>470</v>
      </c>
      <c r="H13139" s="185"/>
    </row>
    <row r="13140">
      <c r="D13140" s="185"/>
      <c r="E13140" s="185" t="s">
        <v>470</v>
      </c>
      <c r="H13140" s="185"/>
    </row>
    <row r="13141">
      <c r="D13141" s="185"/>
      <c r="E13141" s="185" t="s">
        <v>470</v>
      </c>
      <c r="H13141" s="185"/>
    </row>
    <row r="13142">
      <c r="D13142" s="185"/>
      <c r="E13142" s="185" t="s">
        <v>470</v>
      </c>
      <c r="H13142" s="185"/>
    </row>
    <row r="13143">
      <c r="D13143" s="185"/>
      <c r="E13143" s="185" t="s">
        <v>470</v>
      </c>
      <c r="H13143" s="185"/>
    </row>
    <row r="13144">
      <c r="D13144" s="185"/>
      <c r="E13144" s="185" t="s">
        <v>470</v>
      </c>
      <c r="H13144" s="185"/>
    </row>
    <row r="13145">
      <c r="D13145" s="185"/>
      <c r="E13145" s="185" t="s">
        <v>470</v>
      </c>
      <c r="H13145" s="185"/>
    </row>
    <row r="13146">
      <c r="D13146" s="185"/>
      <c r="E13146" s="185" t="s">
        <v>470</v>
      </c>
      <c r="H13146" s="185"/>
    </row>
    <row r="13147">
      <c r="D13147" s="185"/>
      <c r="E13147" s="185" t="s">
        <v>470</v>
      </c>
      <c r="H13147" s="185"/>
    </row>
    <row r="13148">
      <c r="D13148" s="185"/>
      <c r="E13148" s="185" t="s">
        <v>470</v>
      </c>
      <c r="H13148" s="185"/>
    </row>
    <row r="13149">
      <c r="D13149" s="185"/>
      <c r="E13149" s="185" t="s">
        <v>470</v>
      </c>
      <c r="H13149" s="185"/>
    </row>
    <row r="13150">
      <c r="D13150" s="185"/>
      <c r="E13150" s="185" t="s">
        <v>470</v>
      </c>
      <c r="H13150" s="185"/>
    </row>
    <row r="13151">
      <c r="D13151" s="185"/>
      <c r="E13151" s="185" t="s">
        <v>470</v>
      </c>
      <c r="H13151" s="185"/>
    </row>
    <row r="13152">
      <c r="D13152" s="185"/>
      <c r="E13152" s="185" t="s">
        <v>470</v>
      </c>
      <c r="H13152" s="185"/>
    </row>
    <row r="13153">
      <c r="D13153" s="185"/>
      <c r="E13153" s="185" t="s">
        <v>470</v>
      </c>
      <c r="H13153" s="185"/>
    </row>
    <row r="13154">
      <c r="D13154" s="185"/>
      <c r="E13154" s="185" t="s">
        <v>470</v>
      </c>
      <c r="H13154" s="185"/>
    </row>
    <row r="13155">
      <c r="D13155" s="185"/>
      <c r="E13155" s="185" t="s">
        <v>470</v>
      </c>
      <c r="H13155" s="185"/>
    </row>
    <row r="13156">
      <c r="D13156" s="185"/>
      <c r="E13156" s="185" t="s">
        <v>470</v>
      </c>
      <c r="H13156" s="185"/>
    </row>
    <row r="13157">
      <c r="D13157" s="185"/>
      <c r="E13157" s="185" t="s">
        <v>470</v>
      </c>
      <c r="H13157" s="185"/>
    </row>
    <row r="13158">
      <c r="D13158" s="185"/>
      <c r="E13158" s="185" t="s">
        <v>470</v>
      </c>
      <c r="H13158" s="185"/>
    </row>
    <row r="13159">
      <c r="D13159" s="185"/>
      <c r="E13159" s="185" t="s">
        <v>470</v>
      </c>
      <c r="H13159" s="185"/>
    </row>
    <row r="13160">
      <c r="D13160" s="185"/>
      <c r="E13160" s="185" t="s">
        <v>470</v>
      </c>
      <c r="H13160" s="185"/>
    </row>
    <row r="13161">
      <c r="D13161" s="185"/>
      <c r="E13161" s="185" t="s">
        <v>470</v>
      </c>
      <c r="H13161" s="185"/>
    </row>
    <row r="13162">
      <c r="D13162" s="185"/>
      <c r="E13162" s="185" t="s">
        <v>470</v>
      </c>
      <c r="H13162" s="185"/>
    </row>
    <row r="13163">
      <c r="D13163" s="185"/>
      <c r="E13163" s="185" t="s">
        <v>470</v>
      </c>
      <c r="H13163" s="185"/>
    </row>
    <row r="13164">
      <c r="D13164" s="185"/>
      <c r="E13164" s="185" t="s">
        <v>470</v>
      </c>
      <c r="H13164" s="185"/>
    </row>
    <row r="13165">
      <c r="D13165" s="185"/>
      <c r="E13165" s="185" t="s">
        <v>470</v>
      </c>
      <c r="H13165" s="185"/>
    </row>
    <row r="13166">
      <c r="D13166" s="185"/>
      <c r="E13166" s="185" t="s">
        <v>470</v>
      </c>
      <c r="H13166" s="185"/>
    </row>
    <row r="13167">
      <c r="D13167" s="185"/>
      <c r="E13167" s="185" t="s">
        <v>470</v>
      </c>
      <c r="H13167" s="185"/>
    </row>
    <row r="13168">
      <c r="D13168" s="185"/>
      <c r="E13168" s="185" t="s">
        <v>470</v>
      </c>
      <c r="H13168" s="185"/>
    </row>
    <row r="13169">
      <c r="D13169" s="185"/>
      <c r="E13169" s="185" t="s">
        <v>470</v>
      </c>
      <c r="H13169" s="185"/>
    </row>
    <row r="13170">
      <c r="D13170" s="185"/>
      <c r="E13170" s="185" t="s">
        <v>470</v>
      </c>
      <c r="H13170" s="185"/>
    </row>
    <row r="13171">
      <c r="D13171" s="185"/>
      <c r="E13171" s="185" t="s">
        <v>470</v>
      </c>
      <c r="H13171" s="185"/>
    </row>
    <row r="13172">
      <c r="D13172" s="185"/>
      <c r="E13172" s="185" t="s">
        <v>470</v>
      </c>
      <c r="H13172" s="185"/>
    </row>
    <row r="13173">
      <c r="D13173" s="185"/>
      <c r="E13173" s="185" t="s">
        <v>470</v>
      </c>
      <c r="H13173" s="185"/>
    </row>
    <row r="13174">
      <c r="D13174" s="185"/>
      <c r="E13174" s="185" t="s">
        <v>470</v>
      </c>
      <c r="H13174" s="185"/>
    </row>
    <row r="13175">
      <c r="D13175" s="185"/>
      <c r="E13175" s="185" t="s">
        <v>470</v>
      </c>
      <c r="H13175" s="185"/>
    </row>
    <row r="13176">
      <c r="D13176" s="185"/>
      <c r="E13176" s="185" t="s">
        <v>470</v>
      </c>
      <c r="H13176" s="185"/>
    </row>
    <row r="13177">
      <c r="D13177" s="185"/>
      <c r="E13177" s="185" t="s">
        <v>470</v>
      </c>
      <c r="H13177" s="185"/>
    </row>
    <row r="13178">
      <c r="D13178" s="185"/>
      <c r="E13178" s="185" t="s">
        <v>470</v>
      </c>
      <c r="H13178" s="185"/>
    </row>
    <row r="13179">
      <c r="D13179" s="185"/>
      <c r="E13179" s="185" t="s">
        <v>470</v>
      </c>
      <c r="H13179" s="185"/>
    </row>
    <row r="13180">
      <c r="D13180" s="185"/>
      <c r="E13180" s="185" t="s">
        <v>470</v>
      </c>
      <c r="H13180" s="185"/>
    </row>
    <row r="13181">
      <c r="D13181" s="185"/>
      <c r="E13181" s="185" t="s">
        <v>470</v>
      </c>
      <c r="H13181" s="185"/>
    </row>
    <row r="13182">
      <c r="D13182" s="185"/>
      <c r="E13182" s="185" t="s">
        <v>470</v>
      </c>
      <c r="H13182" s="185"/>
    </row>
    <row r="13183">
      <c r="D13183" s="185"/>
      <c r="E13183" s="185" t="s">
        <v>470</v>
      </c>
      <c r="H13183" s="185"/>
    </row>
    <row r="13184">
      <c r="D13184" s="185"/>
      <c r="E13184" s="185" t="s">
        <v>470</v>
      </c>
      <c r="H13184" s="185"/>
    </row>
    <row r="13185">
      <c r="D13185" s="185"/>
      <c r="E13185" s="185" t="s">
        <v>470</v>
      </c>
      <c r="H13185" s="185"/>
    </row>
    <row r="13186">
      <c r="D13186" s="185"/>
      <c r="E13186" s="185" t="s">
        <v>470</v>
      </c>
      <c r="H13186" s="185"/>
    </row>
    <row r="13187">
      <c r="D13187" s="185"/>
      <c r="E13187" s="185" t="s">
        <v>470</v>
      </c>
      <c r="H13187" s="185"/>
    </row>
    <row r="13188">
      <c r="D13188" s="185"/>
      <c r="E13188" s="185" t="s">
        <v>470</v>
      </c>
      <c r="H13188" s="185"/>
    </row>
    <row r="13189">
      <c r="D13189" s="185"/>
      <c r="E13189" s="185" t="s">
        <v>470</v>
      </c>
      <c r="H13189" s="185"/>
    </row>
    <row r="13190">
      <c r="D13190" s="185"/>
      <c r="E13190" s="185" t="s">
        <v>470</v>
      </c>
      <c r="H13190" s="185"/>
    </row>
    <row r="13191">
      <c r="D13191" s="185"/>
      <c r="E13191" s="185" t="s">
        <v>470</v>
      </c>
      <c r="H13191" s="185"/>
    </row>
    <row r="13192">
      <c r="D13192" s="185"/>
      <c r="E13192" s="185" t="s">
        <v>470</v>
      </c>
      <c r="H13192" s="185"/>
    </row>
    <row r="13193">
      <c r="D13193" s="185"/>
      <c r="E13193" s="185" t="s">
        <v>470</v>
      </c>
      <c r="H13193" s="185"/>
    </row>
    <row r="13194">
      <c r="D13194" s="185"/>
      <c r="E13194" s="185" t="s">
        <v>470</v>
      </c>
      <c r="H13194" s="185"/>
    </row>
    <row r="13195">
      <c r="D13195" s="185"/>
      <c r="E13195" s="185" t="s">
        <v>470</v>
      </c>
      <c r="H13195" s="185"/>
    </row>
    <row r="13196">
      <c r="D13196" s="185"/>
      <c r="E13196" s="185" t="s">
        <v>470</v>
      </c>
      <c r="H13196" s="185"/>
    </row>
    <row r="13197">
      <c r="D13197" s="185"/>
      <c r="E13197" s="185" t="s">
        <v>470</v>
      </c>
      <c r="H13197" s="185"/>
    </row>
    <row r="13198">
      <c r="D13198" s="185"/>
      <c r="E13198" s="185" t="s">
        <v>470</v>
      </c>
      <c r="H13198" s="185"/>
    </row>
    <row r="13199">
      <c r="D13199" s="185"/>
      <c r="E13199" s="185" t="s">
        <v>470</v>
      </c>
      <c r="H13199" s="185"/>
    </row>
    <row r="13200">
      <c r="D13200" s="185"/>
      <c r="E13200" s="185" t="s">
        <v>470</v>
      </c>
      <c r="H13200" s="185"/>
    </row>
    <row r="13201">
      <c r="D13201" s="185"/>
      <c r="E13201" s="185" t="s">
        <v>470</v>
      </c>
      <c r="H13201" s="185"/>
    </row>
    <row r="13202">
      <c r="D13202" s="185"/>
      <c r="E13202" s="185" t="s">
        <v>470</v>
      </c>
      <c r="H13202" s="185"/>
    </row>
    <row r="13203">
      <c r="D13203" s="185"/>
      <c r="E13203" s="185" t="s">
        <v>470</v>
      </c>
      <c r="H13203" s="185"/>
    </row>
    <row r="13204">
      <c r="D13204" s="185"/>
      <c r="E13204" s="185" t="s">
        <v>470</v>
      </c>
      <c r="H13204" s="185"/>
    </row>
    <row r="13205">
      <c r="D13205" s="185"/>
      <c r="E13205" s="185" t="s">
        <v>470</v>
      </c>
      <c r="H13205" s="185"/>
    </row>
    <row r="13206">
      <c r="D13206" s="185"/>
      <c r="E13206" s="185" t="s">
        <v>470</v>
      </c>
      <c r="H13206" s="185"/>
    </row>
    <row r="13207">
      <c r="D13207" s="185"/>
      <c r="E13207" s="185" t="s">
        <v>470</v>
      </c>
      <c r="H13207" s="185"/>
    </row>
    <row r="13208">
      <c r="D13208" s="185"/>
      <c r="E13208" s="185" t="s">
        <v>470</v>
      </c>
      <c r="H13208" s="185"/>
    </row>
    <row r="13209">
      <c r="D13209" s="185"/>
      <c r="E13209" s="185" t="s">
        <v>470</v>
      </c>
      <c r="H13209" s="185"/>
    </row>
    <row r="13210">
      <c r="D13210" s="185"/>
      <c r="E13210" s="185" t="s">
        <v>470</v>
      </c>
      <c r="H13210" s="185"/>
    </row>
    <row r="13211">
      <c r="D13211" s="185"/>
      <c r="E13211" s="185" t="s">
        <v>470</v>
      </c>
      <c r="H13211" s="185"/>
    </row>
    <row r="13212">
      <c r="D13212" s="185"/>
      <c r="E13212" s="185" t="s">
        <v>470</v>
      </c>
      <c r="H13212" s="185"/>
    </row>
    <row r="13213">
      <c r="D13213" s="185"/>
      <c r="E13213" s="185" t="s">
        <v>470</v>
      </c>
      <c r="H13213" s="185"/>
    </row>
    <row r="13214">
      <c r="D13214" s="185"/>
      <c r="E13214" s="185" t="s">
        <v>470</v>
      </c>
      <c r="H13214" s="185"/>
    </row>
    <row r="13215">
      <c r="D13215" s="185"/>
      <c r="E13215" s="185" t="s">
        <v>470</v>
      </c>
      <c r="H13215" s="185"/>
    </row>
    <row r="13216">
      <c r="D13216" s="185"/>
      <c r="E13216" s="185" t="s">
        <v>470</v>
      </c>
      <c r="H13216" s="185"/>
    </row>
    <row r="13217">
      <c r="D13217" s="185"/>
      <c r="E13217" s="185" t="s">
        <v>470</v>
      </c>
      <c r="H13217" s="185"/>
    </row>
    <row r="13218">
      <c r="D13218" s="185"/>
      <c r="E13218" s="185" t="s">
        <v>470</v>
      </c>
      <c r="H13218" s="185"/>
    </row>
    <row r="13219">
      <c r="D13219" s="185"/>
      <c r="E13219" s="185" t="s">
        <v>470</v>
      </c>
      <c r="H13219" s="185"/>
    </row>
    <row r="13220">
      <c r="D13220" s="185"/>
      <c r="E13220" s="185" t="s">
        <v>470</v>
      </c>
      <c r="H13220" s="185"/>
    </row>
    <row r="13221">
      <c r="D13221" s="185"/>
      <c r="E13221" s="185" t="s">
        <v>470</v>
      </c>
      <c r="H13221" s="185"/>
    </row>
    <row r="13222">
      <c r="D13222" s="185"/>
      <c r="E13222" s="185" t="s">
        <v>470</v>
      </c>
      <c r="H13222" s="185"/>
    </row>
    <row r="13223">
      <c r="D13223" s="185"/>
      <c r="E13223" s="185" t="s">
        <v>470</v>
      </c>
      <c r="H13223" s="185"/>
    </row>
    <row r="13224">
      <c r="D13224" s="185"/>
      <c r="E13224" s="185" t="s">
        <v>470</v>
      </c>
      <c r="H13224" s="185"/>
    </row>
    <row r="13225">
      <c r="D13225" s="185"/>
      <c r="E13225" s="185" t="s">
        <v>470</v>
      </c>
      <c r="H13225" s="185"/>
    </row>
    <row r="13226">
      <c r="D13226" s="185"/>
      <c r="E13226" s="185" t="s">
        <v>470</v>
      </c>
      <c r="H13226" s="185"/>
    </row>
    <row r="13227">
      <c r="D13227" s="185"/>
      <c r="E13227" s="185" t="s">
        <v>470</v>
      </c>
      <c r="H13227" s="185"/>
    </row>
    <row r="13228">
      <c r="D13228" s="185"/>
      <c r="E13228" s="185" t="s">
        <v>470</v>
      </c>
      <c r="H13228" s="185"/>
    </row>
    <row r="13229">
      <c r="D13229" s="185"/>
      <c r="E13229" s="185" t="s">
        <v>470</v>
      </c>
      <c r="H13229" s="185"/>
    </row>
    <row r="13230">
      <c r="D13230" s="185"/>
      <c r="E13230" s="185" t="s">
        <v>470</v>
      </c>
      <c r="H13230" s="185"/>
    </row>
    <row r="13231">
      <c r="D13231" s="185"/>
      <c r="E13231" s="185" t="s">
        <v>470</v>
      </c>
      <c r="H13231" s="185"/>
    </row>
    <row r="13232">
      <c r="D13232" s="185"/>
      <c r="E13232" s="185" t="s">
        <v>470</v>
      </c>
      <c r="H13232" s="185"/>
    </row>
    <row r="13233">
      <c r="D13233" s="185"/>
      <c r="E13233" s="185" t="s">
        <v>470</v>
      </c>
      <c r="H13233" s="185"/>
    </row>
    <row r="13234">
      <c r="D13234" s="185"/>
      <c r="E13234" s="185" t="s">
        <v>470</v>
      </c>
      <c r="H13234" s="185"/>
    </row>
    <row r="13235">
      <c r="D13235" s="185"/>
      <c r="E13235" s="185" t="s">
        <v>470</v>
      </c>
      <c r="H13235" s="185"/>
    </row>
    <row r="13236">
      <c r="D13236" s="185"/>
      <c r="E13236" s="185" t="s">
        <v>470</v>
      </c>
      <c r="H13236" s="185"/>
    </row>
    <row r="13237">
      <c r="D13237" s="185"/>
      <c r="E13237" s="185" t="s">
        <v>470</v>
      </c>
      <c r="H13237" s="185"/>
    </row>
    <row r="13238">
      <c r="D13238" s="185"/>
      <c r="E13238" s="185" t="s">
        <v>470</v>
      </c>
      <c r="H13238" s="185"/>
    </row>
    <row r="13239">
      <c r="D13239" s="185"/>
      <c r="E13239" s="185" t="s">
        <v>470</v>
      </c>
      <c r="H13239" s="185"/>
    </row>
    <row r="13240">
      <c r="D13240" s="185"/>
      <c r="E13240" s="185" t="s">
        <v>470</v>
      </c>
      <c r="H13240" s="185"/>
    </row>
    <row r="13241">
      <c r="D13241" s="185"/>
      <c r="E13241" s="185" t="s">
        <v>470</v>
      </c>
      <c r="H13241" s="185"/>
    </row>
    <row r="13242">
      <c r="D13242" s="185"/>
      <c r="E13242" s="185" t="s">
        <v>470</v>
      </c>
      <c r="H13242" s="185"/>
    </row>
    <row r="13243">
      <c r="D13243" s="185"/>
      <c r="E13243" s="185" t="s">
        <v>470</v>
      </c>
      <c r="H13243" s="185"/>
    </row>
    <row r="13244">
      <c r="D13244" s="185"/>
      <c r="E13244" s="185" t="s">
        <v>470</v>
      </c>
      <c r="H13244" s="185"/>
    </row>
    <row r="13245">
      <c r="D13245" s="185"/>
      <c r="E13245" s="185" t="s">
        <v>470</v>
      </c>
      <c r="H13245" s="185"/>
    </row>
    <row r="13246">
      <c r="D13246" s="185"/>
      <c r="E13246" s="185" t="s">
        <v>470</v>
      </c>
      <c r="H13246" s="185"/>
    </row>
    <row r="13247">
      <c r="D13247" s="185"/>
      <c r="E13247" s="185" t="s">
        <v>470</v>
      </c>
      <c r="H13247" s="185"/>
    </row>
    <row r="13248">
      <c r="D13248" s="185"/>
      <c r="E13248" s="185" t="s">
        <v>470</v>
      </c>
      <c r="H13248" s="185"/>
    </row>
    <row r="13249">
      <c r="D13249" s="185"/>
      <c r="E13249" s="185" t="s">
        <v>470</v>
      </c>
      <c r="H13249" s="185"/>
    </row>
    <row r="13250">
      <c r="D13250" s="185"/>
      <c r="E13250" s="185" t="s">
        <v>470</v>
      </c>
      <c r="H13250" s="185"/>
    </row>
    <row r="13251">
      <c r="D13251" s="185"/>
      <c r="E13251" s="185" t="s">
        <v>470</v>
      </c>
      <c r="H13251" s="185"/>
    </row>
    <row r="13252">
      <c r="D13252" s="185"/>
      <c r="E13252" s="185" t="s">
        <v>470</v>
      </c>
      <c r="H13252" s="185"/>
    </row>
    <row r="13253">
      <c r="D13253" s="185"/>
      <c r="E13253" s="185" t="s">
        <v>470</v>
      </c>
      <c r="H13253" s="185"/>
    </row>
    <row r="13254">
      <c r="D13254" s="185"/>
      <c r="E13254" s="185" t="s">
        <v>470</v>
      </c>
      <c r="H13254" s="185"/>
    </row>
    <row r="13255">
      <c r="D13255" s="185"/>
      <c r="E13255" s="185" t="s">
        <v>470</v>
      </c>
      <c r="H13255" s="185"/>
    </row>
    <row r="13256">
      <c r="D13256" s="185"/>
      <c r="E13256" s="185" t="s">
        <v>470</v>
      </c>
      <c r="H13256" s="185"/>
    </row>
    <row r="13257">
      <c r="D13257" s="185"/>
      <c r="E13257" s="185" t="s">
        <v>470</v>
      </c>
      <c r="H13257" s="185"/>
    </row>
    <row r="13258">
      <c r="D13258" s="185"/>
      <c r="E13258" s="185" t="s">
        <v>470</v>
      </c>
      <c r="H13258" s="185"/>
    </row>
    <row r="13259">
      <c r="D13259" s="185"/>
      <c r="E13259" s="185" t="s">
        <v>470</v>
      </c>
      <c r="H13259" s="185"/>
    </row>
    <row r="13260">
      <c r="D13260" s="185"/>
      <c r="E13260" s="185" t="s">
        <v>470</v>
      </c>
      <c r="H13260" s="185"/>
    </row>
    <row r="13261">
      <c r="D13261" s="185"/>
      <c r="E13261" s="185" t="s">
        <v>470</v>
      </c>
      <c r="H13261" s="185"/>
    </row>
    <row r="13262">
      <c r="D13262" s="185"/>
      <c r="E13262" s="185" t="s">
        <v>470</v>
      </c>
      <c r="H13262" s="185"/>
    </row>
    <row r="13263">
      <c r="D13263" s="185"/>
      <c r="E13263" s="185" t="s">
        <v>470</v>
      </c>
      <c r="H13263" s="185"/>
    </row>
    <row r="13264">
      <c r="D13264" s="185"/>
      <c r="E13264" s="185" t="s">
        <v>470</v>
      </c>
      <c r="H13264" s="185"/>
    </row>
    <row r="13265">
      <c r="D13265" s="185"/>
      <c r="E13265" s="185" t="s">
        <v>470</v>
      </c>
      <c r="H13265" s="185"/>
    </row>
    <row r="13266">
      <c r="D13266" s="185"/>
      <c r="E13266" s="185" t="s">
        <v>470</v>
      </c>
      <c r="H13266" s="185"/>
    </row>
    <row r="13267">
      <c r="D13267" s="185"/>
      <c r="E13267" s="185" t="s">
        <v>470</v>
      </c>
      <c r="H13267" s="185"/>
    </row>
    <row r="13268">
      <c r="D13268" s="185"/>
      <c r="E13268" s="185" t="s">
        <v>470</v>
      </c>
      <c r="H13268" s="185"/>
    </row>
    <row r="13269">
      <c r="D13269" s="185"/>
      <c r="E13269" s="185" t="s">
        <v>470</v>
      </c>
      <c r="H13269" s="185"/>
    </row>
    <row r="13270">
      <c r="D13270" s="185"/>
      <c r="E13270" s="185" t="s">
        <v>470</v>
      </c>
      <c r="H13270" s="185"/>
    </row>
    <row r="13271">
      <c r="D13271" s="185"/>
      <c r="E13271" s="185" t="s">
        <v>470</v>
      </c>
      <c r="H13271" s="185"/>
    </row>
    <row r="13272">
      <c r="D13272" s="185"/>
      <c r="E13272" s="185" t="s">
        <v>470</v>
      </c>
      <c r="H13272" s="185"/>
    </row>
    <row r="13273">
      <c r="D13273" s="185"/>
      <c r="E13273" s="185" t="s">
        <v>470</v>
      </c>
      <c r="H13273" s="185"/>
    </row>
    <row r="13274">
      <c r="D13274" s="185"/>
      <c r="E13274" s="185" t="s">
        <v>470</v>
      </c>
      <c r="H13274" s="185"/>
    </row>
    <row r="13275">
      <c r="D13275" s="185"/>
      <c r="E13275" s="185" t="s">
        <v>470</v>
      </c>
      <c r="H13275" s="185"/>
    </row>
    <row r="13276">
      <c r="D13276" s="185"/>
      <c r="E13276" s="185" t="s">
        <v>470</v>
      </c>
      <c r="H13276" s="185"/>
    </row>
    <row r="13277">
      <c r="D13277" s="185"/>
      <c r="E13277" s="185" t="s">
        <v>470</v>
      </c>
      <c r="H13277" s="185"/>
    </row>
    <row r="13278">
      <c r="D13278" s="185"/>
      <c r="E13278" s="185" t="s">
        <v>470</v>
      </c>
      <c r="H13278" s="185"/>
    </row>
    <row r="13279">
      <c r="D13279" s="185"/>
      <c r="E13279" s="185" t="s">
        <v>470</v>
      </c>
      <c r="H13279" s="185"/>
    </row>
    <row r="13280">
      <c r="D13280" s="185"/>
      <c r="E13280" s="185" t="s">
        <v>470</v>
      </c>
      <c r="H13280" s="185"/>
    </row>
    <row r="13281">
      <c r="D13281" s="185"/>
      <c r="E13281" s="185" t="s">
        <v>470</v>
      </c>
      <c r="H13281" s="185"/>
    </row>
    <row r="13282">
      <c r="D13282" s="185"/>
      <c r="E13282" s="185" t="s">
        <v>470</v>
      </c>
      <c r="H13282" s="185"/>
    </row>
    <row r="13283">
      <c r="D13283" s="185"/>
      <c r="E13283" s="185" t="s">
        <v>470</v>
      </c>
      <c r="H13283" s="185"/>
    </row>
    <row r="13284">
      <c r="D13284" s="185"/>
      <c r="E13284" s="185" t="s">
        <v>470</v>
      </c>
      <c r="H13284" s="185"/>
    </row>
    <row r="13285">
      <c r="D13285" s="185"/>
      <c r="E13285" s="185" t="s">
        <v>470</v>
      </c>
      <c r="H13285" s="185"/>
    </row>
    <row r="13286">
      <c r="D13286" s="185"/>
      <c r="E13286" s="185" t="s">
        <v>470</v>
      </c>
      <c r="H13286" s="185"/>
    </row>
    <row r="13287">
      <c r="D13287" s="185"/>
      <c r="E13287" s="185" t="s">
        <v>470</v>
      </c>
      <c r="H13287" s="185"/>
    </row>
    <row r="13288">
      <c r="D13288" s="185"/>
      <c r="E13288" s="185" t="s">
        <v>470</v>
      </c>
      <c r="H13288" s="185"/>
    </row>
    <row r="13289">
      <c r="D13289" s="185"/>
      <c r="E13289" s="185" t="s">
        <v>470</v>
      </c>
      <c r="H13289" s="185"/>
    </row>
    <row r="13290">
      <c r="D13290" s="185"/>
      <c r="E13290" s="185" t="s">
        <v>470</v>
      </c>
      <c r="H13290" s="185"/>
    </row>
    <row r="13291">
      <c r="D13291" s="185"/>
      <c r="E13291" s="185" t="s">
        <v>470</v>
      </c>
      <c r="H13291" s="185"/>
    </row>
    <row r="13292">
      <c r="D13292" s="185"/>
      <c r="E13292" s="185" t="s">
        <v>470</v>
      </c>
      <c r="H13292" s="185"/>
    </row>
    <row r="13293">
      <c r="D13293" s="185"/>
      <c r="E13293" s="185" t="s">
        <v>470</v>
      </c>
      <c r="H13293" s="185"/>
    </row>
    <row r="13294">
      <c r="D13294" s="185"/>
      <c r="E13294" s="185" t="s">
        <v>470</v>
      </c>
      <c r="H13294" s="185"/>
    </row>
    <row r="13295">
      <c r="D13295" s="185"/>
      <c r="E13295" s="185" t="s">
        <v>470</v>
      </c>
      <c r="H13295" s="185"/>
    </row>
    <row r="13296">
      <c r="D13296" s="185"/>
      <c r="E13296" s="185" t="s">
        <v>470</v>
      </c>
      <c r="H13296" s="185"/>
    </row>
    <row r="13297">
      <c r="D13297" s="185"/>
      <c r="E13297" s="185" t="s">
        <v>470</v>
      </c>
      <c r="H13297" s="185"/>
    </row>
    <row r="13298">
      <c r="D13298" s="185"/>
      <c r="E13298" s="185" t="s">
        <v>470</v>
      </c>
      <c r="H13298" s="185"/>
    </row>
    <row r="13299">
      <c r="D13299" s="185"/>
      <c r="E13299" s="185" t="s">
        <v>470</v>
      </c>
      <c r="H13299" s="185"/>
    </row>
    <row r="13300">
      <c r="D13300" s="185"/>
      <c r="E13300" s="185" t="s">
        <v>470</v>
      </c>
      <c r="H13300" s="185"/>
    </row>
    <row r="13301">
      <c r="D13301" s="185"/>
      <c r="E13301" s="185" t="s">
        <v>470</v>
      </c>
      <c r="H13301" s="185"/>
    </row>
    <row r="13302">
      <c r="D13302" s="185"/>
      <c r="E13302" s="185" t="s">
        <v>470</v>
      </c>
      <c r="H13302" s="185"/>
    </row>
    <row r="13303">
      <c r="D13303" s="185"/>
      <c r="E13303" s="185" t="s">
        <v>470</v>
      </c>
      <c r="H13303" s="185"/>
    </row>
    <row r="13304">
      <c r="D13304" s="185"/>
      <c r="E13304" s="185" t="s">
        <v>470</v>
      </c>
      <c r="H13304" s="185"/>
    </row>
    <row r="13305">
      <c r="D13305" s="185"/>
      <c r="E13305" s="185" t="s">
        <v>470</v>
      </c>
      <c r="H13305" s="185"/>
    </row>
    <row r="13306">
      <c r="D13306" s="185"/>
      <c r="E13306" s="185" t="s">
        <v>470</v>
      </c>
      <c r="H13306" s="185"/>
    </row>
    <row r="13307">
      <c r="D13307" s="185"/>
      <c r="E13307" s="185" t="s">
        <v>470</v>
      </c>
      <c r="H13307" s="185"/>
    </row>
    <row r="13308">
      <c r="D13308" s="185"/>
      <c r="E13308" s="185" t="s">
        <v>470</v>
      </c>
      <c r="H13308" s="185"/>
    </row>
    <row r="13309">
      <c r="D13309" s="185"/>
      <c r="E13309" s="185" t="s">
        <v>470</v>
      </c>
      <c r="H13309" s="185"/>
    </row>
    <row r="13310">
      <c r="D13310" s="185"/>
      <c r="E13310" s="185" t="s">
        <v>470</v>
      </c>
      <c r="H13310" s="185"/>
    </row>
    <row r="13311">
      <c r="D13311" s="185"/>
      <c r="E13311" s="185" t="s">
        <v>470</v>
      </c>
      <c r="H13311" s="185"/>
    </row>
    <row r="13312">
      <c r="D13312" s="185"/>
      <c r="E13312" s="185" t="s">
        <v>470</v>
      </c>
      <c r="H13312" s="185"/>
    </row>
    <row r="13313">
      <c r="D13313" s="185"/>
      <c r="E13313" s="185" t="s">
        <v>470</v>
      </c>
      <c r="H13313" s="185"/>
    </row>
    <row r="13314">
      <c r="D13314" s="185"/>
      <c r="E13314" s="185" t="s">
        <v>470</v>
      </c>
      <c r="H13314" s="185"/>
    </row>
    <row r="13315">
      <c r="D13315" s="185"/>
      <c r="E13315" s="185" t="s">
        <v>470</v>
      </c>
      <c r="H13315" s="185"/>
    </row>
    <row r="13316">
      <c r="D13316" s="185"/>
      <c r="E13316" s="185" t="s">
        <v>470</v>
      </c>
      <c r="H13316" s="185"/>
    </row>
    <row r="13317">
      <c r="D13317" s="185"/>
      <c r="E13317" s="185" t="s">
        <v>470</v>
      </c>
      <c r="H13317" s="185"/>
    </row>
    <row r="13318">
      <c r="D13318" s="185"/>
      <c r="E13318" s="185" t="s">
        <v>470</v>
      </c>
      <c r="H13318" s="185"/>
    </row>
    <row r="13319">
      <c r="D13319" s="185"/>
      <c r="E13319" s="185" t="s">
        <v>470</v>
      </c>
      <c r="H13319" s="185"/>
    </row>
    <row r="13320">
      <c r="D13320" s="185"/>
      <c r="E13320" s="185" t="s">
        <v>470</v>
      </c>
      <c r="H13320" s="185"/>
    </row>
    <row r="13321">
      <c r="D13321" s="185"/>
      <c r="E13321" s="185" t="s">
        <v>470</v>
      </c>
      <c r="H13321" s="185"/>
    </row>
    <row r="13322">
      <c r="D13322" s="185"/>
      <c r="E13322" s="185" t="s">
        <v>470</v>
      </c>
      <c r="H13322" s="185"/>
    </row>
    <row r="13323">
      <c r="D13323" s="185"/>
      <c r="E13323" s="185" t="s">
        <v>470</v>
      </c>
      <c r="H13323" s="185"/>
    </row>
    <row r="13324">
      <c r="D13324" s="185"/>
      <c r="E13324" s="185" t="s">
        <v>470</v>
      </c>
      <c r="H13324" s="185"/>
    </row>
    <row r="13325">
      <c r="D13325" s="185"/>
      <c r="E13325" s="185" t="s">
        <v>470</v>
      </c>
      <c r="H13325" s="185"/>
    </row>
    <row r="13326">
      <c r="D13326" s="185"/>
      <c r="E13326" s="185" t="s">
        <v>470</v>
      </c>
      <c r="H13326" s="185"/>
    </row>
    <row r="13327">
      <c r="D13327" s="185"/>
      <c r="E13327" s="185" t="s">
        <v>470</v>
      </c>
      <c r="H13327" s="185"/>
    </row>
    <row r="13328">
      <c r="D13328" s="185"/>
      <c r="E13328" s="185" t="s">
        <v>470</v>
      </c>
      <c r="H13328" s="185"/>
    </row>
    <row r="13329">
      <c r="D13329" s="185"/>
      <c r="E13329" s="185" t="s">
        <v>470</v>
      </c>
      <c r="H13329" s="185"/>
    </row>
    <row r="13330">
      <c r="D13330" s="185"/>
      <c r="E13330" s="185" t="s">
        <v>470</v>
      </c>
      <c r="H13330" s="185"/>
    </row>
    <row r="13331">
      <c r="D13331" s="185"/>
      <c r="E13331" s="185" t="s">
        <v>470</v>
      </c>
      <c r="H13331" s="185"/>
    </row>
    <row r="13332">
      <c r="D13332" s="185"/>
      <c r="E13332" s="185" t="s">
        <v>470</v>
      </c>
      <c r="H13332" s="185"/>
    </row>
    <row r="13333">
      <c r="D13333" s="185"/>
      <c r="E13333" s="185" t="s">
        <v>470</v>
      </c>
      <c r="H13333" s="185"/>
    </row>
    <row r="13334">
      <c r="D13334" s="185"/>
      <c r="E13334" s="185" t="s">
        <v>470</v>
      </c>
      <c r="H13334" s="185"/>
    </row>
    <row r="13335">
      <c r="D13335" s="185"/>
      <c r="E13335" s="185" t="s">
        <v>470</v>
      </c>
      <c r="H13335" s="185"/>
    </row>
    <row r="13336">
      <c r="D13336" s="185"/>
      <c r="E13336" s="185" t="s">
        <v>470</v>
      </c>
      <c r="H13336" s="185"/>
    </row>
    <row r="13337">
      <c r="D13337" s="185"/>
      <c r="E13337" s="185" t="s">
        <v>470</v>
      </c>
      <c r="H13337" s="185"/>
    </row>
    <row r="13338">
      <c r="D13338" s="185"/>
      <c r="E13338" s="185" t="s">
        <v>470</v>
      </c>
      <c r="H13338" s="185"/>
    </row>
    <row r="13339">
      <c r="D13339" s="185"/>
      <c r="E13339" s="185" t="s">
        <v>470</v>
      </c>
      <c r="H13339" s="185"/>
    </row>
    <row r="13340">
      <c r="D13340" s="185"/>
      <c r="E13340" s="185" t="s">
        <v>470</v>
      </c>
      <c r="H13340" s="185"/>
    </row>
    <row r="13341">
      <c r="D13341" s="185"/>
      <c r="E13341" s="185" t="s">
        <v>470</v>
      </c>
      <c r="H13341" s="185"/>
    </row>
    <row r="13342">
      <c r="D13342" s="185"/>
      <c r="E13342" s="185" t="s">
        <v>470</v>
      </c>
      <c r="H13342" s="185"/>
    </row>
    <row r="13343">
      <c r="D13343" s="185"/>
      <c r="E13343" s="185" t="s">
        <v>470</v>
      </c>
      <c r="H13343" s="185"/>
    </row>
    <row r="13344">
      <c r="D13344" s="185"/>
      <c r="E13344" s="185" t="s">
        <v>470</v>
      </c>
      <c r="H13344" s="185"/>
    </row>
    <row r="13345">
      <c r="D13345" s="185"/>
      <c r="E13345" s="185" t="s">
        <v>470</v>
      </c>
      <c r="H13345" s="185"/>
    </row>
    <row r="13346">
      <c r="D13346" s="185"/>
      <c r="E13346" s="185" t="s">
        <v>470</v>
      </c>
      <c r="H13346" s="185"/>
    </row>
    <row r="13347">
      <c r="D13347" s="185"/>
      <c r="E13347" s="185" t="s">
        <v>470</v>
      </c>
      <c r="H13347" s="185"/>
    </row>
    <row r="13348">
      <c r="D13348" s="185"/>
      <c r="E13348" s="185" t="s">
        <v>470</v>
      </c>
      <c r="H13348" s="185"/>
    </row>
    <row r="13349">
      <c r="D13349" s="185"/>
      <c r="E13349" s="185" t="s">
        <v>470</v>
      </c>
      <c r="H13349" s="185"/>
    </row>
    <row r="13350">
      <c r="D13350" s="185"/>
      <c r="E13350" s="185" t="s">
        <v>470</v>
      </c>
      <c r="H13350" s="185"/>
    </row>
    <row r="13351">
      <c r="D13351" s="185"/>
      <c r="E13351" s="185" t="s">
        <v>470</v>
      </c>
      <c r="H13351" s="185"/>
    </row>
    <row r="13352">
      <c r="D13352" s="185"/>
      <c r="E13352" s="185" t="s">
        <v>470</v>
      </c>
      <c r="H13352" s="185"/>
    </row>
    <row r="13353">
      <c r="D13353" s="185"/>
      <c r="E13353" s="185" t="s">
        <v>470</v>
      </c>
      <c r="H13353" s="185"/>
    </row>
    <row r="13354">
      <c r="D13354" s="185"/>
      <c r="E13354" s="185" t="s">
        <v>470</v>
      </c>
      <c r="H13354" s="185"/>
    </row>
    <row r="13355">
      <c r="D13355" s="185"/>
      <c r="E13355" s="185" t="s">
        <v>470</v>
      </c>
      <c r="H13355" s="185"/>
    </row>
    <row r="13356">
      <c r="D13356" s="185"/>
      <c r="E13356" s="185" t="s">
        <v>470</v>
      </c>
      <c r="H13356" s="185"/>
    </row>
    <row r="13357">
      <c r="D13357" s="185"/>
      <c r="E13357" s="185" t="s">
        <v>470</v>
      </c>
      <c r="H13357" s="185"/>
    </row>
    <row r="13358">
      <c r="D13358" s="185"/>
      <c r="E13358" s="185" t="s">
        <v>470</v>
      </c>
      <c r="H13358" s="185"/>
    </row>
    <row r="13359">
      <c r="D13359" s="185"/>
      <c r="E13359" s="185" t="s">
        <v>470</v>
      </c>
      <c r="H13359" s="185"/>
    </row>
    <row r="13360">
      <c r="D13360" s="185"/>
      <c r="E13360" s="185" t="s">
        <v>470</v>
      </c>
      <c r="H13360" s="185"/>
    </row>
    <row r="13361">
      <c r="D13361" s="185"/>
      <c r="E13361" s="185" t="s">
        <v>470</v>
      </c>
      <c r="H13361" s="185"/>
    </row>
    <row r="13362">
      <c r="D13362" s="185"/>
      <c r="E13362" s="185" t="s">
        <v>470</v>
      </c>
      <c r="H13362" s="185"/>
    </row>
    <row r="13363">
      <c r="D13363" s="185"/>
      <c r="E13363" s="185" t="s">
        <v>470</v>
      </c>
      <c r="H13363" s="185"/>
    </row>
    <row r="13364">
      <c r="D13364" s="185"/>
      <c r="E13364" s="185" t="s">
        <v>470</v>
      </c>
      <c r="H13364" s="185"/>
    </row>
    <row r="13365">
      <c r="D13365" s="185"/>
      <c r="E13365" s="185" t="s">
        <v>470</v>
      </c>
      <c r="H13365" s="185"/>
    </row>
    <row r="13366">
      <c r="D13366" s="185"/>
      <c r="E13366" s="185" t="s">
        <v>470</v>
      </c>
      <c r="H13366" s="185"/>
    </row>
    <row r="13367">
      <c r="D13367" s="185"/>
      <c r="E13367" s="185" t="s">
        <v>470</v>
      </c>
      <c r="H13367" s="185"/>
    </row>
    <row r="13368">
      <c r="D13368" s="185"/>
      <c r="E13368" s="185" t="s">
        <v>470</v>
      </c>
      <c r="H13368" s="185"/>
    </row>
    <row r="13369">
      <c r="D13369" s="185"/>
      <c r="E13369" s="185" t="s">
        <v>470</v>
      </c>
      <c r="H13369" s="185"/>
    </row>
    <row r="13370">
      <c r="D13370" s="185"/>
      <c r="E13370" s="185" t="s">
        <v>470</v>
      </c>
      <c r="H13370" s="185"/>
    </row>
    <row r="13371">
      <c r="D13371" s="185"/>
      <c r="E13371" s="185" t="s">
        <v>470</v>
      </c>
      <c r="H13371" s="185"/>
    </row>
    <row r="13372">
      <c r="D13372" s="185"/>
      <c r="E13372" s="185" t="s">
        <v>470</v>
      </c>
      <c r="H13372" s="185"/>
    </row>
    <row r="13373">
      <c r="D13373" s="185"/>
      <c r="E13373" s="185" t="s">
        <v>470</v>
      </c>
      <c r="H13373" s="185"/>
    </row>
    <row r="13374">
      <c r="D13374" s="185"/>
      <c r="E13374" s="185" t="s">
        <v>470</v>
      </c>
      <c r="H13374" s="185"/>
    </row>
    <row r="13375">
      <c r="D13375" s="185"/>
      <c r="E13375" s="185" t="s">
        <v>470</v>
      </c>
      <c r="H13375" s="185"/>
    </row>
    <row r="13376">
      <c r="D13376" s="185"/>
      <c r="E13376" s="185" t="s">
        <v>470</v>
      </c>
      <c r="H13376" s="185"/>
    </row>
    <row r="13377">
      <c r="D13377" s="185"/>
      <c r="E13377" s="185" t="s">
        <v>470</v>
      </c>
      <c r="H13377" s="185"/>
    </row>
    <row r="13378">
      <c r="D13378" s="185"/>
      <c r="E13378" s="185" t="s">
        <v>470</v>
      </c>
      <c r="H13378" s="185"/>
    </row>
    <row r="13379">
      <c r="D13379" s="185"/>
      <c r="E13379" s="185" t="s">
        <v>470</v>
      </c>
      <c r="H13379" s="185"/>
    </row>
    <row r="13380">
      <c r="D13380" s="185"/>
      <c r="E13380" s="185" t="s">
        <v>470</v>
      </c>
      <c r="H13380" s="185"/>
    </row>
    <row r="13381">
      <c r="D13381" s="185"/>
      <c r="E13381" s="185" t="s">
        <v>470</v>
      </c>
      <c r="H13381" s="185"/>
    </row>
    <row r="13382">
      <c r="D13382" s="185"/>
      <c r="E13382" s="185" t="s">
        <v>470</v>
      </c>
      <c r="H13382" s="185"/>
    </row>
    <row r="13383">
      <c r="D13383" s="185"/>
      <c r="E13383" s="185" t="s">
        <v>470</v>
      </c>
      <c r="H13383" s="185"/>
    </row>
    <row r="13384">
      <c r="D13384" s="185"/>
      <c r="E13384" s="185" t="s">
        <v>470</v>
      </c>
      <c r="H13384" s="185"/>
    </row>
    <row r="13385">
      <c r="D13385" s="185"/>
      <c r="E13385" s="185" t="s">
        <v>470</v>
      </c>
      <c r="H13385" s="185"/>
    </row>
    <row r="13386">
      <c r="D13386" s="185"/>
      <c r="E13386" s="185" t="s">
        <v>470</v>
      </c>
      <c r="H13386" s="185"/>
    </row>
    <row r="13387">
      <c r="D13387" s="185"/>
      <c r="E13387" s="185" t="s">
        <v>470</v>
      </c>
      <c r="H13387" s="185"/>
    </row>
    <row r="13388">
      <c r="D13388" s="185"/>
      <c r="E13388" s="185" t="s">
        <v>470</v>
      </c>
      <c r="H13388" s="185"/>
    </row>
    <row r="13389">
      <c r="D13389" s="185"/>
      <c r="E13389" s="185" t="s">
        <v>470</v>
      </c>
      <c r="H13389" s="185"/>
    </row>
    <row r="13390">
      <c r="D13390" s="185"/>
      <c r="E13390" s="185" t="s">
        <v>470</v>
      </c>
      <c r="H13390" s="185"/>
    </row>
    <row r="13391">
      <c r="D13391" s="185"/>
      <c r="E13391" s="185" t="s">
        <v>470</v>
      </c>
      <c r="H13391" s="185"/>
    </row>
    <row r="13392">
      <c r="D13392" s="185"/>
      <c r="E13392" s="185" t="s">
        <v>470</v>
      </c>
      <c r="H13392" s="185"/>
    </row>
    <row r="13393">
      <c r="D13393" s="185"/>
      <c r="E13393" s="185" t="s">
        <v>470</v>
      </c>
      <c r="H13393" s="185"/>
    </row>
    <row r="13394">
      <c r="D13394" s="185"/>
      <c r="E13394" s="185" t="s">
        <v>470</v>
      </c>
      <c r="H13394" s="185"/>
    </row>
    <row r="13395">
      <c r="D13395" s="185"/>
      <c r="E13395" s="185" t="s">
        <v>470</v>
      </c>
      <c r="H13395" s="185"/>
    </row>
    <row r="13396">
      <c r="D13396" s="185"/>
      <c r="E13396" s="185" t="s">
        <v>470</v>
      </c>
      <c r="H13396" s="185"/>
    </row>
    <row r="13397">
      <c r="D13397" s="185"/>
      <c r="E13397" s="185" t="s">
        <v>470</v>
      </c>
      <c r="H13397" s="185"/>
    </row>
    <row r="13398">
      <c r="D13398" s="185"/>
      <c r="E13398" s="185" t="s">
        <v>470</v>
      </c>
      <c r="H13398" s="185"/>
    </row>
    <row r="13399">
      <c r="D13399" s="185"/>
      <c r="E13399" s="185" t="s">
        <v>470</v>
      </c>
      <c r="H13399" s="185"/>
    </row>
    <row r="13400">
      <c r="D13400" s="185"/>
      <c r="E13400" s="185" t="s">
        <v>470</v>
      </c>
      <c r="H13400" s="185"/>
    </row>
    <row r="13401">
      <c r="D13401" s="185"/>
      <c r="E13401" s="185" t="s">
        <v>470</v>
      </c>
      <c r="H13401" s="185"/>
    </row>
    <row r="13402">
      <c r="D13402" s="185"/>
      <c r="E13402" s="185" t="s">
        <v>470</v>
      </c>
      <c r="H13402" s="185"/>
    </row>
    <row r="13403">
      <c r="D13403" s="185"/>
      <c r="E13403" s="185" t="s">
        <v>470</v>
      </c>
      <c r="H13403" s="185"/>
    </row>
    <row r="13404">
      <c r="D13404" s="185"/>
      <c r="E13404" s="185" t="s">
        <v>470</v>
      </c>
      <c r="H13404" s="185"/>
    </row>
    <row r="13405">
      <c r="D13405" s="185"/>
      <c r="E13405" s="185" t="s">
        <v>470</v>
      </c>
      <c r="H13405" s="185"/>
    </row>
    <row r="13406">
      <c r="D13406" s="185"/>
      <c r="E13406" s="185" t="s">
        <v>470</v>
      </c>
      <c r="H13406" s="185"/>
    </row>
    <row r="13407">
      <c r="D13407" s="185"/>
      <c r="E13407" s="185" t="s">
        <v>470</v>
      </c>
      <c r="H13407" s="185"/>
    </row>
    <row r="13408">
      <c r="D13408" s="185"/>
      <c r="E13408" s="185" t="s">
        <v>470</v>
      </c>
      <c r="H13408" s="185"/>
    </row>
    <row r="13409">
      <c r="D13409" s="185"/>
      <c r="E13409" s="185" t="s">
        <v>470</v>
      </c>
      <c r="H13409" s="185"/>
    </row>
    <row r="13410">
      <c r="D13410" s="185"/>
      <c r="E13410" s="185" t="s">
        <v>470</v>
      </c>
      <c r="H13410" s="185"/>
    </row>
    <row r="13411">
      <c r="D13411" s="185"/>
      <c r="E13411" s="185" t="s">
        <v>470</v>
      </c>
      <c r="H13411" s="185"/>
    </row>
    <row r="13412">
      <c r="D13412" s="185"/>
      <c r="E13412" s="185" t="s">
        <v>470</v>
      </c>
      <c r="H13412" s="185"/>
    </row>
    <row r="13413">
      <c r="D13413" s="185"/>
      <c r="E13413" s="185" t="s">
        <v>470</v>
      </c>
      <c r="H13413" s="185"/>
    </row>
    <row r="13414">
      <c r="D13414" s="185"/>
      <c r="E13414" s="185" t="s">
        <v>470</v>
      </c>
      <c r="H13414" s="185"/>
    </row>
    <row r="13415">
      <c r="D13415" s="185"/>
      <c r="E13415" s="185" t="s">
        <v>470</v>
      </c>
      <c r="H13415" s="185"/>
    </row>
    <row r="13416">
      <c r="D13416" s="185"/>
      <c r="E13416" s="185" t="s">
        <v>470</v>
      </c>
      <c r="H13416" s="185"/>
    </row>
    <row r="13417">
      <c r="D13417" s="185"/>
      <c r="E13417" s="185" t="s">
        <v>470</v>
      </c>
      <c r="H13417" s="185"/>
    </row>
    <row r="13418">
      <c r="D13418" s="185"/>
      <c r="E13418" s="185" t="s">
        <v>470</v>
      </c>
      <c r="H13418" s="185"/>
    </row>
    <row r="13419">
      <c r="D13419" s="185"/>
      <c r="E13419" s="185" t="s">
        <v>470</v>
      </c>
      <c r="H13419" s="185"/>
    </row>
    <row r="13420">
      <c r="D13420" s="185"/>
      <c r="E13420" s="185" t="s">
        <v>470</v>
      </c>
      <c r="H13420" s="185"/>
    </row>
    <row r="13421">
      <c r="D13421" s="185"/>
      <c r="E13421" s="185" t="s">
        <v>470</v>
      </c>
      <c r="H13421" s="185"/>
    </row>
    <row r="13422">
      <c r="D13422" s="185"/>
      <c r="E13422" s="185" t="s">
        <v>470</v>
      </c>
      <c r="H13422" s="185"/>
    </row>
    <row r="13423">
      <c r="D13423" s="185"/>
      <c r="E13423" s="185" t="s">
        <v>470</v>
      </c>
      <c r="H13423" s="185"/>
    </row>
    <row r="13424">
      <c r="D13424" s="185"/>
      <c r="E13424" s="185" t="s">
        <v>470</v>
      </c>
      <c r="H13424" s="185"/>
    </row>
    <row r="13425">
      <c r="D13425" s="185"/>
      <c r="E13425" s="185" t="s">
        <v>470</v>
      </c>
      <c r="H13425" s="185"/>
    </row>
    <row r="13426">
      <c r="D13426" s="185"/>
      <c r="E13426" s="185" t="s">
        <v>470</v>
      </c>
      <c r="H13426" s="185"/>
    </row>
    <row r="13427">
      <c r="D13427" s="185"/>
      <c r="E13427" s="185" t="s">
        <v>470</v>
      </c>
      <c r="H13427" s="185"/>
    </row>
    <row r="13428">
      <c r="D13428" s="185"/>
      <c r="E13428" s="185" t="s">
        <v>470</v>
      </c>
      <c r="H13428" s="185"/>
    </row>
    <row r="13429">
      <c r="D13429" s="185"/>
      <c r="E13429" s="185" t="s">
        <v>470</v>
      </c>
      <c r="H13429" s="185"/>
    </row>
    <row r="13430">
      <c r="D13430" s="185"/>
      <c r="E13430" s="185" t="s">
        <v>470</v>
      </c>
      <c r="H13430" s="185"/>
    </row>
    <row r="13431">
      <c r="D13431" s="185"/>
      <c r="E13431" s="185" t="s">
        <v>470</v>
      </c>
      <c r="H13431" s="185"/>
    </row>
    <row r="13432">
      <c r="D13432" s="185"/>
      <c r="E13432" s="185" t="s">
        <v>470</v>
      </c>
      <c r="H13432" s="185"/>
    </row>
    <row r="13433">
      <c r="D13433" s="185"/>
      <c r="E13433" s="185" t="s">
        <v>470</v>
      </c>
      <c r="H13433" s="185"/>
    </row>
    <row r="13434">
      <c r="D13434" s="185"/>
      <c r="E13434" s="185" t="s">
        <v>470</v>
      </c>
      <c r="H13434" s="185"/>
    </row>
    <row r="13435">
      <c r="D13435" s="185"/>
      <c r="E13435" s="185" t="s">
        <v>470</v>
      </c>
      <c r="H13435" s="185"/>
    </row>
    <row r="13436">
      <c r="D13436" s="185"/>
      <c r="E13436" s="185" t="s">
        <v>470</v>
      </c>
      <c r="H13436" s="185"/>
    </row>
    <row r="13437">
      <c r="D13437" s="185"/>
      <c r="E13437" s="185" t="s">
        <v>470</v>
      </c>
      <c r="H13437" s="185"/>
    </row>
    <row r="13438">
      <c r="D13438" s="185"/>
      <c r="E13438" s="185" t="s">
        <v>470</v>
      </c>
      <c r="H13438" s="185"/>
    </row>
    <row r="13439">
      <c r="D13439" s="185"/>
      <c r="E13439" s="185" t="s">
        <v>470</v>
      </c>
      <c r="H13439" s="185"/>
    </row>
    <row r="13440">
      <c r="D13440" s="185"/>
      <c r="E13440" s="185" t="s">
        <v>470</v>
      </c>
      <c r="H13440" s="185"/>
    </row>
    <row r="13441">
      <c r="D13441" s="185"/>
      <c r="E13441" s="185" t="s">
        <v>470</v>
      </c>
      <c r="H13441" s="185"/>
    </row>
    <row r="13442">
      <c r="D13442" s="185"/>
      <c r="E13442" s="185" t="s">
        <v>470</v>
      </c>
      <c r="H13442" s="185"/>
    </row>
    <row r="13443">
      <c r="D13443" s="185"/>
      <c r="E13443" s="185" t="s">
        <v>470</v>
      </c>
      <c r="H13443" s="185"/>
    </row>
    <row r="13444">
      <c r="D13444" s="185"/>
      <c r="E13444" s="185" t="s">
        <v>470</v>
      </c>
      <c r="H13444" s="185"/>
    </row>
    <row r="13445">
      <c r="D13445" s="185"/>
      <c r="E13445" s="185" t="s">
        <v>470</v>
      </c>
      <c r="H13445" s="185"/>
    </row>
    <row r="13446">
      <c r="D13446" s="185"/>
      <c r="E13446" s="185" t="s">
        <v>470</v>
      </c>
      <c r="H13446" s="185"/>
    </row>
    <row r="13447">
      <c r="D13447" s="185"/>
      <c r="E13447" s="185" t="s">
        <v>470</v>
      </c>
      <c r="H13447" s="185"/>
    </row>
    <row r="13448">
      <c r="D13448" s="185"/>
      <c r="E13448" s="185" t="s">
        <v>470</v>
      </c>
      <c r="H13448" s="185"/>
    </row>
    <row r="13449">
      <c r="D13449" s="185"/>
      <c r="E13449" s="185" t="s">
        <v>470</v>
      </c>
      <c r="H13449" s="185"/>
    </row>
    <row r="13450">
      <c r="D13450" s="185"/>
      <c r="E13450" s="185" t="s">
        <v>470</v>
      </c>
      <c r="H13450" s="185"/>
    </row>
    <row r="13451">
      <c r="D13451" s="185"/>
      <c r="E13451" s="185" t="s">
        <v>470</v>
      </c>
      <c r="H13451" s="185"/>
    </row>
    <row r="13452">
      <c r="D13452" s="185"/>
      <c r="E13452" s="185" t="s">
        <v>470</v>
      </c>
      <c r="H13452" s="185"/>
    </row>
    <row r="13453">
      <c r="D13453" s="185"/>
      <c r="E13453" s="185" t="s">
        <v>470</v>
      </c>
      <c r="H13453" s="185"/>
    </row>
    <row r="13454">
      <c r="D13454" s="185"/>
      <c r="E13454" s="185" t="s">
        <v>470</v>
      </c>
      <c r="H13454" s="185"/>
    </row>
    <row r="13455">
      <c r="D13455" s="185"/>
      <c r="E13455" s="185" t="s">
        <v>470</v>
      </c>
      <c r="H13455" s="185"/>
    </row>
    <row r="13456">
      <c r="D13456" s="185"/>
      <c r="E13456" s="185" t="s">
        <v>470</v>
      </c>
      <c r="H13456" s="185"/>
    </row>
    <row r="13457">
      <c r="D13457" s="185"/>
      <c r="E13457" s="185" t="s">
        <v>470</v>
      </c>
      <c r="H13457" s="185"/>
    </row>
    <row r="13458">
      <c r="D13458" s="185"/>
      <c r="E13458" s="185" t="s">
        <v>470</v>
      </c>
      <c r="H13458" s="185"/>
    </row>
    <row r="13459">
      <c r="D13459" s="185"/>
      <c r="E13459" s="185" t="s">
        <v>470</v>
      </c>
      <c r="H13459" s="185"/>
    </row>
    <row r="13460">
      <c r="D13460" s="185"/>
      <c r="E13460" s="185" t="s">
        <v>470</v>
      </c>
      <c r="H13460" s="185"/>
    </row>
    <row r="13461">
      <c r="D13461" s="185"/>
      <c r="E13461" s="185" t="s">
        <v>470</v>
      </c>
      <c r="H13461" s="185"/>
    </row>
    <row r="13462">
      <c r="D13462" s="185"/>
      <c r="E13462" s="185" t="s">
        <v>470</v>
      </c>
      <c r="H13462" s="185"/>
    </row>
    <row r="13463">
      <c r="D13463" s="185"/>
      <c r="E13463" s="185" t="s">
        <v>470</v>
      </c>
      <c r="H13463" s="185"/>
    </row>
    <row r="13464">
      <c r="D13464" s="185"/>
      <c r="E13464" s="185" t="s">
        <v>470</v>
      </c>
      <c r="H13464" s="185"/>
    </row>
    <row r="13465">
      <c r="D13465" s="185"/>
      <c r="E13465" s="185" t="s">
        <v>470</v>
      </c>
      <c r="H13465" s="185"/>
    </row>
    <row r="13466">
      <c r="D13466" s="185"/>
      <c r="E13466" s="185" t="s">
        <v>470</v>
      </c>
      <c r="H13466" s="185"/>
    </row>
    <row r="13467">
      <c r="D13467" s="185"/>
      <c r="E13467" s="185" t="s">
        <v>470</v>
      </c>
      <c r="H13467" s="185"/>
    </row>
    <row r="13468">
      <c r="D13468" s="185"/>
      <c r="E13468" s="185" t="s">
        <v>470</v>
      </c>
      <c r="H13468" s="185"/>
    </row>
    <row r="13469">
      <c r="D13469" s="185"/>
      <c r="E13469" s="185" t="s">
        <v>470</v>
      </c>
      <c r="H13469" s="185"/>
    </row>
    <row r="13470">
      <c r="D13470" s="185"/>
      <c r="E13470" s="185" t="s">
        <v>470</v>
      </c>
      <c r="H13470" s="185"/>
    </row>
    <row r="13471">
      <c r="D13471" s="185"/>
      <c r="E13471" s="185" t="s">
        <v>470</v>
      </c>
      <c r="H13471" s="185"/>
    </row>
    <row r="13472">
      <c r="D13472" s="185"/>
      <c r="E13472" s="185" t="s">
        <v>470</v>
      </c>
      <c r="H13472" s="185"/>
    </row>
    <row r="13473">
      <c r="D13473" s="185"/>
      <c r="E13473" s="185" t="s">
        <v>470</v>
      </c>
      <c r="H13473" s="185"/>
    </row>
    <row r="13474">
      <c r="D13474" s="185"/>
      <c r="E13474" s="185" t="s">
        <v>470</v>
      </c>
      <c r="H13474" s="185"/>
    </row>
    <row r="13475">
      <c r="D13475" s="185"/>
      <c r="E13475" s="185" t="s">
        <v>470</v>
      </c>
      <c r="H13475" s="185"/>
    </row>
    <row r="13476">
      <c r="D13476" s="185"/>
      <c r="E13476" s="185" t="s">
        <v>470</v>
      </c>
      <c r="H13476" s="185"/>
    </row>
    <row r="13477">
      <c r="D13477" s="185"/>
      <c r="E13477" s="185" t="s">
        <v>470</v>
      </c>
      <c r="H13477" s="185"/>
    </row>
    <row r="13478">
      <c r="D13478" s="185"/>
      <c r="E13478" s="185" t="s">
        <v>470</v>
      </c>
      <c r="H13478" s="185"/>
    </row>
    <row r="13479">
      <c r="D13479" s="185"/>
      <c r="E13479" s="185" t="s">
        <v>470</v>
      </c>
      <c r="H13479" s="185"/>
    </row>
    <row r="13480">
      <c r="D13480" s="185"/>
      <c r="E13480" s="185" t="s">
        <v>470</v>
      </c>
      <c r="H13480" s="185"/>
    </row>
    <row r="13481">
      <c r="D13481" s="185"/>
      <c r="E13481" s="185" t="s">
        <v>470</v>
      </c>
      <c r="H13481" s="185"/>
    </row>
    <row r="13482">
      <c r="D13482" s="185"/>
      <c r="E13482" s="185" t="s">
        <v>470</v>
      </c>
      <c r="H13482" s="185"/>
    </row>
    <row r="13483">
      <c r="D13483" s="185"/>
      <c r="E13483" s="185" t="s">
        <v>470</v>
      </c>
      <c r="H13483" s="185"/>
    </row>
    <row r="13484">
      <c r="D13484" s="185"/>
      <c r="E13484" s="185" t="s">
        <v>470</v>
      </c>
      <c r="H13484" s="185"/>
    </row>
    <row r="13485">
      <c r="D13485" s="185"/>
      <c r="E13485" s="185" t="s">
        <v>470</v>
      </c>
      <c r="H13485" s="185"/>
    </row>
    <row r="13486">
      <c r="D13486" s="185"/>
      <c r="E13486" s="185" t="s">
        <v>470</v>
      </c>
      <c r="H13486" s="185"/>
    </row>
    <row r="13487">
      <c r="D13487" s="185"/>
      <c r="E13487" s="185" t="s">
        <v>470</v>
      </c>
      <c r="H13487" s="185"/>
    </row>
    <row r="13488">
      <c r="D13488" s="185"/>
      <c r="E13488" s="185" t="s">
        <v>470</v>
      </c>
      <c r="H13488" s="185"/>
    </row>
    <row r="13489">
      <c r="D13489" s="185"/>
      <c r="E13489" s="185" t="s">
        <v>470</v>
      </c>
      <c r="H13489" s="185"/>
    </row>
    <row r="13490">
      <c r="D13490" s="185"/>
      <c r="E13490" s="185" t="s">
        <v>470</v>
      </c>
      <c r="H13490" s="185"/>
    </row>
    <row r="13491">
      <c r="D13491" s="185"/>
      <c r="E13491" s="185" t="s">
        <v>470</v>
      </c>
      <c r="H13491" s="185"/>
    </row>
    <row r="13492">
      <c r="D13492" s="185"/>
      <c r="E13492" s="185" t="s">
        <v>470</v>
      </c>
      <c r="H13492" s="185"/>
    </row>
    <row r="13493">
      <c r="D13493" s="185"/>
      <c r="E13493" s="185" t="s">
        <v>470</v>
      </c>
      <c r="H13493" s="185"/>
    </row>
    <row r="13494">
      <c r="D13494" s="185"/>
      <c r="E13494" s="185" t="s">
        <v>470</v>
      </c>
      <c r="H13494" s="185"/>
    </row>
    <row r="13495">
      <c r="D13495" s="185"/>
      <c r="E13495" s="185" t="s">
        <v>470</v>
      </c>
      <c r="H13495" s="185"/>
    </row>
    <row r="13496">
      <c r="D13496" s="185"/>
      <c r="E13496" s="185" t="s">
        <v>470</v>
      </c>
      <c r="H13496" s="185"/>
    </row>
    <row r="13497">
      <c r="D13497" s="185"/>
      <c r="E13497" s="185" t="s">
        <v>470</v>
      </c>
      <c r="H13497" s="185"/>
    </row>
    <row r="13498">
      <c r="D13498" s="185"/>
      <c r="E13498" s="185" t="s">
        <v>470</v>
      </c>
      <c r="H13498" s="185"/>
    </row>
    <row r="13499">
      <c r="D13499" s="185"/>
      <c r="E13499" s="185" t="s">
        <v>470</v>
      </c>
      <c r="H13499" s="185"/>
    </row>
    <row r="13500">
      <c r="D13500" s="185"/>
      <c r="E13500" s="185" t="s">
        <v>470</v>
      </c>
      <c r="H13500" s="185"/>
    </row>
    <row r="13501">
      <c r="D13501" s="185"/>
      <c r="E13501" s="185" t="s">
        <v>470</v>
      </c>
      <c r="H13501" s="185"/>
    </row>
    <row r="13502">
      <c r="D13502" s="185"/>
      <c r="E13502" s="185" t="s">
        <v>470</v>
      </c>
      <c r="H13502" s="185"/>
    </row>
    <row r="13503">
      <c r="D13503" s="185"/>
      <c r="E13503" s="185" t="s">
        <v>470</v>
      </c>
      <c r="H13503" s="185"/>
    </row>
    <row r="13504">
      <c r="D13504" s="185"/>
      <c r="E13504" s="185" t="s">
        <v>470</v>
      </c>
      <c r="H13504" s="185"/>
    </row>
    <row r="13505">
      <c r="D13505" s="185"/>
      <c r="E13505" s="185" t="s">
        <v>470</v>
      </c>
      <c r="H13505" s="185"/>
    </row>
    <row r="13506">
      <c r="D13506" s="185"/>
      <c r="E13506" s="185" t="s">
        <v>470</v>
      </c>
      <c r="H13506" s="185"/>
    </row>
    <row r="13507">
      <c r="D13507" s="185"/>
      <c r="E13507" s="185" t="s">
        <v>470</v>
      </c>
      <c r="H13507" s="185"/>
    </row>
    <row r="13508">
      <c r="D13508" s="185"/>
      <c r="E13508" s="185" t="s">
        <v>470</v>
      </c>
      <c r="H13508" s="185"/>
    </row>
    <row r="13509">
      <c r="D13509" s="185"/>
      <c r="E13509" s="185" t="s">
        <v>470</v>
      </c>
      <c r="H13509" s="185"/>
    </row>
    <row r="13510">
      <c r="D13510" s="185"/>
      <c r="E13510" s="185" t="s">
        <v>470</v>
      </c>
      <c r="H13510" s="185"/>
    </row>
    <row r="13511">
      <c r="D13511" s="185"/>
      <c r="E13511" s="185" t="s">
        <v>470</v>
      </c>
      <c r="H13511" s="185"/>
    </row>
    <row r="13512">
      <c r="D13512" s="185"/>
      <c r="E13512" s="185" t="s">
        <v>470</v>
      </c>
      <c r="H13512" s="185"/>
    </row>
    <row r="13513">
      <c r="D13513" s="185"/>
      <c r="E13513" s="185" t="s">
        <v>470</v>
      </c>
      <c r="H13513" s="185"/>
    </row>
    <row r="13514">
      <c r="D13514" s="185"/>
      <c r="E13514" s="185" t="s">
        <v>470</v>
      </c>
      <c r="H13514" s="185"/>
    </row>
    <row r="13515">
      <c r="D13515" s="185"/>
      <c r="E13515" s="185" t="s">
        <v>470</v>
      </c>
      <c r="H13515" s="185"/>
    </row>
    <row r="13516">
      <c r="D13516" s="185"/>
      <c r="E13516" s="185" t="s">
        <v>470</v>
      </c>
      <c r="H13516" s="185"/>
    </row>
    <row r="13517">
      <c r="D13517" s="185"/>
      <c r="E13517" s="185" t="s">
        <v>470</v>
      </c>
      <c r="H13517" s="185"/>
    </row>
    <row r="13518">
      <c r="D13518" s="185"/>
      <c r="E13518" s="185" t="s">
        <v>470</v>
      </c>
      <c r="H13518" s="185"/>
    </row>
    <row r="13519">
      <c r="D13519" s="185"/>
      <c r="E13519" s="185" t="s">
        <v>470</v>
      </c>
      <c r="H13519" s="185"/>
    </row>
    <row r="13520">
      <c r="D13520" s="185"/>
      <c r="E13520" s="185" t="s">
        <v>470</v>
      </c>
      <c r="H13520" s="185"/>
    </row>
    <row r="13521">
      <c r="D13521" s="185"/>
      <c r="E13521" s="185" t="s">
        <v>470</v>
      </c>
      <c r="H13521" s="185"/>
    </row>
    <row r="13522">
      <c r="D13522" s="185"/>
      <c r="E13522" s="185" t="s">
        <v>470</v>
      </c>
      <c r="H13522" s="185"/>
    </row>
    <row r="13523">
      <c r="D13523" s="185"/>
      <c r="E13523" s="185" t="s">
        <v>470</v>
      </c>
      <c r="H13523" s="185"/>
    </row>
    <row r="13524">
      <c r="D13524" s="185"/>
      <c r="E13524" s="185" t="s">
        <v>470</v>
      </c>
      <c r="H13524" s="185"/>
    </row>
    <row r="13525">
      <c r="D13525" s="185"/>
      <c r="E13525" s="185" t="s">
        <v>470</v>
      </c>
      <c r="H13525" s="185"/>
    </row>
    <row r="13526">
      <c r="D13526" s="185"/>
      <c r="E13526" s="185" t="s">
        <v>470</v>
      </c>
      <c r="H13526" s="185"/>
    </row>
    <row r="13527">
      <c r="D13527" s="185"/>
      <c r="E13527" s="185" t="s">
        <v>470</v>
      </c>
      <c r="H13527" s="185"/>
    </row>
    <row r="13528">
      <c r="D13528" s="185"/>
      <c r="E13528" s="185" t="s">
        <v>470</v>
      </c>
      <c r="H13528" s="185"/>
    </row>
    <row r="13529">
      <c r="D13529" s="185"/>
      <c r="E13529" s="185" t="s">
        <v>470</v>
      </c>
      <c r="H13529" s="185"/>
    </row>
    <row r="13530">
      <c r="D13530" s="185"/>
      <c r="E13530" s="185" t="s">
        <v>470</v>
      </c>
      <c r="H13530" s="185"/>
    </row>
    <row r="13531">
      <c r="D13531" s="185"/>
      <c r="E13531" s="185" t="s">
        <v>470</v>
      </c>
      <c r="H13531" s="185"/>
    </row>
    <row r="13532">
      <c r="D13532" s="185"/>
      <c r="E13532" s="185" t="s">
        <v>470</v>
      </c>
      <c r="H13532" s="185"/>
    </row>
    <row r="13533">
      <c r="D13533" s="185"/>
      <c r="E13533" s="185" t="s">
        <v>470</v>
      </c>
      <c r="H13533" s="185"/>
    </row>
    <row r="13534">
      <c r="D13534" s="185"/>
      <c r="E13534" s="185" t="s">
        <v>470</v>
      </c>
      <c r="H13534" s="185"/>
    </row>
    <row r="13535">
      <c r="D13535" s="185"/>
      <c r="E13535" s="185" t="s">
        <v>470</v>
      </c>
      <c r="H13535" s="185"/>
    </row>
    <row r="13536">
      <c r="D13536" s="185"/>
      <c r="E13536" s="185" t="s">
        <v>470</v>
      </c>
      <c r="H13536" s="185"/>
    </row>
    <row r="13537">
      <c r="D13537" s="185"/>
      <c r="E13537" s="185" t="s">
        <v>470</v>
      </c>
      <c r="H13537" s="185"/>
    </row>
    <row r="13538">
      <c r="D13538" s="185"/>
      <c r="E13538" s="185" t="s">
        <v>470</v>
      </c>
      <c r="H13538" s="185"/>
    </row>
    <row r="13539">
      <c r="D13539" s="185"/>
      <c r="E13539" s="185" t="s">
        <v>470</v>
      </c>
      <c r="H13539" s="185"/>
    </row>
    <row r="13540">
      <c r="D13540" s="185"/>
      <c r="E13540" s="185" t="s">
        <v>470</v>
      </c>
      <c r="H13540" s="185"/>
    </row>
    <row r="13541">
      <c r="D13541" s="185"/>
      <c r="E13541" s="185" t="s">
        <v>470</v>
      </c>
      <c r="H13541" s="185"/>
    </row>
    <row r="13542">
      <c r="D13542" s="185"/>
      <c r="E13542" s="185" t="s">
        <v>470</v>
      </c>
      <c r="H13542" s="185"/>
    </row>
    <row r="13543">
      <c r="D13543" s="185"/>
      <c r="E13543" s="185" t="s">
        <v>470</v>
      </c>
      <c r="H13543" s="185"/>
    </row>
    <row r="13544">
      <c r="D13544" s="185"/>
      <c r="E13544" s="185" t="s">
        <v>470</v>
      </c>
      <c r="H13544" s="185"/>
    </row>
    <row r="13545">
      <c r="D13545" s="185"/>
      <c r="E13545" s="185" t="s">
        <v>470</v>
      </c>
      <c r="H13545" s="185"/>
    </row>
    <row r="13546">
      <c r="D13546" s="185"/>
      <c r="E13546" s="185" t="s">
        <v>470</v>
      </c>
      <c r="H13546" s="185"/>
    </row>
    <row r="13547">
      <c r="D13547" s="185"/>
      <c r="E13547" s="185" t="s">
        <v>470</v>
      </c>
      <c r="H13547" s="185"/>
    </row>
    <row r="13548">
      <c r="D13548" s="185"/>
      <c r="E13548" s="185" t="s">
        <v>470</v>
      </c>
      <c r="H13548" s="185"/>
    </row>
    <row r="13549">
      <c r="D13549" s="185"/>
      <c r="E13549" s="185" t="s">
        <v>470</v>
      </c>
      <c r="H13549" s="185"/>
    </row>
    <row r="13550">
      <c r="D13550" s="185"/>
      <c r="E13550" s="185" t="s">
        <v>470</v>
      </c>
      <c r="H13550" s="185"/>
    </row>
    <row r="13551">
      <c r="D13551" s="185"/>
      <c r="E13551" s="185" t="s">
        <v>470</v>
      </c>
      <c r="H13551" s="185"/>
    </row>
    <row r="13552">
      <c r="D13552" s="185"/>
      <c r="E13552" s="185" t="s">
        <v>470</v>
      </c>
      <c r="H13552" s="185"/>
    </row>
    <row r="13553">
      <c r="D13553" s="185"/>
      <c r="E13553" s="185" t="s">
        <v>470</v>
      </c>
      <c r="H13553" s="185"/>
    </row>
    <row r="13554">
      <c r="D13554" s="185"/>
      <c r="E13554" s="185" t="s">
        <v>470</v>
      </c>
      <c r="H13554" s="185"/>
    </row>
    <row r="13555">
      <c r="D13555" s="185"/>
      <c r="E13555" s="185" t="s">
        <v>470</v>
      </c>
      <c r="H13555" s="185"/>
    </row>
    <row r="13556">
      <c r="D13556" s="185"/>
      <c r="E13556" s="185" t="s">
        <v>470</v>
      </c>
      <c r="H13556" s="185"/>
    </row>
    <row r="13557">
      <c r="D13557" s="185"/>
      <c r="E13557" s="185" t="s">
        <v>470</v>
      </c>
      <c r="H13557" s="185"/>
    </row>
    <row r="13558">
      <c r="D13558" s="185"/>
      <c r="E13558" s="185" t="s">
        <v>470</v>
      </c>
      <c r="H13558" s="185"/>
    </row>
    <row r="13559">
      <c r="D13559" s="185"/>
      <c r="E13559" s="185" t="s">
        <v>470</v>
      </c>
      <c r="H13559" s="185"/>
    </row>
    <row r="13560">
      <c r="D13560" s="185"/>
      <c r="E13560" s="185" t="s">
        <v>470</v>
      </c>
      <c r="H13560" s="185"/>
    </row>
    <row r="13561">
      <c r="D13561" s="185"/>
      <c r="E13561" s="185" t="s">
        <v>470</v>
      </c>
      <c r="H13561" s="185"/>
    </row>
    <row r="13562">
      <c r="D13562" s="185"/>
      <c r="E13562" s="185" t="s">
        <v>470</v>
      </c>
      <c r="H13562" s="185"/>
    </row>
    <row r="13563">
      <c r="D13563" s="185"/>
      <c r="E13563" s="185" t="s">
        <v>470</v>
      </c>
      <c r="H13563" s="185"/>
    </row>
    <row r="13564">
      <c r="D13564" s="185"/>
      <c r="E13564" s="185" t="s">
        <v>470</v>
      </c>
      <c r="H13564" s="185"/>
    </row>
    <row r="13565">
      <c r="D13565" s="185"/>
      <c r="E13565" s="185" t="s">
        <v>470</v>
      </c>
      <c r="H13565" s="185"/>
    </row>
    <row r="13566">
      <c r="D13566" s="185"/>
      <c r="E13566" s="185" t="s">
        <v>470</v>
      </c>
      <c r="H13566" s="185"/>
    </row>
    <row r="13567">
      <c r="D13567" s="185"/>
      <c r="E13567" s="185" t="s">
        <v>470</v>
      </c>
      <c r="H13567" s="185"/>
    </row>
    <row r="13568">
      <c r="D13568" s="185"/>
      <c r="E13568" s="185" t="s">
        <v>470</v>
      </c>
      <c r="H13568" s="185"/>
    </row>
    <row r="13569">
      <c r="D13569" s="185"/>
      <c r="E13569" s="185" t="s">
        <v>470</v>
      </c>
      <c r="H13569" s="185"/>
    </row>
    <row r="13570">
      <c r="D13570" s="185"/>
      <c r="E13570" s="185" t="s">
        <v>470</v>
      </c>
      <c r="H13570" s="185"/>
    </row>
    <row r="13571">
      <c r="D13571" s="185"/>
      <c r="E13571" s="185" t="s">
        <v>470</v>
      </c>
      <c r="H13571" s="185"/>
    </row>
    <row r="13572">
      <c r="D13572" s="185"/>
      <c r="E13572" s="185" t="s">
        <v>470</v>
      </c>
      <c r="H13572" s="185"/>
    </row>
    <row r="13573">
      <c r="D13573" s="185"/>
      <c r="E13573" s="185" t="s">
        <v>470</v>
      </c>
      <c r="H13573" s="185"/>
    </row>
    <row r="13574">
      <c r="D13574" s="185"/>
      <c r="E13574" s="185" t="s">
        <v>470</v>
      </c>
      <c r="H13574" s="185"/>
    </row>
    <row r="13575">
      <c r="D13575" s="185"/>
      <c r="E13575" s="185" t="s">
        <v>470</v>
      </c>
      <c r="H13575" s="185"/>
    </row>
    <row r="13576">
      <c r="D13576" s="185"/>
      <c r="E13576" s="185" t="s">
        <v>470</v>
      </c>
      <c r="H13576" s="185"/>
    </row>
    <row r="13577">
      <c r="D13577" s="185"/>
      <c r="E13577" s="185" t="s">
        <v>470</v>
      </c>
      <c r="H13577" s="185"/>
    </row>
    <row r="13578">
      <c r="D13578" s="185"/>
      <c r="E13578" s="185" t="s">
        <v>470</v>
      </c>
      <c r="H13578" s="185"/>
    </row>
    <row r="13579">
      <c r="D13579" s="185"/>
      <c r="E13579" s="185" t="s">
        <v>470</v>
      </c>
      <c r="H13579" s="185"/>
    </row>
    <row r="13580">
      <c r="D13580" s="185"/>
      <c r="E13580" s="185" t="s">
        <v>470</v>
      </c>
      <c r="H13580" s="185"/>
    </row>
    <row r="13581">
      <c r="D13581" s="185"/>
      <c r="E13581" s="185" t="s">
        <v>470</v>
      </c>
      <c r="H13581" s="185"/>
    </row>
    <row r="13582">
      <c r="D13582" s="185"/>
      <c r="E13582" s="185" t="s">
        <v>470</v>
      </c>
      <c r="H13582" s="185"/>
    </row>
    <row r="13583">
      <c r="D13583" s="185"/>
      <c r="E13583" s="185" t="s">
        <v>470</v>
      </c>
      <c r="H13583" s="185"/>
    </row>
    <row r="13584">
      <c r="D13584" s="185"/>
      <c r="E13584" s="185" t="s">
        <v>470</v>
      </c>
      <c r="H13584" s="185"/>
    </row>
    <row r="13585">
      <c r="D13585" s="185"/>
      <c r="E13585" s="185" t="s">
        <v>470</v>
      </c>
      <c r="H13585" s="185"/>
    </row>
    <row r="13586">
      <c r="D13586" s="185"/>
      <c r="E13586" s="185" t="s">
        <v>470</v>
      </c>
      <c r="H13586" s="185"/>
    </row>
    <row r="13587">
      <c r="D13587" s="185"/>
      <c r="E13587" s="185" t="s">
        <v>470</v>
      </c>
      <c r="H13587" s="185"/>
    </row>
    <row r="13588">
      <c r="D13588" s="185"/>
      <c r="E13588" s="185" t="s">
        <v>470</v>
      </c>
      <c r="H13588" s="185"/>
    </row>
    <row r="13589">
      <c r="D13589" s="185"/>
      <c r="E13589" s="185" t="s">
        <v>470</v>
      </c>
      <c r="H13589" s="185"/>
    </row>
    <row r="13590">
      <c r="D13590" s="185"/>
      <c r="E13590" s="185" t="s">
        <v>470</v>
      </c>
      <c r="H13590" s="185"/>
    </row>
    <row r="13591">
      <c r="D13591" s="185"/>
      <c r="E13591" s="185" t="s">
        <v>470</v>
      </c>
      <c r="H13591" s="185"/>
    </row>
    <row r="13592">
      <c r="D13592" s="185"/>
      <c r="E13592" s="185" t="s">
        <v>470</v>
      </c>
      <c r="H13592" s="185"/>
    </row>
    <row r="13593">
      <c r="D13593" s="185"/>
      <c r="E13593" s="185" t="s">
        <v>470</v>
      </c>
      <c r="H13593" s="185"/>
    </row>
    <row r="13594">
      <c r="D13594" s="185"/>
      <c r="E13594" s="185" t="s">
        <v>470</v>
      </c>
      <c r="H13594" s="185"/>
    </row>
    <row r="13595">
      <c r="D13595" s="185"/>
      <c r="E13595" s="185" t="s">
        <v>470</v>
      </c>
      <c r="H13595" s="185"/>
    </row>
    <row r="13596">
      <c r="D13596" s="185"/>
      <c r="E13596" s="185" t="s">
        <v>470</v>
      </c>
      <c r="H13596" s="185"/>
    </row>
    <row r="13597">
      <c r="D13597" s="185"/>
      <c r="E13597" s="185" t="s">
        <v>470</v>
      </c>
      <c r="H13597" s="185"/>
    </row>
    <row r="13598">
      <c r="D13598" s="185"/>
      <c r="E13598" s="185" t="s">
        <v>470</v>
      </c>
      <c r="H13598" s="185"/>
    </row>
    <row r="13599">
      <c r="D13599" s="185"/>
      <c r="E13599" s="185" t="s">
        <v>470</v>
      </c>
      <c r="H13599" s="185"/>
    </row>
    <row r="13600">
      <c r="D13600" s="185"/>
      <c r="E13600" s="185" t="s">
        <v>470</v>
      </c>
      <c r="H13600" s="185"/>
    </row>
    <row r="13601">
      <c r="D13601" s="185"/>
      <c r="E13601" s="185" t="s">
        <v>470</v>
      </c>
      <c r="H13601" s="185"/>
    </row>
    <row r="13602">
      <c r="D13602" s="185"/>
      <c r="E13602" s="185" t="s">
        <v>470</v>
      </c>
      <c r="H13602" s="185"/>
    </row>
    <row r="13603">
      <c r="D13603" s="185"/>
      <c r="E13603" s="185" t="s">
        <v>470</v>
      </c>
      <c r="H13603" s="185"/>
    </row>
    <row r="13604">
      <c r="D13604" s="185"/>
      <c r="E13604" s="185" t="s">
        <v>470</v>
      </c>
      <c r="H13604" s="185"/>
    </row>
    <row r="13605">
      <c r="D13605" s="185"/>
      <c r="E13605" s="185" t="s">
        <v>470</v>
      </c>
      <c r="H13605" s="185"/>
    </row>
    <row r="13606">
      <c r="D13606" s="185"/>
      <c r="E13606" s="185" t="s">
        <v>470</v>
      </c>
      <c r="H13606" s="185"/>
    </row>
    <row r="13607">
      <c r="D13607" s="185"/>
      <c r="E13607" s="185" t="s">
        <v>470</v>
      </c>
      <c r="H13607" s="185"/>
    </row>
    <row r="13608">
      <c r="D13608" s="185"/>
      <c r="E13608" s="185" t="s">
        <v>470</v>
      </c>
      <c r="H13608" s="185"/>
    </row>
    <row r="13609">
      <c r="D13609" s="185"/>
      <c r="E13609" s="185" t="s">
        <v>470</v>
      </c>
      <c r="H13609" s="185"/>
    </row>
    <row r="13610">
      <c r="D13610" s="185"/>
      <c r="E13610" s="185" t="s">
        <v>470</v>
      </c>
      <c r="H13610" s="185"/>
    </row>
    <row r="13611">
      <c r="D13611" s="185"/>
      <c r="E13611" s="185" t="s">
        <v>470</v>
      </c>
      <c r="H13611" s="185"/>
    </row>
    <row r="13612">
      <c r="D13612" s="185"/>
      <c r="E13612" s="185" t="s">
        <v>470</v>
      </c>
      <c r="H13612" s="185"/>
    </row>
    <row r="13613">
      <c r="D13613" s="185"/>
      <c r="E13613" s="185" t="s">
        <v>470</v>
      </c>
      <c r="H13613" s="185"/>
    </row>
    <row r="13614">
      <c r="D13614" s="185"/>
      <c r="E13614" s="185" t="s">
        <v>470</v>
      </c>
      <c r="H13614" s="185"/>
    </row>
    <row r="13615">
      <c r="D13615" s="185"/>
      <c r="E13615" s="185" t="s">
        <v>470</v>
      </c>
      <c r="H13615" s="185"/>
    </row>
    <row r="13616">
      <c r="D13616" s="185"/>
      <c r="E13616" s="185" t="s">
        <v>470</v>
      </c>
      <c r="H13616" s="185"/>
    </row>
    <row r="13617">
      <c r="D13617" s="185"/>
      <c r="E13617" s="185" t="s">
        <v>470</v>
      </c>
      <c r="H13617" s="185"/>
    </row>
    <row r="13618">
      <c r="D13618" s="185"/>
      <c r="E13618" s="185" t="s">
        <v>470</v>
      </c>
      <c r="H13618" s="185"/>
    </row>
    <row r="13619">
      <c r="D13619" s="185"/>
      <c r="E13619" s="185" t="s">
        <v>470</v>
      </c>
      <c r="H13619" s="185"/>
    </row>
    <row r="13620">
      <c r="D13620" s="185"/>
      <c r="E13620" s="185" t="s">
        <v>470</v>
      </c>
      <c r="H13620" s="185"/>
    </row>
    <row r="13621">
      <c r="D13621" s="185"/>
      <c r="E13621" s="185" t="s">
        <v>470</v>
      </c>
      <c r="H13621" s="185"/>
    </row>
    <row r="13622">
      <c r="D13622" s="185"/>
      <c r="E13622" s="185" t="s">
        <v>470</v>
      </c>
      <c r="H13622" s="185"/>
    </row>
    <row r="13623">
      <c r="D13623" s="185"/>
      <c r="E13623" s="185" t="s">
        <v>470</v>
      </c>
      <c r="H13623" s="185"/>
    </row>
    <row r="13624">
      <c r="D13624" s="185"/>
      <c r="E13624" s="185" t="s">
        <v>470</v>
      </c>
      <c r="H13624" s="185"/>
    </row>
    <row r="13625">
      <c r="D13625" s="185"/>
      <c r="E13625" s="185" t="s">
        <v>470</v>
      </c>
      <c r="H13625" s="185"/>
    </row>
    <row r="13626">
      <c r="D13626" s="185"/>
      <c r="E13626" s="185" t="s">
        <v>470</v>
      </c>
      <c r="H13626" s="185"/>
    </row>
    <row r="13627">
      <c r="D13627" s="185"/>
      <c r="E13627" s="185" t="s">
        <v>470</v>
      </c>
      <c r="H13627" s="185"/>
    </row>
    <row r="13628">
      <c r="D13628" s="185"/>
      <c r="E13628" s="185" t="s">
        <v>470</v>
      </c>
      <c r="H13628" s="185"/>
    </row>
    <row r="13629">
      <c r="D13629" s="185"/>
      <c r="E13629" s="185" t="s">
        <v>470</v>
      </c>
      <c r="H13629" s="185"/>
    </row>
    <row r="13630">
      <c r="D13630" s="185"/>
      <c r="E13630" s="185" t="s">
        <v>470</v>
      </c>
      <c r="H13630" s="185"/>
    </row>
    <row r="13631">
      <c r="D13631" s="185"/>
      <c r="E13631" s="185" t="s">
        <v>470</v>
      </c>
      <c r="H13631" s="185"/>
    </row>
    <row r="13632">
      <c r="D13632" s="185"/>
      <c r="E13632" s="185" t="s">
        <v>470</v>
      </c>
      <c r="H13632" s="185"/>
    </row>
    <row r="13633">
      <c r="D13633" s="185"/>
      <c r="E13633" s="185" t="s">
        <v>470</v>
      </c>
      <c r="H13633" s="185"/>
    </row>
    <row r="13634">
      <c r="D13634" s="185"/>
      <c r="E13634" s="185" t="s">
        <v>470</v>
      </c>
      <c r="H13634" s="185"/>
    </row>
    <row r="13635">
      <c r="D13635" s="185"/>
      <c r="E13635" s="185" t="s">
        <v>470</v>
      </c>
      <c r="H13635" s="185"/>
    </row>
    <row r="13636">
      <c r="D13636" s="185"/>
      <c r="E13636" s="185" t="s">
        <v>470</v>
      </c>
      <c r="H13636" s="185"/>
    </row>
    <row r="13637">
      <c r="D13637" s="185"/>
      <c r="E13637" s="185" t="s">
        <v>470</v>
      </c>
      <c r="H13637" s="185"/>
    </row>
    <row r="13638">
      <c r="D13638" s="185"/>
      <c r="E13638" s="185" t="s">
        <v>470</v>
      </c>
      <c r="H13638" s="185"/>
    </row>
    <row r="13639">
      <c r="D13639" s="185"/>
      <c r="E13639" s="185" t="s">
        <v>470</v>
      </c>
      <c r="H13639" s="185"/>
    </row>
    <row r="13640">
      <c r="D13640" s="185"/>
      <c r="E13640" s="185" t="s">
        <v>470</v>
      </c>
      <c r="H13640" s="185"/>
    </row>
    <row r="13641">
      <c r="D13641" s="185"/>
      <c r="E13641" s="185" t="s">
        <v>470</v>
      </c>
      <c r="H13641" s="185"/>
    </row>
    <row r="13642">
      <c r="D13642" s="185"/>
      <c r="E13642" s="185" t="s">
        <v>470</v>
      </c>
      <c r="H13642" s="185"/>
    </row>
    <row r="13643">
      <c r="D13643" s="185"/>
      <c r="E13643" s="185" t="s">
        <v>470</v>
      </c>
      <c r="H13643" s="185"/>
    </row>
    <row r="13644">
      <c r="D13644" s="185"/>
      <c r="E13644" s="185" t="s">
        <v>470</v>
      </c>
      <c r="H13644" s="185"/>
    </row>
    <row r="13645">
      <c r="D13645" s="185"/>
      <c r="E13645" s="185" t="s">
        <v>470</v>
      </c>
      <c r="H13645" s="185"/>
    </row>
    <row r="13646">
      <c r="D13646" s="185"/>
      <c r="E13646" s="185" t="s">
        <v>470</v>
      </c>
      <c r="H13646" s="185"/>
    </row>
    <row r="13647">
      <c r="D13647" s="185"/>
      <c r="E13647" s="185" t="s">
        <v>470</v>
      </c>
      <c r="H13647" s="185"/>
    </row>
    <row r="13648">
      <c r="D13648" s="185"/>
      <c r="E13648" s="185" t="s">
        <v>470</v>
      </c>
      <c r="H13648" s="185"/>
    </row>
    <row r="13649">
      <c r="D13649" s="185"/>
      <c r="E13649" s="185" t="s">
        <v>470</v>
      </c>
      <c r="H13649" s="185"/>
    </row>
    <row r="13650">
      <c r="D13650" s="185"/>
      <c r="E13650" s="185" t="s">
        <v>470</v>
      </c>
      <c r="H13650" s="185"/>
    </row>
    <row r="13651">
      <c r="D13651" s="185"/>
      <c r="E13651" s="185" t="s">
        <v>470</v>
      </c>
      <c r="H13651" s="185"/>
    </row>
    <row r="13652">
      <c r="D13652" s="185"/>
      <c r="E13652" s="185" t="s">
        <v>470</v>
      </c>
      <c r="H13652" s="185"/>
    </row>
    <row r="13653">
      <c r="D13653" s="185"/>
      <c r="E13653" s="185" t="s">
        <v>470</v>
      </c>
      <c r="H13653" s="185"/>
    </row>
    <row r="13654">
      <c r="D13654" s="185"/>
      <c r="E13654" s="185" t="s">
        <v>470</v>
      </c>
      <c r="H13654" s="185"/>
    </row>
    <row r="13655">
      <c r="D13655" s="185"/>
      <c r="E13655" s="185" t="s">
        <v>470</v>
      </c>
      <c r="H13655" s="185"/>
    </row>
    <row r="13656">
      <c r="D13656" s="185"/>
      <c r="E13656" s="185" t="s">
        <v>470</v>
      </c>
      <c r="H13656" s="185"/>
    </row>
    <row r="13657">
      <c r="D13657" s="185"/>
      <c r="E13657" s="185" t="s">
        <v>470</v>
      </c>
      <c r="H13657" s="185"/>
    </row>
    <row r="13658">
      <c r="D13658" s="185"/>
      <c r="E13658" s="185" t="s">
        <v>470</v>
      </c>
      <c r="H13658" s="185"/>
    </row>
    <row r="13659">
      <c r="D13659" s="185"/>
      <c r="E13659" s="185" t="s">
        <v>470</v>
      </c>
      <c r="H13659" s="185"/>
    </row>
    <row r="13660">
      <c r="D13660" s="185"/>
      <c r="E13660" s="185" t="s">
        <v>470</v>
      </c>
      <c r="H13660" s="185"/>
    </row>
    <row r="13661">
      <c r="D13661" s="185"/>
      <c r="E13661" s="185" t="s">
        <v>470</v>
      </c>
      <c r="H13661" s="185"/>
    </row>
    <row r="13662">
      <c r="D13662" s="185"/>
      <c r="E13662" s="185" t="s">
        <v>470</v>
      </c>
      <c r="H13662" s="185"/>
    </row>
    <row r="13663">
      <c r="D13663" s="185"/>
      <c r="E13663" s="185" t="s">
        <v>470</v>
      </c>
      <c r="H13663" s="185"/>
    </row>
    <row r="13664">
      <c r="D13664" s="185"/>
      <c r="E13664" s="185" t="s">
        <v>470</v>
      </c>
      <c r="H13664" s="185"/>
    </row>
    <row r="13665">
      <c r="D13665" s="185"/>
      <c r="E13665" s="185" t="s">
        <v>470</v>
      </c>
      <c r="H13665" s="185"/>
    </row>
    <row r="13666">
      <c r="D13666" s="185"/>
      <c r="E13666" s="185" t="s">
        <v>470</v>
      </c>
      <c r="H13666" s="185"/>
    </row>
    <row r="13667">
      <c r="D13667" s="185"/>
      <c r="E13667" s="185" t="s">
        <v>470</v>
      </c>
      <c r="H13667" s="185"/>
    </row>
    <row r="13668">
      <c r="D13668" s="185"/>
      <c r="E13668" s="185" t="s">
        <v>470</v>
      </c>
      <c r="H13668" s="185"/>
    </row>
    <row r="13669">
      <c r="D13669" s="185"/>
      <c r="E13669" s="185" t="s">
        <v>470</v>
      </c>
      <c r="H13669" s="185"/>
    </row>
    <row r="13670">
      <c r="D13670" s="185"/>
      <c r="E13670" s="185" t="s">
        <v>470</v>
      </c>
      <c r="H13670" s="185"/>
    </row>
    <row r="13671">
      <c r="D13671" s="185"/>
      <c r="E13671" s="185" t="s">
        <v>470</v>
      </c>
      <c r="H13671" s="185"/>
    </row>
    <row r="13672">
      <c r="D13672" s="185"/>
      <c r="E13672" s="185" t="s">
        <v>470</v>
      </c>
      <c r="H13672" s="185"/>
    </row>
    <row r="13673">
      <c r="D13673" s="185"/>
      <c r="E13673" s="185" t="s">
        <v>470</v>
      </c>
      <c r="H13673" s="185"/>
    </row>
    <row r="13674">
      <c r="D13674" s="185"/>
      <c r="E13674" s="185" t="s">
        <v>470</v>
      </c>
      <c r="H13674" s="185"/>
    </row>
    <row r="13675">
      <c r="D13675" s="185"/>
      <c r="E13675" s="185" t="s">
        <v>470</v>
      </c>
      <c r="H13675" s="185"/>
    </row>
    <row r="13676">
      <c r="D13676" s="185"/>
      <c r="E13676" s="185" t="s">
        <v>470</v>
      </c>
      <c r="H13676" s="185"/>
    </row>
    <row r="13677">
      <c r="D13677" s="185"/>
      <c r="E13677" s="185" t="s">
        <v>470</v>
      </c>
      <c r="H13677" s="185"/>
    </row>
    <row r="13678">
      <c r="D13678" s="185"/>
      <c r="E13678" s="185" t="s">
        <v>470</v>
      </c>
      <c r="H13678" s="185"/>
    </row>
    <row r="13679">
      <c r="D13679" s="185"/>
      <c r="E13679" s="185" t="s">
        <v>470</v>
      </c>
      <c r="H13679" s="185"/>
    </row>
    <row r="13680">
      <c r="D13680" s="185"/>
      <c r="E13680" s="185" t="s">
        <v>470</v>
      </c>
      <c r="H13680" s="185"/>
    </row>
    <row r="13681">
      <c r="D13681" s="185"/>
      <c r="E13681" s="185" t="s">
        <v>470</v>
      </c>
      <c r="H13681" s="185"/>
    </row>
    <row r="13682">
      <c r="D13682" s="185"/>
      <c r="E13682" s="185" t="s">
        <v>470</v>
      </c>
      <c r="H13682" s="185"/>
    </row>
    <row r="13683">
      <c r="D13683" s="185"/>
      <c r="E13683" s="185" t="s">
        <v>470</v>
      </c>
      <c r="H13683" s="185"/>
    </row>
    <row r="13684">
      <c r="D13684" s="185"/>
      <c r="E13684" s="185" t="s">
        <v>470</v>
      </c>
      <c r="H13684" s="185"/>
    </row>
    <row r="13685">
      <c r="D13685" s="185"/>
      <c r="E13685" s="185" t="s">
        <v>470</v>
      </c>
      <c r="H13685" s="185"/>
    </row>
    <row r="13686">
      <c r="D13686" s="185"/>
      <c r="E13686" s="185" t="s">
        <v>470</v>
      </c>
      <c r="H13686" s="185"/>
    </row>
    <row r="13687">
      <c r="D13687" s="185"/>
      <c r="E13687" s="185" t="s">
        <v>470</v>
      </c>
      <c r="H13687" s="185"/>
    </row>
    <row r="13688">
      <c r="D13688" s="185"/>
      <c r="E13688" s="185" t="s">
        <v>470</v>
      </c>
      <c r="H13688" s="185"/>
    </row>
    <row r="13689">
      <c r="D13689" s="185"/>
      <c r="E13689" s="185" t="s">
        <v>470</v>
      </c>
      <c r="H13689" s="185"/>
    </row>
    <row r="13690">
      <c r="D13690" s="185"/>
      <c r="E13690" s="185" t="s">
        <v>470</v>
      </c>
      <c r="H13690" s="185"/>
    </row>
    <row r="13691">
      <c r="D13691" s="185"/>
      <c r="E13691" s="185" t="s">
        <v>470</v>
      </c>
      <c r="H13691" s="185"/>
    </row>
    <row r="13692">
      <c r="D13692" s="185"/>
      <c r="E13692" s="185" t="s">
        <v>470</v>
      </c>
      <c r="H13692" s="185"/>
    </row>
    <row r="13693">
      <c r="D13693" s="185"/>
      <c r="E13693" s="185" t="s">
        <v>470</v>
      </c>
      <c r="H13693" s="185"/>
    </row>
    <row r="13694">
      <c r="D13694" s="185"/>
      <c r="E13694" s="185" t="s">
        <v>470</v>
      </c>
      <c r="H13694" s="185"/>
    </row>
    <row r="13695">
      <c r="D13695" s="185"/>
      <c r="E13695" s="185" t="s">
        <v>470</v>
      </c>
      <c r="H13695" s="185"/>
    </row>
    <row r="13696">
      <c r="D13696" s="185"/>
      <c r="E13696" s="185" t="s">
        <v>470</v>
      </c>
      <c r="H13696" s="185"/>
    </row>
    <row r="13697">
      <c r="D13697" s="185"/>
      <c r="E13697" s="185" t="s">
        <v>470</v>
      </c>
      <c r="H13697" s="185"/>
    </row>
    <row r="13698">
      <c r="D13698" s="185"/>
      <c r="E13698" s="185" t="s">
        <v>470</v>
      </c>
      <c r="H13698" s="185"/>
    </row>
    <row r="13699">
      <c r="D13699" s="185"/>
      <c r="E13699" s="185" t="s">
        <v>470</v>
      </c>
      <c r="H13699" s="185"/>
    </row>
    <row r="13700">
      <c r="D13700" s="185"/>
      <c r="E13700" s="185" t="s">
        <v>470</v>
      </c>
      <c r="H13700" s="185"/>
    </row>
    <row r="13701">
      <c r="D13701" s="185"/>
      <c r="E13701" s="185" t="s">
        <v>470</v>
      </c>
      <c r="H13701" s="185"/>
    </row>
    <row r="13702">
      <c r="D13702" s="185"/>
      <c r="E13702" s="185" t="s">
        <v>470</v>
      </c>
      <c r="H13702" s="185"/>
    </row>
    <row r="13703">
      <c r="D13703" s="185"/>
      <c r="E13703" s="185" t="s">
        <v>470</v>
      </c>
      <c r="H13703" s="185"/>
    </row>
    <row r="13704">
      <c r="D13704" s="185"/>
      <c r="E13704" s="185" t="s">
        <v>470</v>
      </c>
      <c r="H13704" s="185"/>
    </row>
    <row r="13705">
      <c r="D13705" s="185"/>
      <c r="E13705" s="185" t="s">
        <v>470</v>
      </c>
      <c r="H13705" s="185"/>
    </row>
    <row r="13706">
      <c r="D13706" s="185"/>
      <c r="E13706" s="185" t="s">
        <v>470</v>
      </c>
      <c r="H13706" s="185"/>
    </row>
    <row r="13707">
      <c r="D13707" s="185"/>
      <c r="E13707" s="185" t="s">
        <v>470</v>
      </c>
      <c r="H13707" s="185"/>
    </row>
    <row r="13708">
      <c r="D13708" s="185"/>
      <c r="E13708" s="185" t="s">
        <v>470</v>
      </c>
      <c r="H13708" s="185"/>
    </row>
    <row r="13709">
      <c r="D13709" s="185"/>
      <c r="E13709" s="185" t="s">
        <v>470</v>
      </c>
      <c r="H13709" s="185"/>
    </row>
    <row r="13710">
      <c r="D13710" s="185"/>
      <c r="E13710" s="185" t="s">
        <v>470</v>
      </c>
      <c r="H13710" s="185"/>
    </row>
    <row r="13711">
      <c r="D13711" s="185"/>
      <c r="E13711" s="185" t="s">
        <v>470</v>
      </c>
      <c r="H13711" s="185"/>
    </row>
    <row r="13712">
      <c r="D13712" s="185"/>
      <c r="E13712" s="185" t="s">
        <v>470</v>
      </c>
      <c r="H13712" s="185"/>
    </row>
    <row r="13713">
      <c r="D13713" s="185"/>
      <c r="E13713" s="185" t="s">
        <v>470</v>
      </c>
      <c r="H13713" s="185"/>
    </row>
    <row r="13714">
      <c r="D13714" s="185"/>
      <c r="E13714" s="185" t="s">
        <v>470</v>
      </c>
      <c r="H13714" s="185"/>
    </row>
    <row r="13715">
      <c r="D13715" s="185"/>
      <c r="E13715" s="185" t="s">
        <v>470</v>
      </c>
      <c r="H13715" s="185"/>
    </row>
    <row r="13716">
      <c r="D13716" s="185"/>
      <c r="E13716" s="185" t="s">
        <v>470</v>
      </c>
      <c r="H13716" s="185"/>
    </row>
    <row r="13717">
      <c r="D13717" s="185"/>
      <c r="E13717" s="185" t="s">
        <v>470</v>
      </c>
      <c r="H13717" s="185"/>
    </row>
    <row r="13718">
      <c r="D13718" s="185"/>
      <c r="E13718" s="185" t="s">
        <v>470</v>
      </c>
      <c r="H13718" s="185"/>
    </row>
    <row r="13719">
      <c r="D13719" s="185"/>
      <c r="E13719" s="185" t="s">
        <v>470</v>
      </c>
      <c r="H13719" s="185"/>
    </row>
    <row r="13720">
      <c r="D13720" s="185"/>
      <c r="E13720" s="185" t="s">
        <v>470</v>
      </c>
      <c r="H13720" s="185"/>
    </row>
    <row r="13721">
      <c r="D13721" s="185"/>
      <c r="E13721" s="185" t="s">
        <v>470</v>
      </c>
      <c r="H13721" s="185"/>
    </row>
    <row r="13722">
      <c r="D13722" s="185"/>
      <c r="E13722" s="185" t="s">
        <v>470</v>
      </c>
      <c r="H13722" s="185"/>
    </row>
    <row r="13723">
      <c r="D13723" s="185"/>
      <c r="E13723" s="185" t="s">
        <v>470</v>
      </c>
      <c r="H13723" s="185"/>
    </row>
    <row r="13724">
      <c r="D13724" s="185"/>
      <c r="E13724" s="185" t="s">
        <v>470</v>
      </c>
      <c r="H13724" s="185"/>
    </row>
    <row r="13725">
      <c r="D13725" s="185"/>
      <c r="E13725" s="185" t="s">
        <v>470</v>
      </c>
      <c r="H13725" s="185"/>
    </row>
    <row r="13726">
      <c r="D13726" s="185"/>
      <c r="E13726" s="185" t="s">
        <v>470</v>
      </c>
      <c r="H13726" s="185"/>
    </row>
    <row r="13727">
      <c r="D13727" s="185"/>
      <c r="E13727" s="185" t="s">
        <v>470</v>
      </c>
      <c r="H13727" s="185"/>
    </row>
    <row r="13728">
      <c r="D13728" s="185"/>
      <c r="E13728" s="185" t="s">
        <v>470</v>
      </c>
      <c r="H13728" s="185"/>
    </row>
    <row r="13729">
      <c r="D13729" s="185"/>
      <c r="E13729" s="185" t="s">
        <v>470</v>
      </c>
      <c r="H13729" s="185"/>
    </row>
    <row r="13730">
      <c r="D13730" s="185"/>
      <c r="E13730" s="185" t="s">
        <v>470</v>
      </c>
      <c r="H13730" s="185"/>
    </row>
    <row r="13731">
      <c r="D13731" s="185"/>
      <c r="E13731" s="185" t="s">
        <v>470</v>
      </c>
      <c r="H13731" s="185"/>
    </row>
    <row r="13732">
      <c r="D13732" s="185"/>
      <c r="E13732" s="185" t="s">
        <v>470</v>
      </c>
      <c r="H13732" s="185"/>
    </row>
    <row r="13733">
      <c r="D13733" s="185"/>
      <c r="E13733" s="185" t="s">
        <v>470</v>
      </c>
      <c r="H13733" s="185"/>
    </row>
    <row r="13734">
      <c r="D13734" s="185"/>
      <c r="E13734" s="185" t="s">
        <v>470</v>
      </c>
      <c r="H13734" s="185"/>
    </row>
    <row r="13735">
      <c r="D13735" s="185"/>
      <c r="E13735" s="185" t="s">
        <v>470</v>
      </c>
      <c r="H13735" s="185"/>
    </row>
    <row r="13736">
      <c r="D13736" s="185"/>
      <c r="E13736" s="185" t="s">
        <v>470</v>
      </c>
      <c r="H13736" s="185"/>
    </row>
    <row r="13737">
      <c r="D13737" s="185"/>
      <c r="E13737" s="185" t="s">
        <v>470</v>
      </c>
      <c r="H13737" s="185"/>
    </row>
    <row r="13738">
      <c r="D13738" s="185"/>
      <c r="E13738" s="185" t="s">
        <v>470</v>
      </c>
      <c r="H13738" s="185"/>
    </row>
    <row r="13739">
      <c r="D13739" s="185"/>
      <c r="E13739" s="185" t="s">
        <v>470</v>
      </c>
      <c r="H13739" s="185"/>
    </row>
    <row r="13740">
      <c r="D13740" s="185"/>
      <c r="E13740" s="185" t="s">
        <v>470</v>
      </c>
      <c r="H13740" s="185"/>
    </row>
    <row r="13741">
      <c r="D13741" s="185"/>
      <c r="E13741" s="185" t="s">
        <v>470</v>
      </c>
      <c r="H13741" s="185"/>
    </row>
    <row r="13742">
      <c r="D13742" s="185"/>
      <c r="E13742" s="185" t="s">
        <v>470</v>
      </c>
      <c r="H13742" s="185"/>
    </row>
    <row r="13743">
      <c r="D13743" s="185"/>
      <c r="E13743" s="185" t="s">
        <v>470</v>
      </c>
      <c r="H13743" s="185"/>
    </row>
    <row r="13744">
      <c r="D13744" s="185"/>
      <c r="E13744" s="185" t="s">
        <v>470</v>
      </c>
      <c r="H13744" s="185"/>
    </row>
    <row r="13745">
      <c r="D13745" s="185"/>
      <c r="E13745" s="185" t="s">
        <v>470</v>
      </c>
      <c r="H13745" s="185"/>
    </row>
    <row r="13746">
      <c r="D13746" s="185"/>
      <c r="E13746" s="185" t="s">
        <v>470</v>
      </c>
      <c r="H13746" s="185"/>
    </row>
    <row r="13747">
      <c r="D13747" s="185"/>
      <c r="E13747" s="185" t="s">
        <v>470</v>
      </c>
      <c r="H13747" s="185"/>
    </row>
    <row r="13748">
      <c r="D13748" s="185"/>
      <c r="E13748" s="185" t="s">
        <v>470</v>
      </c>
      <c r="H13748" s="185"/>
    </row>
    <row r="13749">
      <c r="D13749" s="185"/>
      <c r="E13749" s="185" t="s">
        <v>470</v>
      </c>
      <c r="H13749" s="185"/>
    </row>
    <row r="13750">
      <c r="D13750" s="185"/>
      <c r="E13750" s="185" t="s">
        <v>470</v>
      </c>
      <c r="H13750" s="185"/>
    </row>
    <row r="13751">
      <c r="D13751" s="185"/>
      <c r="E13751" s="185" t="s">
        <v>470</v>
      </c>
      <c r="H13751" s="185"/>
    </row>
    <row r="13752">
      <c r="D13752" s="185"/>
      <c r="E13752" s="185" t="s">
        <v>470</v>
      </c>
      <c r="H13752" s="185"/>
    </row>
    <row r="13753">
      <c r="D13753" s="185"/>
      <c r="E13753" s="185" t="s">
        <v>470</v>
      </c>
      <c r="H13753" s="185"/>
    </row>
    <row r="13754">
      <c r="D13754" s="185"/>
      <c r="E13754" s="185" t="s">
        <v>470</v>
      </c>
      <c r="H13754" s="185"/>
    </row>
    <row r="13755">
      <c r="D13755" s="185"/>
      <c r="E13755" s="185" t="s">
        <v>470</v>
      </c>
      <c r="H13755" s="185"/>
    </row>
    <row r="13756">
      <c r="D13756" s="185"/>
      <c r="E13756" s="185" t="s">
        <v>470</v>
      </c>
      <c r="H13756" s="185"/>
    </row>
    <row r="13757">
      <c r="D13757" s="185"/>
      <c r="E13757" s="185" t="s">
        <v>470</v>
      </c>
      <c r="H13757" s="185"/>
    </row>
    <row r="13758">
      <c r="D13758" s="185"/>
      <c r="E13758" s="185" t="s">
        <v>470</v>
      </c>
      <c r="H13758" s="185"/>
    </row>
    <row r="13759">
      <c r="D13759" s="185"/>
      <c r="E13759" s="185" t="s">
        <v>470</v>
      </c>
      <c r="H13759" s="185"/>
    </row>
    <row r="13760">
      <c r="D13760" s="185"/>
      <c r="E13760" s="185" t="s">
        <v>470</v>
      </c>
      <c r="H13760" s="185"/>
    </row>
    <row r="13761">
      <c r="D13761" s="185"/>
      <c r="E13761" s="185" t="s">
        <v>470</v>
      </c>
      <c r="H13761" s="185"/>
    </row>
    <row r="13762">
      <c r="D13762" s="185"/>
      <c r="E13762" s="185" t="s">
        <v>470</v>
      </c>
      <c r="H13762" s="185"/>
    </row>
    <row r="13763">
      <c r="D13763" s="185"/>
      <c r="E13763" s="185" t="s">
        <v>470</v>
      </c>
      <c r="H13763" s="185"/>
    </row>
    <row r="13764">
      <c r="D13764" s="185"/>
      <c r="E13764" s="185" t="s">
        <v>470</v>
      </c>
      <c r="H13764" s="185"/>
    </row>
    <row r="13765">
      <c r="D13765" s="185"/>
      <c r="E13765" s="185" t="s">
        <v>470</v>
      </c>
      <c r="H13765" s="185"/>
    </row>
    <row r="13766">
      <c r="D13766" s="185"/>
      <c r="E13766" s="185" t="s">
        <v>470</v>
      </c>
      <c r="H13766" s="185"/>
    </row>
    <row r="13767">
      <c r="D13767" s="185"/>
      <c r="E13767" s="185" t="s">
        <v>470</v>
      </c>
      <c r="H13767" s="185"/>
    </row>
    <row r="13768">
      <c r="D13768" s="185"/>
      <c r="E13768" s="185" t="s">
        <v>470</v>
      </c>
      <c r="H13768" s="185"/>
    </row>
    <row r="13769">
      <c r="D13769" s="185"/>
      <c r="E13769" s="185" t="s">
        <v>470</v>
      </c>
      <c r="H13769" s="185"/>
    </row>
    <row r="13770">
      <c r="D13770" s="185"/>
      <c r="E13770" s="185" t="s">
        <v>470</v>
      </c>
      <c r="H13770" s="185"/>
    </row>
    <row r="13771">
      <c r="D13771" s="185"/>
      <c r="E13771" s="185" t="s">
        <v>470</v>
      </c>
      <c r="H13771" s="185"/>
    </row>
    <row r="13772">
      <c r="D13772" s="185"/>
      <c r="E13772" s="185" t="s">
        <v>470</v>
      </c>
      <c r="H13772" s="185"/>
    </row>
    <row r="13773">
      <c r="D13773" s="185"/>
      <c r="E13773" s="185" t="s">
        <v>470</v>
      </c>
      <c r="H13773" s="185"/>
    </row>
    <row r="13774">
      <c r="D13774" s="185"/>
      <c r="E13774" s="185" t="s">
        <v>470</v>
      </c>
      <c r="H13774" s="185"/>
    </row>
    <row r="13775">
      <c r="D13775" s="185"/>
      <c r="E13775" s="185" t="s">
        <v>470</v>
      </c>
      <c r="H13775" s="185"/>
    </row>
    <row r="13776">
      <c r="D13776" s="185"/>
      <c r="E13776" s="185" t="s">
        <v>470</v>
      </c>
      <c r="H13776" s="185"/>
    </row>
    <row r="13777">
      <c r="D13777" s="185"/>
      <c r="E13777" s="185" t="s">
        <v>470</v>
      </c>
      <c r="H13777" s="185"/>
    </row>
    <row r="13778">
      <c r="D13778" s="185"/>
      <c r="E13778" s="185" t="s">
        <v>470</v>
      </c>
      <c r="H13778" s="185"/>
    </row>
    <row r="13779">
      <c r="D13779" s="185"/>
      <c r="E13779" s="185" t="s">
        <v>470</v>
      </c>
      <c r="H13779" s="185"/>
    </row>
    <row r="13780">
      <c r="D13780" s="185"/>
      <c r="E13780" s="185" t="s">
        <v>470</v>
      </c>
      <c r="H13780" s="185"/>
    </row>
    <row r="13781">
      <c r="D13781" s="185"/>
      <c r="E13781" s="185" t="s">
        <v>470</v>
      </c>
      <c r="H13781" s="185"/>
    </row>
    <row r="13782">
      <c r="D13782" s="185"/>
      <c r="E13782" s="185" t="s">
        <v>470</v>
      </c>
      <c r="H13782" s="185"/>
    </row>
    <row r="13783">
      <c r="D13783" s="185"/>
      <c r="E13783" s="185" t="s">
        <v>470</v>
      </c>
      <c r="H13783" s="185"/>
    </row>
    <row r="13784">
      <c r="D13784" s="185"/>
      <c r="E13784" s="185" t="s">
        <v>470</v>
      </c>
      <c r="H13784" s="185"/>
    </row>
    <row r="13785">
      <c r="D13785" s="185"/>
      <c r="E13785" s="185" t="s">
        <v>470</v>
      </c>
      <c r="H13785" s="185"/>
    </row>
    <row r="13786">
      <c r="D13786" s="185"/>
      <c r="E13786" s="185" t="s">
        <v>470</v>
      </c>
      <c r="H13786" s="185"/>
    </row>
    <row r="13787">
      <c r="D13787" s="185"/>
      <c r="E13787" s="185" t="s">
        <v>470</v>
      </c>
      <c r="H13787" s="185"/>
    </row>
    <row r="13788">
      <c r="D13788" s="185"/>
      <c r="E13788" s="185" t="s">
        <v>470</v>
      </c>
      <c r="H13788" s="185"/>
    </row>
    <row r="13789">
      <c r="D13789" s="185"/>
      <c r="E13789" s="185" t="s">
        <v>470</v>
      </c>
      <c r="H13789" s="185"/>
    </row>
    <row r="13790">
      <c r="D13790" s="185"/>
      <c r="E13790" s="185" t="s">
        <v>470</v>
      </c>
      <c r="H13790" s="185"/>
    </row>
    <row r="13791">
      <c r="D13791" s="185"/>
      <c r="E13791" s="185" t="s">
        <v>470</v>
      </c>
      <c r="H13791" s="185"/>
    </row>
    <row r="13792">
      <c r="D13792" s="185"/>
      <c r="E13792" s="185" t="s">
        <v>470</v>
      </c>
      <c r="H13792" s="185"/>
    </row>
    <row r="13793">
      <c r="D13793" s="185"/>
      <c r="E13793" s="185" t="s">
        <v>470</v>
      </c>
      <c r="H13793" s="185"/>
    </row>
    <row r="13794">
      <c r="D13794" s="185"/>
      <c r="E13794" s="185" t="s">
        <v>470</v>
      </c>
      <c r="H13794" s="185"/>
    </row>
    <row r="13795">
      <c r="D13795" s="185"/>
      <c r="E13795" s="185" t="s">
        <v>470</v>
      </c>
      <c r="H13795" s="185"/>
    </row>
    <row r="13796">
      <c r="D13796" s="185"/>
      <c r="E13796" s="185" t="s">
        <v>470</v>
      </c>
      <c r="H13796" s="185"/>
    </row>
    <row r="13797">
      <c r="D13797" s="185"/>
      <c r="E13797" s="185" t="s">
        <v>470</v>
      </c>
      <c r="H13797" s="185"/>
    </row>
    <row r="13798">
      <c r="D13798" s="185"/>
      <c r="E13798" s="185" t="s">
        <v>470</v>
      </c>
      <c r="H13798" s="185"/>
    </row>
    <row r="13799">
      <c r="D13799" s="185"/>
      <c r="E13799" s="185" t="s">
        <v>470</v>
      </c>
      <c r="H13799" s="185"/>
    </row>
    <row r="13800">
      <c r="D13800" s="185"/>
      <c r="E13800" s="185" t="s">
        <v>470</v>
      </c>
      <c r="H13800" s="185"/>
    </row>
    <row r="13801">
      <c r="D13801" s="185"/>
      <c r="E13801" s="185" t="s">
        <v>470</v>
      </c>
      <c r="H13801" s="185"/>
    </row>
    <row r="13802">
      <c r="D13802" s="185"/>
      <c r="E13802" s="185" t="s">
        <v>470</v>
      </c>
      <c r="H13802" s="185"/>
    </row>
    <row r="13803">
      <c r="D13803" s="185"/>
      <c r="E13803" s="185" t="s">
        <v>470</v>
      </c>
      <c r="H13803" s="185"/>
    </row>
    <row r="13804">
      <c r="D13804" s="185"/>
      <c r="E13804" s="185" t="s">
        <v>470</v>
      </c>
      <c r="H13804" s="185"/>
    </row>
    <row r="13805">
      <c r="D13805" s="185"/>
      <c r="E13805" s="185" t="s">
        <v>470</v>
      </c>
      <c r="H13805" s="185"/>
    </row>
    <row r="13806">
      <c r="D13806" s="185"/>
      <c r="E13806" s="185" t="s">
        <v>470</v>
      </c>
      <c r="H13806" s="185"/>
    </row>
    <row r="13807">
      <c r="D13807" s="185"/>
      <c r="E13807" s="185" t="s">
        <v>470</v>
      </c>
      <c r="H13807" s="185"/>
    </row>
    <row r="13808">
      <c r="D13808" s="185"/>
      <c r="E13808" s="185" t="s">
        <v>470</v>
      </c>
      <c r="H13808" s="185"/>
    </row>
    <row r="13809">
      <c r="D13809" s="185"/>
      <c r="E13809" s="185" t="s">
        <v>470</v>
      </c>
      <c r="H13809" s="185"/>
    </row>
    <row r="13810">
      <c r="D13810" s="185"/>
      <c r="E13810" s="185" t="s">
        <v>470</v>
      </c>
      <c r="H13810" s="185"/>
    </row>
    <row r="13811">
      <c r="D13811" s="185"/>
      <c r="E13811" s="185" t="s">
        <v>470</v>
      </c>
      <c r="H13811" s="185"/>
    </row>
    <row r="13812">
      <c r="D13812" s="185"/>
      <c r="E13812" s="185" t="s">
        <v>470</v>
      </c>
      <c r="H13812" s="185"/>
    </row>
    <row r="13813">
      <c r="D13813" s="185"/>
      <c r="E13813" s="185" t="s">
        <v>470</v>
      </c>
      <c r="H13813" s="185"/>
    </row>
    <row r="13814">
      <c r="D13814" s="185"/>
      <c r="E13814" s="185" t="s">
        <v>470</v>
      </c>
      <c r="H13814" s="185"/>
    </row>
    <row r="13815">
      <c r="D13815" s="185"/>
      <c r="E13815" s="185" t="s">
        <v>470</v>
      </c>
      <c r="H13815" s="185"/>
    </row>
    <row r="13816">
      <c r="D13816" s="185"/>
      <c r="E13816" s="185" t="s">
        <v>470</v>
      </c>
      <c r="H13816" s="185"/>
    </row>
    <row r="13817">
      <c r="D13817" s="185"/>
      <c r="E13817" s="185" t="s">
        <v>470</v>
      </c>
      <c r="H13817" s="185"/>
    </row>
    <row r="13818">
      <c r="D13818" s="185"/>
      <c r="E13818" s="185" t="s">
        <v>470</v>
      </c>
      <c r="H13818" s="185"/>
    </row>
    <row r="13819">
      <c r="D13819" s="185"/>
      <c r="E13819" s="185" t="s">
        <v>470</v>
      </c>
      <c r="H13819" s="185"/>
    </row>
    <row r="13820">
      <c r="D13820" s="185"/>
      <c r="E13820" s="185" t="s">
        <v>470</v>
      </c>
      <c r="H13820" s="185"/>
    </row>
    <row r="13821">
      <c r="D13821" s="185"/>
      <c r="E13821" s="185" t="s">
        <v>470</v>
      </c>
      <c r="H13821" s="185"/>
    </row>
    <row r="13822">
      <c r="D13822" s="185"/>
      <c r="E13822" s="185" t="s">
        <v>470</v>
      </c>
      <c r="H13822" s="185"/>
    </row>
    <row r="13823">
      <c r="D13823" s="185"/>
      <c r="E13823" s="185" t="s">
        <v>470</v>
      </c>
      <c r="H13823" s="185"/>
    </row>
    <row r="13824">
      <c r="D13824" s="185"/>
      <c r="E13824" s="185" t="s">
        <v>470</v>
      </c>
      <c r="H13824" s="185"/>
    </row>
    <row r="13825">
      <c r="D13825" s="185"/>
      <c r="E13825" s="185" t="s">
        <v>470</v>
      </c>
      <c r="H13825" s="185"/>
    </row>
    <row r="13826">
      <c r="D13826" s="185"/>
      <c r="E13826" s="185" t="s">
        <v>470</v>
      </c>
      <c r="H13826" s="185"/>
    </row>
    <row r="13827">
      <c r="D13827" s="185"/>
      <c r="E13827" s="185" t="s">
        <v>470</v>
      </c>
      <c r="H13827" s="185"/>
    </row>
    <row r="13828">
      <c r="D13828" s="185"/>
      <c r="E13828" s="185" t="s">
        <v>470</v>
      </c>
      <c r="H13828" s="185"/>
    </row>
    <row r="13829">
      <c r="D13829" s="185"/>
      <c r="E13829" s="185" t="s">
        <v>470</v>
      </c>
      <c r="H13829" s="185"/>
    </row>
    <row r="13830">
      <c r="D13830" s="185"/>
      <c r="E13830" s="185" t="s">
        <v>470</v>
      </c>
      <c r="H13830" s="185"/>
    </row>
    <row r="13831">
      <c r="D13831" s="185"/>
      <c r="E13831" s="185" t="s">
        <v>470</v>
      </c>
      <c r="H13831" s="185"/>
    </row>
    <row r="13832">
      <c r="D13832" s="185"/>
      <c r="E13832" s="185" t="s">
        <v>470</v>
      </c>
      <c r="H13832" s="185"/>
    </row>
    <row r="13833">
      <c r="D13833" s="185"/>
      <c r="E13833" s="185" t="s">
        <v>470</v>
      </c>
      <c r="H13833" s="185"/>
    </row>
    <row r="13834">
      <c r="D13834" s="185"/>
      <c r="E13834" s="185" t="s">
        <v>470</v>
      </c>
      <c r="H13834" s="185"/>
    </row>
    <row r="13835">
      <c r="D13835" s="185"/>
      <c r="E13835" s="185" t="s">
        <v>470</v>
      </c>
      <c r="H13835" s="185"/>
    </row>
    <row r="13836">
      <c r="D13836" s="185"/>
      <c r="E13836" s="185" t="s">
        <v>470</v>
      </c>
      <c r="H13836" s="185"/>
    </row>
    <row r="13837">
      <c r="D13837" s="185"/>
      <c r="E13837" s="185" t="s">
        <v>470</v>
      </c>
      <c r="H13837" s="185"/>
    </row>
    <row r="13838">
      <c r="D13838" s="185"/>
      <c r="E13838" s="185" t="s">
        <v>470</v>
      </c>
      <c r="H13838" s="185"/>
    </row>
    <row r="13839">
      <c r="D13839" s="185"/>
      <c r="E13839" s="185" t="s">
        <v>470</v>
      </c>
      <c r="H13839" s="185"/>
    </row>
    <row r="13840">
      <c r="D13840" s="185"/>
      <c r="E13840" s="185" t="s">
        <v>470</v>
      </c>
      <c r="H13840" s="185"/>
    </row>
    <row r="13841">
      <c r="D13841" s="185"/>
      <c r="E13841" s="185" t="s">
        <v>470</v>
      </c>
      <c r="H13841" s="185"/>
    </row>
    <row r="13842">
      <c r="D13842" s="185"/>
      <c r="E13842" s="185" t="s">
        <v>470</v>
      </c>
      <c r="H13842" s="185"/>
    </row>
    <row r="13843">
      <c r="D13843" s="185"/>
      <c r="E13843" s="185" t="s">
        <v>470</v>
      </c>
      <c r="H13843" s="185"/>
    </row>
    <row r="13844">
      <c r="D13844" s="185"/>
      <c r="E13844" s="185" t="s">
        <v>470</v>
      </c>
      <c r="H13844" s="185"/>
    </row>
    <row r="13845">
      <c r="D13845" s="185"/>
      <c r="E13845" s="185" t="s">
        <v>470</v>
      </c>
      <c r="H13845" s="185"/>
    </row>
    <row r="13846">
      <c r="D13846" s="185"/>
      <c r="E13846" s="185" t="s">
        <v>470</v>
      </c>
      <c r="H13846" s="185"/>
    </row>
    <row r="13847">
      <c r="D13847" s="185"/>
      <c r="E13847" s="185" t="s">
        <v>470</v>
      </c>
      <c r="H13847" s="185"/>
    </row>
    <row r="13848">
      <c r="D13848" s="185"/>
      <c r="E13848" s="185" t="s">
        <v>470</v>
      </c>
      <c r="H13848" s="185"/>
    </row>
    <row r="13849">
      <c r="D13849" s="185"/>
      <c r="E13849" s="185" t="s">
        <v>470</v>
      </c>
      <c r="H13849" s="185"/>
    </row>
    <row r="13850">
      <c r="D13850" s="185"/>
      <c r="E13850" s="185" t="s">
        <v>470</v>
      </c>
      <c r="H13850" s="185"/>
    </row>
    <row r="13851">
      <c r="D13851" s="185"/>
      <c r="E13851" s="185" t="s">
        <v>470</v>
      </c>
      <c r="H13851" s="185"/>
    </row>
    <row r="13852">
      <c r="D13852" s="185"/>
      <c r="E13852" s="185" t="s">
        <v>470</v>
      </c>
      <c r="H13852" s="185"/>
    </row>
    <row r="13853">
      <c r="D13853" s="185"/>
      <c r="E13853" s="185" t="s">
        <v>470</v>
      </c>
      <c r="H13853" s="185"/>
    </row>
    <row r="13854">
      <c r="D13854" s="185"/>
      <c r="E13854" s="185" t="s">
        <v>470</v>
      </c>
      <c r="H13854" s="185"/>
    </row>
    <row r="13855">
      <c r="D13855" s="185"/>
      <c r="E13855" s="185" t="s">
        <v>470</v>
      </c>
      <c r="H13855" s="185"/>
    </row>
    <row r="13856">
      <c r="D13856" s="185"/>
      <c r="E13856" s="185" t="s">
        <v>470</v>
      </c>
      <c r="H13856" s="185"/>
    </row>
    <row r="13857">
      <c r="D13857" s="185"/>
      <c r="E13857" s="185" t="s">
        <v>470</v>
      </c>
      <c r="H13857" s="185"/>
    </row>
    <row r="13858">
      <c r="D13858" s="185"/>
      <c r="E13858" s="185" t="s">
        <v>470</v>
      </c>
      <c r="H13858" s="185"/>
    </row>
    <row r="13859">
      <c r="D13859" s="185"/>
      <c r="E13859" s="185" t="s">
        <v>470</v>
      </c>
      <c r="H13859" s="185"/>
    </row>
    <row r="13860">
      <c r="D13860" s="185"/>
      <c r="E13860" s="185" t="s">
        <v>470</v>
      </c>
      <c r="H13860" s="185"/>
    </row>
    <row r="13861">
      <c r="D13861" s="185"/>
      <c r="E13861" s="185" t="s">
        <v>470</v>
      </c>
      <c r="H13861" s="185"/>
    </row>
    <row r="13862">
      <c r="D13862" s="185"/>
      <c r="E13862" s="185" t="s">
        <v>470</v>
      </c>
      <c r="H13862" s="185"/>
    </row>
    <row r="13863">
      <c r="D13863" s="185"/>
      <c r="E13863" s="185" t="s">
        <v>470</v>
      </c>
      <c r="H13863" s="185"/>
    </row>
    <row r="13864">
      <c r="D13864" s="185"/>
      <c r="E13864" s="185" t="s">
        <v>470</v>
      </c>
      <c r="H13864" s="185"/>
    </row>
    <row r="13865">
      <c r="D13865" s="185"/>
      <c r="E13865" s="185" t="s">
        <v>470</v>
      </c>
      <c r="H13865" s="185"/>
    </row>
    <row r="13866">
      <c r="D13866" s="185"/>
      <c r="E13866" s="185" t="s">
        <v>470</v>
      </c>
      <c r="H13866" s="185"/>
    </row>
    <row r="13867">
      <c r="D13867" s="185"/>
      <c r="E13867" s="185" t="s">
        <v>470</v>
      </c>
      <c r="H13867" s="185"/>
    </row>
    <row r="13868">
      <c r="D13868" s="185"/>
      <c r="E13868" s="185" t="s">
        <v>470</v>
      </c>
      <c r="H13868" s="185"/>
    </row>
    <row r="13869">
      <c r="D13869" s="185"/>
      <c r="E13869" s="185" t="s">
        <v>470</v>
      </c>
      <c r="H13869" s="185"/>
    </row>
    <row r="13870">
      <c r="D13870" s="185"/>
      <c r="E13870" s="185" t="s">
        <v>470</v>
      </c>
      <c r="H13870" s="185"/>
    </row>
    <row r="13871">
      <c r="D13871" s="185"/>
      <c r="E13871" s="185" t="s">
        <v>470</v>
      </c>
      <c r="H13871" s="185"/>
    </row>
    <row r="13872">
      <c r="D13872" s="185"/>
      <c r="E13872" s="185" t="s">
        <v>470</v>
      </c>
      <c r="H13872" s="185"/>
    </row>
    <row r="13873">
      <c r="D13873" s="185"/>
      <c r="E13873" s="185" t="s">
        <v>470</v>
      </c>
      <c r="H13873" s="185"/>
    </row>
    <row r="13874">
      <c r="D13874" s="185"/>
      <c r="E13874" s="185" t="s">
        <v>470</v>
      </c>
      <c r="H13874" s="185"/>
    </row>
    <row r="13875">
      <c r="D13875" s="185"/>
      <c r="E13875" s="185" t="s">
        <v>470</v>
      </c>
      <c r="H13875" s="185"/>
    </row>
    <row r="13876">
      <c r="D13876" s="185"/>
      <c r="E13876" s="185" t="s">
        <v>470</v>
      </c>
      <c r="H13876" s="185"/>
    </row>
    <row r="13877">
      <c r="D13877" s="185"/>
      <c r="E13877" s="185" t="s">
        <v>470</v>
      </c>
      <c r="H13877" s="185"/>
    </row>
    <row r="13878">
      <c r="D13878" s="185"/>
      <c r="E13878" s="185" t="s">
        <v>470</v>
      </c>
      <c r="H13878" s="185"/>
    </row>
    <row r="13879">
      <c r="D13879" s="185"/>
      <c r="E13879" s="185" t="s">
        <v>470</v>
      </c>
      <c r="H13879" s="185"/>
    </row>
    <row r="13880">
      <c r="D13880" s="185"/>
      <c r="E13880" s="185" t="s">
        <v>470</v>
      </c>
      <c r="H13880" s="185"/>
    </row>
    <row r="13881">
      <c r="D13881" s="185"/>
      <c r="E13881" s="185" t="s">
        <v>470</v>
      </c>
      <c r="H13881" s="185"/>
    </row>
    <row r="13882">
      <c r="D13882" s="185"/>
      <c r="E13882" s="185" t="s">
        <v>470</v>
      </c>
      <c r="H13882" s="185"/>
    </row>
    <row r="13883">
      <c r="D13883" s="185"/>
      <c r="E13883" s="185" t="s">
        <v>470</v>
      </c>
      <c r="H13883" s="185"/>
    </row>
    <row r="13884">
      <c r="D13884" s="185"/>
      <c r="E13884" s="185" t="s">
        <v>470</v>
      </c>
      <c r="H13884" s="185"/>
    </row>
    <row r="13885">
      <c r="D13885" s="185"/>
      <c r="E13885" s="185" t="s">
        <v>470</v>
      </c>
      <c r="H13885" s="185"/>
    </row>
    <row r="13886">
      <c r="D13886" s="185"/>
      <c r="E13886" s="185" t="s">
        <v>470</v>
      </c>
      <c r="H13886" s="185"/>
    </row>
    <row r="13887">
      <c r="D13887" s="185"/>
      <c r="E13887" s="185" t="s">
        <v>470</v>
      </c>
      <c r="H13887" s="185"/>
    </row>
    <row r="13888">
      <c r="D13888" s="185"/>
      <c r="E13888" s="185" t="s">
        <v>470</v>
      </c>
      <c r="H13888" s="185"/>
    </row>
    <row r="13889">
      <c r="D13889" s="185"/>
      <c r="E13889" s="185" t="s">
        <v>470</v>
      </c>
      <c r="H13889" s="185"/>
    </row>
    <row r="13890">
      <c r="D13890" s="185"/>
      <c r="E13890" s="185" t="s">
        <v>470</v>
      </c>
      <c r="H13890" s="185"/>
    </row>
    <row r="13891">
      <c r="D13891" s="185"/>
      <c r="E13891" s="185" t="s">
        <v>470</v>
      </c>
      <c r="H13891" s="185"/>
    </row>
    <row r="13892">
      <c r="D13892" s="185"/>
      <c r="E13892" s="185" t="s">
        <v>470</v>
      </c>
      <c r="H13892" s="185"/>
    </row>
    <row r="13893">
      <c r="D13893" s="185"/>
      <c r="E13893" s="185" t="s">
        <v>470</v>
      </c>
      <c r="H13893" s="185"/>
    </row>
    <row r="13894">
      <c r="D13894" s="185"/>
      <c r="E13894" s="185" t="s">
        <v>470</v>
      </c>
      <c r="H13894" s="185"/>
    </row>
    <row r="13895">
      <c r="D13895" s="185"/>
      <c r="E13895" s="185" t="s">
        <v>470</v>
      </c>
      <c r="H13895" s="185"/>
    </row>
    <row r="13896">
      <c r="D13896" s="185"/>
      <c r="E13896" s="185" t="s">
        <v>470</v>
      </c>
      <c r="H13896" s="185"/>
    </row>
    <row r="13897">
      <c r="D13897" s="185"/>
      <c r="E13897" s="185" t="s">
        <v>470</v>
      </c>
      <c r="H13897" s="185"/>
    </row>
    <row r="13898">
      <c r="D13898" s="185"/>
      <c r="E13898" s="185" t="s">
        <v>470</v>
      </c>
      <c r="H13898" s="185"/>
    </row>
    <row r="13899">
      <c r="D13899" s="185"/>
      <c r="E13899" s="185" t="s">
        <v>470</v>
      </c>
      <c r="H13899" s="185"/>
    </row>
    <row r="13900">
      <c r="D13900" s="185"/>
      <c r="E13900" s="185" t="s">
        <v>470</v>
      </c>
      <c r="H13900" s="185"/>
    </row>
    <row r="13901">
      <c r="D13901" s="185"/>
      <c r="E13901" s="185" t="s">
        <v>470</v>
      </c>
      <c r="H13901" s="185"/>
    </row>
    <row r="13902">
      <c r="D13902" s="185"/>
      <c r="E13902" s="185" t="s">
        <v>470</v>
      </c>
      <c r="H13902" s="185"/>
    </row>
    <row r="13903">
      <c r="D13903" s="185"/>
      <c r="E13903" s="185" t="s">
        <v>470</v>
      </c>
      <c r="H13903" s="185"/>
    </row>
    <row r="13904">
      <c r="D13904" s="185"/>
      <c r="E13904" s="185" t="s">
        <v>470</v>
      </c>
      <c r="H13904" s="185"/>
    </row>
    <row r="13905">
      <c r="D13905" s="185"/>
      <c r="E13905" s="185" t="s">
        <v>470</v>
      </c>
      <c r="H13905" s="185"/>
    </row>
    <row r="13906">
      <c r="D13906" s="185"/>
      <c r="E13906" s="185" t="s">
        <v>470</v>
      </c>
      <c r="H13906" s="185"/>
    </row>
    <row r="13907">
      <c r="D13907" s="185"/>
      <c r="E13907" s="185" t="s">
        <v>470</v>
      </c>
      <c r="H13907" s="185"/>
    </row>
    <row r="13908">
      <c r="D13908" s="185"/>
      <c r="E13908" s="185" t="s">
        <v>470</v>
      </c>
      <c r="H13908" s="185"/>
    </row>
    <row r="13909">
      <c r="D13909" s="185"/>
      <c r="E13909" s="185" t="s">
        <v>470</v>
      </c>
      <c r="H13909" s="185"/>
    </row>
    <row r="13910">
      <c r="D13910" s="185"/>
      <c r="E13910" s="185" t="s">
        <v>470</v>
      </c>
      <c r="H13910" s="185"/>
    </row>
    <row r="13911">
      <c r="D13911" s="185"/>
      <c r="E13911" s="185" t="s">
        <v>470</v>
      </c>
      <c r="H13911" s="185"/>
    </row>
    <row r="13912">
      <c r="D13912" s="185"/>
      <c r="E13912" s="185" t="s">
        <v>470</v>
      </c>
      <c r="H13912" s="185"/>
    </row>
    <row r="13913">
      <c r="D13913" s="185"/>
      <c r="E13913" s="185" t="s">
        <v>470</v>
      </c>
      <c r="H13913" s="185"/>
    </row>
    <row r="13914">
      <c r="D13914" s="185"/>
      <c r="E13914" s="185" t="s">
        <v>470</v>
      </c>
      <c r="H13914" s="185"/>
    </row>
    <row r="13915">
      <c r="D13915" s="185"/>
      <c r="E13915" s="185" t="s">
        <v>470</v>
      </c>
      <c r="H13915" s="185"/>
    </row>
    <row r="13916">
      <c r="D13916" s="185"/>
      <c r="E13916" s="185" t="s">
        <v>470</v>
      </c>
      <c r="H13916" s="185"/>
    </row>
    <row r="13917">
      <c r="D13917" s="185"/>
      <c r="E13917" s="185" t="s">
        <v>470</v>
      </c>
      <c r="H13917" s="185"/>
    </row>
    <row r="13918">
      <c r="D13918" s="185"/>
      <c r="E13918" s="185" t="s">
        <v>470</v>
      </c>
      <c r="H13918" s="185"/>
    </row>
    <row r="13919">
      <c r="D13919" s="185"/>
      <c r="E13919" s="185" t="s">
        <v>470</v>
      </c>
      <c r="H13919" s="185"/>
    </row>
    <row r="13920">
      <c r="D13920" s="185"/>
      <c r="E13920" s="185" t="s">
        <v>470</v>
      </c>
      <c r="H13920" s="185"/>
    </row>
    <row r="13921">
      <c r="D13921" s="185"/>
      <c r="E13921" s="185" t="s">
        <v>470</v>
      </c>
      <c r="H13921" s="185"/>
    </row>
    <row r="13922">
      <c r="D13922" s="185"/>
      <c r="E13922" s="185" t="s">
        <v>470</v>
      </c>
      <c r="H13922" s="185"/>
    </row>
    <row r="13923">
      <c r="D13923" s="185"/>
      <c r="E13923" s="185" t="s">
        <v>470</v>
      </c>
      <c r="H13923" s="185"/>
    </row>
    <row r="13924">
      <c r="D13924" s="185"/>
      <c r="E13924" s="185" t="s">
        <v>470</v>
      </c>
      <c r="H13924" s="185"/>
    </row>
    <row r="13925">
      <c r="D13925" s="185"/>
      <c r="E13925" s="185" t="s">
        <v>470</v>
      </c>
      <c r="H13925" s="185"/>
    </row>
    <row r="13926">
      <c r="D13926" s="185"/>
      <c r="E13926" s="185" t="s">
        <v>470</v>
      </c>
      <c r="H13926" s="185"/>
    </row>
    <row r="13927">
      <c r="D13927" s="185"/>
      <c r="E13927" s="185" t="s">
        <v>470</v>
      </c>
      <c r="H13927" s="185"/>
    </row>
    <row r="13928">
      <c r="D13928" s="185"/>
      <c r="E13928" s="185" t="s">
        <v>470</v>
      </c>
      <c r="H13928" s="185"/>
    </row>
    <row r="13929">
      <c r="D13929" s="185"/>
      <c r="E13929" s="185" t="s">
        <v>470</v>
      </c>
      <c r="H13929" s="185"/>
    </row>
    <row r="13930">
      <c r="D13930" s="185"/>
      <c r="E13930" s="185" t="s">
        <v>470</v>
      </c>
      <c r="H13930" s="185"/>
    </row>
    <row r="13931">
      <c r="D13931" s="185"/>
      <c r="E13931" s="185" t="s">
        <v>470</v>
      </c>
      <c r="H13931" s="185"/>
    </row>
    <row r="13932">
      <c r="D13932" s="185"/>
      <c r="E13932" s="185" t="s">
        <v>470</v>
      </c>
      <c r="H13932" s="185"/>
    </row>
    <row r="13933">
      <c r="D13933" s="185"/>
      <c r="E13933" s="185" t="s">
        <v>470</v>
      </c>
      <c r="H13933" s="185"/>
    </row>
    <row r="13934">
      <c r="D13934" s="185"/>
      <c r="E13934" s="185" t="s">
        <v>470</v>
      </c>
      <c r="H13934" s="185"/>
    </row>
    <row r="13935">
      <c r="D13935" s="185"/>
      <c r="E13935" s="185" t="s">
        <v>470</v>
      </c>
      <c r="H13935" s="185"/>
    </row>
    <row r="13936">
      <c r="D13936" s="185"/>
      <c r="E13936" s="185" t="s">
        <v>470</v>
      </c>
      <c r="H13936" s="185"/>
    </row>
    <row r="13937">
      <c r="D13937" s="185"/>
      <c r="E13937" s="185" t="s">
        <v>470</v>
      </c>
      <c r="H13937" s="185"/>
    </row>
    <row r="13938">
      <c r="D13938" s="185"/>
      <c r="E13938" s="185" t="s">
        <v>470</v>
      </c>
      <c r="H13938" s="185"/>
    </row>
    <row r="13939">
      <c r="D13939" s="185"/>
      <c r="E13939" s="185" t="s">
        <v>470</v>
      </c>
      <c r="H13939" s="185"/>
    </row>
    <row r="13940">
      <c r="D13940" s="185"/>
      <c r="E13940" s="185" t="s">
        <v>470</v>
      </c>
      <c r="H13940" s="185"/>
    </row>
    <row r="13941">
      <c r="D13941" s="185"/>
      <c r="E13941" s="185" t="s">
        <v>470</v>
      </c>
      <c r="H13941" s="185"/>
    </row>
    <row r="13942">
      <c r="D13942" s="185"/>
      <c r="E13942" s="185" t="s">
        <v>470</v>
      </c>
      <c r="H13942" s="185"/>
    </row>
    <row r="13943">
      <c r="D13943" s="185"/>
      <c r="E13943" s="185" t="s">
        <v>470</v>
      </c>
      <c r="H13943" s="185"/>
    </row>
    <row r="13944">
      <c r="D13944" s="185"/>
      <c r="E13944" s="185" t="s">
        <v>470</v>
      </c>
      <c r="H13944" s="185"/>
    </row>
    <row r="13945">
      <c r="D13945" s="185"/>
      <c r="E13945" s="185" t="s">
        <v>470</v>
      </c>
      <c r="H13945" s="185"/>
    </row>
    <row r="13946">
      <c r="D13946" s="185"/>
      <c r="E13946" s="185" t="s">
        <v>470</v>
      </c>
      <c r="H13946" s="185"/>
    </row>
    <row r="13947">
      <c r="D13947" s="185"/>
      <c r="E13947" s="185" t="s">
        <v>470</v>
      </c>
      <c r="H13947" s="185"/>
    </row>
    <row r="13948">
      <c r="D13948" s="185"/>
      <c r="E13948" s="185" t="s">
        <v>470</v>
      </c>
      <c r="H13948" s="185"/>
    </row>
    <row r="13949">
      <c r="D13949" s="185"/>
      <c r="E13949" s="185" t="s">
        <v>470</v>
      </c>
      <c r="H13949" s="185"/>
    </row>
    <row r="13950">
      <c r="D13950" s="185"/>
      <c r="E13950" s="185" t="s">
        <v>470</v>
      </c>
      <c r="H13950" s="185"/>
    </row>
    <row r="13951">
      <c r="D13951" s="185"/>
      <c r="E13951" s="185" t="s">
        <v>470</v>
      </c>
      <c r="H13951" s="185"/>
    </row>
    <row r="13952">
      <c r="D13952" s="185"/>
      <c r="E13952" s="185" t="s">
        <v>470</v>
      </c>
      <c r="H13952" s="185"/>
    </row>
    <row r="13953">
      <c r="D13953" s="185"/>
      <c r="E13953" s="185" t="s">
        <v>470</v>
      </c>
      <c r="H13953" s="185"/>
    </row>
    <row r="13954">
      <c r="D13954" s="185"/>
      <c r="E13954" s="185" t="s">
        <v>470</v>
      </c>
      <c r="H13954" s="185"/>
    </row>
    <row r="13955">
      <c r="D13955" s="185"/>
      <c r="E13955" s="185" t="s">
        <v>470</v>
      </c>
      <c r="H13955" s="185"/>
    </row>
    <row r="13956">
      <c r="D13956" s="185"/>
      <c r="E13956" s="185" t="s">
        <v>470</v>
      </c>
      <c r="H13956" s="185"/>
    </row>
    <row r="13957">
      <c r="D13957" s="185"/>
      <c r="E13957" s="185" t="s">
        <v>470</v>
      </c>
      <c r="H13957" s="185"/>
    </row>
    <row r="13958">
      <c r="D13958" s="185"/>
      <c r="E13958" s="185" t="s">
        <v>470</v>
      </c>
      <c r="H13958" s="185"/>
    </row>
    <row r="13959">
      <c r="D13959" s="185"/>
      <c r="E13959" s="185" t="s">
        <v>470</v>
      </c>
      <c r="H13959" s="185"/>
    </row>
    <row r="13960">
      <c r="D13960" s="185"/>
      <c r="E13960" s="185" t="s">
        <v>470</v>
      </c>
      <c r="H13960" s="185"/>
    </row>
    <row r="13961">
      <c r="D13961" s="185"/>
      <c r="E13961" s="185" t="s">
        <v>470</v>
      </c>
      <c r="H13961" s="185"/>
    </row>
    <row r="13962">
      <c r="D13962" s="185"/>
      <c r="E13962" s="185" t="s">
        <v>470</v>
      </c>
      <c r="H13962" s="185"/>
    </row>
    <row r="13963">
      <c r="D13963" s="185"/>
      <c r="E13963" s="185" t="s">
        <v>470</v>
      </c>
      <c r="H13963" s="185"/>
    </row>
    <row r="13964">
      <c r="D13964" s="185"/>
      <c r="E13964" s="185" t="s">
        <v>470</v>
      </c>
      <c r="H13964" s="185"/>
    </row>
    <row r="13965">
      <c r="D13965" s="185"/>
      <c r="E13965" s="185" t="s">
        <v>470</v>
      </c>
      <c r="H13965" s="185"/>
    </row>
    <row r="13966">
      <c r="D13966" s="185"/>
      <c r="E13966" s="185" t="s">
        <v>470</v>
      </c>
      <c r="H13966" s="185"/>
    </row>
    <row r="13967">
      <c r="D13967" s="185"/>
      <c r="E13967" s="185" t="s">
        <v>470</v>
      </c>
      <c r="H13967" s="185"/>
    </row>
    <row r="13968">
      <c r="D13968" s="185"/>
      <c r="E13968" s="185" t="s">
        <v>470</v>
      </c>
      <c r="H13968" s="185"/>
    </row>
    <row r="13969">
      <c r="D13969" s="185"/>
      <c r="E13969" s="185" t="s">
        <v>470</v>
      </c>
      <c r="H13969" s="185"/>
    </row>
    <row r="13970">
      <c r="D13970" s="185"/>
      <c r="E13970" s="185" t="s">
        <v>470</v>
      </c>
      <c r="H13970" s="185"/>
    </row>
    <row r="13971">
      <c r="D13971" s="185"/>
      <c r="E13971" s="185" t="s">
        <v>470</v>
      </c>
      <c r="H13971" s="185"/>
    </row>
    <row r="13972">
      <c r="D13972" s="185"/>
      <c r="E13972" s="185" t="s">
        <v>470</v>
      </c>
      <c r="H13972" s="185"/>
    </row>
    <row r="13973">
      <c r="D13973" s="185"/>
      <c r="E13973" s="185" t="s">
        <v>470</v>
      </c>
      <c r="H13973" s="185"/>
    </row>
    <row r="13974">
      <c r="D13974" s="185"/>
      <c r="E13974" s="185" t="s">
        <v>470</v>
      </c>
      <c r="H13974" s="185"/>
    </row>
    <row r="13975">
      <c r="D13975" s="185"/>
      <c r="E13975" s="185" t="s">
        <v>470</v>
      </c>
      <c r="H13975" s="185"/>
    </row>
    <row r="13976">
      <c r="D13976" s="185"/>
      <c r="E13976" s="185" t="s">
        <v>470</v>
      </c>
      <c r="H13976" s="185"/>
    </row>
    <row r="13977">
      <c r="D13977" s="185"/>
      <c r="E13977" s="185" t="s">
        <v>470</v>
      </c>
      <c r="H13977" s="185"/>
    </row>
    <row r="13978">
      <c r="D13978" s="185"/>
      <c r="E13978" s="185" t="s">
        <v>470</v>
      </c>
      <c r="H13978" s="185"/>
    </row>
    <row r="13979">
      <c r="D13979" s="185"/>
      <c r="E13979" s="185" t="s">
        <v>470</v>
      </c>
      <c r="H13979" s="185"/>
    </row>
    <row r="13980">
      <c r="D13980" s="185"/>
      <c r="E13980" s="185" t="s">
        <v>470</v>
      </c>
      <c r="H13980" s="185"/>
    </row>
    <row r="13981">
      <c r="D13981" s="185"/>
      <c r="E13981" s="185" t="s">
        <v>470</v>
      </c>
      <c r="H13981" s="185"/>
    </row>
    <row r="13982">
      <c r="D13982" s="185"/>
      <c r="E13982" s="185" t="s">
        <v>470</v>
      </c>
      <c r="H13982" s="185"/>
    </row>
    <row r="13983">
      <c r="D13983" s="185"/>
      <c r="E13983" s="185" t="s">
        <v>470</v>
      </c>
      <c r="H13983" s="185"/>
    </row>
    <row r="13984">
      <c r="D13984" s="185"/>
      <c r="E13984" s="185" t="s">
        <v>470</v>
      </c>
      <c r="H13984" s="185"/>
    </row>
    <row r="13985">
      <c r="D13985" s="185"/>
      <c r="E13985" s="185" t="s">
        <v>470</v>
      </c>
      <c r="H13985" s="185"/>
    </row>
    <row r="13986">
      <c r="D13986" s="185"/>
      <c r="E13986" s="185" t="s">
        <v>470</v>
      </c>
      <c r="H13986" s="185"/>
    </row>
    <row r="13987">
      <c r="D13987" s="185"/>
      <c r="E13987" s="185" t="s">
        <v>470</v>
      </c>
      <c r="H13987" s="185"/>
    </row>
    <row r="13988">
      <c r="D13988" s="185"/>
      <c r="E13988" s="185" t="s">
        <v>470</v>
      </c>
      <c r="H13988" s="185"/>
    </row>
    <row r="13989">
      <c r="D13989" s="185"/>
      <c r="E13989" s="185" t="s">
        <v>470</v>
      </c>
      <c r="H13989" s="185"/>
    </row>
    <row r="13990">
      <c r="D13990" s="185"/>
      <c r="E13990" s="185" t="s">
        <v>470</v>
      </c>
      <c r="H13990" s="185"/>
    </row>
    <row r="13991">
      <c r="D13991" s="185"/>
      <c r="E13991" s="185" t="s">
        <v>470</v>
      </c>
      <c r="H13991" s="185"/>
    </row>
    <row r="13992">
      <c r="D13992" s="185"/>
      <c r="E13992" s="185" t="s">
        <v>470</v>
      </c>
      <c r="H13992" s="185"/>
    </row>
    <row r="13993">
      <c r="D13993" s="185"/>
      <c r="E13993" s="185" t="s">
        <v>470</v>
      </c>
      <c r="H13993" s="185"/>
    </row>
    <row r="13994">
      <c r="D13994" s="185"/>
      <c r="E13994" s="185" t="s">
        <v>470</v>
      </c>
      <c r="H13994" s="185"/>
    </row>
    <row r="13995">
      <c r="D13995" s="185"/>
      <c r="E13995" s="185" t="s">
        <v>470</v>
      </c>
      <c r="H13995" s="185"/>
    </row>
    <row r="13996">
      <c r="D13996" s="185"/>
      <c r="E13996" s="185" t="s">
        <v>470</v>
      </c>
      <c r="H13996" s="185"/>
    </row>
    <row r="13997">
      <c r="D13997" s="185"/>
      <c r="E13997" s="185" t="s">
        <v>470</v>
      </c>
      <c r="H13997" s="185"/>
    </row>
    <row r="13998">
      <c r="D13998" s="185"/>
      <c r="E13998" s="185" t="s">
        <v>470</v>
      </c>
      <c r="H13998" s="185"/>
    </row>
    <row r="13999">
      <c r="D13999" s="185"/>
      <c r="E13999" s="185" t="s">
        <v>470</v>
      </c>
      <c r="H13999" s="185"/>
    </row>
    <row r="14000">
      <c r="D14000" s="185"/>
      <c r="E14000" s="185" t="s">
        <v>470</v>
      </c>
      <c r="H14000" s="185"/>
    </row>
    <row r="14001">
      <c r="D14001" s="185"/>
      <c r="E14001" s="185" t="s">
        <v>470</v>
      </c>
      <c r="H14001" s="185"/>
    </row>
    <row r="14002">
      <c r="D14002" s="185"/>
      <c r="E14002" s="185" t="s">
        <v>470</v>
      </c>
      <c r="H14002" s="185"/>
    </row>
    <row r="14003">
      <c r="D14003" s="185"/>
      <c r="E14003" s="185" t="s">
        <v>470</v>
      </c>
      <c r="H14003" s="185"/>
    </row>
    <row r="14004">
      <c r="D14004" s="185"/>
      <c r="E14004" s="185" t="s">
        <v>470</v>
      </c>
      <c r="H14004" s="185"/>
    </row>
    <row r="14005">
      <c r="D14005" s="185"/>
      <c r="E14005" s="185" t="s">
        <v>470</v>
      </c>
      <c r="H14005" s="185"/>
    </row>
    <row r="14006">
      <c r="D14006" s="185"/>
      <c r="E14006" s="185" t="s">
        <v>470</v>
      </c>
      <c r="H14006" s="185"/>
    </row>
    <row r="14007">
      <c r="D14007" s="185"/>
      <c r="E14007" s="185" t="s">
        <v>470</v>
      </c>
      <c r="H14007" s="185"/>
    </row>
    <row r="14008">
      <c r="D14008" s="185"/>
      <c r="E14008" s="185" t="s">
        <v>470</v>
      </c>
      <c r="H14008" s="185"/>
    </row>
    <row r="14009">
      <c r="D14009" s="185"/>
      <c r="E14009" s="185" t="s">
        <v>470</v>
      </c>
      <c r="H14009" s="185"/>
    </row>
    <row r="14010">
      <c r="D14010" s="185"/>
      <c r="E14010" s="185" t="s">
        <v>470</v>
      </c>
      <c r="H14010" s="185"/>
    </row>
    <row r="14011">
      <c r="D14011" s="185"/>
      <c r="E14011" s="185" t="s">
        <v>470</v>
      </c>
      <c r="H14011" s="185"/>
    </row>
    <row r="14012">
      <c r="D14012" s="185"/>
      <c r="E14012" s="185" t="s">
        <v>470</v>
      </c>
      <c r="H14012" s="185"/>
    </row>
    <row r="14013">
      <c r="D14013" s="185"/>
      <c r="E14013" s="185" t="s">
        <v>470</v>
      </c>
      <c r="H14013" s="185"/>
    </row>
    <row r="14014">
      <c r="D14014" s="185"/>
      <c r="E14014" s="185" t="s">
        <v>470</v>
      </c>
      <c r="H14014" s="185"/>
    </row>
    <row r="14015">
      <c r="D14015" s="185"/>
      <c r="E14015" s="185" t="s">
        <v>470</v>
      </c>
      <c r="H14015" s="185"/>
    </row>
    <row r="14016">
      <c r="D14016" s="185"/>
      <c r="E14016" s="185" t="s">
        <v>470</v>
      </c>
      <c r="H14016" s="185"/>
    </row>
    <row r="14017">
      <c r="D14017" s="185"/>
      <c r="E14017" s="185" t="s">
        <v>470</v>
      </c>
      <c r="H14017" s="185"/>
    </row>
    <row r="14018">
      <c r="D14018" s="185"/>
      <c r="E14018" s="185" t="s">
        <v>470</v>
      </c>
      <c r="H14018" s="185"/>
    </row>
    <row r="14019">
      <c r="D14019" s="185"/>
      <c r="E14019" s="185" t="s">
        <v>470</v>
      </c>
      <c r="H14019" s="185"/>
    </row>
    <row r="14020">
      <c r="D14020" s="185"/>
      <c r="E14020" s="185" t="s">
        <v>470</v>
      </c>
      <c r="H14020" s="185"/>
    </row>
    <row r="14021">
      <c r="D14021" s="185"/>
      <c r="E14021" s="185" t="s">
        <v>470</v>
      </c>
      <c r="H14021" s="185"/>
    </row>
    <row r="14022">
      <c r="D14022" s="185"/>
      <c r="E14022" s="185" t="s">
        <v>470</v>
      </c>
      <c r="H14022" s="185"/>
    </row>
    <row r="14023">
      <c r="D14023" s="185"/>
      <c r="E14023" s="185" t="s">
        <v>470</v>
      </c>
      <c r="H14023" s="185"/>
    </row>
    <row r="14024">
      <c r="D14024" s="185"/>
      <c r="E14024" s="185" t="s">
        <v>470</v>
      </c>
      <c r="H14024" s="185"/>
    </row>
    <row r="14025">
      <c r="D14025" s="185"/>
      <c r="E14025" s="185" t="s">
        <v>470</v>
      </c>
      <c r="H14025" s="185"/>
    </row>
    <row r="14026">
      <c r="D14026" s="185"/>
      <c r="E14026" s="185" t="s">
        <v>470</v>
      </c>
      <c r="H14026" s="185"/>
    </row>
    <row r="14027">
      <c r="D14027" s="185"/>
      <c r="E14027" s="185" t="s">
        <v>470</v>
      </c>
      <c r="H14027" s="185"/>
    </row>
    <row r="14028">
      <c r="D14028" s="185"/>
      <c r="E14028" s="185" t="s">
        <v>470</v>
      </c>
      <c r="H14028" s="185"/>
    </row>
    <row r="14029">
      <c r="D14029" s="185"/>
      <c r="E14029" s="185" t="s">
        <v>470</v>
      </c>
      <c r="H14029" s="185"/>
    </row>
    <row r="14030">
      <c r="D14030" s="185"/>
      <c r="E14030" s="185" t="s">
        <v>470</v>
      </c>
      <c r="H14030" s="185"/>
    </row>
    <row r="14031">
      <c r="D14031" s="185"/>
      <c r="E14031" s="185" t="s">
        <v>470</v>
      </c>
      <c r="H14031" s="185"/>
    </row>
    <row r="14032">
      <c r="D14032" s="185"/>
      <c r="E14032" s="185" t="s">
        <v>470</v>
      </c>
      <c r="H14032" s="185"/>
    </row>
    <row r="14033">
      <c r="D14033" s="185"/>
      <c r="E14033" s="185" t="s">
        <v>470</v>
      </c>
      <c r="H14033" s="185"/>
    </row>
    <row r="14034">
      <c r="D14034" s="185"/>
      <c r="E14034" s="185" t="s">
        <v>470</v>
      </c>
      <c r="H14034" s="185"/>
    </row>
    <row r="14035">
      <c r="D14035" s="185"/>
      <c r="E14035" s="185" t="s">
        <v>470</v>
      </c>
      <c r="H14035" s="185"/>
    </row>
    <row r="14036">
      <c r="D14036" s="185"/>
      <c r="E14036" s="185" t="s">
        <v>470</v>
      </c>
      <c r="H14036" s="185"/>
    </row>
    <row r="14037">
      <c r="D14037" s="185"/>
      <c r="E14037" s="185" t="s">
        <v>470</v>
      </c>
      <c r="H14037" s="185"/>
    </row>
    <row r="14038">
      <c r="D14038" s="185"/>
      <c r="E14038" s="185" t="s">
        <v>470</v>
      </c>
      <c r="H14038" s="185"/>
    </row>
    <row r="14039">
      <c r="D14039" s="185"/>
      <c r="E14039" s="185" t="s">
        <v>470</v>
      </c>
      <c r="H14039" s="185"/>
    </row>
    <row r="14040">
      <c r="D14040" s="185"/>
      <c r="E14040" s="185" t="s">
        <v>470</v>
      </c>
      <c r="H14040" s="185"/>
    </row>
    <row r="14041">
      <c r="D14041" s="185"/>
      <c r="E14041" s="185" t="s">
        <v>470</v>
      </c>
      <c r="H14041" s="185"/>
    </row>
    <row r="14042">
      <c r="D14042" s="185"/>
      <c r="E14042" s="185" t="s">
        <v>470</v>
      </c>
      <c r="H14042" s="185"/>
    </row>
    <row r="14043">
      <c r="D14043" s="185"/>
      <c r="E14043" s="185" t="s">
        <v>470</v>
      </c>
      <c r="H14043" s="185"/>
    </row>
    <row r="14044">
      <c r="D14044" s="185"/>
      <c r="E14044" s="185" t="s">
        <v>470</v>
      </c>
      <c r="H14044" s="185"/>
    </row>
    <row r="14045">
      <c r="D14045" s="185"/>
      <c r="E14045" s="185" t="s">
        <v>470</v>
      </c>
      <c r="H14045" s="185"/>
    </row>
    <row r="14046">
      <c r="D14046" s="185"/>
      <c r="E14046" s="185" t="s">
        <v>470</v>
      </c>
      <c r="H14046" s="185"/>
    </row>
    <row r="14047">
      <c r="D14047" s="185"/>
      <c r="E14047" s="185" t="s">
        <v>470</v>
      </c>
      <c r="H14047" s="185"/>
    </row>
    <row r="14048">
      <c r="D14048" s="185"/>
      <c r="E14048" s="185" t="s">
        <v>470</v>
      </c>
      <c r="H14048" s="185"/>
    </row>
    <row r="14049">
      <c r="D14049" s="185"/>
      <c r="E14049" s="185" t="s">
        <v>470</v>
      </c>
      <c r="H14049" s="185"/>
    </row>
    <row r="14050">
      <c r="D14050" s="185"/>
      <c r="E14050" s="185" t="s">
        <v>470</v>
      </c>
      <c r="H14050" s="185"/>
    </row>
    <row r="14051">
      <c r="D14051" s="185"/>
      <c r="E14051" s="185" t="s">
        <v>470</v>
      </c>
      <c r="H14051" s="185"/>
    </row>
    <row r="14052">
      <c r="D14052" s="185"/>
      <c r="E14052" s="185" t="s">
        <v>470</v>
      </c>
      <c r="H14052" s="185"/>
    </row>
    <row r="14053">
      <c r="D14053" s="185"/>
      <c r="E14053" s="185" t="s">
        <v>470</v>
      </c>
      <c r="H14053" s="185"/>
    </row>
    <row r="14054">
      <c r="D14054" s="185"/>
      <c r="E14054" s="185" t="s">
        <v>470</v>
      </c>
      <c r="H14054" s="185"/>
    </row>
    <row r="14055">
      <c r="D14055" s="185"/>
      <c r="E14055" s="185" t="s">
        <v>470</v>
      </c>
      <c r="H14055" s="185"/>
    </row>
    <row r="14056">
      <c r="D14056" s="185"/>
      <c r="E14056" s="185" t="s">
        <v>470</v>
      </c>
      <c r="H14056" s="185"/>
    </row>
    <row r="14057">
      <c r="D14057" s="185"/>
      <c r="E14057" s="185" t="s">
        <v>470</v>
      </c>
      <c r="H14057" s="185"/>
    </row>
    <row r="14058">
      <c r="D14058" s="185"/>
      <c r="E14058" s="185" t="s">
        <v>470</v>
      </c>
      <c r="H14058" s="185"/>
    </row>
    <row r="14059">
      <c r="D14059" s="185"/>
      <c r="E14059" s="185" t="s">
        <v>470</v>
      </c>
      <c r="H14059" s="185"/>
    </row>
    <row r="14060">
      <c r="D14060" s="185"/>
      <c r="E14060" s="185" t="s">
        <v>470</v>
      </c>
      <c r="H14060" s="185"/>
    </row>
    <row r="14061">
      <c r="D14061" s="185"/>
      <c r="E14061" s="185" t="s">
        <v>470</v>
      </c>
      <c r="H14061" s="185"/>
    </row>
    <row r="14062">
      <c r="D14062" s="185"/>
      <c r="E14062" s="185" t="s">
        <v>470</v>
      </c>
      <c r="H14062" s="185"/>
    </row>
    <row r="14063">
      <c r="D14063" s="185"/>
      <c r="E14063" s="185" t="s">
        <v>470</v>
      </c>
      <c r="H14063" s="185"/>
    </row>
    <row r="14064">
      <c r="D14064" s="185"/>
      <c r="E14064" s="185" t="s">
        <v>470</v>
      </c>
      <c r="H14064" s="185"/>
    </row>
    <row r="14065">
      <c r="D14065" s="185"/>
      <c r="E14065" s="185" t="s">
        <v>470</v>
      </c>
      <c r="H14065" s="185"/>
    </row>
    <row r="14066">
      <c r="D14066" s="185"/>
      <c r="E14066" s="185" t="s">
        <v>470</v>
      </c>
      <c r="H14066" s="185"/>
    </row>
    <row r="14067">
      <c r="D14067" s="185"/>
      <c r="E14067" s="185" t="s">
        <v>470</v>
      </c>
      <c r="H14067" s="185"/>
    </row>
    <row r="14068">
      <c r="D14068" s="185"/>
      <c r="E14068" s="185" t="s">
        <v>470</v>
      </c>
      <c r="H14068" s="185"/>
    </row>
    <row r="14069">
      <c r="D14069" s="185"/>
      <c r="E14069" s="185" t="s">
        <v>470</v>
      </c>
      <c r="H14069" s="185"/>
    </row>
    <row r="14070">
      <c r="D14070" s="185"/>
      <c r="E14070" s="185" t="s">
        <v>470</v>
      </c>
      <c r="H14070" s="185"/>
    </row>
    <row r="14071">
      <c r="D14071" s="185"/>
      <c r="E14071" s="185" t="s">
        <v>470</v>
      </c>
      <c r="H14071" s="185"/>
    </row>
    <row r="14072">
      <c r="D14072" s="185"/>
      <c r="E14072" s="185" t="s">
        <v>470</v>
      </c>
      <c r="H14072" s="185"/>
    </row>
    <row r="14073">
      <c r="D14073" s="185"/>
      <c r="E14073" s="185" t="s">
        <v>470</v>
      </c>
      <c r="H14073" s="185"/>
    </row>
    <row r="14074">
      <c r="D14074" s="185"/>
      <c r="E14074" s="185" t="s">
        <v>470</v>
      </c>
      <c r="H14074" s="185"/>
    </row>
    <row r="14075">
      <c r="D14075" s="185"/>
      <c r="E14075" s="185" t="s">
        <v>470</v>
      </c>
      <c r="H14075" s="185"/>
    </row>
    <row r="14076">
      <c r="D14076" s="185"/>
      <c r="E14076" s="185" t="s">
        <v>470</v>
      </c>
      <c r="H14076" s="185"/>
    </row>
    <row r="14077">
      <c r="D14077" s="185"/>
      <c r="E14077" s="185" t="s">
        <v>470</v>
      </c>
      <c r="H14077" s="185"/>
    </row>
    <row r="14078">
      <c r="D14078" s="185"/>
      <c r="E14078" s="185" t="s">
        <v>470</v>
      </c>
      <c r="H14078" s="185"/>
    </row>
    <row r="14079">
      <c r="D14079" s="185"/>
      <c r="E14079" s="185" t="s">
        <v>470</v>
      </c>
      <c r="H14079" s="185"/>
    </row>
    <row r="14080">
      <c r="D14080" s="185"/>
      <c r="E14080" s="185" t="s">
        <v>470</v>
      </c>
      <c r="H14080" s="185"/>
    </row>
    <row r="14081">
      <c r="D14081" s="185"/>
      <c r="E14081" s="185" t="s">
        <v>470</v>
      </c>
      <c r="H14081" s="185"/>
    </row>
    <row r="14082">
      <c r="D14082" s="185"/>
      <c r="E14082" s="185" t="s">
        <v>470</v>
      </c>
      <c r="H14082" s="185"/>
    </row>
    <row r="14083">
      <c r="D14083" s="185"/>
      <c r="E14083" s="185" t="s">
        <v>470</v>
      </c>
      <c r="H14083" s="185"/>
    </row>
    <row r="14084">
      <c r="D14084" s="185"/>
      <c r="E14084" s="185" t="s">
        <v>470</v>
      </c>
      <c r="H14084" s="185"/>
    </row>
    <row r="14085">
      <c r="D14085" s="185"/>
      <c r="E14085" s="185" t="s">
        <v>470</v>
      </c>
      <c r="H14085" s="185"/>
    </row>
    <row r="14086">
      <c r="D14086" s="185"/>
      <c r="E14086" s="185" t="s">
        <v>470</v>
      </c>
      <c r="H14086" s="185"/>
    </row>
    <row r="14087">
      <c r="D14087" s="185"/>
      <c r="E14087" s="185" t="s">
        <v>470</v>
      </c>
      <c r="H14087" s="185"/>
    </row>
    <row r="14088">
      <c r="D14088" s="185"/>
      <c r="E14088" s="185" t="s">
        <v>470</v>
      </c>
      <c r="H14088" s="185"/>
    </row>
    <row r="14089">
      <c r="D14089" s="185"/>
      <c r="E14089" s="185" t="s">
        <v>470</v>
      </c>
      <c r="H14089" s="185"/>
    </row>
    <row r="14090">
      <c r="D14090" s="185"/>
      <c r="E14090" s="185" t="s">
        <v>470</v>
      </c>
      <c r="H14090" s="185"/>
    </row>
    <row r="14091">
      <c r="D14091" s="185"/>
      <c r="E14091" s="185" t="s">
        <v>470</v>
      </c>
      <c r="H14091" s="185"/>
    </row>
    <row r="14092">
      <c r="D14092" s="185"/>
      <c r="E14092" s="185" t="s">
        <v>470</v>
      </c>
      <c r="H14092" s="185"/>
    </row>
    <row r="14093">
      <c r="D14093" s="185"/>
      <c r="E14093" s="185" t="s">
        <v>470</v>
      </c>
      <c r="H14093" s="185"/>
    </row>
    <row r="14094">
      <c r="D14094" s="185"/>
      <c r="E14094" s="185" t="s">
        <v>470</v>
      </c>
      <c r="H14094" s="185"/>
    </row>
    <row r="14095">
      <c r="D14095" s="185"/>
      <c r="E14095" s="185" t="s">
        <v>470</v>
      </c>
      <c r="H14095" s="185"/>
    </row>
    <row r="14096">
      <c r="D14096" s="185"/>
      <c r="E14096" s="185" t="s">
        <v>470</v>
      </c>
      <c r="H14096" s="185"/>
    </row>
    <row r="14097">
      <c r="D14097" s="185"/>
      <c r="E14097" s="185" t="s">
        <v>470</v>
      </c>
      <c r="H14097" s="185"/>
    </row>
    <row r="14098">
      <c r="D14098" s="185"/>
      <c r="E14098" s="185" t="s">
        <v>470</v>
      </c>
      <c r="H14098" s="185"/>
    </row>
    <row r="14099">
      <c r="D14099" s="185"/>
      <c r="E14099" s="185" t="s">
        <v>470</v>
      </c>
      <c r="H14099" s="185"/>
    </row>
    <row r="14100">
      <c r="D14100" s="185"/>
      <c r="E14100" s="185" t="s">
        <v>470</v>
      </c>
      <c r="H14100" s="185"/>
    </row>
    <row r="14101">
      <c r="D14101" s="185"/>
      <c r="E14101" s="185" t="s">
        <v>470</v>
      </c>
      <c r="H14101" s="185"/>
    </row>
    <row r="14102">
      <c r="D14102" s="185"/>
      <c r="E14102" s="185" t="s">
        <v>470</v>
      </c>
      <c r="H14102" s="185"/>
    </row>
    <row r="14103">
      <c r="D14103" s="185"/>
      <c r="E14103" s="185" t="s">
        <v>470</v>
      </c>
      <c r="H14103" s="185"/>
    </row>
    <row r="14104">
      <c r="D14104" s="185"/>
      <c r="E14104" s="185" t="s">
        <v>470</v>
      </c>
      <c r="H14104" s="185"/>
    </row>
    <row r="14105">
      <c r="D14105" s="185"/>
      <c r="E14105" s="185" t="s">
        <v>470</v>
      </c>
      <c r="H14105" s="185"/>
    </row>
    <row r="14106">
      <c r="D14106" s="185"/>
      <c r="E14106" s="185" t="s">
        <v>470</v>
      </c>
      <c r="H14106" s="185"/>
    </row>
    <row r="14107">
      <c r="D14107" s="185"/>
      <c r="E14107" s="185" t="s">
        <v>470</v>
      </c>
      <c r="H14107" s="185"/>
    </row>
    <row r="14108">
      <c r="D14108" s="185"/>
      <c r="E14108" s="185" t="s">
        <v>470</v>
      </c>
      <c r="H14108" s="185"/>
    </row>
    <row r="14109">
      <c r="D14109" s="185"/>
      <c r="E14109" s="185" t="s">
        <v>470</v>
      </c>
      <c r="H14109" s="185"/>
    </row>
    <row r="14110">
      <c r="D14110" s="185"/>
      <c r="E14110" s="185" t="s">
        <v>470</v>
      </c>
      <c r="H14110" s="185"/>
    </row>
    <row r="14111">
      <c r="D14111" s="185"/>
      <c r="E14111" s="185" t="s">
        <v>470</v>
      </c>
      <c r="H14111" s="185"/>
    </row>
    <row r="14112">
      <c r="D14112" s="185"/>
      <c r="E14112" s="185" t="s">
        <v>470</v>
      </c>
      <c r="H14112" s="185"/>
    </row>
    <row r="14113">
      <c r="D14113" s="185"/>
      <c r="E14113" s="185" t="s">
        <v>470</v>
      </c>
      <c r="H14113" s="185"/>
    </row>
    <row r="14114">
      <c r="D14114" s="185"/>
      <c r="E14114" s="185" t="s">
        <v>470</v>
      </c>
      <c r="H14114" s="185"/>
    </row>
    <row r="14115">
      <c r="D14115" s="185"/>
      <c r="E14115" s="185" t="s">
        <v>470</v>
      </c>
      <c r="H14115" s="185"/>
    </row>
    <row r="14116">
      <c r="D14116" s="185"/>
      <c r="E14116" s="185" t="s">
        <v>470</v>
      </c>
      <c r="H14116" s="185"/>
    </row>
    <row r="14117">
      <c r="D14117" s="185"/>
      <c r="E14117" s="185" t="s">
        <v>470</v>
      </c>
      <c r="H14117" s="185"/>
    </row>
    <row r="14118">
      <c r="D14118" s="185"/>
      <c r="E14118" s="185" t="s">
        <v>470</v>
      </c>
      <c r="H14118" s="185"/>
    </row>
    <row r="14119">
      <c r="D14119" s="185"/>
      <c r="E14119" s="185" t="s">
        <v>470</v>
      </c>
      <c r="H14119" s="185"/>
    </row>
    <row r="14120">
      <c r="D14120" s="185"/>
      <c r="E14120" s="185" t="s">
        <v>470</v>
      </c>
      <c r="H14120" s="185"/>
    </row>
    <row r="14121">
      <c r="D14121" s="185"/>
      <c r="E14121" s="185" t="s">
        <v>470</v>
      </c>
      <c r="H14121" s="185"/>
    </row>
    <row r="14122">
      <c r="D14122" s="185"/>
      <c r="E14122" s="185" t="s">
        <v>470</v>
      </c>
      <c r="H14122" s="185"/>
    </row>
    <row r="14123">
      <c r="D14123" s="185"/>
      <c r="E14123" s="185" t="s">
        <v>470</v>
      </c>
      <c r="H14123" s="185"/>
    </row>
    <row r="14124">
      <c r="D14124" s="185"/>
      <c r="E14124" s="185" t="s">
        <v>470</v>
      </c>
      <c r="H14124" s="185"/>
    </row>
    <row r="14125">
      <c r="D14125" s="185"/>
      <c r="E14125" s="185" t="s">
        <v>470</v>
      </c>
      <c r="H14125" s="185"/>
    </row>
    <row r="14126">
      <c r="D14126" s="185"/>
      <c r="E14126" s="185" t="s">
        <v>470</v>
      </c>
      <c r="H14126" s="185"/>
    </row>
    <row r="14127">
      <c r="D14127" s="185"/>
      <c r="E14127" s="185" t="s">
        <v>470</v>
      </c>
      <c r="H14127" s="185"/>
    </row>
    <row r="14128">
      <c r="D14128" s="185"/>
      <c r="E14128" s="185" t="s">
        <v>470</v>
      </c>
      <c r="H14128" s="185"/>
    </row>
    <row r="14129">
      <c r="D14129" s="185"/>
      <c r="E14129" s="185" t="s">
        <v>470</v>
      </c>
      <c r="H14129" s="185"/>
    </row>
    <row r="14130">
      <c r="D14130" s="185"/>
      <c r="E14130" s="185" t="s">
        <v>470</v>
      </c>
      <c r="H14130" s="185"/>
    </row>
    <row r="14131">
      <c r="D14131" s="185"/>
      <c r="E14131" s="185" t="s">
        <v>470</v>
      </c>
      <c r="H14131" s="185"/>
    </row>
    <row r="14132">
      <c r="D14132" s="185"/>
      <c r="E14132" s="185" t="s">
        <v>470</v>
      </c>
      <c r="H14132" s="185"/>
    </row>
    <row r="14133">
      <c r="D14133" s="185"/>
      <c r="E14133" s="185" t="s">
        <v>470</v>
      </c>
      <c r="H14133" s="185"/>
    </row>
    <row r="14134">
      <c r="D14134" s="185"/>
      <c r="E14134" s="185" t="s">
        <v>470</v>
      </c>
      <c r="H14134" s="185"/>
    </row>
    <row r="14135">
      <c r="D14135" s="185"/>
      <c r="E14135" s="185" t="s">
        <v>470</v>
      </c>
      <c r="H14135" s="185"/>
    </row>
    <row r="14136">
      <c r="D14136" s="185"/>
      <c r="E14136" s="185" t="s">
        <v>470</v>
      </c>
      <c r="H14136" s="185"/>
    </row>
    <row r="14137">
      <c r="D14137" s="185"/>
      <c r="E14137" s="185" t="s">
        <v>470</v>
      </c>
      <c r="H14137" s="185"/>
    </row>
    <row r="14138">
      <c r="D14138" s="185"/>
      <c r="E14138" s="185" t="s">
        <v>470</v>
      </c>
      <c r="H14138" s="185"/>
    </row>
    <row r="14139">
      <c r="D14139" s="185"/>
      <c r="E14139" s="185" t="s">
        <v>470</v>
      </c>
      <c r="H14139" s="185"/>
    </row>
    <row r="14140">
      <c r="D14140" s="185"/>
      <c r="E14140" s="185" t="s">
        <v>470</v>
      </c>
      <c r="H14140" s="185"/>
    </row>
    <row r="14141">
      <c r="D14141" s="185"/>
      <c r="E14141" s="185" t="s">
        <v>470</v>
      </c>
      <c r="H14141" s="185"/>
    </row>
    <row r="14142">
      <c r="D14142" s="185"/>
      <c r="E14142" s="185" t="s">
        <v>470</v>
      </c>
      <c r="H14142" s="185"/>
    </row>
    <row r="14143">
      <c r="D14143" s="185"/>
      <c r="E14143" s="185" t="s">
        <v>470</v>
      </c>
      <c r="H14143" s="185"/>
    </row>
    <row r="14144">
      <c r="D14144" s="185"/>
      <c r="E14144" s="185" t="s">
        <v>470</v>
      </c>
      <c r="H14144" s="185"/>
    </row>
    <row r="14145">
      <c r="D14145" s="185"/>
      <c r="E14145" s="185" t="s">
        <v>470</v>
      </c>
      <c r="H14145" s="185"/>
    </row>
    <row r="14146">
      <c r="D14146" s="185"/>
      <c r="E14146" s="185" t="s">
        <v>470</v>
      </c>
      <c r="H14146" s="185"/>
    </row>
    <row r="14147">
      <c r="D14147" s="185"/>
      <c r="E14147" s="185" t="s">
        <v>470</v>
      </c>
      <c r="H14147" s="185"/>
    </row>
    <row r="14148">
      <c r="D14148" s="185"/>
      <c r="E14148" s="185" t="s">
        <v>470</v>
      </c>
      <c r="H14148" s="185"/>
    </row>
    <row r="14149">
      <c r="D14149" s="185"/>
      <c r="E14149" s="185" t="s">
        <v>470</v>
      </c>
      <c r="H14149" s="185"/>
    </row>
    <row r="14150">
      <c r="D14150" s="185"/>
      <c r="E14150" s="185" t="s">
        <v>470</v>
      </c>
      <c r="H14150" s="185"/>
    </row>
    <row r="14151">
      <c r="D14151" s="185"/>
      <c r="E14151" s="185" t="s">
        <v>470</v>
      </c>
      <c r="H14151" s="185"/>
    </row>
    <row r="14152">
      <c r="D14152" s="185"/>
      <c r="E14152" s="185" t="s">
        <v>470</v>
      </c>
      <c r="H14152" s="185"/>
    </row>
    <row r="14153">
      <c r="D14153" s="185"/>
      <c r="E14153" s="185" t="s">
        <v>470</v>
      </c>
      <c r="H14153" s="185"/>
    </row>
    <row r="14154">
      <c r="D14154" s="185"/>
      <c r="E14154" s="185" t="s">
        <v>470</v>
      </c>
      <c r="H14154" s="185"/>
    </row>
    <row r="14155">
      <c r="D14155" s="185"/>
      <c r="E14155" s="185" t="s">
        <v>470</v>
      </c>
      <c r="H14155" s="185"/>
    </row>
    <row r="14156">
      <c r="D14156" s="185"/>
      <c r="E14156" s="185" t="s">
        <v>470</v>
      </c>
      <c r="H14156" s="185"/>
    </row>
    <row r="14157">
      <c r="D14157" s="185"/>
      <c r="E14157" s="185" t="s">
        <v>470</v>
      </c>
      <c r="H14157" s="185"/>
    </row>
    <row r="14158">
      <c r="D14158" s="185"/>
      <c r="E14158" s="185" t="s">
        <v>470</v>
      </c>
      <c r="H14158" s="185"/>
    </row>
    <row r="14159">
      <c r="D14159" s="185"/>
      <c r="E14159" s="185" t="s">
        <v>470</v>
      </c>
      <c r="H14159" s="185"/>
    </row>
    <row r="14160">
      <c r="D14160" s="185"/>
      <c r="E14160" s="185" t="s">
        <v>470</v>
      </c>
      <c r="H14160" s="185"/>
    </row>
    <row r="14161">
      <c r="D14161" s="185"/>
      <c r="E14161" s="185" t="s">
        <v>470</v>
      </c>
      <c r="H14161" s="185"/>
    </row>
    <row r="14162">
      <c r="D14162" s="185"/>
      <c r="E14162" s="185" t="s">
        <v>470</v>
      </c>
      <c r="H14162" s="185"/>
    </row>
    <row r="14163">
      <c r="D14163" s="185"/>
      <c r="E14163" s="185" t="s">
        <v>470</v>
      </c>
      <c r="H14163" s="185"/>
    </row>
    <row r="14164">
      <c r="D14164" s="185"/>
      <c r="E14164" s="185" t="s">
        <v>470</v>
      </c>
      <c r="H14164" s="185"/>
    </row>
    <row r="14165">
      <c r="D14165" s="185"/>
      <c r="E14165" s="185" t="s">
        <v>470</v>
      </c>
      <c r="H14165" s="185"/>
    </row>
    <row r="14166">
      <c r="D14166" s="185"/>
      <c r="E14166" s="185" t="s">
        <v>470</v>
      </c>
      <c r="H14166" s="185"/>
    </row>
    <row r="14167">
      <c r="D14167" s="185"/>
      <c r="E14167" s="185" t="s">
        <v>470</v>
      </c>
      <c r="H14167" s="185"/>
    </row>
    <row r="14168">
      <c r="D14168" s="185"/>
      <c r="E14168" s="185" t="s">
        <v>470</v>
      </c>
      <c r="H14168" s="185"/>
    </row>
    <row r="14169">
      <c r="D14169" s="185"/>
      <c r="E14169" s="185" t="s">
        <v>470</v>
      </c>
      <c r="H14169" s="185"/>
    </row>
    <row r="14170">
      <c r="D14170" s="185"/>
      <c r="E14170" s="185" t="s">
        <v>470</v>
      </c>
      <c r="H14170" s="185"/>
    </row>
    <row r="14171">
      <c r="D14171" s="185"/>
      <c r="E14171" s="185" t="s">
        <v>470</v>
      </c>
      <c r="H14171" s="185"/>
    </row>
    <row r="14172">
      <c r="D14172" s="185"/>
      <c r="E14172" s="185" t="s">
        <v>470</v>
      </c>
      <c r="H14172" s="185"/>
    </row>
    <row r="14173">
      <c r="D14173" s="185"/>
      <c r="E14173" s="185" t="s">
        <v>470</v>
      </c>
      <c r="H14173" s="185"/>
    </row>
    <row r="14174">
      <c r="D14174" s="185"/>
      <c r="E14174" s="185" t="s">
        <v>470</v>
      </c>
      <c r="H14174" s="185"/>
    </row>
    <row r="14175">
      <c r="D14175" s="185"/>
      <c r="E14175" s="185" t="s">
        <v>470</v>
      </c>
      <c r="H14175" s="185"/>
    </row>
    <row r="14176">
      <c r="D14176" s="185"/>
      <c r="E14176" s="185" t="s">
        <v>470</v>
      </c>
      <c r="H14176" s="185"/>
    </row>
    <row r="14177">
      <c r="D14177" s="185"/>
      <c r="E14177" s="185" t="s">
        <v>470</v>
      </c>
      <c r="H14177" s="185"/>
    </row>
    <row r="14178">
      <c r="D14178" s="185"/>
      <c r="E14178" s="185" t="s">
        <v>470</v>
      </c>
      <c r="H14178" s="185"/>
    </row>
    <row r="14179">
      <c r="D14179" s="185"/>
      <c r="E14179" s="185" t="s">
        <v>470</v>
      </c>
      <c r="H14179" s="185"/>
    </row>
    <row r="14180">
      <c r="D14180" s="185"/>
      <c r="E14180" s="185" t="s">
        <v>470</v>
      </c>
      <c r="H14180" s="185"/>
    </row>
    <row r="14181">
      <c r="D14181" s="185"/>
      <c r="E14181" s="185" t="s">
        <v>470</v>
      </c>
      <c r="H14181" s="185"/>
    </row>
    <row r="14182">
      <c r="D14182" s="185"/>
      <c r="E14182" s="185" t="s">
        <v>470</v>
      </c>
      <c r="H14182" s="185"/>
    </row>
    <row r="14183">
      <c r="D14183" s="185"/>
      <c r="E14183" s="185" t="s">
        <v>470</v>
      </c>
      <c r="H14183" s="185"/>
    </row>
    <row r="14184">
      <c r="D14184" s="185"/>
      <c r="E14184" s="185" t="s">
        <v>470</v>
      </c>
      <c r="H14184" s="185"/>
    </row>
    <row r="14185">
      <c r="D14185" s="185"/>
      <c r="E14185" s="185" t="s">
        <v>470</v>
      </c>
      <c r="H14185" s="185"/>
    </row>
    <row r="14186">
      <c r="D14186" s="185"/>
      <c r="E14186" s="185" t="s">
        <v>470</v>
      </c>
      <c r="H14186" s="185"/>
    </row>
    <row r="14187">
      <c r="D14187" s="185"/>
      <c r="E14187" s="185" t="s">
        <v>470</v>
      </c>
      <c r="H14187" s="185"/>
    </row>
    <row r="14188">
      <c r="D14188" s="185"/>
      <c r="E14188" s="185" t="s">
        <v>470</v>
      </c>
      <c r="H14188" s="185"/>
    </row>
    <row r="14189">
      <c r="D14189" s="185"/>
      <c r="E14189" s="185" t="s">
        <v>470</v>
      </c>
      <c r="H14189" s="185"/>
    </row>
    <row r="14190">
      <c r="D14190" s="185"/>
      <c r="E14190" s="185" t="s">
        <v>470</v>
      </c>
      <c r="H14190" s="185"/>
    </row>
    <row r="14191">
      <c r="D14191" s="185"/>
      <c r="E14191" s="185" t="s">
        <v>470</v>
      </c>
      <c r="H14191" s="185"/>
    </row>
    <row r="14192">
      <c r="D14192" s="185"/>
      <c r="E14192" s="185" t="s">
        <v>470</v>
      </c>
      <c r="H14192" s="185"/>
    </row>
    <row r="14193">
      <c r="D14193" s="185"/>
      <c r="E14193" s="185" t="s">
        <v>470</v>
      </c>
      <c r="H14193" s="185"/>
    </row>
    <row r="14194">
      <c r="D14194" s="185"/>
      <c r="E14194" s="185" t="s">
        <v>470</v>
      </c>
      <c r="H14194" s="185"/>
    </row>
    <row r="14195">
      <c r="D14195" s="185"/>
      <c r="E14195" s="185" t="s">
        <v>470</v>
      </c>
      <c r="H14195" s="185"/>
    </row>
    <row r="14196">
      <c r="D14196" s="185"/>
      <c r="E14196" s="185" t="s">
        <v>470</v>
      </c>
      <c r="H14196" s="185"/>
    </row>
    <row r="14197">
      <c r="D14197" s="185"/>
      <c r="E14197" s="185" t="s">
        <v>470</v>
      </c>
      <c r="H14197" s="185"/>
    </row>
    <row r="14198">
      <c r="D14198" s="185"/>
      <c r="E14198" s="185" t="s">
        <v>470</v>
      </c>
      <c r="H14198" s="185"/>
    </row>
    <row r="14199">
      <c r="D14199" s="185"/>
      <c r="E14199" s="185" t="s">
        <v>470</v>
      </c>
      <c r="H14199" s="185"/>
    </row>
    <row r="14200">
      <c r="D14200" s="185"/>
      <c r="E14200" s="185" t="s">
        <v>470</v>
      </c>
      <c r="H14200" s="185"/>
    </row>
    <row r="14201">
      <c r="D14201" s="185"/>
      <c r="E14201" s="185" t="s">
        <v>470</v>
      </c>
      <c r="H14201" s="185"/>
    </row>
    <row r="14202">
      <c r="D14202" s="185"/>
      <c r="E14202" s="185" t="s">
        <v>470</v>
      </c>
      <c r="H14202" s="185"/>
    </row>
    <row r="14203">
      <c r="D14203" s="185"/>
      <c r="E14203" s="185" t="s">
        <v>470</v>
      </c>
      <c r="H14203" s="185"/>
    </row>
    <row r="14204">
      <c r="D14204" s="185"/>
      <c r="E14204" s="185" t="s">
        <v>470</v>
      </c>
      <c r="H14204" s="185"/>
    </row>
    <row r="14205">
      <c r="D14205" s="185"/>
      <c r="E14205" s="185" t="s">
        <v>470</v>
      </c>
      <c r="H14205" s="185"/>
    </row>
    <row r="14206">
      <c r="D14206" s="185"/>
      <c r="E14206" s="185" t="s">
        <v>470</v>
      </c>
      <c r="H14206" s="185"/>
    </row>
    <row r="14207">
      <c r="D14207" s="185"/>
      <c r="E14207" s="185" t="s">
        <v>470</v>
      </c>
      <c r="H14207" s="185"/>
    </row>
    <row r="14208">
      <c r="D14208" s="185"/>
      <c r="E14208" s="185" t="s">
        <v>470</v>
      </c>
      <c r="H14208" s="185"/>
    </row>
    <row r="14209">
      <c r="D14209" s="185"/>
      <c r="E14209" s="185" t="s">
        <v>470</v>
      </c>
      <c r="H14209" s="185"/>
    </row>
    <row r="14210">
      <c r="D14210" s="185"/>
      <c r="E14210" s="185" t="s">
        <v>470</v>
      </c>
      <c r="H14210" s="185"/>
    </row>
    <row r="14211">
      <c r="D14211" s="185"/>
      <c r="E14211" s="185" t="s">
        <v>470</v>
      </c>
      <c r="H14211" s="185"/>
    </row>
    <row r="14212">
      <c r="D14212" s="185"/>
      <c r="E14212" s="185" t="s">
        <v>470</v>
      </c>
      <c r="H14212" s="185"/>
    </row>
    <row r="14213">
      <c r="D14213" s="185"/>
      <c r="E14213" s="185" t="s">
        <v>470</v>
      </c>
      <c r="H14213" s="185"/>
    </row>
    <row r="14214">
      <c r="D14214" s="185"/>
      <c r="E14214" s="185" t="s">
        <v>470</v>
      </c>
      <c r="H14214" s="185"/>
    </row>
    <row r="14215">
      <c r="D14215" s="185"/>
      <c r="E14215" s="185" t="s">
        <v>470</v>
      </c>
      <c r="H14215" s="185"/>
    </row>
    <row r="14216">
      <c r="D14216" s="185"/>
      <c r="E14216" s="185" t="s">
        <v>470</v>
      </c>
      <c r="H14216" s="185"/>
    </row>
    <row r="14217">
      <c r="D14217" s="185"/>
      <c r="E14217" s="185" t="s">
        <v>470</v>
      </c>
      <c r="H14217" s="185"/>
    </row>
    <row r="14218">
      <c r="D14218" s="185"/>
      <c r="E14218" s="185" t="s">
        <v>470</v>
      </c>
      <c r="H14218" s="185"/>
    </row>
    <row r="14219">
      <c r="D14219" s="185"/>
      <c r="E14219" s="185" t="s">
        <v>470</v>
      </c>
      <c r="H14219" s="185"/>
    </row>
    <row r="14220">
      <c r="D14220" s="185"/>
      <c r="E14220" s="185" t="s">
        <v>470</v>
      </c>
      <c r="H14220" s="185"/>
    </row>
    <row r="14221">
      <c r="D14221" s="185"/>
      <c r="E14221" s="185" t="s">
        <v>470</v>
      </c>
      <c r="H14221" s="185"/>
    </row>
    <row r="14222">
      <c r="D14222" s="185"/>
      <c r="E14222" s="185" t="s">
        <v>470</v>
      </c>
      <c r="H14222" s="185"/>
    </row>
    <row r="14223">
      <c r="D14223" s="185"/>
      <c r="E14223" s="185" t="s">
        <v>470</v>
      </c>
      <c r="H14223" s="185"/>
    </row>
    <row r="14224">
      <c r="D14224" s="185"/>
      <c r="E14224" s="185" t="s">
        <v>470</v>
      </c>
      <c r="H14224" s="185"/>
    </row>
    <row r="14225">
      <c r="D14225" s="185"/>
      <c r="E14225" s="185" t="s">
        <v>470</v>
      </c>
      <c r="H14225" s="185"/>
    </row>
    <row r="14226">
      <c r="D14226" s="185"/>
      <c r="E14226" s="185" t="s">
        <v>470</v>
      </c>
      <c r="H14226" s="185"/>
    </row>
    <row r="14227">
      <c r="D14227" s="185"/>
      <c r="E14227" s="185" t="s">
        <v>470</v>
      </c>
      <c r="H14227" s="185"/>
    </row>
    <row r="14228">
      <c r="D14228" s="185"/>
      <c r="E14228" s="185" t="s">
        <v>470</v>
      </c>
      <c r="H14228" s="185"/>
    </row>
    <row r="14229">
      <c r="D14229" s="185"/>
      <c r="E14229" s="185" t="s">
        <v>470</v>
      </c>
      <c r="H14229" s="185"/>
    </row>
    <row r="14230">
      <c r="D14230" s="185"/>
      <c r="E14230" s="185" t="s">
        <v>470</v>
      </c>
      <c r="H14230" s="185"/>
    </row>
    <row r="14231">
      <c r="D14231" s="185"/>
      <c r="E14231" s="185" t="s">
        <v>470</v>
      </c>
      <c r="H14231" s="185"/>
    </row>
    <row r="14232">
      <c r="D14232" s="185"/>
      <c r="E14232" s="185" t="s">
        <v>470</v>
      </c>
      <c r="H14232" s="185"/>
    </row>
    <row r="14233">
      <c r="D14233" s="185"/>
      <c r="E14233" s="185" t="s">
        <v>470</v>
      </c>
      <c r="H14233" s="185"/>
    </row>
    <row r="14234">
      <c r="D14234" s="185"/>
      <c r="E14234" s="185" t="s">
        <v>470</v>
      </c>
      <c r="H14234" s="185"/>
    </row>
    <row r="14235">
      <c r="D14235" s="185"/>
      <c r="E14235" s="185" t="s">
        <v>470</v>
      </c>
      <c r="H14235" s="185"/>
    </row>
    <row r="14236">
      <c r="D14236" s="185"/>
      <c r="E14236" s="185" t="s">
        <v>470</v>
      </c>
      <c r="H14236" s="185"/>
    </row>
    <row r="14237">
      <c r="D14237" s="185"/>
      <c r="E14237" s="185" t="s">
        <v>470</v>
      </c>
      <c r="H14237" s="185"/>
    </row>
    <row r="14238">
      <c r="D14238" s="185"/>
      <c r="E14238" s="185" t="s">
        <v>470</v>
      </c>
      <c r="H14238" s="185"/>
    </row>
    <row r="14239">
      <c r="D14239" s="185"/>
      <c r="E14239" s="185" t="s">
        <v>470</v>
      </c>
      <c r="H14239" s="185"/>
    </row>
    <row r="14240">
      <c r="D14240" s="185"/>
      <c r="E14240" s="185" t="s">
        <v>470</v>
      </c>
      <c r="H14240" s="185"/>
    </row>
    <row r="14241">
      <c r="D14241" s="185"/>
      <c r="E14241" s="185" t="s">
        <v>470</v>
      </c>
      <c r="H14241" s="185"/>
    </row>
    <row r="14242">
      <c r="D14242" s="185"/>
      <c r="E14242" s="185" t="s">
        <v>470</v>
      </c>
      <c r="H14242" s="185"/>
    </row>
    <row r="14243">
      <c r="D14243" s="185"/>
      <c r="E14243" s="185" t="s">
        <v>470</v>
      </c>
      <c r="H14243" s="185"/>
    </row>
    <row r="14244">
      <c r="D14244" s="185"/>
      <c r="E14244" s="185" t="s">
        <v>470</v>
      </c>
      <c r="H14244" s="185"/>
    </row>
    <row r="14245">
      <c r="D14245" s="185"/>
      <c r="E14245" s="185" t="s">
        <v>470</v>
      </c>
      <c r="H14245" s="185"/>
    </row>
    <row r="14246">
      <c r="D14246" s="185"/>
      <c r="E14246" s="185" t="s">
        <v>470</v>
      </c>
      <c r="H14246" s="185"/>
    </row>
    <row r="14247">
      <c r="D14247" s="185"/>
      <c r="E14247" s="185" t="s">
        <v>470</v>
      </c>
      <c r="H14247" s="185"/>
    </row>
    <row r="14248">
      <c r="D14248" s="185"/>
      <c r="E14248" s="185" t="s">
        <v>470</v>
      </c>
      <c r="H14248" s="185"/>
    </row>
    <row r="14249">
      <c r="D14249" s="185"/>
      <c r="E14249" s="185" t="s">
        <v>470</v>
      </c>
      <c r="H14249" s="185"/>
    </row>
    <row r="14250">
      <c r="D14250" s="185"/>
      <c r="E14250" s="185" t="s">
        <v>470</v>
      </c>
      <c r="H14250" s="185"/>
    </row>
    <row r="14251">
      <c r="D14251" s="185"/>
      <c r="E14251" s="185" t="s">
        <v>470</v>
      </c>
      <c r="H14251" s="185"/>
    </row>
    <row r="14252">
      <c r="D14252" s="185"/>
      <c r="E14252" s="185" t="s">
        <v>470</v>
      </c>
      <c r="H14252" s="185"/>
    </row>
    <row r="14253">
      <c r="D14253" s="185"/>
      <c r="E14253" s="185" t="s">
        <v>470</v>
      </c>
      <c r="H14253" s="185"/>
    </row>
    <row r="14254">
      <c r="D14254" s="185"/>
      <c r="E14254" s="185" t="s">
        <v>470</v>
      </c>
      <c r="H14254" s="185"/>
    </row>
    <row r="14255">
      <c r="D14255" s="185"/>
      <c r="E14255" s="185" t="s">
        <v>470</v>
      </c>
      <c r="H14255" s="185"/>
    </row>
    <row r="14256">
      <c r="D14256" s="185"/>
      <c r="E14256" s="185" t="s">
        <v>470</v>
      </c>
      <c r="H14256" s="185"/>
    </row>
    <row r="14257">
      <c r="D14257" s="185"/>
      <c r="E14257" s="185" t="s">
        <v>470</v>
      </c>
      <c r="H14257" s="185"/>
    </row>
    <row r="14258">
      <c r="D14258" s="185"/>
      <c r="E14258" s="185" t="s">
        <v>470</v>
      </c>
      <c r="H14258" s="185"/>
    </row>
    <row r="14259">
      <c r="D14259" s="185"/>
      <c r="E14259" s="185" t="s">
        <v>470</v>
      </c>
      <c r="H14259" s="185"/>
    </row>
    <row r="14260">
      <c r="D14260" s="185"/>
      <c r="E14260" s="185" t="s">
        <v>470</v>
      </c>
      <c r="H14260" s="185"/>
    </row>
    <row r="14261">
      <c r="D14261" s="185"/>
      <c r="E14261" s="185" t="s">
        <v>470</v>
      </c>
      <c r="H14261" s="185"/>
    </row>
    <row r="14262">
      <c r="D14262" s="185"/>
      <c r="E14262" s="185" t="s">
        <v>470</v>
      </c>
      <c r="H14262" s="185"/>
    </row>
    <row r="14263">
      <c r="D14263" s="185"/>
      <c r="E14263" s="185" t="s">
        <v>470</v>
      </c>
      <c r="H14263" s="185"/>
    </row>
    <row r="14264">
      <c r="D14264" s="185"/>
      <c r="E14264" s="185" t="s">
        <v>470</v>
      </c>
      <c r="H14264" s="185"/>
    </row>
    <row r="14265">
      <c r="D14265" s="185"/>
      <c r="E14265" s="185" t="s">
        <v>470</v>
      </c>
      <c r="H14265" s="185"/>
    </row>
    <row r="14266">
      <c r="D14266" s="185"/>
      <c r="E14266" s="185" t="s">
        <v>470</v>
      </c>
      <c r="H14266" s="185"/>
    </row>
    <row r="14267">
      <c r="D14267" s="185"/>
      <c r="E14267" s="185" t="s">
        <v>470</v>
      </c>
      <c r="H14267" s="185"/>
    </row>
    <row r="14268">
      <c r="D14268" s="185"/>
      <c r="E14268" s="185" t="s">
        <v>470</v>
      </c>
      <c r="H14268" s="185"/>
    </row>
    <row r="14269">
      <c r="D14269" s="185"/>
      <c r="E14269" s="185" t="s">
        <v>470</v>
      </c>
      <c r="H14269" s="185"/>
    </row>
    <row r="14270">
      <c r="D14270" s="185"/>
      <c r="E14270" s="185" t="s">
        <v>470</v>
      </c>
      <c r="H14270" s="185"/>
    </row>
    <row r="14271">
      <c r="D14271" s="185"/>
      <c r="E14271" s="185" t="s">
        <v>470</v>
      </c>
      <c r="H14271" s="185"/>
    </row>
    <row r="14272">
      <c r="D14272" s="185"/>
      <c r="E14272" s="185" t="s">
        <v>470</v>
      </c>
      <c r="H14272" s="185"/>
    </row>
    <row r="14273">
      <c r="D14273" s="185"/>
      <c r="E14273" s="185" t="s">
        <v>470</v>
      </c>
      <c r="H14273" s="185"/>
    </row>
    <row r="14274">
      <c r="D14274" s="185"/>
      <c r="E14274" s="185" t="s">
        <v>470</v>
      </c>
      <c r="H14274" s="185"/>
    </row>
    <row r="14275">
      <c r="D14275" s="185"/>
      <c r="E14275" s="185" t="s">
        <v>470</v>
      </c>
      <c r="H14275" s="185"/>
    </row>
    <row r="14276">
      <c r="D14276" s="185"/>
      <c r="E14276" s="185" t="s">
        <v>470</v>
      </c>
      <c r="H14276" s="185"/>
    </row>
    <row r="14277">
      <c r="D14277" s="185"/>
      <c r="E14277" s="185" t="s">
        <v>470</v>
      </c>
      <c r="H14277" s="185"/>
    </row>
    <row r="14278">
      <c r="D14278" s="185"/>
      <c r="E14278" s="185" t="s">
        <v>470</v>
      </c>
      <c r="H14278" s="185"/>
    </row>
    <row r="14279">
      <c r="D14279" s="185"/>
      <c r="E14279" s="185" t="s">
        <v>470</v>
      </c>
      <c r="H14279" s="185"/>
    </row>
    <row r="14280">
      <c r="D14280" s="185"/>
      <c r="E14280" s="185" t="s">
        <v>470</v>
      </c>
      <c r="H14280" s="185"/>
    </row>
    <row r="14281">
      <c r="D14281" s="185"/>
      <c r="E14281" s="185" t="s">
        <v>470</v>
      </c>
      <c r="H14281" s="185"/>
    </row>
    <row r="14282">
      <c r="D14282" s="185"/>
      <c r="E14282" s="185" t="s">
        <v>470</v>
      </c>
      <c r="H14282" s="185"/>
    </row>
    <row r="14283">
      <c r="D14283" s="185"/>
      <c r="E14283" s="185" t="s">
        <v>470</v>
      </c>
      <c r="H14283" s="185"/>
    </row>
    <row r="14284">
      <c r="D14284" s="185"/>
      <c r="E14284" s="185" t="s">
        <v>470</v>
      </c>
      <c r="H14284" s="185"/>
    </row>
    <row r="14285">
      <c r="D14285" s="185"/>
      <c r="E14285" s="185" t="s">
        <v>470</v>
      </c>
      <c r="H14285" s="185"/>
    </row>
    <row r="14286">
      <c r="D14286" s="185"/>
      <c r="E14286" s="185" t="s">
        <v>470</v>
      </c>
      <c r="H14286" s="185"/>
    </row>
    <row r="14287">
      <c r="D14287" s="185"/>
      <c r="E14287" s="185" t="s">
        <v>470</v>
      </c>
      <c r="H14287" s="185"/>
    </row>
    <row r="14288">
      <c r="D14288" s="185"/>
      <c r="E14288" s="185" t="s">
        <v>470</v>
      </c>
      <c r="H14288" s="185"/>
    </row>
    <row r="14289">
      <c r="D14289" s="185"/>
      <c r="E14289" s="185" t="s">
        <v>470</v>
      </c>
      <c r="H14289" s="185"/>
    </row>
    <row r="14290">
      <c r="D14290" s="185"/>
      <c r="E14290" s="185" t="s">
        <v>470</v>
      </c>
      <c r="H14290" s="185"/>
    </row>
    <row r="14291">
      <c r="D14291" s="185"/>
      <c r="E14291" s="185" t="s">
        <v>470</v>
      </c>
      <c r="H14291" s="185"/>
    </row>
    <row r="14292">
      <c r="D14292" s="185"/>
      <c r="E14292" s="185" t="s">
        <v>470</v>
      </c>
      <c r="H14292" s="185"/>
    </row>
    <row r="14293">
      <c r="D14293" s="185"/>
      <c r="E14293" s="185" t="s">
        <v>470</v>
      </c>
      <c r="H14293" s="185"/>
    </row>
    <row r="14294">
      <c r="D14294" s="185"/>
      <c r="E14294" s="185" t="s">
        <v>470</v>
      </c>
      <c r="H14294" s="185"/>
    </row>
    <row r="14295">
      <c r="D14295" s="185"/>
      <c r="E14295" s="185" t="s">
        <v>470</v>
      </c>
      <c r="H14295" s="185"/>
    </row>
    <row r="14296">
      <c r="D14296" s="185"/>
      <c r="E14296" s="185" t="s">
        <v>470</v>
      </c>
      <c r="H14296" s="185"/>
    </row>
    <row r="14297">
      <c r="D14297" s="185"/>
      <c r="E14297" s="185" t="s">
        <v>470</v>
      </c>
      <c r="H14297" s="185"/>
    </row>
    <row r="14298">
      <c r="D14298" s="185"/>
      <c r="E14298" s="185" t="s">
        <v>470</v>
      </c>
      <c r="H14298" s="185"/>
    </row>
    <row r="14299">
      <c r="D14299" s="185"/>
      <c r="E14299" s="185" t="s">
        <v>470</v>
      </c>
      <c r="H14299" s="185"/>
    </row>
    <row r="14300">
      <c r="D14300" s="185"/>
      <c r="E14300" s="185" t="s">
        <v>470</v>
      </c>
      <c r="H14300" s="185"/>
    </row>
    <row r="14301">
      <c r="D14301" s="185"/>
      <c r="E14301" s="185" t="s">
        <v>470</v>
      </c>
      <c r="H14301" s="185"/>
    </row>
    <row r="14302">
      <c r="D14302" s="185"/>
      <c r="E14302" s="185" t="s">
        <v>470</v>
      </c>
      <c r="H14302" s="185"/>
    </row>
    <row r="14303">
      <c r="D14303" s="185"/>
      <c r="E14303" s="185" t="s">
        <v>470</v>
      </c>
      <c r="H14303" s="185"/>
    </row>
    <row r="14304">
      <c r="D14304" s="185"/>
      <c r="E14304" s="185" t="s">
        <v>470</v>
      </c>
      <c r="H14304" s="185"/>
    </row>
    <row r="14305">
      <c r="D14305" s="185"/>
      <c r="E14305" s="185" t="s">
        <v>470</v>
      </c>
      <c r="H14305" s="185"/>
    </row>
    <row r="14306">
      <c r="D14306" s="185"/>
      <c r="E14306" s="185" t="s">
        <v>470</v>
      </c>
      <c r="H14306" s="185"/>
    </row>
    <row r="14307">
      <c r="D14307" s="185"/>
      <c r="E14307" s="185" t="s">
        <v>470</v>
      </c>
      <c r="H14307" s="185"/>
    </row>
    <row r="14308">
      <c r="D14308" s="185"/>
      <c r="E14308" s="185" t="s">
        <v>470</v>
      </c>
      <c r="H14308" s="185"/>
    </row>
    <row r="14309">
      <c r="D14309" s="185"/>
      <c r="E14309" s="185" t="s">
        <v>470</v>
      </c>
      <c r="H14309" s="185"/>
    </row>
    <row r="14310">
      <c r="D14310" s="185"/>
      <c r="E14310" s="185" t="s">
        <v>470</v>
      </c>
      <c r="H14310" s="185"/>
    </row>
    <row r="14311">
      <c r="D14311" s="185"/>
      <c r="E14311" s="185" t="s">
        <v>470</v>
      </c>
      <c r="H14311" s="185"/>
    </row>
    <row r="14312">
      <c r="D14312" s="185"/>
      <c r="E14312" s="185" t="s">
        <v>470</v>
      </c>
      <c r="H14312" s="185"/>
    </row>
    <row r="14313">
      <c r="D14313" s="185"/>
      <c r="E14313" s="185" t="s">
        <v>470</v>
      </c>
      <c r="H14313" s="185"/>
    </row>
    <row r="14314">
      <c r="D14314" s="185"/>
      <c r="E14314" s="185" t="s">
        <v>470</v>
      </c>
      <c r="H14314" s="185"/>
    </row>
    <row r="14315">
      <c r="D14315" s="185"/>
      <c r="E14315" s="185" t="s">
        <v>470</v>
      </c>
      <c r="H14315" s="185"/>
    </row>
    <row r="14316">
      <c r="D14316" s="185"/>
      <c r="E14316" s="185" t="s">
        <v>470</v>
      </c>
      <c r="H14316" s="185"/>
    </row>
    <row r="14317">
      <c r="D14317" s="185"/>
      <c r="E14317" s="185" t="s">
        <v>470</v>
      </c>
      <c r="H14317" s="185"/>
    </row>
    <row r="14318">
      <c r="D14318" s="185"/>
      <c r="E14318" s="185" t="s">
        <v>470</v>
      </c>
      <c r="H14318" s="185"/>
    </row>
    <row r="14319">
      <c r="D14319" s="185"/>
      <c r="E14319" s="185" t="s">
        <v>470</v>
      </c>
      <c r="H14319" s="185"/>
    </row>
    <row r="14320">
      <c r="D14320" s="185"/>
      <c r="E14320" s="185" t="s">
        <v>470</v>
      </c>
      <c r="H14320" s="185"/>
    </row>
    <row r="14321">
      <c r="D14321" s="185"/>
      <c r="E14321" s="185" t="s">
        <v>470</v>
      </c>
      <c r="H14321" s="185"/>
    </row>
    <row r="14322">
      <c r="D14322" s="185"/>
      <c r="E14322" s="185" t="s">
        <v>470</v>
      </c>
      <c r="H14322" s="185"/>
    </row>
    <row r="14323">
      <c r="D14323" s="185"/>
      <c r="E14323" s="185" t="s">
        <v>470</v>
      </c>
      <c r="H14323" s="185"/>
    </row>
    <row r="14324">
      <c r="D14324" s="185"/>
      <c r="E14324" s="185" t="s">
        <v>470</v>
      </c>
      <c r="H14324" s="185"/>
    </row>
    <row r="14325">
      <c r="D14325" s="185"/>
      <c r="E14325" s="185" t="s">
        <v>470</v>
      </c>
      <c r="H14325" s="185"/>
    </row>
    <row r="14326">
      <c r="D14326" s="185"/>
      <c r="E14326" s="185" t="s">
        <v>470</v>
      </c>
      <c r="H14326" s="185"/>
    </row>
    <row r="14327">
      <c r="D14327" s="185"/>
      <c r="E14327" s="185" t="s">
        <v>470</v>
      </c>
      <c r="H14327" s="185"/>
    </row>
    <row r="14328">
      <c r="D14328" s="185"/>
      <c r="E14328" s="185" t="s">
        <v>470</v>
      </c>
      <c r="H14328" s="185"/>
    </row>
    <row r="14329">
      <c r="D14329" s="185"/>
      <c r="E14329" s="185" t="s">
        <v>470</v>
      </c>
      <c r="H14329" s="185"/>
    </row>
    <row r="14330">
      <c r="D14330" s="185"/>
      <c r="E14330" s="185" t="s">
        <v>470</v>
      </c>
      <c r="H14330" s="185"/>
    </row>
    <row r="14331">
      <c r="D14331" s="185"/>
      <c r="E14331" s="185" t="s">
        <v>470</v>
      </c>
      <c r="H14331" s="185"/>
    </row>
    <row r="14332">
      <c r="D14332" s="185"/>
      <c r="E14332" s="185" t="s">
        <v>470</v>
      </c>
      <c r="H14332" s="185"/>
    </row>
    <row r="14333">
      <c r="D14333" s="185"/>
      <c r="E14333" s="185" t="s">
        <v>470</v>
      </c>
      <c r="H14333" s="185"/>
    </row>
    <row r="14334">
      <c r="D14334" s="185"/>
      <c r="E14334" s="185" t="s">
        <v>470</v>
      </c>
      <c r="H14334" s="185"/>
    </row>
    <row r="14335">
      <c r="D14335" s="185"/>
      <c r="E14335" s="185" t="s">
        <v>470</v>
      </c>
      <c r="H14335" s="185"/>
    </row>
    <row r="14336">
      <c r="D14336" s="185"/>
      <c r="E14336" s="185" t="s">
        <v>470</v>
      </c>
      <c r="H14336" s="185"/>
    </row>
    <row r="14337">
      <c r="D14337" s="185"/>
      <c r="E14337" s="185" t="s">
        <v>470</v>
      </c>
      <c r="H14337" s="185"/>
    </row>
    <row r="14338">
      <c r="D14338" s="185"/>
      <c r="E14338" s="185" t="s">
        <v>470</v>
      </c>
      <c r="H14338" s="185"/>
    </row>
    <row r="14339">
      <c r="D14339" s="185"/>
      <c r="E14339" s="185" t="s">
        <v>470</v>
      </c>
      <c r="H14339" s="185"/>
    </row>
    <row r="14340">
      <c r="D14340" s="185"/>
      <c r="E14340" s="185" t="s">
        <v>470</v>
      </c>
      <c r="H14340" s="185"/>
    </row>
    <row r="14341">
      <c r="D14341" s="185"/>
      <c r="E14341" s="185" t="s">
        <v>470</v>
      </c>
      <c r="H14341" s="185"/>
    </row>
    <row r="14342">
      <c r="D14342" s="185"/>
      <c r="E14342" s="185" t="s">
        <v>470</v>
      </c>
      <c r="H14342" s="185"/>
    </row>
    <row r="14343">
      <c r="D14343" s="185"/>
      <c r="E14343" s="185" t="s">
        <v>470</v>
      </c>
      <c r="H14343" s="185"/>
    </row>
    <row r="14344">
      <c r="D14344" s="185"/>
      <c r="E14344" s="185" t="s">
        <v>470</v>
      </c>
      <c r="H14344" s="185"/>
    </row>
    <row r="14345">
      <c r="D14345" s="185"/>
      <c r="E14345" s="185" t="s">
        <v>470</v>
      </c>
      <c r="H14345" s="185"/>
    </row>
    <row r="14346">
      <c r="D14346" s="185"/>
      <c r="E14346" s="185" t="s">
        <v>470</v>
      </c>
      <c r="H14346" s="185"/>
    </row>
    <row r="14347">
      <c r="D14347" s="185"/>
      <c r="E14347" s="185" t="s">
        <v>470</v>
      </c>
      <c r="H14347" s="185"/>
    </row>
    <row r="14348">
      <c r="D14348" s="185"/>
      <c r="E14348" s="185" t="s">
        <v>470</v>
      </c>
      <c r="H14348" s="185"/>
    </row>
    <row r="14349">
      <c r="D14349" s="185"/>
      <c r="E14349" s="185" t="s">
        <v>470</v>
      </c>
      <c r="H14349" s="185"/>
    </row>
    <row r="14350">
      <c r="D14350" s="185"/>
      <c r="E14350" s="185" t="s">
        <v>470</v>
      </c>
      <c r="H14350" s="185"/>
    </row>
    <row r="14351">
      <c r="D14351" s="185"/>
      <c r="E14351" s="185" t="s">
        <v>470</v>
      </c>
      <c r="H14351" s="185"/>
    </row>
    <row r="14352">
      <c r="D14352" s="185"/>
      <c r="E14352" s="185" t="s">
        <v>470</v>
      </c>
      <c r="H14352" s="185"/>
    </row>
    <row r="14353">
      <c r="D14353" s="185"/>
      <c r="E14353" s="185" t="s">
        <v>470</v>
      </c>
      <c r="H14353" s="185"/>
    </row>
    <row r="14354">
      <c r="D14354" s="185"/>
      <c r="E14354" s="185" t="s">
        <v>470</v>
      </c>
      <c r="H14354" s="185"/>
    </row>
    <row r="14355">
      <c r="D14355" s="185"/>
      <c r="E14355" s="185" t="s">
        <v>470</v>
      </c>
      <c r="H14355" s="185"/>
    </row>
    <row r="14356">
      <c r="D14356" s="185"/>
      <c r="E14356" s="185" t="s">
        <v>470</v>
      </c>
      <c r="H14356" s="185"/>
    </row>
    <row r="14357">
      <c r="D14357" s="185"/>
      <c r="E14357" s="185" t="s">
        <v>470</v>
      </c>
      <c r="H14357" s="185"/>
    </row>
    <row r="14358">
      <c r="D14358" s="185"/>
      <c r="E14358" s="185" t="s">
        <v>470</v>
      </c>
      <c r="H14358" s="185"/>
    </row>
    <row r="14359">
      <c r="D14359" s="185"/>
      <c r="E14359" s="185" t="s">
        <v>470</v>
      </c>
      <c r="H14359" s="185"/>
    </row>
    <row r="14360">
      <c r="D14360" s="185"/>
      <c r="E14360" s="185" t="s">
        <v>470</v>
      </c>
      <c r="H14360" s="185"/>
    </row>
    <row r="14361">
      <c r="D14361" s="185"/>
      <c r="E14361" s="185" t="s">
        <v>470</v>
      </c>
      <c r="H14361" s="185"/>
    </row>
    <row r="14362">
      <c r="D14362" s="185"/>
      <c r="E14362" s="185" t="s">
        <v>470</v>
      </c>
      <c r="H14362" s="185"/>
    </row>
    <row r="14363">
      <c r="D14363" s="185"/>
      <c r="E14363" s="185" t="s">
        <v>470</v>
      </c>
      <c r="H14363" s="185"/>
    </row>
    <row r="14364">
      <c r="D14364" s="185"/>
      <c r="E14364" s="185" t="s">
        <v>470</v>
      </c>
      <c r="H14364" s="185"/>
    </row>
    <row r="14365">
      <c r="D14365" s="185"/>
      <c r="E14365" s="185" t="s">
        <v>470</v>
      </c>
      <c r="H14365" s="185"/>
    </row>
    <row r="14366">
      <c r="D14366" s="185"/>
      <c r="E14366" s="185" t="s">
        <v>470</v>
      </c>
      <c r="H14366" s="185"/>
    </row>
    <row r="14367">
      <c r="D14367" s="185"/>
      <c r="E14367" s="185" t="s">
        <v>470</v>
      </c>
      <c r="H14367" s="185"/>
    </row>
    <row r="14368">
      <c r="D14368" s="185"/>
      <c r="E14368" s="185" t="s">
        <v>470</v>
      </c>
      <c r="H14368" s="185"/>
    </row>
    <row r="14369">
      <c r="D14369" s="185"/>
      <c r="E14369" s="185" t="s">
        <v>470</v>
      </c>
      <c r="H14369" s="185"/>
    </row>
    <row r="14370">
      <c r="D14370" s="185"/>
      <c r="E14370" s="185" t="s">
        <v>470</v>
      </c>
      <c r="H14370" s="185"/>
    </row>
    <row r="14371">
      <c r="D14371" s="185"/>
      <c r="E14371" s="185" t="s">
        <v>470</v>
      </c>
      <c r="H14371" s="185"/>
    </row>
    <row r="14372">
      <c r="D14372" s="185"/>
      <c r="E14372" s="185" t="s">
        <v>470</v>
      </c>
      <c r="H14372" s="185"/>
    </row>
    <row r="14373">
      <c r="D14373" s="185"/>
      <c r="E14373" s="185" t="s">
        <v>470</v>
      </c>
      <c r="H14373" s="185"/>
    </row>
    <row r="14374">
      <c r="D14374" s="185"/>
      <c r="E14374" s="185" t="s">
        <v>470</v>
      </c>
      <c r="H14374" s="185"/>
    </row>
    <row r="14375">
      <c r="D14375" s="185"/>
      <c r="E14375" s="185" t="s">
        <v>470</v>
      </c>
      <c r="H14375" s="185"/>
    </row>
    <row r="14376">
      <c r="D14376" s="185"/>
      <c r="E14376" s="185" t="s">
        <v>470</v>
      </c>
      <c r="H14376" s="185"/>
    </row>
    <row r="14377">
      <c r="D14377" s="185"/>
      <c r="E14377" s="185" t="s">
        <v>470</v>
      </c>
      <c r="H14377" s="185"/>
    </row>
    <row r="14378">
      <c r="D14378" s="185"/>
      <c r="E14378" s="185" t="s">
        <v>470</v>
      </c>
      <c r="H14378" s="185"/>
    </row>
    <row r="14379">
      <c r="D14379" s="185"/>
      <c r="E14379" s="185" t="s">
        <v>470</v>
      </c>
      <c r="H14379" s="185"/>
    </row>
    <row r="14380">
      <c r="D14380" s="185"/>
      <c r="E14380" s="185" t="s">
        <v>470</v>
      </c>
      <c r="H14380" s="185"/>
    </row>
    <row r="14381">
      <c r="D14381" s="185"/>
      <c r="E14381" s="185" t="s">
        <v>470</v>
      </c>
      <c r="H14381" s="185"/>
    </row>
    <row r="14382">
      <c r="D14382" s="185"/>
      <c r="E14382" s="185" t="s">
        <v>470</v>
      </c>
      <c r="H14382" s="185"/>
    </row>
    <row r="14383">
      <c r="D14383" s="185"/>
      <c r="E14383" s="185" t="s">
        <v>470</v>
      </c>
      <c r="H14383" s="185"/>
    </row>
    <row r="14384">
      <c r="D14384" s="185"/>
      <c r="E14384" s="185" t="s">
        <v>470</v>
      </c>
      <c r="H14384" s="185"/>
    </row>
    <row r="14385">
      <c r="D14385" s="185"/>
      <c r="E14385" s="185" t="s">
        <v>470</v>
      </c>
      <c r="H14385" s="185"/>
    </row>
    <row r="14386">
      <c r="D14386" s="185"/>
      <c r="E14386" s="185" t="s">
        <v>470</v>
      </c>
      <c r="H14386" s="185"/>
    </row>
    <row r="14387">
      <c r="D14387" s="185"/>
      <c r="E14387" s="185" t="s">
        <v>470</v>
      </c>
      <c r="H14387" s="185"/>
    </row>
    <row r="14388">
      <c r="D14388" s="185"/>
      <c r="E14388" s="185" t="s">
        <v>470</v>
      </c>
      <c r="H14388" s="185"/>
    </row>
    <row r="14389">
      <c r="D14389" s="185"/>
      <c r="E14389" s="185" t="s">
        <v>470</v>
      </c>
      <c r="H14389" s="185"/>
    </row>
    <row r="14390">
      <c r="D14390" s="185"/>
      <c r="E14390" s="185" t="s">
        <v>470</v>
      </c>
      <c r="H14390" s="185"/>
    </row>
    <row r="14391">
      <c r="D14391" s="185"/>
      <c r="E14391" s="185" t="s">
        <v>470</v>
      </c>
      <c r="H14391" s="185"/>
    </row>
    <row r="14392">
      <c r="D14392" s="185"/>
      <c r="E14392" s="185" t="s">
        <v>470</v>
      </c>
      <c r="H14392" s="185"/>
    </row>
    <row r="14393">
      <c r="D14393" s="185"/>
      <c r="E14393" s="185" t="s">
        <v>470</v>
      </c>
      <c r="H14393" s="185"/>
    </row>
    <row r="14394">
      <c r="D14394" s="185"/>
      <c r="E14394" s="185" t="s">
        <v>470</v>
      </c>
      <c r="H14394" s="185"/>
    </row>
    <row r="14395">
      <c r="D14395" s="185"/>
      <c r="E14395" s="185" t="s">
        <v>470</v>
      </c>
      <c r="H14395" s="185"/>
    </row>
    <row r="14396">
      <c r="D14396" s="185"/>
      <c r="E14396" s="185" t="s">
        <v>470</v>
      </c>
      <c r="H14396" s="185"/>
    </row>
    <row r="14397">
      <c r="D14397" s="185"/>
      <c r="E14397" s="185" t="s">
        <v>470</v>
      </c>
      <c r="H14397" s="185"/>
    </row>
    <row r="14398">
      <c r="D14398" s="185"/>
      <c r="E14398" s="185" t="s">
        <v>470</v>
      </c>
      <c r="H14398" s="185"/>
    </row>
    <row r="14399">
      <c r="D14399" s="185"/>
      <c r="E14399" s="185" t="s">
        <v>470</v>
      </c>
      <c r="H14399" s="185"/>
    </row>
    <row r="14400">
      <c r="D14400" s="185"/>
      <c r="E14400" s="185" t="s">
        <v>470</v>
      </c>
      <c r="H14400" s="185"/>
    </row>
    <row r="14401">
      <c r="D14401" s="185"/>
      <c r="E14401" s="185" t="s">
        <v>470</v>
      </c>
      <c r="H14401" s="185"/>
    </row>
    <row r="14402">
      <c r="D14402" s="185"/>
      <c r="E14402" s="185" t="s">
        <v>470</v>
      </c>
      <c r="H14402" s="185"/>
    </row>
    <row r="14403">
      <c r="D14403" s="185"/>
      <c r="E14403" s="185" t="s">
        <v>470</v>
      </c>
      <c r="H14403" s="185"/>
    </row>
    <row r="14404">
      <c r="D14404" s="185"/>
      <c r="E14404" s="185" t="s">
        <v>470</v>
      </c>
      <c r="H14404" s="185"/>
    </row>
    <row r="14405">
      <c r="D14405" s="185"/>
      <c r="E14405" s="185" t="s">
        <v>470</v>
      </c>
      <c r="H14405" s="185"/>
    </row>
    <row r="14406">
      <c r="D14406" s="185"/>
      <c r="E14406" s="185" t="s">
        <v>470</v>
      </c>
      <c r="H14406" s="185"/>
    </row>
    <row r="14407">
      <c r="D14407" s="185"/>
      <c r="E14407" s="185" t="s">
        <v>470</v>
      </c>
      <c r="H14407" s="185"/>
    </row>
    <row r="14408">
      <c r="D14408" s="185"/>
      <c r="E14408" s="185" t="s">
        <v>470</v>
      </c>
      <c r="H14408" s="185"/>
    </row>
    <row r="14409">
      <c r="D14409" s="185"/>
      <c r="E14409" s="185" t="s">
        <v>470</v>
      </c>
      <c r="H14409" s="185"/>
    </row>
    <row r="14410">
      <c r="D14410" s="185"/>
      <c r="E14410" s="185" t="s">
        <v>470</v>
      </c>
      <c r="H14410" s="185"/>
    </row>
    <row r="14411">
      <c r="D14411" s="185"/>
      <c r="E14411" s="185" t="s">
        <v>470</v>
      </c>
      <c r="H14411" s="185"/>
    </row>
    <row r="14412">
      <c r="D14412" s="185"/>
      <c r="E14412" s="185" t="s">
        <v>470</v>
      </c>
      <c r="H14412" s="185"/>
    </row>
    <row r="14413">
      <c r="D14413" s="185"/>
      <c r="E14413" s="185" t="s">
        <v>470</v>
      </c>
      <c r="H14413" s="185"/>
    </row>
    <row r="14414">
      <c r="D14414" s="185"/>
      <c r="E14414" s="185" t="s">
        <v>470</v>
      </c>
      <c r="H14414" s="185"/>
    </row>
    <row r="14415">
      <c r="D14415" s="185"/>
      <c r="E14415" s="185" t="s">
        <v>470</v>
      </c>
      <c r="H14415" s="185"/>
    </row>
    <row r="14416">
      <c r="D14416" s="185"/>
      <c r="E14416" s="185" t="s">
        <v>470</v>
      </c>
      <c r="H14416" s="185"/>
    </row>
    <row r="14417">
      <c r="D14417" s="185"/>
      <c r="E14417" s="185" t="s">
        <v>470</v>
      </c>
      <c r="H14417" s="185"/>
    </row>
    <row r="14418">
      <c r="D14418" s="185"/>
      <c r="E14418" s="185" t="s">
        <v>470</v>
      </c>
      <c r="H14418" s="185"/>
    </row>
    <row r="14419">
      <c r="D14419" s="185"/>
      <c r="E14419" s="185" t="s">
        <v>470</v>
      </c>
      <c r="H14419" s="185"/>
    </row>
    <row r="14420">
      <c r="D14420" s="185"/>
      <c r="E14420" s="185" t="s">
        <v>470</v>
      </c>
      <c r="H14420" s="185"/>
    </row>
    <row r="14421">
      <c r="D14421" s="185"/>
      <c r="E14421" s="185" t="s">
        <v>470</v>
      </c>
      <c r="H14421" s="185"/>
    </row>
    <row r="14422">
      <c r="D14422" s="185"/>
      <c r="E14422" s="185" t="s">
        <v>470</v>
      </c>
      <c r="H14422" s="185"/>
    </row>
    <row r="14423">
      <c r="D14423" s="185"/>
      <c r="E14423" s="185" t="s">
        <v>470</v>
      </c>
      <c r="H14423" s="185"/>
    </row>
    <row r="14424">
      <c r="D14424" s="185"/>
      <c r="E14424" s="185" t="s">
        <v>470</v>
      </c>
      <c r="H14424" s="185"/>
    </row>
    <row r="14425">
      <c r="D14425" s="185"/>
      <c r="E14425" s="185" t="s">
        <v>470</v>
      </c>
      <c r="H14425" s="185"/>
    </row>
    <row r="14426">
      <c r="D14426" s="185"/>
      <c r="E14426" s="185" t="s">
        <v>470</v>
      </c>
      <c r="H14426" s="185"/>
    </row>
    <row r="14427">
      <c r="D14427" s="185"/>
      <c r="E14427" s="185" t="s">
        <v>470</v>
      </c>
      <c r="H14427" s="185"/>
    </row>
    <row r="14428">
      <c r="D14428" s="185"/>
      <c r="E14428" s="185" t="s">
        <v>470</v>
      </c>
      <c r="H14428" s="185"/>
    </row>
    <row r="14429">
      <c r="D14429" s="185"/>
      <c r="E14429" s="185" t="s">
        <v>470</v>
      </c>
      <c r="H14429" s="185"/>
    </row>
    <row r="14430">
      <c r="D14430" s="185"/>
      <c r="E14430" s="185" t="s">
        <v>470</v>
      </c>
      <c r="H14430" s="185"/>
    </row>
    <row r="14431">
      <c r="D14431" s="185"/>
      <c r="E14431" s="185" t="s">
        <v>470</v>
      </c>
      <c r="H14431" s="185"/>
    </row>
    <row r="14432">
      <c r="D14432" s="185"/>
      <c r="E14432" s="185" t="s">
        <v>470</v>
      </c>
      <c r="H14432" s="185"/>
    </row>
    <row r="14433">
      <c r="D14433" s="185"/>
      <c r="E14433" s="185" t="s">
        <v>470</v>
      </c>
      <c r="H14433" s="185"/>
    </row>
    <row r="14434">
      <c r="D14434" s="185"/>
      <c r="E14434" s="185" t="s">
        <v>470</v>
      </c>
      <c r="H14434" s="185"/>
    </row>
    <row r="14435">
      <c r="D14435" s="185"/>
      <c r="E14435" s="185" t="s">
        <v>470</v>
      </c>
      <c r="H14435" s="185"/>
    </row>
    <row r="14436">
      <c r="D14436" s="185"/>
      <c r="E14436" s="185" t="s">
        <v>470</v>
      </c>
      <c r="H14436" s="185"/>
    </row>
    <row r="14437">
      <c r="D14437" s="185"/>
      <c r="E14437" s="185" t="s">
        <v>470</v>
      </c>
      <c r="H14437" s="185"/>
    </row>
    <row r="14438">
      <c r="D14438" s="185"/>
      <c r="E14438" s="185" t="s">
        <v>470</v>
      </c>
      <c r="H14438" s="185"/>
    </row>
    <row r="14439">
      <c r="D14439" s="185"/>
      <c r="E14439" s="185" t="s">
        <v>470</v>
      </c>
      <c r="H14439" s="185"/>
    </row>
    <row r="14440">
      <c r="D14440" s="185"/>
      <c r="E14440" s="185" t="s">
        <v>470</v>
      </c>
      <c r="H14440" s="185"/>
    </row>
    <row r="14441">
      <c r="D14441" s="185"/>
      <c r="E14441" s="185" t="s">
        <v>470</v>
      </c>
      <c r="H14441" s="185"/>
    </row>
    <row r="14442">
      <c r="D14442" s="185"/>
      <c r="E14442" s="185" t="s">
        <v>470</v>
      </c>
      <c r="H14442" s="185"/>
    </row>
    <row r="14443">
      <c r="D14443" s="185"/>
      <c r="E14443" s="185" t="s">
        <v>470</v>
      </c>
      <c r="H14443" s="185"/>
    </row>
    <row r="14444">
      <c r="D14444" s="185"/>
      <c r="E14444" s="185" t="s">
        <v>470</v>
      </c>
      <c r="H14444" s="185"/>
    </row>
    <row r="14445">
      <c r="D14445" s="185"/>
      <c r="E14445" s="185" t="s">
        <v>470</v>
      </c>
      <c r="H14445" s="185"/>
    </row>
    <row r="14446">
      <c r="D14446" s="185"/>
      <c r="E14446" s="185" t="s">
        <v>470</v>
      </c>
      <c r="H14446" s="185"/>
    </row>
    <row r="14447">
      <c r="D14447" s="185"/>
      <c r="E14447" s="185" t="s">
        <v>470</v>
      </c>
      <c r="H14447" s="185"/>
    </row>
    <row r="14448">
      <c r="D14448" s="185"/>
      <c r="E14448" s="185" t="s">
        <v>470</v>
      </c>
      <c r="H14448" s="185"/>
    </row>
    <row r="14449">
      <c r="D14449" s="185"/>
      <c r="E14449" s="185" t="s">
        <v>470</v>
      </c>
      <c r="H14449" s="185"/>
    </row>
    <row r="14450">
      <c r="D14450" s="185"/>
      <c r="E14450" s="185" t="s">
        <v>470</v>
      </c>
      <c r="H14450" s="185"/>
    </row>
    <row r="14451">
      <c r="D14451" s="185"/>
      <c r="E14451" s="185" t="s">
        <v>470</v>
      </c>
      <c r="H14451" s="185"/>
    </row>
    <row r="14452">
      <c r="D14452" s="185"/>
      <c r="E14452" s="185" t="s">
        <v>470</v>
      </c>
      <c r="H14452" s="185"/>
    </row>
    <row r="14453">
      <c r="D14453" s="185"/>
      <c r="E14453" s="185" t="s">
        <v>470</v>
      </c>
      <c r="H14453" s="185"/>
    </row>
    <row r="14454">
      <c r="D14454" s="185"/>
      <c r="E14454" s="185" t="s">
        <v>470</v>
      </c>
      <c r="H14454" s="185"/>
    </row>
    <row r="14455">
      <c r="D14455" s="185"/>
      <c r="E14455" s="185" t="s">
        <v>470</v>
      </c>
      <c r="H14455" s="185"/>
    </row>
    <row r="14456">
      <c r="D14456" s="185"/>
      <c r="E14456" s="185" t="s">
        <v>470</v>
      </c>
      <c r="H14456" s="185"/>
    </row>
    <row r="14457">
      <c r="D14457" s="185"/>
      <c r="E14457" s="185" t="s">
        <v>470</v>
      </c>
      <c r="H14457" s="185"/>
    </row>
    <row r="14458">
      <c r="D14458" s="185"/>
      <c r="E14458" s="185" t="s">
        <v>470</v>
      </c>
      <c r="H14458" s="185"/>
    </row>
    <row r="14459">
      <c r="D14459" s="185"/>
      <c r="E14459" s="185" t="s">
        <v>470</v>
      </c>
      <c r="H14459" s="185"/>
    </row>
    <row r="14460">
      <c r="D14460" s="185"/>
      <c r="E14460" s="185" t="s">
        <v>470</v>
      </c>
      <c r="H14460" s="185"/>
    </row>
    <row r="14461">
      <c r="D14461" s="185"/>
      <c r="E14461" s="185" t="s">
        <v>470</v>
      </c>
      <c r="H14461" s="185"/>
    </row>
    <row r="14462">
      <c r="D14462" s="185"/>
      <c r="E14462" s="185" t="s">
        <v>470</v>
      </c>
      <c r="H14462" s="185"/>
    </row>
    <row r="14463">
      <c r="D14463" s="185"/>
      <c r="E14463" s="185" t="s">
        <v>470</v>
      </c>
      <c r="H14463" s="185"/>
    </row>
    <row r="14464">
      <c r="D14464" s="185"/>
      <c r="E14464" s="185" t="s">
        <v>470</v>
      </c>
      <c r="H14464" s="185"/>
    </row>
    <row r="14465">
      <c r="D14465" s="185"/>
      <c r="E14465" s="185" t="s">
        <v>470</v>
      </c>
      <c r="H14465" s="185"/>
    </row>
    <row r="14466">
      <c r="D14466" s="185"/>
      <c r="E14466" s="185" t="s">
        <v>470</v>
      </c>
      <c r="H14466" s="185"/>
    </row>
    <row r="14467">
      <c r="D14467" s="185"/>
      <c r="E14467" s="185" t="s">
        <v>470</v>
      </c>
      <c r="H14467" s="185"/>
    </row>
    <row r="14468">
      <c r="D14468" s="185"/>
      <c r="E14468" s="185" t="s">
        <v>470</v>
      </c>
      <c r="H14468" s="185"/>
    </row>
    <row r="14469">
      <c r="D14469" s="185"/>
      <c r="E14469" s="185" t="s">
        <v>470</v>
      </c>
      <c r="H14469" s="185"/>
    </row>
    <row r="14470">
      <c r="D14470" s="185"/>
      <c r="E14470" s="185" t="s">
        <v>470</v>
      </c>
      <c r="H14470" s="185"/>
    </row>
    <row r="14471">
      <c r="D14471" s="185"/>
      <c r="E14471" s="185" t="s">
        <v>470</v>
      </c>
      <c r="H14471" s="185"/>
    </row>
    <row r="14472">
      <c r="D14472" s="185"/>
      <c r="E14472" s="185" t="s">
        <v>470</v>
      </c>
      <c r="H14472" s="185"/>
    </row>
    <row r="14473">
      <c r="D14473" s="185"/>
      <c r="E14473" s="185" t="s">
        <v>470</v>
      </c>
      <c r="H14473" s="185"/>
    </row>
    <row r="14474">
      <c r="D14474" s="185"/>
      <c r="E14474" s="185" t="s">
        <v>470</v>
      </c>
      <c r="H14474" s="185"/>
    </row>
    <row r="14475">
      <c r="D14475" s="185"/>
      <c r="E14475" s="185" t="s">
        <v>470</v>
      </c>
      <c r="H14475" s="185"/>
    </row>
    <row r="14476">
      <c r="D14476" s="185"/>
      <c r="E14476" s="185" t="s">
        <v>470</v>
      </c>
      <c r="H14476" s="185"/>
    </row>
    <row r="14477">
      <c r="D14477" s="185"/>
      <c r="E14477" s="185" t="s">
        <v>470</v>
      </c>
      <c r="H14477" s="185"/>
    </row>
    <row r="14478">
      <c r="D14478" s="185"/>
      <c r="E14478" s="185" t="s">
        <v>470</v>
      </c>
      <c r="H14478" s="185"/>
    </row>
    <row r="14479">
      <c r="D14479" s="185"/>
      <c r="E14479" s="185" t="s">
        <v>470</v>
      </c>
      <c r="H14479" s="185"/>
    </row>
    <row r="14480">
      <c r="D14480" s="185"/>
      <c r="E14480" s="185" t="s">
        <v>470</v>
      </c>
      <c r="H14480" s="185"/>
    </row>
    <row r="14481">
      <c r="D14481" s="185"/>
      <c r="E14481" s="185" t="s">
        <v>470</v>
      </c>
      <c r="H14481" s="185"/>
    </row>
    <row r="14482">
      <c r="D14482" s="185"/>
      <c r="E14482" s="185" t="s">
        <v>470</v>
      </c>
      <c r="H14482" s="185"/>
    </row>
    <row r="14483">
      <c r="D14483" s="185"/>
      <c r="E14483" s="185" t="s">
        <v>470</v>
      </c>
      <c r="H14483" s="185"/>
    </row>
    <row r="14484">
      <c r="D14484" s="185"/>
      <c r="E14484" s="185" t="s">
        <v>470</v>
      </c>
      <c r="H14484" s="185"/>
    </row>
    <row r="14485">
      <c r="D14485" s="185"/>
      <c r="E14485" s="185" t="s">
        <v>470</v>
      </c>
      <c r="H14485" s="185"/>
    </row>
    <row r="14486">
      <c r="D14486" s="185"/>
      <c r="E14486" s="185" t="s">
        <v>470</v>
      </c>
      <c r="H14486" s="185"/>
    </row>
    <row r="14487">
      <c r="D14487" s="185"/>
      <c r="E14487" s="185" t="s">
        <v>470</v>
      </c>
      <c r="H14487" s="185"/>
    </row>
    <row r="14488">
      <c r="D14488" s="185"/>
      <c r="E14488" s="185" t="s">
        <v>470</v>
      </c>
      <c r="H14488" s="185"/>
    </row>
    <row r="14489">
      <c r="D14489" s="185"/>
      <c r="E14489" s="185" t="s">
        <v>470</v>
      </c>
      <c r="H14489" s="185"/>
    </row>
    <row r="14490">
      <c r="D14490" s="185"/>
      <c r="E14490" s="185" t="s">
        <v>470</v>
      </c>
      <c r="H14490" s="185"/>
    </row>
    <row r="14491">
      <c r="D14491" s="185"/>
      <c r="E14491" s="185" t="s">
        <v>470</v>
      </c>
      <c r="H14491" s="185"/>
    </row>
    <row r="14492">
      <c r="D14492" s="185"/>
      <c r="E14492" s="185" t="s">
        <v>470</v>
      </c>
      <c r="H14492" s="185"/>
    </row>
    <row r="14493">
      <c r="D14493" s="185"/>
      <c r="E14493" s="185" t="s">
        <v>470</v>
      </c>
      <c r="H14493" s="185"/>
    </row>
    <row r="14494">
      <c r="D14494" s="185"/>
      <c r="E14494" s="185" t="s">
        <v>470</v>
      </c>
      <c r="H14494" s="185"/>
    </row>
    <row r="14495">
      <c r="D14495" s="185"/>
      <c r="E14495" s="185" t="s">
        <v>470</v>
      </c>
      <c r="H14495" s="185"/>
    </row>
    <row r="14496">
      <c r="D14496" s="185"/>
      <c r="E14496" s="185" t="s">
        <v>470</v>
      </c>
      <c r="H14496" s="185"/>
    </row>
    <row r="14497">
      <c r="D14497" s="185"/>
      <c r="E14497" s="185" t="s">
        <v>470</v>
      </c>
      <c r="H14497" s="185"/>
    </row>
    <row r="14498">
      <c r="D14498" s="185"/>
      <c r="E14498" s="185" t="s">
        <v>470</v>
      </c>
      <c r="H14498" s="185"/>
    </row>
    <row r="14499">
      <c r="D14499" s="185"/>
      <c r="E14499" s="185" t="s">
        <v>470</v>
      </c>
      <c r="H14499" s="185"/>
    </row>
    <row r="14500">
      <c r="D14500" s="185"/>
      <c r="E14500" s="185" t="s">
        <v>470</v>
      </c>
      <c r="H14500" s="185"/>
    </row>
    <row r="14501">
      <c r="D14501" s="185"/>
      <c r="E14501" s="185" t="s">
        <v>470</v>
      </c>
      <c r="H14501" s="185"/>
    </row>
    <row r="14502">
      <c r="D14502" s="185"/>
      <c r="E14502" s="185" t="s">
        <v>470</v>
      </c>
      <c r="H14502" s="185"/>
    </row>
    <row r="14503">
      <c r="D14503" s="185"/>
      <c r="E14503" s="185" t="s">
        <v>470</v>
      </c>
      <c r="H14503" s="185"/>
    </row>
    <row r="14504">
      <c r="D14504" s="185"/>
      <c r="E14504" s="185" t="s">
        <v>470</v>
      </c>
      <c r="H14504" s="185"/>
    </row>
    <row r="14505">
      <c r="D14505" s="185"/>
      <c r="E14505" s="185" t="s">
        <v>470</v>
      </c>
      <c r="H14505" s="185"/>
    </row>
    <row r="14506">
      <c r="D14506" s="185"/>
      <c r="E14506" s="185" t="s">
        <v>470</v>
      </c>
      <c r="H14506" s="185"/>
    </row>
    <row r="14507">
      <c r="D14507" s="185"/>
      <c r="E14507" s="185" t="s">
        <v>470</v>
      </c>
      <c r="H14507" s="185"/>
    </row>
    <row r="14508">
      <c r="D14508" s="185"/>
      <c r="E14508" s="185" t="s">
        <v>470</v>
      </c>
      <c r="H14508" s="185"/>
    </row>
    <row r="14509">
      <c r="D14509" s="185"/>
      <c r="E14509" s="185" t="s">
        <v>470</v>
      </c>
      <c r="H14509" s="185"/>
    </row>
    <row r="14510">
      <c r="D14510" s="185"/>
      <c r="E14510" s="185" t="s">
        <v>470</v>
      </c>
      <c r="H14510" s="185"/>
    </row>
    <row r="14511">
      <c r="D14511" s="185"/>
      <c r="E14511" s="185" t="s">
        <v>470</v>
      </c>
      <c r="H14511" s="185"/>
    </row>
    <row r="14512">
      <c r="D14512" s="185"/>
      <c r="E14512" s="185" t="s">
        <v>470</v>
      </c>
      <c r="H14512" s="185"/>
    </row>
    <row r="14513">
      <c r="D14513" s="185"/>
      <c r="E14513" s="185" t="s">
        <v>470</v>
      </c>
      <c r="H14513" s="185"/>
    </row>
    <row r="14514">
      <c r="D14514" s="185"/>
      <c r="E14514" s="185" t="s">
        <v>470</v>
      </c>
      <c r="H14514" s="185"/>
    </row>
    <row r="14515">
      <c r="D14515" s="185"/>
      <c r="E14515" s="185" t="s">
        <v>470</v>
      </c>
      <c r="H14515" s="185"/>
    </row>
    <row r="14516">
      <c r="D14516" s="185"/>
      <c r="E14516" s="185" t="s">
        <v>470</v>
      </c>
      <c r="H14516" s="185"/>
    </row>
    <row r="14517">
      <c r="D14517" s="185"/>
      <c r="E14517" s="185" t="s">
        <v>470</v>
      </c>
      <c r="H14517" s="185"/>
    </row>
    <row r="14518">
      <c r="D14518" s="185"/>
      <c r="E14518" s="185" t="s">
        <v>470</v>
      </c>
      <c r="H14518" s="185"/>
    </row>
    <row r="14519">
      <c r="D14519" s="185"/>
      <c r="E14519" s="185" t="s">
        <v>470</v>
      </c>
      <c r="H14519" s="185"/>
    </row>
    <row r="14520">
      <c r="D14520" s="185"/>
      <c r="E14520" s="185" t="s">
        <v>470</v>
      </c>
      <c r="H14520" s="185"/>
    </row>
    <row r="14521">
      <c r="D14521" s="185"/>
      <c r="E14521" s="185" t="s">
        <v>470</v>
      </c>
      <c r="H14521" s="185"/>
    </row>
    <row r="14522">
      <c r="D14522" s="185"/>
      <c r="E14522" s="185" t="s">
        <v>470</v>
      </c>
      <c r="H14522" s="185"/>
    </row>
    <row r="14523">
      <c r="D14523" s="185"/>
      <c r="E14523" s="185" t="s">
        <v>470</v>
      </c>
      <c r="H14523" s="185"/>
    </row>
    <row r="14524">
      <c r="D14524" s="185"/>
      <c r="E14524" s="185" t="s">
        <v>470</v>
      </c>
      <c r="H14524" s="185"/>
    </row>
    <row r="14525">
      <c r="D14525" s="185"/>
      <c r="E14525" s="185" t="s">
        <v>470</v>
      </c>
      <c r="H14525" s="185"/>
    </row>
    <row r="14526">
      <c r="D14526" s="185"/>
      <c r="E14526" s="185" t="s">
        <v>470</v>
      </c>
      <c r="H14526" s="185"/>
    </row>
    <row r="14527">
      <c r="D14527" s="185"/>
      <c r="E14527" s="185" t="s">
        <v>470</v>
      </c>
      <c r="H14527" s="185"/>
    </row>
    <row r="14528">
      <c r="D14528" s="185"/>
      <c r="E14528" s="185" t="s">
        <v>470</v>
      </c>
      <c r="H14528" s="185"/>
    </row>
    <row r="14529">
      <c r="D14529" s="185"/>
      <c r="E14529" s="185" t="s">
        <v>470</v>
      </c>
      <c r="H14529" s="185"/>
    </row>
    <row r="14530">
      <c r="D14530" s="185"/>
      <c r="E14530" s="185" t="s">
        <v>470</v>
      </c>
      <c r="H14530" s="185"/>
    </row>
    <row r="14531">
      <c r="D14531" s="185"/>
      <c r="E14531" s="185" t="s">
        <v>470</v>
      </c>
      <c r="H14531" s="185"/>
    </row>
    <row r="14532">
      <c r="D14532" s="185"/>
      <c r="E14532" s="185" t="s">
        <v>470</v>
      </c>
      <c r="H14532" s="185"/>
    </row>
    <row r="14533">
      <c r="D14533" s="185"/>
      <c r="E14533" s="185" t="s">
        <v>470</v>
      </c>
      <c r="H14533" s="185"/>
    </row>
    <row r="14534">
      <c r="D14534" s="185"/>
      <c r="E14534" s="185" t="s">
        <v>470</v>
      </c>
      <c r="H14534" s="185"/>
    </row>
    <row r="14535">
      <c r="D14535" s="185"/>
      <c r="E14535" s="185" t="s">
        <v>470</v>
      </c>
      <c r="H14535" s="185"/>
    </row>
    <row r="14536">
      <c r="D14536" s="185"/>
      <c r="E14536" s="185" t="s">
        <v>470</v>
      </c>
      <c r="H14536" s="185"/>
    </row>
    <row r="14537">
      <c r="D14537" s="185"/>
      <c r="E14537" s="185" t="s">
        <v>470</v>
      </c>
      <c r="H14537" s="185"/>
    </row>
    <row r="14538">
      <c r="D14538" s="185"/>
      <c r="E14538" s="185" t="s">
        <v>470</v>
      </c>
      <c r="H14538" s="185"/>
    </row>
    <row r="14539">
      <c r="D14539" s="185"/>
      <c r="E14539" s="185" t="s">
        <v>470</v>
      </c>
      <c r="H14539" s="185"/>
    </row>
    <row r="14540">
      <c r="D14540" s="185"/>
      <c r="E14540" s="185" t="s">
        <v>470</v>
      </c>
      <c r="H14540" s="185"/>
    </row>
    <row r="14541">
      <c r="D14541" s="185"/>
      <c r="E14541" s="185" t="s">
        <v>470</v>
      </c>
      <c r="H14541" s="185"/>
    </row>
    <row r="14542">
      <c r="D14542" s="185"/>
      <c r="E14542" s="185" t="s">
        <v>470</v>
      </c>
      <c r="H14542" s="185"/>
    </row>
    <row r="14543">
      <c r="D14543" s="185"/>
      <c r="E14543" s="185" t="s">
        <v>470</v>
      </c>
      <c r="H14543" s="185"/>
    </row>
    <row r="14544">
      <c r="D14544" s="185"/>
      <c r="E14544" s="185" t="s">
        <v>470</v>
      </c>
      <c r="H14544" s="185"/>
    </row>
    <row r="14545">
      <c r="D14545" s="185"/>
      <c r="E14545" s="185" t="s">
        <v>470</v>
      </c>
      <c r="H14545" s="185"/>
    </row>
    <row r="14546">
      <c r="D14546" s="185"/>
      <c r="E14546" s="185" t="s">
        <v>470</v>
      </c>
      <c r="H14546" s="185"/>
    </row>
    <row r="14547">
      <c r="D14547" s="185"/>
      <c r="E14547" s="185" t="s">
        <v>470</v>
      </c>
      <c r="H14547" s="185"/>
    </row>
    <row r="14548">
      <c r="D14548" s="185"/>
      <c r="E14548" s="185" t="s">
        <v>470</v>
      </c>
      <c r="H14548" s="185"/>
    </row>
    <row r="14549">
      <c r="D14549" s="185"/>
      <c r="E14549" s="185" t="s">
        <v>470</v>
      </c>
      <c r="H14549" s="185"/>
    </row>
    <row r="14550">
      <c r="D14550" s="185"/>
      <c r="E14550" s="185" t="s">
        <v>470</v>
      </c>
      <c r="H14550" s="185"/>
    </row>
    <row r="14551">
      <c r="D14551" s="185"/>
      <c r="E14551" s="185" t="s">
        <v>470</v>
      </c>
      <c r="H14551" s="185"/>
    </row>
    <row r="14552">
      <c r="D14552" s="185"/>
      <c r="E14552" s="185" t="s">
        <v>470</v>
      </c>
      <c r="H14552" s="185"/>
    </row>
    <row r="14553">
      <c r="D14553" s="185"/>
      <c r="E14553" s="185" t="s">
        <v>470</v>
      </c>
      <c r="H14553" s="185"/>
    </row>
    <row r="14554">
      <c r="D14554" s="185"/>
      <c r="E14554" s="185" t="s">
        <v>470</v>
      </c>
      <c r="H14554" s="185"/>
    </row>
    <row r="14555">
      <c r="D14555" s="185"/>
      <c r="E14555" s="185" t="s">
        <v>470</v>
      </c>
      <c r="H14555" s="185"/>
    </row>
    <row r="14556">
      <c r="D14556" s="185"/>
      <c r="E14556" s="185" t="s">
        <v>470</v>
      </c>
      <c r="H14556" s="185"/>
    </row>
    <row r="14557">
      <c r="D14557" s="185"/>
      <c r="E14557" s="185" t="s">
        <v>470</v>
      </c>
      <c r="H14557" s="185"/>
    </row>
    <row r="14558">
      <c r="D14558" s="185"/>
      <c r="E14558" s="185" t="s">
        <v>470</v>
      </c>
      <c r="H14558" s="185"/>
    </row>
    <row r="14559">
      <c r="D14559" s="185"/>
      <c r="E14559" s="185" t="s">
        <v>470</v>
      </c>
      <c r="H14559" s="185"/>
    </row>
    <row r="14560">
      <c r="D14560" s="185"/>
      <c r="E14560" s="185" t="s">
        <v>470</v>
      </c>
      <c r="H14560" s="185"/>
    </row>
    <row r="14561">
      <c r="D14561" s="185"/>
      <c r="E14561" s="185" t="s">
        <v>470</v>
      </c>
      <c r="H14561" s="185"/>
    </row>
    <row r="14562">
      <c r="D14562" s="185"/>
      <c r="E14562" s="185" t="s">
        <v>470</v>
      </c>
      <c r="H14562" s="185"/>
    </row>
    <row r="14563">
      <c r="D14563" s="185"/>
      <c r="E14563" s="185" t="s">
        <v>470</v>
      </c>
      <c r="H14563" s="185"/>
    </row>
    <row r="14564">
      <c r="D14564" s="185"/>
      <c r="E14564" s="185" t="s">
        <v>470</v>
      </c>
      <c r="H14564" s="185"/>
    </row>
    <row r="14565">
      <c r="D14565" s="185"/>
      <c r="E14565" s="185" t="s">
        <v>470</v>
      </c>
      <c r="H14565" s="185"/>
    </row>
    <row r="14566">
      <c r="D14566" s="185"/>
      <c r="E14566" s="185" t="s">
        <v>470</v>
      </c>
      <c r="H14566" s="185"/>
    </row>
    <row r="14567">
      <c r="D14567" s="185"/>
      <c r="E14567" s="185" t="s">
        <v>470</v>
      </c>
      <c r="H14567" s="185"/>
    </row>
    <row r="14568">
      <c r="D14568" s="185"/>
      <c r="E14568" s="185" t="s">
        <v>470</v>
      </c>
      <c r="H14568" s="185"/>
    </row>
    <row r="14569">
      <c r="D14569" s="185"/>
      <c r="E14569" s="185" t="s">
        <v>470</v>
      </c>
      <c r="H14569" s="185"/>
    </row>
    <row r="14570">
      <c r="D14570" s="185"/>
      <c r="E14570" s="185" t="s">
        <v>470</v>
      </c>
      <c r="H14570" s="185"/>
    </row>
    <row r="14571">
      <c r="D14571" s="185"/>
      <c r="E14571" s="185" t="s">
        <v>470</v>
      </c>
      <c r="H14571" s="185"/>
    </row>
    <row r="14572">
      <c r="D14572" s="185"/>
      <c r="E14572" s="185" t="s">
        <v>470</v>
      </c>
      <c r="H14572" s="185"/>
    </row>
    <row r="14573">
      <c r="D14573" s="185"/>
      <c r="E14573" s="185" t="s">
        <v>470</v>
      </c>
      <c r="H14573" s="185"/>
    </row>
    <row r="14574">
      <c r="D14574" s="185"/>
      <c r="E14574" s="185" t="s">
        <v>470</v>
      </c>
      <c r="H14574" s="185"/>
    </row>
    <row r="14575">
      <c r="D14575" s="185"/>
      <c r="E14575" s="185" t="s">
        <v>470</v>
      </c>
      <c r="H14575" s="185"/>
    </row>
    <row r="14576">
      <c r="D14576" s="185"/>
      <c r="E14576" s="185" t="s">
        <v>470</v>
      </c>
      <c r="H14576" s="185"/>
    </row>
    <row r="14577">
      <c r="D14577" s="185"/>
      <c r="E14577" s="185" t="s">
        <v>470</v>
      </c>
      <c r="H14577" s="185"/>
    </row>
    <row r="14578">
      <c r="D14578" s="185"/>
      <c r="E14578" s="185" t="s">
        <v>470</v>
      </c>
      <c r="H14578" s="185"/>
    </row>
    <row r="14579">
      <c r="D14579" s="185"/>
      <c r="E14579" s="185" t="s">
        <v>470</v>
      </c>
      <c r="H14579" s="185"/>
    </row>
    <row r="14580">
      <c r="D14580" s="185"/>
      <c r="E14580" s="185" t="s">
        <v>470</v>
      </c>
      <c r="H14580" s="185"/>
    </row>
    <row r="14581">
      <c r="D14581" s="185"/>
      <c r="E14581" s="185" t="s">
        <v>470</v>
      </c>
      <c r="H14581" s="185"/>
    </row>
    <row r="14582">
      <c r="D14582" s="185"/>
      <c r="E14582" s="185" t="s">
        <v>470</v>
      </c>
      <c r="H14582" s="185"/>
    </row>
    <row r="14583">
      <c r="D14583" s="185"/>
      <c r="E14583" s="185" t="s">
        <v>470</v>
      </c>
      <c r="H14583" s="185"/>
    </row>
    <row r="14584">
      <c r="D14584" s="185"/>
      <c r="E14584" s="185" t="s">
        <v>470</v>
      </c>
      <c r="H14584" s="185"/>
    </row>
    <row r="14585">
      <c r="D14585" s="185"/>
      <c r="E14585" s="185" t="s">
        <v>470</v>
      </c>
      <c r="H14585" s="185"/>
    </row>
    <row r="14586">
      <c r="D14586" s="185"/>
      <c r="E14586" s="185" t="s">
        <v>470</v>
      </c>
      <c r="H14586" s="185"/>
    </row>
    <row r="14587">
      <c r="D14587" s="185"/>
      <c r="E14587" s="185" t="s">
        <v>470</v>
      </c>
      <c r="H14587" s="185"/>
    </row>
    <row r="14588">
      <c r="D14588" s="185"/>
      <c r="E14588" s="185" t="s">
        <v>470</v>
      </c>
      <c r="H14588" s="185"/>
    </row>
    <row r="14589">
      <c r="D14589" s="185"/>
      <c r="E14589" s="185" t="s">
        <v>470</v>
      </c>
      <c r="H14589" s="185"/>
    </row>
    <row r="14590">
      <c r="D14590" s="185"/>
      <c r="E14590" s="185" t="s">
        <v>470</v>
      </c>
      <c r="H14590" s="185"/>
    </row>
    <row r="14591">
      <c r="D14591" s="185"/>
      <c r="E14591" s="185" t="s">
        <v>470</v>
      </c>
      <c r="H14591" s="185"/>
    </row>
    <row r="14592">
      <c r="D14592" s="185"/>
      <c r="E14592" s="185" t="s">
        <v>470</v>
      </c>
      <c r="H14592" s="185"/>
    </row>
    <row r="14593">
      <c r="D14593" s="185"/>
      <c r="E14593" s="185" t="s">
        <v>470</v>
      </c>
      <c r="H14593" s="185"/>
    </row>
    <row r="14594">
      <c r="D14594" s="185"/>
      <c r="E14594" s="185" t="s">
        <v>470</v>
      </c>
      <c r="H14594" s="185"/>
    </row>
    <row r="14595">
      <c r="D14595" s="185"/>
      <c r="E14595" s="185" t="s">
        <v>470</v>
      </c>
      <c r="H14595" s="185"/>
    </row>
    <row r="14596">
      <c r="D14596" s="185"/>
      <c r="E14596" s="185" t="s">
        <v>470</v>
      </c>
      <c r="H14596" s="185"/>
    </row>
    <row r="14597">
      <c r="D14597" s="185"/>
      <c r="E14597" s="185" t="s">
        <v>470</v>
      </c>
      <c r="H14597" s="185"/>
    </row>
    <row r="14598">
      <c r="D14598" s="185"/>
      <c r="E14598" s="185" t="s">
        <v>470</v>
      </c>
      <c r="H14598" s="185"/>
    </row>
    <row r="14599">
      <c r="D14599" s="185"/>
      <c r="E14599" s="185" t="s">
        <v>470</v>
      </c>
      <c r="H14599" s="185"/>
    </row>
    <row r="14600">
      <c r="D14600" s="185"/>
      <c r="E14600" s="185" t="s">
        <v>470</v>
      </c>
      <c r="H14600" s="185"/>
    </row>
    <row r="14601">
      <c r="D14601" s="185"/>
      <c r="E14601" s="185" t="s">
        <v>470</v>
      </c>
      <c r="H14601" s="185"/>
    </row>
    <row r="14602">
      <c r="D14602" s="185"/>
      <c r="E14602" s="185" t="s">
        <v>470</v>
      </c>
      <c r="H14602" s="185"/>
    </row>
    <row r="14603">
      <c r="D14603" s="185"/>
      <c r="E14603" s="185" t="s">
        <v>470</v>
      </c>
      <c r="H14603" s="185"/>
    </row>
    <row r="14604">
      <c r="D14604" s="185"/>
      <c r="E14604" s="185" t="s">
        <v>470</v>
      </c>
      <c r="H14604" s="185"/>
    </row>
    <row r="14605">
      <c r="D14605" s="185"/>
      <c r="E14605" s="185" t="s">
        <v>470</v>
      </c>
      <c r="H14605" s="185"/>
    </row>
    <row r="14606">
      <c r="D14606" s="185"/>
      <c r="E14606" s="185" t="s">
        <v>470</v>
      </c>
      <c r="H14606" s="185"/>
    </row>
    <row r="14607">
      <c r="D14607" s="185"/>
      <c r="E14607" s="185" t="s">
        <v>470</v>
      </c>
      <c r="H14607" s="185"/>
    </row>
    <row r="14608">
      <c r="D14608" s="185"/>
      <c r="E14608" s="185" t="s">
        <v>470</v>
      </c>
      <c r="H14608" s="185"/>
    </row>
    <row r="14609">
      <c r="D14609" s="185"/>
      <c r="E14609" s="185" t="s">
        <v>470</v>
      </c>
      <c r="H14609" s="185"/>
    </row>
    <row r="14610">
      <c r="D14610" s="185"/>
      <c r="E14610" s="185" t="s">
        <v>470</v>
      </c>
      <c r="H14610" s="185"/>
    </row>
    <row r="14611">
      <c r="D14611" s="185"/>
      <c r="E14611" s="185" t="s">
        <v>470</v>
      </c>
      <c r="H14611" s="185"/>
    </row>
    <row r="14612">
      <c r="D14612" s="185"/>
      <c r="E14612" s="185" t="s">
        <v>470</v>
      </c>
      <c r="H14612" s="185"/>
    </row>
    <row r="14613">
      <c r="D14613" s="185"/>
      <c r="E14613" s="185" t="s">
        <v>470</v>
      </c>
      <c r="H14613" s="185"/>
    </row>
    <row r="14614">
      <c r="D14614" s="185"/>
      <c r="E14614" s="185" t="s">
        <v>470</v>
      </c>
      <c r="H14614" s="185"/>
    </row>
    <row r="14615">
      <c r="D14615" s="185"/>
      <c r="E14615" s="185" t="s">
        <v>470</v>
      </c>
      <c r="H14615" s="185"/>
    </row>
    <row r="14616">
      <c r="D14616" s="185"/>
      <c r="E14616" s="185" t="s">
        <v>470</v>
      </c>
      <c r="H14616" s="185"/>
    </row>
    <row r="14617">
      <c r="D14617" s="185"/>
      <c r="E14617" s="185" t="s">
        <v>470</v>
      </c>
      <c r="H14617" s="185"/>
    </row>
    <row r="14618">
      <c r="D14618" s="185"/>
      <c r="E14618" s="185" t="s">
        <v>470</v>
      </c>
      <c r="H14618" s="185"/>
    </row>
    <row r="14619">
      <c r="D14619" s="185"/>
      <c r="E14619" s="185" t="s">
        <v>470</v>
      </c>
      <c r="H14619" s="185"/>
    </row>
    <row r="14620">
      <c r="D14620" s="185"/>
      <c r="E14620" s="185" t="s">
        <v>470</v>
      </c>
      <c r="H14620" s="185"/>
    </row>
    <row r="14621">
      <c r="D14621" s="185"/>
      <c r="E14621" s="185" t="s">
        <v>470</v>
      </c>
      <c r="H14621" s="185"/>
    </row>
    <row r="14622">
      <c r="D14622" s="185"/>
      <c r="E14622" s="185" t="s">
        <v>470</v>
      </c>
      <c r="H14622" s="185"/>
    </row>
    <row r="14623">
      <c r="D14623" s="185"/>
      <c r="E14623" s="185" t="s">
        <v>470</v>
      </c>
      <c r="H14623" s="185"/>
    </row>
    <row r="14624">
      <c r="D14624" s="185"/>
      <c r="E14624" s="185" t="s">
        <v>470</v>
      </c>
      <c r="H14624" s="185"/>
    </row>
    <row r="14625">
      <c r="D14625" s="185"/>
      <c r="E14625" s="185" t="s">
        <v>470</v>
      </c>
      <c r="H14625" s="185"/>
    </row>
    <row r="14626">
      <c r="D14626" s="185"/>
      <c r="E14626" s="185" t="s">
        <v>470</v>
      </c>
      <c r="H14626" s="185"/>
    </row>
    <row r="14627">
      <c r="D14627" s="185"/>
      <c r="E14627" s="185" t="s">
        <v>470</v>
      </c>
      <c r="H14627" s="185"/>
    </row>
    <row r="14628">
      <c r="D14628" s="185"/>
      <c r="E14628" s="185" t="s">
        <v>470</v>
      </c>
      <c r="H14628" s="185"/>
    </row>
    <row r="14629">
      <c r="D14629" s="185"/>
      <c r="E14629" s="185" t="s">
        <v>470</v>
      </c>
      <c r="H14629" s="185"/>
    </row>
    <row r="14630">
      <c r="D14630" s="185"/>
      <c r="E14630" s="185" t="s">
        <v>470</v>
      </c>
      <c r="H14630" s="185"/>
    </row>
    <row r="14631">
      <c r="D14631" s="185"/>
      <c r="E14631" s="185" t="s">
        <v>470</v>
      </c>
      <c r="H14631" s="185"/>
    </row>
    <row r="14632">
      <c r="D14632" s="185"/>
      <c r="E14632" s="185" t="s">
        <v>470</v>
      </c>
      <c r="H14632" s="185"/>
    </row>
    <row r="14633">
      <c r="D14633" s="185"/>
      <c r="E14633" s="185" t="s">
        <v>470</v>
      </c>
      <c r="H14633" s="185"/>
    </row>
    <row r="14634">
      <c r="D14634" s="185"/>
      <c r="E14634" s="185" t="s">
        <v>470</v>
      </c>
      <c r="H14634" s="185"/>
    </row>
    <row r="14635">
      <c r="D14635" s="185"/>
      <c r="E14635" s="185" t="s">
        <v>470</v>
      </c>
      <c r="H14635" s="185"/>
    </row>
    <row r="14636">
      <c r="D14636" s="185"/>
      <c r="E14636" s="185" t="s">
        <v>470</v>
      </c>
      <c r="H14636" s="185"/>
    </row>
    <row r="14637">
      <c r="D14637" s="185"/>
      <c r="E14637" s="185" t="s">
        <v>470</v>
      </c>
      <c r="H14637" s="185"/>
    </row>
    <row r="14638">
      <c r="D14638" s="185"/>
      <c r="E14638" s="185" t="s">
        <v>470</v>
      </c>
      <c r="H14638" s="185"/>
    </row>
    <row r="14639">
      <c r="D14639" s="185"/>
      <c r="E14639" s="185" t="s">
        <v>470</v>
      </c>
      <c r="H14639" s="185"/>
    </row>
    <row r="14640">
      <c r="D14640" s="185"/>
      <c r="E14640" s="185" t="s">
        <v>470</v>
      </c>
      <c r="H14640" s="185"/>
    </row>
    <row r="14641">
      <c r="D14641" s="185"/>
      <c r="E14641" s="185" t="s">
        <v>470</v>
      </c>
      <c r="H14641" s="185"/>
    </row>
    <row r="14642">
      <c r="D14642" s="185"/>
      <c r="E14642" s="185" t="s">
        <v>470</v>
      </c>
      <c r="H14642" s="185"/>
    </row>
    <row r="14643">
      <c r="D14643" s="185"/>
      <c r="E14643" s="185" t="s">
        <v>470</v>
      </c>
      <c r="H14643" s="185"/>
    </row>
    <row r="14644">
      <c r="D14644" s="185"/>
      <c r="E14644" s="185" t="s">
        <v>470</v>
      </c>
      <c r="H14644" s="185"/>
    </row>
    <row r="14645">
      <c r="D14645" s="185"/>
      <c r="E14645" s="185" t="s">
        <v>470</v>
      </c>
      <c r="H14645" s="185"/>
    </row>
    <row r="14646">
      <c r="D14646" s="185"/>
      <c r="E14646" s="185" t="s">
        <v>470</v>
      </c>
      <c r="H14646" s="185"/>
    </row>
    <row r="14647">
      <c r="D14647" s="185"/>
      <c r="E14647" s="185" t="s">
        <v>470</v>
      </c>
      <c r="H14647" s="185"/>
    </row>
    <row r="14648">
      <c r="D14648" s="185"/>
      <c r="E14648" s="185" t="s">
        <v>470</v>
      </c>
      <c r="H14648" s="185"/>
    </row>
    <row r="14649">
      <c r="D14649" s="185"/>
      <c r="E14649" s="185" t="s">
        <v>470</v>
      </c>
      <c r="H14649" s="185"/>
    </row>
    <row r="14650">
      <c r="D14650" s="185"/>
      <c r="E14650" s="185" t="s">
        <v>470</v>
      </c>
      <c r="H14650" s="185"/>
    </row>
    <row r="14651">
      <c r="D14651" s="185"/>
      <c r="E14651" s="185" t="s">
        <v>470</v>
      </c>
      <c r="H14651" s="185"/>
    </row>
    <row r="14652">
      <c r="D14652" s="185"/>
      <c r="E14652" s="185" t="s">
        <v>470</v>
      </c>
      <c r="H14652" s="185"/>
    </row>
    <row r="14653">
      <c r="D14653" s="185"/>
      <c r="E14653" s="185" t="s">
        <v>470</v>
      </c>
      <c r="H14653" s="185"/>
    </row>
    <row r="14654">
      <c r="D14654" s="185"/>
      <c r="E14654" s="185" t="s">
        <v>470</v>
      </c>
      <c r="H14654" s="185"/>
    </row>
    <row r="14655">
      <c r="D14655" s="185"/>
      <c r="E14655" s="185" t="s">
        <v>470</v>
      </c>
      <c r="H14655" s="185"/>
    </row>
    <row r="14656">
      <c r="D14656" s="185"/>
      <c r="E14656" s="185" t="s">
        <v>470</v>
      </c>
      <c r="H14656" s="185"/>
    </row>
    <row r="14657">
      <c r="D14657" s="185"/>
      <c r="E14657" s="185" t="s">
        <v>470</v>
      </c>
      <c r="H14657" s="185"/>
    </row>
    <row r="14658">
      <c r="D14658" s="185"/>
      <c r="E14658" s="185" t="s">
        <v>470</v>
      </c>
      <c r="H14658" s="185"/>
    </row>
    <row r="14659">
      <c r="D14659" s="185"/>
      <c r="E14659" s="185" t="s">
        <v>470</v>
      </c>
      <c r="H14659" s="185"/>
    </row>
    <row r="14660">
      <c r="D14660" s="185"/>
      <c r="E14660" s="185" t="s">
        <v>470</v>
      </c>
      <c r="H14660" s="185"/>
    </row>
    <row r="14661">
      <c r="D14661" s="185"/>
      <c r="E14661" s="185" t="s">
        <v>470</v>
      </c>
      <c r="H14661" s="185"/>
    </row>
    <row r="14662">
      <c r="D14662" s="185"/>
      <c r="E14662" s="185" t="s">
        <v>470</v>
      </c>
      <c r="H14662" s="185"/>
    </row>
    <row r="14663">
      <c r="D14663" s="185"/>
      <c r="E14663" s="185" t="s">
        <v>470</v>
      </c>
      <c r="H14663" s="185"/>
    </row>
    <row r="14664">
      <c r="D14664" s="185"/>
      <c r="E14664" s="185" t="s">
        <v>470</v>
      </c>
      <c r="H14664" s="185"/>
    </row>
    <row r="14665">
      <c r="D14665" s="185"/>
      <c r="E14665" s="185" t="s">
        <v>470</v>
      </c>
      <c r="H14665" s="185"/>
    </row>
    <row r="14666">
      <c r="D14666" s="185"/>
      <c r="E14666" s="185" t="s">
        <v>470</v>
      </c>
      <c r="H14666" s="185"/>
    </row>
    <row r="14667">
      <c r="D14667" s="185"/>
      <c r="E14667" s="185" t="s">
        <v>470</v>
      </c>
      <c r="H14667" s="185"/>
    </row>
    <row r="14668">
      <c r="D14668" s="185"/>
      <c r="E14668" s="185" t="s">
        <v>470</v>
      </c>
      <c r="H14668" s="185"/>
    </row>
    <row r="14669">
      <c r="D14669" s="185"/>
      <c r="E14669" s="185" t="s">
        <v>470</v>
      </c>
      <c r="H14669" s="185"/>
    </row>
    <row r="14670">
      <c r="D14670" s="185"/>
      <c r="E14670" s="185" t="s">
        <v>470</v>
      </c>
      <c r="H14670" s="185"/>
    </row>
    <row r="14671">
      <c r="D14671" s="185"/>
      <c r="E14671" s="185" t="s">
        <v>470</v>
      </c>
      <c r="H14671" s="185"/>
    </row>
    <row r="14672">
      <c r="D14672" s="185"/>
      <c r="E14672" s="185" t="s">
        <v>470</v>
      </c>
      <c r="H14672" s="185"/>
    </row>
    <row r="14673">
      <c r="D14673" s="185"/>
      <c r="E14673" s="185" t="s">
        <v>470</v>
      </c>
      <c r="H14673" s="185"/>
    </row>
    <row r="14674">
      <c r="D14674" s="185"/>
      <c r="E14674" s="185" t="s">
        <v>470</v>
      </c>
      <c r="H14674" s="185"/>
    </row>
    <row r="14675">
      <c r="D14675" s="185"/>
      <c r="E14675" s="185" t="s">
        <v>470</v>
      </c>
      <c r="H14675" s="185"/>
    </row>
    <row r="14676">
      <c r="D14676" s="185"/>
      <c r="E14676" s="185" t="s">
        <v>470</v>
      </c>
      <c r="H14676" s="185"/>
    </row>
    <row r="14677">
      <c r="D14677" s="185"/>
      <c r="E14677" s="185" t="s">
        <v>470</v>
      </c>
      <c r="H14677" s="185"/>
    </row>
    <row r="14678">
      <c r="D14678" s="185"/>
      <c r="E14678" s="185" t="s">
        <v>470</v>
      </c>
      <c r="H14678" s="185"/>
    </row>
    <row r="14679">
      <c r="D14679" s="185"/>
      <c r="E14679" s="185" t="s">
        <v>470</v>
      </c>
      <c r="H14679" s="185"/>
    </row>
    <row r="14680">
      <c r="D14680" s="185"/>
      <c r="E14680" s="185" t="s">
        <v>470</v>
      </c>
      <c r="H14680" s="185"/>
    </row>
    <row r="14681">
      <c r="D14681" s="185"/>
      <c r="E14681" s="185" t="s">
        <v>470</v>
      </c>
      <c r="H14681" s="185"/>
    </row>
    <row r="14682">
      <c r="D14682" s="185"/>
      <c r="E14682" s="185" t="s">
        <v>470</v>
      </c>
      <c r="H14682" s="185"/>
    </row>
    <row r="14683">
      <c r="D14683" s="185"/>
      <c r="E14683" s="185" t="s">
        <v>470</v>
      </c>
      <c r="H14683" s="185"/>
    </row>
    <row r="14684">
      <c r="D14684" s="185"/>
      <c r="E14684" s="185" t="s">
        <v>470</v>
      </c>
      <c r="H14684" s="185"/>
    </row>
    <row r="14685">
      <c r="D14685" s="185"/>
      <c r="E14685" s="185" t="s">
        <v>470</v>
      </c>
      <c r="H14685" s="185"/>
    </row>
    <row r="14686">
      <c r="D14686" s="185"/>
      <c r="E14686" s="185" t="s">
        <v>470</v>
      </c>
      <c r="H14686" s="185"/>
    </row>
    <row r="14687">
      <c r="D14687" s="185"/>
      <c r="E14687" s="185" t="s">
        <v>470</v>
      </c>
      <c r="H14687" s="185"/>
    </row>
    <row r="14688">
      <c r="D14688" s="185"/>
      <c r="E14688" s="185" t="s">
        <v>470</v>
      </c>
      <c r="H14688" s="185"/>
    </row>
    <row r="14689">
      <c r="D14689" s="185"/>
      <c r="E14689" s="185" t="s">
        <v>470</v>
      </c>
      <c r="H14689" s="185"/>
    </row>
    <row r="14690">
      <c r="D14690" s="185"/>
      <c r="E14690" s="185" t="s">
        <v>470</v>
      </c>
      <c r="H14690" s="185"/>
    </row>
    <row r="14691">
      <c r="D14691" s="185"/>
      <c r="E14691" s="185" t="s">
        <v>470</v>
      </c>
      <c r="H14691" s="185"/>
    </row>
    <row r="14692">
      <c r="D14692" s="185"/>
      <c r="E14692" s="185" t="s">
        <v>470</v>
      </c>
      <c r="H14692" s="185"/>
    </row>
    <row r="14693">
      <c r="D14693" s="185"/>
      <c r="E14693" s="185" t="s">
        <v>470</v>
      </c>
      <c r="H14693" s="185"/>
    </row>
    <row r="14694">
      <c r="D14694" s="185"/>
      <c r="E14694" s="185" t="s">
        <v>470</v>
      </c>
      <c r="H14694" s="185"/>
    </row>
    <row r="14695">
      <c r="D14695" s="185"/>
      <c r="E14695" s="185" t="s">
        <v>470</v>
      </c>
      <c r="H14695" s="185"/>
    </row>
    <row r="14696">
      <c r="D14696" s="185"/>
      <c r="E14696" s="185" t="s">
        <v>470</v>
      </c>
      <c r="H14696" s="185"/>
    </row>
    <row r="14697">
      <c r="D14697" s="185"/>
      <c r="E14697" s="185" t="s">
        <v>470</v>
      </c>
      <c r="H14697" s="185"/>
    </row>
    <row r="14698">
      <c r="D14698" s="185"/>
      <c r="E14698" s="185" t="s">
        <v>470</v>
      </c>
      <c r="H14698" s="185"/>
    </row>
    <row r="14699">
      <c r="D14699" s="185"/>
      <c r="E14699" s="185" t="s">
        <v>470</v>
      </c>
      <c r="H14699" s="185"/>
    </row>
    <row r="14700">
      <c r="D14700" s="185"/>
      <c r="E14700" s="185" t="s">
        <v>470</v>
      </c>
      <c r="H14700" s="185"/>
    </row>
    <row r="14701">
      <c r="D14701" s="185"/>
      <c r="E14701" s="185" t="s">
        <v>470</v>
      </c>
      <c r="H14701" s="185"/>
    </row>
    <row r="14702">
      <c r="D14702" s="185"/>
      <c r="E14702" s="185" t="s">
        <v>470</v>
      </c>
      <c r="H14702" s="185"/>
    </row>
    <row r="14703">
      <c r="D14703" s="185"/>
      <c r="E14703" s="185" t="s">
        <v>470</v>
      </c>
      <c r="H14703" s="185"/>
    </row>
    <row r="14704">
      <c r="D14704" s="185"/>
      <c r="E14704" s="185" t="s">
        <v>470</v>
      </c>
      <c r="H14704" s="185"/>
    </row>
    <row r="14705">
      <c r="D14705" s="185"/>
      <c r="E14705" s="185" t="s">
        <v>470</v>
      </c>
      <c r="H14705" s="185"/>
    </row>
    <row r="14706">
      <c r="D14706" s="185"/>
      <c r="E14706" s="185" t="s">
        <v>470</v>
      </c>
      <c r="H14706" s="185"/>
    </row>
    <row r="14707">
      <c r="D14707" s="185"/>
      <c r="E14707" s="185" t="s">
        <v>470</v>
      </c>
      <c r="H14707" s="185"/>
    </row>
    <row r="14708">
      <c r="D14708" s="185"/>
      <c r="E14708" s="185" t="s">
        <v>470</v>
      </c>
      <c r="H14708" s="185"/>
    </row>
    <row r="14709">
      <c r="D14709" s="185"/>
      <c r="E14709" s="185" t="s">
        <v>470</v>
      </c>
      <c r="H14709" s="185"/>
    </row>
    <row r="14710">
      <c r="D14710" s="185"/>
      <c r="E14710" s="185" t="s">
        <v>470</v>
      </c>
      <c r="H14710" s="185"/>
    </row>
    <row r="14711">
      <c r="D14711" s="185"/>
      <c r="E14711" s="185" t="s">
        <v>470</v>
      </c>
      <c r="H14711" s="185"/>
    </row>
    <row r="14712">
      <c r="D14712" s="185"/>
      <c r="E14712" s="185" t="s">
        <v>470</v>
      </c>
      <c r="H14712" s="185"/>
    </row>
    <row r="14713">
      <c r="D14713" s="185"/>
      <c r="E14713" s="185" t="s">
        <v>470</v>
      </c>
      <c r="H14713" s="185"/>
    </row>
    <row r="14714">
      <c r="D14714" s="185"/>
      <c r="E14714" s="185" t="s">
        <v>470</v>
      </c>
      <c r="H14714" s="185"/>
    </row>
    <row r="14715">
      <c r="D14715" s="185"/>
      <c r="E14715" s="185" t="s">
        <v>470</v>
      </c>
      <c r="H14715" s="185"/>
    </row>
    <row r="14716">
      <c r="D14716" s="185"/>
      <c r="E14716" s="185" t="s">
        <v>470</v>
      </c>
      <c r="H14716" s="185"/>
    </row>
    <row r="14717">
      <c r="D14717" s="185"/>
      <c r="E14717" s="185" t="s">
        <v>470</v>
      </c>
      <c r="H14717" s="185"/>
    </row>
    <row r="14718">
      <c r="D14718" s="185"/>
      <c r="E14718" s="185" t="s">
        <v>470</v>
      </c>
      <c r="H14718" s="185"/>
    </row>
    <row r="14719">
      <c r="D14719" s="185"/>
      <c r="E14719" s="185" t="s">
        <v>470</v>
      </c>
      <c r="H14719" s="185"/>
    </row>
    <row r="14720">
      <c r="D14720" s="185"/>
      <c r="E14720" s="185" t="s">
        <v>470</v>
      </c>
      <c r="H14720" s="185"/>
    </row>
    <row r="14721">
      <c r="D14721" s="185"/>
      <c r="E14721" s="185" t="s">
        <v>470</v>
      </c>
      <c r="H14721" s="185"/>
    </row>
    <row r="14722">
      <c r="D14722" s="185"/>
      <c r="E14722" s="185" t="s">
        <v>470</v>
      </c>
      <c r="H14722" s="185"/>
    </row>
    <row r="14723">
      <c r="D14723" s="185"/>
      <c r="E14723" s="185" t="s">
        <v>470</v>
      </c>
      <c r="H14723" s="185"/>
    </row>
    <row r="14724">
      <c r="D14724" s="185"/>
      <c r="E14724" s="185" t="s">
        <v>470</v>
      </c>
      <c r="H14724" s="185"/>
    </row>
    <row r="14725">
      <c r="D14725" s="185"/>
      <c r="E14725" s="185" t="s">
        <v>470</v>
      </c>
      <c r="H14725" s="185"/>
    </row>
    <row r="14726">
      <c r="D14726" s="185"/>
      <c r="E14726" s="185" t="s">
        <v>470</v>
      </c>
      <c r="H14726" s="185"/>
    </row>
    <row r="14727">
      <c r="D14727" s="185"/>
      <c r="E14727" s="185" t="s">
        <v>470</v>
      </c>
      <c r="H14727" s="185"/>
    </row>
    <row r="14728">
      <c r="D14728" s="185"/>
      <c r="E14728" s="185" t="s">
        <v>470</v>
      </c>
      <c r="H14728" s="185"/>
    </row>
    <row r="14729">
      <c r="D14729" s="185"/>
      <c r="E14729" s="185" t="s">
        <v>470</v>
      </c>
      <c r="H14729" s="185"/>
    </row>
    <row r="14730">
      <c r="D14730" s="185"/>
      <c r="E14730" s="185" t="s">
        <v>470</v>
      </c>
      <c r="H14730" s="185"/>
    </row>
    <row r="14731">
      <c r="D14731" s="185"/>
      <c r="E14731" s="185" t="s">
        <v>470</v>
      </c>
      <c r="H14731" s="185"/>
    </row>
    <row r="14732">
      <c r="D14732" s="185"/>
      <c r="E14732" s="185" t="s">
        <v>470</v>
      </c>
      <c r="H14732" s="185"/>
    </row>
    <row r="14733">
      <c r="D14733" s="185"/>
      <c r="E14733" s="185" t="s">
        <v>470</v>
      </c>
      <c r="H14733" s="185"/>
    </row>
    <row r="14734">
      <c r="D14734" s="185"/>
      <c r="E14734" s="185" t="s">
        <v>470</v>
      </c>
      <c r="H14734" s="185"/>
    </row>
    <row r="14735">
      <c r="D14735" s="185"/>
      <c r="E14735" s="185" t="s">
        <v>470</v>
      </c>
      <c r="H14735" s="185"/>
    </row>
    <row r="14736">
      <c r="D14736" s="185"/>
      <c r="E14736" s="185" t="s">
        <v>470</v>
      </c>
      <c r="H14736" s="185"/>
    </row>
    <row r="14737">
      <c r="D14737" s="185"/>
      <c r="E14737" s="185" t="s">
        <v>470</v>
      </c>
      <c r="H14737" s="185"/>
    </row>
    <row r="14738">
      <c r="D14738" s="185"/>
      <c r="E14738" s="185" t="s">
        <v>470</v>
      </c>
      <c r="H14738" s="185"/>
    </row>
    <row r="14739">
      <c r="D14739" s="185"/>
      <c r="E14739" s="185" t="s">
        <v>470</v>
      </c>
      <c r="H14739" s="185"/>
    </row>
    <row r="14740">
      <c r="D14740" s="185"/>
      <c r="E14740" s="185" t="s">
        <v>470</v>
      </c>
      <c r="H14740" s="185"/>
    </row>
    <row r="14741">
      <c r="D14741" s="185"/>
      <c r="E14741" s="185" t="s">
        <v>470</v>
      </c>
      <c r="H14741" s="185"/>
    </row>
    <row r="14742">
      <c r="D14742" s="185"/>
      <c r="E14742" s="185" t="s">
        <v>470</v>
      </c>
      <c r="H14742" s="185"/>
    </row>
    <row r="14743">
      <c r="D14743" s="185"/>
      <c r="E14743" s="185" t="s">
        <v>470</v>
      </c>
      <c r="H14743" s="185"/>
    </row>
    <row r="14744">
      <c r="D14744" s="185"/>
      <c r="E14744" s="185" t="s">
        <v>470</v>
      </c>
      <c r="H14744" s="185"/>
    </row>
    <row r="14745">
      <c r="D14745" s="185"/>
      <c r="E14745" s="185" t="s">
        <v>470</v>
      </c>
      <c r="H14745" s="185"/>
    </row>
    <row r="14746">
      <c r="D14746" s="185"/>
      <c r="E14746" s="185" t="s">
        <v>470</v>
      </c>
      <c r="H14746" s="185"/>
    </row>
    <row r="14747">
      <c r="D14747" s="185"/>
      <c r="E14747" s="185" t="s">
        <v>470</v>
      </c>
      <c r="H14747" s="185"/>
    </row>
    <row r="14748">
      <c r="D14748" s="185"/>
      <c r="E14748" s="185" t="s">
        <v>470</v>
      </c>
      <c r="H14748" s="185"/>
    </row>
    <row r="14749">
      <c r="D14749" s="185"/>
      <c r="E14749" s="185" t="s">
        <v>470</v>
      </c>
      <c r="H14749" s="185"/>
    </row>
    <row r="14750">
      <c r="D14750" s="185"/>
      <c r="E14750" s="185" t="s">
        <v>470</v>
      </c>
      <c r="H14750" s="185"/>
    </row>
    <row r="14751">
      <c r="D14751" s="185"/>
      <c r="E14751" s="185" t="s">
        <v>470</v>
      </c>
      <c r="H14751" s="185"/>
    </row>
    <row r="14752">
      <c r="D14752" s="185"/>
      <c r="E14752" s="185" t="s">
        <v>470</v>
      </c>
      <c r="H14752" s="185"/>
    </row>
    <row r="14753">
      <c r="D14753" s="185"/>
      <c r="E14753" s="185" t="s">
        <v>470</v>
      </c>
      <c r="H14753" s="185"/>
    </row>
    <row r="14754">
      <c r="D14754" s="185"/>
      <c r="E14754" s="185" t="s">
        <v>470</v>
      </c>
      <c r="H14754" s="185"/>
    </row>
    <row r="14755">
      <c r="D14755" s="185"/>
      <c r="E14755" s="185" t="s">
        <v>470</v>
      </c>
      <c r="H14755" s="185"/>
    </row>
    <row r="14756">
      <c r="D14756" s="185"/>
      <c r="E14756" s="185" t="s">
        <v>470</v>
      </c>
      <c r="H14756" s="185"/>
    </row>
    <row r="14757">
      <c r="D14757" s="185"/>
      <c r="E14757" s="185" t="s">
        <v>470</v>
      </c>
      <c r="H14757" s="185"/>
    </row>
    <row r="14758">
      <c r="D14758" s="185"/>
      <c r="E14758" s="185" t="s">
        <v>470</v>
      </c>
      <c r="H14758" s="185"/>
    </row>
    <row r="14759">
      <c r="D14759" s="185"/>
      <c r="E14759" s="185" t="s">
        <v>470</v>
      </c>
      <c r="H14759" s="185"/>
    </row>
    <row r="14760">
      <c r="D14760" s="185"/>
      <c r="E14760" s="185" t="s">
        <v>470</v>
      </c>
      <c r="H14760" s="185"/>
    </row>
    <row r="14761">
      <c r="D14761" s="185"/>
      <c r="E14761" s="185" t="s">
        <v>470</v>
      </c>
      <c r="H14761" s="185"/>
    </row>
    <row r="14762">
      <c r="D14762" s="185"/>
      <c r="E14762" s="185" t="s">
        <v>470</v>
      </c>
      <c r="H14762" s="185"/>
    </row>
    <row r="14763">
      <c r="D14763" s="185"/>
      <c r="E14763" s="185" t="s">
        <v>470</v>
      </c>
      <c r="H14763" s="185"/>
    </row>
    <row r="14764">
      <c r="D14764" s="185"/>
      <c r="E14764" s="185" t="s">
        <v>470</v>
      </c>
      <c r="H14764" s="185"/>
    </row>
    <row r="14765">
      <c r="D14765" s="185"/>
      <c r="E14765" s="185" t="s">
        <v>470</v>
      </c>
      <c r="H14765" s="185"/>
    </row>
    <row r="14766">
      <c r="D14766" s="185"/>
      <c r="E14766" s="185" t="s">
        <v>470</v>
      </c>
      <c r="H14766" s="185"/>
    </row>
    <row r="14767">
      <c r="D14767" s="185"/>
      <c r="E14767" s="185" t="s">
        <v>470</v>
      </c>
      <c r="H14767" s="185"/>
    </row>
    <row r="14768">
      <c r="D14768" s="185"/>
      <c r="E14768" s="185" t="s">
        <v>470</v>
      </c>
      <c r="H14768" s="185"/>
    </row>
    <row r="14769">
      <c r="D14769" s="185"/>
      <c r="E14769" s="185" t="s">
        <v>470</v>
      </c>
      <c r="H14769" s="185"/>
    </row>
    <row r="14770">
      <c r="D14770" s="185"/>
      <c r="E14770" s="185" t="s">
        <v>470</v>
      </c>
      <c r="H14770" s="185"/>
    </row>
    <row r="14771">
      <c r="D14771" s="185"/>
      <c r="E14771" s="185" t="s">
        <v>470</v>
      </c>
      <c r="H14771" s="185"/>
    </row>
    <row r="14772">
      <c r="D14772" s="185"/>
      <c r="E14772" s="185" t="s">
        <v>470</v>
      </c>
      <c r="H14772" s="185"/>
    </row>
    <row r="14773">
      <c r="D14773" s="185"/>
      <c r="E14773" s="185" t="s">
        <v>470</v>
      </c>
      <c r="H14773" s="185"/>
    </row>
    <row r="14774">
      <c r="D14774" s="185"/>
      <c r="E14774" s="185" t="s">
        <v>470</v>
      </c>
      <c r="H14774" s="185"/>
    </row>
    <row r="14775">
      <c r="D14775" s="185"/>
      <c r="E14775" s="185" t="s">
        <v>470</v>
      </c>
      <c r="H14775" s="185"/>
    </row>
    <row r="14776">
      <c r="D14776" s="185"/>
      <c r="E14776" s="185" t="s">
        <v>470</v>
      </c>
      <c r="H14776" s="185"/>
    </row>
    <row r="14777">
      <c r="D14777" s="185"/>
      <c r="E14777" s="185" t="s">
        <v>470</v>
      </c>
      <c r="H14777" s="185"/>
    </row>
    <row r="14778">
      <c r="D14778" s="185"/>
      <c r="E14778" s="185" t="s">
        <v>470</v>
      </c>
      <c r="H14778" s="185"/>
    </row>
    <row r="14779">
      <c r="D14779" s="185"/>
      <c r="E14779" s="185" t="s">
        <v>470</v>
      </c>
      <c r="H14779" s="185"/>
    </row>
    <row r="14780">
      <c r="D14780" s="185"/>
      <c r="E14780" s="185" t="s">
        <v>470</v>
      </c>
      <c r="H14780" s="185"/>
    </row>
    <row r="14781">
      <c r="D14781" s="185"/>
      <c r="E14781" s="185" t="s">
        <v>470</v>
      </c>
      <c r="H14781" s="185"/>
    </row>
    <row r="14782">
      <c r="D14782" s="185"/>
      <c r="E14782" s="185" t="s">
        <v>470</v>
      </c>
      <c r="H14782" s="185"/>
    </row>
    <row r="14783">
      <c r="D14783" s="185"/>
      <c r="E14783" s="185" t="s">
        <v>470</v>
      </c>
      <c r="H14783" s="185"/>
    </row>
    <row r="14784">
      <c r="D14784" s="185"/>
      <c r="E14784" s="185" t="s">
        <v>470</v>
      </c>
      <c r="H14784" s="185"/>
    </row>
    <row r="14785">
      <c r="D14785" s="185"/>
      <c r="E14785" s="185" t="s">
        <v>470</v>
      </c>
      <c r="H14785" s="185"/>
    </row>
    <row r="14786">
      <c r="D14786" s="185"/>
      <c r="E14786" s="185" t="s">
        <v>470</v>
      </c>
      <c r="H14786" s="185"/>
    </row>
    <row r="14787">
      <c r="D14787" s="185"/>
      <c r="E14787" s="185" t="s">
        <v>470</v>
      </c>
      <c r="H14787" s="185"/>
    </row>
    <row r="14788">
      <c r="D14788" s="185"/>
      <c r="E14788" s="185" t="s">
        <v>470</v>
      </c>
      <c r="H14788" s="185"/>
    </row>
    <row r="14789">
      <c r="D14789" s="185"/>
      <c r="E14789" s="185" t="s">
        <v>470</v>
      </c>
      <c r="H14789" s="185"/>
    </row>
    <row r="14790">
      <c r="D14790" s="185"/>
      <c r="E14790" s="185" t="s">
        <v>470</v>
      </c>
      <c r="H14790" s="185"/>
    </row>
    <row r="14791">
      <c r="D14791" s="185"/>
      <c r="E14791" s="185" t="s">
        <v>470</v>
      </c>
      <c r="H14791" s="185"/>
    </row>
    <row r="14792">
      <c r="D14792" s="185"/>
      <c r="E14792" s="185" t="s">
        <v>470</v>
      </c>
      <c r="H14792" s="185"/>
    </row>
    <row r="14793">
      <c r="D14793" s="185"/>
      <c r="E14793" s="185" t="s">
        <v>470</v>
      </c>
      <c r="H14793" s="185"/>
    </row>
    <row r="14794">
      <c r="D14794" s="185"/>
      <c r="E14794" s="185" t="s">
        <v>470</v>
      </c>
      <c r="H14794" s="185"/>
    </row>
    <row r="14795">
      <c r="D14795" s="185"/>
      <c r="E14795" s="185" t="s">
        <v>470</v>
      </c>
      <c r="H14795" s="185"/>
    </row>
    <row r="14796">
      <c r="D14796" s="185"/>
      <c r="E14796" s="185" t="s">
        <v>470</v>
      </c>
      <c r="H14796" s="185"/>
    </row>
    <row r="14797">
      <c r="D14797" s="185"/>
      <c r="E14797" s="185" t="s">
        <v>470</v>
      </c>
      <c r="H14797" s="185"/>
    </row>
    <row r="14798">
      <c r="D14798" s="185"/>
      <c r="E14798" s="185" t="s">
        <v>470</v>
      </c>
      <c r="H14798" s="185"/>
    </row>
    <row r="14799">
      <c r="D14799" s="185"/>
      <c r="E14799" s="185" t="s">
        <v>470</v>
      </c>
      <c r="H14799" s="185"/>
    </row>
    <row r="14800">
      <c r="D14800" s="185"/>
      <c r="E14800" s="185" t="s">
        <v>470</v>
      </c>
      <c r="H14800" s="185"/>
    </row>
    <row r="14801">
      <c r="D14801" s="185"/>
      <c r="E14801" s="185" t="s">
        <v>470</v>
      </c>
      <c r="H14801" s="185"/>
    </row>
    <row r="14802">
      <c r="D14802" s="185"/>
      <c r="E14802" s="185" t="s">
        <v>470</v>
      </c>
      <c r="H14802" s="185"/>
    </row>
    <row r="14803">
      <c r="D14803" s="185"/>
      <c r="E14803" s="185" t="s">
        <v>470</v>
      </c>
      <c r="H14803" s="185"/>
    </row>
    <row r="14804">
      <c r="D14804" s="185"/>
      <c r="E14804" s="185" t="s">
        <v>470</v>
      </c>
      <c r="H14804" s="185"/>
    </row>
    <row r="14805">
      <c r="D14805" s="185"/>
      <c r="E14805" s="185" t="s">
        <v>470</v>
      </c>
      <c r="H14805" s="185"/>
    </row>
    <row r="14806">
      <c r="D14806" s="185"/>
      <c r="E14806" s="185" t="s">
        <v>470</v>
      </c>
      <c r="H14806" s="185"/>
    </row>
    <row r="14807">
      <c r="D14807" s="185"/>
      <c r="E14807" s="185" t="s">
        <v>470</v>
      </c>
      <c r="H14807" s="185"/>
    </row>
    <row r="14808">
      <c r="D14808" s="185"/>
      <c r="E14808" s="185" t="s">
        <v>470</v>
      </c>
      <c r="H14808" s="185"/>
    </row>
    <row r="14809">
      <c r="D14809" s="185"/>
      <c r="E14809" s="185" t="s">
        <v>470</v>
      </c>
      <c r="H14809" s="185"/>
    </row>
    <row r="14810">
      <c r="D14810" s="185"/>
      <c r="E14810" s="185" t="s">
        <v>470</v>
      </c>
      <c r="H14810" s="185"/>
    </row>
    <row r="14811">
      <c r="D14811" s="185"/>
      <c r="E14811" s="185" t="s">
        <v>470</v>
      </c>
      <c r="H14811" s="185"/>
    </row>
    <row r="14812">
      <c r="D14812" s="185"/>
      <c r="E14812" s="185" t="s">
        <v>470</v>
      </c>
      <c r="H14812" s="185"/>
    </row>
    <row r="14813">
      <c r="D14813" s="185"/>
      <c r="E14813" s="185" t="s">
        <v>470</v>
      </c>
      <c r="H14813" s="185"/>
    </row>
    <row r="14814">
      <c r="D14814" s="185"/>
      <c r="E14814" s="185" t="s">
        <v>470</v>
      </c>
      <c r="H14814" s="185"/>
    </row>
    <row r="14815">
      <c r="D14815" s="185"/>
      <c r="E14815" s="185" t="s">
        <v>470</v>
      </c>
      <c r="H14815" s="185"/>
    </row>
    <row r="14816">
      <c r="D14816" s="185"/>
      <c r="E14816" s="185" t="s">
        <v>470</v>
      </c>
      <c r="H14816" s="185"/>
    </row>
    <row r="14817">
      <c r="D14817" s="185"/>
      <c r="E14817" s="185" t="s">
        <v>470</v>
      </c>
      <c r="H14817" s="185"/>
    </row>
    <row r="14818">
      <c r="D14818" s="185"/>
      <c r="E14818" s="185" t="s">
        <v>470</v>
      </c>
      <c r="H14818" s="185"/>
    </row>
    <row r="14819">
      <c r="D14819" s="185"/>
      <c r="E14819" s="185" t="s">
        <v>470</v>
      </c>
      <c r="H14819" s="185"/>
    </row>
    <row r="14820">
      <c r="D14820" s="185"/>
      <c r="E14820" s="185" t="s">
        <v>470</v>
      </c>
      <c r="H14820" s="185"/>
    </row>
    <row r="14821">
      <c r="D14821" s="185"/>
      <c r="E14821" s="185" t="s">
        <v>470</v>
      </c>
      <c r="H14821" s="185"/>
    </row>
    <row r="14822">
      <c r="D14822" s="185"/>
      <c r="E14822" s="185" t="s">
        <v>470</v>
      </c>
      <c r="H14822" s="185"/>
    </row>
    <row r="14823">
      <c r="D14823" s="185"/>
      <c r="E14823" s="185" t="s">
        <v>470</v>
      </c>
      <c r="H14823" s="185"/>
    </row>
    <row r="14824">
      <c r="D14824" s="185"/>
      <c r="E14824" s="185" t="s">
        <v>470</v>
      </c>
      <c r="H14824" s="185"/>
    </row>
    <row r="14825">
      <c r="D14825" s="185"/>
      <c r="E14825" s="185" t="s">
        <v>470</v>
      </c>
      <c r="H14825" s="185"/>
    </row>
    <row r="14826">
      <c r="D14826" s="185"/>
      <c r="E14826" s="185" t="s">
        <v>470</v>
      </c>
      <c r="H14826" s="185"/>
    </row>
    <row r="14827">
      <c r="D14827" s="185"/>
      <c r="E14827" s="185" t="s">
        <v>470</v>
      </c>
      <c r="H14827" s="185"/>
    </row>
    <row r="14828">
      <c r="D14828" s="185"/>
      <c r="E14828" s="185" t="s">
        <v>470</v>
      </c>
      <c r="H14828" s="185"/>
    </row>
    <row r="14829">
      <c r="D14829" s="185"/>
      <c r="E14829" s="185" t="s">
        <v>470</v>
      </c>
      <c r="H14829" s="185"/>
    </row>
    <row r="14830">
      <c r="D14830" s="185"/>
      <c r="E14830" s="185" t="s">
        <v>470</v>
      </c>
      <c r="H14830" s="185"/>
    </row>
    <row r="14831">
      <c r="D14831" s="185"/>
      <c r="E14831" s="185" t="s">
        <v>470</v>
      </c>
      <c r="H14831" s="185"/>
    </row>
    <row r="14832">
      <c r="D14832" s="185"/>
      <c r="E14832" s="185" t="s">
        <v>470</v>
      </c>
      <c r="H14832" s="185"/>
    </row>
    <row r="14833">
      <c r="D14833" s="185"/>
      <c r="E14833" s="185" t="s">
        <v>470</v>
      </c>
      <c r="H14833" s="185"/>
    </row>
    <row r="14834">
      <c r="D14834" s="185"/>
      <c r="E14834" s="185" t="s">
        <v>470</v>
      </c>
      <c r="H14834" s="185"/>
    </row>
    <row r="14835">
      <c r="D14835" s="185"/>
      <c r="E14835" s="185" t="s">
        <v>470</v>
      </c>
      <c r="H14835" s="185"/>
    </row>
    <row r="14836">
      <c r="D14836" s="185"/>
      <c r="E14836" s="185" t="s">
        <v>470</v>
      </c>
      <c r="H14836" s="185"/>
    </row>
    <row r="14837">
      <c r="D14837" s="185"/>
      <c r="E14837" s="185" t="s">
        <v>470</v>
      </c>
      <c r="H14837" s="185"/>
    </row>
    <row r="14838">
      <c r="D14838" s="185"/>
      <c r="E14838" s="185" t="s">
        <v>470</v>
      </c>
      <c r="H14838" s="185"/>
    </row>
    <row r="14839">
      <c r="D14839" s="185"/>
      <c r="E14839" s="185" t="s">
        <v>470</v>
      </c>
      <c r="H14839" s="185"/>
    </row>
    <row r="14840">
      <c r="D14840" s="185"/>
      <c r="E14840" s="185" t="s">
        <v>470</v>
      </c>
      <c r="H14840" s="185"/>
    </row>
    <row r="14841">
      <c r="D14841" s="185"/>
      <c r="E14841" s="185" t="s">
        <v>470</v>
      </c>
      <c r="H14841" s="185"/>
    </row>
    <row r="14842">
      <c r="D14842" s="185"/>
      <c r="E14842" s="185" t="s">
        <v>470</v>
      </c>
      <c r="H14842" s="185"/>
    </row>
    <row r="14843">
      <c r="D14843" s="185"/>
      <c r="E14843" s="185" t="s">
        <v>470</v>
      </c>
      <c r="H14843" s="185"/>
    </row>
    <row r="14844">
      <c r="D14844" s="185"/>
      <c r="E14844" s="185" t="s">
        <v>470</v>
      </c>
      <c r="H14844" s="185"/>
    </row>
    <row r="14845">
      <c r="D14845" s="185"/>
      <c r="E14845" s="185" t="s">
        <v>470</v>
      </c>
      <c r="H14845" s="185"/>
    </row>
    <row r="14846">
      <c r="D14846" s="185"/>
      <c r="E14846" s="185" t="s">
        <v>470</v>
      </c>
      <c r="H14846" s="185"/>
    </row>
    <row r="14847">
      <c r="D14847" s="185"/>
      <c r="E14847" s="185" t="s">
        <v>470</v>
      </c>
      <c r="H14847" s="185"/>
    </row>
    <row r="14848">
      <c r="D14848" s="185"/>
      <c r="E14848" s="185" t="s">
        <v>470</v>
      </c>
      <c r="H14848" s="185"/>
    </row>
    <row r="14849">
      <c r="D14849" s="185"/>
      <c r="E14849" s="185" t="s">
        <v>470</v>
      </c>
      <c r="H14849" s="185"/>
    </row>
    <row r="14850">
      <c r="D14850" s="185"/>
      <c r="E14850" s="185" t="s">
        <v>470</v>
      </c>
      <c r="H14850" s="185"/>
    </row>
    <row r="14851">
      <c r="D14851" s="185"/>
      <c r="E14851" s="185" t="s">
        <v>470</v>
      </c>
      <c r="H14851" s="185"/>
    </row>
    <row r="14852">
      <c r="D14852" s="185"/>
      <c r="E14852" s="185" t="s">
        <v>470</v>
      </c>
      <c r="H14852" s="185"/>
    </row>
    <row r="14853">
      <c r="D14853" s="185"/>
      <c r="E14853" s="185" t="s">
        <v>470</v>
      </c>
      <c r="H14853" s="185"/>
    </row>
    <row r="14854">
      <c r="D14854" s="185"/>
      <c r="E14854" s="185" t="s">
        <v>470</v>
      </c>
      <c r="H14854" s="185"/>
    </row>
    <row r="14855">
      <c r="D14855" s="185"/>
      <c r="E14855" s="185" t="s">
        <v>470</v>
      </c>
      <c r="H14855" s="185"/>
    </row>
    <row r="14856">
      <c r="D14856" s="185"/>
      <c r="E14856" s="185" t="s">
        <v>470</v>
      </c>
      <c r="H14856" s="185"/>
    </row>
    <row r="14857">
      <c r="D14857" s="185"/>
      <c r="E14857" s="185" t="s">
        <v>470</v>
      </c>
      <c r="H14857" s="185"/>
    </row>
    <row r="14858">
      <c r="D14858" s="185"/>
      <c r="E14858" s="185" t="s">
        <v>470</v>
      </c>
      <c r="H14858" s="185"/>
    </row>
    <row r="14859">
      <c r="D14859" s="185"/>
      <c r="E14859" s="185" t="s">
        <v>470</v>
      </c>
      <c r="H14859" s="185"/>
    </row>
    <row r="14860">
      <c r="D14860" s="185"/>
      <c r="E14860" s="185" t="s">
        <v>470</v>
      </c>
      <c r="H14860" s="185"/>
    </row>
    <row r="14861">
      <c r="D14861" s="185"/>
      <c r="E14861" s="185" t="s">
        <v>470</v>
      </c>
      <c r="H14861" s="185"/>
    </row>
    <row r="14862">
      <c r="D14862" s="185"/>
      <c r="E14862" s="185" t="s">
        <v>470</v>
      </c>
      <c r="H14862" s="185"/>
    </row>
    <row r="14863">
      <c r="D14863" s="185"/>
      <c r="E14863" s="185" t="s">
        <v>470</v>
      </c>
      <c r="H14863" s="185"/>
    </row>
    <row r="14864">
      <c r="D14864" s="185"/>
      <c r="E14864" s="185" t="s">
        <v>470</v>
      </c>
      <c r="H14864" s="185"/>
    </row>
    <row r="14865">
      <c r="D14865" s="185"/>
      <c r="E14865" s="185" t="s">
        <v>470</v>
      </c>
      <c r="H14865" s="185"/>
    </row>
    <row r="14866">
      <c r="D14866" s="185"/>
      <c r="E14866" s="185" t="s">
        <v>470</v>
      </c>
      <c r="H14866" s="185"/>
    </row>
    <row r="14867">
      <c r="D14867" s="185"/>
      <c r="E14867" s="185" t="s">
        <v>470</v>
      </c>
      <c r="H14867" s="185"/>
    </row>
    <row r="14868">
      <c r="D14868" s="185"/>
      <c r="E14868" s="185" t="s">
        <v>470</v>
      </c>
      <c r="H14868" s="185"/>
    </row>
    <row r="14869">
      <c r="D14869" s="185"/>
      <c r="E14869" s="185" t="s">
        <v>470</v>
      </c>
      <c r="H14869" s="185"/>
    </row>
    <row r="14870">
      <c r="D14870" s="185"/>
      <c r="E14870" s="185" t="s">
        <v>470</v>
      </c>
      <c r="H14870" s="185"/>
    </row>
    <row r="14871">
      <c r="D14871" s="185"/>
      <c r="E14871" s="185" t="s">
        <v>470</v>
      </c>
      <c r="H14871" s="185"/>
    </row>
    <row r="14872">
      <c r="D14872" s="185"/>
      <c r="E14872" s="185" t="s">
        <v>470</v>
      </c>
      <c r="H14872" s="185"/>
    </row>
    <row r="14873">
      <c r="D14873" s="185"/>
      <c r="E14873" s="185" t="s">
        <v>470</v>
      </c>
      <c r="H14873" s="185"/>
    </row>
    <row r="14874">
      <c r="D14874" s="185"/>
      <c r="E14874" s="185" t="s">
        <v>470</v>
      </c>
      <c r="H14874" s="185"/>
    </row>
    <row r="14875">
      <c r="D14875" s="185"/>
      <c r="E14875" s="185" t="s">
        <v>470</v>
      </c>
      <c r="H14875" s="185"/>
    </row>
    <row r="14876">
      <c r="D14876" s="185"/>
      <c r="E14876" s="185" t="s">
        <v>470</v>
      </c>
      <c r="H14876" s="185"/>
    </row>
    <row r="14877">
      <c r="D14877" s="185"/>
      <c r="E14877" s="185" t="s">
        <v>470</v>
      </c>
      <c r="H14877" s="185"/>
    </row>
    <row r="14878">
      <c r="D14878" s="185"/>
      <c r="E14878" s="185" t="s">
        <v>470</v>
      </c>
      <c r="H14878" s="185"/>
    </row>
    <row r="14879">
      <c r="D14879" s="185"/>
      <c r="E14879" s="185" t="s">
        <v>470</v>
      </c>
      <c r="H14879" s="185"/>
    </row>
    <row r="14880">
      <c r="D14880" s="185"/>
      <c r="E14880" s="185" t="s">
        <v>470</v>
      </c>
      <c r="H14880" s="185"/>
    </row>
    <row r="14881">
      <c r="D14881" s="185"/>
      <c r="E14881" s="185" t="s">
        <v>470</v>
      </c>
      <c r="H14881" s="185"/>
    </row>
    <row r="14882">
      <c r="D14882" s="185"/>
      <c r="E14882" s="185" t="s">
        <v>470</v>
      </c>
      <c r="H14882" s="185"/>
    </row>
    <row r="14883">
      <c r="D14883" s="185"/>
      <c r="E14883" s="185" t="s">
        <v>470</v>
      </c>
      <c r="H14883" s="185"/>
    </row>
    <row r="14884">
      <c r="D14884" s="185"/>
      <c r="E14884" s="185" t="s">
        <v>470</v>
      </c>
      <c r="H14884" s="185"/>
    </row>
    <row r="14885">
      <c r="D14885" s="185"/>
      <c r="E14885" s="185" t="s">
        <v>470</v>
      </c>
      <c r="H14885" s="185"/>
    </row>
    <row r="14886">
      <c r="D14886" s="185"/>
      <c r="E14886" s="185" t="s">
        <v>470</v>
      </c>
      <c r="H14886" s="185"/>
    </row>
    <row r="14887">
      <c r="D14887" s="185"/>
      <c r="E14887" s="185" t="s">
        <v>470</v>
      </c>
      <c r="H14887" s="185"/>
    </row>
    <row r="14888">
      <c r="D14888" s="185"/>
      <c r="E14888" s="185" t="s">
        <v>470</v>
      </c>
      <c r="H14888" s="185"/>
    </row>
    <row r="14889">
      <c r="D14889" s="185"/>
      <c r="E14889" s="185" t="s">
        <v>470</v>
      </c>
      <c r="H14889" s="185"/>
    </row>
    <row r="14890">
      <c r="D14890" s="185"/>
      <c r="E14890" s="185" t="s">
        <v>470</v>
      </c>
      <c r="H14890" s="185"/>
    </row>
    <row r="14891">
      <c r="D14891" s="185"/>
      <c r="E14891" s="185" t="s">
        <v>470</v>
      </c>
      <c r="H14891" s="185"/>
    </row>
    <row r="14892">
      <c r="D14892" s="185"/>
      <c r="E14892" s="185" t="s">
        <v>470</v>
      </c>
      <c r="H14892" s="185"/>
    </row>
    <row r="14893">
      <c r="D14893" s="185"/>
      <c r="E14893" s="185" t="s">
        <v>470</v>
      </c>
      <c r="H14893" s="185"/>
    </row>
    <row r="14894">
      <c r="D14894" s="185"/>
      <c r="E14894" s="185" t="s">
        <v>470</v>
      </c>
      <c r="H14894" s="185"/>
    </row>
    <row r="14895">
      <c r="D14895" s="185"/>
      <c r="E14895" s="185" t="s">
        <v>470</v>
      </c>
      <c r="H14895" s="185"/>
    </row>
    <row r="14896">
      <c r="D14896" s="185"/>
      <c r="E14896" s="185" t="s">
        <v>470</v>
      </c>
      <c r="H14896" s="185"/>
    </row>
    <row r="14897">
      <c r="D14897" s="185"/>
      <c r="E14897" s="185" t="s">
        <v>470</v>
      </c>
      <c r="H14897" s="185"/>
    </row>
    <row r="14898">
      <c r="D14898" s="185"/>
      <c r="E14898" s="185" t="s">
        <v>470</v>
      </c>
      <c r="H14898" s="185"/>
    </row>
    <row r="14899">
      <c r="D14899" s="185"/>
      <c r="E14899" s="185" t="s">
        <v>470</v>
      </c>
      <c r="H14899" s="185"/>
    </row>
    <row r="14900">
      <c r="D14900" s="185"/>
      <c r="E14900" s="185" t="s">
        <v>470</v>
      </c>
      <c r="H14900" s="185"/>
    </row>
    <row r="14901">
      <c r="D14901" s="185"/>
      <c r="E14901" s="185" t="s">
        <v>470</v>
      </c>
      <c r="H14901" s="185"/>
    </row>
    <row r="14902">
      <c r="D14902" s="185"/>
      <c r="E14902" s="185" t="s">
        <v>470</v>
      </c>
      <c r="H14902" s="185"/>
    </row>
    <row r="14903">
      <c r="D14903" s="185"/>
      <c r="E14903" s="185" t="s">
        <v>470</v>
      </c>
      <c r="H14903" s="185"/>
    </row>
    <row r="14904">
      <c r="D14904" s="185"/>
      <c r="E14904" s="185" t="s">
        <v>470</v>
      </c>
      <c r="H14904" s="185"/>
    </row>
    <row r="14905">
      <c r="D14905" s="185"/>
      <c r="E14905" s="185" t="s">
        <v>470</v>
      </c>
      <c r="H14905" s="185"/>
    </row>
    <row r="14906">
      <c r="D14906" s="185"/>
      <c r="E14906" s="185" t="s">
        <v>470</v>
      </c>
      <c r="H14906" s="185"/>
    </row>
    <row r="14907">
      <c r="D14907" s="185"/>
      <c r="E14907" s="185" t="s">
        <v>470</v>
      </c>
      <c r="H14907" s="185"/>
    </row>
    <row r="14908">
      <c r="D14908" s="185"/>
      <c r="E14908" s="185" t="s">
        <v>470</v>
      </c>
      <c r="H14908" s="185"/>
    </row>
    <row r="14909">
      <c r="D14909" s="185"/>
      <c r="E14909" s="185" t="s">
        <v>470</v>
      </c>
      <c r="H14909" s="185"/>
    </row>
    <row r="14910">
      <c r="D14910" s="185"/>
      <c r="E14910" s="185" t="s">
        <v>470</v>
      </c>
      <c r="H14910" s="185"/>
    </row>
    <row r="14911">
      <c r="D14911" s="185"/>
      <c r="E14911" s="185" t="s">
        <v>470</v>
      </c>
      <c r="H14911" s="185"/>
    </row>
    <row r="14912">
      <c r="D14912" s="185"/>
      <c r="E14912" s="185" t="s">
        <v>470</v>
      </c>
      <c r="H14912" s="185"/>
    </row>
    <row r="14913">
      <c r="D14913" s="185"/>
      <c r="E14913" s="185" t="s">
        <v>470</v>
      </c>
      <c r="H14913" s="185"/>
    </row>
    <row r="14914">
      <c r="D14914" s="185"/>
      <c r="E14914" s="185" t="s">
        <v>470</v>
      </c>
      <c r="H14914" s="185"/>
    </row>
    <row r="14915">
      <c r="D14915" s="185"/>
      <c r="E14915" s="185" t="s">
        <v>470</v>
      </c>
      <c r="H14915" s="185"/>
    </row>
    <row r="14916">
      <c r="D14916" s="185"/>
      <c r="E14916" s="185" t="s">
        <v>470</v>
      </c>
      <c r="H14916" s="185"/>
    </row>
    <row r="14917">
      <c r="D14917" s="185"/>
      <c r="E14917" s="185" t="s">
        <v>470</v>
      </c>
      <c r="H14917" s="185"/>
    </row>
    <row r="14918">
      <c r="D14918" s="185"/>
      <c r="E14918" s="185" t="s">
        <v>470</v>
      </c>
      <c r="H14918" s="185"/>
    </row>
    <row r="14919">
      <c r="D14919" s="185"/>
      <c r="E14919" s="185" t="s">
        <v>470</v>
      </c>
      <c r="H14919" s="185"/>
    </row>
    <row r="14920">
      <c r="D14920" s="185"/>
      <c r="E14920" s="185" t="s">
        <v>470</v>
      </c>
      <c r="H14920" s="185"/>
    </row>
    <row r="14921">
      <c r="D14921" s="185"/>
      <c r="E14921" s="185" t="s">
        <v>470</v>
      </c>
      <c r="H14921" s="185"/>
    </row>
    <row r="14922">
      <c r="D14922" s="185"/>
      <c r="E14922" s="185" t="s">
        <v>470</v>
      </c>
      <c r="H14922" s="185"/>
    </row>
    <row r="14923">
      <c r="D14923" s="185"/>
      <c r="E14923" s="185" t="s">
        <v>470</v>
      </c>
      <c r="H14923" s="185"/>
    </row>
    <row r="14924">
      <c r="D14924" s="185"/>
      <c r="E14924" s="185" t="s">
        <v>470</v>
      </c>
      <c r="H14924" s="185"/>
    </row>
    <row r="14925">
      <c r="D14925" s="185"/>
      <c r="E14925" s="185" t="s">
        <v>470</v>
      </c>
      <c r="H14925" s="185"/>
    </row>
    <row r="14926">
      <c r="D14926" s="185"/>
      <c r="E14926" s="185" t="s">
        <v>470</v>
      </c>
      <c r="H14926" s="185"/>
    </row>
    <row r="14927">
      <c r="D14927" s="185"/>
      <c r="E14927" s="185" t="s">
        <v>470</v>
      </c>
      <c r="H14927" s="185"/>
    </row>
    <row r="14928">
      <c r="D14928" s="185"/>
      <c r="E14928" s="185" t="s">
        <v>470</v>
      </c>
      <c r="H14928" s="185"/>
    </row>
    <row r="14929">
      <c r="D14929" s="185"/>
      <c r="E14929" s="185" t="s">
        <v>470</v>
      </c>
      <c r="H14929" s="185"/>
    </row>
    <row r="14930">
      <c r="D14930" s="185"/>
      <c r="E14930" s="185" t="s">
        <v>470</v>
      </c>
      <c r="H14930" s="185"/>
    </row>
    <row r="14931">
      <c r="D14931" s="185"/>
      <c r="E14931" s="185" t="s">
        <v>470</v>
      </c>
      <c r="H14931" s="185"/>
    </row>
    <row r="14932">
      <c r="D14932" s="185"/>
      <c r="E14932" s="185" t="s">
        <v>470</v>
      </c>
      <c r="H14932" s="185"/>
    </row>
    <row r="14933">
      <c r="D14933" s="185"/>
      <c r="E14933" s="185" t="s">
        <v>470</v>
      </c>
      <c r="H14933" s="185"/>
    </row>
    <row r="14934">
      <c r="D14934" s="185"/>
      <c r="E14934" s="185" t="s">
        <v>470</v>
      </c>
      <c r="H14934" s="185"/>
    </row>
    <row r="14935">
      <c r="D14935" s="185"/>
      <c r="E14935" s="185" t="s">
        <v>470</v>
      </c>
      <c r="H14935" s="185"/>
    </row>
    <row r="14936">
      <c r="D14936" s="185"/>
      <c r="E14936" s="185" t="s">
        <v>470</v>
      </c>
      <c r="H14936" s="185"/>
    </row>
    <row r="14937">
      <c r="D14937" s="185"/>
      <c r="E14937" s="185" t="s">
        <v>470</v>
      </c>
      <c r="H14937" s="185"/>
    </row>
    <row r="14938">
      <c r="D14938" s="185"/>
      <c r="E14938" s="185" t="s">
        <v>470</v>
      </c>
      <c r="H14938" s="185"/>
    </row>
    <row r="14939">
      <c r="D14939" s="185"/>
      <c r="E14939" s="185" t="s">
        <v>470</v>
      </c>
      <c r="H14939" s="185"/>
    </row>
    <row r="14940">
      <c r="D14940" s="185"/>
      <c r="E14940" s="185" t="s">
        <v>470</v>
      </c>
      <c r="H14940" s="185"/>
    </row>
    <row r="14941">
      <c r="D14941" s="185"/>
      <c r="E14941" s="185" t="s">
        <v>470</v>
      </c>
      <c r="H14941" s="185"/>
    </row>
    <row r="14942">
      <c r="D14942" s="185"/>
      <c r="E14942" s="185" t="s">
        <v>470</v>
      </c>
      <c r="H14942" s="185"/>
    </row>
    <row r="14943">
      <c r="D14943" s="185"/>
      <c r="E14943" s="185" t="s">
        <v>470</v>
      </c>
      <c r="H14943" s="185"/>
    </row>
    <row r="14944">
      <c r="D14944" s="185"/>
      <c r="E14944" s="185" t="s">
        <v>470</v>
      </c>
      <c r="H14944" s="185"/>
    </row>
    <row r="14945">
      <c r="D14945" s="185"/>
      <c r="E14945" s="185" t="s">
        <v>470</v>
      </c>
      <c r="H14945" s="185"/>
    </row>
    <row r="14946">
      <c r="D14946" s="185"/>
      <c r="E14946" s="185" t="s">
        <v>470</v>
      </c>
      <c r="H14946" s="185"/>
    </row>
    <row r="14947">
      <c r="D14947" s="185"/>
      <c r="E14947" s="185" t="s">
        <v>470</v>
      </c>
      <c r="H14947" s="185"/>
    </row>
    <row r="14948">
      <c r="D14948" s="185"/>
      <c r="E14948" s="185" t="s">
        <v>470</v>
      </c>
      <c r="H14948" s="185"/>
    </row>
    <row r="14949">
      <c r="D14949" s="185"/>
      <c r="E14949" s="185" t="s">
        <v>470</v>
      </c>
      <c r="H14949" s="185"/>
    </row>
    <row r="14950">
      <c r="D14950" s="185"/>
      <c r="E14950" s="185" t="s">
        <v>470</v>
      </c>
      <c r="H14950" s="185"/>
    </row>
    <row r="14951">
      <c r="D14951" s="185"/>
      <c r="E14951" s="185" t="s">
        <v>470</v>
      </c>
      <c r="H14951" s="185"/>
    </row>
    <row r="14952">
      <c r="D14952" s="185"/>
      <c r="E14952" s="185" t="s">
        <v>470</v>
      </c>
      <c r="H14952" s="185"/>
    </row>
    <row r="14953">
      <c r="D14953" s="185"/>
      <c r="E14953" s="185" t="s">
        <v>470</v>
      </c>
      <c r="H14953" s="185"/>
    </row>
    <row r="14954">
      <c r="D14954" s="185"/>
      <c r="E14954" s="185" t="s">
        <v>470</v>
      </c>
      <c r="H14954" s="185"/>
    </row>
    <row r="14955">
      <c r="D14955" s="185"/>
      <c r="E14955" s="185" t="s">
        <v>470</v>
      </c>
      <c r="H14955" s="185"/>
    </row>
    <row r="14956">
      <c r="D14956" s="185"/>
      <c r="E14956" s="185" t="s">
        <v>470</v>
      </c>
      <c r="H14956" s="185"/>
    </row>
    <row r="14957">
      <c r="D14957" s="185"/>
      <c r="E14957" s="185" t="s">
        <v>470</v>
      </c>
      <c r="H14957" s="185"/>
    </row>
    <row r="14958">
      <c r="D14958" s="185"/>
      <c r="E14958" s="185" t="s">
        <v>470</v>
      </c>
      <c r="H14958" s="185"/>
    </row>
    <row r="14959">
      <c r="D14959" s="185"/>
      <c r="E14959" s="185" t="s">
        <v>470</v>
      </c>
      <c r="H14959" s="185"/>
    </row>
    <row r="14960">
      <c r="D14960" s="185"/>
      <c r="E14960" s="185" t="s">
        <v>470</v>
      </c>
      <c r="H14960" s="185"/>
    </row>
    <row r="14961">
      <c r="D14961" s="185"/>
      <c r="E14961" s="185" t="s">
        <v>470</v>
      </c>
      <c r="H14961" s="185"/>
    </row>
    <row r="14962">
      <c r="D14962" s="185"/>
      <c r="E14962" s="185" t="s">
        <v>470</v>
      </c>
      <c r="H14962" s="185"/>
    </row>
    <row r="14963">
      <c r="D14963" s="185"/>
      <c r="E14963" s="185" t="s">
        <v>470</v>
      </c>
      <c r="H14963" s="185"/>
    </row>
    <row r="14964">
      <c r="D14964" s="185"/>
      <c r="E14964" s="185" t="s">
        <v>470</v>
      </c>
      <c r="H14964" s="185"/>
    </row>
    <row r="14965">
      <c r="D14965" s="185"/>
      <c r="E14965" s="185" t="s">
        <v>470</v>
      </c>
      <c r="H14965" s="185"/>
    </row>
    <row r="14966">
      <c r="D14966" s="185"/>
      <c r="E14966" s="185" t="s">
        <v>470</v>
      </c>
      <c r="H14966" s="185"/>
    </row>
    <row r="14967">
      <c r="D14967" s="185"/>
      <c r="E14967" s="185" t="s">
        <v>470</v>
      </c>
      <c r="H14967" s="185"/>
    </row>
    <row r="14968">
      <c r="D14968" s="185"/>
      <c r="E14968" s="185" t="s">
        <v>470</v>
      </c>
      <c r="H14968" s="185"/>
    </row>
    <row r="14969">
      <c r="D14969" s="185"/>
      <c r="E14969" s="185" t="s">
        <v>470</v>
      </c>
      <c r="H14969" s="185"/>
    </row>
    <row r="14970">
      <c r="D14970" s="185"/>
      <c r="E14970" s="185" t="s">
        <v>470</v>
      </c>
      <c r="H14970" s="185"/>
    </row>
    <row r="14971">
      <c r="D14971" s="185"/>
      <c r="E14971" s="185" t="s">
        <v>470</v>
      </c>
      <c r="H14971" s="185"/>
    </row>
    <row r="14972">
      <c r="D14972" s="185"/>
      <c r="E14972" s="185" t="s">
        <v>470</v>
      </c>
      <c r="H14972" s="185"/>
    </row>
    <row r="14973">
      <c r="D14973" s="185"/>
      <c r="E14973" s="185" t="s">
        <v>470</v>
      </c>
      <c r="H14973" s="185"/>
    </row>
    <row r="14974">
      <c r="D14974" s="185"/>
      <c r="E14974" s="185" t="s">
        <v>470</v>
      </c>
      <c r="H14974" s="185"/>
    </row>
    <row r="14975">
      <c r="D14975" s="185"/>
      <c r="E14975" s="185" t="s">
        <v>470</v>
      </c>
      <c r="H14975" s="185"/>
    </row>
    <row r="14976">
      <c r="D14976" s="185"/>
      <c r="E14976" s="185" t="s">
        <v>470</v>
      </c>
      <c r="H14976" s="185"/>
    </row>
    <row r="14977">
      <c r="D14977" s="185"/>
      <c r="E14977" s="185" t="s">
        <v>470</v>
      </c>
      <c r="H14977" s="185"/>
    </row>
    <row r="14978">
      <c r="D14978" s="185"/>
      <c r="E14978" s="185" t="s">
        <v>470</v>
      </c>
      <c r="H14978" s="185"/>
    </row>
    <row r="14979">
      <c r="D14979" s="185"/>
      <c r="E14979" s="185" t="s">
        <v>470</v>
      </c>
      <c r="H14979" s="185"/>
    </row>
    <row r="14980">
      <c r="D14980" s="185"/>
      <c r="E14980" s="185" t="s">
        <v>470</v>
      </c>
      <c r="H14980" s="185"/>
    </row>
    <row r="14981">
      <c r="D14981" s="185"/>
      <c r="E14981" s="185" t="s">
        <v>470</v>
      </c>
      <c r="H14981" s="185"/>
    </row>
    <row r="14982">
      <c r="D14982" s="185"/>
      <c r="E14982" s="185" t="s">
        <v>470</v>
      </c>
      <c r="H14982" s="185"/>
    </row>
    <row r="14983">
      <c r="D14983" s="185"/>
      <c r="E14983" s="185" t="s">
        <v>470</v>
      </c>
      <c r="H14983" s="185"/>
    </row>
    <row r="14984">
      <c r="D14984" s="185"/>
      <c r="E14984" s="185" t="s">
        <v>470</v>
      </c>
      <c r="H14984" s="185"/>
    </row>
    <row r="14985">
      <c r="D14985" s="185"/>
      <c r="E14985" s="185" t="s">
        <v>470</v>
      </c>
      <c r="H14985" s="185"/>
    </row>
    <row r="14986">
      <c r="D14986" s="185"/>
      <c r="E14986" s="185" t="s">
        <v>470</v>
      </c>
      <c r="H14986" s="185"/>
    </row>
    <row r="14987">
      <c r="D14987" s="185"/>
      <c r="E14987" s="185" t="s">
        <v>470</v>
      </c>
      <c r="H14987" s="185"/>
    </row>
    <row r="14988">
      <c r="D14988" s="185"/>
      <c r="E14988" s="185" t="s">
        <v>470</v>
      </c>
      <c r="H14988" s="185"/>
    </row>
    <row r="14989">
      <c r="D14989" s="185"/>
      <c r="E14989" s="185" t="s">
        <v>470</v>
      </c>
      <c r="H14989" s="185"/>
    </row>
    <row r="14990">
      <c r="D14990" s="185"/>
      <c r="E14990" s="185" t="s">
        <v>470</v>
      </c>
      <c r="H14990" s="185"/>
    </row>
    <row r="14991">
      <c r="D14991" s="185"/>
      <c r="E14991" s="185" t="s">
        <v>470</v>
      </c>
      <c r="H14991" s="185"/>
    </row>
    <row r="14992">
      <c r="D14992" s="185"/>
      <c r="E14992" s="185" t="s">
        <v>470</v>
      </c>
      <c r="H14992" s="185"/>
    </row>
    <row r="14993">
      <c r="D14993" s="185"/>
      <c r="E14993" s="185" t="s">
        <v>470</v>
      </c>
      <c r="H14993" s="185"/>
    </row>
    <row r="14994">
      <c r="D14994" s="185"/>
      <c r="E14994" s="185" t="s">
        <v>470</v>
      </c>
      <c r="H14994" s="185"/>
    </row>
    <row r="14995">
      <c r="D14995" s="185"/>
      <c r="E14995" s="185" t="s">
        <v>470</v>
      </c>
      <c r="H14995" s="185"/>
    </row>
    <row r="14996">
      <c r="D14996" s="185"/>
      <c r="E14996" s="185" t="s">
        <v>470</v>
      </c>
      <c r="H14996" s="185"/>
    </row>
    <row r="14997">
      <c r="D14997" s="185"/>
      <c r="E14997" s="185" t="s">
        <v>470</v>
      </c>
      <c r="H14997" s="185"/>
    </row>
    <row r="14998">
      <c r="D14998" s="185"/>
      <c r="E14998" s="185" t="s">
        <v>470</v>
      </c>
      <c r="H14998" s="185"/>
    </row>
    <row r="14999">
      <c r="D14999" s="185"/>
      <c r="E14999" s="185" t="s">
        <v>470</v>
      </c>
      <c r="H14999" s="185"/>
    </row>
    <row r="15000">
      <c r="D15000" s="185"/>
      <c r="E15000" s="185" t="s">
        <v>470</v>
      </c>
      <c r="H15000" s="185"/>
    </row>
    <row r="15001">
      <c r="D15001" s="185"/>
      <c r="E15001" s="185" t="s">
        <v>470</v>
      </c>
      <c r="H15001" s="185"/>
    </row>
    <row r="15002">
      <c r="D15002" s="185"/>
      <c r="E15002" s="185" t="s">
        <v>470</v>
      </c>
      <c r="H15002" s="185"/>
    </row>
    <row r="15003">
      <c r="D15003" s="185"/>
      <c r="E15003" s="185" t="s">
        <v>470</v>
      </c>
      <c r="H15003" s="185"/>
    </row>
    <row r="15004">
      <c r="D15004" s="185"/>
      <c r="E15004" s="185" t="s">
        <v>470</v>
      </c>
      <c r="H15004" s="185"/>
    </row>
    <row r="15005">
      <c r="D15005" s="185"/>
      <c r="E15005" s="185" t="s">
        <v>470</v>
      </c>
      <c r="H15005" s="185"/>
    </row>
    <row r="15006">
      <c r="D15006" s="185"/>
      <c r="E15006" s="185" t="s">
        <v>470</v>
      </c>
      <c r="H15006" s="185"/>
    </row>
    <row r="15007">
      <c r="D15007" s="185"/>
      <c r="E15007" s="185" t="s">
        <v>470</v>
      </c>
      <c r="H15007" s="185"/>
    </row>
    <row r="15008">
      <c r="D15008" s="185"/>
      <c r="E15008" s="185" t="s">
        <v>470</v>
      </c>
      <c r="H15008" s="185"/>
    </row>
    <row r="15009">
      <c r="D15009" s="185"/>
      <c r="E15009" s="185" t="s">
        <v>470</v>
      </c>
      <c r="H15009" s="185"/>
    </row>
    <row r="15010">
      <c r="D15010" s="185"/>
      <c r="E15010" s="185" t="s">
        <v>470</v>
      </c>
      <c r="H15010" s="185"/>
    </row>
    <row r="15011">
      <c r="D15011" s="185"/>
      <c r="E15011" s="185" t="s">
        <v>470</v>
      </c>
      <c r="H15011" s="185"/>
    </row>
    <row r="15012">
      <c r="D15012" s="185"/>
      <c r="E15012" s="185" t="s">
        <v>470</v>
      </c>
      <c r="H15012" s="185"/>
    </row>
    <row r="15013">
      <c r="D15013" s="185"/>
      <c r="E15013" s="185" t="s">
        <v>470</v>
      </c>
      <c r="H15013" s="185"/>
    </row>
    <row r="15014">
      <c r="D15014" s="185"/>
      <c r="E15014" s="185" t="s">
        <v>470</v>
      </c>
      <c r="H15014" s="185"/>
    </row>
    <row r="15015">
      <c r="D15015" s="185"/>
      <c r="E15015" s="185" t="s">
        <v>470</v>
      </c>
      <c r="H15015" s="185"/>
    </row>
    <row r="15016">
      <c r="D15016" s="185"/>
      <c r="E15016" s="185" t="s">
        <v>470</v>
      </c>
      <c r="H15016" s="185"/>
    </row>
    <row r="15017">
      <c r="D15017" s="185"/>
      <c r="E15017" s="185" t="s">
        <v>470</v>
      </c>
      <c r="H15017" s="185"/>
    </row>
    <row r="15018">
      <c r="D15018" s="185"/>
      <c r="E15018" s="185" t="s">
        <v>470</v>
      </c>
      <c r="H15018" s="185"/>
    </row>
    <row r="15019">
      <c r="D15019" s="185"/>
      <c r="E15019" s="185" t="s">
        <v>470</v>
      </c>
      <c r="H15019" s="185"/>
    </row>
    <row r="15020">
      <c r="D15020" s="185"/>
      <c r="E15020" s="185" t="s">
        <v>470</v>
      </c>
      <c r="H15020" s="185"/>
    </row>
    <row r="15021">
      <c r="D15021" s="185"/>
      <c r="E15021" s="185" t="s">
        <v>470</v>
      </c>
      <c r="H15021" s="185"/>
    </row>
    <row r="15022">
      <c r="D15022" s="185"/>
      <c r="E15022" s="185" t="s">
        <v>470</v>
      </c>
      <c r="H15022" s="185"/>
    </row>
    <row r="15023">
      <c r="D15023" s="185"/>
      <c r="E15023" s="185" t="s">
        <v>470</v>
      </c>
      <c r="H15023" s="185"/>
    </row>
    <row r="15024">
      <c r="D15024" s="185"/>
      <c r="E15024" s="185" t="s">
        <v>470</v>
      </c>
      <c r="H15024" s="185"/>
    </row>
    <row r="15025">
      <c r="D15025" s="185"/>
      <c r="E15025" s="185" t="s">
        <v>470</v>
      </c>
      <c r="H15025" s="185"/>
    </row>
    <row r="15026">
      <c r="D15026" s="185"/>
      <c r="E15026" s="185" t="s">
        <v>470</v>
      </c>
      <c r="H15026" s="185"/>
    </row>
    <row r="15027">
      <c r="D15027" s="185"/>
      <c r="E15027" s="185" t="s">
        <v>470</v>
      </c>
      <c r="H15027" s="185"/>
    </row>
    <row r="15028">
      <c r="D15028" s="185"/>
      <c r="E15028" s="185" t="s">
        <v>470</v>
      </c>
      <c r="H15028" s="185"/>
    </row>
    <row r="15029">
      <c r="D15029" s="185"/>
      <c r="E15029" s="185" t="s">
        <v>470</v>
      </c>
      <c r="H15029" s="185"/>
    </row>
    <row r="15030">
      <c r="D15030" s="185"/>
      <c r="E15030" s="185" t="s">
        <v>470</v>
      </c>
      <c r="H15030" s="185"/>
    </row>
    <row r="15031">
      <c r="D15031" s="185"/>
      <c r="E15031" s="185" t="s">
        <v>470</v>
      </c>
      <c r="H15031" s="185"/>
    </row>
    <row r="15032">
      <c r="D15032" s="185"/>
      <c r="E15032" s="185" t="s">
        <v>470</v>
      </c>
      <c r="H15032" s="185"/>
    </row>
    <row r="15033">
      <c r="D15033" s="185"/>
      <c r="E15033" s="185" t="s">
        <v>470</v>
      </c>
      <c r="H15033" s="185"/>
    </row>
    <row r="15034">
      <c r="D15034" s="185"/>
      <c r="E15034" s="185" t="s">
        <v>470</v>
      </c>
      <c r="H15034" s="185"/>
    </row>
    <row r="15035">
      <c r="D15035" s="185"/>
      <c r="E15035" s="185" t="s">
        <v>470</v>
      </c>
      <c r="H15035" s="185"/>
    </row>
    <row r="15036">
      <c r="D15036" s="185"/>
      <c r="E15036" s="185" t="s">
        <v>470</v>
      </c>
      <c r="H15036" s="185"/>
    </row>
    <row r="15037">
      <c r="D15037" s="185"/>
      <c r="E15037" s="185" t="s">
        <v>470</v>
      </c>
      <c r="H15037" s="185"/>
    </row>
    <row r="15038">
      <c r="D15038" s="185"/>
      <c r="E15038" s="185" t="s">
        <v>470</v>
      </c>
      <c r="H15038" s="185"/>
    </row>
    <row r="15039">
      <c r="D15039" s="185"/>
      <c r="E15039" s="185" t="s">
        <v>470</v>
      </c>
      <c r="H15039" s="185"/>
    </row>
    <row r="15040">
      <c r="D15040" s="185"/>
      <c r="E15040" s="185" t="s">
        <v>470</v>
      </c>
      <c r="H15040" s="185"/>
    </row>
    <row r="15041">
      <c r="D15041" s="185"/>
      <c r="E15041" s="185" t="s">
        <v>470</v>
      </c>
      <c r="H15041" s="185"/>
    </row>
    <row r="15042">
      <c r="D15042" s="185"/>
      <c r="E15042" s="185" t="s">
        <v>470</v>
      </c>
      <c r="H15042" s="185"/>
    </row>
    <row r="15043">
      <c r="D15043" s="185"/>
      <c r="E15043" s="185" t="s">
        <v>470</v>
      </c>
      <c r="H15043" s="185"/>
    </row>
    <row r="15044">
      <c r="D15044" s="185"/>
      <c r="E15044" s="185" t="s">
        <v>470</v>
      </c>
      <c r="H15044" s="185"/>
    </row>
    <row r="15045">
      <c r="D15045" s="185"/>
      <c r="E15045" s="185" t="s">
        <v>470</v>
      </c>
      <c r="H15045" s="185"/>
    </row>
    <row r="15046">
      <c r="D15046" s="185"/>
      <c r="E15046" s="185" t="s">
        <v>470</v>
      </c>
      <c r="H15046" s="185"/>
    </row>
    <row r="15047">
      <c r="D15047" s="185"/>
      <c r="E15047" s="185" t="s">
        <v>470</v>
      </c>
      <c r="H15047" s="185"/>
    </row>
    <row r="15048">
      <c r="D15048" s="185"/>
      <c r="E15048" s="185" t="s">
        <v>470</v>
      </c>
      <c r="H15048" s="185"/>
    </row>
    <row r="15049">
      <c r="D15049" s="185"/>
      <c r="E15049" s="185" t="s">
        <v>470</v>
      </c>
      <c r="H15049" s="185"/>
    </row>
    <row r="15050">
      <c r="D15050" s="185"/>
      <c r="E15050" s="185" t="s">
        <v>470</v>
      </c>
      <c r="H15050" s="185"/>
    </row>
    <row r="15051">
      <c r="D15051" s="185"/>
      <c r="E15051" s="185" t="s">
        <v>470</v>
      </c>
      <c r="H15051" s="185"/>
    </row>
    <row r="15052">
      <c r="D15052" s="185"/>
      <c r="E15052" s="185" t="s">
        <v>470</v>
      </c>
      <c r="H15052" s="185"/>
    </row>
    <row r="15053">
      <c r="D15053" s="185"/>
      <c r="E15053" s="185" t="s">
        <v>470</v>
      </c>
      <c r="H15053" s="185"/>
    </row>
    <row r="15054">
      <c r="D15054" s="185"/>
      <c r="E15054" s="185" t="s">
        <v>470</v>
      </c>
      <c r="H15054" s="185"/>
    </row>
    <row r="15055">
      <c r="D15055" s="185"/>
      <c r="E15055" s="185" t="s">
        <v>470</v>
      </c>
      <c r="H15055" s="185"/>
    </row>
    <row r="15056">
      <c r="D15056" s="185"/>
      <c r="E15056" s="185" t="s">
        <v>470</v>
      </c>
      <c r="H15056" s="185"/>
    </row>
    <row r="15057">
      <c r="D15057" s="185"/>
      <c r="E15057" s="185" t="s">
        <v>470</v>
      </c>
      <c r="H15057" s="185"/>
    </row>
    <row r="15058">
      <c r="D15058" s="185"/>
      <c r="E15058" s="185" t="s">
        <v>470</v>
      </c>
      <c r="H15058" s="185"/>
    </row>
    <row r="15059">
      <c r="D15059" s="185"/>
      <c r="E15059" s="185" t="s">
        <v>470</v>
      </c>
      <c r="H15059" s="185"/>
    </row>
    <row r="15060">
      <c r="D15060" s="185"/>
      <c r="E15060" s="185" t="s">
        <v>470</v>
      </c>
      <c r="H15060" s="185"/>
    </row>
    <row r="15061">
      <c r="D15061" s="185"/>
      <c r="E15061" s="185" t="s">
        <v>470</v>
      </c>
      <c r="H15061" s="185"/>
    </row>
    <row r="15062">
      <c r="D15062" s="185"/>
      <c r="E15062" s="185" t="s">
        <v>470</v>
      </c>
      <c r="H15062" s="185"/>
    </row>
    <row r="15063">
      <c r="D15063" s="185"/>
      <c r="E15063" s="185" t="s">
        <v>470</v>
      </c>
      <c r="H15063" s="185"/>
    </row>
    <row r="15064">
      <c r="D15064" s="185"/>
      <c r="E15064" s="185" t="s">
        <v>470</v>
      </c>
      <c r="H15064" s="185"/>
    </row>
    <row r="15065">
      <c r="D15065" s="185"/>
      <c r="E15065" s="185" t="s">
        <v>470</v>
      </c>
      <c r="H15065" s="185"/>
    </row>
    <row r="15066">
      <c r="D15066" s="185"/>
      <c r="E15066" s="185" t="s">
        <v>470</v>
      </c>
      <c r="H15066" s="185"/>
    </row>
    <row r="15067">
      <c r="D15067" s="185"/>
      <c r="E15067" s="185" t="s">
        <v>470</v>
      </c>
      <c r="H15067" s="185"/>
    </row>
    <row r="15068">
      <c r="D15068" s="185"/>
      <c r="E15068" s="185" t="s">
        <v>470</v>
      </c>
      <c r="H15068" s="185"/>
    </row>
    <row r="15069">
      <c r="D15069" s="185"/>
      <c r="E15069" s="185" t="s">
        <v>470</v>
      </c>
      <c r="H15069" s="185"/>
    </row>
    <row r="15070">
      <c r="D15070" s="185"/>
      <c r="E15070" s="185" t="s">
        <v>470</v>
      </c>
      <c r="H15070" s="185"/>
    </row>
    <row r="15071">
      <c r="D15071" s="185"/>
      <c r="E15071" s="185" t="s">
        <v>470</v>
      </c>
      <c r="H15071" s="185"/>
    </row>
    <row r="15072">
      <c r="D15072" s="185"/>
      <c r="E15072" s="185" t="s">
        <v>470</v>
      </c>
      <c r="H15072" s="185"/>
    </row>
    <row r="15073">
      <c r="D15073" s="185"/>
      <c r="E15073" s="185" t="s">
        <v>470</v>
      </c>
      <c r="H15073" s="185"/>
    </row>
    <row r="15074">
      <c r="D15074" s="185"/>
      <c r="E15074" s="185" t="s">
        <v>470</v>
      </c>
      <c r="H15074" s="185"/>
    </row>
    <row r="15075">
      <c r="D15075" s="185"/>
      <c r="E15075" s="185" t="s">
        <v>470</v>
      </c>
      <c r="H15075" s="185"/>
    </row>
    <row r="15076">
      <c r="D15076" s="185"/>
      <c r="E15076" s="185" t="s">
        <v>470</v>
      </c>
      <c r="H15076" s="185"/>
    </row>
    <row r="15077">
      <c r="D15077" s="185"/>
      <c r="E15077" s="185" t="s">
        <v>470</v>
      </c>
      <c r="H15077" s="185"/>
    </row>
    <row r="15078">
      <c r="D15078" s="185"/>
      <c r="E15078" s="185" t="s">
        <v>470</v>
      </c>
      <c r="H15078" s="185"/>
    </row>
    <row r="15079">
      <c r="D15079" s="185"/>
      <c r="E15079" s="185" t="s">
        <v>470</v>
      </c>
      <c r="H15079" s="185"/>
    </row>
    <row r="15080">
      <c r="D15080" s="185"/>
      <c r="E15080" s="185" t="s">
        <v>470</v>
      </c>
      <c r="H15080" s="185"/>
    </row>
    <row r="15081">
      <c r="D15081" s="185"/>
      <c r="E15081" s="185" t="s">
        <v>470</v>
      </c>
      <c r="H15081" s="185"/>
    </row>
    <row r="15082">
      <c r="D15082" s="185"/>
      <c r="E15082" s="185" t="s">
        <v>470</v>
      </c>
      <c r="H15082" s="185"/>
    </row>
    <row r="15083">
      <c r="D15083" s="185"/>
      <c r="E15083" s="185" t="s">
        <v>470</v>
      </c>
      <c r="H15083" s="185"/>
    </row>
    <row r="15084">
      <c r="D15084" s="185"/>
      <c r="E15084" s="185" t="s">
        <v>470</v>
      </c>
      <c r="H15084" s="185"/>
    </row>
    <row r="15085">
      <c r="D15085" s="185"/>
      <c r="E15085" s="185" t="s">
        <v>470</v>
      </c>
      <c r="H15085" s="185"/>
    </row>
    <row r="15086">
      <c r="D15086" s="185"/>
      <c r="E15086" s="185" t="s">
        <v>470</v>
      </c>
      <c r="H15086" s="185"/>
    </row>
    <row r="15087">
      <c r="D15087" s="185"/>
      <c r="E15087" s="185" t="s">
        <v>470</v>
      </c>
      <c r="H15087" s="185"/>
    </row>
    <row r="15088">
      <c r="D15088" s="185"/>
      <c r="E15088" s="185" t="s">
        <v>470</v>
      </c>
      <c r="H15088" s="185"/>
    </row>
    <row r="15089">
      <c r="D15089" s="185"/>
      <c r="E15089" s="185" t="s">
        <v>470</v>
      </c>
      <c r="H15089" s="185"/>
    </row>
    <row r="15090">
      <c r="D15090" s="185"/>
      <c r="E15090" s="185" t="s">
        <v>470</v>
      </c>
      <c r="H15090" s="185"/>
    </row>
    <row r="15091">
      <c r="D15091" s="185"/>
      <c r="E15091" s="185" t="s">
        <v>470</v>
      </c>
      <c r="H15091" s="185"/>
    </row>
    <row r="15092">
      <c r="D15092" s="185"/>
      <c r="E15092" s="185" t="s">
        <v>470</v>
      </c>
      <c r="H15092" s="185"/>
    </row>
    <row r="15093">
      <c r="D15093" s="185"/>
      <c r="E15093" s="185" t="s">
        <v>470</v>
      </c>
      <c r="H15093" s="185"/>
    </row>
    <row r="15094">
      <c r="D15094" s="185"/>
      <c r="E15094" s="185" t="s">
        <v>470</v>
      </c>
      <c r="H15094" s="185"/>
    </row>
    <row r="15095">
      <c r="D15095" s="185"/>
      <c r="E15095" s="185" t="s">
        <v>470</v>
      </c>
      <c r="H15095" s="185"/>
    </row>
    <row r="15096">
      <c r="D15096" s="185"/>
      <c r="E15096" s="185" t="s">
        <v>470</v>
      </c>
      <c r="H15096" s="185"/>
    </row>
    <row r="15097">
      <c r="D15097" s="185"/>
      <c r="E15097" s="185" t="s">
        <v>470</v>
      </c>
      <c r="H15097" s="185"/>
    </row>
    <row r="15098">
      <c r="D15098" s="185"/>
      <c r="E15098" s="185" t="s">
        <v>470</v>
      </c>
      <c r="H15098" s="185"/>
    </row>
    <row r="15099">
      <c r="D15099" s="185"/>
      <c r="E15099" s="185" t="s">
        <v>470</v>
      </c>
      <c r="H15099" s="185"/>
    </row>
    <row r="15100">
      <c r="D15100" s="185"/>
      <c r="E15100" s="185" t="s">
        <v>470</v>
      </c>
      <c r="H15100" s="185"/>
    </row>
    <row r="15101">
      <c r="D15101" s="185"/>
      <c r="E15101" s="185" t="s">
        <v>470</v>
      </c>
      <c r="H15101" s="185"/>
    </row>
    <row r="15102">
      <c r="D15102" s="185"/>
      <c r="E15102" s="185" t="s">
        <v>470</v>
      </c>
      <c r="H15102" s="185"/>
    </row>
    <row r="15103">
      <c r="D15103" s="185"/>
      <c r="E15103" s="185" t="s">
        <v>470</v>
      </c>
      <c r="H15103" s="185"/>
    </row>
    <row r="15104">
      <c r="D15104" s="185"/>
      <c r="E15104" s="185" t="s">
        <v>470</v>
      </c>
      <c r="H15104" s="185"/>
    </row>
    <row r="15105">
      <c r="D15105" s="185"/>
      <c r="E15105" s="185" t="s">
        <v>470</v>
      </c>
      <c r="H15105" s="185"/>
    </row>
    <row r="15106">
      <c r="D15106" s="185"/>
      <c r="E15106" s="185" t="s">
        <v>470</v>
      </c>
      <c r="H15106" s="185"/>
    </row>
    <row r="15107">
      <c r="D15107" s="185"/>
      <c r="E15107" s="185" t="s">
        <v>470</v>
      </c>
      <c r="H15107" s="185"/>
    </row>
    <row r="15108">
      <c r="D15108" s="185"/>
      <c r="E15108" s="185" t="s">
        <v>470</v>
      </c>
      <c r="H15108" s="185"/>
    </row>
    <row r="15109">
      <c r="D15109" s="185"/>
      <c r="E15109" s="185" t="s">
        <v>470</v>
      </c>
      <c r="H15109" s="185"/>
    </row>
    <row r="15110">
      <c r="D15110" s="185"/>
      <c r="E15110" s="185" t="s">
        <v>470</v>
      </c>
      <c r="H15110" s="185"/>
    </row>
    <row r="15111">
      <c r="D15111" s="185"/>
      <c r="E15111" s="185" t="s">
        <v>470</v>
      </c>
      <c r="H15111" s="185"/>
    </row>
    <row r="15112">
      <c r="D15112" s="185"/>
      <c r="E15112" s="185" t="s">
        <v>470</v>
      </c>
      <c r="H15112" s="185"/>
    </row>
    <row r="15113">
      <c r="D15113" s="185"/>
      <c r="E15113" s="185" t="s">
        <v>470</v>
      </c>
      <c r="H15113" s="185"/>
    </row>
    <row r="15114">
      <c r="D15114" s="185"/>
      <c r="E15114" s="185" t="s">
        <v>470</v>
      </c>
      <c r="H15114" s="185"/>
    </row>
    <row r="15115">
      <c r="D15115" s="185"/>
      <c r="E15115" s="185" t="s">
        <v>470</v>
      </c>
      <c r="H15115" s="185"/>
    </row>
    <row r="15116">
      <c r="D15116" s="185"/>
      <c r="E15116" s="185" t="s">
        <v>470</v>
      </c>
      <c r="H15116" s="185"/>
    </row>
    <row r="15117">
      <c r="D15117" s="185"/>
      <c r="E15117" s="185" t="s">
        <v>470</v>
      </c>
      <c r="H15117" s="185"/>
    </row>
    <row r="15118">
      <c r="D15118" s="185"/>
      <c r="E15118" s="185" t="s">
        <v>470</v>
      </c>
      <c r="H15118" s="185"/>
    </row>
    <row r="15119">
      <c r="D15119" s="185"/>
      <c r="E15119" s="185" t="s">
        <v>470</v>
      </c>
      <c r="H15119" s="185"/>
    </row>
    <row r="15120">
      <c r="D15120" s="185"/>
      <c r="E15120" s="185" t="s">
        <v>470</v>
      </c>
      <c r="H15120" s="185"/>
    </row>
    <row r="15121">
      <c r="D15121" s="185"/>
      <c r="E15121" s="185" t="s">
        <v>470</v>
      </c>
      <c r="H15121" s="185"/>
    </row>
    <row r="15122">
      <c r="D15122" s="185"/>
      <c r="E15122" s="185" t="s">
        <v>470</v>
      </c>
      <c r="H15122" s="185"/>
    </row>
    <row r="15123">
      <c r="D15123" s="185"/>
      <c r="E15123" s="185" t="s">
        <v>470</v>
      </c>
      <c r="H15123" s="185"/>
    </row>
    <row r="15124">
      <c r="D15124" s="185"/>
      <c r="E15124" s="185" t="s">
        <v>470</v>
      </c>
      <c r="H15124" s="185"/>
    </row>
    <row r="15125">
      <c r="D15125" s="185"/>
      <c r="E15125" s="185" t="s">
        <v>470</v>
      </c>
      <c r="H15125" s="185"/>
    </row>
    <row r="15126">
      <c r="D15126" s="185"/>
      <c r="E15126" s="185" t="s">
        <v>470</v>
      </c>
      <c r="H15126" s="185"/>
    </row>
    <row r="15127">
      <c r="D15127" s="185"/>
      <c r="E15127" s="185" t="s">
        <v>470</v>
      </c>
      <c r="H15127" s="185"/>
    </row>
    <row r="15128">
      <c r="D15128" s="185"/>
      <c r="E15128" s="185" t="s">
        <v>470</v>
      </c>
      <c r="H15128" s="185"/>
    </row>
    <row r="15129">
      <c r="D15129" s="185"/>
      <c r="E15129" s="185" t="s">
        <v>470</v>
      </c>
      <c r="H15129" s="185"/>
    </row>
    <row r="15130">
      <c r="D15130" s="185"/>
      <c r="E15130" s="185" t="s">
        <v>470</v>
      </c>
      <c r="H15130" s="185"/>
    </row>
    <row r="15131">
      <c r="D15131" s="185"/>
      <c r="E15131" s="185" t="s">
        <v>470</v>
      </c>
      <c r="H15131" s="185"/>
    </row>
    <row r="15132">
      <c r="D15132" s="185"/>
      <c r="E15132" s="185" t="s">
        <v>470</v>
      </c>
      <c r="H15132" s="185"/>
    </row>
    <row r="15133">
      <c r="D15133" s="185"/>
      <c r="E15133" s="185" t="s">
        <v>470</v>
      </c>
      <c r="H15133" s="185"/>
    </row>
    <row r="15134">
      <c r="D15134" s="185"/>
      <c r="E15134" s="185" t="s">
        <v>470</v>
      </c>
      <c r="H15134" s="185"/>
    </row>
    <row r="15135">
      <c r="D15135" s="185"/>
      <c r="E15135" s="185" t="s">
        <v>470</v>
      </c>
      <c r="H15135" s="185"/>
    </row>
    <row r="15136">
      <c r="D15136" s="185"/>
      <c r="E15136" s="185" t="s">
        <v>470</v>
      </c>
      <c r="H15136" s="185"/>
    </row>
    <row r="15137">
      <c r="D15137" s="185"/>
      <c r="E15137" s="185" t="s">
        <v>470</v>
      </c>
      <c r="H15137" s="185"/>
    </row>
    <row r="15138">
      <c r="D15138" s="185"/>
      <c r="E15138" s="185" t="s">
        <v>470</v>
      </c>
      <c r="H15138" s="185"/>
    </row>
    <row r="15139">
      <c r="D15139" s="185"/>
      <c r="E15139" s="185" t="s">
        <v>470</v>
      </c>
      <c r="H15139" s="185"/>
    </row>
    <row r="15140">
      <c r="D15140" s="185"/>
      <c r="E15140" s="185" t="s">
        <v>470</v>
      </c>
      <c r="H15140" s="185"/>
    </row>
    <row r="15141">
      <c r="D15141" s="185"/>
      <c r="E15141" s="185" t="s">
        <v>470</v>
      </c>
      <c r="H15141" s="185"/>
    </row>
    <row r="15142">
      <c r="D15142" s="185"/>
      <c r="E15142" s="185" t="s">
        <v>470</v>
      </c>
      <c r="H15142" s="185"/>
    </row>
    <row r="15143">
      <c r="D15143" s="185"/>
      <c r="E15143" s="185" t="s">
        <v>470</v>
      </c>
      <c r="H15143" s="185"/>
    </row>
    <row r="15144">
      <c r="D15144" s="185"/>
      <c r="E15144" s="185" t="s">
        <v>470</v>
      </c>
      <c r="H15144" s="185"/>
    </row>
    <row r="15145">
      <c r="D15145" s="185"/>
      <c r="E15145" s="185" t="s">
        <v>470</v>
      </c>
      <c r="H15145" s="185"/>
    </row>
    <row r="15146">
      <c r="D15146" s="185"/>
      <c r="E15146" s="185" t="s">
        <v>470</v>
      </c>
      <c r="H15146" s="185"/>
    </row>
    <row r="15147">
      <c r="D15147" s="185"/>
      <c r="E15147" s="185" t="s">
        <v>470</v>
      </c>
      <c r="H15147" s="185"/>
    </row>
    <row r="15148">
      <c r="D15148" s="185"/>
      <c r="E15148" s="185" t="s">
        <v>470</v>
      </c>
      <c r="H15148" s="185"/>
    </row>
    <row r="15149">
      <c r="D15149" s="185"/>
      <c r="E15149" s="185" t="s">
        <v>470</v>
      </c>
      <c r="H15149" s="185"/>
    </row>
    <row r="15150">
      <c r="D15150" s="185"/>
      <c r="E15150" s="185" t="s">
        <v>470</v>
      </c>
      <c r="H15150" s="185"/>
    </row>
    <row r="15151">
      <c r="D15151" s="185"/>
      <c r="E15151" s="185" t="s">
        <v>470</v>
      </c>
      <c r="H15151" s="185"/>
    </row>
    <row r="15152">
      <c r="D15152" s="185"/>
      <c r="E15152" s="185" t="s">
        <v>470</v>
      </c>
      <c r="H15152" s="185"/>
    </row>
    <row r="15153">
      <c r="D15153" s="185"/>
      <c r="E15153" s="185" t="s">
        <v>470</v>
      </c>
      <c r="H15153" s="185"/>
    </row>
    <row r="15154">
      <c r="D15154" s="185"/>
      <c r="E15154" s="185" t="s">
        <v>470</v>
      </c>
      <c r="H15154" s="185"/>
    </row>
    <row r="15155">
      <c r="D15155" s="185"/>
      <c r="E15155" s="185" t="s">
        <v>470</v>
      </c>
      <c r="H15155" s="185"/>
    </row>
    <row r="15156">
      <c r="D15156" s="185"/>
      <c r="E15156" s="185" t="s">
        <v>470</v>
      </c>
      <c r="H15156" s="185"/>
    </row>
    <row r="15157">
      <c r="D15157" s="185"/>
      <c r="E15157" s="185" t="s">
        <v>470</v>
      </c>
      <c r="H15157" s="185"/>
    </row>
    <row r="15158">
      <c r="D15158" s="185"/>
      <c r="E15158" s="185" t="s">
        <v>470</v>
      </c>
      <c r="H15158" s="185"/>
    </row>
    <row r="15159">
      <c r="D15159" s="185"/>
      <c r="E15159" s="185" t="s">
        <v>470</v>
      </c>
      <c r="H15159" s="185"/>
    </row>
    <row r="15160">
      <c r="D15160" s="185"/>
      <c r="E15160" s="185" t="s">
        <v>470</v>
      </c>
      <c r="H15160" s="185"/>
    </row>
    <row r="15161">
      <c r="D15161" s="185"/>
      <c r="E15161" s="185" t="s">
        <v>470</v>
      </c>
      <c r="H15161" s="185"/>
    </row>
    <row r="15162">
      <c r="D15162" s="185"/>
      <c r="E15162" s="185" t="s">
        <v>470</v>
      </c>
      <c r="H15162" s="185"/>
    </row>
    <row r="15163">
      <c r="D15163" s="185"/>
      <c r="E15163" s="185" t="s">
        <v>470</v>
      </c>
      <c r="H15163" s="185"/>
    </row>
    <row r="15164">
      <c r="D15164" s="185"/>
      <c r="E15164" s="185" t="s">
        <v>470</v>
      </c>
      <c r="H15164" s="185"/>
    </row>
    <row r="15165">
      <c r="D15165" s="185"/>
      <c r="E15165" s="185" t="s">
        <v>470</v>
      </c>
      <c r="H15165" s="185"/>
    </row>
    <row r="15166">
      <c r="D15166" s="185"/>
      <c r="E15166" s="185" t="s">
        <v>470</v>
      </c>
      <c r="H15166" s="185"/>
    </row>
    <row r="15167">
      <c r="D15167" s="185"/>
      <c r="E15167" s="185" t="s">
        <v>470</v>
      </c>
      <c r="H15167" s="185"/>
    </row>
    <row r="15168">
      <c r="D15168" s="185"/>
      <c r="E15168" s="185" t="s">
        <v>470</v>
      </c>
      <c r="H15168" s="185"/>
    </row>
    <row r="15169">
      <c r="D15169" s="185"/>
      <c r="E15169" s="185" t="s">
        <v>470</v>
      </c>
      <c r="H15169" s="185"/>
    </row>
    <row r="15170">
      <c r="D15170" s="185"/>
      <c r="E15170" s="185" t="s">
        <v>470</v>
      </c>
      <c r="H15170" s="185"/>
    </row>
    <row r="15171">
      <c r="D15171" s="185"/>
      <c r="E15171" s="185" t="s">
        <v>470</v>
      </c>
      <c r="H15171" s="185"/>
    </row>
    <row r="15172">
      <c r="D15172" s="185"/>
      <c r="E15172" s="185" t="s">
        <v>470</v>
      </c>
      <c r="H15172" s="185"/>
    </row>
    <row r="15173">
      <c r="D15173" s="185"/>
      <c r="E15173" s="185" t="s">
        <v>470</v>
      </c>
      <c r="H15173" s="185"/>
    </row>
    <row r="15174">
      <c r="D15174" s="185"/>
      <c r="E15174" s="185" t="s">
        <v>470</v>
      </c>
      <c r="H15174" s="185"/>
    </row>
    <row r="15175">
      <c r="D15175" s="185"/>
      <c r="E15175" s="185" t="s">
        <v>470</v>
      </c>
      <c r="H15175" s="185"/>
    </row>
    <row r="15176">
      <c r="D15176" s="185"/>
      <c r="E15176" s="185" t="s">
        <v>470</v>
      </c>
      <c r="H15176" s="185"/>
    </row>
    <row r="15177">
      <c r="D15177" s="185"/>
      <c r="E15177" s="185" t="s">
        <v>470</v>
      </c>
      <c r="H15177" s="185"/>
    </row>
    <row r="15178">
      <c r="D15178" s="185"/>
      <c r="E15178" s="185" t="s">
        <v>470</v>
      </c>
      <c r="H15178" s="185"/>
    </row>
    <row r="15179">
      <c r="D15179" s="185"/>
      <c r="E15179" s="185" t="s">
        <v>470</v>
      </c>
      <c r="H15179" s="185"/>
    </row>
    <row r="15180">
      <c r="D15180" s="185"/>
      <c r="E15180" s="185" t="s">
        <v>470</v>
      </c>
      <c r="H15180" s="185"/>
    </row>
    <row r="15181">
      <c r="D15181" s="185"/>
      <c r="E15181" s="185" t="s">
        <v>470</v>
      </c>
      <c r="H15181" s="185"/>
    </row>
    <row r="15182">
      <c r="D15182" s="185"/>
      <c r="E15182" s="185" t="s">
        <v>470</v>
      </c>
      <c r="H15182" s="185"/>
    </row>
    <row r="15183">
      <c r="D15183" s="185"/>
      <c r="E15183" s="185" t="s">
        <v>470</v>
      </c>
      <c r="H15183" s="185"/>
    </row>
    <row r="15184">
      <c r="D15184" s="185"/>
      <c r="E15184" s="185" t="s">
        <v>470</v>
      </c>
      <c r="H15184" s="185"/>
    </row>
    <row r="15185">
      <c r="D15185" s="185"/>
      <c r="E15185" s="185" t="s">
        <v>470</v>
      </c>
      <c r="H15185" s="185"/>
    </row>
    <row r="15186">
      <c r="D15186" s="185"/>
      <c r="E15186" s="185" t="s">
        <v>470</v>
      </c>
      <c r="H15186" s="185"/>
    </row>
    <row r="15187">
      <c r="D15187" s="185"/>
      <c r="E15187" s="185" t="s">
        <v>470</v>
      </c>
      <c r="H15187" s="185"/>
    </row>
    <row r="15188">
      <c r="D15188" s="185"/>
      <c r="E15188" s="185" t="s">
        <v>470</v>
      </c>
      <c r="H15188" s="185"/>
    </row>
    <row r="15189">
      <c r="D15189" s="185"/>
      <c r="E15189" s="185" t="s">
        <v>470</v>
      </c>
      <c r="H15189" s="185"/>
    </row>
    <row r="15190">
      <c r="D15190" s="185"/>
      <c r="E15190" s="185" t="s">
        <v>470</v>
      </c>
      <c r="H15190" s="185"/>
    </row>
    <row r="15191">
      <c r="D15191" s="185"/>
      <c r="E15191" s="185" t="s">
        <v>470</v>
      </c>
      <c r="H15191" s="185"/>
    </row>
    <row r="15192">
      <c r="D15192" s="185"/>
      <c r="E15192" s="185" t="s">
        <v>470</v>
      </c>
      <c r="H15192" s="185"/>
    </row>
    <row r="15193">
      <c r="D15193" s="185"/>
      <c r="E15193" s="185" t="s">
        <v>470</v>
      </c>
      <c r="H15193" s="185"/>
    </row>
    <row r="15194">
      <c r="D15194" s="185"/>
      <c r="E15194" s="185" t="s">
        <v>470</v>
      </c>
      <c r="H15194" s="185"/>
    </row>
    <row r="15195">
      <c r="D15195" s="185"/>
      <c r="E15195" s="185" t="s">
        <v>470</v>
      </c>
      <c r="H15195" s="185"/>
    </row>
    <row r="15196">
      <c r="D15196" s="185"/>
      <c r="E15196" s="185" t="s">
        <v>470</v>
      </c>
      <c r="H15196" s="185"/>
    </row>
    <row r="15197">
      <c r="D15197" s="185"/>
      <c r="E15197" s="185" t="s">
        <v>470</v>
      </c>
      <c r="H15197" s="185"/>
    </row>
    <row r="15198">
      <c r="D15198" s="185"/>
      <c r="E15198" s="185" t="s">
        <v>470</v>
      </c>
      <c r="H15198" s="185"/>
    </row>
    <row r="15199">
      <c r="D15199" s="185"/>
      <c r="E15199" s="185" t="s">
        <v>470</v>
      </c>
      <c r="H15199" s="185"/>
    </row>
    <row r="15200">
      <c r="D15200" s="185"/>
      <c r="E15200" s="185" t="s">
        <v>470</v>
      </c>
      <c r="H15200" s="185"/>
    </row>
    <row r="15201">
      <c r="D15201" s="185"/>
      <c r="E15201" s="185" t="s">
        <v>470</v>
      </c>
      <c r="H15201" s="185"/>
    </row>
    <row r="15202">
      <c r="D15202" s="185"/>
      <c r="E15202" s="185" t="s">
        <v>470</v>
      </c>
      <c r="H15202" s="185"/>
    </row>
    <row r="15203">
      <c r="D15203" s="185"/>
      <c r="E15203" s="185" t="s">
        <v>470</v>
      </c>
      <c r="H15203" s="185"/>
    </row>
    <row r="15204">
      <c r="D15204" s="185"/>
      <c r="E15204" s="185" t="s">
        <v>470</v>
      </c>
      <c r="H15204" s="185"/>
    </row>
    <row r="15205">
      <c r="D15205" s="185"/>
      <c r="E15205" s="185" t="s">
        <v>470</v>
      </c>
      <c r="H15205" s="185"/>
    </row>
    <row r="15206">
      <c r="D15206" s="185"/>
      <c r="E15206" s="185" t="s">
        <v>470</v>
      </c>
      <c r="H15206" s="185"/>
    </row>
    <row r="15207">
      <c r="D15207" s="185"/>
      <c r="E15207" s="185" t="s">
        <v>470</v>
      </c>
      <c r="H15207" s="185"/>
    </row>
    <row r="15208">
      <c r="D15208" s="185"/>
      <c r="E15208" s="185" t="s">
        <v>470</v>
      </c>
      <c r="H15208" s="185"/>
    </row>
    <row r="15209">
      <c r="D15209" s="185"/>
      <c r="E15209" s="185" t="s">
        <v>470</v>
      </c>
      <c r="H15209" s="185"/>
    </row>
    <row r="15210">
      <c r="D15210" s="185"/>
      <c r="E15210" s="185" t="s">
        <v>470</v>
      </c>
      <c r="H15210" s="185"/>
    </row>
    <row r="15211">
      <c r="D15211" s="185"/>
      <c r="E15211" s="185" t="s">
        <v>470</v>
      </c>
      <c r="H15211" s="185"/>
    </row>
    <row r="15212">
      <c r="D15212" s="185"/>
      <c r="E15212" s="185" t="s">
        <v>470</v>
      </c>
      <c r="H15212" s="185"/>
    </row>
    <row r="15213">
      <c r="D15213" s="185"/>
      <c r="E15213" s="185" t="s">
        <v>470</v>
      </c>
      <c r="H15213" s="185"/>
    </row>
    <row r="15214">
      <c r="D15214" s="185"/>
      <c r="E15214" s="185" t="s">
        <v>470</v>
      </c>
      <c r="H15214" s="185"/>
    </row>
    <row r="15215">
      <c r="D15215" s="185"/>
      <c r="E15215" s="185" t="s">
        <v>470</v>
      </c>
      <c r="H15215" s="185"/>
    </row>
    <row r="15216">
      <c r="D15216" s="185"/>
      <c r="E15216" s="185" t="s">
        <v>470</v>
      </c>
      <c r="H15216" s="185"/>
    </row>
    <row r="15217">
      <c r="D15217" s="185"/>
      <c r="E15217" s="185" t="s">
        <v>470</v>
      </c>
      <c r="H15217" s="185"/>
    </row>
    <row r="15218">
      <c r="D15218" s="185"/>
      <c r="E15218" s="185" t="s">
        <v>470</v>
      </c>
      <c r="H15218" s="185"/>
    </row>
    <row r="15219">
      <c r="D15219" s="185"/>
      <c r="E15219" s="185" t="s">
        <v>470</v>
      </c>
      <c r="H15219" s="185"/>
    </row>
    <row r="15220">
      <c r="D15220" s="185"/>
      <c r="E15220" s="185" t="s">
        <v>470</v>
      </c>
      <c r="H15220" s="185"/>
    </row>
    <row r="15221">
      <c r="D15221" s="185"/>
      <c r="E15221" s="185" t="s">
        <v>470</v>
      </c>
      <c r="H15221" s="185"/>
    </row>
    <row r="15222">
      <c r="D15222" s="185"/>
      <c r="E15222" s="185" t="s">
        <v>470</v>
      </c>
      <c r="H15222" s="185"/>
    </row>
    <row r="15223">
      <c r="D15223" s="185"/>
      <c r="E15223" s="185" t="s">
        <v>470</v>
      </c>
      <c r="H15223" s="185"/>
    </row>
    <row r="15224">
      <c r="D15224" s="185"/>
      <c r="E15224" s="185" t="s">
        <v>470</v>
      </c>
      <c r="H15224" s="185"/>
    </row>
    <row r="15225">
      <c r="D15225" s="185"/>
      <c r="E15225" s="185" t="s">
        <v>470</v>
      </c>
      <c r="H15225" s="185"/>
    </row>
    <row r="15226">
      <c r="D15226" s="185"/>
      <c r="E15226" s="185" t="s">
        <v>470</v>
      </c>
      <c r="H15226" s="185"/>
    </row>
    <row r="15227">
      <c r="D15227" s="185"/>
      <c r="E15227" s="185" t="s">
        <v>470</v>
      </c>
      <c r="H15227" s="185"/>
    </row>
    <row r="15228">
      <c r="D15228" s="185"/>
      <c r="E15228" s="185" t="s">
        <v>470</v>
      </c>
      <c r="H15228" s="185"/>
    </row>
    <row r="15229">
      <c r="D15229" s="185"/>
      <c r="E15229" s="185" t="s">
        <v>470</v>
      </c>
      <c r="H15229" s="185"/>
    </row>
    <row r="15230">
      <c r="D15230" s="185"/>
      <c r="E15230" s="185" t="s">
        <v>470</v>
      </c>
      <c r="H15230" s="185"/>
    </row>
    <row r="15231">
      <c r="D15231" s="185"/>
      <c r="E15231" s="185" t="s">
        <v>470</v>
      </c>
      <c r="H15231" s="185"/>
    </row>
    <row r="15232">
      <c r="D15232" s="185"/>
      <c r="E15232" s="185" t="s">
        <v>470</v>
      </c>
      <c r="H15232" s="185"/>
    </row>
    <row r="15233">
      <c r="D15233" s="185"/>
      <c r="E15233" s="185" t="s">
        <v>470</v>
      </c>
      <c r="H15233" s="185"/>
    </row>
    <row r="15234">
      <c r="D15234" s="185"/>
      <c r="E15234" s="185" t="s">
        <v>470</v>
      </c>
      <c r="H15234" s="185"/>
    </row>
    <row r="15235">
      <c r="D15235" s="185"/>
      <c r="E15235" s="185" t="s">
        <v>470</v>
      </c>
      <c r="H15235" s="185"/>
    </row>
    <row r="15236">
      <c r="D15236" s="185"/>
      <c r="E15236" s="185" t="s">
        <v>470</v>
      </c>
      <c r="H15236" s="185"/>
    </row>
    <row r="15237">
      <c r="D15237" s="185"/>
      <c r="E15237" s="185" t="s">
        <v>470</v>
      </c>
      <c r="H15237" s="185"/>
    </row>
    <row r="15238">
      <c r="D15238" s="185"/>
      <c r="E15238" s="185" t="s">
        <v>470</v>
      </c>
      <c r="H15238" s="185"/>
    </row>
    <row r="15239">
      <c r="D15239" s="185"/>
      <c r="E15239" s="185" t="s">
        <v>470</v>
      </c>
      <c r="H15239" s="185"/>
    </row>
    <row r="15240">
      <c r="D15240" s="185"/>
      <c r="E15240" s="185" t="s">
        <v>470</v>
      </c>
      <c r="H15240" s="185"/>
    </row>
    <row r="15241">
      <c r="D15241" s="185"/>
      <c r="E15241" s="185" t="s">
        <v>470</v>
      </c>
      <c r="H15241" s="185"/>
    </row>
    <row r="15242">
      <c r="D15242" s="185"/>
      <c r="E15242" s="185" t="s">
        <v>470</v>
      </c>
      <c r="H15242" s="185"/>
    </row>
    <row r="15243">
      <c r="D15243" s="185"/>
      <c r="E15243" s="185" t="s">
        <v>470</v>
      </c>
      <c r="H15243" s="185"/>
    </row>
    <row r="15244">
      <c r="D15244" s="185"/>
      <c r="E15244" s="185" t="s">
        <v>470</v>
      </c>
      <c r="H15244" s="185"/>
    </row>
    <row r="15245">
      <c r="D15245" s="185"/>
      <c r="E15245" s="185" t="s">
        <v>470</v>
      </c>
      <c r="H15245" s="185"/>
    </row>
    <row r="15246">
      <c r="D15246" s="185"/>
      <c r="E15246" s="185" t="s">
        <v>470</v>
      </c>
      <c r="H15246" s="185"/>
    </row>
    <row r="15247">
      <c r="D15247" s="185"/>
      <c r="E15247" s="185" t="s">
        <v>470</v>
      </c>
      <c r="H15247" s="185"/>
    </row>
    <row r="15248">
      <c r="D15248" s="185"/>
      <c r="E15248" s="185" t="s">
        <v>470</v>
      </c>
      <c r="H15248" s="185"/>
    </row>
    <row r="15249">
      <c r="D15249" s="185"/>
      <c r="E15249" s="185" t="s">
        <v>470</v>
      </c>
      <c r="H15249" s="185"/>
    </row>
    <row r="15250">
      <c r="D15250" s="185"/>
      <c r="E15250" s="185" t="s">
        <v>470</v>
      </c>
      <c r="H15250" s="185"/>
    </row>
    <row r="15251">
      <c r="D15251" s="185"/>
      <c r="E15251" s="185" t="s">
        <v>470</v>
      </c>
      <c r="H15251" s="185"/>
    </row>
    <row r="15252">
      <c r="D15252" s="185"/>
      <c r="E15252" s="185" t="s">
        <v>470</v>
      </c>
      <c r="H15252" s="185"/>
    </row>
    <row r="15253">
      <c r="D15253" s="185"/>
      <c r="E15253" s="185" t="s">
        <v>470</v>
      </c>
      <c r="H15253" s="185"/>
    </row>
    <row r="15254">
      <c r="D15254" s="185"/>
      <c r="E15254" s="185" t="s">
        <v>470</v>
      </c>
      <c r="H15254" s="185"/>
    </row>
    <row r="15255">
      <c r="D15255" s="185"/>
      <c r="E15255" s="185" t="s">
        <v>470</v>
      </c>
      <c r="H15255" s="185"/>
    </row>
    <row r="15256">
      <c r="D15256" s="185"/>
      <c r="E15256" s="185" t="s">
        <v>470</v>
      </c>
      <c r="H15256" s="185"/>
    </row>
    <row r="15257">
      <c r="D15257" s="185"/>
      <c r="E15257" s="185" t="s">
        <v>470</v>
      </c>
      <c r="H15257" s="185"/>
    </row>
    <row r="15258">
      <c r="D15258" s="185"/>
      <c r="E15258" s="185" t="s">
        <v>470</v>
      </c>
      <c r="H15258" s="185"/>
    </row>
    <row r="15259">
      <c r="D15259" s="185"/>
      <c r="E15259" s="185" t="s">
        <v>470</v>
      </c>
      <c r="H15259" s="185"/>
    </row>
    <row r="15260">
      <c r="D15260" s="185"/>
      <c r="E15260" s="185" t="s">
        <v>470</v>
      </c>
      <c r="H15260" s="185"/>
    </row>
    <row r="15261">
      <c r="D15261" s="185"/>
      <c r="E15261" s="185" t="s">
        <v>470</v>
      </c>
      <c r="H15261" s="185"/>
    </row>
    <row r="15262">
      <c r="D15262" s="185"/>
      <c r="E15262" s="185" t="s">
        <v>470</v>
      </c>
      <c r="H15262" s="185"/>
    </row>
    <row r="15263">
      <c r="D15263" s="185"/>
      <c r="E15263" s="185" t="s">
        <v>470</v>
      </c>
      <c r="H15263" s="185"/>
    </row>
    <row r="15264">
      <c r="D15264" s="185"/>
      <c r="E15264" s="185" t="s">
        <v>470</v>
      </c>
      <c r="H15264" s="185"/>
    </row>
    <row r="15265">
      <c r="D15265" s="185"/>
      <c r="E15265" s="185" t="s">
        <v>470</v>
      </c>
      <c r="H15265" s="185"/>
    </row>
    <row r="15266">
      <c r="D15266" s="185"/>
      <c r="E15266" s="185" t="s">
        <v>470</v>
      </c>
      <c r="H15266" s="185"/>
    </row>
    <row r="15267">
      <c r="D15267" s="185"/>
      <c r="E15267" s="185" t="s">
        <v>470</v>
      </c>
      <c r="H15267" s="185"/>
    </row>
    <row r="15268">
      <c r="D15268" s="185"/>
      <c r="E15268" s="185" t="s">
        <v>470</v>
      </c>
      <c r="H15268" s="185"/>
    </row>
    <row r="15269">
      <c r="D15269" s="185"/>
      <c r="E15269" s="185" t="s">
        <v>470</v>
      </c>
      <c r="H15269" s="185"/>
    </row>
    <row r="15270">
      <c r="D15270" s="185"/>
      <c r="E15270" s="185" t="s">
        <v>470</v>
      </c>
      <c r="H15270" s="185"/>
    </row>
    <row r="15271">
      <c r="D15271" s="185"/>
      <c r="E15271" s="185" t="s">
        <v>470</v>
      </c>
      <c r="H15271" s="185"/>
    </row>
    <row r="15272">
      <c r="D15272" s="185"/>
      <c r="E15272" s="185" t="s">
        <v>470</v>
      </c>
      <c r="H15272" s="185"/>
    </row>
    <row r="15273">
      <c r="D15273" s="185"/>
      <c r="E15273" s="185" t="s">
        <v>470</v>
      </c>
      <c r="H15273" s="185"/>
    </row>
    <row r="15274">
      <c r="D15274" s="185"/>
      <c r="E15274" s="185" t="s">
        <v>470</v>
      </c>
      <c r="H15274" s="185"/>
    </row>
    <row r="15275">
      <c r="D15275" s="185"/>
      <c r="E15275" s="185" t="s">
        <v>470</v>
      </c>
      <c r="H15275" s="185"/>
    </row>
    <row r="15276">
      <c r="D15276" s="185"/>
      <c r="E15276" s="185" t="s">
        <v>470</v>
      </c>
      <c r="H15276" s="185"/>
    </row>
    <row r="15277">
      <c r="D15277" s="185"/>
      <c r="E15277" s="185" t="s">
        <v>470</v>
      </c>
      <c r="H15277" s="185"/>
    </row>
    <row r="15278">
      <c r="D15278" s="185"/>
      <c r="E15278" s="185" t="s">
        <v>470</v>
      </c>
      <c r="H15278" s="185"/>
    </row>
    <row r="15279">
      <c r="D15279" s="185"/>
      <c r="E15279" s="185" t="s">
        <v>470</v>
      </c>
      <c r="H15279" s="185"/>
    </row>
    <row r="15280">
      <c r="D15280" s="185"/>
      <c r="E15280" s="185" t="s">
        <v>470</v>
      </c>
      <c r="H15280" s="185"/>
    </row>
    <row r="15281">
      <c r="D15281" s="185"/>
      <c r="E15281" s="185" t="s">
        <v>470</v>
      </c>
      <c r="H15281" s="185"/>
    </row>
    <row r="15282">
      <c r="D15282" s="185"/>
      <c r="E15282" s="185" t="s">
        <v>470</v>
      </c>
      <c r="H15282" s="185"/>
    </row>
    <row r="15283">
      <c r="D15283" s="185"/>
      <c r="E15283" s="185" t="s">
        <v>470</v>
      </c>
      <c r="H15283" s="185"/>
    </row>
    <row r="15284">
      <c r="D15284" s="185"/>
      <c r="E15284" s="185" t="s">
        <v>470</v>
      </c>
      <c r="H15284" s="185"/>
    </row>
    <row r="15285">
      <c r="D15285" s="185"/>
      <c r="E15285" s="185" t="s">
        <v>470</v>
      </c>
      <c r="H15285" s="185"/>
    </row>
    <row r="15286">
      <c r="D15286" s="185"/>
      <c r="E15286" s="185" t="s">
        <v>470</v>
      </c>
      <c r="H15286" s="185"/>
    </row>
    <row r="15287">
      <c r="D15287" s="185"/>
      <c r="E15287" s="185" t="s">
        <v>470</v>
      </c>
      <c r="H15287" s="185"/>
    </row>
    <row r="15288">
      <c r="D15288" s="185"/>
      <c r="E15288" s="185" t="s">
        <v>470</v>
      </c>
      <c r="H15288" s="185"/>
    </row>
    <row r="15289">
      <c r="D15289" s="185"/>
      <c r="E15289" s="185" t="s">
        <v>470</v>
      </c>
      <c r="H15289" s="185"/>
    </row>
    <row r="15290">
      <c r="D15290" s="185"/>
      <c r="E15290" s="185" t="s">
        <v>470</v>
      </c>
      <c r="H15290" s="185"/>
    </row>
    <row r="15291">
      <c r="D15291" s="185"/>
      <c r="E15291" s="185" t="s">
        <v>470</v>
      </c>
      <c r="H15291" s="185"/>
    </row>
    <row r="15292">
      <c r="D15292" s="185"/>
      <c r="E15292" s="185" t="s">
        <v>470</v>
      </c>
      <c r="H15292" s="185"/>
    </row>
    <row r="15293">
      <c r="D15293" s="185"/>
      <c r="E15293" s="185" t="s">
        <v>470</v>
      </c>
      <c r="H15293" s="185"/>
    </row>
    <row r="15294">
      <c r="D15294" s="185"/>
      <c r="E15294" s="185" t="s">
        <v>470</v>
      </c>
      <c r="H15294" s="185"/>
    </row>
    <row r="15295">
      <c r="D15295" s="185"/>
      <c r="E15295" s="185" t="s">
        <v>470</v>
      </c>
      <c r="H15295" s="185"/>
    </row>
    <row r="15296">
      <c r="D15296" s="185"/>
      <c r="E15296" s="185" t="s">
        <v>470</v>
      </c>
      <c r="H15296" s="185"/>
    </row>
    <row r="15297">
      <c r="D15297" s="185"/>
      <c r="E15297" s="185" t="s">
        <v>470</v>
      </c>
      <c r="H15297" s="185"/>
    </row>
    <row r="15298">
      <c r="D15298" s="185"/>
      <c r="E15298" s="185" t="s">
        <v>470</v>
      </c>
      <c r="H15298" s="185"/>
    </row>
    <row r="15299">
      <c r="D15299" s="185"/>
      <c r="E15299" s="185" t="s">
        <v>470</v>
      </c>
      <c r="H15299" s="185"/>
    </row>
    <row r="15300">
      <c r="D15300" s="185"/>
      <c r="E15300" s="185" t="s">
        <v>470</v>
      </c>
      <c r="H15300" s="185"/>
    </row>
    <row r="15301">
      <c r="D15301" s="185"/>
      <c r="E15301" s="185" t="s">
        <v>470</v>
      </c>
      <c r="H15301" s="185"/>
    </row>
    <row r="15302">
      <c r="D15302" s="185"/>
      <c r="E15302" s="185" t="s">
        <v>470</v>
      </c>
      <c r="H15302" s="185"/>
    </row>
    <row r="15303">
      <c r="D15303" s="185"/>
      <c r="E15303" s="185" t="s">
        <v>470</v>
      </c>
      <c r="H15303" s="185"/>
    </row>
    <row r="15304">
      <c r="D15304" s="185"/>
      <c r="E15304" s="185" t="s">
        <v>470</v>
      </c>
      <c r="H15304" s="185"/>
    </row>
    <row r="15305">
      <c r="D15305" s="185"/>
      <c r="E15305" s="185" t="s">
        <v>470</v>
      </c>
      <c r="H15305" s="185"/>
    </row>
    <row r="15306">
      <c r="D15306" s="185"/>
      <c r="E15306" s="185" t="s">
        <v>470</v>
      </c>
      <c r="H15306" s="185"/>
    </row>
    <row r="15307">
      <c r="D15307" s="185"/>
      <c r="E15307" s="185" t="s">
        <v>470</v>
      </c>
      <c r="H15307" s="185"/>
    </row>
    <row r="15308">
      <c r="D15308" s="185"/>
      <c r="E15308" s="185" t="s">
        <v>470</v>
      </c>
      <c r="H15308" s="185"/>
    </row>
    <row r="15309">
      <c r="D15309" s="185"/>
      <c r="E15309" s="185" t="s">
        <v>470</v>
      </c>
      <c r="H15309" s="185"/>
    </row>
    <row r="15310">
      <c r="D15310" s="185"/>
      <c r="E15310" s="185" t="s">
        <v>470</v>
      </c>
      <c r="H15310" s="185"/>
    </row>
    <row r="15311">
      <c r="D15311" s="185"/>
      <c r="E15311" s="185" t="s">
        <v>470</v>
      </c>
      <c r="H15311" s="185"/>
    </row>
    <row r="15312">
      <c r="D15312" s="185"/>
      <c r="E15312" s="185" t="s">
        <v>470</v>
      </c>
      <c r="H15312" s="185"/>
    </row>
    <row r="15313">
      <c r="D15313" s="185"/>
      <c r="E15313" s="185" t="s">
        <v>470</v>
      </c>
      <c r="H15313" s="185"/>
    </row>
    <row r="15314">
      <c r="D15314" s="185"/>
      <c r="E15314" s="185" t="s">
        <v>470</v>
      </c>
      <c r="H15314" s="185"/>
    </row>
    <row r="15315">
      <c r="D15315" s="185"/>
      <c r="E15315" s="185" t="s">
        <v>470</v>
      </c>
      <c r="H15315" s="185"/>
    </row>
    <row r="15316">
      <c r="D15316" s="185"/>
      <c r="E15316" s="185" t="s">
        <v>470</v>
      </c>
      <c r="H15316" s="185"/>
    </row>
    <row r="15317">
      <c r="D15317" s="185"/>
      <c r="E15317" s="185" t="s">
        <v>470</v>
      </c>
      <c r="H15317" s="185"/>
    </row>
    <row r="15318">
      <c r="D15318" s="185"/>
      <c r="E15318" s="185" t="s">
        <v>470</v>
      </c>
      <c r="H15318" s="185"/>
    </row>
    <row r="15319">
      <c r="D15319" s="185"/>
      <c r="E15319" s="185" t="s">
        <v>470</v>
      </c>
      <c r="H15319" s="185"/>
    </row>
    <row r="15320">
      <c r="D15320" s="185"/>
      <c r="E15320" s="185" t="s">
        <v>470</v>
      </c>
      <c r="H15320" s="185"/>
    </row>
    <row r="15321">
      <c r="D15321" s="185"/>
      <c r="E15321" s="185" t="s">
        <v>470</v>
      </c>
      <c r="H15321" s="185"/>
    </row>
    <row r="15322">
      <c r="D15322" s="185"/>
      <c r="E15322" s="185" t="s">
        <v>470</v>
      </c>
      <c r="H15322" s="185"/>
    </row>
    <row r="15323">
      <c r="D15323" s="185"/>
      <c r="E15323" s="185" t="s">
        <v>470</v>
      </c>
      <c r="H15323" s="185"/>
    </row>
    <row r="15324">
      <c r="D15324" s="185"/>
      <c r="E15324" s="185" t="s">
        <v>470</v>
      </c>
      <c r="H15324" s="185"/>
    </row>
    <row r="15325">
      <c r="D15325" s="185"/>
      <c r="E15325" s="185" t="s">
        <v>470</v>
      </c>
      <c r="H15325" s="185"/>
    </row>
    <row r="15326">
      <c r="D15326" s="185"/>
      <c r="E15326" s="185" t="s">
        <v>470</v>
      </c>
      <c r="H15326" s="185"/>
    </row>
    <row r="15327">
      <c r="D15327" s="185"/>
      <c r="E15327" s="185" t="s">
        <v>470</v>
      </c>
      <c r="H15327" s="185"/>
    </row>
    <row r="15328">
      <c r="D15328" s="185"/>
      <c r="E15328" s="185" t="s">
        <v>470</v>
      </c>
      <c r="H15328" s="185"/>
    </row>
    <row r="15329">
      <c r="D15329" s="185"/>
      <c r="E15329" s="185" t="s">
        <v>470</v>
      </c>
      <c r="H15329" s="185"/>
    </row>
    <row r="15330">
      <c r="D15330" s="185"/>
      <c r="E15330" s="185" t="s">
        <v>470</v>
      </c>
      <c r="H15330" s="185"/>
    </row>
    <row r="15331">
      <c r="D15331" s="185"/>
      <c r="E15331" s="185" t="s">
        <v>470</v>
      </c>
      <c r="H15331" s="185"/>
    </row>
    <row r="15332">
      <c r="D15332" s="185"/>
      <c r="E15332" s="185" t="s">
        <v>470</v>
      </c>
      <c r="H15332" s="185"/>
    </row>
    <row r="15333">
      <c r="D15333" s="185"/>
      <c r="E15333" s="185" t="s">
        <v>470</v>
      </c>
      <c r="H15333" s="185"/>
    </row>
    <row r="15334">
      <c r="D15334" s="185"/>
      <c r="E15334" s="185" t="s">
        <v>470</v>
      </c>
      <c r="H15334" s="185"/>
    </row>
    <row r="15335">
      <c r="D15335" s="185"/>
      <c r="E15335" s="185" t="s">
        <v>470</v>
      </c>
      <c r="H15335" s="185"/>
    </row>
    <row r="15336">
      <c r="D15336" s="185"/>
      <c r="E15336" s="185" t="s">
        <v>470</v>
      </c>
      <c r="H15336" s="185"/>
    </row>
    <row r="15337">
      <c r="D15337" s="185"/>
      <c r="E15337" s="185" t="s">
        <v>470</v>
      </c>
      <c r="H15337" s="185"/>
    </row>
    <row r="15338">
      <c r="D15338" s="185"/>
      <c r="E15338" s="185" t="s">
        <v>470</v>
      </c>
      <c r="H15338" s="185"/>
    </row>
    <row r="15339">
      <c r="D15339" s="185"/>
      <c r="E15339" s="185" t="s">
        <v>470</v>
      </c>
      <c r="H15339" s="185"/>
    </row>
    <row r="15340">
      <c r="D15340" s="185"/>
      <c r="E15340" s="185" t="s">
        <v>470</v>
      </c>
      <c r="H15340" s="185"/>
    </row>
    <row r="15341">
      <c r="D15341" s="185"/>
      <c r="E15341" s="185" t="s">
        <v>470</v>
      </c>
      <c r="H15341" s="185"/>
    </row>
    <row r="15342">
      <c r="D15342" s="185"/>
      <c r="E15342" s="185" t="s">
        <v>470</v>
      </c>
      <c r="H15342" s="185"/>
    </row>
    <row r="15343">
      <c r="D15343" s="185"/>
      <c r="E15343" s="185" t="s">
        <v>470</v>
      </c>
      <c r="H15343" s="185"/>
    </row>
    <row r="15344">
      <c r="D15344" s="185"/>
      <c r="E15344" s="185" t="s">
        <v>470</v>
      </c>
      <c r="H15344" s="185"/>
    </row>
    <row r="15345">
      <c r="D15345" s="185"/>
      <c r="E15345" s="185" t="s">
        <v>470</v>
      </c>
      <c r="H15345" s="185"/>
    </row>
    <row r="15346">
      <c r="D15346" s="185"/>
      <c r="E15346" s="185" t="s">
        <v>470</v>
      </c>
      <c r="H15346" s="185"/>
    </row>
    <row r="15347">
      <c r="D15347" s="185"/>
      <c r="E15347" s="185" t="s">
        <v>470</v>
      </c>
      <c r="H15347" s="185"/>
    </row>
    <row r="15348">
      <c r="D15348" s="185"/>
      <c r="E15348" s="185" t="s">
        <v>470</v>
      </c>
      <c r="H15348" s="185"/>
    </row>
    <row r="15349">
      <c r="D15349" s="185"/>
      <c r="E15349" s="185" t="s">
        <v>470</v>
      </c>
      <c r="H15349" s="185"/>
    </row>
    <row r="15350">
      <c r="D15350" s="185"/>
      <c r="E15350" s="185" t="s">
        <v>470</v>
      </c>
      <c r="H15350" s="185"/>
    </row>
    <row r="15351">
      <c r="D15351" s="185"/>
      <c r="E15351" s="185" t="s">
        <v>470</v>
      </c>
      <c r="H15351" s="185"/>
    </row>
    <row r="15352">
      <c r="D15352" s="185"/>
      <c r="E15352" s="185" t="s">
        <v>470</v>
      </c>
      <c r="H15352" s="185"/>
    </row>
    <row r="15353">
      <c r="D15353" s="185"/>
      <c r="E15353" s="185" t="s">
        <v>470</v>
      </c>
      <c r="H15353" s="185"/>
    </row>
    <row r="15354">
      <c r="D15354" s="185"/>
      <c r="E15354" s="185" t="s">
        <v>470</v>
      </c>
      <c r="H15354" s="185"/>
    </row>
    <row r="15355">
      <c r="D15355" s="185"/>
      <c r="E15355" s="185" t="s">
        <v>470</v>
      </c>
      <c r="H15355" s="185"/>
    </row>
    <row r="15356">
      <c r="D15356" s="185"/>
      <c r="E15356" s="185" t="s">
        <v>470</v>
      </c>
      <c r="H15356" s="185"/>
    </row>
    <row r="15357">
      <c r="D15357" s="185"/>
      <c r="E15357" s="185" t="s">
        <v>470</v>
      </c>
      <c r="H15357" s="185"/>
    </row>
    <row r="15358">
      <c r="D15358" s="185"/>
      <c r="E15358" s="185" t="s">
        <v>470</v>
      </c>
      <c r="H15358" s="185"/>
    </row>
    <row r="15359">
      <c r="D15359" s="185"/>
      <c r="E15359" s="185" t="s">
        <v>470</v>
      </c>
      <c r="H15359" s="185"/>
    </row>
    <row r="15360">
      <c r="D15360" s="185"/>
      <c r="E15360" s="185" t="s">
        <v>470</v>
      </c>
      <c r="H15360" s="185"/>
    </row>
    <row r="15361">
      <c r="D15361" s="185"/>
      <c r="E15361" s="185" t="s">
        <v>470</v>
      </c>
      <c r="H15361" s="185"/>
    </row>
    <row r="15362">
      <c r="D15362" s="185"/>
      <c r="E15362" s="185" t="s">
        <v>470</v>
      </c>
      <c r="H15362" s="185"/>
    </row>
    <row r="15363">
      <c r="D15363" s="185"/>
      <c r="E15363" s="185" t="s">
        <v>470</v>
      </c>
      <c r="H15363" s="185"/>
    </row>
    <row r="15364">
      <c r="D15364" s="185"/>
      <c r="E15364" s="185" t="s">
        <v>470</v>
      </c>
      <c r="H15364" s="185"/>
    </row>
    <row r="15365">
      <c r="D15365" s="185"/>
      <c r="E15365" s="185" t="s">
        <v>470</v>
      </c>
      <c r="H15365" s="185"/>
    </row>
    <row r="15366">
      <c r="D15366" s="185"/>
      <c r="E15366" s="185" t="s">
        <v>470</v>
      </c>
      <c r="H15366" s="185"/>
    </row>
    <row r="15367">
      <c r="D15367" s="185"/>
      <c r="E15367" s="185" t="s">
        <v>470</v>
      </c>
      <c r="H15367" s="185"/>
    </row>
    <row r="15368">
      <c r="D15368" s="185"/>
      <c r="E15368" s="185" t="s">
        <v>470</v>
      </c>
      <c r="H15368" s="185"/>
    </row>
    <row r="15369">
      <c r="D15369" s="185"/>
      <c r="E15369" s="185" t="s">
        <v>470</v>
      </c>
      <c r="H15369" s="185"/>
    </row>
    <row r="15370">
      <c r="D15370" s="185"/>
      <c r="E15370" s="185" t="s">
        <v>470</v>
      </c>
      <c r="H15370" s="185"/>
    </row>
    <row r="15371">
      <c r="D15371" s="185"/>
      <c r="E15371" s="185" t="s">
        <v>470</v>
      </c>
      <c r="H15371" s="185"/>
    </row>
    <row r="15372">
      <c r="D15372" s="185"/>
      <c r="E15372" s="185" t="s">
        <v>470</v>
      </c>
      <c r="H15372" s="185"/>
    </row>
    <row r="15373">
      <c r="D15373" s="185"/>
      <c r="E15373" s="185" t="s">
        <v>470</v>
      </c>
      <c r="H15373" s="185"/>
    </row>
    <row r="15374">
      <c r="D15374" s="185"/>
      <c r="E15374" s="185" t="s">
        <v>470</v>
      </c>
      <c r="H15374" s="185"/>
    </row>
    <row r="15375">
      <c r="D15375" s="185"/>
      <c r="E15375" s="185" t="s">
        <v>470</v>
      </c>
      <c r="H15375" s="185"/>
    </row>
    <row r="15376">
      <c r="D15376" s="185"/>
      <c r="E15376" s="185" t="s">
        <v>470</v>
      </c>
      <c r="H15376" s="185"/>
    </row>
    <row r="15377">
      <c r="D15377" s="185"/>
      <c r="E15377" s="185" t="s">
        <v>470</v>
      </c>
      <c r="H15377" s="185"/>
    </row>
    <row r="15378">
      <c r="D15378" s="185"/>
      <c r="E15378" s="185" t="s">
        <v>470</v>
      </c>
      <c r="H15378" s="185"/>
    </row>
    <row r="15379">
      <c r="D15379" s="185"/>
      <c r="E15379" s="185" t="s">
        <v>470</v>
      </c>
      <c r="H15379" s="185"/>
    </row>
    <row r="15380">
      <c r="D15380" s="185"/>
      <c r="E15380" s="185" t="s">
        <v>470</v>
      </c>
      <c r="H15380" s="185"/>
    </row>
    <row r="15381">
      <c r="D15381" s="185"/>
      <c r="E15381" s="185" t="s">
        <v>470</v>
      </c>
      <c r="H15381" s="185"/>
    </row>
    <row r="15382">
      <c r="D15382" s="185"/>
      <c r="E15382" s="185" t="s">
        <v>470</v>
      </c>
      <c r="H15382" s="185"/>
    </row>
    <row r="15383">
      <c r="D15383" s="185"/>
      <c r="E15383" s="185" t="s">
        <v>470</v>
      </c>
      <c r="H15383" s="185"/>
    </row>
    <row r="15384">
      <c r="D15384" s="185"/>
      <c r="E15384" s="185" t="s">
        <v>470</v>
      </c>
      <c r="H15384" s="185"/>
    </row>
    <row r="15385">
      <c r="D15385" s="185"/>
      <c r="E15385" s="185" t="s">
        <v>470</v>
      </c>
      <c r="H15385" s="185"/>
    </row>
    <row r="15386">
      <c r="D15386" s="185"/>
      <c r="E15386" s="185" t="s">
        <v>470</v>
      </c>
      <c r="H15386" s="185"/>
    </row>
    <row r="15387">
      <c r="D15387" s="185"/>
      <c r="E15387" s="185" t="s">
        <v>470</v>
      </c>
      <c r="H15387" s="185"/>
    </row>
    <row r="15388">
      <c r="D15388" s="185"/>
      <c r="E15388" s="185" t="s">
        <v>470</v>
      </c>
      <c r="H15388" s="185"/>
    </row>
    <row r="15389">
      <c r="D15389" s="185"/>
      <c r="E15389" s="185" t="s">
        <v>470</v>
      </c>
      <c r="H15389" s="185"/>
    </row>
    <row r="15390">
      <c r="D15390" s="185"/>
      <c r="E15390" s="185" t="s">
        <v>470</v>
      </c>
      <c r="H15390" s="185"/>
    </row>
    <row r="15391">
      <c r="D15391" s="185"/>
      <c r="E15391" s="185" t="s">
        <v>470</v>
      </c>
      <c r="H15391" s="185"/>
    </row>
    <row r="15392">
      <c r="D15392" s="185"/>
      <c r="E15392" s="185" t="s">
        <v>470</v>
      </c>
      <c r="H15392" s="185"/>
    </row>
    <row r="15393">
      <c r="D15393" s="185"/>
      <c r="E15393" s="185" t="s">
        <v>470</v>
      </c>
      <c r="H15393" s="185"/>
    </row>
    <row r="15394">
      <c r="D15394" s="185"/>
      <c r="E15394" s="185" t="s">
        <v>470</v>
      </c>
      <c r="H15394" s="185"/>
    </row>
    <row r="15395">
      <c r="D15395" s="185"/>
      <c r="E15395" s="185" t="s">
        <v>470</v>
      </c>
      <c r="H15395" s="185"/>
    </row>
    <row r="15396">
      <c r="D15396" s="185"/>
      <c r="E15396" s="185" t="s">
        <v>470</v>
      </c>
      <c r="H15396" s="185"/>
    </row>
    <row r="15397">
      <c r="D15397" s="185"/>
      <c r="E15397" s="185" t="s">
        <v>470</v>
      </c>
      <c r="H15397" s="185"/>
    </row>
    <row r="15398">
      <c r="D15398" s="185"/>
      <c r="E15398" s="185" t="s">
        <v>470</v>
      </c>
      <c r="H15398" s="185"/>
    </row>
    <row r="15399">
      <c r="D15399" s="185"/>
      <c r="E15399" s="185" t="s">
        <v>470</v>
      </c>
      <c r="H15399" s="185"/>
    </row>
    <row r="15400">
      <c r="D15400" s="185"/>
      <c r="E15400" s="185" t="s">
        <v>470</v>
      </c>
      <c r="H15400" s="185"/>
    </row>
    <row r="15401">
      <c r="D15401" s="185"/>
      <c r="E15401" s="185" t="s">
        <v>470</v>
      </c>
      <c r="H15401" s="185"/>
    </row>
    <row r="15402">
      <c r="D15402" s="185"/>
      <c r="E15402" s="185" t="s">
        <v>470</v>
      </c>
      <c r="H15402" s="185"/>
    </row>
    <row r="15403">
      <c r="D15403" s="185"/>
      <c r="E15403" s="185" t="s">
        <v>470</v>
      </c>
      <c r="H15403" s="185"/>
    </row>
    <row r="15404">
      <c r="D15404" s="185"/>
      <c r="E15404" s="185" t="s">
        <v>470</v>
      </c>
      <c r="H15404" s="185"/>
    </row>
    <row r="15405">
      <c r="D15405" s="185"/>
      <c r="E15405" s="185" t="s">
        <v>470</v>
      </c>
      <c r="H15405" s="185"/>
    </row>
    <row r="15406">
      <c r="D15406" s="185"/>
      <c r="E15406" s="185" t="s">
        <v>470</v>
      </c>
      <c r="H15406" s="185"/>
    </row>
    <row r="15407">
      <c r="D15407" s="185"/>
      <c r="E15407" s="185" t="s">
        <v>470</v>
      </c>
      <c r="H15407" s="185"/>
    </row>
    <row r="15408">
      <c r="D15408" s="185"/>
      <c r="E15408" s="185" t="s">
        <v>470</v>
      </c>
      <c r="H15408" s="185"/>
    </row>
    <row r="15409">
      <c r="D15409" s="185"/>
      <c r="E15409" s="185" t="s">
        <v>470</v>
      </c>
      <c r="H15409" s="185"/>
    </row>
    <row r="15410">
      <c r="D15410" s="185"/>
      <c r="E15410" s="185" t="s">
        <v>470</v>
      </c>
      <c r="H15410" s="185"/>
    </row>
    <row r="15411">
      <c r="D15411" s="185"/>
      <c r="E15411" s="185" t="s">
        <v>470</v>
      </c>
      <c r="H15411" s="185"/>
    </row>
    <row r="15412">
      <c r="D15412" s="185"/>
      <c r="E15412" s="185" t="s">
        <v>470</v>
      </c>
      <c r="H15412" s="185"/>
    </row>
    <row r="15413">
      <c r="D15413" s="185"/>
      <c r="E15413" s="185" t="s">
        <v>470</v>
      </c>
      <c r="H15413" s="185"/>
    </row>
    <row r="15414">
      <c r="D15414" s="185"/>
      <c r="E15414" s="185" t="s">
        <v>470</v>
      </c>
      <c r="H15414" s="185"/>
    </row>
    <row r="15415">
      <c r="D15415" s="185"/>
      <c r="E15415" s="185" t="s">
        <v>470</v>
      </c>
      <c r="H15415" s="185"/>
    </row>
    <row r="15416">
      <c r="D15416" s="185"/>
      <c r="E15416" s="185" t="s">
        <v>470</v>
      </c>
      <c r="H15416" s="185"/>
    </row>
    <row r="15417">
      <c r="D15417" s="185"/>
      <c r="E15417" s="185" t="s">
        <v>470</v>
      </c>
      <c r="H15417" s="185"/>
    </row>
    <row r="15418">
      <c r="D15418" s="185"/>
      <c r="E15418" s="185" t="s">
        <v>470</v>
      </c>
      <c r="H15418" s="185"/>
    </row>
    <row r="15419">
      <c r="D15419" s="185"/>
      <c r="E15419" s="185" t="s">
        <v>470</v>
      </c>
      <c r="H15419" s="185"/>
    </row>
    <row r="15420">
      <c r="D15420" s="185"/>
      <c r="E15420" s="185" t="s">
        <v>470</v>
      </c>
      <c r="H15420" s="185"/>
    </row>
    <row r="15421">
      <c r="D15421" s="185"/>
      <c r="E15421" s="185" t="s">
        <v>470</v>
      </c>
      <c r="H15421" s="185"/>
    </row>
    <row r="15422">
      <c r="D15422" s="185"/>
      <c r="E15422" s="185" t="s">
        <v>470</v>
      </c>
      <c r="H15422" s="185"/>
    </row>
    <row r="15423">
      <c r="D15423" s="185"/>
      <c r="E15423" s="185" t="s">
        <v>470</v>
      </c>
      <c r="H15423" s="185"/>
    </row>
    <row r="15424">
      <c r="D15424" s="185"/>
      <c r="E15424" s="185" t="s">
        <v>470</v>
      </c>
      <c r="H15424" s="185"/>
    </row>
    <row r="15425">
      <c r="D15425" s="185"/>
      <c r="E15425" s="185" t="s">
        <v>470</v>
      </c>
      <c r="H15425" s="185"/>
    </row>
    <row r="15426">
      <c r="D15426" s="185"/>
      <c r="E15426" s="185" t="s">
        <v>470</v>
      </c>
      <c r="H15426" s="185"/>
    </row>
    <row r="15427">
      <c r="D15427" s="185"/>
      <c r="E15427" s="185" t="s">
        <v>470</v>
      </c>
      <c r="H15427" s="185"/>
    </row>
    <row r="15428">
      <c r="D15428" s="185"/>
      <c r="E15428" s="185" t="s">
        <v>470</v>
      </c>
      <c r="H15428" s="185"/>
    </row>
    <row r="15429">
      <c r="D15429" s="185"/>
      <c r="E15429" s="185" t="s">
        <v>470</v>
      </c>
      <c r="H15429" s="185"/>
    </row>
    <row r="15430">
      <c r="D15430" s="185"/>
      <c r="E15430" s="185" t="s">
        <v>470</v>
      </c>
      <c r="H15430" s="185"/>
    </row>
    <row r="15431">
      <c r="D15431" s="185"/>
      <c r="E15431" s="185" t="s">
        <v>470</v>
      </c>
      <c r="H15431" s="185"/>
    </row>
    <row r="15432">
      <c r="D15432" s="185"/>
      <c r="E15432" s="185" t="s">
        <v>470</v>
      </c>
      <c r="H15432" s="185"/>
    </row>
    <row r="15433">
      <c r="D15433" s="185"/>
      <c r="E15433" s="185" t="s">
        <v>470</v>
      </c>
      <c r="H15433" s="185"/>
    </row>
    <row r="15434">
      <c r="D15434" s="185"/>
      <c r="E15434" s="185" t="s">
        <v>470</v>
      </c>
      <c r="H15434" s="185"/>
    </row>
    <row r="15435">
      <c r="D15435" s="185"/>
      <c r="E15435" s="185" t="s">
        <v>470</v>
      </c>
      <c r="H15435" s="185"/>
    </row>
    <row r="15436">
      <c r="D15436" s="185"/>
      <c r="E15436" s="185" t="s">
        <v>470</v>
      </c>
      <c r="H15436" s="185"/>
    </row>
    <row r="15437">
      <c r="D15437" s="185"/>
      <c r="E15437" s="185" t="s">
        <v>470</v>
      </c>
      <c r="H15437" s="185"/>
    </row>
    <row r="15438">
      <c r="D15438" s="185"/>
      <c r="E15438" s="185" t="s">
        <v>470</v>
      </c>
      <c r="H15438" s="185"/>
    </row>
    <row r="15439">
      <c r="D15439" s="185"/>
      <c r="E15439" s="185" t="s">
        <v>470</v>
      </c>
      <c r="H15439" s="185"/>
    </row>
    <row r="15440">
      <c r="D15440" s="185"/>
      <c r="E15440" s="185" t="s">
        <v>470</v>
      </c>
      <c r="H15440" s="185"/>
    </row>
    <row r="15441">
      <c r="D15441" s="185"/>
      <c r="E15441" s="185" t="s">
        <v>470</v>
      </c>
      <c r="H15441" s="185"/>
    </row>
    <row r="15442">
      <c r="D15442" s="185"/>
      <c r="E15442" s="185" t="s">
        <v>470</v>
      </c>
      <c r="H15442" s="185"/>
    </row>
    <row r="15443">
      <c r="D15443" s="185"/>
      <c r="E15443" s="185" t="s">
        <v>470</v>
      </c>
      <c r="H15443" s="185"/>
    </row>
    <row r="15444">
      <c r="D15444" s="185"/>
      <c r="E15444" s="185" t="s">
        <v>470</v>
      </c>
      <c r="H15444" s="185"/>
    </row>
    <row r="15445">
      <c r="D15445" s="185"/>
      <c r="E15445" s="185" t="s">
        <v>470</v>
      </c>
      <c r="H15445" s="185"/>
    </row>
    <row r="15446">
      <c r="D15446" s="185"/>
      <c r="E15446" s="185" t="s">
        <v>470</v>
      </c>
      <c r="H15446" s="185"/>
    </row>
    <row r="15447">
      <c r="D15447" s="185"/>
      <c r="E15447" s="185" t="s">
        <v>470</v>
      </c>
      <c r="H15447" s="185"/>
    </row>
    <row r="15448">
      <c r="D15448" s="185"/>
      <c r="E15448" s="185" t="s">
        <v>470</v>
      </c>
      <c r="H15448" s="185"/>
    </row>
    <row r="15449">
      <c r="D15449" s="185"/>
      <c r="E15449" s="185" t="s">
        <v>470</v>
      </c>
      <c r="H15449" s="185"/>
    </row>
    <row r="15450">
      <c r="D15450" s="185"/>
      <c r="E15450" s="185" t="s">
        <v>470</v>
      </c>
      <c r="H15450" s="185"/>
    </row>
    <row r="15451">
      <c r="D15451" s="185"/>
      <c r="E15451" s="185" t="s">
        <v>470</v>
      </c>
      <c r="H15451" s="185"/>
    </row>
    <row r="15452">
      <c r="D15452" s="185"/>
      <c r="E15452" s="185" t="s">
        <v>470</v>
      </c>
      <c r="H15452" s="185"/>
    </row>
    <row r="15453">
      <c r="D15453" s="185"/>
      <c r="E15453" s="185" t="s">
        <v>470</v>
      </c>
      <c r="H15453" s="185"/>
    </row>
    <row r="15454">
      <c r="D15454" s="185"/>
      <c r="E15454" s="185" t="s">
        <v>470</v>
      </c>
      <c r="H15454" s="185"/>
    </row>
    <row r="15455">
      <c r="D15455" s="185"/>
      <c r="E15455" s="185" t="s">
        <v>470</v>
      </c>
      <c r="H15455" s="185"/>
    </row>
    <row r="15456">
      <c r="D15456" s="185"/>
      <c r="E15456" s="185" t="s">
        <v>470</v>
      </c>
      <c r="H15456" s="185"/>
    </row>
    <row r="15457">
      <c r="D15457" s="185"/>
      <c r="E15457" s="185" t="s">
        <v>470</v>
      </c>
      <c r="H15457" s="185"/>
    </row>
    <row r="15458">
      <c r="D15458" s="185"/>
      <c r="E15458" s="185" t="s">
        <v>470</v>
      </c>
      <c r="H15458" s="185"/>
    </row>
    <row r="15459">
      <c r="D15459" s="185"/>
      <c r="E15459" s="185" t="s">
        <v>470</v>
      </c>
      <c r="H15459" s="185"/>
    </row>
    <row r="15460">
      <c r="D15460" s="185"/>
      <c r="E15460" s="185" t="s">
        <v>470</v>
      </c>
      <c r="H15460" s="185"/>
    </row>
    <row r="15461">
      <c r="D15461" s="185"/>
      <c r="E15461" s="185" t="s">
        <v>470</v>
      </c>
      <c r="H15461" s="185"/>
    </row>
    <row r="15462">
      <c r="D15462" s="185"/>
      <c r="E15462" s="185" t="s">
        <v>470</v>
      </c>
      <c r="H15462" s="185"/>
    </row>
    <row r="15463">
      <c r="D15463" s="185"/>
      <c r="E15463" s="185" t="s">
        <v>470</v>
      </c>
      <c r="H15463" s="185"/>
    </row>
    <row r="15464">
      <c r="D15464" s="185"/>
      <c r="E15464" s="185" t="s">
        <v>470</v>
      </c>
      <c r="H15464" s="185"/>
    </row>
    <row r="15465">
      <c r="D15465" s="185"/>
      <c r="E15465" s="185" t="s">
        <v>470</v>
      </c>
      <c r="H15465" s="185"/>
    </row>
    <row r="15466">
      <c r="D15466" s="185"/>
      <c r="E15466" s="185" t="s">
        <v>470</v>
      </c>
      <c r="H15466" s="185"/>
    </row>
    <row r="15467">
      <c r="D15467" s="185"/>
      <c r="E15467" s="185" t="s">
        <v>470</v>
      </c>
      <c r="H15467" s="185"/>
    </row>
    <row r="15468">
      <c r="D15468" s="185"/>
      <c r="E15468" s="185" t="s">
        <v>470</v>
      </c>
      <c r="H15468" s="185"/>
    </row>
    <row r="15469">
      <c r="D15469" s="185"/>
      <c r="E15469" s="185" t="s">
        <v>470</v>
      </c>
      <c r="H15469" s="185"/>
    </row>
    <row r="15470">
      <c r="D15470" s="185"/>
      <c r="E15470" s="185" t="s">
        <v>470</v>
      </c>
      <c r="H15470" s="185"/>
    </row>
    <row r="15471">
      <c r="D15471" s="185"/>
      <c r="E15471" s="185" t="s">
        <v>470</v>
      </c>
      <c r="H15471" s="185"/>
    </row>
    <row r="15472">
      <c r="D15472" s="185"/>
      <c r="E15472" s="185" t="s">
        <v>470</v>
      </c>
      <c r="H15472" s="185"/>
    </row>
    <row r="15473">
      <c r="D15473" s="185"/>
      <c r="E15473" s="185" t="s">
        <v>470</v>
      </c>
      <c r="H15473" s="185"/>
    </row>
    <row r="15474">
      <c r="D15474" s="185"/>
      <c r="E15474" s="185" t="s">
        <v>470</v>
      </c>
      <c r="H15474" s="185"/>
    </row>
    <row r="15475">
      <c r="D15475" s="185"/>
      <c r="E15475" s="185" t="s">
        <v>470</v>
      </c>
      <c r="H15475" s="185"/>
    </row>
    <row r="15476">
      <c r="D15476" s="185"/>
      <c r="E15476" s="185" t="s">
        <v>470</v>
      </c>
      <c r="H15476" s="185"/>
    </row>
    <row r="15477">
      <c r="D15477" s="185"/>
      <c r="E15477" s="185" t="s">
        <v>470</v>
      </c>
      <c r="H15477" s="185"/>
    </row>
    <row r="15478">
      <c r="D15478" s="185"/>
      <c r="E15478" s="185" t="s">
        <v>470</v>
      </c>
      <c r="H15478" s="185"/>
    </row>
    <row r="15479">
      <c r="D15479" s="185"/>
      <c r="E15479" s="185" t="s">
        <v>470</v>
      </c>
      <c r="H15479" s="185"/>
    </row>
    <row r="15480">
      <c r="D15480" s="185"/>
      <c r="E15480" s="185" t="s">
        <v>470</v>
      </c>
      <c r="H15480" s="185"/>
    </row>
    <row r="15481">
      <c r="D15481" s="185"/>
      <c r="E15481" s="185" t="s">
        <v>470</v>
      </c>
      <c r="H15481" s="185"/>
    </row>
    <row r="15482">
      <c r="D15482" s="185"/>
      <c r="E15482" s="185" t="s">
        <v>470</v>
      </c>
      <c r="H15482" s="185"/>
    </row>
    <row r="15483">
      <c r="D15483" s="185"/>
      <c r="E15483" s="185" t="s">
        <v>470</v>
      </c>
      <c r="H15483" s="185"/>
    </row>
    <row r="15484">
      <c r="D15484" s="185"/>
      <c r="E15484" s="185" t="s">
        <v>470</v>
      </c>
      <c r="H15484" s="185"/>
    </row>
    <row r="15485">
      <c r="D15485" s="185"/>
      <c r="E15485" s="185" t="s">
        <v>470</v>
      </c>
      <c r="H15485" s="185"/>
    </row>
    <row r="15486">
      <c r="D15486" s="185"/>
      <c r="E15486" s="185" t="s">
        <v>470</v>
      </c>
      <c r="H15486" s="185"/>
    </row>
    <row r="15487">
      <c r="D15487" s="185"/>
      <c r="E15487" s="185" t="s">
        <v>470</v>
      </c>
      <c r="H15487" s="185"/>
    </row>
    <row r="15488">
      <c r="D15488" s="185"/>
      <c r="E15488" s="185" t="s">
        <v>470</v>
      </c>
      <c r="H15488" s="185"/>
    </row>
    <row r="15489">
      <c r="D15489" s="185"/>
      <c r="E15489" s="185" t="s">
        <v>470</v>
      </c>
      <c r="H15489" s="185"/>
    </row>
    <row r="15490">
      <c r="D15490" s="185"/>
      <c r="E15490" s="185" t="s">
        <v>470</v>
      </c>
      <c r="H15490" s="185"/>
    </row>
    <row r="15491">
      <c r="D15491" s="185"/>
      <c r="E15491" s="185" t="s">
        <v>470</v>
      </c>
      <c r="H15491" s="185"/>
    </row>
    <row r="15492">
      <c r="D15492" s="185"/>
      <c r="E15492" s="185" t="s">
        <v>470</v>
      </c>
      <c r="H15492" s="185"/>
    </row>
    <row r="15493">
      <c r="D15493" s="185"/>
      <c r="E15493" s="185" t="s">
        <v>470</v>
      </c>
      <c r="H15493" s="185"/>
    </row>
    <row r="15494">
      <c r="D15494" s="185"/>
      <c r="E15494" s="185" t="s">
        <v>470</v>
      </c>
      <c r="H15494" s="185"/>
    </row>
    <row r="15495">
      <c r="D15495" s="185"/>
      <c r="E15495" s="185" t="s">
        <v>470</v>
      </c>
      <c r="H15495" s="185"/>
    </row>
    <row r="15496">
      <c r="D15496" s="185"/>
      <c r="E15496" s="185" t="s">
        <v>470</v>
      </c>
      <c r="H15496" s="185"/>
    </row>
    <row r="15497">
      <c r="D15497" s="185"/>
      <c r="E15497" s="185" t="s">
        <v>470</v>
      </c>
      <c r="H15497" s="185"/>
    </row>
    <row r="15498">
      <c r="D15498" s="185"/>
      <c r="E15498" s="185" t="s">
        <v>470</v>
      </c>
      <c r="H15498" s="185"/>
    </row>
    <row r="15499">
      <c r="D15499" s="185"/>
      <c r="E15499" s="185" t="s">
        <v>470</v>
      </c>
      <c r="H15499" s="185"/>
    </row>
    <row r="15500">
      <c r="D15500" s="185"/>
      <c r="E15500" s="185" t="s">
        <v>470</v>
      </c>
      <c r="H15500" s="185"/>
    </row>
    <row r="15501">
      <c r="D15501" s="185"/>
      <c r="E15501" s="185" t="s">
        <v>470</v>
      </c>
      <c r="H15501" s="185"/>
    </row>
    <row r="15502">
      <c r="D15502" s="185"/>
      <c r="E15502" s="185" t="s">
        <v>470</v>
      </c>
      <c r="H15502" s="185"/>
    </row>
    <row r="15503">
      <c r="D15503" s="185"/>
      <c r="E15503" s="185" t="s">
        <v>470</v>
      </c>
      <c r="H15503" s="185"/>
    </row>
    <row r="15504">
      <c r="D15504" s="185"/>
      <c r="E15504" s="185" t="s">
        <v>470</v>
      </c>
      <c r="H15504" s="185"/>
    </row>
    <row r="15505">
      <c r="D15505" s="185"/>
      <c r="E15505" s="185" t="s">
        <v>470</v>
      </c>
      <c r="H15505" s="185"/>
    </row>
    <row r="15506">
      <c r="D15506" s="185"/>
      <c r="E15506" s="185" t="s">
        <v>470</v>
      </c>
      <c r="H15506" s="185"/>
    </row>
    <row r="15507">
      <c r="D15507" s="185"/>
      <c r="E15507" s="185" t="s">
        <v>470</v>
      </c>
      <c r="H15507" s="185"/>
    </row>
    <row r="15508">
      <c r="D15508" s="185"/>
      <c r="E15508" s="185" t="s">
        <v>470</v>
      </c>
      <c r="H15508" s="185"/>
    </row>
    <row r="15509">
      <c r="D15509" s="185"/>
      <c r="E15509" s="185" t="s">
        <v>470</v>
      </c>
      <c r="H15509" s="185"/>
    </row>
    <row r="15510">
      <c r="D15510" s="185"/>
      <c r="E15510" s="185" t="s">
        <v>470</v>
      </c>
      <c r="H15510" s="185"/>
    </row>
    <row r="15511">
      <c r="D15511" s="185"/>
      <c r="E15511" s="185" t="s">
        <v>470</v>
      </c>
      <c r="H15511" s="185"/>
    </row>
    <row r="15512">
      <c r="D15512" s="185"/>
      <c r="E15512" s="185" t="s">
        <v>470</v>
      </c>
      <c r="H15512" s="185"/>
    </row>
    <row r="15513">
      <c r="D15513" s="185"/>
      <c r="E15513" s="185" t="s">
        <v>470</v>
      </c>
      <c r="H15513" s="185"/>
    </row>
    <row r="15514">
      <c r="D15514" s="185"/>
      <c r="E15514" s="185" t="s">
        <v>470</v>
      </c>
      <c r="H15514" s="185"/>
    </row>
    <row r="15515">
      <c r="D15515" s="185"/>
      <c r="E15515" s="185" t="s">
        <v>470</v>
      </c>
      <c r="H15515" s="185"/>
    </row>
    <row r="15516">
      <c r="D15516" s="185"/>
      <c r="E15516" s="185" t="s">
        <v>470</v>
      </c>
      <c r="H15516" s="185"/>
    </row>
    <row r="15517">
      <c r="D15517" s="185"/>
      <c r="E15517" s="185" t="s">
        <v>470</v>
      </c>
      <c r="H15517" s="185"/>
    </row>
    <row r="15518">
      <c r="D15518" s="185"/>
      <c r="E15518" s="185" t="s">
        <v>470</v>
      </c>
      <c r="H15518" s="185"/>
    </row>
    <row r="15519">
      <c r="D15519" s="185"/>
      <c r="E15519" s="185" t="s">
        <v>470</v>
      </c>
      <c r="H15519" s="185"/>
    </row>
    <row r="15520">
      <c r="D15520" s="185"/>
      <c r="E15520" s="185" t="s">
        <v>470</v>
      </c>
      <c r="H15520" s="185"/>
    </row>
    <row r="15521">
      <c r="D15521" s="185"/>
      <c r="E15521" s="185" t="s">
        <v>470</v>
      </c>
      <c r="H15521" s="185"/>
    </row>
    <row r="15522">
      <c r="D15522" s="185"/>
      <c r="E15522" s="185" t="s">
        <v>470</v>
      </c>
      <c r="H15522" s="185"/>
    </row>
    <row r="15523">
      <c r="D15523" s="185"/>
      <c r="E15523" s="185" t="s">
        <v>470</v>
      </c>
      <c r="H15523" s="185"/>
    </row>
    <row r="15524">
      <c r="D15524" s="185"/>
      <c r="E15524" s="185" t="s">
        <v>470</v>
      </c>
      <c r="H15524" s="185"/>
    </row>
    <row r="15525">
      <c r="D15525" s="185"/>
      <c r="E15525" s="185" t="s">
        <v>470</v>
      </c>
      <c r="H15525" s="185"/>
    </row>
    <row r="15526">
      <c r="D15526" s="185"/>
      <c r="E15526" s="185" t="s">
        <v>470</v>
      </c>
      <c r="H15526" s="185"/>
    </row>
    <row r="15527">
      <c r="D15527" s="185"/>
      <c r="E15527" s="185" t="s">
        <v>470</v>
      </c>
      <c r="H15527" s="185"/>
    </row>
    <row r="15528">
      <c r="D15528" s="185"/>
      <c r="E15528" s="185" t="s">
        <v>470</v>
      </c>
      <c r="H15528" s="185"/>
    </row>
    <row r="15529">
      <c r="D15529" s="185"/>
      <c r="E15529" s="185" t="s">
        <v>470</v>
      </c>
      <c r="H15529" s="185"/>
    </row>
    <row r="15530">
      <c r="D15530" s="185"/>
      <c r="E15530" s="185" t="s">
        <v>470</v>
      </c>
      <c r="H15530" s="185"/>
    </row>
    <row r="15531">
      <c r="D15531" s="185"/>
      <c r="E15531" s="185" t="s">
        <v>470</v>
      </c>
      <c r="H15531" s="185"/>
    </row>
    <row r="15532">
      <c r="D15532" s="185"/>
      <c r="E15532" s="185" t="s">
        <v>470</v>
      </c>
      <c r="H15532" s="185"/>
    </row>
    <row r="15533">
      <c r="D15533" s="185"/>
      <c r="E15533" s="185" t="s">
        <v>470</v>
      </c>
      <c r="H15533" s="185"/>
    </row>
    <row r="15534">
      <c r="D15534" s="185"/>
      <c r="E15534" s="185" t="s">
        <v>470</v>
      </c>
      <c r="H15534" s="185"/>
    </row>
    <row r="15535">
      <c r="D15535" s="185"/>
      <c r="E15535" s="185" t="s">
        <v>470</v>
      </c>
      <c r="H15535" s="185"/>
    </row>
    <row r="15536">
      <c r="D15536" s="185"/>
      <c r="E15536" s="185" t="s">
        <v>470</v>
      </c>
      <c r="H15536" s="185"/>
    </row>
    <row r="15537">
      <c r="D15537" s="185"/>
      <c r="E15537" s="185" t="s">
        <v>470</v>
      </c>
      <c r="H15537" s="185"/>
    </row>
    <row r="15538">
      <c r="D15538" s="185"/>
      <c r="E15538" s="185" t="s">
        <v>470</v>
      </c>
      <c r="H15538" s="185"/>
    </row>
    <row r="15539">
      <c r="D15539" s="185"/>
      <c r="E15539" s="185" t="s">
        <v>470</v>
      </c>
      <c r="H15539" s="185"/>
    </row>
    <row r="15540">
      <c r="D15540" s="185"/>
      <c r="E15540" s="185" t="s">
        <v>470</v>
      </c>
      <c r="H15540" s="185"/>
    </row>
    <row r="15541">
      <c r="D15541" s="185"/>
      <c r="E15541" s="185" t="s">
        <v>470</v>
      </c>
      <c r="H15541" s="185"/>
    </row>
    <row r="15542">
      <c r="D15542" s="185"/>
      <c r="E15542" s="185" t="s">
        <v>470</v>
      </c>
      <c r="H15542" s="185"/>
    </row>
    <row r="15543">
      <c r="D15543" s="185"/>
      <c r="E15543" s="185" t="s">
        <v>470</v>
      </c>
      <c r="H15543" s="185"/>
    </row>
    <row r="15544">
      <c r="D15544" s="185"/>
      <c r="E15544" s="185" t="s">
        <v>470</v>
      </c>
      <c r="H15544" s="185"/>
    </row>
    <row r="15545">
      <c r="D15545" s="185"/>
      <c r="E15545" s="185" t="s">
        <v>470</v>
      </c>
      <c r="H15545" s="185"/>
    </row>
    <row r="15546">
      <c r="D15546" s="185"/>
      <c r="E15546" s="185" t="s">
        <v>470</v>
      </c>
      <c r="H15546" s="185"/>
    </row>
    <row r="15547">
      <c r="D15547" s="185"/>
      <c r="E15547" s="185" t="s">
        <v>470</v>
      </c>
      <c r="H15547" s="185"/>
    </row>
    <row r="15548">
      <c r="D15548" s="185"/>
      <c r="E15548" s="185" t="s">
        <v>470</v>
      </c>
      <c r="H15548" s="185"/>
    </row>
    <row r="15549">
      <c r="D15549" s="185"/>
      <c r="E15549" s="185" t="s">
        <v>470</v>
      </c>
      <c r="H15549" s="185"/>
    </row>
    <row r="15550">
      <c r="D15550" s="185"/>
      <c r="E15550" s="185" t="s">
        <v>470</v>
      </c>
      <c r="H15550" s="185"/>
    </row>
    <row r="15551">
      <c r="D15551" s="185"/>
      <c r="E15551" s="185" t="s">
        <v>470</v>
      </c>
      <c r="H15551" s="185"/>
    </row>
    <row r="15552">
      <c r="D15552" s="185"/>
      <c r="E15552" s="185" t="s">
        <v>470</v>
      </c>
      <c r="H15552" s="185"/>
    </row>
    <row r="15553">
      <c r="D15553" s="185"/>
      <c r="E15553" s="185" t="s">
        <v>470</v>
      </c>
      <c r="H15553" s="185"/>
    </row>
    <row r="15554">
      <c r="D15554" s="185"/>
      <c r="E15554" s="185" t="s">
        <v>470</v>
      </c>
      <c r="H15554" s="185"/>
    </row>
    <row r="15555">
      <c r="D15555" s="185"/>
      <c r="E15555" s="185" t="s">
        <v>470</v>
      </c>
      <c r="H15555" s="185"/>
    </row>
    <row r="15556">
      <c r="D15556" s="185"/>
      <c r="E15556" s="185" t="s">
        <v>470</v>
      </c>
      <c r="H15556" s="185"/>
    </row>
    <row r="15557">
      <c r="D15557" s="185"/>
      <c r="E15557" s="185" t="s">
        <v>470</v>
      </c>
      <c r="H15557" s="185"/>
    </row>
    <row r="15558">
      <c r="D15558" s="185"/>
      <c r="E15558" s="185" t="s">
        <v>470</v>
      </c>
      <c r="H15558" s="185"/>
    </row>
    <row r="15559">
      <c r="D15559" s="185"/>
      <c r="E15559" s="185" t="s">
        <v>470</v>
      </c>
      <c r="H15559" s="185"/>
    </row>
    <row r="15560">
      <c r="D15560" s="185"/>
      <c r="E15560" s="185" t="s">
        <v>470</v>
      </c>
      <c r="H15560" s="185"/>
    </row>
    <row r="15561">
      <c r="D15561" s="185"/>
      <c r="E15561" s="185" t="s">
        <v>470</v>
      </c>
      <c r="H15561" s="185"/>
    </row>
    <row r="15562">
      <c r="D15562" s="185"/>
      <c r="E15562" s="185" t="s">
        <v>470</v>
      </c>
      <c r="H15562" s="185"/>
    </row>
    <row r="15563">
      <c r="D15563" s="185"/>
      <c r="E15563" s="185" t="s">
        <v>470</v>
      </c>
      <c r="H15563" s="185"/>
    </row>
    <row r="15564">
      <c r="D15564" s="185"/>
      <c r="E15564" s="185" t="s">
        <v>470</v>
      </c>
      <c r="H15564" s="185"/>
    </row>
    <row r="15565">
      <c r="D15565" s="185"/>
      <c r="E15565" s="185" t="s">
        <v>470</v>
      </c>
      <c r="H15565" s="185"/>
    </row>
    <row r="15566">
      <c r="D15566" s="185"/>
      <c r="E15566" s="185" t="s">
        <v>470</v>
      </c>
      <c r="H15566" s="185"/>
    </row>
    <row r="15567">
      <c r="D15567" s="185"/>
      <c r="E15567" s="185" t="s">
        <v>470</v>
      </c>
      <c r="H15567" s="185"/>
    </row>
    <row r="15568">
      <c r="D15568" s="185"/>
      <c r="E15568" s="185" t="s">
        <v>470</v>
      </c>
      <c r="H15568" s="185"/>
    </row>
    <row r="15569">
      <c r="D15569" s="185"/>
      <c r="E15569" s="185" t="s">
        <v>470</v>
      </c>
      <c r="H15569" s="185"/>
    </row>
    <row r="15570">
      <c r="D15570" s="185"/>
      <c r="E15570" s="185" t="s">
        <v>470</v>
      </c>
      <c r="H15570" s="185"/>
    </row>
    <row r="15571">
      <c r="D15571" s="185"/>
      <c r="E15571" s="185" t="s">
        <v>470</v>
      </c>
      <c r="H15571" s="185"/>
    </row>
    <row r="15572">
      <c r="D15572" s="185"/>
      <c r="E15572" s="185" t="s">
        <v>470</v>
      </c>
      <c r="H15572" s="185"/>
    </row>
    <row r="15573">
      <c r="D15573" s="185"/>
      <c r="E15573" s="185" t="s">
        <v>470</v>
      </c>
      <c r="H15573" s="185"/>
    </row>
    <row r="15574">
      <c r="D15574" s="185"/>
      <c r="E15574" s="185" t="s">
        <v>470</v>
      </c>
      <c r="H15574" s="185"/>
    </row>
    <row r="15575">
      <c r="D15575" s="185"/>
      <c r="E15575" s="185" t="s">
        <v>470</v>
      </c>
      <c r="H15575" s="185"/>
    </row>
    <row r="15576">
      <c r="D15576" s="185"/>
      <c r="E15576" s="185" t="s">
        <v>470</v>
      </c>
      <c r="H15576" s="185"/>
    </row>
    <row r="15577">
      <c r="D15577" s="185"/>
      <c r="E15577" s="185" t="s">
        <v>470</v>
      </c>
      <c r="H15577" s="185"/>
    </row>
    <row r="15578">
      <c r="D15578" s="185"/>
      <c r="E15578" s="185" t="s">
        <v>470</v>
      </c>
      <c r="H15578" s="185"/>
    </row>
    <row r="15579">
      <c r="D15579" s="185"/>
      <c r="E15579" s="185" t="s">
        <v>470</v>
      </c>
      <c r="H15579" s="185"/>
    </row>
    <row r="15580">
      <c r="D15580" s="185"/>
      <c r="E15580" s="185" t="s">
        <v>470</v>
      </c>
      <c r="H15580" s="185"/>
    </row>
    <row r="15581">
      <c r="D15581" s="185"/>
      <c r="E15581" s="185" t="s">
        <v>470</v>
      </c>
      <c r="H15581" s="185"/>
    </row>
    <row r="15582">
      <c r="D15582" s="185"/>
      <c r="E15582" s="185" t="s">
        <v>470</v>
      </c>
      <c r="H15582" s="185"/>
    </row>
    <row r="15583">
      <c r="D15583" s="185"/>
      <c r="E15583" s="185" t="s">
        <v>470</v>
      </c>
      <c r="H15583" s="185"/>
    </row>
    <row r="15584">
      <c r="D15584" s="185"/>
      <c r="E15584" s="185" t="s">
        <v>470</v>
      </c>
      <c r="H15584" s="185"/>
    </row>
    <row r="15585">
      <c r="D15585" s="185"/>
      <c r="E15585" s="185" t="s">
        <v>470</v>
      </c>
      <c r="H15585" s="185"/>
    </row>
    <row r="15586">
      <c r="D15586" s="185"/>
      <c r="E15586" s="185" t="s">
        <v>470</v>
      </c>
      <c r="H15586" s="185"/>
    </row>
    <row r="15587">
      <c r="D15587" s="185"/>
      <c r="E15587" s="185" t="s">
        <v>470</v>
      </c>
      <c r="H15587" s="185"/>
    </row>
    <row r="15588">
      <c r="D15588" s="185"/>
      <c r="E15588" s="185" t="s">
        <v>470</v>
      </c>
      <c r="H15588" s="185"/>
    </row>
    <row r="15589">
      <c r="D15589" s="185"/>
      <c r="E15589" s="185" t="s">
        <v>470</v>
      </c>
      <c r="H15589" s="185"/>
    </row>
    <row r="15590">
      <c r="D15590" s="185"/>
      <c r="E15590" s="185" t="s">
        <v>470</v>
      </c>
      <c r="H15590" s="185"/>
    </row>
    <row r="15591">
      <c r="D15591" s="185"/>
      <c r="E15591" s="185" t="s">
        <v>470</v>
      </c>
      <c r="H15591" s="185"/>
    </row>
    <row r="15592">
      <c r="D15592" s="185"/>
      <c r="E15592" s="185" t="s">
        <v>470</v>
      </c>
      <c r="H15592" s="185"/>
    </row>
    <row r="15593">
      <c r="D15593" s="185"/>
      <c r="E15593" s="185" t="s">
        <v>470</v>
      </c>
      <c r="H15593" s="185"/>
    </row>
    <row r="15594">
      <c r="D15594" s="185"/>
      <c r="E15594" s="185" t="s">
        <v>470</v>
      </c>
      <c r="H15594" s="185"/>
    </row>
    <row r="15595">
      <c r="D15595" s="185"/>
      <c r="E15595" s="185" t="s">
        <v>470</v>
      </c>
      <c r="H15595" s="185"/>
    </row>
    <row r="15596">
      <c r="D15596" s="185"/>
      <c r="E15596" s="185" t="s">
        <v>470</v>
      </c>
      <c r="H15596" s="185"/>
    </row>
    <row r="15597">
      <c r="D15597" s="185"/>
      <c r="E15597" s="185" t="s">
        <v>470</v>
      </c>
      <c r="H15597" s="185"/>
    </row>
    <row r="15598">
      <c r="D15598" s="185"/>
      <c r="E15598" s="185" t="s">
        <v>470</v>
      </c>
      <c r="H15598" s="185"/>
    </row>
    <row r="15599">
      <c r="D15599" s="185"/>
      <c r="E15599" s="185" t="s">
        <v>470</v>
      </c>
      <c r="H15599" s="185"/>
    </row>
    <row r="15600">
      <c r="D15600" s="185"/>
      <c r="E15600" s="185" t="s">
        <v>470</v>
      </c>
      <c r="H15600" s="185"/>
    </row>
    <row r="15601">
      <c r="D15601" s="185"/>
      <c r="E15601" s="185" t="s">
        <v>470</v>
      </c>
      <c r="H15601" s="185"/>
    </row>
    <row r="15602">
      <c r="D15602" s="185"/>
      <c r="E15602" s="185" t="s">
        <v>470</v>
      </c>
      <c r="H15602" s="185"/>
    </row>
    <row r="15603">
      <c r="D15603" s="185"/>
      <c r="E15603" s="185" t="s">
        <v>470</v>
      </c>
      <c r="H15603" s="185"/>
    </row>
    <row r="15604">
      <c r="D15604" s="185"/>
      <c r="E15604" s="185" t="s">
        <v>470</v>
      </c>
      <c r="H15604" s="185"/>
    </row>
    <row r="15605">
      <c r="D15605" s="185"/>
      <c r="E15605" s="185" t="s">
        <v>470</v>
      </c>
      <c r="H15605" s="185"/>
    </row>
    <row r="15606">
      <c r="D15606" s="185"/>
      <c r="E15606" s="185" t="s">
        <v>470</v>
      </c>
      <c r="H15606" s="185"/>
    </row>
    <row r="15607">
      <c r="D15607" s="185"/>
      <c r="E15607" s="185" t="s">
        <v>470</v>
      </c>
      <c r="H15607" s="185"/>
    </row>
    <row r="15608">
      <c r="D15608" s="185"/>
      <c r="E15608" s="185" t="s">
        <v>470</v>
      </c>
      <c r="H15608" s="185"/>
    </row>
    <row r="15609">
      <c r="D15609" s="185"/>
      <c r="E15609" s="185" t="s">
        <v>470</v>
      </c>
      <c r="H15609" s="185"/>
    </row>
    <row r="15610">
      <c r="D15610" s="185"/>
      <c r="E15610" s="185" t="s">
        <v>470</v>
      </c>
      <c r="H15610" s="185"/>
    </row>
    <row r="15611">
      <c r="D15611" s="185"/>
      <c r="E15611" s="185" t="s">
        <v>470</v>
      </c>
      <c r="H15611" s="185"/>
    </row>
    <row r="15612">
      <c r="D15612" s="185"/>
      <c r="E15612" s="185" t="s">
        <v>470</v>
      </c>
      <c r="H15612" s="185"/>
    </row>
    <row r="15613">
      <c r="D15613" s="185"/>
      <c r="E15613" s="185" t="s">
        <v>470</v>
      </c>
      <c r="H15613" s="185"/>
    </row>
    <row r="15614">
      <c r="D15614" s="185"/>
      <c r="E15614" s="185" t="s">
        <v>470</v>
      </c>
      <c r="H15614" s="185"/>
    </row>
    <row r="15615">
      <c r="D15615" s="185"/>
      <c r="E15615" s="185" t="s">
        <v>470</v>
      </c>
      <c r="H15615" s="185"/>
    </row>
    <row r="15616">
      <c r="D15616" s="185"/>
      <c r="E15616" s="185" t="s">
        <v>470</v>
      </c>
      <c r="H15616" s="185"/>
    </row>
    <row r="15617">
      <c r="D15617" s="185"/>
      <c r="E15617" s="185" t="s">
        <v>470</v>
      </c>
      <c r="H15617" s="185"/>
    </row>
    <row r="15618">
      <c r="D15618" s="185"/>
      <c r="E15618" s="185" t="s">
        <v>470</v>
      </c>
      <c r="H15618" s="185"/>
    </row>
    <row r="15619">
      <c r="D15619" s="185"/>
      <c r="E15619" s="185" t="s">
        <v>470</v>
      </c>
      <c r="H15619" s="185"/>
    </row>
    <row r="15620">
      <c r="D15620" s="185"/>
      <c r="E15620" s="185" t="s">
        <v>470</v>
      </c>
      <c r="H15620" s="185"/>
    </row>
    <row r="15621">
      <c r="D15621" s="185"/>
      <c r="E15621" s="185" t="s">
        <v>470</v>
      </c>
      <c r="H15621" s="185"/>
    </row>
    <row r="15622">
      <c r="D15622" s="185"/>
      <c r="E15622" s="185" t="s">
        <v>470</v>
      </c>
      <c r="H15622" s="185"/>
    </row>
    <row r="15623">
      <c r="D15623" s="185"/>
      <c r="E15623" s="185" t="s">
        <v>470</v>
      </c>
      <c r="H15623" s="185"/>
    </row>
    <row r="15624">
      <c r="D15624" s="185"/>
      <c r="E15624" s="185" t="s">
        <v>470</v>
      </c>
      <c r="H15624" s="185"/>
    </row>
    <row r="15625">
      <c r="D15625" s="185"/>
      <c r="E15625" s="185" t="s">
        <v>470</v>
      </c>
      <c r="H15625" s="185"/>
    </row>
    <row r="15626">
      <c r="D15626" s="185"/>
      <c r="E15626" s="185" t="s">
        <v>470</v>
      </c>
      <c r="H15626" s="185"/>
    </row>
    <row r="15627">
      <c r="D15627" s="185"/>
      <c r="E15627" s="185" t="s">
        <v>470</v>
      </c>
      <c r="H15627" s="185"/>
    </row>
    <row r="15628">
      <c r="D15628" s="185"/>
      <c r="E15628" s="185" t="s">
        <v>470</v>
      </c>
      <c r="H15628" s="185"/>
    </row>
    <row r="15629">
      <c r="D15629" s="185"/>
      <c r="E15629" s="185" t="s">
        <v>470</v>
      </c>
      <c r="H15629" s="185"/>
    </row>
    <row r="15630">
      <c r="D15630" s="185"/>
      <c r="E15630" s="185" t="s">
        <v>470</v>
      </c>
      <c r="H15630" s="185"/>
    </row>
    <row r="15631">
      <c r="D15631" s="185"/>
      <c r="E15631" s="185" t="s">
        <v>470</v>
      </c>
      <c r="H15631" s="185"/>
    </row>
    <row r="15632">
      <c r="D15632" s="185"/>
      <c r="E15632" s="185" t="s">
        <v>470</v>
      </c>
      <c r="H15632" s="185"/>
    </row>
    <row r="15633">
      <c r="D15633" s="185"/>
      <c r="E15633" s="185" t="s">
        <v>470</v>
      </c>
      <c r="H15633" s="185"/>
    </row>
    <row r="15634">
      <c r="D15634" s="185"/>
      <c r="E15634" s="185" t="s">
        <v>470</v>
      </c>
      <c r="H15634" s="185"/>
    </row>
    <row r="15635">
      <c r="D15635" s="185"/>
      <c r="E15635" s="185" t="s">
        <v>470</v>
      </c>
      <c r="H15635" s="185"/>
    </row>
    <row r="15636">
      <c r="D15636" s="185"/>
      <c r="E15636" s="185" t="s">
        <v>470</v>
      </c>
      <c r="H15636" s="185"/>
    </row>
    <row r="15637">
      <c r="D15637" s="185"/>
      <c r="E15637" s="185" t="s">
        <v>470</v>
      </c>
      <c r="H15637" s="185"/>
    </row>
    <row r="15638">
      <c r="D15638" s="185"/>
      <c r="E15638" s="185" t="s">
        <v>470</v>
      </c>
      <c r="H15638" s="185"/>
    </row>
    <row r="15639">
      <c r="D15639" s="185"/>
      <c r="E15639" s="185" t="s">
        <v>470</v>
      </c>
      <c r="H15639" s="185"/>
    </row>
    <row r="15640">
      <c r="D15640" s="185"/>
      <c r="E15640" s="185" t="s">
        <v>470</v>
      </c>
      <c r="H15640" s="185"/>
    </row>
    <row r="15641">
      <c r="D15641" s="185"/>
      <c r="E15641" s="185" t="s">
        <v>470</v>
      </c>
      <c r="H15641" s="185"/>
    </row>
    <row r="15642">
      <c r="D15642" s="185"/>
      <c r="E15642" s="185" t="s">
        <v>470</v>
      </c>
      <c r="H15642" s="185"/>
    </row>
    <row r="15643">
      <c r="D15643" s="185"/>
      <c r="E15643" s="185" t="s">
        <v>470</v>
      </c>
      <c r="H15643" s="185"/>
    </row>
    <row r="15644">
      <c r="D15644" s="185"/>
      <c r="E15644" s="185" t="s">
        <v>470</v>
      </c>
      <c r="H15644" s="185"/>
    </row>
    <row r="15645">
      <c r="D15645" s="185"/>
      <c r="E15645" s="185" t="s">
        <v>470</v>
      </c>
      <c r="H15645" s="185"/>
    </row>
    <row r="15646">
      <c r="D15646" s="185"/>
      <c r="E15646" s="185" t="s">
        <v>470</v>
      </c>
      <c r="H15646" s="185"/>
    </row>
    <row r="15647">
      <c r="D15647" s="185"/>
      <c r="E15647" s="185" t="s">
        <v>470</v>
      </c>
      <c r="H15647" s="185"/>
    </row>
    <row r="15648">
      <c r="D15648" s="185"/>
      <c r="E15648" s="185" t="s">
        <v>470</v>
      </c>
      <c r="H15648" s="185"/>
    </row>
    <row r="15649">
      <c r="D15649" s="185"/>
      <c r="E15649" s="185" t="s">
        <v>470</v>
      </c>
      <c r="H15649" s="185"/>
    </row>
    <row r="15650">
      <c r="D15650" s="185"/>
      <c r="E15650" s="185" t="s">
        <v>470</v>
      </c>
      <c r="H15650" s="185"/>
    </row>
    <row r="15651">
      <c r="D15651" s="185"/>
      <c r="E15651" s="185" t="s">
        <v>470</v>
      </c>
      <c r="H15651" s="185"/>
    </row>
    <row r="15652">
      <c r="D15652" s="185"/>
      <c r="E15652" s="185" t="s">
        <v>470</v>
      </c>
      <c r="H15652" s="185"/>
    </row>
    <row r="15653">
      <c r="D15653" s="185"/>
      <c r="E15653" s="185" t="s">
        <v>470</v>
      </c>
      <c r="H15653" s="185"/>
    </row>
    <row r="15654">
      <c r="D15654" s="185"/>
      <c r="E15654" s="185" t="s">
        <v>470</v>
      </c>
      <c r="H15654" s="185"/>
    </row>
    <row r="15655">
      <c r="D15655" s="185"/>
      <c r="E15655" s="185" t="s">
        <v>470</v>
      </c>
      <c r="H15655" s="185"/>
    </row>
    <row r="15656">
      <c r="D15656" s="185"/>
      <c r="E15656" s="185" t="s">
        <v>470</v>
      </c>
      <c r="H15656" s="185"/>
    </row>
    <row r="15657">
      <c r="D15657" s="185"/>
      <c r="E15657" s="185" t="s">
        <v>470</v>
      </c>
      <c r="H15657" s="185"/>
    </row>
    <row r="15658">
      <c r="D15658" s="185"/>
      <c r="E15658" s="185" t="s">
        <v>470</v>
      </c>
      <c r="H15658" s="185"/>
    </row>
    <row r="15659">
      <c r="D15659" s="185"/>
      <c r="E15659" s="185" t="s">
        <v>470</v>
      </c>
      <c r="H15659" s="185"/>
    </row>
    <row r="15660">
      <c r="D15660" s="185"/>
      <c r="E15660" s="185" t="s">
        <v>470</v>
      </c>
      <c r="H15660" s="185"/>
    </row>
    <row r="15661">
      <c r="D15661" s="185"/>
      <c r="E15661" s="185" t="s">
        <v>470</v>
      </c>
      <c r="H15661" s="185"/>
    </row>
    <row r="15662">
      <c r="D15662" s="185"/>
      <c r="E15662" s="185" t="s">
        <v>470</v>
      </c>
      <c r="H15662" s="185"/>
    </row>
    <row r="15663">
      <c r="D15663" s="185"/>
      <c r="E15663" s="185" t="s">
        <v>470</v>
      </c>
      <c r="H15663" s="185"/>
    </row>
    <row r="15664">
      <c r="D15664" s="185"/>
      <c r="E15664" s="185" t="s">
        <v>470</v>
      </c>
      <c r="H15664" s="185"/>
    </row>
    <row r="15665">
      <c r="D15665" s="185"/>
      <c r="E15665" s="185" t="s">
        <v>470</v>
      </c>
      <c r="H15665" s="185"/>
    </row>
    <row r="15666">
      <c r="D15666" s="185"/>
      <c r="E15666" s="185" t="s">
        <v>470</v>
      </c>
      <c r="H15666" s="185"/>
    </row>
    <row r="15667">
      <c r="D15667" s="185"/>
      <c r="E15667" s="185" t="s">
        <v>470</v>
      </c>
      <c r="H15667" s="185"/>
    </row>
    <row r="15668">
      <c r="D15668" s="185"/>
      <c r="E15668" s="185" t="s">
        <v>470</v>
      </c>
      <c r="H15668" s="185"/>
    </row>
    <row r="15669">
      <c r="D15669" s="185"/>
      <c r="E15669" s="185" t="s">
        <v>470</v>
      </c>
      <c r="H15669" s="185"/>
    </row>
    <row r="15670">
      <c r="D15670" s="185"/>
      <c r="E15670" s="185" t="s">
        <v>470</v>
      </c>
      <c r="H15670" s="185"/>
    </row>
    <row r="15671">
      <c r="D15671" s="185"/>
      <c r="E15671" s="185" t="s">
        <v>470</v>
      </c>
      <c r="H15671" s="185"/>
    </row>
    <row r="15672">
      <c r="D15672" s="185"/>
      <c r="E15672" s="185" t="s">
        <v>470</v>
      </c>
      <c r="H15672" s="185"/>
    </row>
    <row r="15673">
      <c r="D15673" s="185"/>
      <c r="E15673" s="185" t="s">
        <v>470</v>
      </c>
      <c r="H15673" s="185"/>
    </row>
    <row r="15674">
      <c r="D15674" s="185"/>
      <c r="E15674" s="185" t="s">
        <v>470</v>
      </c>
      <c r="H15674" s="185"/>
    </row>
    <row r="15675">
      <c r="D15675" s="185"/>
      <c r="E15675" s="185" t="s">
        <v>470</v>
      </c>
      <c r="H15675" s="185"/>
    </row>
    <row r="15676">
      <c r="D15676" s="185"/>
      <c r="E15676" s="185" t="s">
        <v>470</v>
      </c>
      <c r="H15676" s="185"/>
    </row>
    <row r="15677">
      <c r="D15677" s="185"/>
      <c r="E15677" s="185" t="s">
        <v>470</v>
      </c>
      <c r="H15677" s="185"/>
    </row>
    <row r="15678">
      <c r="D15678" s="185"/>
      <c r="E15678" s="185" t="s">
        <v>470</v>
      </c>
      <c r="H15678" s="185"/>
    </row>
    <row r="15679">
      <c r="D15679" s="185"/>
      <c r="E15679" s="185" t="s">
        <v>470</v>
      </c>
      <c r="H15679" s="185"/>
    </row>
    <row r="15680">
      <c r="D15680" s="185"/>
      <c r="E15680" s="185" t="s">
        <v>470</v>
      </c>
      <c r="H15680" s="185"/>
    </row>
    <row r="15681">
      <c r="D15681" s="185"/>
      <c r="E15681" s="185" t="s">
        <v>470</v>
      </c>
      <c r="H15681" s="185"/>
    </row>
    <row r="15682">
      <c r="D15682" s="185"/>
      <c r="E15682" s="185" t="s">
        <v>470</v>
      </c>
      <c r="H15682" s="185"/>
    </row>
    <row r="15683">
      <c r="D15683" s="185"/>
      <c r="E15683" s="185" t="s">
        <v>470</v>
      </c>
      <c r="H15683" s="185"/>
    </row>
    <row r="15684">
      <c r="D15684" s="185"/>
      <c r="E15684" s="185" t="s">
        <v>470</v>
      </c>
      <c r="H15684" s="185"/>
    </row>
    <row r="15685">
      <c r="D15685" s="185"/>
      <c r="E15685" s="185" t="s">
        <v>470</v>
      </c>
      <c r="H15685" s="185"/>
    </row>
    <row r="15686">
      <c r="D15686" s="185"/>
      <c r="E15686" s="185" t="s">
        <v>470</v>
      </c>
      <c r="H15686" s="185"/>
    </row>
    <row r="15687">
      <c r="D15687" s="185"/>
      <c r="E15687" s="185" t="s">
        <v>470</v>
      </c>
      <c r="H15687" s="185"/>
    </row>
    <row r="15688">
      <c r="D15688" s="185"/>
      <c r="E15688" s="185" t="s">
        <v>470</v>
      </c>
      <c r="H15688" s="185"/>
    </row>
    <row r="15689">
      <c r="D15689" s="185"/>
      <c r="E15689" s="185" t="s">
        <v>470</v>
      </c>
      <c r="H15689" s="185"/>
    </row>
    <row r="15690">
      <c r="D15690" s="185"/>
      <c r="E15690" s="185" t="s">
        <v>470</v>
      </c>
      <c r="H15690" s="185"/>
    </row>
    <row r="15691">
      <c r="D15691" s="185"/>
      <c r="E15691" s="185" t="s">
        <v>470</v>
      </c>
      <c r="H15691" s="185"/>
    </row>
    <row r="15692">
      <c r="D15692" s="185"/>
      <c r="E15692" s="185" t="s">
        <v>470</v>
      </c>
      <c r="H15692" s="185"/>
    </row>
    <row r="15693">
      <c r="D15693" s="185"/>
      <c r="E15693" s="185" t="s">
        <v>470</v>
      </c>
      <c r="H15693" s="185"/>
    </row>
    <row r="15694">
      <c r="D15694" s="185"/>
      <c r="E15694" s="185" t="s">
        <v>470</v>
      </c>
      <c r="H15694" s="185"/>
    </row>
    <row r="15695">
      <c r="D15695" s="185"/>
      <c r="E15695" s="185" t="s">
        <v>470</v>
      </c>
      <c r="H15695" s="185"/>
    </row>
    <row r="15696">
      <c r="D15696" s="185"/>
      <c r="E15696" s="185" t="s">
        <v>470</v>
      </c>
      <c r="H15696" s="185"/>
    </row>
    <row r="15697">
      <c r="D15697" s="185"/>
      <c r="E15697" s="185" t="s">
        <v>470</v>
      </c>
      <c r="H15697" s="185"/>
    </row>
    <row r="15698">
      <c r="D15698" s="185"/>
      <c r="E15698" s="185" t="s">
        <v>470</v>
      </c>
      <c r="H15698" s="185"/>
    </row>
    <row r="15699">
      <c r="D15699" s="185"/>
      <c r="E15699" s="185" t="s">
        <v>470</v>
      </c>
      <c r="H15699" s="185"/>
    </row>
    <row r="15700">
      <c r="D15700" s="185"/>
      <c r="E15700" s="185" t="s">
        <v>470</v>
      </c>
      <c r="H15700" s="185"/>
    </row>
    <row r="15701">
      <c r="D15701" s="185"/>
      <c r="E15701" s="185" t="s">
        <v>470</v>
      </c>
      <c r="H15701" s="185"/>
    </row>
    <row r="15702">
      <c r="D15702" s="185"/>
      <c r="E15702" s="185" t="s">
        <v>470</v>
      </c>
      <c r="H15702" s="185"/>
    </row>
    <row r="15703">
      <c r="D15703" s="185"/>
      <c r="E15703" s="185" t="s">
        <v>470</v>
      </c>
      <c r="H15703" s="185"/>
    </row>
    <row r="15704">
      <c r="D15704" s="185"/>
      <c r="E15704" s="185" t="s">
        <v>470</v>
      </c>
      <c r="H15704" s="185"/>
    </row>
    <row r="15705">
      <c r="D15705" s="185"/>
      <c r="E15705" s="185" t="s">
        <v>470</v>
      </c>
      <c r="H15705" s="185"/>
    </row>
    <row r="15706">
      <c r="D15706" s="185"/>
      <c r="E15706" s="185" t="s">
        <v>470</v>
      </c>
      <c r="H15706" s="185"/>
    </row>
    <row r="15707">
      <c r="D15707" s="185"/>
      <c r="E15707" s="185" t="s">
        <v>470</v>
      </c>
      <c r="H15707" s="185"/>
    </row>
    <row r="15708">
      <c r="D15708" s="185"/>
      <c r="E15708" s="185" t="s">
        <v>470</v>
      </c>
      <c r="H15708" s="185"/>
    </row>
    <row r="15709">
      <c r="D15709" s="185"/>
      <c r="E15709" s="185" t="s">
        <v>470</v>
      </c>
      <c r="H15709" s="185"/>
    </row>
    <row r="15710">
      <c r="D15710" s="185"/>
      <c r="E15710" s="185" t="s">
        <v>470</v>
      </c>
      <c r="H15710" s="185"/>
    </row>
    <row r="15711">
      <c r="D15711" s="185"/>
      <c r="E15711" s="185" t="s">
        <v>470</v>
      </c>
      <c r="H15711" s="185"/>
    </row>
    <row r="15712">
      <c r="D15712" s="185"/>
      <c r="E15712" s="185" t="s">
        <v>470</v>
      </c>
      <c r="H15712" s="185"/>
    </row>
    <row r="15713">
      <c r="D15713" s="185"/>
      <c r="E15713" s="185" t="s">
        <v>470</v>
      </c>
      <c r="H15713" s="185"/>
    </row>
    <row r="15714">
      <c r="D15714" s="185"/>
      <c r="E15714" s="185" t="s">
        <v>470</v>
      </c>
      <c r="H15714" s="185"/>
    </row>
    <row r="15715">
      <c r="D15715" s="185"/>
      <c r="E15715" s="185" t="s">
        <v>470</v>
      </c>
      <c r="H15715" s="185"/>
    </row>
    <row r="15716">
      <c r="D15716" s="185"/>
      <c r="E15716" s="185" t="s">
        <v>470</v>
      </c>
      <c r="H15716" s="185"/>
    </row>
    <row r="15717">
      <c r="D15717" s="185"/>
      <c r="E15717" s="185" t="s">
        <v>470</v>
      </c>
      <c r="H15717" s="185"/>
    </row>
    <row r="15718">
      <c r="D15718" s="185"/>
      <c r="E15718" s="185" t="s">
        <v>470</v>
      </c>
      <c r="H15718" s="185"/>
    </row>
    <row r="15719">
      <c r="D15719" s="185"/>
      <c r="E15719" s="185" t="s">
        <v>470</v>
      </c>
      <c r="H15719" s="185"/>
    </row>
    <row r="15720">
      <c r="D15720" s="185"/>
      <c r="E15720" s="185" t="s">
        <v>470</v>
      </c>
      <c r="H15720" s="185"/>
    </row>
    <row r="15721">
      <c r="D15721" s="185"/>
      <c r="E15721" s="185" t="s">
        <v>470</v>
      </c>
      <c r="H15721" s="185"/>
    </row>
    <row r="15722">
      <c r="D15722" s="185"/>
      <c r="E15722" s="185" t="s">
        <v>470</v>
      </c>
      <c r="H15722" s="185"/>
    </row>
    <row r="15723">
      <c r="D15723" s="185"/>
      <c r="E15723" s="185" t="s">
        <v>470</v>
      </c>
      <c r="H15723" s="185"/>
    </row>
    <row r="15724">
      <c r="D15724" s="185"/>
      <c r="E15724" s="185" t="s">
        <v>470</v>
      </c>
      <c r="H15724" s="185"/>
    </row>
    <row r="15725">
      <c r="D15725" s="185"/>
      <c r="E15725" s="185" t="s">
        <v>470</v>
      </c>
      <c r="H15725" s="185"/>
    </row>
    <row r="15726">
      <c r="D15726" s="185"/>
      <c r="E15726" s="185" t="s">
        <v>470</v>
      </c>
      <c r="H15726" s="185"/>
    </row>
    <row r="15727">
      <c r="D15727" s="185"/>
      <c r="E15727" s="185" t="s">
        <v>470</v>
      </c>
      <c r="H15727" s="185"/>
    </row>
    <row r="15728">
      <c r="D15728" s="185"/>
      <c r="E15728" s="185" t="s">
        <v>470</v>
      </c>
      <c r="H15728" s="185"/>
    </row>
    <row r="15729">
      <c r="D15729" s="185"/>
      <c r="E15729" s="185" t="s">
        <v>470</v>
      </c>
      <c r="H15729" s="185"/>
    </row>
    <row r="15730">
      <c r="D15730" s="185"/>
      <c r="E15730" s="185" t="s">
        <v>470</v>
      </c>
      <c r="H15730" s="185"/>
    </row>
    <row r="15731">
      <c r="D15731" s="185"/>
      <c r="E15731" s="185" t="s">
        <v>470</v>
      </c>
      <c r="H15731" s="185"/>
    </row>
    <row r="15732">
      <c r="D15732" s="185"/>
      <c r="E15732" s="185" t="s">
        <v>470</v>
      </c>
      <c r="H15732" s="185"/>
    </row>
    <row r="15733">
      <c r="D15733" s="185"/>
      <c r="E15733" s="185" t="s">
        <v>470</v>
      </c>
      <c r="H15733" s="185"/>
    </row>
    <row r="15734">
      <c r="D15734" s="185"/>
      <c r="E15734" s="185" t="s">
        <v>470</v>
      </c>
      <c r="H15734" s="185"/>
    </row>
    <row r="15735">
      <c r="D15735" s="185"/>
      <c r="E15735" s="185" t="s">
        <v>470</v>
      </c>
      <c r="H15735" s="185"/>
    </row>
    <row r="15736">
      <c r="D15736" s="185"/>
      <c r="E15736" s="185" t="s">
        <v>470</v>
      </c>
      <c r="H15736" s="185"/>
    </row>
    <row r="15737">
      <c r="D15737" s="185"/>
      <c r="E15737" s="185" t="s">
        <v>470</v>
      </c>
      <c r="H15737" s="185"/>
    </row>
    <row r="15738">
      <c r="D15738" s="185"/>
      <c r="E15738" s="185" t="s">
        <v>470</v>
      </c>
      <c r="H15738" s="185"/>
    </row>
    <row r="15739">
      <c r="D15739" s="185"/>
      <c r="E15739" s="185" t="s">
        <v>470</v>
      </c>
      <c r="H15739" s="185"/>
    </row>
    <row r="15740">
      <c r="D15740" s="185"/>
      <c r="E15740" s="185" t="s">
        <v>470</v>
      </c>
      <c r="H15740" s="185"/>
    </row>
    <row r="15741">
      <c r="D15741" s="185"/>
      <c r="E15741" s="185" t="s">
        <v>470</v>
      </c>
      <c r="H15741" s="185"/>
    </row>
    <row r="15742">
      <c r="D15742" s="185"/>
      <c r="E15742" s="185" t="s">
        <v>470</v>
      </c>
      <c r="H15742" s="185"/>
    </row>
    <row r="15743">
      <c r="D15743" s="185"/>
      <c r="E15743" s="185" t="s">
        <v>470</v>
      </c>
      <c r="H15743" s="185"/>
    </row>
    <row r="15744">
      <c r="D15744" s="185"/>
      <c r="E15744" s="185" t="s">
        <v>470</v>
      </c>
      <c r="H15744" s="185"/>
    </row>
    <row r="15745">
      <c r="D15745" s="185"/>
      <c r="E15745" s="185" t="s">
        <v>470</v>
      </c>
      <c r="H15745" s="185"/>
    </row>
    <row r="15746">
      <c r="D15746" s="185"/>
      <c r="E15746" s="185" t="s">
        <v>470</v>
      </c>
      <c r="H15746" s="185"/>
    </row>
    <row r="15747">
      <c r="D15747" s="185"/>
      <c r="E15747" s="185" t="s">
        <v>470</v>
      </c>
      <c r="H15747" s="185"/>
    </row>
    <row r="15748">
      <c r="D15748" s="185"/>
      <c r="E15748" s="185" t="s">
        <v>470</v>
      </c>
      <c r="H15748" s="185"/>
    </row>
    <row r="15749">
      <c r="D15749" s="185"/>
      <c r="E15749" s="185" t="s">
        <v>470</v>
      </c>
      <c r="H15749" s="185"/>
    </row>
    <row r="15750">
      <c r="D15750" s="185"/>
      <c r="E15750" s="185" t="s">
        <v>470</v>
      </c>
      <c r="H15750" s="185"/>
    </row>
    <row r="15751">
      <c r="D15751" s="185"/>
      <c r="E15751" s="185" t="s">
        <v>470</v>
      </c>
      <c r="H15751" s="185"/>
    </row>
    <row r="15752">
      <c r="D15752" s="185"/>
      <c r="E15752" s="185" t="s">
        <v>470</v>
      </c>
      <c r="H15752" s="185"/>
    </row>
    <row r="15753">
      <c r="D15753" s="185"/>
      <c r="E15753" s="185" t="s">
        <v>470</v>
      </c>
      <c r="H15753" s="185"/>
    </row>
    <row r="15754">
      <c r="D15754" s="185"/>
      <c r="E15754" s="185" t="s">
        <v>470</v>
      </c>
      <c r="H15754" s="185"/>
    </row>
    <row r="15755">
      <c r="D15755" s="185"/>
      <c r="E15755" s="185" t="s">
        <v>470</v>
      </c>
      <c r="H15755" s="185"/>
    </row>
    <row r="15756">
      <c r="D15756" s="185"/>
      <c r="E15756" s="185" t="s">
        <v>470</v>
      </c>
      <c r="H15756" s="185"/>
    </row>
    <row r="15757">
      <c r="D15757" s="185"/>
      <c r="E15757" s="185" t="s">
        <v>470</v>
      </c>
      <c r="H15757" s="185"/>
    </row>
    <row r="15758">
      <c r="D15758" s="185"/>
      <c r="E15758" s="185" t="s">
        <v>470</v>
      </c>
      <c r="H15758" s="185"/>
    </row>
    <row r="15759">
      <c r="D15759" s="185"/>
      <c r="E15759" s="185" t="s">
        <v>470</v>
      </c>
      <c r="H15759" s="185"/>
    </row>
    <row r="15760">
      <c r="D15760" s="185"/>
      <c r="E15760" s="185" t="s">
        <v>470</v>
      </c>
      <c r="H15760" s="185"/>
    </row>
    <row r="15761">
      <c r="D15761" s="185"/>
      <c r="E15761" s="185" t="s">
        <v>470</v>
      </c>
      <c r="H15761" s="185"/>
    </row>
    <row r="15762">
      <c r="D15762" s="185"/>
      <c r="E15762" s="185" t="s">
        <v>470</v>
      </c>
      <c r="H15762" s="185"/>
    </row>
    <row r="15763">
      <c r="D15763" s="185"/>
      <c r="E15763" s="185" t="s">
        <v>470</v>
      </c>
      <c r="H15763" s="185"/>
    </row>
    <row r="15764">
      <c r="D15764" s="185"/>
      <c r="E15764" s="185" t="s">
        <v>470</v>
      </c>
      <c r="H15764" s="185"/>
    </row>
    <row r="15765">
      <c r="D15765" s="185"/>
      <c r="E15765" s="185" t="s">
        <v>470</v>
      </c>
      <c r="H15765" s="185"/>
    </row>
    <row r="15766">
      <c r="D15766" s="185"/>
      <c r="E15766" s="185" t="s">
        <v>470</v>
      </c>
      <c r="H15766" s="185"/>
    </row>
    <row r="15767">
      <c r="D15767" s="185"/>
      <c r="E15767" s="185" t="s">
        <v>470</v>
      </c>
      <c r="H15767" s="185"/>
    </row>
    <row r="15768">
      <c r="D15768" s="185"/>
      <c r="E15768" s="185" t="s">
        <v>470</v>
      </c>
      <c r="H15768" s="185"/>
    </row>
    <row r="15769">
      <c r="D15769" s="185"/>
      <c r="E15769" s="185" t="s">
        <v>470</v>
      </c>
      <c r="H15769" s="185"/>
    </row>
    <row r="15770">
      <c r="D15770" s="185"/>
      <c r="E15770" s="185" t="s">
        <v>470</v>
      </c>
      <c r="H15770" s="185"/>
    </row>
    <row r="15771">
      <c r="D15771" s="185"/>
      <c r="E15771" s="185" t="s">
        <v>470</v>
      </c>
      <c r="H15771" s="185"/>
    </row>
    <row r="15772">
      <c r="D15772" s="185"/>
      <c r="E15772" s="185" t="s">
        <v>470</v>
      </c>
      <c r="H15772" s="185"/>
    </row>
    <row r="15773">
      <c r="D15773" s="185"/>
      <c r="E15773" s="185" t="s">
        <v>470</v>
      </c>
      <c r="H15773" s="185"/>
    </row>
    <row r="15774">
      <c r="D15774" s="185"/>
      <c r="E15774" s="185" t="s">
        <v>470</v>
      </c>
      <c r="H15774" s="185"/>
    </row>
    <row r="15775">
      <c r="D15775" s="185"/>
      <c r="E15775" s="185" t="s">
        <v>470</v>
      </c>
      <c r="H15775" s="185"/>
    </row>
    <row r="15776">
      <c r="D15776" s="185"/>
      <c r="E15776" s="185" t="s">
        <v>470</v>
      </c>
      <c r="H15776" s="185"/>
    </row>
    <row r="15777">
      <c r="D15777" s="185"/>
      <c r="E15777" s="185" t="s">
        <v>470</v>
      </c>
      <c r="H15777" s="185"/>
    </row>
    <row r="15778">
      <c r="D15778" s="185"/>
      <c r="E15778" s="185" t="s">
        <v>470</v>
      </c>
      <c r="H15778" s="185"/>
    </row>
    <row r="15779">
      <c r="D15779" s="185"/>
      <c r="E15779" s="185" t="s">
        <v>470</v>
      </c>
      <c r="H15779" s="185"/>
    </row>
    <row r="15780">
      <c r="D15780" s="185"/>
      <c r="E15780" s="185" t="s">
        <v>470</v>
      </c>
      <c r="H15780" s="185"/>
    </row>
    <row r="15781">
      <c r="D15781" s="185"/>
      <c r="E15781" s="185" t="s">
        <v>470</v>
      </c>
      <c r="H15781" s="185"/>
    </row>
    <row r="15782">
      <c r="D15782" s="185"/>
      <c r="E15782" s="185" t="s">
        <v>470</v>
      </c>
      <c r="H15782" s="185"/>
    </row>
    <row r="15783">
      <c r="D15783" s="185"/>
      <c r="E15783" s="185" t="s">
        <v>470</v>
      </c>
      <c r="H15783" s="185"/>
    </row>
    <row r="15784">
      <c r="D15784" s="185"/>
      <c r="E15784" s="185" t="s">
        <v>470</v>
      </c>
      <c r="H15784" s="185"/>
    </row>
    <row r="15785">
      <c r="D15785" s="185"/>
      <c r="E15785" s="185" t="s">
        <v>470</v>
      </c>
      <c r="H15785" s="185"/>
    </row>
    <row r="15786">
      <c r="D15786" s="185"/>
      <c r="E15786" s="185" t="s">
        <v>470</v>
      </c>
      <c r="H15786" s="185"/>
    </row>
    <row r="15787">
      <c r="D15787" s="185"/>
      <c r="E15787" s="185" t="s">
        <v>470</v>
      </c>
      <c r="H15787" s="185"/>
    </row>
    <row r="15788">
      <c r="D15788" s="185"/>
      <c r="E15788" s="185" t="s">
        <v>470</v>
      </c>
      <c r="H15788" s="185"/>
    </row>
    <row r="15789">
      <c r="D15789" s="185"/>
      <c r="E15789" s="185" t="s">
        <v>470</v>
      </c>
      <c r="H15789" s="185"/>
    </row>
    <row r="15790">
      <c r="D15790" s="185"/>
      <c r="E15790" s="185" t="s">
        <v>470</v>
      </c>
      <c r="H15790" s="185"/>
    </row>
    <row r="15791">
      <c r="D15791" s="185"/>
      <c r="E15791" s="185" t="s">
        <v>470</v>
      </c>
      <c r="H15791" s="185"/>
    </row>
    <row r="15792">
      <c r="D15792" s="185"/>
      <c r="E15792" s="185" t="s">
        <v>470</v>
      </c>
      <c r="H15792" s="185"/>
    </row>
    <row r="15793">
      <c r="D15793" s="185"/>
      <c r="E15793" s="185" t="s">
        <v>470</v>
      </c>
      <c r="H15793" s="185"/>
    </row>
    <row r="15794">
      <c r="D15794" s="185"/>
      <c r="E15794" s="185" t="s">
        <v>470</v>
      </c>
      <c r="H15794" s="185"/>
    </row>
    <row r="15795">
      <c r="D15795" s="185"/>
      <c r="E15795" s="185" t="s">
        <v>470</v>
      </c>
      <c r="H15795" s="185"/>
    </row>
    <row r="15796">
      <c r="D15796" s="185"/>
      <c r="E15796" s="185" t="s">
        <v>470</v>
      </c>
      <c r="H15796" s="185"/>
    </row>
    <row r="15797">
      <c r="D15797" s="185"/>
      <c r="E15797" s="185" t="s">
        <v>470</v>
      </c>
      <c r="H15797" s="185"/>
    </row>
    <row r="15798">
      <c r="D15798" s="185"/>
      <c r="E15798" s="185" t="s">
        <v>470</v>
      </c>
      <c r="H15798" s="185"/>
    </row>
    <row r="15799">
      <c r="D15799" s="185"/>
      <c r="E15799" s="185" t="s">
        <v>470</v>
      </c>
      <c r="H15799" s="185"/>
    </row>
    <row r="15800">
      <c r="D15800" s="185"/>
      <c r="E15800" s="185" t="s">
        <v>470</v>
      </c>
      <c r="H15800" s="185"/>
    </row>
    <row r="15801">
      <c r="D15801" s="185"/>
      <c r="E15801" s="185" t="s">
        <v>470</v>
      </c>
      <c r="H15801" s="185"/>
    </row>
    <row r="15802">
      <c r="D15802" s="185"/>
      <c r="E15802" s="185" t="s">
        <v>470</v>
      </c>
      <c r="H15802" s="185"/>
    </row>
    <row r="15803">
      <c r="D15803" s="185"/>
      <c r="E15803" s="185" t="s">
        <v>470</v>
      </c>
      <c r="H15803" s="185"/>
    </row>
    <row r="15804">
      <c r="D15804" s="185"/>
      <c r="E15804" s="185" t="s">
        <v>470</v>
      </c>
      <c r="H15804" s="185"/>
    </row>
    <row r="15805">
      <c r="D15805" s="185"/>
      <c r="E15805" s="185" t="s">
        <v>470</v>
      </c>
      <c r="H15805" s="185"/>
    </row>
    <row r="15806">
      <c r="D15806" s="185"/>
      <c r="E15806" s="185" t="s">
        <v>470</v>
      </c>
      <c r="H15806" s="185"/>
    </row>
    <row r="15807">
      <c r="D15807" s="185"/>
      <c r="E15807" s="185" t="s">
        <v>470</v>
      </c>
      <c r="H15807" s="185"/>
    </row>
    <row r="15808">
      <c r="D15808" s="185"/>
      <c r="E15808" s="185" t="s">
        <v>470</v>
      </c>
      <c r="H15808" s="185"/>
    </row>
    <row r="15809">
      <c r="D15809" s="185"/>
      <c r="E15809" s="185" t="s">
        <v>470</v>
      </c>
      <c r="H15809" s="185"/>
    </row>
    <row r="15810">
      <c r="D15810" s="185"/>
      <c r="E15810" s="185" t="s">
        <v>470</v>
      </c>
      <c r="H15810" s="185"/>
    </row>
    <row r="15811">
      <c r="D15811" s="185"/>
      <c r="E15811" s="185" t="s">
        <v>470</v>
      </c>
      <c r="H15811" s="185"/>
    </row>
    <row r="15812">
      <c r="D15812" s="185"/>
      <c r="E15812" s="185" t="s">
        <v>470</v>
      </c>
      <c r="H15812" s="185"/>
    </row>
    <row r="15813">
      <c r="D15813" s="185"/>
      <c r="E15813" s="185" t="s">
        <v>470</v>
      </c>
      <c r="H15813" s="185"/>
    </row>
    <row r="15814">
      <c r="D15814" s="185"/>
      <c r="E15814" s="185" t="s">
        <v>470</v>
      </c>
      <c r="H15814" s="185"/>
    </row>
    <row r="15815">
      <c r="D15815" s="185"/>
      <c r="E15815" s="185" t="s">
        <v>470</v>
      </c>
      <c r="H15815" s="185"/>
    </row>
    <row r="15816">
      <c r="D15816" s="185"/>
      <c r="E15816" s="185" t="s">
        <v>470</v>
      </c>
      <c r="H15816" s="185"/>
    </row>
    <row r="15817">
      <c r="D15817" s="185"/>
      <c r="E15817" s="185" t="s">
        <v>470</v>
      </c>
      <c r="H15817" s="185"/>
    </row>
    <row r="15818">
      <c r="D15818" s="185"/>
      <c r="E15818" s="185" t="s">
        <v>470</v>
      </c>
      <c r="H15818" s="185"/>
    </row>
    <row r="15819">
      <c r="D15819" s="185"/>
      <c r="E15819" s="185" t="s">
        <v>470</v>
      </c>
      <c r="H15819" s="185"/>
    </row>
    <row r="15820">
      <c r="D15820" s="185"/>
      <c r="E15820" s="185" t="s">
        <v>470</v>
      </c>
      <c r="H15820" s="185"/>
    </row>
    <row r="15821">
      <c r="D15821" s="185"/>
      <c r="E15821" s="185" t="s">
        <v>470</v>
      </c>
      <c r="H15821" s="185"/>
    </row>
    <row r="15822">
      <c r="D15822" s="185"/>
      <c r="E15822" s="185" t="s">
        <v>470</v>
      </c>
      <c r="H15822" s="185"/>
    </row>
    <row r="15823">
      <c r="D15823" s="185"/>
      <c r="E15823" s="185" t="s">
        <v>470</v>
      </c>
      <c r="H15823" s="185"/>
    </row>
    <row r="15824">
      <c r="D15824" s="185"/>
      <c r="E15824" s="185" t="s">
        <v>470</v>
      </c>
      <c r="H15824" s="185"/>
    </row>
    <row r="15825">
      <c r="D15825" s="185"/>
      <c r="E15825" s="185" t="s">
        <v>470</v>
      </c>
      <c r="H15825" s="185"/>
    </row>
    <row r="15826">
      <c r="D15826" s="185"/>
      <c r="E15826" s="185" t="s">
        <v>470</v>
      </c>
      <c r="H15826" s="185"/>
    </row>
    <row r="15827">
      <c r="D15827" s="185"/>
      <c r="E15827" s="185" t="s">
        <v>470</v>
      </c>
      <c r="H15827" s="185"/>
    </row>
    <row r="15828">
      <c r="D15828" s="185"/>
      <c r="E15828" s="185" t="s">
        <v>470</v>
      </c>
      <c r="H15828" s="185"/>
    </row>
    <row r="15829">
      <c r="D15829" s="185"/>
      <c r="E15829" s="185" t="s">
        <v>470</v>
      </c>
      <c r="H15829" s="185"/>
    </row>
    <row r="15830">
      <c r="D15830" s="185"/>
      <c r="E15830" s="185" t="s">
        <v>470</v>
      </c>
      <c r="H15830" s="185"/>
    </row>
    <row r="15831">
      <c r="D15831" s="185"/>
      <c r="E15831" s="185" t="s">
        <v>470</v>
      </c>
      <c r="H15831" s="185"/>
    </row>
    <row r="15832">
      <c r="D15832" s="185"/>
      <c r="E15832" s="185" t="s">
        <v>470</v>
      </c>
      <c r="H15832" s="185"/>
    </row>
    <row r="15833">
      <c r="D15833" s="185"/>
      <c r="E15833" s="185" t="s">
        <v>470</v>
      </c>
      <c r="H15833" s="185"/>
    </row>
    <row r="15834">
      <c r="D15834" s="185"/>
      <c r="E15834" s="185" t="s">
        <v>470</v>
      </c>
      <c r="H15834" s="185"/>
    </row>
    <row r="15835">
      <c r="D15835" s="185"/>
      <c r="E15835" s="185" t="s">
        <v>470</v>
      </c>
      <c r="H15835" s="185"/>
    </row>
    <row r="15836">
      <c r="D15836" s="185"/>
      <c r="E15836" s="185" t="s">
        <v>470</v>
      </c>
      <c r="H15836" s="185"/>
    </row>
    <row r="15837">
      <c r="D15837" s="185"/>
      <c r="E15837" s="185" t="s">
        <v>470</v>
      </c>
      <c r="H15837" s="185"/>
    </row>
    <row r="15838">
      <c r="D15838" s="185"/>
      <c r="E15838" s="185" t="s">
        <v>470</v>
      </c>
      <c r="H15838" s="185"/>
    </row>
    <row r="15839">
      <c r="D15839" s="185"/>
      <c r="E15839" s="185" t="s">
        <v>470</v>
      </c>
      <c r="H15839" s="185"/>
    </row>
    <row r="15840">
      <c r="D15840" s="185"/>
      <c r="E15840" s="185" t="s">
        <v>470</v>
      </c>
      <c r="H15840" s="185"/>
    </row>
    <row r="15841">
      <c r="D15841" s="185"/>
      <c r="E15841" s="185" t="s">
        <v>470</v>
      </c>
      <c r="H15841" s="185"/>
    </row>
    <row r="15842">
      <c r="D15842" s="185"/>
      <c r="E15842" s="185" t="s">
        <v>470</v>
      </c>
      <c r="H15842" s="185"/>
    </row>
    <row r="15843">
      <c r="D15843" s="185"/>
      <c r="E15843" s="185" t="s">
        <v>470</v>
      </c>
      <c r="H15843" s="185"/>
    </row>
    <row r="15844">
      <c r="D15844" s="185"/>
      <c r="E15844" s="185" t="s">
        <v>470</v>
      </c>
      <c r="H15844" s="185"/>
    </row>
    <row r="15845">
      <c r="D15845" s="185"/>
      <c r="E15845" s="185" t="s">
        <v>470</v>
      </c>
      <c r="H15845" s="185"/>
    </row>
    <row r="15846">
      <c r="D15846" s="185"/>
      <c r="E15846" s="185" t="s">
        <v>470</v>
      </c>
      <c r="H15846" s="185"/>
    </row>
    <row r="15847">
      <c r="D15847" s="185"/>
      <c r="E15847" s="185" t="s">
        <v>470</v>
      </c>
      <c r="H15847" s="185"/>
    </row>
    <row r="15848">
      <c r="D15848" s="185"/>
      <c r="E15848" s="185" t="s">
        <v>470</v>
      </c>
      <c r="H15848" s="185"/>
    </row>
    <row r="15849">
      <c r="D15849" s="185"/>
      <c r="E15849" s="185" t="s">
        <v>470</v>
      </c>
      <c r="H15849" s="185"/>
    </row>
    <row r="15850">
      <c r="D15850" s="185"/>
      <c r="E15850" s="185" t="s">
        <v>470</v>
      </c>
      <c r="H15850" s="185"/>
    </row>
    <row r="15851">
      <c r="D15851" s="185"/>
      <c r="E15851" s="185" t="s">
        <v>470</v>
      </c>
      <c r="H15851" s="185"/>
    </row>
    <row r="15852">
      <c r="D15852" s="185"/>
      <c r="E15852" s="185" t="s">
        <v>470</v>
      </c>
      <c r="H15852" s="185"/>
    </row>
    <row r="15853">
      <c r="D15853" s="185"/>
      <c r="E15853" s="185" t="s">
        <v>470</v>
      </c>
      <c r="H15853" s="185"/>
    </row>
    <row r="15854">
      <c r="D15854" s="185"/>
      <c r="E15854" s="185" t="s">
        <v>470</v>
      </c>
      <c r="H15854" s="185"/>
    </row>
    <row r="15855">
      <c r="D15855" s="185"/>
      <c r="E15855" s="185" t="s">
        <v>470</v>
      </c>
      <c r="H15855" s="185"/>
    </row>
    <row r="15856">
      <c r="D15856" s="185"/>
      <c r="E15856" s="185" t="s">
        <v>470</v>
      </c>
      <c r="H15856" s="185"/>
    </row>
    <row r="15857">
      <c r="D15857" s="185"/>
      <c r="E15857" s="185" t="s">
        <v>470</v>
      </c>
      <c r="H15857" s="185"/>
    </row>
    <row r="15858">
      <c r="D15858" s="185"/>
      <c r="E15858" s="185" t="s">
        <v>470</v>
      </c>
      <c r="H15858" s="185"/>
    </row>
    <row r="15859">
      <c r="D15859" s="185"/>
      <c r="E15859" s="185" t="s">
        <v>470</v>
      </c>
      <c r="H15859" s="185"/>
    </row>
    <row r="15860">
      <c r="D15860" s="185"/>
      <c r="E15860" s="185" t="s">
        <v>470</v>
      </c>
      <c r="H15860" s="185"/>
    </row>
    <row r="15861">
      <c r="D15861" s="185"/>
      <c r="E15861" s="185" t="s">
        <v>470</v>
      </c>
      <c r="H15861" s="185"/>
    </row>
    <row r="15862">
      <c r="D15862" s="185"/>
      <c r="E15862" s="185" t="s">
        <v>470</v>
      </c>
      <c r="H15862" s="185"/>
    </row>
    <row r="15863">
      <c r="D15863" s="185"/>
      <c r="E15863" s="185" t="s">
        <v>470</v>
      </c>
      <c r="H15863" s="185"/>
    </row>
    <row r="15864">
      <c r="D15864" s="185"/>
      <c r="E15864" s="185" t="s">
        <v>470</v>
      </c>
      <c r="H15864" s="185"/>
    </row>
    <row r="15865">
      <c r="D15865" s="185"/>
      <c r="E15865" s="185" t="s">
        <v>470</v>
      </c>
      <c r="H15865" s="185"/>
    </row>
    <row r="15866">
      <c r="D15866" s="185"/>
      <c r="E15866" s="185" t="s">
        <v>470</v>
      </c>
      <c r="H15866" s="185"/>
    </row>
    <row r="15867">
      <c r="D15867" s="185"/>
      <c r="E15867" s="185" t="s">
        <v>470</v>
      </c>
      <c r="H15867" s="185"/>
    </row>
    <row r="15868">
      <c r="D15868" s="185"/>
      <c r="E15868" s="185" t="s">
        <v>470</v>
      </c>
      <c r="H15868" s="185"/>
    </row>
    <row r="15869">
      <c r="D15869" s="185"/>
      <c r="E15869" s="185" t="s">
        <v>470</v>
      </c>
      <c r="H15869" s="185"/>
    </row>
    <row r="15870">
      <c r="D15870" s="185"/>
      <c r="E15870" s="185" t="s">
        <v>470</v>
      </c>
      <c r="H15870" s="185"/>
    </row>
    <row r="15871">
      <c r="D15871" s="185"/>
      <c r="E15871" s="185" t="s">
        <v>470</v>
      </c>
      <c r="H15871" s="185"/>
    </row>
    <row r="15872">
      <c r="D15872" s="185"/>
      <c r="E15872" s="185" t="s">
        <v>470</v>
      </c>
      <c r="H15872" s="185"/>
    </row>
    <row r="15873">
      <c r="D15873" s="185"/>
      <c r="E15873" s="185" t="s">
        <v>470</v>
      </c>
      <c r="H15873" s="185"/>
    </row>
    <row r="15874">
      <c r="D15874" s="185"/>
      <c r="E15874" s="185" t="s">
        <v>470</v>
      </c>
      <c r="H15874" s="185"/>
    </row>
    <row r="15875">
      <c r="D15875" s="185"/>
      <c r="E15875" s="185" t="s">
        <v>470</v>
      </c>
      <c r="H15875" s="185"/>
    </row>
    <row r="15876">
      <c r="D15876" s="185"/>
      <c r="E15876" s="185" t="s">
        <v>470</v>
      </c>
      <c r="H15876" s="185"/>
    </row>
    <row r="15877">
      <c r="D15877" s="185"/>
      <c r="E15877" s="185" t="s">
        <v>470</v>
      </c>
      <c r="H15877" s="185"/>
    </row>
    <row r="15878">
      <c r="D15878" s="185"/>
      <c r="E15878" s="185" t="s">
        <v>470</v>
      </c>
      <c r="H15878" s="185"/>
    </row>
    <row r="15879">
      <c r="D15879" s="185"/>
      <c r="E15879" s="185" t="s">
        <v>470</v>
      </c>
      <c r="H15879" s="185"/>
    </row>
    <row r="15880">
      <c r="D15880" s="185"/>
      <c r="E15880" s="185" t="s">
        <v>470</v>
      </c>
      <c r="H15880" s="185"/>
    </row>
    <row r="15881">
      <c r="D15881" s="185"/>
      <c r="E15881" s="185" t="s">
        <v>470</v>
      </c>
      <c r="H15881" s="185"/>
    </row>
    <row r="15882">
      <c r="D15882" s="185"/>
      <c r="E15882" s="185" t="s">
        <v>470</v>
      </c>
      <c r="H15882" s="185"/>
    </row>
    <row r="15883">
      <c r="D15883" s="185"/>
      <c r="E15883" s="185" t="s">
        <v>470</v>
      </c>
      <c r="H15883" s="185"/>
    </row>
    <row r="15884">
      <c r="D15884" s="185"/>
      <c r="E15884" s="185" t="s">
        <v>470</v>
      </c>
      <c r="H15884" s="185"/>
    </row>
    <row r="15885">
      <c r="D15885" s="185"/>
      <c r="E15885" s="185" t="s">
        <v>470</v>
      </c>
      <c r="H15885" s="185"/>
    </row>
    <row r="15886">
      <c r="D15886" s="185"/>
      <c r="E15886" s="185" t="s">
        <v>470</v>
      </c>
      <c r="H15886" s="185"/>
    </row>
    <row r="15887">
      <c r="D15887" s="185"/>
      <c r="E15887" s="185" t="s">
        <v>470</v>
      </c>
      <c r="H15887" s="185"/>
    </row>
    <row r="15888">
      <c r="D15888" s="185"/>
      <c r="E15888" s="185" t="s">
        <v>470</v>
      </c>
      <c r="H15888" s="185"/>
    </row>
    <row r="15889">
      <c r="D15889" s="185"/>
      <c r="E15889" s="185" t="s">
        <v>470</v>
      </c>
      <c r="H15889" s="185"/>
    </row>
    <row r="15890">
      <c r="D15890" s="185"/>
      <c r="E15890" s="185" t="s">
        <v>470</v>
      </c>
      <c r="H15890" s="185"/>
    </row>
    <row r="15891">
      <c r="D15891" s="185"/>
      <c r="E15891" s="185" t="s">
        <v>470</v>
      </c>
      <c r="H15891" s="185"/>
    </row>
    <row r="15892">
      <c r="D15892" s="185"/>
      <c r="E15892" s="185" t="s">
        <v>470</v>
      </c>
      <c r="H15892" s="185"/>
    </row>
    <row r="15893">
      <c r="D15893" s="185"/>
      <c r="E15893" s="185" t="s">
        <v>470</v>
      </c>
      <c r="H15893" s="185"/>
    </row>
    <row r="15894">
      <c r="D15894" s="185"/>
      <c r="E15894" s="185" t="s">
        <v>470</v>
      </c>
      <c r="H15894" s="185"/>
    </row>
    <row r="15895">
      <c r="D15895" s="185"/>
      <c r="E15895" s="185" t="s">
        <v>470</v>
      </c>
      <c r="H15895" s="185"/>
    </row>
    <row r="15896">
      <c r="D15896" s="185"/>
      <c r="E15896" s="185" t="s">
        <v>470</v>
      </c>
      <c r="H15896" s="185"/>
    </row>
    <row r="15897">
      <c r="D15897" s="185"/>
      <c r="E15897" s="185" t="s">
        <v>470</v>
      </c>
      <c r="H15897" s="185"/>
    </row>
    <row r="15898">
      <c r="D15898" s="185"/>
      <c r="E15898" s="185" t="s">
        <v>470</v>
      </c>
      <c r="H15898" s="185"/>
    </row>
    <row r="15899">
      <c r="D15899" s="185"/>
      <c r="E15899" s="185" t="s">
        <v>470</v>
      </c>
      <c r="H15899" s="185"/>
    </row>
    <row r="15900">
      <c r="D15900" s="185"/>
      <c r="E15900" s="185" t="s">
        <v>470</v>
      </c>
      <c r="H15900" s="185"/>
    </row>
    <row r="15901">
      <c r="D15901" s="185"/>
      <c r="E15901" s="185" t="s">
        <v>470</v>
      </c>
      <c r="H15901" s="185"/>
    </row>
    <row r="15902">
      <c r="D15902" s="185"/>
      <c r="E15902" s="185" t="s">
        <v>470</v>
      </c>
      <c r="H15902" s="185"/>
    </row>
    <row r="15903">
      <c r="D15903" s="185"/>
      <c r="E15903" s="185" t="s">
        <v>470</v>
      </c>
      <c r="H15903" s="185"/>
    </row>
    <row r="15904">
      <c r="D15904" s="185"/>
      <c r="E15904" s="185" t="s">
        <v>470</v>
      </c>
      <c r="H15904" s="185"/>
    </row>
    <row r="15905">
      <c r="D15905" s="185"/>
      <c r="E15905" s="185" t="s">
        <v>470</v>
      </c>
      <c r="H15905" s="185"/>
    </row>
    <row r="15906">
      <c r="D15906" s="185"/>
      <c r="E15906" s="185" t="s">
        <v>470</v>
      </c>
      <c r="H15906" s="185"/>
    </row>
    <row r="15907">
      <c r="D15907" s="185"/>
      <c r="E15907" s="185" t="s">
        <v>470</v>
      </c>
      <c r="H15907" s="185"/>
    </row>
    <row r="15908">
      <c r="D15908" s="185"/>
      <c r="E15908" s="185" t="s">
        <v>470</v>
      </c>
      <c r="H15908" s="185"/>
    </row>
    <row r="15909">
      <c r="D15909" s="185"/>
      <c r="E15909" s="185" t="s">
        <v>470</v>
      </c>
      <c r="H15909" s="185"/>
    </row>
    <row r="15910">
      <c r="D15910" s="185"/>
      <c r="E15910" s="185" t="s">
        <v>470</v>
      </c>
      <c r="H15910" s="185"/>
    </row>
    <row r="15911">
      <c r="D15911" s="185"/>
      <c r="E15911" s="185" t="s">
        <v>470</v>
      </c>
      <c r="H15911" s="185"/>
    </row>
    <row r="15912">
      <c r="D15912" s="185"/>
      <c r="E15912" s="185" t="s">
        <v>470</v>
      </c>
      <c r="H15912" s="185"/>
    </row>
    <row r="15913">
      <c r="D15913" s="185"/>
      <c r="E15913" s="185" t="s">
        <v>470</v>
      </c>
      <c r="H15913" s="185"/>
    </row>
    <row r="15914">
      <c r="D15914" s="185"/>
      <c r="E15914" s="185" t="s">
        <v>470</v>
      </c>
      <c r="H15914" s="185"/>
    </row>
    <row r="15915">
      <c r="D15915" s="185"/>
      <c r="E15915" s="185" t="s">
        <v>470</v>
      </c>
      <c r="H15915" s="185"/>
    </row>
    <row r="15916">
      <c r="D15916" s="185"/>
      <c r="E15916" s="185" t="s">
        <v>470</v>
      </c>
      <c r="H15916" s="185"/>
    </row>
    <row r="15917">
      <c r="D15917" s="185"/>
      <c r="E15917" s="185" t="s">
        <v>470</v>
      </c>
      <c r="H15917" s="185"/>
    </row>
    <row r="15918">
      <c r="D15918" s="185"/>
      <c r="E15918" s="185" t="s">
        <v>470</v>
      </c>
      <c r="H15918" s="185"/>
    </row>
    <row r="15919">
      <c r="D15919" s="185"/>
      <c r="E15919" s="185" t="s">
        <v>470</v>
      </c>
      <c r="H15919" s="185"/>
    </row>
    <row r="15920">
      <c r="D15920" s="185"/>
      <c r="E15920" s="185" t="s">
        <v>470</v>
      </c>
      <c r="H15920" s="185"/>
    </row>
    <row r="15921">
      <c r="D15921" s="185"/>
      <c r="E15921" s="185" t="s">
        <v>470</v>
      </c>
      <c r="H15921" s="185"/>
    </row>
    <row r="15922">
      <c r="D15922" s="185"/>
      <c r="E15922" s="185" t="s">
        <v>470</v>
      </c>
      <c r="H15922" s="185"/>
    </row>
    <row r="15923">
      <c r="D15923" s="185"/>
      <c r="E15923" s="185" t="s">
        <v>470</v>
      </c>
      <c r="H15923" s="185"/>
    </row>
    <row r="15924">
      <c r="D15924" s="185"/>
      <c r="E15924" s="185" t="s">
        <v>470</v>
      </c>
      <c r="H15924" s="185"/>
    </row>
    <row r="15925">
      <c r="D15925" s="185"/>
      <c r="E15925" s="185" t="s">
        <v>470</v>
      </c>
      <c r="H15925" s="185"/>
    </row>
    <row r="15926">
      <c r="D15926" s="185"/>
      <c r="E15926" s="185" t="s">
        <v>470</v>
      </c>
      <c r="H15926" s="185"/>
    </row>
    <row r="15927">
      <c r="D15927" s="185"/>
      <c r="E15927" s="185" t="s">
        <v>470</v>
      </c>
      <c r="H15927" s="185"/>
    </row>
    <row r="15928">
      <c r="D15928" s="185"/>
      <c r="E15928" s="185" t="s">
        <v>470</v>
      </c>
      <c r="H15928" s="185"/>
    </row>
    <row r="15929">
      <c r="D15929" s="185"/>
      <c r="E15929" s="185" t="s">
        <v>470</v>
      </c>
      <c r="H15929" s="185"/>
    </row>
    <row r="15930">
      <c r="D15930" s="185"/>
      <c r="E15930" s="185" t="s">
        <v>470</v>
      </c>
      <c r="H15930" s="185"/>
    </row>
    <row r="15931">
      <c r="D15931" s="185"/>
      <c r="E15931" s="185" t="s">
        <v>470</v>
      </c>
      <c r="H15931" s="185"/>
    </row>
    <row r="15932">
      <c r="D15932" s="185"/>
      <c r="E15932" s="185" t="s">
        <v>470</v>
      </c>
      <c r="H15932" s="185"/>
    </row>
    <row r="15933">
      <c r="D15933" s="185"/>
      <c r="E15933" s="185" t="s">
        <v>470</v>
      </c>
      <c r="H15933" s="185"/>
    </row>
    <row r="15934">
      <c r="D15934" s="185"/>
      <c r="E15934" s="185" t="s">
        <v>470</v>
      </c>
      <c r="H15934" s="185"/>
    </row>
    <row r="15935">
      <c r="D15935" s="185"/>
      <c r="E15935" s="185" t="s">
        <v>470</v>
      </c>
      <c r="H15935" s="185"/>
    </row>
    <row r="15936">
      <c r="D15936" s="185"/>
      <c r="E15936" s="185" t="s">
        <v>470</v>
      </c>
      <c r="H15936" s="185"/>
    </row>
    <row r="15937">
      <c r="D15937" s="185"/>
      <c r="E15937" s="185" t="s">
        <v>470</v>
      </c>
      <c r="H15937" s="185"/>
    </row>
    <row r="15938">
      <c r="D15938" s="185"/>
      <c r="E15938" s="185" t="s">
        <v>470</v>
      </c>
      <c r="H15938" s="185"/>
    </row>
    <row r="15939">
      <c r="D15939" s="185"/>
      <c r="E15939" s="185" t="s">
        <v>470</v>
      </c>
      <c r="H15939" s="185"/>
    </row>
    <row r="15940">
      <c r="D15940" s="185"/>
      <c r="E15940" s="185" t="s">
        <v>470</v>
      </c>
      <c r="H15940" s="185"/>
    </row>
    <row r="15941">
      <c r="D15941" s="185"/>
      <c r="E15941" s="185" t="s">
        <v>470</v>
      </c>
      <c r="H15941" s="185"/>
    </row>
    <row r="15942">
      <c r="D15942" s="185"/>
      <c r="E15942" s="185" t="s">
        <v>470</v>
      </c>
      <c r="H15942" s="185"/>
    </row>
    <row r="15943">
      <c r="D15943" s="185"/>
      <c r="E15943" s="185" t="s">
        <v>470</v>
      </c>
      <c r="H15943" s="185"/>
    </row>
    <row r="15944">
      <c r="D15944" s="185"/>
      <c r="E15944" s="185" t="s">
        <v>470</v>
      </c>
      <c r="H15944" s="185"/>
    </row>
    <row r="15945">
      <c r="D15945" s="185"/>
      <c r="E15945" s="185" t="s">
        <v>470</v>
      </c>
      <c r="H15945" s="185"/>
    </row>
    <row r="15946">
      <c r="D15946" s="185"/>
      <c r="E15946" s="185" t="s">
        <v>470</v>
      </c>
      <c r="H15946" s="185"/>
    </row>
    <row r="15947">
      <c r="D15947" s="185"/>
      <c r="E15947" s="185" t="s">
        <v>470</v>
      </c>
      <c r="H15947" s="185"/>
    </row>
    <row r="15948">
      <c r="D15948" s="185"/>
      <c r="E15948" s="185" t="s">
        <v>470</v>
      </c>
      <c r="H15948" s="185"/>
    </row>
    <row r="15949">
      <c r="D15949" s="185"/>
      <c r="E15949" s="185" t="s">
        <v>470</v>
      </c>
      <c r="H15949" s="185"/>
    </row>
    <row r="15950">
      <c r="D15950" s="185"/>
      <c r="E15950" s="185" t="s">
        <v>470</v>
      </c>
      <c r="H15950" s="185"/>
    </row>
    <row r="15951">
      <c r="D15951" s="185"/>
      <c r="E15951" s="185" t="s">
        <v>470</v>
      </c>
      <c r="H15951" s="185"/>
    </row>
    <row r="15952">
      <c r="D15952" s="185"/>
      <c r="E15952" s="185" t="s">
        <v>470</v>
      </c>
      <c r="H15952" s="185"/>
    </row>
    <row r="15953">
      <c r="D15953" s="185"/>
      <c r="E15953" s="185" t="s">
        <v>470</v>
      </c>
      <c r="H15953" s="185"/>
    </row>
    <row r="15954">
      <c r="D15954" s="185"/>
      <c r="E15954" s="185" t="s">
        <v>470</v>
      </c>
      <c r="H15954" s="185"/>
    </row>
    <row r="15955">
      <c r="D15955" s="185"/>
      <c r="E15955" s="185" t="s">
        <v>470</v>
      </c>
      <c r="H15955" s="185"/>
    </row>
    <row r="15956">
      <c r="D15956" s="185"/>
      <c r="E15956" s="185" t="s">
        <v>470</v>
      </c>
      <c r="H15956" s="185"/>
    </row>
    <row r="15957">
      <c r="D15957" s="185"/>
      <c r="E15957" s="185" t="s">
        <v>470</v>
      </c>
      <c r="H15957" s="185"/>
    </row>
    <row r="15958">
      <c r="D15958" s="185"/>
      <c r="E15958" s="185" t="s">
        <v>470</v>
      </c>
      <c r="H15958" s="185"/>
    </row>
    <row r="15959">
      <c r="D15959" s="185"/>
      <c r="E15959" s="185" t="s">
        <v>470</v>
      </c>
      <c r="H15959" s="185"/>
    </row>
    <row r="15960">
      <c r="D15960" s="185"/>
      <c r="E15960" s="185" t="s">
        <v>470</v>
      </c>
      <c r="H15960" s="185"/>
    </row>
    <row r="15961">
      <c r="D15961" s="185"/>
      <c r="E15961" s="185" t="s">
        <v>470</v>
      </c>
      <c r="H15961" s="185"/>
    </row>
    <row r="15962">
      <c r="D15962" s="185"/>
      <c r="E15962" s="185" t="s">
        <v>470</v>
      </c>
      <c r="H15962" s="185"/>
    </row>
    <row r="15963">
      <c r="D15963" s="185"/>
      <c r="E15963" s="185" t="s">
        <v>470</v>
      </c>
      <c r="H15963" s="185"/>
    </row>
    <row r="15964">
      <c r="D15964" s="185"/>
      <c r="E15964" s="185" t="s">
        <v>470</v>
      </c>
      <c r="H15964" s="185"/>
    </row>
    <row r="15965">
      <c r="D15965" s="185"/>
      <c r="E15965" s="185" t="s">
        <v>470</v>
      </c>
      <c r="H15965" s="185"/>
    </row>
    <row r="15966">
      <c r="D15966" s="185"/>
      <c r="E15966" s="185" t="s">
        <v>470</v>
      </c>
      <c r="H15966" s="185"/>
    </row>
    <row r="15967">
      <c r="D15967" s="185"/>
      <c r="E15967" s="185" t="s">
        <v>470</v>
      </c>
      <c r="H15967" s="185"/>
    </row>
    <row r="15968">
      <c r="D15968" s="185"/>
      <c r="E15968" s="185" t="s">
        <v>470</v>
      </c>
      <c r="H15968" s="185"/>
    </row>
    <row r="15969">
      <c r="D15969" s="185"/>
      <c r="E15969" s="185" t="s">
        <v>470</v>
      </c>
      <c r="H15969" s="185"/>
    </row>
    <row r="15970">
      <c r="D15970" s="185"/>
      <c r="E15970" s="185" t="s">
        <v>470</v>
      </c>
      <c r="H15970" s="185"/>
    </row>
    <row r="15971">
      <c r="D15971" s="185"/>
      <c r="E15971" s="185" t="s">
        <v>470</v>
      </c>
      <c r="H15971" s="185"/>
    </row>
    <row r="15972">
      <c r="D15972" s="185"/>
      <c r="E15972" s="185" t="s">
        <v>470</v>
      </c>
      <c r="H15972" s="185"/>
    </row>
    <row r="15973">
      <c r="D15973" s="185"/>
      <c r="E15973" s="185" t="s">
        <v>470</v>
      </c>
      <c r="H15973" s="185"/>
    </row>
    <row r="15974">
      <c r="D15974" s="185"/>
      <c r="E15974" s="185" t="s">
        <v>470</v>
      </c>
      <c r="H15974" s="185"/>
    </row>
    <row r="15975">
      <c r="D15975" s="185"/>
      <c r="E15975" s="185" t="s">
        <v>470</v>
      </c>
      <c r="H15975" s="185"/>
    </row>
    <row r="15976">
      <c r="D15976" s="185"/>
      <c r="E15976" s="185" t="s">
        <v>470</v>
      </c>
      <c r="H15976" s="185"/>
    </row>
    <row r="15977">
      <c r="D15977" s="185"/>
      <c r="E15977" s="185" t="s">
        <v>470</v>
      </c>
      <c r="H15977" s="185"/>
    </row>
    <row r="15978">
      <c r="D15978" s="185"/>
      <c r="E15978" s="185" t="s">
        <v>470</v>
      </c>
      <c r="H15978" s="185"/>
    </row>
    <row r="15979">
      <c r="D15979" s="185"/>
      <c r="E15979" s="185" t="s">
        <v>470</v>
      </c>
      <c r="H15979" s="185"/>
    </row>
    <row r="15980">
      <c r="D15980" s="185"/>
      <c r="E15980" s="185" t="s">
        <v>470</v>
      </c>
      <c r="H15980" s="185"/>
    </row>
    <row r="15981">
      <c r="D15981" s="185"/>
      <c r="E15981" s="185" t="s">
        <v>470</v>
      </c>
      <c r="H15981" s="185"/>
    </row>
    <row r="15982">
      <c r="D15982" s="185"/>
      <c r="E15982" s="185" t="s">
        <v>470</v>
      </c>
      <c r="H15982" s="185"/>
    </row>
    <row r="15983">
      <c r="D15983" s="185"/>
      <c r="E15983" s="185" t="s">
        <v>470</v>
      </c>
      <c r="H15983" s="185"/>
    </row>
    <row r="15984">
      <c r="D15984" s="185"/>
      <c r="E15984" s="185" t="s">
        <v>470</v>
      </c>
      <c r="H15984" s="185"/>
    </row>
    <row r="15985">
      <c r="D15985" s="185"/>
      <c r="E15985" s="185" t="s">
        <v>470</v>
      </c>
      <c r="H15985" s="185"/>
    </row>
    <row r="15986">
      <c r="D15986" s="185"/>
      <c r="E15986" s="185" t="s">
        <v>470</v>
      </c>
      <c r="H15986" s="185"/>
    </row>
    <row r="15987">
      <c r="D15987" s="185"/>
      <c r="E15987" s="185" t="s">
        <v>470</v>
      </c>
      <c r="H15987" s="185"/>
    </row>
    <row r="15988">
      <c r="D15988" s="185"/>
      <c r="E15988" s="185" t="s">
        <v>470</v>
      </c>
      <c r="H15988" s="185"/>
    </row>
    <row r="15989">
      <c r="D15989" s="185"/>
      <c r="E15989" s="185" t="s">
        <v>470</v>
      </c>
      <c r="H15989" s="185"/>
    </row>
    <row r="15990">
      <c r="D15990" s="185"/>
      <c r="E15990" s="185" t="s">
        <v>470</v>
      </c>
      <c r="H15990" s="185"/>
    </row>
    <row r="15991">
      <c r="D15991" s="185"/>
      <c r="E15991" s="185" t="s">
        <v>470</v>
      </c>
      <c r="H15991" s="185"/>
    </row>
    <row r="15992">
      <c r="D15992" s="185"/>
      <c r="E15992" s="185" t="s">
        <v>470</v>
      </c>
      <c r="H15992" s="185"/>
    </row>
    <row r="15993">
      <c r="D15993" s="185"/>
      <c r="E15993" s="185" t="s">
        <v>470</v>
      </c>
      <c r="H15993" s="185"/>
    </row>
    <row r="15994">
      <c r="D15994" s="185"/>
      <c r="E15994" s="185" t="s">
        <v>470</v>
      </c>
      <c r="H15994" s="185"/>
    </row>
    <row r="15995">
      <c r="D15995" s="185"/>
      <c r="E15995" s="185" t="s">
        <v>470</v>
      </c>
      <c r="H15995" s="185"/>
    </row>
    <row r="15996">
      <c r="D15996" s="185"/>
      <c r="E15996" s="185" t="s">
        <v>470</v>
      </c>
      <c r="H15996" s="185"/>
    </row>
    <row r="15997">
      <c r="D15997" s="185"/>
      <c r="E15997" s="185" t="s">
        <v>470</v>
      </c>
      <c r="H15997" s="185"/>
    </row>
    <row r="15998">
      <c r="D15998" s="185"/>
      <c r="E15998" s="185" t="s">
        <v>470</v>
      </c>
      <c r="H15998" s="185"/>
    </row>
    <row r="15999">
      <c r="D15999" s="185"/>
      <c r="E15999" s="185" t="s">
        <v>470</v>
      </c>
      <c r="H15999" s="185"/>
    </row>
    <row r="16000">
      <c r="D16000" s="185"/>
      <c r="E16000" s="185" t="s">
        <v>470</v>
      </c>
      <c r="H16000" s="185"/>
    </row>
    <row r="16001">
      <c r="D16001" s="185"/>
      <c r="E16001" s="185" t="s">
        <v>470</v>
      </c>
      <c r="H16001" s="185"/>
    </row>
    <row r="16002">
      <c r="D16002" s="185"/>
      <c r="E16002" s="185" t="s">
        <v>470</v>
      </c>
      <c r="H16002" s="185"/>
    </row>
    <row r="16003">
      <c r="D16003" s="185"/>
      <c r="E16003" s="185" t="s">
        <v>470</v>
      </c>
      <c r="H16003" s="185"/>
    </row>
    <row r="16004">
      <c r="D16004" s="185"/>
      <c r="E16004" s="185" t="s">
        <v>470</v>
      </c>
      <c r="H16004" s="185"/>
    </row>
    <row r="16005">
      <c r="D16005" s="185"/>
      <c r="E16005" s="185" t="s">
        <v>470</v>
      </c>
      <c r="H16005" s="185"/>
    </row>
    <row r="16006">
      <c r="D16006" s="185"/>
      <c r="E16006" s="185" t="s">
        <v>470</v>
      </c>
      <c r="H16006" s="185"/>
    </row>
    <row r="16007">
      <c r="D16007" s="185"/>
      <c r="E16007" s="185" t="s">
        <v>470</v>
      </c>
      <c r="H16007" s="185"/>
    </row>
    <row r="16008">
      <c r="D16008" s="185"/>
      <c r="E16008" s="185" t="s">
        <v>470</v>
      </c>
      <c r="H16008" s="185"/>
    </row>
    <row r="16009">
      <c r="D16009" s="185"/>
      <c r="E16009" s="185" t="s">
        <v>470</v>
      </c>
      <c r="H16009" s="185"/>
    </row>
    <row r="16010">
      <c r="D16010" s="185"/>
      <c r="E16010" s="185" t="s">
        <v>470</v>
      </c>
      <c r="H16010" s="185"/>
    </row>
    <row r="16011">
      <c r="D16011" s="185"/>
      <c r="E16011" s="185" t="s">
        <v>470</v>
      </c>
      <c r="H16011" s="185"/>
    </row>
    <row r="16012">
      <c r="D16012" s="185"/>
      <c r="E16012" s="185" t="s">
        <v>470</v>
      </c>
      <c r="H16012" s="185"/>
    </row>
    <row r="16013">
      <c r="D16013" s="185"/>
      <c r="E16013" s="185" t="s">
        <v>470</v>
      </c>
      <c r="H16013" s="185"/>
    </row>
    <row r="16014">
      <c r="D16014" s="185"/>
      <c r="E16014" s="185" t="s">
        <v>470</v>
      </c>
      <c r="H16014" s="185"/>
    </row>
    <row r="16015">
      <c r="D16015" s="185"/>
      <c r="E16015" s="185" t="s">
        <v>470</v>
      </c>
      <c r="H16015" s="185"/>
    </row>
    <row r="16016">
      <c r="D16016" s="185"/>
      <c r="E16016" s="185" t="s">
        <v>470</v>
      </c>
      <c r="H16016" s="185"/>
    </row>
    <row r="16017">
      <c r="D16017" s="185"/>
      <c r="E16017" s="185" t="s">
        <v>470</v>
      </c>
      <c r="H16017" s="185"/>
    </row>
    <row r="16018">
      <c r="D16018" s="185"/>
      <c r="E16018" s="185" t="s">
        <v>470</v>
      </c>
      <c r="H16018" s="185"/>
    </row>
    <row r="16019">
      <c r="D16019" s="185"/>
      <c r="E16019" s="185" t="s">
        <v>470</v>
      </c>
      <c r="H16019" s="185"/>
    </row>
    <row r="16020">
      <c r="D16020" s="185"/>
      <c r="E16020" s="185" t="s">
        <v>470</v>
      </c>
      <c r="H16020" s="185"/>
    </row>
    <row r="16021">
      <c r="D16021" s="185"/>
      <c r="E16021" s="185" t="s">
        <v>470</v>
      </c>
      <c r="H16021" s="185"/>
    </row>
    <row r="16022">
      <c r="D16022" s="185"/>
      <c r="E16022" s="185" t="s">
        <v>470</v>
      </c>
      <c r="H16022" s="185"/>
    </row>
    <row r="16023">
      <c r="D16023" s="185"/>
      <c r="E16023" s="185" t="s">
        <v>470</v>
      </c>
      <c r="H16023" s="185"/>
    </row>
    <row r="16024">
      <c r="D16024" s="185"/>
      <c r="E16024" s="185" t="s">
        <v>470</v>
      </c>
      <c r="H16024" s="185"/>
    </row>
    <row r="16025">
      <c r="D16025" s="185"/>
      <c r="E16025" s="185" t="s">
        <v>470</v>
      </c>
      <c r="H16025" s="185"/>
    </row>
    <row r="16026">
      <c r="D16026" s="185"/>
      <c r="E16026" s="185" t="s">
        <v>470</v>
      </c>
      <c r="H16026" s="185"/>
    </row>
    <row r="16027">
      <c r="D16027" s="185"/>
      <c r="E16027" s="185" t="s">
        <v>470</v>
      </c>
      <c r="H16027" s="185"/>
    </row>
    <row r="16028">
      <c r="D16028" s="185"/>
      <c r="E16028" s="185" t="s">
        <v>470</v>
      </c>
      <c r="H16028" s="185"/>
    </row>
    <row r="16029">
      <c r="D16029" s="185"/>
      <c r="E16029" s="185" t="s">
        <v>470</v>
      </c>
      <c r="H16029" s="185"/>
    </row>
    <row r="16030">
      <c r="D16030" s="185"/>
      <c r="E16030" s="185" t="s">
        <v>470</v>
      </c>
      <c r="H16030" s="185"/>
    </row>
    <row r="16031">
      <c r="D16031" s="185"/>
      <c r="E16031" s="185" t="s">
        <v>470</v>
      </c>
      <c r="H16031" s="185"/>
    </row>
    <row r="16032">
      <c r="D16032" s="185"/>
      <c r="E16032" s="185" t="s">
        <v>470</v>
      </c>
      <c r="H16032" s="185"/>
    </row>
    <row r="16033">
      <c r="D16033" s="185"/>
      <c r="E16033" s="185" t="s">
        <v>470</v>
      </c>
      <c r="H16033" s="185"/>
    </row>
    <row r="16034">
      <c r="D16034" s="185"/>
      <c r="E16034" s="185" t="s">
        <v>470</v>
      </c>
      <c r="H16034" s="185"/>
    </row>
    <row r="16035">
      <c r="D16035" s="185"/>
      <c r="E16035" s="185" t="s">
        <v>470</v>
      </c>
      <c r="H16035" s="185"/>
    </row>
    <row r="16036">
      <c r="D16036" s="185"/>
      <c r="E16036" s="185" t="s">
        <v>470</v>
      </c>
      <c r="H16036" s="185"/>
    </row>
    <row r="16037">
      <c r="D16037" s="185"/>
      <c r="E16037" s="185" t="s">
        <v>470</v>
      </c>
      <c r="H16037" s="185"/>
    </row>
    <row r="16038">
      <c r="D16038" s="185"/>
      <c r="E16038" s="185" t="s">
        <v>470</v>
      </c>
      <c r="H16038" s="185"/>
    </row>
    <row r="16039">
      <c r="D16039" s="185"/>
      <c r="E16039" s="185" t="s">
        <v>470</v>
      </c>
      <c r="H16039" s="185"/>
    </row>
    <row r="16040">
      <c r="D16040" s="185"/>
      <c r="E16040" s="185" t="s">
        <v>470</v>
      </c>
      <c r="H16040" s="185"/>
    </row>
    <row r="16041">
      <c r="D16041" s="185"/>
      <c r="E16041" s="185" t="s">
        <v>470</v>
      </c>
      <c r="H16041" s="185"/>
    </row>
    <row r="16042">
      <c r="D16042" s="185"/>
      <c r="E16042" s="185" t="s">
        <v>470</v>
      </c>
      <c r="H16042" s="185"/>
    </row>
    <row r="16043">
      <c r="D16043" s="185"/>
      <c r="E16043" s="185" t="s">
        <v>470</v>
      </c>
      <c r="H16043" s="185"/>
    </row>
    <row r="16044">
      <c r="D16044" s="185"/>
      <c r="E16044" s="185" t="s">
        <v>470</v>
      </c>
      <c r="H16044" s="185"/>
    </row>
    <row r="16045">
      <c r="D16045" s="185"/>
      <c r="E16045" s="185" t="s">
        <v>470</v>
      </c>
      <c r="H16045" s="185"/>
    </row>
    <row r="16046">
      <c r="D16046" s="185"/>
      <c r="E16046" s="185" t="s">
        <v>470</v>
      </c>
      <c r="H16046" s="185"/>
    </row>
    <row r="16047">
      <c r="D16047" s="185"/>
      <c r="E16047" s="185" t="s">
        <v>470</v>
      </c>
      <c r="H16047" s="185"/>
    </row>
    <row r="16048">
      <c r="D16048" s="185"/>
      <c r="E16048" s="185" t="s">
        <v>470</v>
      </c>
      <c r="H16048" s="185"/>
    </row>
    <row r="16049">
      <c r="D16049" s="185"/>
      <c r="E16049" s="185" t="s">
        <v>470</v>
      </c>
      <c r="H16049" s="185"/>
    </row>
    <row r="16050">
      <c r="D16050" s="185"/>
      <c r="E16050" s="185" t="s">
        <v>470</v>
      </c>
      <c r="H16050" s="185"/>
    </row>
    <row r="16051">
      <c r="D16051" s="185"/>
      <c r="E16051" s="185" t="s">
        <v>470</v>
      </c>
      <c r="H16051" s="185"/>
    </row>
    <row r="16052">
      <c r="D16052" s="185"/>
      <c r="E16052" s="185" t="s">
        <v>470</v>
      </c>
      <c r="H16052" s="185"/>
    </row>
    <row r="16053">
      <c r="D16053" s="185"/>
      <c r="E16053" s="185" t="s">
        <v>470</v>
      </c>
      <c r="H16053" s="185"/>
    </row>
    <row r="16054">
      <c r="D16054" s="185"/>
      <c r="E16054" s="185" t="s">
        <v>470</v>
      </c>
      <c r="H16054" s="185"/>
    </row>
    <row r="16055">
      <c r="D16055" s="185"/>
      <c r="E16055" s="185" t="s">
        <v>470</v>
      </c>
      <c r="H16055" s="185"/>
    </row>
    <row r="16056">
      <c r="D16056" s="185"/>
      <c r="E16056" s="185" t="s">
        <v>470</v>
      </c>
      <c r="H16056" s="185"/>
    </row>
    <row r="16057">
      <c r="D16057" s="185"/>
      <c r="E16057" s="185" t="s">
        <v>470</v>
      </c>
      <c r="H16057" s="185"/>
    </row>
    <row r="16058">
      <c r="D16058" s="185"/>
      <c r="E16058" s="185" t="s">
        <v>470</v>
      </c>
      <c r="H16058" s="185"/>
    </row>
    <row r="16059">
      <c r="D16059" s="185"/>
      <c r="E16059" s="185" t="s">
        <v>470</v>
      </c>
      <c r="H16059" s="185"/>
    </row>
    <row r="16060">
      <c r="D16060" s="185"/>
      <c r="E16060" s="185" t="s">
        <v>470</v>
      </c>
      <c r="H16060" s="185"/>
    </row>
    <row r="16061">
      <c r="D16061" s="185"/>
      <c r="E16061" s="185" t="s">
        <v>470</v>
      </c>
      <c r="H16061" s="185"/>
    </row>
    <row r="16062">
      <c r="D16062" s="185"/>
      <c r="E16062" s="185" t="s">
        <v>470</v>
      </c>
      <c r="H16062" s="185"/>
    </row>
    <row r="16063">
      <c r="D16063" s="185"/>
      <c r="E16063" s="185" t="s">
        <v>470</v>
      </c>
      <c r="H16063" s="185"/>
    </row>
    <row r="16064">
      <c r="D16064" s="185"/>
      <c r="E16064" s="185" t="s">
        <v>470</v>
      </c>
      <c r="H16064" s="185"/>
    </row>
    <row r="16065">
      <c r="D16065" s="185"/>
      <c r="E16065" s="185" t="s">
        <v>470</v>
      </c>
      <c r="H16065" s="185"/>
    </row>
    <row r="16066">
      <c r="D16066" s="185"/>
      <c r="E16066" s="185" t="s">
        <v>470</v>
      </c>
      <c r="H16066" s="185"/>
    </row>
    <row r="16067">
      <c r="D16067" s="185"/>
      <c r="E16067" s="185" t="s">
        <v>470</v>
      </c>
      <c r="H16067" s="185"/>
    </row>
    <row r="16068">
      <c r="D16068" s="185"/>
      <c r="E16068" s="185" t="s">
        <v>470</v>
      </c>
      <c r="H16068" s="185"/>
    </row>
    <row r="16069">
      <c r="D16069" s="185"/>
      <c r="E16069" s="185" t="s">
        <v>470</v>
      </c>
      <c r="H16069" s="185"/>
    </row>
    <row r="16070">
      <c r="D16070" s="185"/>
      <c r="E16070" s="185" t="s">
        <v>470</v>
      </c>
      <c r="H16070" s="185"/>
    </row>
    <row r="16071">
      <c r="D16071" s="185"/>
      <c r="E16071" s="185" t="s">
        <v>470</v>
      </c>
      <c r="H16071" s="185"/>
    </row>
    <row r="16072">
      <c r="D16072" s="185"/>
      <c r="E16072" s="185" t="s">
        <v>470</v>
      </c>
      <c r="H16072" s="185"/>
    </row>
    <row r="16073">
      <c r="D16073" s="185"/>
      <c r="E16073" s="185" t="s">
        <v>470</v>
      </c>
      <c r="H16073" s="185"/>
    </row>
    <row r="16074">
      <c r="D16074" s="185"/>
      <c r="E16074" s="185" t="s">
        <v>470</v>
      </c>
      <c r="H16074" s="185"/>
    </row>
    <row r="16075">
      <c r="D16075" s="185"/>
      <c r="E16075" s="185" t="s">
        <v>470</v>
      </c>
      <c r="H16075" s="185"/>
    </row>
    <row r="16076">
      <c r="D16076" s="185"/>
      <c r="E16076" s="185" t="s">
        <v>470</v>
      </c>
      <c r="H16076" s="185"/>
    </row>
    <row r="16077">
      <c r="D16077" s="185"/>
      <c r="E16077" s="185" t="s">
        <v>470</v>
      </c>
      <c r="H16077" s="185"/>
    </row>
    <row r="16078">
      <c r="D16078" s="185"/>
      <c r="E16078" s="185" t="s">
        <v>470</v>
      </c>
      <c r="H16078" s="185"/>
    </row>
    <row r="16079">
      <c r="D16079" s="185"/>
      <c r="E16079" s="185" t="s">
        <v>470</v>
      </c>
      <c r="H16079" s="185"/>
    </row>
    <row r="16080">
      <c r="D16080" s="185"/>
      <c r="E16080" s="185" t="s">
        <v>470</v>
      </c>
      <c r="H16080" s="185"/>
    </row>
    <row r="16081">
      <c r="D16081" s="185"/>
      <c r="E16081" s="185" t="s">
        <v>470</v>
      </c>
      <c r="H16081" s="185"/>
    </row>
    <row r="16082">
      <c r="D16082" s="185"/>
      <c r="E16082" s="185" t="s">
        <v>470</v>
      </c>
      <c r="H16082" s="185"/>
    </row>
    <row r="16083">
      <c r="D16083" s="185"/>
      <c r="E16083" s="185" t="s">
        <v>470</v>
      </c>
      <c r="H16083" s="185"/>
    </row>
    <row r="16084">
      <c r="D16084" s="185"/>
      <c r="E16084" s="185" t="s">
        <v>470</v>
      </c>
      <c r="H16084" s="185"/>
    </row>
    <row r="16085">
      <c r="D16085" s="185"/>
      <c r="E16085" s="185" t="s">
        <v>470</v>
      </c>
      <c r="H16085" s="185"/>
    </row>
    <row r="16086">
      <c r="D16086" s="185"/>
      <c r="E16086" s="185" t="s">
        <v>470</v>
      </c>
      <c r="H16086" s="185"/>
    </row>
    <row r="16087">
      <c r="D16087" s="185"/>
      <c r="E16087" s="185" t="s">
        <v>470</v>
      </c>
      <c r="H16087" s="185"/>
    </row>
    <row r="16088">
      <c r="D16088" s="185"/>
      <c r="E16088" s="185" t="s">
        <v>470</v>
      </c>
      <c r="H16088" s="185"/>
    </row>
    <row r="16089">
      <c r="D16089" s="185"/>
      <c r="E16089" s="185" t="s">
        <v>470</v>
      </c>
      <c r="H16089" s="185"/>
    </row>
    <row r="16090">
      <c r="D16090" s="185"/>
      <c r="E16090" s="185" t="s">
        <v>470</v>
      </c>
      <c r="H16090" s="185"/>
    </row>
    <row r="16091">
      <c r="D16091" s="185"/>
      <c r="E16091" s="185" t="s">
        <v>470</v>
      </c>
      <c r="H16091" s="185"/>
    </row>
    <row r="16092">
      <c r="D16092" s="185"/>
      <c r="E16092" s="185" t="s">
        <v>470</v>
      </c>
      <c r="H16092" s="185"/>
    </row>
    <row r="16093">
      <c r="D16093" s="185"/>
      <c r="E16093" s="185" t="s">
        <v>470</v>
      </c>
      <c r="H16093" s="185"/>
    </row>
    <row r="16094">
      <c r="D16094" s="185"/>
      <c r="E16094" s="185" t="s">
        <v>470</v>
      </c>
      <c r="H16094" s="185"/>
    </row>
    <row r="16095">
      <c r="D16095" s="185"/>
      <c r="E16095" s="185" t="s">
        <v>470</v>
      </c>
      <c r="H16095" s="185"/>
    </row>
    <row r="16096">
      <c r="D16096" s="185"/>
      <c r="E16096" s="185" t="s">
        <v>470</v>
      </c>
      <c r="H16096" s="185"/>
    </row>
    <row r="16097">
      <c r="D16097" s="185"/>
      <c r="E16097" s="185" t="s">
        <v>470</v>
      </c>
      <c r="H16097" s="185"/>
    </row>
    <row r="16098">
      <c r="D16098" s="185"/>
      <c r="E16098" s="185" t="s">
        <v>470</v>
      </c>
      <c r="H16098" s="185"/>
    </row>
    <row r="16099">
      <c r="D16099" s="185"/>
      <c r="E16099" s="185" t="s">
        <v>470</v>
      </c>
      <c r="H16099" s="185"/>
    </row>
    <row r="16100">
      <c r="D16100" s="185"/>
      <c r="E16100" s="185" t="s">
        <v>470</v>
      </c>
      <c r="H16100" s="185"/>
    </row>
    <row r="16101">
      <c r="D16101" s="185"/>
      <c r="E16101" s="185" t="s">
        <v>470</v>
      </c>
      <c r="H16101" s="185"/>
    </row>
    <row r="16102">
      <c r="D16102" s="185"/>
      <c r="E16102" s="185" t="s">
        <v>470</v>
      </c>
      <c r="H16102" s="185"/>
    </row>
    <row r="16103">
      <c r="D16103" s="185"/>
      <c r="E16103" s="185" t="s">
        <v>470</v>
      </c>
      <c r="H16103" s="185"/>
    </row>
    <row r="16104">
      <c r="D16104" s="185"/>
      <c r="E16104" s="185" t="s">
        <v>470</v>
      </c>
      <c r="H16104" s="185"/>
    </row>
    <row r="16105">
      <c r="D16105" s="185"/>
      <c r="E16105" s="185" t="s">
        <v>470</v>
      </c>
      <c r="H16105" s="185"/>
    </row>
    <row r="16106">
      <c r="D16106" s="185"/>
      <c r="E16106" s="185" t="s">
        <v>470</v>
      </c>
      <c r="H16106" s="185"/>
    </row>
    <row r="16107">
      <c r="D16107" s="185"/>
      <c r="E16107" s="185" t="s">
        <v>470</v>
      </c>
      <c r="H16107" s="185"/>
    </row>
    <row r="16108">
      <c r="D16108" s="185"/>
      <c r="E16108" s="185" t="s">
        <v>470</v>
      </c>
      <c r="H16108" s="185"/>
    </row>
    <row r="16109">
      <c r="D16109" s="185"/>
      <c r="E16109" s="185" t="s">
        <v>470</v>
      </c>
      <c r="H16109" s="185"/>
    </row>
    <row r="16110">
      <c r="D16110" s="185"/>
      <c r="E16110" s="185" t="s">
        <v>470</v>
      </c>
      <c r="H16110" s="185"/>
    </row>
    <row r="16111">
      <c r="D16111" s="185"/>
      <c r="E16111" s="185" t="s">
        <v>470</v>
      </c>
      <c r="H16111" s="185"/>
    </row>
    <row r="16112">
      <c r="D16112" s="185"/>
      <c r="E16112" s="185" t="s">
        <v>470</v>
      </c>
      <c r="H16112" s="185"/>
    </row>
    <row r="16113">
      <c r="D16113" s="185"/>
      <c r="E16113" s="185" t="s">
        <v>470</v>
      </c>
      <c r="H16113" s="185"/>
    </row>
    <row r="16114">
      <c r="D16114" s="185"/>
      <c r="E16114" s="185" t="s">
        <v>470</v>
      </c>
      <c r="H16114" s="185"/>
    </row>
    <row r="16115">
      <c r="D16115" s="185"/>
      <c r="E16115" s="185" t="s">
        <v>470</v>
      </c>
      <c r="H16115" s="185"/>
    </row>
    <row r="16116">
      <c r="D16116" s="185"/>
      <c r="E16116" s="185" t="s">
        <v>470</v>
      </c>
      <c r="H16116" s="185"/>
    </row>
    <row r="16117">
      <c r="D16117" s="185"/>
      <c r="E16117" s="185" t="s">
        <v>470</v>
      </c>
      <c r="H16117" s="185"/>
    </row>
    <row r="16118">
      <c r="D16118" s="185"/>
      <c r="E16118" s="185" t="s">
        <v>470</v>
      </c>
      <c r="H16118" s="185"/>
    </row>
    <row r="16119">
      <c r="D16119" s="185"/>
      <c r="E16119" s="185" t="s">
        <v>470</v>
      </c>
      <c r="H16119" s="185"/>
    </row>
    <row r="16120">
      <c r="D16120" s="185"/>
      <c r="E16120" s="185" t="s">
        <v>470</v>
      </c>
      <c r="H16120" s="185"/>
    </row>
    <row r="16121">
      <c r="D16121" s="185"/>
      <c r="E16121" s="185" t="s">
        <v>470</v>
      </c>
      <c r="H16121" s="185"/>
    </row>
    <row r="16122">
      <c r="D16122" s="185"/>
      <c r="E16122" s="185" t="s">
        <v>470</v>
      </c>
      <c r="H16122" s="185"/>
    </row>
    <row r="16123">
      <c r="D16123" s="185"/>
      <c r="E16123" s="185" t="s">
        <v>470</v>
      </c>
      <c r="H16123" s="185"/>
    </row>
    <row r="16124">
      <c r="D16124" s="185"/>
      <c r="E16124" s="185" t="s">
        <v>470</v>
      </c>
      <c r="H16124" s="185"/>
    </row>
    <row r="16125">
      <c r="D16125" s="185"/>
      <c r="E16125" s="185" t="s">
        <v>470</v>
      </c>
      <c r="H16125" s="185"/>
    </row>
    <row r="16126">
      <c r="D16126" s="185"/>
      <c r="E16126" s="185" t="s">
        <v>470</v>
      </c>
      <c r="H16126" s="185"/>
    </row>
    <row r="16127">
      <c r="D16127" s="185"/>
      <c r="E16127" s="185" t="s">
        <v>470</v>
      </c>
      <c r="H16127" s="185"/>
    </row>
    <row r="16128">
      <c r="D16128" s="185"/>
      <c r="E16128" s="185" t="s">
        <v>470</v>
      </c>
      <c r="H16128" s="185"/>
    </row>
    <row r="16129">
      <c r="D16129" s="185"/>
      <c r="E16129" s="185" t="s">
        <v>470</v>
      </c>
      <c r="H16129" s="185"/>
    </row>
    <row r="16130">
      <c r="D16130" s="185"/>
      <c r="E16130" s="185" t="s">
        <v>470</v>
      </c>
      <c r="H16130" s="185"/>
    </row>
    <row r="16131">
      <c r="D16131" s="185"/>
      <c r="E16131" s="185" t="s">
        <v>470</v>
      </c>
      <c r="H16131" s="185"/>
    </row>
    <row r="16132">
      <c r="D16132" s="185"/>
      <c r="E16132" s="185" t="s">
        <v>470</v>
      </c>
      <c r="H16132" s="185"/>
    </row>
    <row r="16133">
      <c r="D16133" s="185"/>
      <c r="E16133" s="185" t="s">
        <v>470</v>
      </c>
      <c r="H16133" s="185"/>
    </row>
    <row r="16134">
      <c r="D16134" s="185"/>
      <c r="E16134" s="185" t="s">
        <v>470</v>
      </c>
      <c r="H16134" s="185"/>
    </row>
    <row r="16135">
      <c r="D16135" s="185"/>
      <c r="E16135" s="185" t="s">
        <v>470</v>
      </c>
      <c r="H16135" s="185"/>
    </row>
    <row r="16136">
      <c r="D16136" s="185"/>
      <c r="E16136" s="185" t="s">
        <v>470</v>
      </c>
      <c r="H16136" s="185"/>
    </row>
    <row r="16137">
      <c r="D16137" s="185"/>
      <c r="E16137" s="185" t="s">
        <v>470</v>
      </c>
      <c r="H16137" s="185"/>
    </row>
    <row r="16138">
      <c r="D16138" s="185"/>
      <c r="E16138" s="185" t="s">
        <v>470</v>
      </c>
      <c r="H16138" s="185"/>
    </row>
    <row r="16139">
      <c r="D16139" s="185"/>
      <c r="E16139" s="185" t="s">
        <v>470</v>
      </c>
      <c r="H16139" s="185"/>
    </row>
    <row r="16140">
      <c r="D16140" s="185"/>
      <c r="E16140" s="185" t="s">
        <v>470</v>
      </c>
      <c r="H16140" s="185"/>
    </row>
    <row r="16141">
      <c r="D16141" s="185"/>
      <c r="E16141" s="185" t="s">
        <v>470</v>
      </c>
      <c r="H16141" s="185"/>
    </row>
    <row r="16142">
      <c r="D16142" s="185"/>
      <c r="E16142" s="185" t="s">
        <v>470</v>
      </c>
      <c r="H16142" s="185"/>
    </row>
    <row r="16143">
      <c r="D16143" s="185"/>
      <c r="E16143" s="185" t="s">
        <v>470</v>
      </c>
      <c r="H16143" s="185"/>
    </row>
    <row r="16144">
      <c r="D16144" s="185"/>
      <c r="E16144" s="185" t="s">
        <v>470</v>
      </c>
      <c r="H16144" s="185"/>
    </row>
    <row r="16145">
      <c r="D16145" s="185"/>
      <c r="E16145" s="185" t="s">
        <v>470</v>
      </c>
      <c r="H16145" s="185"/>
    </row>
    <row r="16146">
      <c r="D16146" s="185"/>
      <c r="E16146" s="185" t="s">
        <v>470</v>
      </c>
      <c r="H16146" s="185"/>
    </row>
    <row r="16147">
      <c r="D16147" s="185"/>
      <c r="E16147" s="185" t="s">
        <v>470</v>
      </c>
      <c r="H16147" s="185"/>
    </row>
    <row r="16148">
      <c r="D16148" s="185"/>
      <c r="E16148" s="185" t="s">
        <v>470</v>
      </c>
      <c r="H16148" s="185"/>
    </row>
    <row r="16149">
      <c r="D16149" s="185"/>
      <c r="E16149" s="185" t="s">
        <v>470</v>
      </c>
      <c r="H16149" s="185"/>
    </row>
    <row r="16150">
      <c r="D16150" s="185"/>
      <c r="E16150" s="185" t="s">
        <v>470</v>
      </c>
      <c r="H16150" s="185"/>
    </row>
    <row r="16151">
      <c r="D16151" s="185"/>
      <c r="E16151" s="185" t="s">
        <v>470</v>
      </c>
      <c r="H16151" s="185"/>
    </row>
    <row r="16152">
      <c r="D16152" s="185"/>
      <c r="E16152" s="185" t="s">
        <v>470</v>
      </c>
      <c r="H16152" s="185"/>
    </row>
    <row r="16153">
      <c r="D16153" s="185"/>
      <c r="E16153" s="185" t="s">
        <v>470</v>
      </c>
      <c r="H16153" s="185"/>
    </row>
    <row r="16154">
      <c r="D16154" s="185"/>
      <c r="E16154" s="185" t="s">
        <v>470</v>
      </c>
      <c r="H16154" s="185"/>
    </row>
    <row r="16155">
      <c r="D16155" s="185"/>
      <c r="E16155" s="185" t="s">
        <v>470</v>
      </c>
      <c r="H16155" s="185"/>
    </row>
    <row r="16156">
      <c r="D16156" s="185"/>
      <c r="E16156" s="185" t="s">
        <v>470</v>
      </c>
      <c r="H16156" s="185"/>
    </row>
    <row r="16157">
      <c r="D16157" s="185"/>
      <c r="E16157" s="185" t="s">
        <v>470</v>
      </c>
      <c r="H16157" s="185"/>
    </row>
    <row r="16158">
      <c r="D16158" s="185"/>
      <c r="E16158" s="185" t="s">
        <v>470</v>
      </c>
      <c r="H16158" s="185"/>
    </row>
    <row r="16159">
      <c r="D16159" s="185"/>
      <c r="E16159" s="185" t="s">
        <v>470</v>
      </c>
      <c r="H16159" s="185"/>
    </row>
    <row r="16160">
      <c r="D16160" s="185"/>
      <c r="E16160" s="185" t="s">
        <v>470</v>
      </c>
      <c r="H16160" s="185"/>
    </row>
    <row r="16161">
      <c r="D16161" s="185"/>
      <c r="E16161" s="185" t="s">
        <v>470</v>
      </c>
      <c r="H16161" s="185"/>
    </row>
    <row r="16162">
      <c r="D16162" s="185"/>
      <c r="E16162" s="185" t="s">
        <v>470</v>
      </c>
      <c r="H16162" s="185"/>
    </row>
    <row r="16163">
      <c r="D16163" s="185"/>
      <c r="E16163" s="185" t="s">
        <v>470</v>
      </c>
      <c r="H16163" s="185"/>
    </row>
    <row r="16164">
      <c r="D16164" s="185"/>
      <c r="E16164" s="185" t="s">
        <v>470</v>
      </c>
      <c r="H16164" s="185"/>
    </row>
    <row r="16165">
      <c r="D16165" s="185"/>
      <c r="E16165" s="185" t="s">
        <v>470</v>
      </c>
      <c r="H16165" s="185"/>
    </row>
    <row r="16166">
      <c r="D16166" s="185"/>
      <c r="E16166" s="185" t="s">
        <v>470</v>
      </c>
      <c r="H16166" s="185"/>
    </row>
    <row r="16167">
      <c r="D16167" s="185"/>
      <c r="E16167" s="185" t="s">
        <v>470</v>
      </c>
      <c r="H16167" s="185"/>
    </row>
    <row r="16168">
      <c r="D16168" s="185"/>
      <c r="E16168" s="185" t="s">
        <v>470</v>
      </c>
      <c r="H16168" s="185"/>
    </row>
    <row r="16169">
      <c r="D16169" s="185"/>
      <c r="E16169" s="185" t="s">
        <v>470</v>
      </c>
      <c r="H16169" s="185"/>
    </row>
    <row r="16170">
      <c r="D16170" s="185"/>
      <c r="E16170" s="185" t="s">
        <v>470</v>
      </c>
      <c r="H16170" s="185"/>
    </row>
    <row r="16171">
      <c r="D16171" s="185"/>
      <c r="E16171" s="185" t="s">
        <v>470</v>
      </c>
      <c r="H16171" s="185"/>
    </row>
    <row r="16172">
      <c r="D16172" s="185"/>
      <c r="E16172" s="185" t="s">
        <v>470</v>
      </c>
      <c r="H16172" s="185"/>
    </row>
    <row r="16173">
      <c r="D16173" s="185"/>
      <c r="E16173" s="185" t="s">
        <v>470</v>
      </c>
      <c r="H16173" s="185"/>
    </row>
    <row r="16174">
      <c r="D16174" s="185"/>
      <c r="E16174" s="185" t="s">
        <v>470</v>
      </c>
      <c r="H16174" s="185"/>
    </row>
    <row r="16175">
      <c r="D16175" s="185"/>
      <c r="E16175" s="185" t="s">
        <v>470</v>
      </c>
      <c r="H16175" s="185"/>
    </row>
    <row r="16176">
      <c r="D16176" s="185"/>
      <c r="E16176" s="185" t="s">
        <v>470</v>
      </c>
      <c r="H16176" s="185"/>
    </row>
    <row r="16177">
      <c r="D16177" s="185"/>
      <c r="E16177" s="185" t="s">
        <v>470</v>
      </c>
      <c r="H16177" s="185"/>
    </row>
    <row r="16178">
      <c r="D16178" s="185"/>
      <c r="E16178" s="185" t="s">
        <v>470</v>
      </c>
      <c r="H16178" s="185"/>
    </row>
    <row r="16179">
      <c r="D16179" s="185"/>
      <c r="E16179" s="185" t="s">
        <v>470</v>
      </c>
      <c r="H16179" s="185"/>
    </row>
    <row r="16180">
      <c r="D16180" s="185"/>
      <c r="E16180" s="185" t="s">
        <v>470</v>
      </c>
      <c r="H16180" s="185"/>
    </row>
    <row r="16181">
      <c r="D16181" s="185"/>
      <c r="E16181" s="185" t="s">
        <v>470</v>
      </c>
      <c r="H16181" s="185"/>
    </row>
    <row r="16182">
      <c r="D16182" s="185"/>
      <c r="E16182" s="185" t="s">
        <v>470</v>
      </c>
      <c r="H16182" s="185"/>
    </row>
    <row r="16183">
      <c r="D16183" s="185"/>
      <c r="E16183" s="185" t="s">
        <v>470</v>
      </c>
      <c r="H16183" s="185"/>
    </row>
    <row r="16184">
      <c r="D16184" s="185"/>
      <c r="E16184" s="185" t="s">
        <v>470</v>
      </c>
      <c r="H16184" s="185"/>
    </row>
    <row r="16185">
      <c r="D16185" s="185"/>
      <c r="E16185" s="185" t="s">
        <v>470</v>
      </c>
      <c r="H16185" s="185"/>
    </row>
    <row r="16186">
      <c r="D16186" s="185"/>
      <c r="E16186" s="185" t="s">
        <v>470</v>
      </c>
      <c r="H16186" s="185"/>
    </row>
    <row r="16187">
      <c r="D16187" s="185"/>
      <c r="E16187" s="185" t="s">
        <v>470</v>
      </c>
      <c r="H16187" s="185"/>
    </row>
    <row r="16188">
      <c r="D16188" s="185"/>
      <c r="E16188" s="185" t="s">
        <v>470</v>
      </c>
      <c r="H16188" s="185"/>
    </row>
    <row r="16189">
      <c r="D16189" s="185"/>
      <c r="E16189" s="185" t="s">
        <v>470</v>
      </c>
      <c r="H16189" s="185"/>
    </row>
    <row r="16190">
      <c r="D16190" s="185"/>
      <c r="E16190" s="185" t="s">
        <v>470</v>
      </c>
      <c r="H16190" s="185"/>
    </row>
    <row r="16191">
      <c r="D16191" s="185"/>
      <c r="E16191" s="185" t="s">
        <v>470</v>
      </c>
      <c r="H16191" s="185"/>
    </row>
    <row r="16192">
      <c r="D16192" s="185"/>
      <c r="E16192" s="185" t="s">
        <v>470</v>
      </c>
      <c r="H16192" s="185"/>
    </row>
    <row r="16193">
      <c r="D16193" s="185"/>
      <c r="E16193" s="185" t="s">
        <v>470</v>
      </c>
      <c r="H16193" s="185"/>
    </row>
    <row r="16194">
      <c r="D16194" s="185"/>
      <c r="E16194" s="185" t="s">
        <v>470</v>
      </c>
      <c r="H16194" s="185"/>
    </row>
    <row r="16195">
      <c r="D16195" s="185"/>
      <c r="E16195" s="185" t="s">
        <v>470</v>
      </c>
      <c r="H16195" s="185"/>
    </row>
    <row r="16196">
      <c r="D16196" s="185"/>
      <c r="E16196" s="185" t="s">
        <v>470</v>
      </c>
      <c r="H16196" s="185"/>
    </row>
    <row r="16197">
      <c r="D16197" s="185"/>
      <c r="E16197" s="185" t="s">
        <v>470</v>
      </c>
      <c r="H16197" s="185"/>
    </row>
    <row r="16198">
      <c r="D16198" s="185"/>
      <c r="E16198" s="185" t="s">
        <v>470</v>
      </c>
      <c r="H16198" s="185"/>
    </row>
    <row r="16199">
      <c r="D16199" s="185"/>
      <c r="E16199" s="185" t="s">
        <v>470</v>
      </c>
      <c r="H16199" s="185"/>
    </row>
    <row r="16200">
      <c r="D16200" s="185"/>
      <c r="E16200" s="185" t="s">
        <v>470</v>
      </c>
      <c r="H16200" s="185"/>
    </row>
    <row r="16201">
      <c r="D16201" s="185"/>
      <c r="E16201" s="185" t="s">
        <v>470</v>
      </c>
      <c r="H16201" s="185"/>
    </row>
    <row r="16202">
      <c r="D16202" s="185"/>
      <c r="E16202" s="185" t="s">
        <v>470</v>
      </c>
      <c r="H16202" s="185"/>
    </row>
    <row r="16203">
      <c r="D16203" s="185"/>
      <c r="E16203" s="185" t="s">
        <v>470</v>
      </c>
      <c r="H16203" s="185"/>
    </row>
    <row r="16204">
      <c r="D16204" s="185"/>
      <c r="E16204" s="185" t="s">
        <v>470</v>
      </c>
      <c r="H16204" s="185"/>
    </row>
    <row r="16205">
      <c r="D16205" s="185"/>
      <c r="E16205" s="185" t="s">
        <v>470</v>
      </c>
      <c r="H16205" s="185"/>
    </row>
    <row r="16206">
      <c r="D16206" s="185"/>
      <c r="E16206" s="185" t="s">
        <v>470</v>
      </c>
      <c r="H16206" s="185"/>
    </row>
    <row r="16207">
      <c r="D16207" s="185"/>
      <c r="E16207" s="185" t="s">
        <v>470</v>
      </c>
      <c r="H16207" s="185"/>
    </row>
    <row r="16208">
      <c r="D16208" s="185"/>
      <c r="E16208" s="185" t="s">
        <v>470</v>
      </c>
      <c r="H16208" s="185"/>
    </row>
    <row r="16209">
      <c r="D16209" s="185"/>
      <c r="E16209" s="185" t="s">
        <v>470</v>
      </c>
      <c r="H16209" s="185"/>
    </row>
    <row r="16210">
      <c r="D16210" s="185"/>
      <c r="E16210" s="185" t="s">
        <v>470</v>
      </c>
      <c r="H16210" s="185"/>
    </row>
    <row r="16211">
      <c r="D16211" s="185"/>
      <c r="E16211" s="185" t="s">
        <v>470</v>
      </c>
      <c r="H16211" s="185"/>
    </row>
    <row r="16212">
      <c r="D16212" s="185"/>
      <c r="E16212" s="185" t="s">
        <v>470</v>
      </c>
      <c r="H16212" s="185"/>
    </row>
    <row r="16213">
      <c r="D16213" s="185"/>
      <c r="E16213" s="185" t="s">
        <v>470</v>
      </c>
      <c r="H16213" s="185"/>
    </row>
    <row r="16214">
      <c r="D16214" s="185"/>
      <c r="E16214" s="185" t="s">
        <v>470</v>
      </c>
      <c r="H16214" s="185"/>
    </row>
    <row r="16215">
      <c r="D16215" s="185"/>
      <c r="E16215" s="185" t="s">
        <v>470</v>
      </c>
      <c r="H16215" s="185"/>
    </row>
    <row r="16216">
      <c r="D16216" s="185"/>
      <c r="E16216" s="185" t="s">
        <v>470</v>
      </c>
      <c r="H16216" s="185"/>
    </row>
    <row r="16217">
      <c r="D16217" s="185"/>
      <c r="E16217" s="185" t="s">
        <v>470</v>
      </c>
      <c r="H16217" s="185"/>
    </row>
    <row r="16218">
      <c r="D16218" s="185"/>
      <c r="E16218" s="185" t="s">
        <v>470</v>
      </c>
      <c r="H16218" s="185"/>
    </row>
    <row r="16219">
      <c r="D16219" s="185"/>
      <c r="E16219" s="185" t="s">
        <v>470</v>
      </c>
      <c r="H16219" s="185"/>
    </row>
    <row r="16220">
      <c r="D16220" s="185"/>
      <c r="E16220" s="185" t="s">
        <v>470</v>
      </c>
      <c r="H16220" s="185"/>
    </row>
    <row r="16221">
      <c r="D16221" s="185"/>
      <c r="E16221" s="185" t="s">
        <v>470</v>
      </c>
      <c r="H16221" s="185"/>
    </row>
    <row r="16222">
      <c r="D16222" s="185"/>
      <c r="E16222" s="185" t="s">
        <v>470</v>
      </c>
      <c r="H16222" s="185"/>
    </row>
    <row r="16223">
      <c r="D16223" s="185"/>
      <c r="E16223" s="185" t="s">
        <v>470</v>
      </c>
      <c r="H16223" s="185"/>
    </row>
    <row r="16224">
      <c r="D16224" s="185"/>
      <c r="E16224" s="185" t="s">
        <v>470</v>
      </c>
      <c r="H16224" s="185"/>
    </row>
    <row r="16225">
      <c r="D16225" s="185"/>
      <c r="E16225" s="185" t="s">
        <v>470</v>
      </c>
      <c r="H16225" s="185"/>
    </row>
    <row r="16226">
      <c r="D16226" s="185"/>
      <c r="E16226" s="185" t="s">
        <v>470</v>
      </c>
      <c r="H16226" s="185"/>
    </row>
    <row r="16227">
      <c r="D16227" s="185"/>
      <c r="E16227" s="185" t="s">
        <v>470</v>
      </c>
      <c r="H16227" s="185"/>
    </row>
    <row r="16228">
      <c r="D16228" s="185"/>
      <c r="E16228" s="185" t="s">
        <v>470</v>
      </c>
      <c r="H16228" s="185"/>
    </row>
    <row r="16229">
      <c r="D16229" s="185"/>
      <c r="E16229" s="185" t="s">
        <v>470</v>
      </c>
      <c r="H16229" s="185"/>
    </row>
    <row r="16230">
      <c r="D16230" s="185"/>
      <c r="E16230" s="185" t="s">
        <v>470</v>
      </c>
      <c r="H16230" s="185"/>
    </row>
    <row r="16231">
      <c r="D16231" s="185"/>
      <c r="E16231" s="185" t="s">
        <v>470</v>
      </c>
      <c r="H16231" s="185"/>
    </row>
    <row r="16232">
      <c r="D16232" s="185"/>
      <c r="E16232" s="185" t="s">
        <v>470</v>
      </c>
      <c r="H16232" s="185"/>
    </row>
    <row r="16233">
      <c r="D16233" s="185"/>
      <c r="E16233" s="185" t="s">
        <v>470</v>
      </c>
      <c r="H16233" s="185"/>
    </row>
    <row r="16234">
      <c r="D16234" s="185"/>
      <c r="E16234" s="185" t="s">
        <v>470</v>
      </c>
      <c r="H16234" s="185"/>
    </row>
    <row r="16235">
      <c r="D16235" s="185"/>
      <c r="E16235" s="185" t="s">
        <v>470</v>
      </c>
      <c r="H16235" s="185"/>
    </row>
    <row r="16236">
      <c r="D16236" s="185"/>
      <c r="E16236" s="185" t="s">
        <v>470</v>
      </c>
      <c r="H16236" s="185"/>
    </row>
    <row r="16237">
      <c r="D16237" s="185"/>
      <c r="E16237" s="185" t="s">
        <v>470</v>
      </c>
      <c r="H16237" s="185"/>
    </row>
    <row r="16238">
      <c r="D16238" s="185"/>
      <c r="E16238" s="185" t="s">
        <v>470</v>
      </c>
      <c r="H16238" s="185"/>
    </row>
    <row r="16239">
      <c r="D16239" s="185"/>
      <c r="E16239" s="185" t="s">
        <v>470</v>
      </c>
      <c r="H16239" s="185"/>
    </row>
    <row r="16240">
      <c r="D16240" s="185"/>
      <c r="E16240" s="185" t="s">
        <v>470</v>
      </c>
      <c r="H16240" s="185"/>
    </row>
    <row r="16241">
      <c r="D16241" s="185"/>
      <c r="E16241" s="185" t="s">
        <v>470</v>
      </c>
      <c r="H16241" s="185"/>
    </row>
    <row r="16242">
      <c r="D16242" s="185"/>
      <c r="E16242" s="185" t="s">
        <v>470</v>
      </c>
      <c r="H16242" s="185"/>
    </row>
    <row r="16243">
      <c r="D16243" s="185"/>
      <c r="E16243" s="185" t="s">
        <v>470</v>
      </c>
      <c r="H16243" s="185"/>
    </row>
    <row r="16244">
      <c r="D16244" s="185"/>
      <c r="E16244" s="185" t="s">
        <v>470</v>
      </c>
      <c r="H16244" s="185"/>
    </row>
    <row r="16245">
      <c r="D16245" s="185"/>
      <c r="E16245" s="185" t="s">
        <v>470</v>
      </c>
      <c r="H16245" s="185"/>
    </row>
    <row r="16246">
      <c r="D16246" s="185"/>
      <c r="E16246" s="185" t="s">
        <v>470</v>
      </c>
      <c r="H16246" s="185"/>
    </row>
    <row r="16247">
      <c r="D16247" s="185"/>
      <c r="E16247" s="185" t="s">
        <v>470</v>
      </c>
      <c r="H16247" s="185"/>
    </row>
    <row r="16248">
      <c r="D16248" s="185"/>
      <c r="E16248" s="185" t="s">
        <v>470</v>
      </c>
      <c r="H16248" s="185"/>
    </row>
    <row r="16249">
      <c r="D16249" s="185"/>
      <c r="E16249" s="185" t="s">
        <v>470</v>
      </c>
      <c r="H16249" s="185"/>
    </row>
    <row r="16250">
      <c r="D16250" s="185"/>
      <c r="E16250" s="185" t="s">
        <v>470</v>
      </c>
      <c r="H16250" s="185"/>
    </row>
    <row r="16251">
      <c r="D16251" s="185"/>
      <c r="E16251" s="185" t="s">
        <v>470</v>
      </c>
      <c r="H16251" s="185"/>
    </row>
    <row r="16252">
      <c r="D16252" s="185"/>
      <c r="E16252" s="185" t="s">
        <v>470</v>
      </c>
      <c r="H16252" s="185"/>
    </row>
    <row r="16253">
      <c r="D16253" s="185"/>
      <c r="E16253" s="185" t="s">
        <v>470</v>
      </c>
      <c r="H16253" s="185"/>
    </row>
    <row r="16254">
      <c r="D16254" s="185"/>
      <c r="E16254" s="185" t="s">
        <v>470</v>
      </c>
      <c r="H16254" s="185"/>
    </row>
    <row r="16255">
      <c r="D16255" s="185"/>
      <c r="E16255" s="185" t="s">
        <v>470</v>
      </c>
      <c r="H16255" s="185"/>
    </row>
    <row r="16256">
      <c r="D16256" s="185"/>
      <c r="E16256" s="185" t="s">
        <v>470</v>
      </c>
      <c r="H16256" s="185"/>
    </row>
    <row r="16257">
      <c r="D16257" s="185"/>
      <c r="E16257" s="185" t="s">
        <v>470</v>
      </c>
      <c r="H16257" s="185"/>
    </row>
    <row r="16258">
      <c r="D16258" s="185"/>
      <c r="E16258" s="185" t="s">
        <v>470</v>
      </c>
      <c r="H16258" s="185"/>
    </row>
    <row r="16259">
      <c r="D16259" s="185"/>
      <c r="E16259" s="185" t="s">
        <v>470</v>
      </c>
      <c r="H16259" s="185"/>
    </row>
    <row r="16260">
      <c r="D16260" s="185"/>
      <c r="E16260" s="185" t="s">
        <v>470</v>
      </c>
      <c r="H16260" s="185"/>
    </row>
    <row r="16261">
      <c r="D16261" s="185"/>
      <c r="E16261" s="185" t="s">
        <v>470</v>
      </c>
      <c r="H16261" s="185"/>
    </row>
    <row r="16262">
      <c r="D16262" s="185"/>
      <c r="E16262" s="185" t="s">
        <v>470</v>
      </c>
      <c r="H16262" s="185"/>
    </row>
    <row r="16263">
      <c r="D16263" s="185"/>
      <c r="E16263" s="185" t="s">
        <v>470</v>
      </c>
      <c r="H16263" s="185"/>
    </row>
    <row r="16264">
      <c r="D16264" s="185"/>
      <c r="E16264" s="185" t="s">
        <v>470</v>
      </c>
      <c r="H16264" s="185"/>
    </row>
    <row r="16265">
      <c r="D16265" s="185"/>
      <c r="E16265" s="185" t="s">
        <v>470</v>
      </c>
      <c r="H16265" s="185"/>
    </row>
    <row r="16266">
      <c r="D16266" s="185"/>
      <c r="E16266" s="185" t="s">
        <v>470</v>
      </c>
      <c r="H16266" s="185"/>
    </row>
    <row r="16267">
      <c r="D16267" s="185"/>
      <c r="E16267" s="185" t="s">
        <v>470</v>
      </c>
      <c r="H16267" s="185"/>
    </row>
    <row r="16268">
      <c r="D16268" s="185"/>
      <c r="E16268" s="185" t="s">
        <v>470</v>
      </c>
      <c r="H16268" s="185"/>
    </row>
    <row r="16269">
      <c r="D16269" s="185"/>
      <c r="E16269" s="185" t="s">
        <v>470</v>
      </c>
      <c r="H16269" s="185"/>
    </row>
    <row r="16270">
      <c r="D16270" s="185"/>
      <c r="E16270" s="185" t="s">
        <v>470</v>
      </c>
      <c r="H16270" s="185"/>
    </row>
    <row r="16271">
      <c r="D16271" s="185"/>
      <c r="E16271" s="185" t="s">
        <v>470</v>
      </c>
      <c r="H16271" s="185"/>
    </row>
    <row r="16272">
      <c r="D16272" s="185"/>
      <c r="E16272" s="185" t="s">
        <v>470</v>
      </c>
      <c r="H16272" s="185"/>
    </row>
    <row r="16273">
      <c r="D16273" s="185"/>
      <c r="E16273" s="185" t="s">
        <v>470</v>
      </c>
      <c r="H16273" s="185"/>
    </row>
    <row r="16274">
      <c r="D16274" s="185"/>
      <c r="E16274" s="185" t="s">
        <v>470</v>
      </c>
      <c r="H16274" s="185"/>
    </row>
    <row r="16275">
      <c r="D16275" s="185"/>
      <c r="E16275" s="185" t="s">
        <v>470</v>
      </c>
      <c r="H16275" s="185"/>
    </row>
    <row r="16276">
      <c r="D16276" s="185"/>
      <c r="E16276" s="185" t="s">
        <v>470</v>
      </c>
      <c r="H16276" s="185"/>
    </row>
    <row r="16277">
      <c r="D16277" s="185"/>
      <c r="E16277" s="185" t="s">
        <v>470</v>
      </c>
      <c r="H16277" s="185"/>
    </row>
    <row r="16278">
      <c r="D16278" s="185"/>
      <c r="E16278" s="185" t="s">
        <v>470</v>
      </c>
      <c r="H16278" s="185"/>
    </row>
    <row r="16279">
      <c r="D16279" s="185"/>
      <c r="E16279" s="185" t="s">
        <v>470</v>
      </c>
      <c r="H16279" s="185"/>
    </row>
    <row r="16280">
      <c r="D16280" s="185"/>
      <c r="E16280" s="185" t="s">
        <v>470</v>
      </c>
      <c r="H16280" s="185"/>
    </row>
    <row r="16281">
      <c r="D16281" s="185"/>
      <c r="E16281" s="185" t="s">
        <v>470</v>
      </c>
      <c r="H16281" s="185"/>
    </row>
    <row r="16282">
      <c r="D16282" s="185"/>
      <c r="E16282" s="185" t="s">
        <v>470</v>
      </c>
      <c r="H16282" s="185"/>
    </row>
    <row r="16283">
      <c r="D16283" s="185"/>
      <c r="E16283" s="185" t="s">
        <v>470</v>
      </c>
      <c r="H16283" s="185"/>
    </row>
    <row r="16284">
      <c r="D16284" s="185"/>
      <c r="E16284" s="185" t="s">
        <v>470</v>
      </c>
      <c r="H16284" s="185"/>
    </row>
    <row r="16285">
      <c r="D16285" s="185"/>
      <c r="E16285" s="185" t="s">
        <v>470</v>
      </c>
      <c r="H16285" s="185"/>
    </row>
    <row r="16286">
      <c r="D16286" s="185"/>
      <c r="E16286" s="185" t="s">
        <v>470</v>
      </c>
      <c r="H16286" s="185"/>
    </row>
    <row r="16287">
      <c r="D16287" s="185"/>
      <c r="E16287" s="185" t="s">
        <v>470</v>
      </c>
      <c r="H16287" s="185"/>
    </row>
    <row r="16288">
      <c r="D16288" s="185"/>
      <c r="E16288" s="185" t="s">
        <v>470</v>
      </c>
      <c r="H16288" s="185"/>
    </row>
    <row r="16289">
      <c r="D16289" s="185"/>
      <c r="E16289" s="185" t="s">
        <v>470</v>
      </c>
      <c r="H16289" s="185"/>
    </row>
    <row r="16290">
      <c r="D16290" s="185"/>
      <c r="E16290" s="185" t="s">
        <v>470</v>
      </c>
      <c r="H16290" s="185"/>
    </row>
    <row r="16291">
      <c r="D16291" s="185"/>
      <c r="E16291" s="185" t="s">
        <v>470</v>
      </c>
      <c r="H16291" s="185"/>
    </row>
    <row r="16292">
      <c r="D16292" s="185"/>
      <c r="E16292" s="185" t="s">
        <v>470</v>
      </c>
      <c r="H16292" s="185"/>
    </row>
    <row r="16293">
      <c r="D16293" s="185"/>
      <c r="E16293" s="185" t="s">
        <v>470</v>
      </c>
      <c r="H16293" s="185"/>
    </row>
    <row r="16294">
      <c r="D16294" s="185"/>
      <c r="E16294" s="185" t="s">
        <v>470</v>
      </c>
      <c r="H16294" s="185"/>
    </row>
    <row r="16295">
      <c r="D16295" s="185"/>
      <c r="E16295" s="185" t="s">
        <v>470</v>
      </c>
      <c r="H16295" s="185"/>
    </row>
    <row r="16296">
      <c r="D16296" s="185"/>
      <c r="E16296" s="185" t="s">
        <v>470</v>
      </c>
      <c r="H16296" s="185"/>
    </row>
    <row r="16297">
      <c r="D16297" s="185"/>
      <c r="E16297" s="185" t="s">
        <v>470</v>
      </c>
      <c r="H16297" s="185"/>
    </row>
    <row r="16298">
      <c r="D16298" s="185"/>
      <c r="E16298" s="185" t="s">
        <v>470</v>
      </c>
      <c r="H16298" s="185"/>
    </row>
    <row r="16299">
      <c r="D16299" s="185"/>
      <c r="E16299" s="185" t="s">
        <v>470</v>
      </c>
      <c r="H16299" s="185"/>
    </row>
    <row r="16300">
      <c r="D16300" s="185"/>
      <c r="E16300" s="185" t="s">
        <v>470</v>
      </c>
      <c r="H16300" s="185"/>
    </row>
    <row r="16301">
      <c r="D16301" s="185"/>
      <c r="E16301" s="185" t="s">
        <v>470</v>
      </c>
      <c r="H16301" s="185"/>
    </row>
    <row r="16302">
      <c r="D16302" s="185"/>
      <c r="E16302" s="185" t="s">
        <v>470</v>
      </c>
      <c r="H16302" s="185"/>
    </row>
    <row r="16303">
      <c r="D16303" s="185"/>
      <c r="E16303" s="185" t="s">
        <v>470</v>
      </c>
      <c r="H16303" s="185"/>
    </row>
    <row r="16304">
      <c r="D16304" s="185"/>
      <c r="E16304" s="185" t="s">
        <v>470</v>
      </c>
      <c r="H16304" s="185"/>
    </row>
    <row r="16305">
      <c r="D16305" s="185"/>
      <c r="E16305" s="185" t="s">
        <v>470</v>
      </c>
      <c r="H16305" s="185"/>
    </row>
    <row r="16306">
      <c r="D16306" s="185"/>
      <c r="E16306" s="185" t="s">
        <v>470</v>
      </c>
      <c r="H16306" s="185"/>
    </row>
    <row r="16307">
      <c r="D16307" s="185"/>
      <c r="E16307" s="185" t="s">
        <v>470</v>
      </c>
      <c r="H16307" s="185"/>
    </row>
    <row r="16308">
      <c r="D16308" s="185"/>
      <c r="E16308" s="185" t="s">
        <v>470</v>
      </c>
      <c r="H16308" s="185"/>
    </row>
    <row r="16309">
      <c r="D16309" s="185"/>
      <c r="E16309" s="185" t="s">
        <v>470</v>
      </c>
      <c r="H16309" s="185"/>
    </row>
    <row r="16310">
      <c r="D16310" s="185"/>
      <c r="E16310" s="185" t="s">
        <v>470</v>
      </c>
      <c r="H16310" s="185"/>
    </row>
    <row r="16311">
      <c r="D16311" s="185"/>
      <c r="E16311" s="185" t="s">
        <v>470</v>
      </c>
      <c r="H16311" s="185"/>
    </row>
    <row r="16312">
      <c r="D16312" s="185"/>
      <c r="E16312" s="185" t="s">
        <v>470</v>
      </c>
      <c r="H16312" s="185"/>
    </row>
    <row r="16313">
      <c r="D16313" s="185"/>
      <c r="E16313" s="185" t="s">
        <v>470</v>
      </c>
      <c r="H16313" s="185"/>
    </row>
    <row r="16314">
      <c r="D16314" s="185"/>
      <c r="E16314" s="185" t="s">
        <v>470</v>
      </c>
      <c r="H16314" s="185"/>
    </row>
    <row r="16315">
      <c r="D16315" s="185"/>
      <c r="E16315" s="185" t="s">
        <v>470</v>
      </c>
      <c r="H16315" s="185"/>
    </row>
    <row r="16316">
      <c r="D16316" s="185"/>
      <c r="E16316" s="185" t="s">
        <v>470</v>
      </c>
      <c r="H16316" s="185"/>
    </row>
    <row r="16317">
      <c r="D16317" s="185"/>
      <c r="E16317" s="185" t="s">
        <v>470</v>
      </c>
      <c r="H16317" s="185"/>
    </row>
    <row r="16318">
      <c r="D16318" s="185"/>
      <c r="E16318" s="185" t="s">
        <v>470</v>
      </c>
      <c r="H16318" s="185"/>
    </row>
    <row r="16319">
      <c r="D16319" s="185"/>
      <c r="E16319" s="185" t="s">
        <v>470</v>
      </c>
      <c r="H16319" s="185"/>
    </row>
    <row r="16320">
      <c r="D16320" s="185"/>
      <c r="E16320" s="185" t="s">
        <v>470</v>
      </c>
      <c r="H16320" s="185"/>
    </row>
    <row r="16321">
      <c r="D16321" s="185"/>
      <c r="E16321" s="185" t="s">
        <v>470</v>
      </c>
      <c r="H16321" s="185"/>
    </row>
    <row r="16322">
      <c r="D16322" s="185"/>
      <c r="E16322" s="185" t="s">
        <v>470</v>
      </c>
      <c r="H16322" s="185"/>
    </row>
    <row r="16323">
      <c r="D16323" s="185"/>
      <c r="E16323" s="185" t="s">
        <v>470</v>
      </c>
      <c r="H16323" s="185"/>
    </row>
    <row r="16324">
      <c r="D16324" s="185"/>
      <c r="E16324" s="185" t="s">
        <v>470</v>
      </c>
      <c r="H16324" s="185"/>
    </row>
    <row r="16325">
      <c r="D16325" s="185"/>
      <c r="E16325" s="185" t="s">
        <v>470</v>
      </c>
      <c r="H16325" s="185"/>
    </row>
    <row r="16326">
      <c r="D16326" s="185"/>
      <c r="E16326" s="185" t="s">
        <v>470</v>
      </c>
      <c r="H16326" s="185"/>
    </row>
    <row r="16327">
      <c r="D16327" s="185"/>
      <c r="E16327" s="185" t="s">
        <v>470</v>
      </c>
      <c r="H16327" s="185"/>
    </row>
    <row r="16328">
      <c r="D16328" s="185"/>
      <c r="E16328" s="185" t="s">
        <v>470</v>
      </c>
      <c r="H16328" s="185"/>
    </row>
    <row r="16329">
      <c r="D16329" s="185"/>
      <c r="E16329" s="185" t="s">
        <v>470</v>
      </c>
      <c r="H16329" s="185"/>
    </row>
    <row r="16330">
      <c r="D16330" s="185"/>
      <c r="E16330" s="185" t="s">
        <v>470</v>
      </c>
      <c r="H16330" s="185"/>
    </row>
    <row r="16331">
      <c r="D16331" s="185"/>
      <c r="E16331" s="185" t="s">
        <v>470</v>
      </c>
      <c r="H16331" s="185"/>
    </row>
    <row r="16332">
      <c r="D16332" s="185"/>
      <c r="E16332" s="185" t="s">
        <v>470</v>
      </c>
      <c r="H16332" s="185"/>
    </row>
    <row r="16333">
      <c r="D16333" s="185"/>
      <c r="E16333" s="185" t="s">
        <v>470</v>
      </c>
      <c r="H16333" s="185"/>
    </row>
    <row r="16334">
      <c r="D16334" s="185"/>
      <c r="E16334" s="185" t="s">
        <v>470</v>
      </c>
      <c r="H16334" s="185"/>
    </row>
    <row r="16335">
      <c r="D16335" s="185"/>
      <c r="E16335" s="185" t="s">
        <v>470</v>
      </c>
      <c r="H16335" s="185"/>
    </row>
    <row r="16336">
      <c r="D16336" s="185"/>
      <c r="E16336" s="185" t="s">
        <v>470</v>
      </c>
      <c r="H16336" s="185"/>
    </row>
    <row r="16337">
      <c r="D16337" s="185"/>
      <c r="E16337" s="185" t="s">
        <v>470</v>
      </c>
      <c r="H16337" s="185"/>
    </row>
    <row r="16338">
      <c r="D16338" s="185"/>
      <c r="E16338" s="185" t="s">
        <v>470</v>
      </c>
      <c r="H16338" s="185"/>
    </row>
    <row r="16339">
      <c r="D16339" s="185"/>
      <c r="E16339" s="185" t="s">
        <v>470</v>
      </c>
      <c r="H16339" s="185"/>
    </row>
    <row r="16340">
      <c r="D16340" s="185"/>
      <c r="E16340" s="185" t="s">
        <v>470</v>
      </c>
      <c r="H16340" s="185"/>
    </row>
    <row r="16341">
      <c r="D16341" s="185"/>
      <c r="E16341" s="185" t="s">
        <v>470</v>
      </c>
      <c r="H16341" s="185"/>
    </row>
    <row r="16342">
      <c r="D16342" s="185"/>
      <c r="E16342" s="185" t="s">
        <v>470</v>
      </c>
      <c r="H16342" s="185"/>
    </row>
    <row r="16343">
      <c r="D16343" s="185"/>
      <c r="E16343" s="185" t="s">
        <v>470</v>
      </c>
      <c r="H16343" s="185"/>
    </row>
    <row r="16344">
      <c r="D16344" s="185"/>
      <c r="E16344" s="185" t="s">
        <v>470</v>
      </c>
      <c r="H16344" s="185"/>
    </row>
    <row r="16345">
      <c r="D16345" s="185"/>
      <c r="E16345" s="185" t="s">
        <v>470</v>
      </c>
      <c r="H16345" s="185"/>
    </row>
    <row r="16346">
      <c r="D16346" s="185"/>
      <c r="E16346" s="185" t="s">
        <v>470</v>
      </c>
      <c r="H16346" s="185"/>
    </row>
    <row r="16347">
      <c r="D16347" s="185"/>
      <c r="E16347" s="185" t="s">
        <v>470</v>
      </c>
      <c r="H16347" s="185"/>
    </row>
    <row r="16348">
      <c r="D16348" s="185"/>
      <c r="E16348" s="185" t="s">
        <v>470</v>
      </c>
      <c r="H16348" s="185"/>
    </row>
    <row r="16349">
      <c r="D16349" s="185"/>
      <c r="E16349" s="185" t="s">
        <v>470</v>
      </c>
      <c r="H16349" s="185"/>
    </row>
    <row r="16350">
      <c r="D16350" s="185"/>
      <c r="E16350" s="185" t="s">
        <v>470</v>
      </c>
      <c r="H16350" s="185"/>
    </row>
    <row r="16351">
      <c r="D16351" s="185"/>
      <c r="E16351" s="185" t="s">
        <v>470</v>
      </c>
      <c r="H16351" s="185"/>
    </row>
    <row r="16352">
      <c r="D16352" s="185"/>
      <c r="E16352" s="185" t="s">
        <v>470</v>
      </c>
      <c r="H16352" s="185"/>
    </row>
    <row r="16353">
      <c r="D16353" s="185"/>
      <c r="E16353" s="185" t="s">
        <v>470</v>
      </c>
      <c r="H16353" s="185"/>
    </row>
    <row r="16354">
      <c r="D16354" s="185"/>
      <c r="E16354" s="185" t="s">
        <v>470</v>
      </c>
      <c r="H16354" s="185"/>
    </row>
    <row r="16355">
      <c r="D16355" s="185"/>
      <c r="E16355" s="185" t="s">
        <v>470</v>
      </c>
      <c r="H16355" s="185"/>
    </row>
    <row r="16356">
      <c r="D16356" s="185"/>
      <c r="E16356" s="185" t="s">
        <v>470</v>
      </c>
      <c r="H16356" s="185"/>
    </row>
    <row r="16357">
      <c r="D16357" s="185"/>
      <c r="E16357" s="185" t="s">
        <v>470</v>
      </c>
      <c r="H16357" s="185"/>
    </row>
    <row r="16358">
      <c r="D16358" s="185"/>
      <c r="E16358" s="185" t="s">
        <v>470</v>
      </c>
      <c r="H16358" s="185"/>
    </row>
    <row r="16359">
      <c r="D16359" s="185"/>
      <c r="E16359" s="185" t="s">
        <v>470</v>
      </c>
      <c r="H16359" s="185"/>
    </row>
    <row r="16360">
      <c r="D16360" s="185"/>
      <c r="E16360" s="185" t="s">
        <v>470</v>
      </c>
      <c r="H16360" s="185"/>
    </row>
    <row r="16361">
      <c r="D16361" s="185"/>
      <c r="E16361" s="185" t="s">
        <v>470</v>
      </c>
      <c r="H16361" s="185"/>
    </row>
    <row r="16362">
      <c r="D16362" s="185"/>
      <c r="E16362" s="185" t="s">
        <v>470</v>
      </c>
      <c r="H16362" s="185"/>
    </row>
    <row r="16363">
      <c r="D16363" s="185"/>
      <c r="E16363" s="185" t="s">
        <v>470</v>
      </c>
      <c r="H16363" s="185"/>
    </row>
    <row r="16364">
      <c r="D16364" s="185"/>
      <c r="E16364" s="185" t="s">
        <v>470</v>
      </c>
      <c r="H16364" s="185"/>
    </row>
    <row r="16365">
      <c r="D16365" s="185"/>
      <c r="E16365" s="185" t="s">
        <v>470</v>
      </c>
      <c r="H16365" s="185"/>
    </row>
    <row r="16366">
      <c r="D16366" s="185"/>
      <c r="E16366" s="185" t="s">
        <v>470</v>
      </c>
      <c r="H16366" s="185"/>
    </row>
    <row r="16367">
      <c r="D16367" s="185"/>
      <c r="E16367" s="185" t="s">
        <v>470</v>
      </c>
      <c r="H16367" s="185"/>
    </row>
    <row r="16368">
      <c r="D16368" s="185"/>
      <c r="E16368" s="185" t="s">
        <v>470</v>
      </c>
      <c r="H16368" s="185"/>
    </row>
    <row r="16369">
      <c r="D16369" s="185"/>
      <c r="E16369" s="185" t="s">
        <v>470</v>
      </c>
      <c r="H16369" s="185"/>
    </row>
    <row r="16370">
      <c r="D16370" s="185"/>
      <c r="E16370" s="185" t="s">
        <v>470</v>
      </c>
      <c r="H16370" s="185"/>
    </row>
    <row r="16371">
      <c r="D16371" s="185"/>
      <c r="E16371" s="185" t="s">
        <v>470</v>
      </c>
      <c r="H16371" s="185"/>
    </row>
    <row r="16372">
      <c r="D16372" s="185"/>
      <c r="E16372" s="185" t="s">
        <v>470</v>
      </c>
      <c r="H16372" s="185"/>
    </row>
    <row r="16373">
      <c r="D16373" s="185"/>
      <c r="E16373" s="185" t="s">
        <v>470</v>
      </c>
      <c r="H16373" s="185"/>
    </row>
    <row r="16374">
      <c r="D16374" s="185"/>
      <c r="E16374" s="185" t="s">
        <v>470</v>
      </c>
      <c r="H16374" s="185"/>
    </row>
    <row r="16375">
      <c r="D16375" s="185"/>
      <c r="E16375" s="185" t="s">
        <v>470</v>
      </c>
      <c r="H16375" s="185"/>
    </row>
    <row r="16376">
      <c r="D16376" s="185"/>
      <c r="E16376" s="185" t="s">
        <v>470</v>
      </c>
      <c r="H16376" s="185"/>
    </row>
    <row r="16377">
      <c r="D16377" s="185"/>
      <c r="E16377" s="185" t="s">
        <v>470</v>
      </c>
      <c r="H16377" s="185"/>
    </row>
    <row r="16378">
      <c r="D16378" s="185"/>
      <c r="E16378" s="185" t="s">
        <v>470</v>
      </c>
      <c r="H16378" s="185"/>
    </row>
    <row r="16379">
      <c r="D16379" s="185"/>
      <c r="E16379" s="185" t="s">
        <v>470</v>
      </c>
      <c r="H16379" s="185"/>
    </row>
    <row r="16380">
      <c r="D16380" s="185"/>
      <c r="E16380" s="185" t="s">
        <v>470</v>
      </c>
      <c r="H16380" s="185"/>
    </row>
    <row r="16381">
      <c r="D16381" s="185"/>
      <c r="E16381" s="185" t="s">
        <v>470</v>
      </c>
      <c r="H16381" s="185"/>
    </row>
    <row r="16382">
      <c r="D16382" s="185"/>
      <c r="E16382" s="185" t="s">
        <v>470</v>
      </c>
      <c r="H16382" s="185"/>
    </row>
    <row r="16383">
      <c r="D16383" s="185"/>
      <c r="E16383" s="185" t="s">
        <v>470</v>
      </c>
      <c r="H16383" s="185"/>
    </row>
    <row r="16384">
      <c r="D16384" s="185"/>
      <c r="E16384" s="185" t="s">
        <v>470</v>
      </c>
      <c r="H16384" s="185"/>
    </row>
    <row r="16385">
      <c r="D16385" s="185"/>
      <c r="E16385" s="185" t="s">
        <v>470</v>
      </c>
      <c r="H16385" s="185"/>
    </row>
    <row r="16386">
      <c r="D16386" s="185"/>
      <c r="E16386" s="185" t="s">
        <v>470</v>
      </c>
      <c r="H16386" s="185"/>
    </row>
    <row r="16387">
      <c r="D16387" s="185"/>
      <c r="E16387" s="185" t="s">
        <v>470</v>
      </c>
      <c r="H16387" s="185"/>
    </row>
    <row r="16388">
      <c r="D16388" s="185"/>
      <c r="E16388" s="185" t="s">
        <v>470</v>
      </c>
      <c r="H16388" s="185"/>
    </row>
    <row r="16389">
      <c r="D16389" s="185"/>
      <c r="E16389" s="185" t="s">
        <v>470</v>
      </c>
      <c r="H16389" s="185"/>
    </row>
    <row r="16390">
      <c r="D16390" s="185"/>
      <c r="E16390" s="185" t="s">
        <v>470</v>
      </c>
      <c r="H16390" s="185"/>
    </row>
    <row r="16391">
      <c r="D16391" s="185"/>
      <c r="E16391" s="185" t="s">
        <v>470</v>
      </c>
      <c r="H16391" s="185"/>
    </row>
    <row r="16392">
      <c r="D16392" s="185"/>
      <c r="E16392" s="185" t="s">
        <v>470</v>
      </c>
      <c r="H16392" s="185"/>
    </row>
    <row r="16393">
      <c r="D16393" s="185"/>
      <c r="E16393" s="185" t="s">
        <v>470</v>
      </c>
      <c r="H16393" s="185"/>
    </row>
    <row r="16394">
      <c r="D16394" s="185"/>
      <c r="E16394" s="185" t="s">
        <v>470</v>
      </c>
      <c r="H16394" s="185"/>
    </row>
    <row r="16395">
      <c r="D16395" s="185"/>
      <c r="E16395" s="185" t="s">
        <v>470</v>
      </c>
      <c r="H16395" s="185"/>
    </row>
    <row r="16396">
      <c r="D16396" s="185"/>
      <c r="E16396" s="185" t="s">
        <v>470</v>
      </c>
      <c r="H16396" s="185"/>
    </row>
    <row r="16397">
      <c r="D16397" s="185"/>
      <c r="E16397" s="185" t="s">
        <v>470</v>
      </c>
      <c r="H16397" s="185"/>
    </row>
    <row r="16398">
      <c r="D16398" s="185"/>
      <c r="E16398" s="185" t="s">
        <v>470</v>
      </c>
      <c r="H16398" s="185"/>
    </row>
    <row r="16399">
      <c r="D16399" s="185"/>
      <c r="E16399" s="185" t="s">
        <v>470</v>
      </c>
      <c r="H16399" s="185"/>
    </row>
    <row r="16400">
      <c r="D16400" s="185"/>
      <c r="E16400" s="185" t="s">
        <v>470</v>
      </c>
      <c r="H16400" s="185"/>
    </row>
    <row r="16401">
      <c r="D16401" s="185"/>
      <c r="E16401" s="185" t="s">
        <v>470</v>
      </c>
      <c r="H16401" s="185"/>
    </row>
    <row r="16402">
      <c r="D16402" s="185"/>
      <c r="E16402" s="185" t="s">
        <v>470</v>
      </c>
      <c r="H16402" s="185"/>
    </row>
    <row r="16403">
      <c r="D16403" s="185"/>
      <c r="E16403" s="185" t="s">
        <v>470</v>
      </c>
      <c r="H16403" s="185"/>
    </row>
    <row r="16404">
      <c r="D16404" s="185"/>
      <c r="E16404" s="185" t="s">
        <v>470</v>
      </c>
      <c r="H16404" s="185"/>
    </row>
    <row r="16405">
      <c r="D16405" s="185"/>
      <c r="E16405" s="185" t="s">
        <v>470</v>
      </c>
      <c r="H16405" s="185"/>
    </row>
    <row r="16406">
      <c r="D16406" s="185"/>
      <c r="E16406" s="185" t="s">
        <v>470</v>
      </c>
      <c r="H16406" s="185"/>
    </row>
    <row r="16407">
      <c r="D16407" s="185"/>
      <c r="E16407" s="185" t="s">
        <v>470</v>
      </c>
      <c r="H16407" s="185"/>
    </row>
    <row r="16408">
      <c r="D16408" s="185"/>
      <c r="E16408" s="185" t="s">
        <v>470</v>
      </c>
      <c r="H16408" s="185"/>
    </row>
    <row r="16409">
      <c r="D16409" s="185"/>
      <c r="E16409" s="185" t="s">
        <v>470</v>
      </c>
      <c r="H16409" s="185"/>
    </row>
    <row r="16410">
      <c r="D16410" s="185"/>
      <c r="E16410" s="185" t="s">
        <v>470</v>
      </c>
      <c r="H16410" s="185"/>
    </row>
    <row r="16411">
      <c r="D16411" s="185"/>
      <c r="E16411" s="185" t="s">
        <v>470</v>
      </c>
      <c r="H16411" s="185"/>
    </row>
    <row r="16412">
      <c r="D16412" s="185"/>
      <c r="E16412" s="185" t="s">
        <v>470</v>
      </c>
      <c r="H16412" s="185"/>
    </row>
    <row r="16413">
      <c r="D16413" s="185"/>
      <c r="E16413" s="185" t="s">
        <v>470</v>
      </c>
      <c r="H16413" s="185"/>
    </row>
    <row r="16414">
      <c r="D16414" s="185"/>
      <c r="E16414" s="185" t="s">
        <v>470</v>
      </c>
      <c r="H16414" s="185"/>
    </row>
    <row r="16415">
      <c r="D16415" s="185"/>
      <c r="E16415" s="185" t="s">
        <v>470</v>
      </c>
      <c r="H16415" s="185"/>
    </row>
    <row r="16416">
      <c r="D16416" s="185"/>
      <c r="E16416" s="185" t="s">
        <v>470</v>
      </c>
      <c r="H16416" s="185"/>
    </row>
    <row r="16417">
      <c r="D16417" s="185"/>
      <c r="E16417" s="185" t="s">
        <v>470</v>
      </c>
      <c r="H16417" s="185"/>
    </row>
    <row r="16418">
      <c r="D16418" s="185"/>
      <c r="E16418" s="185" t="s">
        <v>470</v>
      </c>
      <c r="H16418" s="185"/>
    </row>
    <row r="16419">
      <c r="D16419" s="185"/>
      <c r="E16419" s="185" t="s">
        <v>470</v>
      </c>
      <c r="H16419" s="185"/>
    </row>
    <row r="16420">
      <c r="D16420" s="185"/>
      <c r="E16420" s="185" t="s">
        <v>470</v>
      </c>
      <c r="H16420" s="185"/>
    </row>
    <row r="16421">
      <c r="D16421" s="185"/>
      <c r="E16421" s="185" t="s">
        <v>470</v>
      </c>
      <c r="H16421" s="185"/>
    </row>
    <row r="16422">
      <c r="D16422" s="185"/>
      <c r="E16422" s="185" t="s">
        <v>470</v>
      </c>
      <c r="H16422" s="185"/>
    </row>
    <row r="16423">
      <c r="D16423" s="185"/>
      <c r="E16423" s="185" t="s">
        <v>470</v>
      </c>
      <c r="H16423" s="185"/>
    </row>
    <row r="16424">
      <c r="D16424" s="185"/>
      <c r="E16424" s="185" t="s">
        <v>470</v>
      </c>
      <c r="H16424" s="185"/>
    </row>
    <row r="16425">
      <c r="D16425" s="185"/>
      <c r="E16425" s="185" t="s">
        <v>470</v>
      </c>
      <c r="H16425" s="185"/>
    </row>
    <row r="16426">
      <c r="D16426" s="185"/>
      <c r="E16426" s="185" t="s">
        <v>470</v>
      </c>
      <c r="H16426" s="185"/>
    </row>
    <row r="16427">
      <c r="D16427" s="185"/>
      <c r="E16427" s="185" t="s">
        <v>470</v>
      </c>
      <c r="H16427" s="185"/>
    </row>
    <row r="16428">
      <c r="D16428" s="185"/>
      <c r="E16428" s="185" t="s">
        <v>470</v>
      </c>
      <c r="H16428" s="185"/>
    </row>
    <row r="16429">
      <c r="D16429" s="185"/>
      <c r="E16429" s="185" t="s">
        <v>470</v>
      </c>
      <c r="H16429" s="185"/>
    </row>
    <row r="16430">
      <c r="D16430" s="185"/>
      <c r="E16430" s="185" t="s">
        <v>470</v>
      </c>
      <c r="H16430" s="185"/>
    </row>
    <row r="16431">
      <c r="D16431" s="185"/>
      <c r="E16431" s="185" t="s">
        <v>470</v>
      </c>
      <c r="H16431" s="185"/>
    </row>
    <row r="16432">
      <c r="D16432" s="185"/>
      <c r="E16432" s="185" t="s">
        <v>470</v>
      </c>
      <c r="H16432" s="185"/>
    </row>
    <row r="16433">
      <c r="D16433" s="185"/>
      <c r="E16433" s="185" t="s">
        <v>470</v>
      </c>
      <c r="H16433" s="185"/>
    </row>
    <row r="16434">
      <c r="D16434" s="185"/>
      <c r="E16434" s="185" t="s">
        <v>470</v>
      </c>
      <c r="H16434" s="185"/>
    </row>
    <row r="16435">
      <c r="D16435" s="185"/>
      <c r="E16435" s="185" t="s">
        <v>470</v>
      </c>
      <c r="H16435" s="185"/>
    </row>
    <row r="16436">
      <c r="D16436" s="185"/>
      <c r="E16436" s="185" t="s">
        <v>470</v>
      </c>
      <c r="H16436" s="185"/>
    </row>
    <row r="16437">
      <c r="D16437" s="185"/>
      <c r="E16437" s="185" t="s">
        <v>470</v>
      </c>
      <c r="H16437" s="185"/>
    </row>
    <row r="16438">
      <c r="D16438" s="185"/>
      <c r="E16438" s="185" t="s">
        <v>470</v>
      </c>
      <c r="H16438" s="185"/>
    </row>
    <row r="16439">
      <c r="D16439" s="185"/>
      <c r="E16439" s="185" t="s">
        <v>470</v>
      </c>
      <c r="H16439" s="185"/>
    </row>
    <row r="16440">
      <c r="D16440" s="185"/>
      <c r="E16440" s="185" t="s">
        <v>470</v>
      </c>
      <c r="H16440" s="185"/>
    </row>
    <row r="16441">
      <c r="D16441" s="185"/>
      <c r="E16441" s="185" t="s">
        <v>470</v>
      </c>
      <c r="H16441" s="185"/>
    </row>
    <row r="16442">
      <c r="D16442" s="185"/>
      <c r="E16442" s="185" t="s">
        <v>470</v>
      </c>
      <c r="H16442" s="185"/>
    </row>
    <row r="16443">
      <c r="D16443" s="185"/>
      <c r="E16443" s="185" t="s">
        <v>470</v>
      </c>
      <c r="H16443" s="185"/>
    </row>
    <row r="16444">
      <c r="D16444" s="185"/>
      <c r="E16444" s="185" t="s">
        <v>470</v>
      </c>
      <c r="H16444" s="185"/>
    </row>
    <row r="16445">
      <c r="D16445" s="185"/>
      <c r="E16445" s="185" t="s">
        <v>470</v>
      </c>
      <c r="H16445" s="185"/>
    </row>
    <row r="16446">
      <c r="D16446" s="185"/>
      <c r="E16446" s="185" t="s">
        <v>470</v>
      </c>
      <c r="H16446" s="185"/>
    </row>
    <row r="16447">
      <c r="D16447" s="185"/>
      <c r="E16447" s="185" t="s">
        <v>470</v>
      </c>
      <c r="H16447" s="185"/>
    </row>
    <row r="16448">
      <c r="D16448" s="185"/>
      <c r="E16448" s="185" t="s">
        <v>470</v>
      </c>
      <c r="H16448" s="185"/>
    </row>
    <row r="16449">
      <c r="D16449" s="185"/>
      <c r="E16449" s="185" t="s">
        <v>470</v>
      </c>
      <c r="H16449" s="185"/>
    </row>
    <row r="16450">
      <c r="D16450" s="185"/>
      <c r="E16450" s="185" t="s">
        <v>470</v>
      </c>
      <c r="H16450" s="185"/>
    </row>
    <row r="16451">
      <c r="D16451" s="185"/>
      <c r="E16451" s="185" t="s">
        <v>470</v>
      </c>
      <c r="H16451" s="185"/>
    </row>
    <row r="16452">
      <c r="D16452" s="185"/>
      <c r="E16452" s="185" t="s">
        <v>470</v>
      </c>
      <c r="H16452" s="185"/>
    </row>
    <row r="16453">
      <c r="D16453" s="185"/>
      <c r="E16453" s="185" t="s">
        <v>470</v>
      </c>
      <c r="H16453" s="185"/>
    </row>
    <row r="16454">
      <c r="D16454" s="185"/>
      <c r="E16454" s="185" t="s">
        <v>470</v>
      </c>
      <c r="H16454" s="185"/>
    </row>
    <row r="16455">
      <c r="D16455" s="185"/>
      <c r="E16455" s="185" t="s">
        <v>470</v>
      </c>
      <c r="H16455" s="185"/>
    </row>
    <row r="16456">
      <c r="D16456" s="185"/>
      <c r="E16456" s="185" t="s">
        <v>470</v>
      </c>
      <c r="H16456" s="185"/>
    </row>
    <row r="16457">
      <c r="D16457" s="185"/>
      <c r="E16457" s="185" t="s">
        <v>470</v>
      </c>
      <c r="H16457" s="185"/>
    </row>
    <row r="16458">
      <c r="D16458" s="185"/>
      <c r="E16458" s="185" t="s">
        <v>470</v>
      </c>
      <c r="H16458" s="185"/>
    </row>
    <row r="16459">
      <c r="D16459" s="185"/>
      <c r="E16459" s="185" t="s">
        <v>470</v>
      </c>
      <c r="H16459" s="185"/>
    </row>
    <row r="16460">
      <c r="D16460" s="185"/>
      <c r="E16460" s="185" t="s">
        <v>470</v>
      </c>
      <c r="H16460" s="185"/>
    </row>
    <row r="16461">
      <c r="D16461" s="185"/>
      <c r="E16461" s="185" t="s">
        <v>470</v>
      </c>
      <c r="H16461" s="185"/>
    </row>
    <row r="16462">
      <c r="D16462" s="185"/>
      <c r="E16462" s="185" t="s">
        <v>470</v>
      </c>
      <c r="H16462" s="185"/>
    </row>
    <row r="16463">
      <c r="D16463" s="185"/>
      <c r="E16463" s="185" t="s">
        <v>470</v>
      </c>
      <c r="H16463" s="185"/>
    </row>
    <row r="16464">
      <c r="D16464" s="185"/>
      <c r="E16464" s="185" t="s">
        <v>470</v>
      </c>
      <c r="H16464" s="185"/>
    </row>
    <row r="16465">
      <c r="D16465" s="185"/>
      <c r="E16465" s="185" t="s">
        <v>470</v>
      </c>
      <c r="H16465" s="185"/>
    </row>
    <row r="16466">
      <c r="D16466" s="185"/>
      <c r="E16466" s="185" t="s">
        <v>470</v>
      </c>
      <c r="H16466" s="185"/>
    </row>
    <row r="16467">
      <c r="D16467" s="185"/>
      <c r="E16467" s="185" t="s">
        <v>470</v>
      </c>
      <c r="H16467" s="185"/>
    </row>
    <row r="16468">
      <c r="D16468" s="185"/>
      <c r="E16468" s="185" t="s">
        <v>470</v>
      </c>
      <c r="H16468" s="185"/>
    </row>
    <row r="16469">
      <c r="D16469" s="185"/>
      <c r="E16469" s="185" t="s">
        <v>470</v>
      </c>
      <c r="H16469" s="185"/>
    </row>
    <row r="16470">
      <c r="D16470" s="185"/>
      <c r="E16470" s="185" t="s">
        <v>470</v>
      </c>
      <c r="H16470" s="185"/>
    </row>
    <row r="16471">
      <c r="D16471" s="185"/>
      <c r="E16471" s="185" t="s">
        <v>470</v>
      </c>
      <c r="H16471" s="185"/>
    </row>
    <row r="16472">
      <c r="D16472" s="185"/>
      <c r="E16472" s="185" t="s">
        <v>470</v>
      </c>
      <c r="H16472" s="185"/>
    </row>
    <row r="16473">
      <c r="D16473" s="185"/>
      <c r="E16473" s="185" t="s">
        <v>470</v>
      </c>
      <c r="H16473" s="185"/>
    </row>
    <row r="16474">
      <c r="D16474" s="185"/>
      <c r="E16474" s="185" t="s">
        <v>470</v>
      </c>
      <c r="H16474" s="185"/>
    </row>
    <row r="16475">
      <c r="D16475" s="185"/>
      <c r="E16475" s="185" t="s">
        <v>470</v>
      </c>
      <c r="H16475" s="185"/>
    </row>
    <row r="16476">
      <c r="D16476" s="185"/>
      <c r="E16476" s="185" t="s">
        <v>470</v>
      </c>
      <c r="H16476" s="185"/>
    </row>
    <row r="16477">
      <c r="D16477" s="185"/>
      <c r="E16477" s="185" t="s">
        <v>470</v>
      </c>
      <c r="H16477" s="185"/>
    </row>
    <row r="16478">
      <c r="D16478" s="185"/>
      <c r="E16478" s="185" t="s">
        <v>470</v>
      </c>
      <c r="H16478" s="185"/>
    </row>
    <row r="16479">
      <c r="D16479" s="185"/>
      <c r="E16479" s="185" t="s">
        <v>470</v>
      </c>
      <c r="H16479" s="185"/>
    </row>
    <row r="16480">
      <c r="D16480" s="185"/>
      <c r="E16480" s="185" t="s">
        <v>470</v>
      </c>
      <c r="H16480" s="185"/>
    </row>
    <row r="16481">
      <c r="D16481" s="185"/>
      <c r="E16481" s="185" t="s">
        <v>470</v>
      </c>
      <c r="H16481" s="185"/>
    </row>
    <row r="16482">
      <c r="D16482" s="185"/>
      <c r="E16482" s="185" t="s">
        <v>470</v>
      </c>
      <c r="H16482" s="185"/>
    </row>
    <row r="16483">
      <c r="D16483" s="185"/>
      <c r="E16483" s="185" t="s">
        <v>470</v>
      </c>
      <c r="H16483" s="185"/>
    </row>
    <row r="16484">
      <c r="D16484" s="185"/>
      <c r="E16484" s="185" t="s">
        <v>470</v>
      </c>
      <c r="H16484" s="185"/>
    </row>
    <row r="16485">
      <c r="D16485" s="185"/>
      <c r="E16485" s="185" t="s">
        <v>470</v>
      </c>
      <c r="H16485" s="185"/>
    </row>
    <row r="16486">
      <c r="D16486" s="185"/>
      <c r="E16486" s="185" t="s">
        <v>470</v>
      </c>
      <c r="H16486" s="185"/>
    </row>
    <row r="16487">
      <c r="D16487" s="185"/>
      <c r="E16487" s="185" t="s">
        <v>470</v>
      </c>
      <c r="H16487" s="185"/>
    </row>
    <row r="16488">
      <c r="D16488" s="185"/>
      <c r="E16488" s="185" t="s">
        <v>470</v>
      </c>
      <c r="H16488" s="185"/>
    </row>
    <row r="16489">
      <c r="D16489" s="185"/>
      <c r="E16489" s="185" t="s">
        <v>470</v>
      </c>
      <c r="H16489" s="185"/>
    </row>
    <row r="16490">
      <c r="D16490" s="185"/>
      <c r="E16490" s="185" t="s">
        <v>470</v>
      </c>
      <c r="H16490" s="185"/>
    </row>
    <row r="16491">
      <c r="D16491" s="185"/>
      <c r="E16491" s="185" t="s">
        <v>470</v>
      </c>
      <c r="H16491" s="185"/>
    </row>
    <row r="16492">
      <c r="D16492" s="185"/>
      <c r="E16492" s="185" t="s">
        <v>470</v>
      </c>
      <c r="H16492" s="185"/>
    </row>
    <row r="16493">
      <c r="D16493" s="185"/>
      <c r="E16493" s="185" t="s">
        <v>470</v>
      </c>
      <c r="H16493" s="185"/>
    </row>
    <row r="16494">
      <c r="D16494" s="185"/>
      <c r="E16494" s="185" t="s">
        <v>470</v>
      </c>
      <c r="H16494" s="185"/>
    </row>
    <row r="16495">
      <c r="D16495" s="185"/>
      <c r="E16495" s="185" t="s">
        <v>470</v>
      </c>
      <c r="H16495" s="185"/>
    </row>
    <row r="16496">
      <c r="D16496" s="185"/>
      <c r="E16496" s="185" t="s">
        <v>470</v>
      </c>
      <c r="H16496" s="185"/>
    </row>
    <row r="16497">
      <c r="D16497" s="185"/>
      <c r="E16497" s="185" t="s">
        <v>470</v>
      </c>
      <c r="H16497" s="185"/>
    </row>
    <row r="16498">
      <c r="D16498" s="185"/>
      <c r="E16498" s="185" t="s">
        <v>470</v>
      </c>
      <c r="H16498" s="185"/>
    </row>
    <row r="16499">
      <c r="D16499" s="185"/>
      <c r="E16499" s="185" t="s">
        <v>470</v>
      </c>
      <c r="H16499" s="185"/>
    </row>
    <row r="16500">
      <c r="D16500" s="185"/>
      <c r="E16500" s="185" t="s">
        <v>470</v>
      </c>
      <c r="H16500" s="185"/>
    </row>
    <row r="16501">
      <c r="D16501" s="185"/>
      <c r="E16501" s="185" t="s">
        <v>470</v>
      </c>
      <c r="H16501" s="185"/>
    </row>
    <row r="16502">
      <c r="D16502" s="185"/>
      <c r="E16502" s="185" t="s">
        <v>470</v>
      </c>
      <c r="H16502" s="185"/>
    </row>
    <row r="16503">
      <c r="D16503" s="185"/>
      <c r="E16503" s="185" t="s">
        <v>470</v>
      </c>
      <c r="H16503" s="185"/>
    </row>
    <row r="16504">
      <c r="D16504" s="185"/>
      <c r="E16504" s="185" t="s">
        <v>470</v>
      </c>
      <c r="H16504" s="185"/>
    </row>
    <row r="16505">
      <c r="D16505" s="185"/>
      <c r="E16505" s="185" t="s">
        <v>470</v>
      </c>
      <c r="H16505" s="185"/>
    </row>
    <row r="16506">
      <c r="D16506" s="185"/>
      <c r="E16506" s="185" t="s">
        <v>470</v>
      </c>
      <c r="H16506" s="185"/>
    </row>
    <row r="16507">
      <c r="D16507" s="185"/>
      <c r="E16507" s="185" t="s">
        <v>470</v>
      </c>
      <c r="H16507" s="185"/>
    </row>
    <row r="16508">
      <c r="D16508" s="185"/>
      <c r="E16508" s="185" t="s">
        <v>470</v>
      </c>
      <c r="H16508" s="185"/>
    </row>
    <row r="16509">
      <c r="D16509" s="185"/>
      <c r="E16509" s="185" t="s">
        <v>470</v>
      </c>
      <c r="H16509" s="185"/>
    </row>
    <row r="16510">
      <c r="D16510" s="185"/>
      <c r="E16510" s="185" t="s">
        <v>470</v>
      </c>
      <c r="H16510" s="185"/>
    </row>
    <row r="16511">
      <c r="D16511" s="185"/>
      <c r="E16511" s="185" t="s">
        <v>470</v>
      </c>
      <c r="H16511" s="185"/>
    </row>
    <row r="16512">
      <c r="D16512" s="185"/>
      <c r="E16512" s="185" t="s">
        <v>470</v>
      </c>
      <c r="H16512" s="185"/>
    </row>
    <row r="16513">
      <c r="D16513" s="185"/>
      <c r="E16513" s="185" t="s">
        <v>470</v>
      </c>
      <c r="H16513" s="185"/>
    </row>
    <row r="16514">
      <c r="D16514" s="185"/>
      <c r="E16514" s="185" t="s">
        <v>470</v>
      </c>
      <c r="H16514" s="185"/>
    </row>
    <row r="16515">
      <c r="D16515" s="185"/>
      <c r="E16515" s="185" t="s">
        <v>470</v>
      </c>
      <c r="H16515" s="185"/>
    </row>
    <row r="16516">
      <c r="D16516" s="185"/>
      <c r="E16516" s="185" t="s">
        <v>470</v>
      </c>
      <c r="H16516" s="185"/>
    </row>
    <row r="16517">
      <c r="D16517" s="185"/>
      <c r="E16517" s="185" t="s">
        <v>470</v>
      </c>
      <c r="H16517" s="185"/>
    </row>
    <row r="16518">
      <c r="D16518" s="185"/>
      <c r="E16518" s="185" t="s">
        <v>470</v>
      </c>
      <c r="H16518" s="185"/>
    </row>
    <row r="16519">
      <c r="D16519" s="185"/>
      <c r="E16519" s="185" t="s">
        <v>470</v>
      </c>
      <c r="H16519" s="185"/>
    </row>
    <row r="16520">
      <c r="D16520" s="185"/>
      <c r="E16520" s="185" t="s">
        <v>470</v>
      </c>
      <c r="H16520" s="185"/>
    </row>
    <row r="16521">
      <c r="D16521" s="185"/>
      <c r="E16521" s="185" t="s">
        <v>470</v>
      </c>
      <c r="H16521" s="185"/>
    </row>
    <row r="16522">
      <c r="D16522" s="185"/>
      <c r="E16522" s="185" t="s">
        <v>470</v>
      </c>
      <c r="H16522" s="185"/>
    </row>
    <row r="16523">
      <c r="D16523" s="185"/>
      <c r="E16523" s="185" t="s">
        <v>470</v>
      </c>
      <c r="H16523" s="185"/>
    </row>
    <row r="16524">
      <c r="D16524" s="185"/>
      <c r="E16524" s="185" t="s">
        <v>470</v>
      </c>
      <c r="H16524" s="185"/>
    </row>
    <row r="16525">
      <c r="D16525" s="185"/>
      <c r="E16525" s="185" t="s">
        <v>470</v>
      </c>
      <c r="H16525" s="185"/>
    </row>
    <row r="16526">
      <c r="D16526" s="185"/>
      <c r="E16526" s="185" t="s">
        <v>470</v>
      </c>
      <c r="H16526" s="185"/>
    </row>
    <row r="16527">
      <c r="D16527" s="185"/>
      <c r="E16527" s="185" t="s">
        <v>470</v>
      </c>
      <c r="H16527" s="185"/>
    </row>
    <row r="16528">
      <c r="D16528" s="185"/>
      <c r="E16528" s="185" t="s">
        <v>470</v>
      </c>
      <c r="H16528" s="185"/>
    </row>
    <row r="16529">
      <c r="D16529" s="185"/>
      <c r="E16529" s="185" t="s">
        <v>470</v>
      </c>
      <c r="H16529" s="185"/>
    </row>
    <row r="16530">
      <c r="D16530" s="185"/>
      <c r="E16530" s="185" t="s">
        <v>470</v>
      </c>
      <c r="H16530" s="185"/>
    </row>
    <row r="16531">
      <c r="D16531" s="185"/>
      <c r="E16531" s="185" t="s">
        <v>470</v>
      </c>
      <c r="H16531" s="185"/>
    </row>
    <row r="16532">
      <c r="D16532" s="185"/>
      <c r="E16532" s="185" t="s">
        <v>470</v>
      </c>
      <c r="H16532" s="185"/>
    </row>
    <row r="16533">
      <c r="D16533" s="185"/>
      <c r="E16533" s="185" t="s">
        <v>470</v>
      </c>
      <c r="H16533" s="185"/>
    </row>
    <row r="16534">
      <c r="D16534" s="185"/>
      <c r="E16534" s="185" t="s">
        <v>470</v>
      </c>
      <c r="H16534" s="185"/>
    </row>
    <row r="16535">
      <c r="D16535" s="185"/>
      <c r="E16535" s="185" t="s">
        <v>470</v>
      </c>
      <c r="H16535" s="185"/>
    </row>
    <row r="16536">
      <c r="D16536" s="185"/>
      <c r="E16536" s="185" t="s">
        <v>470</v>
      </c>
      <c r="H16536" s="185"/>
    </row>
    <row r="16537">
      <c r="D16537" s="185"/>
      <c r="E16537" s="185" t="s">
        <v>470</v>
      </c>
      <c r="H16537" s="185"/>
    </row>
    <row r="16538">
      <c r="D16538" s="185"/>
      <c r="E16538" s="185" t="s">
        <v>470</v>
      </c>
      <c r="H16538" s="185"/>
    </row>
    <row r="16539">
      <c r="D16539" s="185"/>
      <c r="E16539" s="185" t="s">
        <v>470</v>
      </c>
      <c r="H16539" s="185"/>
    </row>
    <row r="16540">
      <c r="D16540" s="185"/>
      <c r="E16540" s="185" t="s">
        <v>470</v>
      </c>
      <c r="H16540" s="185"/>
    </row>
    <row r="16541">
      <c r="D16541" s="185"/>
      <c r="E16541" s="185" t="s">
        <v>470</v>
      </c>
      <c r="H16541" s="185"/>
    </row>
    <row r="16542">
      <c r="D16542" s="185"/>
      <c r="E16542" s="185" t="s">
        <v>470</v>
      </c>
      <c r="H16542" s="185"/>
    </row>
    <row r="16543">
      <c r="D16543" s="185"/>
      <c r="E16543" s="185" t="s">
        <v>470</v>
      </c>
      <c r="H16543" s="185"/>
    </row>
    <row r="16544">
      <c r="D16544" s="185"/>
      <c r="E16544" s="185" t="s">
        <v>470</v>
      </c>
      <c r="H16544" s="185"/>
    </row>
    <row r="16545">
      <c r="D16545" s="185"/>
      <c r="E16545" s="185" t="s">
        <v>470</v>
      </c>
      <c r="H16545" s="185"/>
    </row>
    <row r="16546">
      <c r="D16546" s="185"/>
      <c r="E16546" s="185" t="s">
        <v>470</v>
      </c>
      <c r="H16546" s="185"/>
    </row>
    <row r="16547">
      <c r="D16547" s="185"/>
      <c r="E16547" s="185" t="s">
        <v>470</v>
      </c>
      <c r="H16547" s="185"/>
    </row>
    <row r="16548">
      <c r="D16548" s="185"/>
      <c r="E16548" s="185" t="s">
        <v>470</v>
      </c>
      <c r="H16548" s="185"/>
    </row>
    <row r="16549">
      <c r="D16549" s="185"/>
      <c r="E16549" s="185" t="s">
        <v>470</v>
      </c>
      <c r="H16549" s="185"/>
    </row>
    <row r="16550">
      <c r="D16550" s="185"/>
      <c r="E16550" s="185" t="s">
        <v>470</v>
      </c>
      <c r="H16550" s="185"/>
    </row>
    <row r="16551">
      <c r="D16551" s="185"/>
      <c r="E16551" s="185" t="s">
        <v>470</v>
      </c>
      <c r="H16551" s="185"/>
    </row>
    <row r="16552">
      <c r="D16552" s="185"/>
      <c r="E16552" s="185" t="s">
        <v>470</v>
      </c>
      <c r="H16552" s="185"/>
    </row>
    <row r="16553">
      <c r="D16553" s="185"/>
      <c r="E16553" s="185" t="s">
        <v>470</v>
      </c>
      <c r="H16553" s="185"/>
    </row>
    <row r="16554">
      <c r="D16554" s="185"/>
      <c r="E16554" s="185" t="s">
        <v>470</v>
      </c>
      <c r="H16554" s="185"/>
    </row>
    <row r="16555">
      <c r="D16555" s="185"/>
      <c r="E16555" s="185" t="s">
        <v>470</v>
      </c>
      <c r="H16555" s="185"/>
    </row>
    <row r="16556">
      <c r="D16556" s="185"/>
      <c r="E16556" s="185" t="s">
        <v>470</v>
      </c>
      <c r="H16556" s="185"/>
    </row>
    <row r="16557">
      <c r="D16557" s="185"/>
      <c r="E16557" s="185" t="s">
        <v>470</v>
      </c>
      <c r="H16557" s="185"/>
    </row>
    <row r="16558">
      <c r="D16558" s="185"/>
      <c r="E16558" s="185" t="s">
        <v>470</v>
      </c>
      <c r="H16558" s="185"/>
    </row>
    <row r="16559">
      <c r="D16559" s="185"/>
      <c r="E16559" s="185" t="s">
        <v>470</v>
      </c>
      <c r="H16559" s="185"/>
    </row>
    <row r="16560">
      <c r="D16560" s="185"/>
      <c r="E16560" s="185" t="s">
        <v>470</v>
      </c>
      <c r="H16560" s="185"/>
    </row>
    <row r="16561">
      <c r="D16561" s="185"/>
      <c r="E16561" s="185" t="s">
        <v>470</v>
      </c>
      <c r="H16561" s="185"/>
    </row>
    <row r="16562">
      <c r="D16562" s="185"/>
      <c r="E16562" s="185" t="s">
        <v>470</v>
      </c>
      <c r="H16562" s="185"/>
    </row>
    <row r="16563">
      <c r="D16563" s="185"/>
      <c r="E16563" s="185" t="s">
        <v>470</v>
      </c>
      <c r="H16563" s="185"/>
    </row>
    <row r="16564">
      <c r="D16564" s="185"/>
      <c r="E16564" s="185" t="s">
        <v>470</v>
      </c>
      <c r="H16564" s="185"/>
    </row>
    <row r="16565">
      <c r="D16565" s="185"/>
      <c r="E16565" s="185" t="s">
        <v>470</v>
      </c>
      <c r="H16565" s="185"/>
    </row>
    <row r="16566">
      <c r="D16566" s="185"/>
      <c r="E16566" s="185" t="s">
        <v>470</v>
      </c>
      <c r="H16566" s="185"/>
    </row>
    <row r="16567">
      <c r="D16567" s="185"/>
      <c r="E16567" s="185" t="s">
        <v>470</v>
      </c>
      <c r="H16567" s="185"/>
    </row>
    <row r="16568">
      <c r="D16568" s="185"/>
      <c r="E16568" s="185" t="s">
        <v>470</v>
      </c>
      <c r="H16568" s="185"/>
    </row>
    <row r="16569">
      <c r="D16569" s="185"/>
      <c r="E16569" s="185" t="s">
        <v>470</v>
      </c>
      <c r="H16569" s="185"/>
    </row>
    <row r="16570">
      <c r="D16570" s="185"/>
      <c r="E16570" s="185" t="s">
        <v>470</v>
      </c>
      <c r="H16570" s="185"/>
    </row>
    <row r="16571">
      <c r="D16571" s="185"/>
      <c r="E16571" s="185" t="s">
        <v>470</v>
      </c>
      <c r="H16571" s="185"/>
    </row>
    <row r="16572">
      <c r="D16572" s="185"/>
      <c r="E16572" s="185" t="s">
        <v>470</v>
      </c>
      <c r="H16572" s="185"/>
    </row>
    <row r="16573">
      <c r="D16573" s="185"/>
      <c r="E16573" s="185" t="s">
        <v>470</v>
      </c>
      <c r="H16573" s="185"/>
    </row>
    <row r="16574">
      <c r="D16574" s="185"/>
      <c r="E16574" s="185" t="s">
        <v>470</v>
      </c>
      <c r="H16574" s="185"/>
    </row>
    <row r="16575">
      <c r="D16575" s="185"/>
      <c r="E16575" s="185" t="s">
        <v>470</v>
      </c>
      <c r="H16575" s="185"/>
    </row>
    <row r="16576">
      <c r="D16576" s="185"/>
      <c r="E16576" s="185" t="s">
        <v>470</v>
      </c>
      <c r="H16576" s="185"/>
    </row>
    <row r="16577">
      <c r="D16577" s="185"/>
      <c r="E16577" s="185" t="s">
        <v>470</v>
      </c>
      <c r="H16577" s="185"/>
    </row>
    <row r="16578">
      <c r="D16578" s="185"/>
      <c r="E16578" s="185" t="s">
        <v>470</v>
      </c>
      <c r="H16578" s="185"/>
    </row>
    <row r="16579">
      <c r="D16579" s="185"/>
      <c r="E16579" s="185" t="s">
        <v>470</v>
      </c>
      <c r="H16579" s="185"/>
    </row>
    <row r="16580">
      <c r="D16580" s="185"/>
      <c r="E16580" s="185" t="s">
        <v>470</v>
      </c>
      <c r="H16580" s="185"/>
    </row>
    <row r="16581">
      <c r="D16581" s="185"/>
      <c r="E16581" s="185" t="s">
        <v>470</v>
      </c>
      <c r="H16581" s="185"/>
    </row>
    <row r="16582">
      <c r="D16582" s="185"/>
      <c r="E16582" s="185" t="s">
        <v>470</v>
      </c>
      <c r="H16582" s="185"/>
    </row>
    <row r="16583">
      <c r="D16583" s="185"/>
      <c r="E16583" s="185" t="s">
        <v>470</v>
      </c>
      <c r="H16583" s="185"/>
    </row>
    <row r="16584">
      <c r="D16584" s="185"/>
      <c r="E16584" s="185" t="s">
        <v>470</v>
      </c>
      <c r="H16584" s="185"/>
    </row>
    <row r="16585">
      <c r="D16585" s="185"/>
      <c r="E16585" s="185" t="s">
        <v>470</v>
      </c>
      <c r="H16585" s="185"/>
    </row>
    <row r="16586">
      <c r="D16586" s="185"/>
      <c r="E16586" s="185" t="s">
        <v>470</v>
      </c>
      <c r="H16586" s="185"/>
    </row>
    <row r="16587">
      <c r="D16587" s="185"/>
      <c r="E16587" s="185" t="s">
        <v>470</v>
      </c>
      <c r="H16587" s="185"/>
    </row>
    <row r="16588">
      <c r="D16588" s="185"/>
      <c r="E16588" s="185" t="s">
        <v>470</v>
      </c>
      <c r="H16588" s="185"/>
    </row>
    <row r="16589">
      <c r="D16589" s="185"/>
      <c r="E16589" s="185" t="s">
        <v>470</v>
      </c>
      <c r="H16589" s="185"/>
    </row>
    <row r="16590">
      <c r="D16590" s="185"/>
      <c r="E16590" s="185" t="s">
        <v>470</v>
      </c>
      <c r="H16590" s="185"/>
    </row>
    <row r="16591">
      <c r="D16591" s="185"/>
      <c r="E16591" s="185" t="s">
        <v>470</v>
      </c>
      <c r="H16591" s="185"/>
    </row>
    <row r="16592">
      <c r="D16592" s="185"/>
      <c r="E16592" s="185" t="s">
        <v>470</v>
      </c>
      <c r="H16592" s="185"/>
    </row>
    <row r="16593">
      <c r="D16593" s="185"/>
      <c r="E16593" s="185" t="s">
        <v>470</v>
      </c>
      <c r="H16593" s="185"/>
    </row>
    <row r="16594">
      <c r="D16594" s="185"/>
      <c r="E16594" s="185" t="s">
        <v>470</v>
      </c>
      <c r="H16594" s="185"/>
    </row>
    <row r="16595">
      <c r="D16595" s="185"/>
      <c r="E16595" s="185" t="s">
        <v>470</v>
      </c>
      <c r="H16595" s="185"/>
    </row>
    <row r="16596">
      <c r="D16596" s="185"/>
      <c r="E16596" s="185" t="s">
        <v>470</v>
      </c>
      <c r="H16596" s="185"/>
    </row>
    <row r="16597">
      <c r="D16597" s="185"/>
      <c r="E16597" s="185" t="s">
        <v>470</v>
      </c>
      <c r="H16597" s="185"/>
    </row>
    <row r="16598">
      <c r="D16598" s="185"/>
      <c r="E16598" s="185" t="s">
        <v>470</v>
      </c>
      <c r="H16598" s="185"/>
    </row>
    <row r="16599">
      <c r="D16599" s="185"/>
      <c r="E16599" s="185" t="s">
        <v>470</v>
      </c>
      <c r="H16599" s="185"/>
    </row>
    <row r="16600">
      <c r="D16600" s="185"/>
      <c r="E16600" s="185" t="s">
        <v>470</v>
      </c>
      <c r="H16600" s="185"/>
    </row>
    <row r="16601">
      <c r="D16601" s="185"/>
      <c r="E16601" s="185" t="s">
        <v>470</v>
      </c>
      <c r="H16601" s="185"/>
    </row>
    <row r="16602">
      <c r="D16602" s="185"/>
      <c r="E16602" s="185" t="s">
        <v>470</v>
      </c>
      <c r="H16602" s="185"/>
    </row>
    <row r="16603">
      <c r="D16603" s="185"/>
      <c r="E16603" s="185" t="s">
        <v>470</v>
      </c>
      <c r="H16603" s="185"/>
    </row>
    <row r="16604">
      <c r="D16604" s="185"/>
      <c r="E16604" s="185" t="s">
        <v>470</v>
      </c>
      <c r="H16604" s="185"/>
    </row>
    <row r="16605">
      <c r="D16605" s="185"/>
      <c r="E16605" s="185" t="s">
        <v>470</v>
      </c>
      <c r="H16605" s="185"/>
    </row>
    <row r="16606">
      <c r="D16606" s="185"/>
      <c r="E16606" s="185" t="s">
        <v>470</v>
      </c>
      <c r="H16606" s="185"/>
    </row>
    <row r="16607">
      <c r="D16607" s="185"/>
      <c r="E16607" s="185" t="s">
        <v>470</v>
      </c>
      <c r="H16607" s="185"/>
    </row>
    <row r="16608">
      <c r="D16608" s="185"/>
      <c r="E16608" s="185" t="s">
        <v>470</v>
      </c>
      <c r="H16608" s="185"/>
    </row>
    <row r="16609">
      <c r="D16609" s="185"/>
      <c r="E16609" s="185" t="s">
        <v>470</v>
      </c>
      <c r="H16609" s="185"/>
    </row>
    <row r="16610">
      <c r="D16610" s="185"/>
      <c r="E16610" s="185" t="s">
        <v>470</v>
      </c>
      <c r="H16610" s="185"/>
    </row>
    <row r="16611">
      <c r="D16611" s="185"/>
      <c r="E16611" s="185" t="s">
        <v>470</v>
      </c>
      <c r="H16611" s="185"/>
    </row>
    <row r="16612">
      <c r="D16612" s="185"/>
      <c r="E16612" s="185" t="s">
        <v>470</v>
      </c>
      <c r="H16612" s="185"/>
    </row>
    <row r="16613">
      <c r="D16613" s="185"/>
      <c r="E16613" s="185" t="s">
        <v>470</v>
      </c>
      <c r="H16613" s="185"/>
    </row>
    <row r="16614">
      <c r="D16614" s="185"/>
      <c r="E16614" s="185" t="s">
        <v>470</v>
      </c>
      <c r="H16614" s="185"/>
    </row>
    <row r="16615">
      <c r="D16615" s="185"/>
      <c r="E16615" s="185" t="s">
        <v>470</v>
      </c>
      <c r="H16615" s="185"/>
    </row>
    <row r="16616">
      <c r="D16616" s="185"/>
      <c r="E16616" s="185" t="s">
        <v>470</v>
      </c>
      <c r="H16616" s="185"/>
    </row>
    <row r="16617">
      <c r="D16617" s="185"/>
      <c r="E16617" s="185" t="s">
        <v>470</v>
      </c>
      <c r="H16617" s="185"/>
    </row>
    <row r="16618">
      <c r="D16618" s="185"/>
      <c r="E16618" s="185" t="s">
        <v>470</v>
      </c>
      <c r="H16618" s="185"/>
    </row>
    <row r="16619">
      <c r="D16619" s="185"/>
      <c r="E16619" s="185" t="s">
        <v>470</v>
      </c>
      <c r="H16619" s="185"/>
    </row>
    <row r="16620">
      <c r="D16620" s="185"/>
      <c r="E16620" s="185" t="s">
        <v>470</v>
      </c>
      <c r="H16620" s="185"/>
    </row>
    <row r="16621">
      <c r="D16621" s="185"/>
      <c r="E16621" s="185" t="s">
        <v>470</v>
      </c>
      <c r="H16621" s="185"/>
    </row>
    <row r="16622">
      <c r="D16622" s="185"/>
      <c r="E16622" s="185" t="s">
        <v>470</v>
      </c>
      <c r="H16622" s="185"/>
    </row>
    <row r="16623">
      <c r="D16623" s="185"/>
      <c r="E16623" s="185" t="s">
        <v>470</v>
      </c>
      <c r="H16623" s="185"/>
    </row>
    <row r="16624">
      <c r="D16624" s="185"/>
      <c r="E16624" s="185" t="s">
        <v>470</v>
      </c>
      <c r="H16624" s="185"/>
    </row>
    <row r="16625">
      <c r="D16625" s="185"/>
      <c r="E16625" s="185" t="s">
        <v>470</v>
      </c>
      <c r="H16625" s="185"/>
    </row>
    <row r="16626">
      <c r="D16626" s="185"/>
      <c r="E16626" s="185" t="s">
        <v>470</v>
      </c>
      <c r="H16626" s="185"/>
    </row>
    <row r="16627">
      <c r="D16627" s="185"/>
      <c r="E16627" s="185" t="s">
        <v>470</v>
      </c>
      <c r="H16627" s="185"/>
    </row>
    <row r="16628">
      <c r="D16628" s="185"/>
      <c r="E16628" s="185" t="s">
        <v>470</v>
      </c>
      <c r="H16628" s="185"/>
    </row>
    <row r="16629">
      <c r="D16629" s="185"/>
      <c r="E16629" s="185" t="s">
        <v>470</v>
      </c>
      <c r="H16629" s="185"/>
    </row>
    <row r="16630">
      <c r="D16630" s="185"/>
      <c r="E16630" s="185" t="s">
        <v>470</v>
      </c>
      <c r="H16630" s="185"/>
    </row>
    <row r="16631">
      <c r="D16631" s="185"/>
      <c r="E16631" s="185" t="s">
        <v>470</v>
      </c>
      <c r="H16631" s="185"/>
    </row>
    <row r="16632">
      <c r="D16632" s="185"/>
      <c r="E16632" s="185" t="s">
        <v>470</v>
      </c>
      <c r="H16632" s="185"/>
    </row>
    <row r="16633">
      <c r="D16633" s="185"/>
      <c r="E16633" s="185" t="s">
        <v>470</v>
      </c>
      <c r="H16633" s="185"/>
    </row>
    <row r="16634">
      <c r="D16634" s="185"/>
      <c r="E16634" s="185" t="s">
        <v>470</v>
      </c>
      <c r="H16634" s="185"/>
    </row>
    <row r="16635">
      <c r="D16635" s="185"/>
      <c r="E16635" s="185" t="s">
        <v>470</v>
      </c>
      <c r="H16635" s="185"/>
    </row>
    <row r="16636">
      <c r="D16636" s="185"/>
      <c r="E16636" s="185" t="s">
        <v>470</v>
      </c>
      <c r="H16636" s="185"/>
    </row>
    <row r="16637">
      <c r="D16637" s="185"/>
      <c r="E16637" s="185" t="s">
        <v>470</v>
      </c>
      <c r="H16637" s="185"/>
    </row>
    <row r="16638">
      <c r="D16638" s="185"/>
      <c r="E16638" s="185" t="s">
        <v>470</v>
      </c>
      <c r="H16638" s="185"/>
    </row>
    <row r="16639">
      <c r="D16639" s="185"/>
      <c r="E16639" s="185" t="s">
        <v>470</v>
      </c>
      <c r="H16639" s="185"/>
    </row>
    <row r="16640">
      <c r="D16640" s="185"/>
      <c r="E16640" s="185" t="s">
        <v>470</v>
      </c>
      <c r="H16640" s="185"/>
    </row>
    <row r="16641">
      <c r="D16641" s="185"/>
      <c r="E16641" s="185" t="s">
        <v>470</v>
      </c>
      <c r="H16641" s="185"/>
    </row>
    <row r="16642">
      <c r="D16642" s="185"/>
      <c r="E16642" s="185" t="s">
        <v>470</v>
      </c>
      <c r="H16642" s="185"/>
    </row>
    <row r="16643">
      <c r="D16643" s="185"/>
      <c r="E16643" s="185" t="s">
        <v>470</v>
      </c>
      <c r="H16643" s="185"/>
    </row>
    <row r="16644">
      <c r="D16644" s="185"/>
      <c r="E16644" s="185" t="s">
        <v>470</v>
      </c>
      <c r="H16644" s="185"/>
    </row>
    <row r="16645">
      <c r="D16645" s="185"/>
      <c r="E16645" s="185" t="s">
        <v>470</v>
      </c>
      <c r="H16645" s="185"/>
    </row>
    <row r="16646">
      <c r="D16646" s="185"/>
      <c r="E16646" s="185" t="s">
        <v>470</v>
      </c>
      <c r="H16646" s="185"/>
    </row>
    <row r="16647">
      <c r="D16647" s="185"/>
      <c r="E16647" s="185" t="s">
        <v>470</v>
      </c>
      <c r="H16647" s="185"/>
    </row>
    <row r="16648">
      <c r="D16648" s="185"/>
      <c r="E16648" s="185" t="s">
        <v>470</v>
      </c>
      <c r="H16648" s="185"/>
    </row>
    <row r="16649">
      <c r="D16649" s="185"/>
      <c r="E16649" s="185" t="s">
        <v>470</v>
      </c>
      <c r="H16649" s="185"/>
    </row>
    <row r="16650">
      <c r="D16650" s="185"/>
      <c r="E16650" s="185" t="s">
        <v>470</v>
      </c>
      <c r="H16650" s="185"/>
    </row>
    <row r="16651">
      <c r="D16651" s="185"/>
      <c r="E16651" s="185" t="s">
        <v>470</v>
      </c>
      <c r="H16651" s="185"/>
    </row>
    <row r="16652">
      <c r="D16652" s="185"/>
      <c r="E16652" s="185" t="s">
        <v>470</v>
      </c>
      <c r="H16652" s="185"/>
    </row>
    <row r="16653">
      <c r="D16653" s="185"/>
      <c r="E16653" s="185" t="s">
        <v>470</v>
      </c>
      <c r="H16653" s="185"/>
    </row>
    <row r="16654">
      <c r="D16654" s="185"/>
      <c r="E16654" s="185" t="s">
        <v>470</v>
      </c>
      <c r="H16654" s="185"/>
    </row>
    <row r="16655">
      <c r="D16655" s="185"/>
      <c r="E16655" s="185" t="s">
        <v>470</v>
      </c>
      <c r="H16655" s="185"/>
    </row>
    <row r="16656">
      <c r="D16656" s="185"/>
      <c r="E16656" s="185" t="s">
        <v>470</v>
      </c>
      <c r="H16656" s="185"/>
    </row>
    <row r="16657">
      <c r="D16657" s="185"/>
      <c r="E16657" s="185" t="s">
        <v>470</v>
      </c>
      <c r="H16657" s="185"/>
    </row>
    <row r="16658">
      <c r="D16658" s="185"/>
      <c r="E16658" s="185" t="s">
        <v>470</v>
      </c>
      <c r="H16658" s="185"/>
    </row>
    <row r="16659">
      <c r="D16659" s="185"/>
      <c r="E16659" s="185" t="s">
        <v>470</v>
      </c>
      <c r="H16659" s="185"/>
    </row>
    <row r="16660">
      <c r="D16660" s="185"/>
      <c r="E16660" s="185" t="s">
        <v>470</v>
      </c>
      <c r="H16660" s="185"/>
    </row>
    <row r="16661">
      <c r="D16661" s="185"/>
      <c r="E16661" s="185" t="s">
        <v>470</v>
      </c>
      <c r="H16661" s="185"/>
    </row>
    <row r="16662">
      <c r="D16662" s="185"/>
      <c r="E16662" s="185" t="s">
        <v>470</v>
      </c>
      <c r="H16662" s="185"/>
    </row>
    <row r="16663">
      <c r="D16663" s="185"/>
      <c r="E16663" s="185" t="s">
        <v>470</v>
      </c>
      <c r="H16663" s="185"/>
    </row>
    <row r="16664">
      <c r="D16664" s="185"/>
      <c r="E16664" s="185" t="s">
        <v>470</v>
      </c>
      <c r="H16664" s="185"/>
    </row>
    <row r="16665">
      <c r="D16665" s="185"/>
      <c r="E16665" s="185" t="s">
        <v>470</v>
      </c>
      <c r="H16665" s="185"/>
    </row>
    <row r="16666">
      <c r="D16666" s="185"/>
      <c r="E16666" s="185" t="s">
        <v>470</v>
      </c>
      <c r="H16666" s="185"/>
    </row>
    <row r="16667">
      <c r="D16667" s="185"/>
      <c r="E16667" s="185" t="s">
        <v>470</v>
      </c>
      <c r="H16667" s="185"/>
    </row>
    <row r="16668">
      <c r="D16668" s="185"/>
      <c r="E16668" s="185" t="s">
        <v>470</v>
      </c>
      <c r="H16668" s="185"/>
    </row>
    <row r="16669">
      <c r="D16669" s="185"/>
      <c r="E16669" s="185" t="s">
        <v>470</v>
      </c>
      <c r="H16669" s="185"/>
    </row>
    <row r="16670">
      <c r="D16670" s="185"/>
      <c r="E16670" s="185" t="s">
        <v>470</v>
      </c>
      <c r="H16670" s="185"/>
    </row>
    <row r="16671">
      <c r="D16671" s="185"/>
      <c r="E16671" s="185" t="s">
        <v>470</v>
      </c>
      <c r="H16671" s="185"/>
    </row>
    <row r="16672">
      <c r="D16672" s="185"/>
      <c r="E16672" s="185" t="s">
        <v>470</v>
      </c>
      <c r="H16672" s="185"/>
    </row>
    <row r="16673">
      <c r="D16673" s="185"/>
      <c r="E16673" s="185" t="s">
        <v>470</v>
      </c>
      <c r="H16673" s="185"/>
    </row>
    <row r="16674">
      <c r="D16674" s="185"/>
      <c r="E16674" s="185" t="s">
        <v>470</v>
      </c>
      <c r="H16674" s="185"/>
    </row>
    <row r="16675">
      <c r="D16675" s="185"/>
      <c r="E16675" s="185" t="s">
        <v>470</v>
      </c>
      <c r="H16675" s="185"/>
    </row>
    <row r="16676">
      <c r="D16676" s="185"/>
      <c r="E16676" s="185" t="s">
        <v>470</v>
      </c>
      <c r="H16676" s="185"/>
    </row>
    <row r="16677">
      <c r="D16677" s="185"/>
      <c r="E16677" s="185" t="s">
        <v>470</v>
      </c>
      <c r="H16677" s="185"/>
    </row>
    <row r="16678">
      <c r="D16678" s="185"/>
      <c r="E16678" s="185" t="s">
        <v>470</v>
      </c>
      <c r="H16678" s="185"/>
    </row>
    <row r="16679">
      <c r="D16679" s="185"/>
      <c r="E16679" s="185" t="s">
        <v>470</v>
      </c>
      <c r="H16679" s="185"/>
    </row>
    <row r="16680">
      <c r="D16680" s="185"/>
      <c r="E16680" s="185" t="s">
        <v>470</v>
      </c>
      <c r="H16680" s="185"/>
    </row>
    <row r="16681">
      <c r="D16681" s="185"/>
      <c r="E16681" s="185" t="s">
        <v>470</v>
      </c>
      <c r="H16681" s="185"/>
    </row>
    <row r="16682">
      <c r="D16682" s="185"/>
      <c r="E16682" s="185" t="s">
        <v>470</v>
      </c>
      <c r="H16682" s="185"/>
    </row>
    <row r="16683">
      <c r="D16683" s="185"/>
      <c r="E16683" s="185" t="s">
        <v>470</v>
      </c>
      <c r="H16683" s="185"/>
    </row>
    <row r="16684">
      <c r="D16684" s="185"/>
      <c r="E16684" s="185" t="s">
        <v>470</v>
      </c>
      <c r="H16684" s="185"/>
    </row>
    <row r="16685">
      <c r="D16685" s="185"/>
      <c r="E16685" s="185" t="s">
        <v>470</v>
      </c>
      <c r="H16685" s="185"/>
    </row>
    <row r="16686">
      <c r="D16686" s="185"/>
      <c r="E16686" s="185" t="s">
        <v>470</v>
      </c>
      <c r="H16686" s="185"/>
    </row>
    <row r="16687">
      <c r="D16687" s="185"/>
      <c r="E16687" s="185" t="s">
        <v>470</v>
      </c>
      <c r="H16687" s="185"/>
    </row>
    <row r="16688">
      <c r="D16688" s="185"/>
      <c r="E16688" s="185" t="s">
        <v>470</v>
      </c>
      <c r="H16688" s="185"/>
    </row>
    <row r="16689">
      <c r="D16689" s="185"/>
      <c r="E16689" s="185" t="s">
        <v>470</v>
      </c>
      <c r="H16689" s="185"/>
    </row>
    <row r="16690">
      <c r="D16690" s="185"/>
      <c r="E16690" s="185" t="s">
        <v>470</v>
      </c>
      <c r="H16690" s="185"/>
    </row>
    <row r="16691">
      <c r="D16691" s="185"/>
      <c r="E16691" s="185" t="s">
        <v>470</v>
      </c>
      <c r="H16691" s="185"/>
    </row>
    <row r="16692">
      <c r="D16692" s="185"/>
      <c r="E16692" s="185" t="s">
        <v>470</v>
      </c>
      <c r="H16692" s="185"/>
    </row>
    <row r="16693">
      <c r="D16693" s="185"/>
      <c r="E16693" s="185" t="s">
        <v>470</v>
      </c>
      <c r="H16693" s="185"/>
    </row>
    <row r="16694">
      <c r="D16694" s="185"/>
      <c r="E16694" s="185" t="s">
        <v>470</v>
      </c>
      <c r="H16694" s="185"/>
    </row>
    <row r="16695">
      <c r="D16695" s="185"/>
      <c r="E16695" s="185" t="s">
        <v>470</v>
      </c>
      <c r="H16695" s="185"/>
    </row>
    <row r="16696">
      <c r="D16696" s="185"/>
      <c r="E16696" s="185" t="s">
        <v>470</v>
      </c>
      <c r="H16696" s="185"/>
    </row>
    <row r="16697">
      <c r="D16697" s="185"/>
      <c r="E16697" s="185" t="s">
        <v>470</v>
      </c>
      <c r="H16697" s="185"/>
    </row>
    <row r="16698">
      <c r="D16698" s="185"/>
      <c r="E16698" s="185" t="s">
        <v>470</v>
      </c>
      <c r="H16698" s="185"/>
    </row>
    <row r="16699">
      <c r="D16699" s="185"/>
      <c r="E16699" s="185" t="s">
        <v>470</v>
      </c>
      <c r="H16699" s="185"/>
    </row>
    <row r="16700">
      <c r="D16700" s="185"/>
      <c r="E16700" s="185" t="s">
        <v>470</v>
      </c>
      <c r="H16700" s="185"/>
    </row>
    <row r="16701">
      <c r="D16701" s="185"/>
      <c r="E16701" s="185" t="s">
        <v>470</v>
      </c>
      <c r="H16701" s="185"/>
    </row>
    <row r="16702">
      <c r="D16702" s="185"/>
      <c r="E16702" s="185" t="s">
        <v>470</v>
      </c>
      <c r="H16702" s="185"/>
    </row>
    <row r="16703">
      <c r="D16703" s="185"/>
      <c r="E16703" s="185" t="s">
        <v>470</v>
      </c>
      <c r="H16703" s="185"/>
    </row>
    <row r="16704">
      <c r="D16704" s="185"/>
      <c r="E16704" s="185" t="s">
        <v>470</v>
      </c>
      <c r="H16704" s="185"/>
    </row>
    <row r="16705">
      <c r="D16705" s="185"/>
      <c r="E16705" s="185" t="s">
        <v>470</v>
      </c>
      <c r="H16705" s="185"/>
    </row>
    <row r="16706">
      <c r="D16706" s="185"/>
      <c r="E16706" s="185" t="s">
        <v>470</v>
      </c>
      <c r="H16706" s="185"/>
    </row>
    <row r="16707">
      <c r="D16707" s="185"/>
      <c r="E16707" s="185" t="s">
        <v>470</v>
      </c>
      <c r="H16707" s="185"/>
    </row>
    <row r="16708">
      <c r="D16708" s="185"/>
      <c r="E16708" s="185" t="s">
        <v>470</v>
      </c>
      <c r="H16708" s="185"/>
    </row>
    <row r="16709">
      <c r="D16709" s="185"/>
      <c r="E16709" s="185" t="s">
        <v>470</v>
      </c>
      <c r="H16709" s="185"/>
    </row>
    <row r="16710">
      <c r="D16710" s="185"/>
      <c r="E16710" s="185" t="s">
        <v>470</v>
      </c>
      <c r="H16710" s="185"/>
    </row>
    <row r="16711">
      <c r="D16711" s="185"/>
      <c r="E16711" s="185" t="s">
        <v>470</v>
      </c>
      <c r="H16711" s="185"/>
    </row>
    <row r="16712">
      <c r="D16712" s="185"/>
      <c r="E16712" s="185" t="s">
        <v>470</v>
      </c>
      <c r="H16712" s="185"/>
    </row>
    <row r="16713">
      <c r="D16713" s="185"/>
      <c r="E16713" s="185" t="s">
        <v>470</v>
      </c>
      <c r="H16713" s="185"/>
    </row>
    <row r="16714">
      <c r="D16714" s="185"/>
      <c r="E16714" s="185" t="s">
        <v>470</v>
      </c>
      <c r="H16714" s="185"/>
    </row>
    <row r="16715">
      <c r="D16715" s="185"/>
      <c r="E16715" s="185" t="s">
        <v>470</v>
      </c>
      <c r="H16715" s="185"/>
    </row>
    <row r="16716">
      <c r="D16716" s="185"/>
      <c r="E16716" s="185" t="s">
        <v>470</v>
      </c>
      <c r="H16716" s="185"/>
    </row>
    <row r="16717">
      <c r="D16717" s="185"/>
      <c r="E16717" s="185" t="s">
        <v>470</v>
      </c>
      <c r="H16717" s="185"/>
    </row>
    <row r="16718">
      <c r="D16718" s="185"/>
      <c r="E16718" s="185" t="s">
        <v>470</v>
      </c>
      <c r="H16718" s="185"/>
    </row>
    <row r="16719">
      <c r="D16719" s="185"/>
      <c r="E16719" s="185" t="s">
        <v>470</v>
      </c>
      <c r="H16719" s="185"/>
    </row>
    <row r="16720">
      <c r="D16720" s="185"/>
      <c r="E16720" s="185" t="s">
        <v>470</v>
      </c>
      <c r="H16720" s="185"/>
    </row>
    <row r="16721">
      <c r="D16721" s="185"/>
      <c r="E16721" s="185" t="s">
        <v>470</v>
      </c>
      <c r="H16721" s="185"/>
    </row>
    <row r="16722">
      <c r="D16722" s="185"/>
      <c r="E16722" s="185" t="s">
        <v>470</v>
      </c>
      <c r="H16722" s="185"/>
    </row>
    <row r="16723">
      <c r="D16723" s="185"/>
      <c r="E16723" s="185" t="s">
        <v>470</v>
      </c>
      <c r="H16723" s="185"/>
    </row>
    <row r="16724">
      <c r="D16724" s="185"/>
      <c r="E16724" s="185" t="s">
        <v>470</v>
      </c>
      <c r="H16724" s="185"/>
    </row>
    <row r="16725">
      <c r="D16725" s="185"/>
      <c r="E16725" s="185" t="s">
        <v>470</v>
      </c>
      <c r="H16725" s="185"/>
    </row>
    <row r="16726">
      <c r="D16726" s="185"/>
      <c r="E16726" s="185" t="s">
        <v>470</v>
      </c>
      <c r="H16726" s="185"/>
    </row>
    <row r="16727">
      <c r="D16727" s="185"/>
      <c r="E16727" s="185" t="s">
        <v>470</v>
      </c>
      <c r="H16727" s="185"/>
    </row>
    <row r="16728">
      <c r="D16728" s="185"/>
      <c r="E16728" s="185" t="s">
        <v>470</v>
      </c>
      <c r="H16728" s="185"/>
    </row>
    <row r="16729">
      <c r="D16729" s="185"/>
      <c r="E16729" s="185" t="s">
        <v>470</v>
      </c>
      <c r="H16729" s="185"/>
    </row>
    <row r="16730">
      <c r="D16730" s="185"/>
      <c r="E16730" s="185" t="s">
        <v>470</v>
      </c>
      <c r="H16730" s="185"/>
    </row>
    <row r="16731">
      <c r="D16731" s="185"/>
      <c r="E16731" s="185" t="s">
        <v>470</v>
      </c>
      <c r="H16731" s="185"/>
    </row>
    <row r="16732">
      <c r="D16732" s="185"/>
      <c r="E16732" s="185" t="s">
        <v>470</v>
      </c>
      <c r="H16732" s="185"/>
    </row>
    <row r="16733">
      <c r="D16733" s="185"/>
      <c r="E16733" s="185" t="s">
        <v>470</v>
      </c>
      <c r="H16733" s="185"/>
    </row>
    <row r="16734">
      <c r="D16734" s="185"/>
      <c r="E16734" s="185" t="s">
        <v>470</v>
      </c>
      <c r="H16734" s="185"/>
    </row>
    <row r="16735">
      <c r="D16735" s="185"/>
      <c r="E16735" s="185" t="s">
        <v>470</v>
      </c>
      <c r="H16735" s="185"/>
    </row>
    <row r="16736">
      <c r="D16736" s="185"/>
      <c r="E16736" s="185" t="s">
        <v>470</v>
      </c>
      <c r="H16736" s="185"/>
    </row>
    <row r="16737">
      <c r="D16737" s="185"/>
      <c r="E16737" s="185" t="s">
        <v>470</v>
      </c>
      <c r="H16737" s="185"/>
    </row>
    <row r="16738">
      <c r="D16738" s="185"/>
      <c r="E16738" s="185" t="s">
        <v>470</v>
      </c>
      <c r="H16738" s="185"/>
    </row>
    <row r="16739">
      <c r="D16739" s="185"/>
      <c r="E16739" s="185" t="s">
        <v>470</v>
      </c>
      <c r="H16739" s="185"/>
    </row>
    <row r="16740">
      <c r="D16740" s="185"/>
      <c r="E16740" s="185" t="s">
        <v>470</v>
      </c>
      <c r="H16740" s="185"/>
    </row>
    <row r="16741">
      <c r="D16741" s="185"/>
      <c r="E16741" s="185" t="s">
        <v>470</v>
      </c>
      <c r="H16741" s="185"/>
    </row>
    <row r="16742">
      <c r="D16742" s="185"/>
      <c r="E16742" s="185" t="s">
        <v>470</v>
      </c>
      <c r="H16742" s="185"/>
    </row>
    <row r="16743">
      <c r="D16743" s="185"/>
      <c r="E16743" s="185" t="s">
        <v>470</v>
      </c>
      <c r="H16743" s="185"/>
    </row>
    <row r="16744">
      <c r="D16744" s="185"/>
      <c r="E16744" s="185" t="s">
        <v>470</v>
      </c>
      <c r="H16744" s="185"/>
    </row>
    <row r="16745">
      <c r="D16745" s="185"/>
      <c r="E16745" s="185" t="s">
        <v>470</v>
      </c>
      <c r="H16745" s="185"/>
    </row>
    <row r="16746">
      <c r="D16746" s="185"/>
      <c r="E16746" s="185" t="s">
        <v>470</v>
      </c>
      <c r="H16746" s="185"/>
    </row>
    <row r="16747">
      <c r="D16747" s="185"/>
      <c r="E16747" s="185" t="s">
        <v>470</v>
      </c>
      <c r="H16747" s="185"/>
    </row>
    <row r="16748">
      <c r="D16748" s="185"/>
      <c r="E16748" s="185" t="s">
        <v>470</v>
      </c>
      <c r="H16748" s="185"/>
    </row>
    <row r="16749">
      <c r="D16749" s="185"/>
      <c r="E16749" s="185" t="s">
        <v>470</v>
      </c>
      <c r="H16749" s="185"/>
    </row>
    <row r="16750">
      <c r="D16750" s="185"/>
      <c r="E16750" s="185" t="s">
        <v>470</v>
      </c>
      <c r="H16750" s="185"/>
    </row>
    <row r="16751">
      <c r="D16751" s="185"/>
      <c r="E16751" s="185" t="s">
        <v>470</v>
      </c>
      <c r="H16751" s="185"/>
    </row>
    <row r="16752">
      <c r="D16752" s="185"/>
      <c r="E16752" s="185" t="s">
        <v>470</v>
      </c>
      <c r="H16752" s="185"/>
    </row>
    <row r="16753">
      <c r="D16753" s="185"/>
      <c r="E16753" s="185" t="s">
        <v>470</v>
      </c>
      <c r="H16753" s="185"/>
    </row>
    <row r="16754">
      <c r="D16754" s="185"/>
      <c r="E16754" s="185" t="s">
        <v>470</v>
      </c>
      <c r="H16754" s="185"/>
    </row>
    <row r="16755">
      <c r="D16755" s="185"/>
      <c r="E16755" s="185" t="s">
        <v>470</v>
      </c>
      <c r="H16755" s="185"/>
    </row>
    <row r="16756">
      <c r="D16756" s="185"/>
      <c r="E16756" s="185" t="s">
        <v>470</v>
      </c>
      <c r="H16756" s="185"/>
    </row>
    <row r="16757">
      <c r="D16757" s="185"/>
      <c r="E16757" s="185" t="s">
        <v>470</v>
      </c>
      <c r="H16757" s="185"/>
    </row>
    <row r="16758">
      <c r="D16758" s="185"/>
      <c r="E16758" s="185" t="s">
        <v>470</v>
      </c>
      <c r="H16758" s="185"/>
    </row>
    <row r="16759">
      <c r="D16759" s="185"/>
      <c r="E16759" s="185" t="s">
        <v>470</v>
      </c>
      <c r="H16759" s="185"/>
    </row>
    <row r="16760">
      <c r="D16760" s="185"/>
      <c r="E16760" s="185" t="s">
        <v>470</v>
      </c>
      <c r="H16760" s="185"/>
    </row>
    <row r="16761">
      <c r="D16761" s="185"/>
      <c r="E16761" s="185" t="s">
        <v>470</v>
      </c>
      <c r="H16761" s="185"/>
    </row>
    <row r="16762">
      <c r="D16762" s="185"/>
      <c r="E16762" s="185" t="s">
        <v>470</v>
      </c>
      <c r="H16762" s="185"/>
    </row>
    <row r="16763">
      <c r="D16763" s="185"/>
      <c r="E16763" s="185" t="s">
        <v>470</v>
      </c>
      <c r="H16763" s="185"/>
    </row>
    <row r="16764">
      <c r="D16764" s="185"/>
      <c r="E16764" s="185" t="s">
        <v>470</v>
      </c>
      <c r="H16764" s="185"/>
    </row>
    <row r="16765">
      <c r="D16765" s="185"/>
      <c r="E16765" s="185" t="s">
        <v>470</v>
      </c>
      <c r="H16765" s="185"/>
    </row>
    <row r="16766">
      <c r="D16766" s="185"/>
      <c r="E16766" s="185" t="s">
        <v>470</v>
      </c>
      <c r="H16766" s="185"/>
    </row>
    <row r="16767">
      <c r="D16767" s="185"/>
      <c r="E16767" s="185" t="s">
        <v>470</v>
      </c>
      <c r="H16767" s="185"/>
    </row>
    <row r="16768">
      <c r="D16768" s="185"/>
      <c r="E16768" s="185" t="s">
        <v>470</v>
      </c>
      <c r="H16768" s="185"/>
    </row>
    <row r="16769">
      <c r="D16769" s="185"/>
      <c r="E16769" s="185" t="s">
        <v>470</v>
      </c>
      <c r="H16769" s="185"/>
    </row>
    <row r="16770">
      <c r="D16770" s="185"/>
      <c r="E16770" s="185" t="s">
        <v>470</v>
      </c>
      <c r="H16770" s="185"/>
    </row>
    <row r="16771">
      <c r="D16771" s="185"/>
      <c r="E16771" s="185" t="s">
        <v>470</v>
      </c>
      <c r="H16771" s="185"/>
    </row>
    <row r="16772">
      <c r="D16772" s="185"/>
      <c r="E16772" s="185" t="s">
        <v>470</v>
      </c>
      <c r="H16772" s="185"/>
    </row>
    <row r="16773">
      <c r="D16773" s="185"/>
      <c r="E16773" s="185" t="s">
        <v>470</v>
      </c>
      <c r="H16773" s="185"/>
    </row>
    <row r="16774">
      <c r="D16774" s="185"/>
      <c r="E16774" s="185" t="s">
        <v>470</v>
      </c>
      <c r="H16774" s="185"/>
    </row>
    <row r="16775">
      <c r="D16775" s="185"/>
      <c r="E16775" s="185" t="s">
        <v>470</v>
      </c>
      <c r="H16775" s="185"/>
    </row>
    <row r="16776">
      <c r="D16776" s="185"/>
      <c r="E16776" s="185" t="s">
        <v>470</v>
      </c>
      <c r="H16776" s="185"/>
    </row>
    <row r="16777">
      <c r="D16777" s="185"/>
      <c r="E16777" s="185" t="s">
        <v>470</v>
      </c>
      <c r="H16777" s="185"/>
    </row>
    <row r="16778">
      <c r="D16778" s="185"/>
      <c r="E16778" s="185" t="s">
        <v>470</v>
      </c>
      <c r="H16778" s="185"/>
    </row>
    <row r="16779">
      <c r="D16779" s="185"/>
      <c r="E16779" s="185" t="s">
        <v>470</v>
      </c>
      <c r="H16779" s="185"/>
    </row>
    <row r="16780">
      <c r="D16780" s="185"/>
      <c r="E16780" s="185" t="s">
        <v>470</v>
      </c>
      <c r="H16780" s="185"/>
    </row>
    <row r="16781">
      <c r="D16781" s="185"/>
      <c r="E16781" s="185" t="s">
        <v>470</v>
      </c>
      <c r="H16781" s="185"/>
    </row>
    <row r="16782">
      <c r="D16782" s="185"/>
      <c r="E16782" s="185" t="s">
        <v>470</v>
      </c>
      <c r="H16782" s="185"/>
    </row>
    <row r="16783">
      <c r="D16783" s="185"/>
      <c r="E16783" s="185" t="s">
        <v>470</v>
      </c>
      <c r="H16783" s="185"/>
    </row>
    <row r="16784">
      <c r="D16784" s="185"/>
      <c r="E16784" s="185" t="s">
        <v>470</v>
      </c>
      <c r="H16784" s="185"/>
    </row>
    <row r="16785">
      <c r="D16785" s="185"/>
      <c r="E16785" s="185" t="s">
        <v>470</v>
      </c>
      <c r="H16785" s="185"/>
    </row>
    <row r="16786">
      <c r="D16786" s="185"/>
      <c r="E16786" s="185" t="s">
        <v>470</v>
      </c>
      <c r="H16786" s="185"/>
    </row>
    <row r="16787">
      <c r="D16787" s="185"/>
      <c r="E16787" s="185" t="s">
        <v>470</v>
      </c>
      <c r="H16787" s="185"/>
    </row>
    <row r="16788">
      <c r="D16788" s="185"/>
      <c r="E16788" s="185" t="s">
        <v>470</v>
      </c>
      <c r="H16788" s="185"/>
    </row>
    <row r="16789">
      <c r="D16789" s="185"/>
      <c r="E16789" s="185" t="s">
        <v>470</v>
      </c>
      <c r="H16789" s="185"/>
    </row>
    <row r="16790">
      <c r="D16790" s="185"/>
      <c r="E16790" s="185" t="s">
        <v>470</v>
      </c>
      <c r="H16790" s="185"/>
    </row>
    <row r="16791">
      <c r="D16791" s="185"/>
      <c r="E16791" s="185" t="s">
        <v>470</v>
      </c>
      <c r="H16791" s="185"/>
    </row>
    <row r="16792">
      <c r="D16792" s="185"/>
      <c r="E16792" s="185" t="s">
        <v>470</v>
      </c>
      <c r="H16792" s="185"/>
    </row>
    <row r="16793">
      <c r="D16793" s="185"/>
      <c r="E16793" s="185" t="s">
        <v>470</v>
      </c>
      <c r="H16793" s="185"/>
    </row>
    <row r="16794">
      <c r="D16794" s="185"/>
      <c r="E16794" s="185" t="s">
        <v>470</v>
      </c>
      <c r="H16794" s="185"/>
    </row>
    <row r="16795">
      <c r="D16795" s="185"/>
      <c r="E16795" s="185" t="s">
        <v>470</v>
      </c>
      <c r="H16795" s="185"/>
    </row>
    <row r="16796">
      <c r="D16796" s="185"/>
      <c r="E16796" s="185" t="s">
        <v>470</v>
      </c>
      <c r="H16796" s="185"/>
    </row>
    <row r="16797">
      <c r="D16797" s="185"/>
      <c r="E16797" s="185" t="s">
        <v>470</v>
      </c>
      <c r="H16797" s="185"/>
    </row>
    <row r="16798">
      <c r="D16798" s="185"/>
      <c r="E16798" s="185" t="s">
        <v>470</v>
      </c>
      <c r="H16798" s="185"/>
    </row>
    <row r="16799">
      <c r="D16799" s="185"/>
      <c r="E16799" s="185" t="s">
        <v>470</v>
      </c>
      <c r="H16799" s="185"/>
    </row>
    <row r="16800">
      <c r="D16800" s="185"/>
      <c r="E16800" s="185" t="s">
        <v>470</v>
      </c>
      <c r="H16800" s="185"/>
    </row>
    <row r="16801">
      <c r="D16801" s="185"/>
      <c r="E16801" s="185" t="s">
        <v>470</v>
      </c>
      <c r="H16801" s="185"/>
    </row>
    <row r="16802">
      <c r="D16802" s="185"/>
      <c r="E16802" s="185" t="s">
        <v>470</v>
      </c>
      <c r="H16802" s="185"/>
    </row>
    <row r="16803">
      <c r="D16803" s="185"/>
      <c r="E16803" s="185" t="s">
        <v>470</v>
      </c>
      <c r="H16803" s="185"/>
    </row>
    <row r="16804">
      <c r="D16804" s="185"/>
      <c r="E16804" s="185" t="s">
        <v>470</v>
      </c>
      <c r="H16804" s="185"/>
    </row>
    <row r="16805">
      <c r="D16805" s="185"/>
      <c r="E16805" s="185" t="s">
        <v>470</v>
      </c>
      <c r="H16805" s="185"/>
    </row>
    <row r="16806">
      <c r="D16806" s="185"/>
      <c r="E16806" s="185" t="s">
        <v>470</v>
      </c>
      <c r="H16806" s="185"/>
    </row>
    <row r="16807">
      <c r="D16807" s="185"/>
      <c r="E16807" s="185" t="s">
        <v>470</v>
      </c>
      <c r="H16807" s="185"/>
    </row>
    <row r="16808">
      <c r="D16808" s="185"/>
      <c r="E16808" s="185" t="s">
        <v>470</v>
      </c>
      <c r="H16808" s="185"/>
    </row>
    <row r="16809">
      <c r="D16809" s="185"/>
      <c r="E16809" s="185" t="s">
        <v>470</v>
      </c>
      <c r="H16809" s="185"/>
    </row>
    <row r="16810">
      <c r="D16810" s="185"/>
      <c r="E16810" s="185" t="s">
        <v>470</v>
      </c>
      <c r="H16810" s="185"/>
    </row>
    <row r="16811">
      <c r="D16811" s="185"/>
      <c r="E16811" s="185" t="s">
        <v>470</v>
      </c>
      <c r="H16811" s="185"/>
    </row>
    <row r="16812">
      <c r="D16812" s="185"/>
      <c r="E16812" s="185" t="s">
        <v>470</v>
      </c>
      <c r="H16812" s="185"/>
    </row>
    <row r="16813">
      <c r="D16813" s="185"/>
      <c r="E16813" s="185" t="s">
        <v>470</v>
      </c>
      <c r="H16813" s="185"/>
    </row>
    <row r="16814">
      <c r="D16814" s="185"/>
      <c r="E16814" s="185" t="s">
        <v>470</v>
      </c>
      <c r="H16814" s="185"/>
    </row>
    <row r="16815">
      <c r="D16815" s="185"/>
      <c r="E16815" s="185" t="s">
        <v>470</v>
      </c>
      <c r="H16815" s="185"/>
    </row>
    <row r="16816">
      <c r="D16816" s="185"/>
      <c r="E16816" s="185" t="s">
        <v>470</v>
      </c>
      <c r="H16816" s="185"/>
    </row>
    <row r="16817">
      <c r="D16817" s="185"/>
      <c r="E16817" s="185" t="s">
        <v>470</v>
      </c>
      <c r="H16817" s="185"/>
    </row>
    <row r="16818">
      <c r="D16818" s="185"/>
      <c r="E16818" s="185" t="s">
        <v>470</v>
      </c>
      <c r="H16818" s="185"/>
    </row>
    <row r="16819">
      <c r="D16819" s="185"/>
      <c r="E16819" s="185" t="s">
        <v>470</v>
      </c>
      <c r="H16819" s="185"/>
    </row>
    <row r="16820">
      <c r="D16820" s="185"/>
      <c r="E16820" s="185" t="s">
        <v>470</v>
      </c>
      <c r="H16820" s="185"/>
    </row>
    <row r="16821">
      <c r="D16821" s="185"/>
      <c r="E16821" s="185" t="s">
        <v>470</v>
      </c>
      <c r="H16821" s="185"/>
    </row>
    <row r="16822">
      <c r="D16822" s="185"/>
      <c r="E16822" s="185" t="s">
        <v>470</v>
      </c>
      <c r="H16822" s="185"/>
    </row>
    <row r="16823">
      <c r="D16823" s="185"/>
      <c r="E16823" s="185" t="s">
        <v>470</v>
      </c>
      <c r="H16823" s="185"/>
    </row>
    <row r="16824">
      <c r="D16824" s="185"/>
      <c r="E16824" s="185" t="s">
        <v>470</v>
      </c>
      <c r="H16824" s="185"/>
    </row>
    <row r="16825">
      <c r="D16825" s="185"/>
      <c r="E16825" s="185" t="s">
        <v>470</v>
      </c>
      <c r="H16825" s="185"/>
    </row>
    <row r="16826">
      <c r="D16826" s="185"/>
      <c r="E16826" s="185" t="s">
        <v>470</v>
      </c>
      <c r="H16826" s="185"/>
    </row>
    <row r="16827">
      <c r="D16827" s="185"/>
      <c r="E16827" s="185" t="s">
        <v>470</v>
      </c>
      <c r="H16827" s="185"/>
    </row>
    <row r="16828">
      <c r="D16828" s="185"/>
      <c r="E16828" s="185" t="s">
        <v>470</v>
      </c>
      <c r="H16828" s="185"/>
    </row>
    <row r="16829">
      <c r="D16829" s="185"/>
      <c r="E16829" s="185" t="s">
        <v>470</v>
      </c>
      <c r="H16829" s="185"/>
    </row>
    <row r="16830">
      <c r="D16830" s="185"/>
      <c r="E16830" s="185" t="s">
        <v>470</v>
      </c>
      <c r="H16830" s="185"/>
    </row>
    <row r="16831">
      <c r="D16831" s="185"/>
      <c r="E16831" s="185" t="s">
        <v>470</v>
      </c>
      <c r="H16831" s="185"/>
    </row>
    <row r="16832">
      <c r="D16832" s="185"/>
      <c r="E16832" s="185" t="s">
        <v>470</v>
      </c>
      <c r="H16832" s="185"/>
    </row>
    <row r="16833">
      <c r="D16833" s="185"/>
      <c r="E16833" s="185" t="s">
        <v>470</v>
      </c>
      <c r="H16833" s="185"/>
    </row>
    <row r="16834">
      <c r="D16834" s="185"/>
      <c r="E16834" s="185" t="s">
        <v>470</v>
      </c>
      <c r="H16834" s="185"/>
    </row>
    <row r="16835">
      <c r="D16835" s="185"/>
      <c r="E16835" s="185" t="s">
        <v>470</v>
      </c>
      <c r="H16835" s="185"/>
    </row>
    <row r="16836">
      <c r="D16836" s="185"/>
      <c r="E16836" s="185" t="s">
        <v>470</v>
      </c>
      <c r="H16836" s="185"/>
    </row>
    <row r="16837">
      <c r="D16837" s="185"/>
      <c r="E16837" s="185" t="s">
        <v>470</v>
      </c>
      <c r="H16837" s="185"/>
    </row>
    <row r="16838">
      <c r="D16838" s="185"/>
      <c r="E16838" s="185" t="s">
        <v>470</v>
      </c>
      <c r="H16838" s="185"/>
    </row>
    <row r="16839">
      <c r="D16839" s="185"/>
      <c r="E16839" s="185" t="s">
        <v>470</v>
      </c>
      <c r="H16839" s="185"/>
    </row>
    <row r="16840">
      <c r="D16840" s="185"/>
      <c r="E16840" s="185" t="s">
        <v>470</v>
      </c>
      <c r="H16840" s="185"/>
    </row>
    <row r="16841">
      <c r="D16841" s="185"/>
      <c r="E16841" s="185" t="s">
        <v>470</v>
      </c>
      <c r="H16841" s="185"/>
    </row>
    <row r="16842">
      <c r="D16842" s="185"/>
      <c r="E16842" s="185" t="s">
        <v>470</v>
      </c>
      <c r="H16842" s="185"/>
    </row>
    <row r="16843">
      <c r="D16843" s="185"/>
      <c r="E16843" s="185" t="s">
        <v>470</v>
      </c>
      <c r="H16843" s="185"/>
    </row>
    <row r="16844">
      <c r="D16844" s="185"/>
      <c r="E16844" s="185" t="s">
        <v>470</v>
      </c>
      <c r="H16844" s="185"/>
    </row>
    <row r="16845">
      <c r="D16845" s="185"/>
      <c r="E16845" s="185" t="s">
        <v>470</v>
      </c>
      <c r="H16845" s="185"/>
    </row>
    <row r="16846">
      <c r="D16846" s="185"/>
      <c r="E16846" s="185" t="s">
        <v>470</v>
      </c>
      <c r="H16846" s="185"/>
    </row>
    <row r="16847">
      <c r="D16847" s="185"/>
      <c r="E16847" s="185" t="s">
        <v>470</v>
      </c>
      <c r="H16847" s="185"/>
    </row>
    <row r="16848">
      <c r="D16848" s="185"/>
      <c r="E16848" s="185" t="s">
        <v>470</v>
      </c>
      <c r="H16848" s="185"/>
    </row>
    <row r="16849">
      <c r="D16849" s="185"/>
      <c r="E16849" s="185" t="s">
        <v>470</v>
      </c>
      <c r="H16849" s="185"/>
    </row>
    <row r="16850">
      <c r="D16850" s="185"/>
      <c r="E16850" s="185" t="s">
        <v>470</v>
      </c>
      <c r="H16850" s="185"/>
    </row>
    <row r="16851">
      <c r="D16851" s="185"/>
      <c r="E16851" s="185" t="s">
        <v>470</v>
      </c>
      <c r="H16851" s="185"/>
    </row>
    <row r="16852">
      <c r="D16852" s="185"/>
      <c r="E16852" s="185" t="s">
        <v>470</v>
      </c>
      <c r="H16852" s="185"/>
    </row>
    <row r="16853">
      <c r="D16853" s="185"/>
      <c r="E16853" s="185" t="s">
        <v>470</v>
      </c>
      <c r="H16853" s="185"/>
    </row>
    <row r="16854">
      <c r="D16854" s="185"/>
      <c r="E16854" s="185" t="s">
        <v>470</v>
      </c>
      <c r="H16854" s="185"/>
    </row>
    <row r="16855">
      <c r="D16855" s="185"/>
      <c r="E16855" s="185" t="s">
        <v>470</v>
      </c>
      <c r="H16855" s="185"/>
    </row>
    <row r="16856">
      <c r="D16856" s="185"/>
      <c r="E16856" s="185" t="s">
        <v>470</v>
      </c>
      <c r="H16856" s="185"/>
    </row>
    <row r="16857">
      <c r="D16857" s="185"/>
      <c r="E16857" s="185" t="s">
        <v>470</v>
      </c>
      <c r="H16857" s="185"/>
    </row>
    <row r="16858">
      <c r="D16858" s="185"/>
      <c r="E16858" s="185" t="s">
        <v>470</v>
      </c>
      <c r="H16858" s="185"/>
    </row>
    <row r="16859">
      <c r="D16859" s="185"/>
      <c r="E16859" s="185" t="s">
        <v>470</v>
      </c>
      <c r="H16859" s="185"/>
    </row>
    <row r="16860">
      <c r="D16860" s="185"/>
      <c r="E16860" s="185" t="s">
        <v>470</v>
      </c>
      <c r="H16860" s="185"/>
    </row>
    <row r="16861">
      <c r="D16861" s="185"/>
      <c r="E16861" s="185" t="s">
        <v>470</v>
      </c>
      <c r="H16861" s="185"/>
    </row>
    <row r="16862">
      <c r="D16862" s="185"/>
      <c r="E16862" s="185" t="s">
        <v>470</v>
      </c>
      <c r="H16862" s="185"/>
    </row>
    <row r="16863">
      <c r="D16863" s="185"/>
      <c r="E16863" s="185" t="s">
        <v>470</v>
      </c>
      <c r="H16863" s="185"/>
    </row>
    <row r="16864">
      <c r="D16864" s="185"/>
      <c r="E16864" s="185" t="s">
        <v>470</v>
      </c>
      <c r="H16864" s="185"/>
    </row>
    <row r="16865">
      <c r="D16865" s="185"/>
      <c r="E16865" s="185" t="s">
        <v>470</v>
      </c>
      <c r="H16865" s="185"/>
    </row>
    <row r="16866">
      <c r="D16866" s="185"/>
      <c r="E16866" s="185" t="s">
        <v>470</v>
      </c>
      <c r="H16866" s="185"/>
    </row>
    <row r="16867">
      <c r="D16867" s="185"/>
      <c r="E16867" s="185" t="s">
        <v>470</v>
      </c>
      <c r="H16867" s="185"/>
    </row>
    <row r="16868">
      <c r="D16868" s="185"/>
      <c r="E16868" s="185" t="s">
        <v>470</v>
      </c>
      <c r="H16868" s="185"/>
    </row>
    <row r="16869">
      <c r="D16869" s="185"/>
      <c r="E16869" s="185" t="s">
        <v>470</v>
      </c>
      <c r="H16869" s="185"/>
    </row>
    <row r="16870">
      <c r="D16870" s="185"/>
      <c r="E16870" s="185" t="s">
        <v>470</v>
      </c>
      <c r="H16870" s="185"/>
    </row>
    <row r="16871">
      <c r="D16871" s="185"/>
      <c r="E16871" s="185" t="s">
        <v>470</v>
      </c>
      <c r="H16871" s="185"/>
    </row>
    <row r="16872">
      <c r="D16872" s="185"/>
      <c r="E16872" s="185" t="s">
        <v>470</v>
      </c>
      <c r="H16872" s="185"/>
    </row>
    <row r="16873">
      <c r="D16873" s="185"/>
      <c r="E16873" s="185" t="s">
        <v>470</v>
      </c>
      <c r="H16873" s="185"/>
    </row>
    <row r="16874">
      <c r="D16874" s="185"/>
      <c r="E16874" s="185" t="s">
        <v>470</v>
      </c>
      <c r="H16874" s="185"/>
    </row>
    <row r="16875">
      <c r="D16875" s="185"/>
      <c r="E16875" s="185" t="s">
        <v>470</v>
      </c>
      <c r="H16875" s="185"/>
    </row>
    <row r="16876">
      <c r="D16876" s="185"/>
      <c r="E16876" s="185" t="s">
        <v>470</v>
      </c>
      <c r="H16876" s="185"/>
    </row>
    <row r="16877">
      <c r="D16877" s="185"/>
      <c r="E16877" s="185" t="s">
        <v>470</v>
      </c>
      <c r="H16877" s="185"/>
    </row>
    <row r="16878">
      <c r="D16878" s="185"/>
      <c r="E16878" s="185" t="s">
        <v>470</v>
      </c>
      <c r="H16878" s="185"/>
    </row>
    <row r="16879">
      <c r="D16879" s="185"/>
      <c r="E16879" s="185" t="s">
        <v>470</v>
      </c>
      <c r="H16879" s="185"/>
    </row>
    <row r="16880">
      <c r="D16880" s="185"/>
      <c r="E16880" s="185" t="s">
        <v>470</v>
      </c>
      <c r="H16880" s="185"/>
    </row>
    <row r="16881">
      <c r="D16881" s="185"/>
      <c r="E16881" s="185" t="s">
        <v>470</v>
      </c>
      <c r="H16881" s="185"/>
    </row>
    <row r="16882">
      <c r="D16882" s="185"/>
      <c r="E16882" s="185" t="s">
        <v>470</v>
      </c>
      <c r="H16882" s="185"/>
    </row>
    <row r="16883">
      <c r="D16883" s="185"/>
      <c r="E16883" s="185" t="s">
        <v>470</v>
      </c>
      <c r="H16883" s="185"/>
    </row>
    <row r="16884">
      <c r="D16884" s="185"/>
      <c r="E16884" s="185" t="s">
        <v>470</v>
      </c>
      <c r="H16884" s="185"/>
    </row>
    <row r="16885">
      <c r="D16885" s="185"/>
      <c r="E16885" s="185" t="s">
        <v>470</v>
      </c>
      <c r="H16885" s="185"/>
    </row>
    <row r="16886">
      <c r="D16886" s="185"/>
      <c r="E16886" s="185" t="s">
        <v>470</v>
      </c>
      <c r="H16886" s="185"/>
    </row>
    <row r="16887">
      <c r="D16887" s="185"/>
      <c r="E16887" s="185" t="s">
        <v>470</v>
      </c>
      <c r="H16887" s="185"/>
    </row>
    <row r="16888">
      <c r="D16888" s="185"/>
      <c r="E16888" s="185" t="s">
        <v>470</v>
      </c>
      <c r="H16888" s="185"/>
    </row>
    <row r="16889">
      <c r="D16889" s="185"/>
      <c r="E16889" s="185" t="s">
        <v>470</v>
      </c>
      <c r="H16889" s="185"/>
    </row>
    <row r="16890">
      <c r="D16890" s="185"/>
      <c r="E16890" s="185" t="s">
        <v>470</v>
      </c>
      <c r="H16890" s="185"/>
    </row>
    <row r="16891">
      <c r="D16891" s="185"/>
      <c r="E16891" s="185" t="s">
        <v>470</v>
      </c>
      <c r="H16891" s="185"/>
    </row>
    <row r="16892">
      <c r="D16892" s="185"/>
      <c r="E16892" s="185" t="s">
        <v>470</v>
      </c>
      <c r="H16892" s="185"/>
    </row>
    <row r="16893">
      <c r="D16893" s="185"/>
      <c r="E16893" s="185" t="s">
        <v>470</v>
      </c>
      <c r="H16893" s="185"/>
    </row>
    <row r="16894">
      <c r="D16894" s="185"/>
      <c r="E16894" s="185" t="s">
        <v>470</v>
      </c>
      <c r="H16894" s="185"/>
    </row>
    <row r="16895">
      <c r="D16895" s="185"/>
      <c r="E16895" s="185" t="s">
        <v>470</v>
      </c>
      <c r="H16895" s="185"/>
    </row>
    <row r="16896">
      <c r="D16896" s="185"/>
      <c r="E16896" s="185" t="s">
        <v>470</v>
      </c>
      <c r="H16896" s="185"/>
    </row>
    <row r="16897">
      <c r="D16897" s="185"/>
      <c r="E16897" s="185" t="s">
        <v>470</v>
      </c>
      <c r="H16897" s="185"/>
    </row>
    <row r="16898">
      <c r="D16898" s="185"/>
      <c r="E16898" s="185" t="s">
        <v>470</v>
      </c>
      <c r="H16898" s="185"/>
    </row>
    <row r="16899">
      <c r="D16899" s="185"/>
      <c r="E16899" s="185" t="s">
        <v>470</v>
      </c>
      <c r="H16899" s="185"/>
    </row>
    <row r="16900">
      <c r="D16900" s="185"/>
      <c r="E16900" s="185" t="s">
        <v>470</v>
      </c>
      <c r="H16900" s="185"/>
    </row>
    <row r="16901">
      <c r="D16901" s="185"/>
      <c r="E16901" s="185" t="s">
        <v>470</v>
      </c>
      <c r="H16901" s="185"/>
    </row>
    <row r="16902">
      <c r="D16902" s="185"/>
      <c r="E16902" s="185" t="s">
        <v>470</v>
      </c>
      <c r="H16902" s="185"/>
    </row>
    <row r="16903">
      <c r="D16903" s="185"/>
      <c r="E16903" s="185" t="s">
        <v>470</v>
      </c>
      <c r="H16903" s="185"/>
    </row>
    <row r="16904">
      <c r="D16904" s="185"/>
      <c r="E16904" s="185" t="s">
        <v>470</v>
      </c>
      <c r="H16904" s="185"/>
    </row>
    <row r="16905">
      <c r="D16905" s="185"/>
      <c r="E16905" s="185" t="s">
        <v>470</v>
      </c>
      <c r="H16905" s="185"/>
    </row>
    <row r="16906">
      <c r="D16906" s="185"/>
      <c r="E16906" s="185" t="s">
        <v>470</v>
      </c>
      <c r="H16906" s="185"/>
    </row>
    <row r="16907">
      <c r="D16907" s="185"/>
      <c r="E16907" s="185" t="s">
        <v>470</v>
      </c>
      <c r="H16907" s="185"/>
    </row>
    <row r="16908">
      <c r="D16908" s="185"/>
      <c r="E16908" s="185" t="s">
        <v>470</v>
      </c>
      <c r="H16908" s="185"/>
    </row>
    <row r="16909">
      <c r="D16909" s="185"/>
      <c r="E16909" s="185" t="s">
        <v>470</v>
      </c>
      <c r="H16909" s="185"/>
    </row>
    <row r="16910">
      <c r="D16910" s="185"/>
      <c r="E16910" s="185" t="s">
        <v>470</v>
      </c>
      <c r="H16910" s="185"/>
    </row>
    <row r="16911">
      <c r="D16911" s="185"/>
      <c r="E16911" s="185" t="s">
        <v>470</v>
      </c>
      <c r="H16911" s="185"/>
    </row>
    <row r="16912">
      <c r="D16912" s="185"/>
      <c r="E16912" s="185" t="s">
        <v>470</v>
      </c>
      <c r="H16912" s="185"/>
    </row>
    <row r="16913">
      <c r="D16913" s="185"/>
      <c r="E16913" s="185" t="s">
        <v>470</v>
      </c>
      <c r="H16913" s="185"/>
    </row>
    <row r="16914">
      <c r="D16914" s="185"/>
      <c r="E16914" s="185" t="s">
        <v>470</v>
      </c>
      <c r="H16914" s="185"/>
    </row>
    <row r="16915">
      <c r="D16915" s="185"/>
      <c r="E16915" s="185" t="s">
        <v>470</v>
      </c>
      <c r="H16915" s="185"/>
    </row>
    <row r="16916">
      <c r="D16916" s="185"/>
      <c r="E16916" s="185" t="s">
        <v>470</v>
      </c>
      <c r="H16916" s="185"/>
    </row>
    <row r="16917">
      <c r="D16917" s="185"/>
      <c r="E16917" s="185" t="s">
        <v>470</v>
      </c>
      <c r="H16917" s="185"/>
    </row>
    <row r="16918">
      <c r="D16918" s="185"/>
      <c r="E16918" s="185" t="s">
        <v>470</v>
      </c>
      <c r="H16918" s="185"/>
    </row>
    <row r="16919">
      <c r="D16919" s="185"/>
      <c r="E16919" s="185" t="s">
        <v>470</v>
      </c>
      <c r="H16919" s="185"/>
    </row>
    <row r="16920">
      <c r="D16920" s="185"/>
      <c r="E16920" s="185" t="s">
        <v>470</v>
      </c>
      <c r="H16920" s="185"/>
    </row>
    <row r="16921">
      <c r="D16921" s="185"/>
      <c r="E16921" s="185" t="s">
        <v>470</v>
      </c>
      <c r="H16921" s="185"/>
    </row>
    <row r="16922">
      <c r="D16922" s="185"/>
      <c r="E16922" s="185" t="s">
        <v>470</v>
      </c>
      <c r="H16922" s="185"/>
    </row>
    <row r="16923">
      <c r="D16923" s="185"/>
      <c r="E16923" s="185" t="s">
        <v>470</v>
      </c>
      <c r="H16923" s="185"/>
    </row>
    <row r="16924">
      <c r="D16924" s="185"/>
      <c r="E16924" s="185" t="s">
        <v>470</v>
      </c>
      <c r="H16924" s="185"/>
    </row>
    <row r="16925">
      <c r="D16925" s="185"/>
      <c r="E16925" s="185" t="s">
        <v>470</v>
      </c>
      <c r="H16925" s="185"/>
    </row>
    <row r="16926">
      <c r="D16926" s="185"/>
      <c r="E16926" s="185" t="s">
        <v>470</v>
      </c>
      <c r="H16926" s="185"/>
    </row>
    <row r="16927">
      <c r="D16927" s="185"/>
      <c r="E16927" s="185" t="s">
        <v>470</v>
      </c>
      <c r="H16927" s="185"/>
    </row>
    <row r="16928">
      <c r="D16928" s="185"/>
      <c r="E16928" s="185" t="s">
        <v>470</v>
      </c>
      <c r="H16928" s="185"/>
    </row>
    <row r="16929">
      <c r="D16929" s="185"/>
      <c r="E16929" s="185" t="s">
        <v>470</v>
      </c>
      <c r="H16929" s="185"/>
    </row>
    <row r="16930">
      <c r="D16930" s="185"/>
      <c r="E16930" s="185" t="s">
        <v>470</v>
      </c>
      <c r="H16930" s="185"/>
    </row>
    <row r="16931">
      <c r="D16931" s="185"/>
      <c r="E16931" s="185" t="s">
        <v>470</v>
      </c>
      <c r="H16931" s="185"/>
    </row>
    <row r="16932">
      <c r="D16932" s="185"/>
      <c r="E16932" s="185" t="s">
        <v>470</v>
      </c>
      <c r="H16932" s="185"/>
    </row>
    <row r="16933">
      <c r="D16933" s="185"/>
      <c r="E16933" s="185" t="s">
        <v>470</v>
      </c>
      <c r="H16933" s="185"/>
    </row>
    <row r="16934">
      <c r="D16934" s="185"/>
      <c r="E16934" s="185" t="s">
        <v>470</v>
      </c>
      <c r="H16934" s="185"/>
    </row>
    <row r="16935">
      <c r="D16935" s="185"/>
      <c r="E16935" s="185" t="s">
        <v>470</v>
      </c>
      <c r="H16935" s="185"/>
    </row>
    <row r="16936">
      <c r="D16936" s="185"/>
      <c r="E16936" s="185" t="s">
        <v>470</v>
      </c>
      <c r="H16936" s="185"/>
    </row>
    <row r="16937">
      <c r="D16937" s="185"/>
      <c r="E16937" s="185" t="s">
        <v>470</v>
      </c>
      <c r="H16937" s="185"/>
    </row>
    <row r="16938">
      <c r="D16938" s="185"/>
      <c r="E16938" s="185" t="s">
        <v>470</v>
      </c>
      <c r="H16938" s="185"/>
    </row>
    <row r="16939">
      <c r="D16939" s="185"/>
      <c r="E16939" s="185" t="s">
        <v>470</v>
      </c>
      <c r="H16939" s="185"/>
    </row>
    <row r="16940">
      <c r="D16940" s="185"/>
      <c r="E16940" s="185" t="s">
        <v>470</v>
      </c>
      <c r="H16940" s="185"/>
    </row>
    <row r="16941">
      <c r="D16941" s="185"/>
      <c r="E16941" s="185" t="s">
        <v>470</v>
      </c>
      <c r="H16941" s="185"/>
    </row>
    <row r="16942">
      <c r="D16942" s="185"/>
      <c r="E16942" s="185" t="s">
        <v>470</v>
      </c>
      <c r="H16942" s="185"/>
    </row>
    <row r="16943">
      <c r="D16943" s="185"/>
      <c r="E16943" s="185" t="s">
        <v>470</v>
      </c>
      <c r="H16943" s="185"/>
    </row>
    <row r="16944">
      <c r="D16944" s="185"/>
      <c r="E16944" s="185" t="s">
        <v>470</v>
      </c>
      <c r="H16944" s="185"/>
    </row>
    <row r="16945">
      <c r="D16945" s="185"/>
      <c r="E16945" s="185" t="s">
        <v>470</v>
      </c>
      <c r="H16945" s="185"/>
    </row>
    <row r="16946">
      <c r="D16946" s="185"/>
      <c r="E16946" s="185" t="s">
        <v>470</v>
      </c>
      <c r="H16946" s="185"/>
    </row>
    <row r="16947">
      <c r="D16947" s="185"/>
      <c r="E16947" s="185" t="s">
        <v>470</v>
      </c>
      <c r="H16947" s="185"/>
    </row>
    <row r="16948">
      <c r="D16948" s="185"/>
      <c r="E16948" s="185" t="s">
        <v>470</v>
      </c>
      <c r="H16948" s="185"/>
    </row>
    <row r="16949">
      <c r="D16949" s="185"/>
      <c r="E16949" s="185" t="s">
        <v>470</v>
      </c>
      <c r="H16949" s="185"/>
    </row>
    <row r="16950">
      <c r="D16950" s="185"/>
      <c r="E16950" s="185" t="s">
        <v>470</v>
      </c>
      <c r="H16950" s="185"/>
    </row>
    <row r="16951">
      <c r="D16951" s="185"/>
      <c r="E16951" s="185" t="s">
        <v>470</v>
      </c>
      <c r="H16951" s="185"/>
    </row>
    <row r="16952">
      <c r="D16952" s="185"/>
      <c r="E16952" s="185" t="s">
        <v>470</v>
      </c>
      <c r="H16952" s="185"/>
    </row>
    <row r="16953">
      <c r="D16953" s="185"/>
      <c r="E16953" s="185" t="s">
        <v>470</v>
      </c>
      <c r="H16953" s="185"/>
    </row>
    <row r="16954">
      <c r="D16954" s="185"/>
      <c r="E16954" s="185" t="s">
        <v>470</v>
      </c>
      <c r="H16954" s="185"/>
    </row>
    <row r="16955">
      <c r="D16955" s="185"/>
      <c r="E16955" s="185" t="s">
        <v>470</v>
      </c>
      <c r="H16955" s="185"/>
    </row>
    <row r="16956">
      <c r="D16956" s="185"/>
      <c r="E16956" s="185" t="s">
        <v>470</v>
      </c>
      <c r="H16956" s="185"/>
    </row>
    <row r="16957">
      <c r="D16957" s="185"/>
      <c r="E16957" s="185" t="s">
        <v>470</v>
      </c>
      <c r="H16957" s="185"/>
    </row>
    <row r="16958">
      <c r="D16958" s="185"/>
      <c r="E16958" s="185" t="s">
        <v>470</v>
      </c>
      <c r="H16958" s="185"/>
    </row>
    <row r="16959">
      <c r="D16959" s="185"/>
      <c r="E16959" s="185" t="s">
        <v>470</v>
      </c>
      <c r="H16959" s="185"/>
    </row>
    <row r="16960">
      <c r="D16960" s="185"/>
      <c r="E16960" s="185" t="s">
        <v>470</v>
      </c>
      <c r="H16960" s="185"/>
    </row>
    <row r="16961">
      <c r="D16961" s="185"/>
      <c r="E16961" s="185" t="s">
        <v>470</v>
      </c>
      <c r="H16961" s="185"/>
    </row>
    <row r="16962">
      <c r="D16962" s="185"/>
      <c r="E16962" s="185" t="s">
        <v>470</v>
      </c>
      <c r="H16962" s="185"/>
    </row>
    <row r="16963">
      <c r="D16963" s="185"/>
      <c r="E16963" s="185" t="s">
        <v>470</v>
      </c>
      <c r="H16963" s="185"/>
    </row>
    <row r="16964">
      <c r="D16964" s="185"/>
      <c r="E16964" s="185" t="s">
        <v>470</v>
      </c>
      <c r="H16964" s="185"/>
    </row>
    <row r="16965">
      <c r="D16965" s="185"/>
      <c r="E16965" s="185" t="s">
        <v>470</v>
      </c>
      <c r="H16965" s="185"/>
    </row>
    <row r="16966">
      <c r="D16966" s="185"/>
      <c r="E16966" s="185" t="s">
        <v>470</v>
      </c>
      <c r="H16966" s="185"/>
    </row>
    <row r="16967">
      <c r="D16967" s="185"/>
      <c r="E16967" s="185" t="s">
        <v>470</v>
      </c>
      <c r="H16967" s="185"/>
    </row>
    <row r="16968">
      <c r="D16968" s="185"/>
      <c r="E16968" s="185" t="s">
        <v>470</v>
      </c>
      <c r="H16968" s="185"/>
    </row>
    <row r="16969">
      <c r="D16969" s="185"/>
      <c r="E16969" s="185" t="s">
        <v>470</v>
      </c>
      <c r="H16969" s="185"/>
    </row>
    <row r="16970">
      <c r="D16970" s="185"/>
      <c r="E16970" s="185" t="s">
        <v>470</v>
      </c>
      <c r="H16970" s="185"/>
    </row>
    <row r="16971">
      <c r="D16971" s="185"/>
      <c r="E16971" s="185" t="s">
        <v>470</v>
      </c>
      <c r="H16971" s="185"/>
    </row>
    <row r="16972">
      <c r="D16972" s="185"/>
      <c r="E16972" s="185" t="s">
        <v>470</v>
      </c>
      <c r="H16972" s="185"/>
    </row>
    <row r="16973">
      <c r="D16973" s="185"/>
      <c r="E16973" s="185" t="s">
        <v>470</v>
      </c>
      <c r="H16973" s="185"/>
    </row>
    <row r="16974">
      <c r="D16974" s="185"/>
      <c r="E16974" s="185" t="s">
        <v>470</v>
      </c>
      <c r="H16974" s="185"/>
    </row>
    <row r="16975">
      <c r="D16975" s="185"/>
      <c r="E16975" s="185" t="s">
        <v>470</v>
      </c>
      <c r="H16975" s="185"/>
    </row>
    <row r="16976">
      <c r="D16976" s="185"/>
      <c r="E16976" s="185" t="s">
        <v>470</v>
      </c>
      <c r="H16976" s="185"/>
    </row>
    <row r="16977">
      <c r="D16977" s="185"/>
      <c r="E16977" s="185" t="s">
        <v>470</v>
      </c>
      <c r="H16977" s="185"/>
    </row>
    <row r="16978">
      <c r="D16978" s="185"/>
      <c r="E16978" s="185" t="s">
        <v>470</v>
      </c>
      <c r="H16978" s="185"/>
    </row>
    <row r="16979">
      <c r="D16979" s="185"/>
      <c r="E16979" s="185" t="s">
        <v>470</v>
      </c>
      <c r="H16979" s="185"/>
    </row>
    <row r="16980">
      <c r="D16980" s="185"/>
      <c r="E16980" s="185" t="s">
        <v>470</v>
      </c>
      <c r="H16980" s="185"/>
    </row>
    <row r="16981">
      <c r="D16981" s="185"/>
      <c r="E16981" s="185" t="s">
        <v>470</v>
      </c>
      <c r="H16981" s="185"/>
    </row>
    <row r="16982">
      <c r="D16982" s="185"/>
      <c r="E16982" s="185" t="s">
        <v>470</v>
      </c>
      <c r="H16982" s="185"/>
    </row>
    <row r="16983">
      <c r="D16983" s="185"/>
      <c r="E16983" s="185" t="s">
        <v>470</v>
      </c>
      <c r="H16983" s="185"/>
    </row>
    <row r="16984">
      <c r="D16984" s="185"/>
      <c r="E16984" s="185" t="s">
        <v>470</v>
      </c>
      <c r="H16984" s="185"/>
    </row>
    <row r="16985">
      <c r="D16985" s="185"/>
      <c r="E16985" s="185" t="s">
        <v>470</v>
      </c>
      <c r="H16985" s="185"/>
    </row>
    <row r="16986">
      <c r="D16986" s="185"/>
      <c r="E16986" s="185" t="s">
        <v>470</v>
      </c>
      <c r="H16986" s="185"/>
    </row>
    <row r="16987">
      <c r="D16987" s="185"/>
      <c r="E16987" s="185" t="s">
        <v>470</v>
      </c>
      <c r="H16987" s="185"/>
    </row>
    <row r="16988">
      <c r="D16988" s="185"/>
      <c r="E16988" s="185" t="s">
        <v>470</v>
      </c>
      <c r="H16988" s="185"/>
    </row>
    <row r="16989">
      <c r="D16989" s="185"/>
      <c r="E16989" s="185" t="s">
        <v>470</v>
      </c>
      <c r="H16989" s="185"/>
    </row>
    <row r="16990">
      <c r="D16990" s="185"/>
      <c r="E16990" s="185" t="s">
        <v>470</v>
      </c>
      <c r="H16990" s="185"/>
    </row>
    <row r="16991">
      <c r="D16991" s="185"/>
      <c r="E16991" s="185" t="s">
        <v>470</v>
      </c>
      <c r="H16991" s="185"/>
    </row>
    <row r="16992">
      <c r="D16992" s="185"/>
      <c r="E16992" s="185" t="s">
        <v>470</v>
      </c>
      <c r="H16992" s="185"/>
    </row>
    <row r="16993">
      <c r="D16993" s="185"/>
      <c r="E16993" s="185" t="s">
        <v>470</v>
      </c>
      <c r="H16993" s="185"/>
    </row>
    <row r="16994">
      <c r="D16994" s="185"/>
      <c r="E16994" s="185" t="s">
        <v>470</v>
      </c>
      <c r="H16994" s="185"/>
    </row>
    <row r="16995">
      <c r="D16995" s="185"/>
      <c r="E16995" s="185" t="s">
        <v>470</v>
      </c>
      <c r="H16995" s="185"/>
    </row>
    <row r="16996">
      <c r="D16996" s="185"/>
      <c r="E16996" s="185" t="s">
        <v>470</v>
      </c>
      <c r="H16996" s="185"/>
    </row>
    <row r="16997">
      <c r="D16997" s="185"/>
      <c r="E16997" s="185" t="s">
        <v>470</v>
      </c>
      <c r="H16997" s="185"/>
    </row>
    <row r="16998">
      <c r="D16998" s="185"/>
      <c r="E16998" s="185" t="s">
        <v>470</v>
      </c>
      <c r="H16998" s="185"/>
    </row>
    <row r="16999">
      <c r="D16999" s="185"/>
      <c r="E16999" s="185" t="s">
        <v>470</v>
      </c>
      <c r="H16999" s="185"/>
    </row>
    <row r="17000">
      <c r="D17000" s="185"/>
      <c r="E17000" s="185" t="s">
        <v>470</v>
      </c>
      <c r="H17000" s="185"/>
    </row>
    <row r="17001">
      <c r="D17001" s="185"/>
      <c r="E17001" s="185" t="s">
        <v>470</v>
      </c>
      <c r="H17001" s="185"/>
    </row>
    <row r="17002">
      <c r="D17002" s="185"/>
      <c r="E17002" s="185" t="s">
        <v>470</v>
      </c>
      <c r="H17002" s="185"/>
    </row>
    <row r="17003">
      <c r="D17003" s="185"/>
      <c r="E17003" s="185" t="s">
        <v>470</v>
      </c>
      <c r="H17003" s="185"/>
    </row>
    <row r="17004">
      <c r="D17004" s="185"/>
      <c r="E17004" s="185" t="s">
        <v>470</v>
      </c>
      <c r="H17004" s="185"/>
    </row>
    <row r="17005">
      <c r="D17005" s="185"/>
      <c r="E17005" s="185" t="s">
        <v>470</v>
      </c>
      <c r="H17005" s="185"/>
    </row>
    <row r="17006">
      <c r="D17006" s="185"/>
      <c r="E17006" s="185" t="s">
        <v>470</v>
      </c>
      <c r="H17006" s="185"/>
    </row>
    <row r="17007">
      <c r="D17007" s="185"/>
      <c r="E17007" s="185" t="s">
        <v>470</v>
      </c>
      <c r="H17007" s="185"/>
    </row>
    <row r="17008">
      <c r="D17008" s="185"/>
      <c r="E17008" s="185" t="s">
        <v>470</v>
      </c>
      <c r="H17008" s="185"/>
    </row>
    <row r="17009">
      <c r="D17009" s="185"/>
      <c r="E17009" s="185" t="s">
        <v>470</v>
      </c>
      <c r="H17009" s="185"/>
    </row>
    <row r="17010">
      <c r="D17010" s="185"/>
      <c r="E17010" s="185" t="s">
        <v>470</v>
      </c>
      <c r="H17010" s="185"/>
    </row>
    <row r="17011">
      <c r="D17011" s="185"/>
      <c r="E17011" s="185" t="s">
        <v>470</v>
      </c>
      <c r="H17011" s="185"/>
    </row>
    <row r="17012">
      <c r="D17012" s="185"/>
      <c r="E17012" s="185" t="s">
        <v>470</v>
      </c>
      <c r="H17012" s="185"/>
    </row>
    <row r="17013">
      <c r="D17013" s="185"/>
      <c r="E17013" s="185" t="s">
        <v>470</v>
      </c>
      <c r="H17013" s="185"/>
    </row>
    <row r="17014">
      <c r="D17014" s="185"/>
      <c r="E17014" s="185" t="s">
        <v>470</v>
      </c>
      <c r="H17014" s="185"/>
    </row>
    <row r="17015">
      <c r="D17015" s="185"/>
      <c r="E17015" s="185" t="s">
        <v>470</v>
      </c>
      <c r="H17015" s="185"/>
    </row>
    <row r="17016">
      <c r="D17016" s="185"/>
      <c r="E17016" s="185" t="s">
        <v>470</v>
      </c>
      <c r="H17016" s="185"/>
    </row>
    <row r="17017">
      <c r="D17017" s="185"/>
      <c r="E17017" s="185" t="s">
        <v>470</v>
      </c>
      <c r="H17017" s="185"/>
    </row>
    <row r="17018">
      <c r="D17018" s="185"/>
      <c r="E17018" s="185" t="s">
        <v>470</v>
      </c>
      <c r="H17018" s="185"/>
    </row>
    <row r="17019">
      <c r="D17019" s="185"/>
      <c r="E17019" s="185" t="s">
        <v>470</v>
      </c>
      <c r="H17019" s="185"/>
    </row>
    <row r="17020">
      <c r="D17020" s="185"/>
      <c r="E17020" s="185" t="s">
        <v>470</v>
      </c>
      <c r="H17020" s="185"/>
    </row>
    <row r="17021">
      <c r="D17021" s="185"/>
      <c r="E17021" s="185" t="s">
        <v>470</v>
      </c>
      <c r="H17021" s="185"/>
    </row>
    <row r="17022">
      <c r="D17022" s="185"/>
      <c r="E17022" s="185" t="s">
        <v>470</v>
      </c>
      <c r="H17022" s="185"/>
    </row>
    <row r="17023">
      <c r="D17023" s="185"/>
      <c r="E17023" s="185" t="s">
        <v>470</v>
      </c>
      <c r="H17023" s="185"/>
    </row>
    <row r="17024">
      <c r="D17024" s="185"/>
      <c r="E17024" s="185" t="s">
        <v>470</v>
      </c>
      <c r="H17024" s="185"/>
    </row>
    <row r="17025">
      <c r="D17025" s="185"/>
      <c r="E17025" s="185" t="s">
        <v>470</v>
      </c>
      <c r="H17025" s="185"/>
    </row>
    <row r="17026">
      <c r="D17026" s="185"/>
      <c r="E17026" s="185" t="s">
        <v>470</v>
      </c>
      <c r="H17026" s="185"/>
    </row>
    <row r="17027">
      <c r="D17027" s="185"/>
      <c r="E17027" s="185" t="s">
        <v>470</v>
      </c>
      <c r="H17027" s="185"/>
    </row>
    <row r="17028">
      <c r="D17028" s="185"/>
      <c r="E17028" s="185" t="s">
        <v>470</v>
      </c>
      <c r="H17028" s="185"/>
    </row>
    <row r="17029">
      <c r="D17029" s="185"/>
      <c r="E17029" s="185" t="s">
        <v>470</v>
      </c>
      <c r="H17029" s="185"/>
    </row>
    <row r="17030">
      <c r="D17030" s="185"/>
      <c r="E17030" s="185" t="s">
        <v>470</v>
      </c>
      <c r="H17030" s="185"/>
    </row>
    <row r="17031">
      <c r="D17031" s="185"/>
      <c r="E17031" s="185" t="s">
        <v>470</v>
      </c>
      <c r="H17031" s="185"/>
    </row>
    <row r="17032">
      <c r="D17032" s="185"/>
      <c r="E17032" s="185" t="s">
        <v>470</v>
      </c>
      <c r="H17032" s="185"/>
    </row>
    <row r="17033">
      <c r="D17033" s="185"/>
      <c r="E17033" s="185" t="s">
        <v>470</v>
      </c>
      <c r="H17033" s="185"/>
    </row>
    <row r="17034">
      <c r="D17034" s="185"/>
      <c r="E17034" s="185" t="s">
        <v>470</v>
      </c>
      <c r="H17034" s="185"/>
    </row>
    <row r="17035">
      <c r="D17035" s="185"/>
      <c r="E17035" s="185" t="s">
        <v>470</v>
      </c>
      <c r="H17035" s="185"/>
    </row>
    <row r="17036">
      <c r="D17036" s="185"/>
      <c r="E17036" s="185" t="s">
        <v>470</v>
      </c>
      <c r="H17036" s="185"/>
    </row>
    <row r="17037">
      <c r="D17037" s="185"/>
      <c r="E17037" s="185" t="s">
        <v>470</v>
      </c>
      <c r="H17037" s="185"/>
    </row>
    <row r="17038">
      <c r="D17038" s="185"/>
      <c r="E17038" s="185" t="s">
        <v>470</v>
      </c>
      <c r="H17038" s="185"/>
    </row>
    <row r="17039">
      <c r="D17039" s="185"/>
      <c r="E17039" s="185" t="s">
        <v>470</v>
      </c>
      <c r="H17039" s="185"/>
    </row>
    <row r="17040">
      <c r="D17040" s="185"/>
      <c r="E17040" s="185" t="s">
        <v>470</v>
      </c>
      <c r="H17040" s="185"/>
    </row>
    <row r="17041">
      <c r="D17041" s="185"/>
      <c r="E17041" s="185" t="s">
        <v>470</v>
      </c>
      <c r="H17041" s="185"/>
    </row>
    <row r="17042">
      <c r="D17042" s="185"/>
      <c r="E17042" s="185" t="s">
        <v>470</v>
      </c>
      <c r="H17042" s="185"/>
    </row>
    <row r="17043">
      <c r="D17043" s="185"/>
      <c r="E17043" s="185" t="s">
        <v>470</v>
      </c>
      <c r="H17043" s="185"/>
    </row>
    <row r="17044">
      <c r="D17044" s="185"/>
      <c r="E17044" s="185" t="s">
        <v>470</v>
      </c>
      <c r="H17044" s="185"/>
    </row>
    <row r="17045">
      <c r="D17045" s="185"/>
      <c r="E17045" s="185" t="s">
        <v>470</v>
      </c>
      <c r="H17045" s="185"/>
    </row>
    <row r="17046">
      <c r="D17046" s="185"/>
      <c r="E17046" s="185" t="s">
        <v>470</v>
      </c>
      <c r="H17046" s="185"/>
    </row>
    <row r="17047">
      <c r="D17047" s="185"/>
      <c r="E17047" s="185" t="s">
        <v>470</v>
      </c>
      <c r="H17047" s="185"/>
    </row>
    <row r="17048">
      <c r="D17048" s="185"/>
      <c r="E17048" s="185" t="s">
        <v>470</v>
      </c>
      <c r="H17048" s="185"/>
    </row>
    <row r="17049">
      <c r="D17049" s="185"/>
      <c r="E17049" s="185" t="s">
        <v>470</v>
      </c>
      <c r="H17049" s="185"/>
    </row>
    <row r="17050">
      <c r="D17050" s="185"/>
      <c r="E17050" s="185" t="s">
        <v>470</v>
      </c>
      <c r="H17050" s="185"/>
    </row>
    <row r="17051">
      <c r="D17051" s="185"/>
      <c r="E17051" s="185" t="s">
        <v>470</v>
      </c>
      <c r="H17051" s="185"/>
    </row>
    <row r="17052">
      <c r="D17052" s="185"/>
      <c r="E17052" s="185" t="s">
        <v>470</v>
      </c>
      <c r="H17052" s="185"/>
    </row>
    <row r="17053">
      <c r="D17053" s="185"/>
      <c r="E17053" s="185" t="s">
        <v>470</v>
      </c>
      <c r="H17053" s="185"/>
    </row>
    <row r="17054">
      <c r="D17054" s="185"/>
      <c r="E17054" s="185" t="s">
        <v>470</v>
      </c>
      <c r="H17054" s="185"/>
    </row>
    <row r="17055">
      <c r="D17055" s="185"/>
      <c r="E17055" s="185" t="s">
        <v>470</v>
      </c>
      <c r="H17055" s="185"/>
    </row>
    <row r="17056">
      <c r="D17056" s="185"/>
      <c r="E17056" s="185" t="s">
        <v>470</v>
      </c>
      <c r="H17056" s="185"/>
    </row>
    <row r="17057">
      <c r="D17057" s="185"/>
      <c r="E17057" s="185" t="s">
        <v>470</v>
      </c>
      <c r="H17057" s="185"/>
    </row>
    <row r="17058">
      <c r="D17058" s="185"/>
      <c r="E17058" s="185" t="s">
        <v>470</v>
      </c>
      <c r="H17058" s="185"/>
    </row>
    <row r="17059">
      <c r="D17059" s="185"/>
      <c r="E17059" s="185" t="s">
        <v>470</v>
      </c>
      <c r="H17059" s="185"/>
    </row>
    <row r="17060">
      <c r="D17060" s="185"/>
      <c r="E17060" s="185" t="s">
        <v>470</v>
      </c>
      <c r="H17060" s="185"/>
    </row>
    <row r="17061">
      <c r="D17061" s="185"/>
      <c r="E17061" s="185" t="s">
        <v>470</v>
      </c>
      <c r="H17061" s="185"/>
    </row>
    <row r="17062">
      <c r="D17062" s="185"/>
      <c r="E17062" s="185" t="s">
        <v>470</v>
      </c>
      <c r="H17062" s="185"/>
    </row>
    <row r="17063">
      <c r="D17063" s="185"/>
      <c r="E17063" s="185" t="s">
        <v>470</v>
      </c>
      <c r="H17063" s="185"/>
    </row>
    <row r="17064">
      <c r="D17064" s="185"/>
      <c r="E17064" s="185" t="s">
        <v>470</v>
      </c>
      <c r="H17064" s="185"/>
    </row>
    <row r="17065">
      <c r="D17065" s="185"/>
      <c r="E17065" s="185" t="s">
        <v>470</v>
      </c>
      <c r="H17065" s="185"/>
    </row>
    <row r="17066">
      <c r="D17066" s="185"/>
      <c r="E17066" s="185" t="s">
        <v>470</v>
      </c>
      <c r="H17066" s="185"/>
    </row>
    <row r="17067">
      <c r="D17067" s="185"/>
      <c r="E17067" s="185" t="s">
        <v>470</v>
      </c>
      <c r="H17067" s="185"/>
    </row>
    <row r="17068">
      <c r="D17068" s="185"/>
      <c r="E17068" s="185" t="s">
        <v>470</v>
      </c>
      <c r="H17068" s="185"/>
    </row>
    <row r="17069">
      <c r="D17069" s="185"/>
      <c r="E17069" s="185" t="s">
        <v>470</v>
      </c>
      <c r="H17069" s="185"/>
    </row>
    <row r="17070">
      <c r="D17070" s="185"/>
      <c r="E17070" s="185" t="s">
        <v>470</v>
      </c>
      <c r="H17070" s="185"/>
    </row>
    <row r="17071">
      <c r="D17071" s="185"/>
      <c r="E17071" s="185" t="s">
        <v>470</v>
      </c>
      <c r="H17071" s="185"/>
    </row>
    <row r="17072">
      <c r="D17072" s="185"/>
      <c r="E17072" s="185" t="s">
        <v>470</v>
      </c>
      <c r="H17072" s="185"/>
    </row>
    <row r="17073">
      <c r="D17073" s="185"/>
      <c r="E17073" s="185" t="s">
        <v>470</v>
      </c>
      <c r="H17073" s="185"/>
    </row>
    <row r="17074">
      <c r="D17074" s="185"/>
      <c r="E17074" s="185" t="s">
        <v>470</v>
      </c>
      <c r="H17074" s="185"/>
    </row>
    <row r="17075">
      <c r="D17075" s="185"/>
      <c r="E17075" s="185" t="s">
        <v>470</v>
      </c>
      <c r="H17075" s="185"/>
    </row>
    <row r="17076">
      <c r="D17076" s="185"/>
      <c r="E17076" s="185" t="s">
        <v>470</v>
      </c>
      <c r="H17076" s="185"/>
    </row>
    <row r="17077">
      <c r="D17077" s="185"/>
      <c r="E17077" s="185" t="s">
        <v>470</v>
      </c>
      <c r="H17077" s="185"/>
    </row>
    <row r="17078">
      <c r="D17078" s="185"/>
      <c r="E17078" s="185" t="s">
        <v>470</v>
      </c>
      <c r="H17078" s="185"/>
    </row>
    <row r="17079">
      <c r="D17079" s="185"/>
      <c r="E17079" s="185" t="s">
        <v>470</v>
      </c>
      <c r="H17079" s="185"/>
    </row>
    <row r="17080">
      <c r="D17080" s="185"/>
      <c r="E17080" s="185" t="s">
        <v>470</v>
      </c>
      <c r="H17080" s="185"/>
    </row>
    <row r="17081">
      <c r="D17081" s="185"/>
      <c r="E17081" s="185" t="s">
        <v>470</v>
      </c>
      <c r="H17081" s="185"/>
    </row>
    <row r="17082">
      <c r="D17082" s="185"/>
      <c r="E17082" s="185" t="s">
        <v>470</v>
      </c>
      <c r="H17082" s="185"/>
    </row>
    <row r="17083">
      <c r="D17083" s="185"/>
      <c r="E17083" s="185" t="s">
        <v>470</v>
      </c>
      <c r="H17083" s="185"/>
    </row>
    <row r="17084">
      <c r="D17084" s="185"/>
      <c r="E17084" s="185" t="s">
        <v>470</v>
      </c>
      <c r="H17084" s="185"/>
    </row>
    <row r="17085">
      <c r="D17085" s="185"/>
      <c r="E17085" s="185" t="s">
        <v>470</v>
      </c>
      <c r="H17085" s="185"/>
    </row>
    <row r="17086">
      <c r="D17086" s="185"/>
      <c r="E17086" s="185" t="s">
        <v>470</v>
      </c>
      <c r="H17086" s="185"/>
    </row>
    <row r="17087">
      <c r="D17087" s="185"/>
      <c r="E17087" s="185" t="s">
        <v>470</v>
      </c>
      <c r="H17087" s="185"/>
    </row>
    <row r="17088">
      <c r="D17088" s="185"/>
      <c r="E17088" s="185" t="s">
        <v>470</v>
      </c>
      <c r="H17088" s="185"/>
    </row>
    <row r="17089">
      <c r="D17089" s="185"/>
      <c r="E17089" s="185" t="s">
        <v>470</v>
      </c>
      <c r="H17089" s="185"/>
    </row>
    <row r="17090">
      <c r="D17090" s="185"/>
      <c r="E17090" s="185" t="s">
        <v>470</v>
      </c>
      <c r="H17090" s="185"/>
    </row>
    <row r="17091">
      <c r="D17091" s="185"/>
      <c r="E17091" s="185" t="s">
        <v>470</v>
      </c>
      <c r="H17091" s="185"/>
    </row>
    <row r="17092">
      <c r="D17092" s="185"/>
      <c r="E17092" s="185" t="s">
        <v>470</v>
      </c>
      <c r="H17092" s="185"/>
    </row>
    <row r="17093">
      <c r="D17093" s="185"/>
      <c r="E17093" s="185" t="s">
        <v>470</v>
      </c>
      <c r="H17093" s="185"/>
    </row>
    <row r="17094">
      <c r="D17094" s="185"/>
      <c r="E17094" s="185" t="s">
        <v>470</v>
      </c>
      <c r="H17094" s="185"/>
    </row>
    <row r="17095">
      <c r="D17095" s="185"/>
      <c r="E17095" s="185" t="s">
        <v>470</v>
      </c>
      <c r="H17095" s="185"/>
    </row>
    <row r="17096">
      <c r="D17096" s="185"/>
      <c r="E17096" s="185" t="s">
        <v>470</v>
      </c>
      <c r="H17096" s="185"/>
    </row>
    <row r="17097">
      <c r="D17097" s="185"/>
      <c r="E17097" s="185" t="s">
        <v>470</v>
      </c>
      <c r="H17097" s="185"/>
    </row>
    <row r="17098">
      <c r="D17098" s="185"/>
      <c r="E17098" s="185" t="s">
        <v>470</v>
      </c>
      <c r="H17098" s="185"/>
    </row>
    <row r="17099">
      <c r="D17099" s="185"/>
      <c r="E17099" s="185" t="s">
        <v>470</v>
      </c>
      <c r="H17099" s="185"/>
    </row>
    <row r="17100">
      <c r="D17100" s="185"/>
      <c r="E17100" s="185" t="s">
        <v>470</v>
      </c>
      <c r="H17100" s="185"/>
    </row>
    <row r="17101">
      <c r="D17101" s="185"/>
      <c r="E17101" s="185" t="s">
        <v>470</v>
      </c>
      <c r="H17101" s="185"/>
    </row>
    <row r="17102">
      <c r="D17102" s="185"/>
      <c r="E17102" s="185" t="s">
        <v>470</v>
      </c>
      <c r="H17102" s="185"/>
    </row>
    <row r="17103">
      <c r="D17103" s="185"/>
      <c r="E17103" s="185" t="s">
        <v>470</v>
      </c>
      <c r="H17103" s="185"/>
    </row>
    <row r="17104">
      <c r="D17104" s="185"/>
      <c r="E17104" s="185" t="s">
        <v>470</v>
      </c>
      <c r="H17104" s="185"/>
    </row>
    <row r="17105">
      <c r="D17105" s="185"/>
      <c r="E17105" s="185" t="s">
        <v>470</v>
      </c>
      <c r="H17105" s="185"/>
    </row>
    <row r="17106">
      <c r="D17106" s="185"/>
      <c r="E17106" s="185" t="s">
        <v>470</v>
      </c>
      <c r="H17106" s="185"/>
    </row>
    <row r="17107">
      <c r="D17107" s="185"/>
      <c r="E17107" s="185" t="s">
        <v>470</v>
      </c>
      <c r="H17107" s="185"/>
    </row>
    <row r="17108">
      <c r="D17108" s="185"/>
      <c r="E17108" s="185" t="s">
        <v>470</v>
      </c>
      <c r="H17108" s="185"/>
    </row>
    <row r="17109">
      <c r="D17109" s="185"/>
      <c r="E17109" s="185" t="s">
        <v>470</v>
      </c>
      <c r="H17109" s="185"/>
    </row>
    <row r="17110">
      <c r="D17110" s="185"/>
      <c r="E17110" s="185" t="s">
        <v>470</v>
      </c>
      <c r="H17110" s="185"/>
    </row>
    <row r="17111">
      <c r="D17111" s="185"/>
      <c r="E17111" s="185" t="s">
        <v>470</v>
      </c>
      <c r="H17111" s="185"/>
    </row>
    <row r="17112">
      <c r="D17112" s="185"/>
      <c r="E17112" s="185" t="s">
        <v>470</v>
      </c>
      <c r="H17112" s="185"/>
    </row>
    <row r="17113">
      <c r="D17113" s="185"/>
      <c r="E17113" s="185" t="s">
        <v>470</v>
      </c>
      <c r="H17113" s="185"/>
    </row>
    <row r="17114">
      <c r="D17114" s="185"/>
      <c r="E17114" s="185" t="s">
        <v>470</v>
      </c>
      <c r="H17114" s="185"/>
    </row>
    <row r="17115">
      <c r="D17115" s="185"/>
      <c r="E17115" s="185" t="s">
        <v>470</v>
      </c>
      <c r="H17115" s="185"/>
    </row>
    <row r="17116">
      <c r="D17116" s="185"/>
      <c r="E17116" s="185" t="s">
        <v>470</v>
      </c>
      <c r="H17116" s="185"/>
    </row>
    <row r="17117">
      <c r="D17117" s="185"/>
      <c r="E17117" s="185" t="s">
        <v>470</v>
      </c>
      <c r="H17117" s="185"/>
    </row>
    <row r="17118">
      <c r="D17118" s="185"/>
      <c r="E17118" s="185" t="s">
        <v>470</v>
      </c>
      <c r="H17118" s="185"/>
    </row>
    <row r="17119">
      <c r="D17119" s="185"/>
      <c r="E17119" s="185" t="s">
        <v>470</v>
      </c>
      <c r="H17119" s="185"/>
    </row>
    <row r="17120">
      <c r="D17120" s="185"/>
      <c r="E17120" s="185" t="s">
        <v>470</v>
      </c>
      <c r="H17120" s="185"/>
    </row>
    <row r="17121">
      <c r="D17121" s="185"/>
      <c r="E17121" s="185" t="s">
        <v>470</v>
      </c>
      <c r="H17121" s="185"/>
    </row>
    <row r="17122">
      <c r="D17122" s="185"/>
      <c r="E17122" s="185" t="s">
        <v>470</v>
      </c>
      <c r="H17122" s="185"/>
    </row>
    <row r="17123">
      <c r="D17123" s="185"/>
      <c r="E17123" s="185" t="s">
        <v>470</v>
      </c>
      <c r="H17123" s="185"/>
    </row>
    <row r="17124">
      <c r="D17124" s="185"/>
      <c r="E17124" s="185" t="s">
        <v>470</v>
      </c>
      <c r="H17124" s="185"/>
    </row>
    <row r="17125">
      <c r="D17125" s="185"/>
      <c r="E17125" s="185" t="s">
        <v>470</v>
      </c>
      <c r="H17125" s="185"/>
    </row>
    <row r="17126">
      <c r="D17126" s="185"/>
      <c r="E17126" s="185" t="s">
        <v>470</v>
      </c>
      <c r="H17126" s="185"/>
    </row>
    <row r="17127">
      <c r="D17127" s="185"/>
      <c r="E17127" s="185" t="s">
        <v>470</v>
      </c>
      <c r="H17127" s="185"/>
    </row>
    <row r="17128">
      <c r="D17128" s="185"/>
      <c r="E17128" s="185" t="s">
        <v>470</v>
      </c>
      <c r="H17128" s="185"/>
    </row>
    <row r="17129">
      <c r="D17129" s="185"/>
      <c r="E17129" s="185" t="s">
        <v>470</v>
      </c>
      <c r="H17129" s="185"/>
    </row>
    <row r="17130">
      <c r="D17130" s="185"/>
      <c r="E17130" s="185" t="s">
        <v>470</v>
      </c>
      <c r="H17130" s="185"/>
    </row>
    <row r="17131">
      <c r="D17131" s="185"/>
      <c r="E17131" s="185" t="s">
        <v>470</v>
      </c>
      <c r="H17131" s="185"/>
    </row>
    <row r="17132">
      <c r="D17132" s="185"/>
      <c r="E17132" s="185" t="s">
        <v>470</v>
      </c>
      <c r="H17132" s="185"/>
    </row>
    <row r="17133">
      <c r="D17133" s="185"/>
      <c r="E17133" s="185" t="s">
        <v>470</v>
      </c>
      <c r="H17133" s="185"/>
    </row>
    <row r="17134">
      <c r="D17134" s="185"/>
      <c r="E17134" s="185" t="s">
        <v>470</v>
      </c>
      <c r="H17134" s="185"/>
    </row>
    <row r="17135">
      <c r="D17135" s="185"/>
      <c r="E17135" s="185" t="s">
        <v>470</v>
      </c>
      <c r="H17135" s="185"/>
    </row>
    <row r="17136">
      <c r="D17136" s="185"/>
      <c r="E17136" s="185" t="s">
        <v>470</v>
      </c>
      <c r="H17136" s="185"/>
    </row>
    <row r="17137">
      <c r="D17137" s="185"/>
      <c r="E17137" s="185" t="s">
        <v>470</v>
      </c>
      <c r="H17137" s="185"/>
    </row>
    <row r="17138">
      <c r="D17138" s="185"/>
      <c r="E17138" s="185" t="s">
        <v>470</v>
      </c>
      <c r="H17138" s="185"/>
    </row>
    <row r="17139">
      <c r="D17139" s="185"/>
      <c r="E17139" s="185" t="s">
        <v>470</v>
      </c>
      <c r="H17139" s="185"/>
    </row>
    <row r="17140">
      <c r="D17140" s="185"/>
      <c r="E17140" s="185" t="s">
        <v>470</v>
      </c>
      <c r="H17140" s="185"/>
    </row>
    <row r="17141">
      <c r="D17141" s="185"/>
      <c r="E17141" s="185" t="s">
        <v>470</v>
      </c>
      <c r="H17141" s="185"/>
    </row>
    <row r="17142">
      <c r="D17142" s="185"/>
      <c r="E17142" s="185" t="s">
        <v>470</v>
      </c>
      <c r="H17142" s="185"/>
    </row>
    <row r="17143">
      <c r="D17143" s="185"/>
      <c r="E17143" s="185" t="s">
        <v>470</v>
      </c>
      <c r="H17143" s="185"/>
    </row>
    <row r="17144">
      <c r="D17144" s="185"/>
      <c r="E17144" s="185" t="s">
        <v>470</v>
      </c>
      <c r="H17144" s="185"/>
    </row>
    <row r="17145">
      <c r="D17145" s="185"/>
      <c r="E17145" s="185" t="s">
        <v>470</v>
      </c>
      <c r="H17145" s="185"/>
    </row>
    <row r="17146">
      <c r="D17146" s="185"/>
      <c r="E17146" s="185" t="s">
        <v>470</v>
      </c>
      <c r="H17146" s="185"/>
    </row>
    <row r="17147">
      <c r="D17147" s="185"/>
      <c r="E17147" s="185" t="s">
        <v>470</v>
      </c>
      <c r="H17147" s="185"/>
    </row>
    <row r="17148">
      <c r="D17148" s="185"/>
      <c r="E17148" s="185" t="s">
        <v>470</v>
      </c>
      <c r="H17148" s="185"/>
    </row>
    <row r="17149">
      <c r="D17149" s="185"/>
      <c r="E17149" s="185" t="s">
        <v>470</v>
      </c>
      <c r="H17149" s="185"/>
    </row>
    <row r="17150">
      <c r="D17150" s="185"/>
      <c r="E17150" s="185" t="s">
        <v>470</v>
      </c>
      <c r="H17150" s="185"/>
    </row>
    <row r="17151">
      <c r="D17151" s="185"/>
      <c r="E17151" s="185" t="s">
        <v>470</v>
      </c>
      <c r="H17151" s="185"/>
    </row>
    <row r="17152">
      <c r="D17152" s="185"/>
      <c r="E17152" s="185" t="s">
        <v>470</v>
      </c>
      <c r="H17152" s="185"/>
    </row>
    <row r="17153">
      <c r="D17153" s="185"/>
      <c r="E17153" s="185" t="s">
        <v>470</v>
      </c>
      <c r="H17153" s="185"/>
    </row>
    <row r="17154">
      <c r="D17154" s="185"/>
      <c r="E17154" s="185" t="s">
        <v>470</v>
      </c>
      <c r="H17154" s="185"/>
    </row>
    <row r="17155">
      <c r="D17155" s="185"/>
      <c r="E17155" s="185" t="s">
        <v>470</v>
      </c>
      <c r="H17155" s="185"/>
    </row>
    <row r="17156">
      <c r="D17156" s="185"/>
      <c r="E17156" s="185" t="s">
        <v>470</v>
      </c>
      <c r="H17156" s="185"/>
    </row>
    <row r="17157">
      <c r="D17157" s="185"/>
      <c r="E17157" s="185" t="s">
        <v>470</v>
      </c>
      <c r="H17157" s="185"/>
    </row>
    <row r="17158">
      <c r="D17158" s="185"/>
      <c r="E17158" s="185" t="s">
        <v>470</v>
      </c>
      <c r="H17158" s="185"/>
    </row>
    <row r="17159">
      <c r="D17159" s="185"/>
      <c r="E17159" s="185" t="s">
        <v>470</v>
      </c>
      <c r="H17159" s="185"/>
    </row>
    <row r="17160">
      <c r="D17160" s="185"/>
      <c r="E17160" s="185" t="s">
        <v>470</v>
      </c>
      <c r="H17160" s="185"/>
    </row>
    <row r="17161">
      <c r="D17161" s="185"/>
      <c r="E17161" s="185" t="s">
        <v>470</v>
      </c>
      <c r="H17161" s="185"/>
    </row>
    <row r="17162">
      <c r="D17162" s="185"/>
      <c r="E17162" s="185" t="s">
        <v>470</v>
      </c>
      <c r="H17162" s="185"/>
    </row>
    <row r="17163">
      <c r="D17163" s="185"/>
      <c r="E17163" s="185" t="s">
        <v>470</v>
      </c>
      <c r="H17163" s="185"/>
    </row>
    <row r="17164">
      <c r="D17164" s="185"/>
      <c r="E17164" s="185" t="s">
        <v>470</v>
      </c>
      <c r="H17164" s="185"/>
    </row>
    <row r="17165">
      <c r="D17165" s="185"/>
      <c r="E17165" s="185" t="s">
        <v>470</v>
      </c>
      <c r="H17165" s="185"/>
    </row>
    <row r="17166">
      <c r="D17166" s="185"/>
      <c r="E17166" s="185" t="s">
        <v>470</v>
      </c>
      <c r="H17166" s="185"/>
    </row>
    <row r="17167">
      <c r="D17167" s="185"/>
      <c r="E17167" s="185" t="s">
        <v>470</v>
      </c>
      <c r="H17167" s="185"/>
    </row>
    <row r="17168">
      <c r="D17168" s="185"/>
      <c r="E17168" s="185" t="s">
        <v>470</v>
      </c>
      <c r="H17168" s="185"/>
    </row>
    <row r="17169">
      <c r="D17169" s="185"/>
      <c r="E17169" s="185" t="s">
        <v>470</v>
      </c>
      <c r="H17169" s="185"/>
    </row>
    <row r="17170">
      <c r="D17170" s="185"/>
      <c r="E17170" s="185" t="s">
        <v>470</v>
      </c>
      <c r="H17170" s="185"/>
    </row>
    <row r="17171">
      <c r="D17171" s="185"/>
      <c r="E17171" s="185" t="s">
        <v>470</v>
      </c>
      <c r="H17171" s="185"/>
    </row>
    <row r="17172">
      <c r="D17172" s="185"/>
      <c r="E17172" s="185" t="s">
        <v>470</v>
      </c>
      <c r="H17172" s="185"/>
    </row>
    <row r="17173">
      <c r="D17173" s="185"/>
      <c r="E17173" s="185" t="s">
        <v>470</v>
      </c>
      <c r="H17173" s="185"/>
    </row>
    <row r="17174">
      <c r="D17174" s="185"/>
      <c r="E17174" s="185" t="s">
        <v>470</v>
      </c>
      <c r="H17174" s="185"/>
    </row>
    <row r="17175">
      <c r="D17175" s="185"/>
      <c r="E17175" s="185" t="s">
        <v>470</v>
      </c>
      <c r="H17175" s="185"/>
    </row>
    <row r="17176">
      <c r="D17176" s="185"/>
      <c r="E17176" s="185" t="s">
        <v>470</v>
      </c>
      <c r="H17176" s="185"/>
    </row>
    <row r="17177">
      <c r="D17177" s="185"/>
      <c r="E17177" s="185" t="s">
        <v>470</v>
      </c>
      <c r="H17177" s="185"/>
    </row>
    <row r="17178">
      <c r="D17178" s="185"/>
      <c r="E17178" s="185" t="s">
        <v>470</v>
      </c>
      <c r="H17178" s="185"/>
    </row>
    <row r="17179">
      <c r="D17179" s="185"/>
      <c r="E17179" s="185" t="s">
        <v>470</v>
      </c>
      <c r="H17179" s="185"/>
    </row>
    <row r="17180">
      <c r="D17180" s="185"/>
      <c r="E17180" s="185" t="s">
        <v>470</v>
      </c>
      <c r="H17180" s="185"/>
    </row>
    <row r="17181">
      <c r="D17181" s="185"/>
      <c r="E17181" s="185" t="s">
        <v>470</v>
      </c>
      <c r="H17181" s="185"/>
    </row>
    <row r="17182">
      <c r="D17182" s="185"/>
      <c r="E17182" s="185" t="s">
        <v>470</v>
      </c>
      <c r="H17182" s="185"/>
    </row>
    <row r="17183">
      <c r="D17183" s="185"/>
      <c r="E17183" s="185" t="s">
        <v>470</v>
      </c>
      <c r="H17183" s="185"/>
    </row>
    <row r="17184">
      <c r="D17184" s="185"/>
      <c r="E17184" s="185" t="s">
        <v>470</v>
      </c>
      <c r="H17184" s="185"/>
    </row>
    <row r="17185">
      <c r="D17185" s="185"/>
      <c r="E17185" s="185" t="s">
        <v>470</v>
      </c>
      <c r="H17185" s="185"/>
    </row>
    <row r="17186">
      <c r="D17186" s="185"/>
      <c r="E17186" s="185" t="s">
        <v>470</v>
      </c>
      <c r="H17186" s="185"/>
    </row>
    <row r="17187">
      <c r="D17187" s="185"/>
      <c r="E17187" s="185" t="s">
        <v>470</v>
      </c>
      <c r="H17187" s="185"/>
    </row>
    <row r="17188">
      <c r="D17188" s="185"/>
      <c r="E17188" s="185" t="s">
        <v>470</v>
      </c>
      <c r="H17188" s="185"/>
    </row>
    <row r="17189">
      <c r="D17189" s="185"/>
      <c r="E17189" s="185" t="s">
        <v>470</v>
      </c>
      <c r="H17189" s="185"/>
    </row>
    <row r="17190">
      <c r="D17190" s="185"/>
      <c r="E17190" s="185" t="s">
        <v>470</v>
      </c>
      <c r="H17190" s="185"/>
    </row>
    <row r="17191">
      <c r="D17191" s="185"/>
      <c r="E17191" s="185" t="s">
        <v>470</v>
      </c>
      <c r="H17191" s="185"/>
    </row>
    <row r="17192">
      <c r="D17192" s="185"/>
      <c r="E17192" s="185" t="s">
        <v>470</v>
      </c>
      <c r="H17192" s="185"/>
    </row>
    <row r="17193">
      <c r="D17193" s="185"/>
      <c r="E17193" s="185" t="s">
        <v>470</v>
      </c>
      <c r="H17193" s="185"/>
    </row>
    <row r="17194">
      <c r="D17194" s="185"/>
      <c r="E17194" s="185" t="s">
        <v>470</v>
      </c>
      <c r="H17194" s="185"/>
    </row>
    <row r="17195">
      <c r="D17195" s="185"/>
      <c r="E17195" s="185" t="s">
        <v>470</v>
      </c>
      <c r="H17195" s="185"/>
    </row>
    <row r="17196">
      <c r="D17196" s="185"/>
      <c r="E17196" s="185" t="s">
        <v>470</v>
      </c>
      <c r="H17196" s="185"/>
    </row>
    <row r="17197">
      <c r="D17197" s="185"/>
      <c r="E17197" s="185" t="s">
        <v>470</v>
      </c>
      <c r="H17197" s="185"/>
    </row>
    <row r="17198">
      <c r="D17198" s="185"/>
      <c r="E17198" s="185" t="s">
        <v>470</v>
      </c>
      <c r="H17198" s="185"/>
    </row>
    <row r="17199">
      <c r="D17199" s="185"/>
      <c r="E17199" s="185" t="s">
        <v>470</v>
      </c>
      <c r="H17199" s="185"/>
    </row>
    <row r="17200">
      <c r="D17200" s="185"/>
      <c r="E17200" s="185" t="s">
        <v>470</v>
      </c>
      <c r="H17200" s="185"/>
    </row>
    <row r="17201">
      <c r="D17201" s="185"/>
      <c r="E17201" s="185" t="s">
        <v>470</v>
      </c>
      <c r="H17201" s="185"/>
    </row>
    <row r="17202">
      <c r="D17202" s="185"/>
      <c r="E17202" s="185" t="s">
        <v>470</v>
      </c>
      <c r="H17202" s="185"/>
    </row>
    <row r="17203">
      <c r="D17203" s="185"/>
      <c r="E17203" s="185" t="s">
        <v>470</v>
      </c>
      <c r="H17203" s="185"/>
    </row>
    <row r="17204">
      <c r="D17204" s="185"/>
      <c r="E17204" s="185" t="s">
        <v>470</v>
      </c>
      <c r="H17204" s="185"/>
    </row>
    <row r="17205">
      <c r="D17205" s="185"/>
      <c r="E17205" s="185" t="s">
        <v>470</v>
      </c>
      <c r="H17205" s="185"/>
    </row>
    <row r="17206">
      <c r="D17206" s="185"/>
      <c r="E17206" s="185" t="s">
        <v>470</v>
      </c>
      <c r="H17206" s="185"/>
    </row>
    <row r="17207">
      <c r="D17207" s="185"/>
      <c r="E17207" s="185" t="s">
        <v>470</v>
      </c>
      <c r="H17207" s="185"/>
    </row>
    <row r="17208">
      <c r="D17208" s="185"/>
      <c r="E17208" s="185" t="s">
        <v>470</v>
      </c>
      <c r="H17208" s="185"/>
    </row>
    <row r="17209">
      <c r="D17209" s="185"/>
      <c r="E17209" s="185" t="s">
        <v>470</v>
      </c>
      <c r="H17209" s="185"/>
    </row>
    <row r="17210">
      <c r="D17210" s="185"/>
      <c r="E17210" s="185" t="s">
        <v>470</v>
      </c>
      <c r="H17210" s="185"/>
    </row>
    <row r="17211">
      <c r="D17211" s="185"/>
      <c r="E17211" s="185" t="s">
        <v>470</v>
      </c>
      <c r="H17211" s="185"/>
    </row>
    <row r="17212">
      <c r="D17212" s="185"/>
      <c r="E17212" s="185" t="s">
        <v>470</v>
      </c>
      <c r="H17212" s="185"/>
    </row>
    <row r="17213">
      <c r="D17213" s="185"/>
      <c r="E17213" s="185" t="s">
        <v>470</v>
      </c>
      <c r="H17213" s="185"/>
    </row>
    <row r="17214">
      <c r="D17214" s="185"/>
      <c r="E17214" s="185" t="s">
        <v>470</v>
      </c>
      <c r="H17214" s="185"/>
    </row>
    <row r="17215">
      <c r="D17215" s="185"/>
      <c r="E17215" s="185" t="s">
        <v>470</v>
      </c>
      <c r="H17215" s="185"/>
    </row>
    <row r="17216">
      <c r="D17216" s="185"/>
      <c r="E17216" s="185" t="s">
        <v>470</v>
      </c>
      <c r="H17216" s="185"/>
    </row>
    <row r="17217">
      <c r="D17217" s="185"/>
      <c r="E17217" s="185" t="s">
        <v>470</v>
      </c>
      <c r="H17217" s="185"/>
    </row>
    <row r="17218">
      <c r="D17218" s="185"/>
      <c r="E17218" s="185" t="s">
        <v>470</v>
      </c>
      <c r="H17218" s="185"/>
    </row>
    <row r="17219">
      <c r="D17219" s="185"/>
      <c r="E17219" s="185" t="s">
        <v>470</v>
      </c>
      <c r="H17219" s="185"/>
    </row>
    <row r="17220">
      <c r="D17220" s="185"/>
      <c r="E17220" s="185" t="s">
        <v>470</v>
      </c>
      <c r="H17220" s="185"/>
    </row>
    <row r="17221">
      <c r="D17221" s="185"/>
      <c r="E17221" s="185" t="s">
        <v>470</v>
      </c>
      <c r="H17221" s="185"/>
    </row>
    <row r="17222">
      <c r="D17222" s="185"/>
      <c r="E17222" s="185" t="s">
        <v>470</v>
      </c>
      <c r="H17222" s="185"/>
    </row>
    <row r="17223">
      <c r="D17223" s="185"/>
      <c r="E17223" s="185" t="s">
        <v>470</v>
      </c>
      <c r="H17223" s="185"/>
    </row>
    <row r="17224">
      <c r="D17224" s="185"/>
      <c r="E17224" s="185" t="s">
        <v>470</v>
      </c>
      <c r="H17224" s="185"/>
    </row>
    <row r="17225">
      <c r="D17225" s="185"/>
      <c r="E17225" s="185" t="s">
        <v>470</v>
      </c>
      <c r="H17225" s="185"/>
    </row>
    <row r="17226">
      <c r="D17226" s="185"/>
      <c r="E17226" s="185" t="s">
        <v>470</v>
      </c>
      <c r="H17226" s="185"/>
    </row>
    <row r="17227">
      <c r="D17227" s="185"/>
      <c r="E17227" s="185" t="s">
        <v>470</v>
      </c>
      <c r="H17227" s="185"/>
    </row>
    <row r="17228">
      <c r="D17228" s="185"/>
      <c r="E17228" s="185" t="s">
        <v>470</v>
      </c>
      <c r="H17228" s="185"/>
    </row>
    <row r="17229">
      <c r="D17229" s="185"/>
      <c r="E17229" s="185" t="s">
        <v>470</v>
      </c>
      <c r="H17229" s="185"/>
    </row>
    <row r="17230">
      <c r="D17230" s="185"/>
      <c r="E17230" s="185" t="s">
        <v>470</v>
      </c>
      <c r="H17230" s="185"/>
    </row>
    <row r="17231">
      <c r="D17231" s="185"/>
      <c r="E17231" s="185" t="s">
        <v>470</v>
      </c>
      <c r="H17231" s="185"/>
    </row>
    <row r="17232">
      <c r="D17232" s="185"/>
      <c r="E17232" s="185" t="s">
        <v>470</v>
      </c>
      <c r="H17232" s="185"/>
    </row>
    <row r="17233">
      <c r="D17233" s="185"/>
      <c r="E17233" s="185" t="s">
        <v>470</v>
      </c>
      <c r="H17233" s="185"/>
    </row>
    <row r="17234">
      <c r="D17234" s="185"/>
      <c r="E17234" s="185" t="s">
        <v>470</v>
      </c>
      <c r="H17234" s="185"/>
    </row>
    <row r="17235">
      <c r="D17235" s="185"/>
      <c r="E17235" s="185" t="s">
        <v>470</v>
      </c>
      <c r="H17235" s="185"/>
    </row>
    <row r="17236">
      <c r="D17236" s="185"/>
      <c r="E17236" s="185" t="s">
        <v>470</v>
      </c>
      <c r="H17236" s="185"/>
    </row>
    <row r="17237">
      <c r="D17237" s="185"/>
      <c r="E17237" s="185" t="s">
        <v>470</v>
      </c>
      <c r="H17237" s="185"/>
    </row>
    <row r="17238">
      <c r="D17238" s="185"/>
      <c r="E17238" s="185" t="s">
        <v>470</v>
      </c>
      <c r="H17238" s="185"/>
    </row>
    <row r="17239">
      <c r="D17239" s="185"/>
      <c r="E17239" s="185" t="s">
        <v>470</v>
      </c>
      <c r="H17239" s="185"/>
    </row>
    <row r="17240">
      <c r="D17240" s="185"/>
      <c r="E17240" s="185" t="s">
        <v>470</v>
      </c>
      <c r="H17240" s="185"/>
    </row>
    <row r="17241">
      <c r="D17241" s="185"/>
      <c r="E17241" s="185" t="s">
        <v>470</v>
      </c>
      <c r="H17241" s="185"/>
    </row>
    <row r="17242">
      <c r="D17242" s="185"/>
      <c r="E17242" s="185" t="s">
        <v>470</v>
      </c>
      <c r="H17242" s="185"/>
    </row>
    <row r="17243">
      <c r="D17243" s="185"/>
      <c r="E17243" s="185" t="s">
        <v>470</v>
      </c>
      <c r="H17243" s="185"/>
    </row>
    <row r="17244">
      <c r="D17244" s="185"/>
      <c r="E17244" s="185" t="s">
        <v>470</v>
      </c>
      <c r="H17244" s="185"/>
    </row>
    <row r="17245">
      <c r="D17245" s="185"/>
      <c r="E17245" s="185" t="s">
        <v>470</v>
      </c>
      <c r="H17245" s="185"/>
    </row>
    <row r="17246">
      <c r="D17246" s="185"/>
      <c r="E17246" s="185" t="s">
        <v>470</v>
      </c>
      <c r="H17246" s="185"/>
    </row>
    <row r="17247">
      <c r="D17247" s="185"/>
      <c r="E17247" s="185" t="s">
        <v>470</v>
      </c>
      <c r="H17247" s="185"/>
    </row>
    <row r="17248">
      <c r="D17248" s="185"/>
      <c r="E17248" s="185" t="s">
        <v>470</v>
      </c>
      <c r="H17248" s="185"/>
    </row>
    <row r="17249">
      <c r="D17249" s="185"/>
      <c r="E17249" s="185" t="s">
        <v>470</v>
      </c>
      <c r="H17249" s="185"/>
    </row>
    <row r="17250">
      <c r="D17250" s="185"/>
      <c r="E17250" s="185" t="s">
        <v>470</v>
      </c>
      <c r="H17250" s="185"/>
    </row>
    <row r="17251">
      <c r="D17251" s="185"/>
      <c r="E17251" s="185" t="s">
        <v>470</v>
      </c>
      <c r="H17251" s="185"/>
    </row>
    <row r="17252">
      <c r="D17252" s="185"/>
      <c r="E17252" s="185" t="s">
        <v>470</v>
      </c>
      <c r="H17252" s="185"/>
    </row>
    <row r="17253">
      <c r="D17253" s="185"/>
      <c r="E17253" s="185" t="s">
        <v>470</v>
      </c>
      <c r="H17253" s="185"/>
    </row>
    <row r="17254">
      <c r="D17254" s="185"/>
      <c r="E17254" s="185" t="s">
        <v>470</v>
      </c>
      <c r="H17254" s="185"/>
    </row>
    <row r="17255">
      <c r="D17255" s="185"/>
      <c r="E17255" s="185" t="s">
        <v>470</v>
      </c>
      <c r="H17255" s="185"/>
    </row>
    <row r="17256">
      <c r="D17256" s="185"/>
      <c r="E17256" s="185" t="s">
        <v>470</v>
      </c>
      <c r="H17256" s="185"/>
    </row>
    <row r="17257">
      <c r="D17257" s="185"/>
      <c r="E17257" s="185" t="s">
        <v>470</v>
      </c>
      <c r="H17257" s="185"/>
    </row>
    <row r="17258">
      <c r="D17258" s="185"/>
      <c r="E17258" s="185" t="s">
        <v>470</v>
      </c>
      <c r="H17258" s="185"/>
    </row>
    <row r="17259">
      <c r="D17259" s="185"/>
      <c r="E17259" s="185" t="s">
        <v>470</v>
      </c>
      <c r="H17259" s="185"/>
    </row>
    <row r="17260">
      <c r="D17260" s="185"/>
      <c r="E17260" s="185" t="s">
        <v>470</v>
      </c>
      <c r="H17260" s="185"/>
    </row>
    <row r="17261">
      <c r="D17261" s="185"/>
      <c r="E17261" s="185" t="s">
        <v>470</v>
      </c>
      <c r="H17261" s="185"/>
    </row>
    <row r="17262">
      <c r="D17262" s="185"/>
      <c r="E17262" s="185" t="s">
        <v>470</v>
      </c>
      <c r="H17262" s="185"/>
    </row>
    <row r="17263">
      <c r="D17263" s="185"/>
      <c r="E17263" s="185" t="s">
        <v>470</v>
      </c>
      <c r="H17263" s="185"/>
    </row>
    <row r="17264">
      <c r="D17264" s="185"/>
      <c r="E17264" s="185" t="s">
        <v>470</v>
      </c>
      <c r="H17264" s="185"/>
    </row>
    <row r="17265">
      <c r="D17265" s="185"/>
      <c r="E17265" s="185" t="s">
        <v>470</v>
      </c>
      <c r="H17265" s="185"/>
    </row>
    <row r="17266">
      <c r="D17266" s="185"/>
      <c r="E17266" s="185" t="s">
        <v>470</v>
      </c>
      <c r="H17266" s="185"/>
    </row>
    <row r="17267">
      <c r="D17267" s="185"/>
      <c r="E17267" s="185" t="s">
        <v>470</v>
      </c>
      <c r="H17267" s="185"/>
    </row>
    <row r="17268">
      <c r="D17268" s="185"/>
      <c r="E17268" s="185" t="s">
        <v>470</v>
      </c>
      <c r="H17268" s="185"/>
    </row>
    <row r="17269">
      <c r="D17269" s="185"/>
      <c r="E17269" s="185" t="s">
        <v>470</v>
      </c>
      <c r="H17269" s="185"/>
    </row>
    <row r="17270">
      <c r="D17270" s="185"/>
      <c r="E17270" s="185" t="s">
        <v>470</v>
      </c>
      <c r="H17270" s="185"/>
    </row>
    <row r="17271">
      <c r="D17271" s="185"/>
      <c r="E17271" s="185" t="s">
        <v>470</v>
      </c>
      <c r="H17271" s="185"/>
    </row>
    <row r="17272">
      <c r="D17272" s="185"/>
      <c r="E17272" s="185" t="s">
        <v>470</v>
      </c>
      <c r="H17272" s="185"/>
    </row>
    <row r="17273">
      <c r="D17273" s="185"/>
      <c r="E17273" s="185" t="s">
        <v>470</v>
      </c>
      <c r="H17273" s="185"/>
    </row>
    <row r="17274">
      <c r="D17274" s="185"/>
      <c r="E17274" s="185" t="s">
        <v>470</v>
      </c>
      <c r="H17274" s="185"/>
    </row>
    <row r="17275">
      <c r="D17275" s="185"/>
      <c r="E17275" s="185" t="s">
        <v>470</v>
      </c>
      <c r="H17275" s="185"/>
    </row>
    <row r="17276">
      <c r="D17276" s="185"/>
      <c r="E17276" s="185" t="s">
        <v>470</v>
      </c>
      <c r="H17276" s="185"/>
    </row>
    <row r="17277">
      <c r="D17277" s="185"/>
      <c r="E17277" s="185" t="s">
        <v>470</v>
      </c>
      <c r="H17277" s="185"/>
    </row>
    <row r="17278">
      <c r="D17278" s="185"/>
      <c r="E17278" s="185" t="s">
        <v>470</v>
      </c>
      <c r="H17278" s="185"/>
    </row>
    <row r="17279">
      <c r="D17279" s="185"/>
      <c r="E17279" s="185" t="s">
        <v>470</v>
      </c>
      <c r="H17279" s="185"/>
    </row>
    <row r="17280">
      <c r="D17280" s="185"/>
      <c r="E17280" s="185" t="s">
        <v>470</v>
      </c>
      <c r="H17280" s="185"/>
    </row>
    <row r="17281">
      <c r="D17281" s="185"/>
      <c r="E17281" s="185" t="s">
        <v>470</v>
      </c>
      <c r="H17281" s="185"/>
    </row>
    <row r="17282">
      <c r="D17282" s="185"/>
      <c r="E17282" s="185" t="s">
        <v>470</v>
      </c>
      <c r="H17282" s="185"/>
    </row>
    <row r="17283">
      <c r="D17283" s="185"/>
      <c r="E17283" s="185" t="s">
        <v>470</v>
      </c>
      <c r="H17283" s="185"/>
    </row>
    <row r="17284">
      <c r="D17284" s="185"/>
      <c r="E17284" s="185" t="s">
        <v>470</v>
      </c>
      <c r="H17284" s="185"/>
    </row>
    <row r="17285">
      <c r="D17285" s="185"/>
      <c r="E17285" s="185" t="s">
        <v>470</v>
      </c>
      <c r="H17285" s="185"/>
    </row>
    <row r="17286">
      <c r="D17286" s="185"/>
      <c r="E17286" s="185" t="s">
        <v>470</v>
      </c>
      <c r="H17286" s="185"/>
    </row>
    <row r="17287">
      <c r="D17287" s="185"/>
      <c r="E17287" s="185" t="s">
        <v>470</v>
      </c>
      <c r="H17287" s="185"/>
    </row>
    <row r="17288">
      <c r="D17288" s="185"/>
      <c r="E17288" s="185" t="s">
        <v>470</v>
      </c>
      <c r="H17288" s="185"/>
    </row>
    <row r="17289">
      <c r="D17289" s="185"/>
      <c r="E17289" s="185" t="s">
        <v>470</v>
      </c>
      <c r="H17289" s="185"/>
    </row>
    <row r="17290">
      <c r="D17290" s="185"/>
      <c r="E17290" s="185" t="s">
        <v>470</v>
      </c>
      <c r="H17290" s="185"/>
    </row>
    <row r="17291">
      <c r="D17291" s="185"/>
      <c r="E17291" s="185" t="s">
        <v>470</v>
      </c>
      <c r="H17291" s="185"/>
    </row>
    <row r="17292">
      <c r="D17292" s="185"/>
      <c r="E17292" s="185" t="s">
        <v>470</v>
      </c>
      <c r="H17292" s="185"/>
    </row>
    <row r="17293">
      <c r="D17293" s="185"/>
      <c r="E17293" s="185" t="s">
        <v>470</v>
      </c>
      <c r="H17293" s="185"/>
    </row>
    <row r="17294">
      <c r="D17294" s="185"/>
      <c r="E17294" s="185" t="s">
        <v>470</v>
      </c>
      <c r="H17294" s="185"/>
    </row>
    <row r="17295">
      <c r="D17295" s="185"/>
      <c r="E17295" s="185" t="s">
        <v>470</v>
      </c>
      <c r="H17295" s="185"/>
    </row>
    <row r="17296">
      <c r="D17296" s="185"/>
      <c r="E17296" s="185" t="s">
        <v>470</v>
      </c>
      <c r="H17296" s="185"/>
    </row>
    <row r="17297">
      <c r="D17297" s="185"/>
      <c r="E17297" s="185" t="s">
        <v>470</v>
      </c>
      <c r="H17297" s="185"/>
    </row>
    <row r="17298">
      <c r="D17298" s="185"/>
      <c r="E17298" s="185" t="s">
        <v>470</v>
      </c>
      <c r="H17298" s="185"/>
    </row>
    <row r="17299">
      <c r="D17299" s="185"/>
      <c r="E17299" s="185" t="s">
        <v>470</v>
      </c>
      <c r="H17299" s="185"/>
    </row>
    <row r="17300">
      <c r="D17300" s="185"/>
      <c r="E17300" s="185" t="s">
        <v>470</v>
      </c>
      <c r="H17300" s="185"/>
    </row>
    <row r="17301">
      <c r="D17301" s="185"/>
      <c r="E17301" s="185" t="s">
        <v>470</v>
      </c>
      <c r="H17301" s="185"/>
    </row>
    <row r="17302">
      <c r="D17302" s="185"/>
      <c r="E17302" s="185" t="s">
        <v>470</v>
      </c>
      <c r="H17302" s="185"/>
    </row>
    <row r="17303">
      <c r="D17303" s="185"/>
      <c r="E17303" s="185" t="s">
        <v>470</v>
      </c>
      <c r="H17303" s="185"/>
    </row>
    <row r="17304">
      <c r="D17304" s="185"/>
      <c r="E17304" s="185" t="s">
        <v>470</v>
      </c>
      <c r="H17304" s="185"/>
    </row>
    <row r="17305">
      <c r="D17305" s="185"/>
      <c r="E17305" s="185" t="s">
        <v>470</v>
      </c>
      <c r="H17305" s="185"/>
    </row>
    <row r="17306">
      <c r="D17306" s="185"/>
      <c r="E17306" s="185" t="s">
        <v>470</v>
      </c>
      <c r="H17306" s="185"/>
    </row>
    <row r="17307">
      <c r="D17307" s="185"/>
      <c r="E17307" s="185" t="s">
        <v>470</v>
      </c>
      <c r="H17307" s="185"/>
    </row>
    <row r="17308">
      <c r="D17308" s="185"/>
      <c r="E17308" s="185" t="s">
        <v>470</v>
      </c>
      <c r="H17308" s="185"/>
    </row>
    <row r="17309">
      <c r="D17309" s="185"/>
      <c r="E17309" s="185" t="s">
        <v>470</v>
      </c>
      <c r="H17309" s="185"/>
    </row>
    <row r="17310">
      <c r="D17310" s="185"/>
      <c r="E17310" s="185" t="s">
        <v>470</v>
      </c>
      <c r="H17310" s="185"/>
    </row>
    <row r="17311">
      <c r="D17311" s="185"/>
      <c r="E17311" s="185" t="s">
        <v>470</v>
      </c>
      <c r="H17311" s="185"/>
    </row>
    <row r="17312">
      <c r="D17312" s="185"/>
      <c r="E17312" s="185" t="s">
        <v>470</v>
      </c>
      <c r="H17312" s="185"/>
    </row>
    <row r="17313">
      <c r="D17313" s="185"/>
      <c r="E17313" s="185" t="s">
        <v>470</v>
      </c>
      <c r="H17313" s="185"/>
    </row>
    <row r="17314">
      <c r="D17314" s="185"/>
      <c r="E17314" s="185" t="s">
        <v>470</v>
      </c>
      <c r="H17314" s="185"/>
    </row>
    <row r="17315">
      <c r="D17315" s="185"/>
      <c r="E17315" s="185" t="s">
        <v>470</v>
      </c>
      <c r="H17315" s="185"/>
    </row>
    <row r="17316">
      <c r="D17316" s="185"/>
      <c r="E17316" s="185" t="s">
        <v>470</v>
      </c>
      <c r="H17316" s="185"/>
    </row>
    <row r="17317">
      <c r="D17317" s="185"/>
      <c r="E17317" s="185" t="s">
        <v>470</v>
      </c>
      <c r="H17317" s="185"/>
    </row>
    <row r="17318">
      <c r="D17318" s="185"/>
      <c r="E17318" s="185" t="s">
        <v>470</v>
      </c>
      <c r="H17318" s="185"/>
    </row>
    <row r="17319">
      <c r="D17319" s="185"/>
      <c r="E17319" s="185" t="s">
        <v>470</v>
      </c>
      <c r="H17319" s="185"/>
    </row>
    <row r="17320">
      <c r="D17320" s="185"/>
      <c r="E17320" s="185" t="s">
        <v>470</v>
      </c>
      <c r="H17320" s="185"/>
    </row>
    <row r="17321">
      <c r="D17321" s="185"/>
      <c r="E17321" s="185" t="s">
        <v>470</v>
      </c>
      <c r="H17321" s="185"/>
    </row>
    <row r="17322">
      <c r="D17322" s="185"/>
      <c r="E17322" s="185" t="s">
        <v>470</v>
      </c>
      <c r="H17322" s="185"/>
    </row>
    <row r="17323">
      <c r="D17323" s="185"/>
      <c r="E17323" s="185" t="s">
        <v>470</v>
      </c>
      <c r="H17323" s="185"/>
    </row>
    <row r="17324">
      <c r="D17324" s="185"/>
      <c r="E17324" s="185" t="s">
        <v>470</v>
      </c>
      <c r="H17324" s="185"/>
    </row>
    <row r="17325">
      <c r="D17325" s="185"/>
      <c r="E17325" s="185" t="s">
        <v>470</v>
      </c>
      <c r="H17325" s="185"/>
    </row>
    <row r="17326">
      <c r="D17326" s="185"/>
      <c r="E17326" s="185" t="s">
        <v>470</v>
      </c>
      <c r="H17326" s="185"/>
    </row>
    <row r="17327">
      <c r="D17327" s="185"/>
      <c r="E17327" s="185" t="s">
        <v>470</v>
      </c>
      <c r="H17327" s="185"/>
    </row>
    <row r="17328">
      <c r="D17328" s="185"/>
      <c r="E17328" s="185" t="s">
        <v>470</v>
      </c>
      <c r="H17328" s="185"/>
    </row>
    <row r="17329">
      <c r="D17329" s="185"/>
      <c r="E17329" s="185" t="s">
        <v>470</v>
      </c>
      <c r="H17329" s="185"/>
    </row>
    <row r="17330">
      <c r="D17330" s="185"/>
      <c r="E17330" s="185" t="s">
        <v>470</v>
      </c>
      <c r="H17330" s="185"/>
    </row>
    <row r="17331">
      <c r="D17331" s="185"/>
      <c r="E17331" s="185" t="s">
        <v>470</v>
      </c>
      <c r="H17331" s="185"/>
    </row>
    <row r="17332">
      <c r="D17332" s="185"/>
      <c r="E17332" s="185" t="s">
        <v>470</v>
      </c>
      <c r="H17332" s="185"/>
    </row>
    <row r="17333">
      <c r="D17333" s="185"/>
      <c r="E17333" s="185" t="s">
        <v>470</v>
      </c>
      <c r="H17333" s="185"/>
    </row>
    <row r="17334">
      <c r="D17334" s="185"/>
      <c r="E17334" s="185" t="s">
        <v>470</v>
      </c>
      <c r="H17334" s="185"/>
    </row>
    <row r="17335">
      <c r="D17335" s="185"/>
      <c r="E17335" s="185" t="s">
        <v>470</v>
      </c>
      <c r="H17335" s="185"/>
    </row>
    <row r="17336">
      <c r="D17336" s="185"/>
      <c r="E17336" s="185" t="s">
        <v>470</v>
      </c>
      <c r="H17336" s="185"/>
    </row>
    <row r="17337">
      <c r="D17337" s="185"/>
      <c r="E17337" s="185" t="s">
        <v>470</v>
      </c>
      <c r="H17337" s="185"/>
    </row>
    <row r="17338">
      <c r="D17338" s="185"/>
      <c r="E17338" s="185" t="s">
        <v>470</v>
      </c>
      <c r="H17338" s="185"/>
    </row>
    <row r="17339">
      <c r="D17339" s="185"/>
      <c r="E17339" s="185" t="s">
        <v>470</v>
      </c>
      <c r="H17339" s="185"/>
    </row>
    <row r="17340">
      <c r="D17340" s="185"/>
      <c r="E17340" s="185" t="s">
        <v>470</v>
      </c>
      <c r="H17340" s="185"/>
    </row>
    <row r="17341">
      <c r="D17341" s="185"/>
      <c r="E17341" s="185" t="s">
        <v>470</v>
      </c>
      <c r="H17341" s="185"/>
    </row>
    <row r="17342">
      <c r="D17342" s="185"/>
      <c r="E17342" s="185" t="s">
        <v>470</v>
      </c>
      <c r="H17342" s="185"/>
    </row>
    <row r="17343">
      <c r="D17343" s="185"/>
      <c r="E17343" s="185" t="s">
        <v>470</v>
      </c>
      <c r="H17343" s="185"/>
    </row>
    <row r="17344">
      <c r="D17344" s="185"/>
      <c r="E17344" s="185" t="s">
        <v>470</v>
      </c>
      <c r="H17344" s="185"/>
    </row>
    <row r="17345">
      <c r="D17345" s="185"/>
      <c r="E17345" s="185" t="s">
        <v>470</v>
      </c>
      <c r="H17345" s="185"/>
    </row>
    <row r="17346">
      <c r="D17346" s="185"/>
      <c r="E17346" s="185" t="s">
        <v>470</v>
      </c>
      <c r="H17346" s="185"/>
    </row>
    <row r="17347">
      <c r="D17347" s="185"/>
      <c r="E17347" s="185" t="s">
        <v>470</v>
      </c>
      <c r="H17347" s="185"/>
    </row>
    <row r="17348">
      <c r="D17348" s="185"/>
      <c r="E17348" s="185" t="s">
        <v>470</v>
      </c>
      <c r="H17348" s="185"/>
    </row>
    <row r="17349">
      <c r="D17349" s="185"/>
      <c r="E17349" s="185" t="s">
        <v>470</v>
      </c>
      <c r="H17349" s="185"/>
    </row>
    <row r="17350">
      <c r="D17350" s="185"/>
      <c r="E17350" s="185" t="s">
        <v>470</v>
      </c>
      <c r="H17350" s="185"/>
    </row>
    <row r="17351">
      <c r="D17351" s="185"/>
      <c r="E17351" s="185" t="s">
        <v>470</v>
      </c>
      <c r="H17351" s="185"/>
    </row>
    <row r="17352">
      <c r="D17352" s="185"/>
      <c r="E17352" s="185" t="s">
        <v>470</v>
      </c>
      <c r="H17352" s="185"/>
    </row>
    <row r="17353">
      <c r="D17353" s="185"/>
      <c r="E17353" s="185" t="s">
        <v>470</v>
      </c>
      <c r="H17353" s="185"/>
    </row>
    <row r="17354">
      <c r="D17354" s="185"/>
      <c r="E17354" s="185" t="s">
        <v>470</v>
      </c>
      <c r="H17354" s="185"/>
    </row>
    <row r="17355">
      <c r="D17355" s="185"/>
      <c r="E17355" s="185" t="s">
        <v>470</v>
      </c>
      <c r="H17355" s="185"/>
    </row>
    <row r="17356">
      <c r="D17356" s="185"/>
      <c r="E17356" s="185" t="s">
        <v>470</v>
      </c>
      <c r="H17356" s="185"/>
    </row>
    <row r="17357">
      <c r="D17357" s="185"/>
      <c r="E17357" s="185" t="s">
        <v>470</v>
      </c>
      <c r="H17357" s="185"/>
    </row>
    <row r="17358">
      <c r="D17358" s="185"/>
      <c r="E17358" s="185" t="s">
        <v>470</v>
      </c>
      <c r="H17358" s="185"/>
    </row>
    <row r="17359">
      <c r="D17359" s="185"/>
      <c r="E17359" s="185" t="s">
        <v>470</v>
      </c>
      <c r="H17359" s="185"/>
    </row>
    <row r="17360">
      <c r="D17360" s="185"/>
      <c r="E17360" s="185" t="s">
        <v>470</v>
      </c>
      <c r="H17360" s="185"/>
    </row>
    <row r="17361">
      <c r="D17361" s="185"/>
      <c r="E17361" s="185" t="s">
        <v>470</v>
      </c>
      <c r="H17361" s="185"/>
    </row>
    <row r="17362">
      <c r="D17362" s="185"/>
      <c r="E17362" s="185" t="s">
        <v>470</v>
      </c>
      <c r="H17362" s="185"/>
    </row>
    <row r="17363">
      <c r="D17363" s="185"/>
      <c r="E17363" s="185" t="s">
        <v>470</v>
      </c>
      <c r="H17363" s="185"/>
    </row>
    <row r="17364">
      <c r="D17364" s="185"/>
      <c r="E17364" s="185" t="s">
        <v>470</v>
      </c>
      <c r="H17364" s="185"/>
    </row>
    <row r="17365">
      <c r="D17365" s="185"/>
      <c r="E17365" s="185" t="s">
        <v>470</v>
      </c>
      <c r="H17365" s="185"/>
    </row>
    <row r="17366">
      <c r="D17366" s="185"/>
      <c r="E17366" s="185" t="s">
        <v>470</v>
      </c>
      <c r="H17366" s="185"/>
    </row>
    <row r="17367">
      <c r="D17367" s="185"/>
      <c r="E17367" s="185" t="s">
        <v>470</v>
      </c>
      <c r="H17367" s="185"/>
    </row>
    <row r="17368">
      <c r="D17368" s="185"/>
      <c r="E17368" s="185" t="s">
        <v>470</v>
      </c>
      <c r="H17368" s="185"/>
    </row>
    <row r="17369">
      <c r="D17369" s="185"/>
      <c r="E17369" s="185" t="s">
        <v>470</v>
      </c>
      <c r="H17369" s="185"/>
    </row>
    <row r="17370">
      <c r="D17370" s="185"/>
      <c r="E17370" s="185" t="s">
        <v>470</v>
      </c>
      <c r="H17370" s="185"/>
    </row>
    <row r="17371">
      <c r="D17371" s="185"/>
      <c r="E17371" s="185" t="s">
        <v>470</v>
      </c>
      <c r="H17371" s="185"/>
    </row>
    <row r="17372">
      <c r="D17372" s="185"/>
      <c r="E17372" s="185" t="s">
        <v>470</v>
      </c>
      <c r="H17372" s="185"/>
    </row>
    <row r="17373">
      <c r="D17373" s="185"/>
      <c r="E17373" s="185" t="s">
        <v>470</v>
      </c>
      <c r="H17373" s="185"/>
    </row>
    <row r="17374">
      <c r="D17374" s="185"/>
      <c r="E17374" s="185" t="s">
        <v>470</v>
      </c>
      <c r="H17374" s="185"/>
    </row>
    <row r="17375">
      <c r="D17375" s="185"/>
      <c r="E17375" s="185" t="s">
        <v>470</v>
      </c>
      <c r="H17375" s="185"/>
    </row>
    <row r="17376">
      <c r="D17376" s="185"/>
      <c r="E17376" s="185" t="s">
        <v>470</v>
      </c>
      <c r="H17376" s="185"/>
    </row>
    <row r="17377">
      <c r="D17377" s="185"/>
      <c r="E17377" s="185" t="s">
        <v>470</v>
      </c>
      <c r="H17377" s="185"/>
    </row>
    <row r="17378">
      <c r="D17378" s="185"/>
      <c r="E17378" s="185" t="s">
        <v>470</v>
      </c>
      <c r="H17378" s="185"/>
    </row>
    <row r="17379">
      <c r="D17379" s="185"/>
      <c r="E17379" s="185" t="s">
        <v>470</v>
      </c>
      <c r="H17379" s="185"/>
    </row>
    <row r="17380">
      <c r="D17380" s="185"/>
      <c r="E17380" s="185" t="s">
        <v>470</v>
      </c>
      <c r="H17380" s="185"/>
    </row>
    <row r="17381">
      <c r="D17381" s="185"/>
      <c r="E17381" s="185" t="s">
        <v>470</v>
      </c>
      <c r="H17381" s="185"/>
    </row>
    <row r="17382">
      <c r="D17382" s="185"/>
      <c r="E17382" s="185" t="s">
        <v>470</v>
      </c>
      <c r="H17382" s="185"/>
    </row>
    <row r="17383">
      <c r="D17383" s="185"/>
      <c r="E17383" s="185" t="s">
        <v>470</v>
      </c>
      <c r="H17383" s="185"/>
    </row>
    <row r="17384">
      <c r="D17384" s="185"/>
      <c r="E17384" s="185" t="s">
        <v>470</v>
      </c>
      <c r="H17384" s="185"/>
    </row>
    <row r="17385">
      <c r="D17385" s="185"/>
      <c r="E17385" s="185" t="s">
        <v>470</v>
      </c>
      <c r="H17385" s="185"/>
    </row>
    <row r="17386">
      <c r="D17386" s="185"/>
      <c r="E17386" s="185" t="s">
        <v>470</v>
      </c>
      <c r="H17386" s="185"/>
    </row>
    <row r="17387">
      <c r="D17387" s="185"/>
      <c r="E17387" s="185" t="s">
        <v>470</v>
      </c>
      <c r="H17387" s="185"/>
    </row>
    <row r="17388">
      <c r="D17388" s="185"/>
      <c r="E17388" s="185" t="s">
        <v>470</v>
      </c>
      <c r="H17388" s="185"/>
    </row>
    <row r="17389">
      <c r="D17389" s="185"/>
      <c r="E17389" s="185" t="s">
        <v>470</v>
      </c>
      <c r="H17389" s="185"/>
    </row>
    <row r="17390">
      <c r="D17390" s="185"/>
      <c r="E17390" s="185" t="s">
        <v>470</v>
      </c>
      <c r="H17390" s="185"/>
    </row>
    <row r="17391">
      <c r="D17391" s="185"/>
      <c r="E17391" s="185" t="s">
        <v>470</v>
      </c>
      <c r="H17391" s="185"/>
    </row>
    <row r="17392">
      <c r="D17392" s="185"/>
      <c r="E17392" s="185" t="s">
        <v>470</v>
      </c>
      <c r="H17392" s="185"/>
    </row>
    <row r="17393">
      <c r="D17393" s="185"/>
      <c r="E17393" s="185" t="s">
        <v>470</v>
      </c>
      <c r="H17393" s="185"/>
    </row>
    <row r="17394">
      <c r="D17394" s="185"/>
      <c r="E17394" s="185" t="s">
        <v>470</v>
      </c>
      <c r="H17394" s="185"/>
    </row>
    <row r="17395">
      <c r="D17395" s="185"/>
      <c r="E17395" s="185" t="s">
        <v>470</v>
      </c>
      <c r="H17395" s="185"/>
    </row>
    <row r="17396">
      <c r="D17396" s="185"/>
      <c r="E17396" s="185" t="s">
        <v>470</v>
      </c>
      <c r="H17396" s="185"/>
    </row>
    <row r="17397">
      <c r="D17397" s="185"/>
      <c r="E17397" s="185" t="s">
        <v>470</v>
      </c>
      <c r="H17397" s="185"/>
    </row>
    <row r="17398">
      <c r="D17398" s="185"/>
      <c r="E17398" s="185" t="s">
        <v>470</v>
      </c>
      <c r="H17398" s="185"/>
    </row>
    <row r="17399">
      <c r="D17399" s="185"/>
      <c r="E17399" s="185" t="s">
        <v>470</v>
      </c>
      <c r="H17399" s="185"/>
    </row>
    <row r="17400">
      <c r="D17400" s="185"/>
      <c r="E17400" s="185" t="s">
        <v>470</v>
      </c>
      <c r="H17400" s="185"/>
    </row>
    <row r="17401">
      <c r="D17401" s="185"/>
      <c r="E17401" s="185" t="s">
        <v>470</v>
      </c>
      <c r="H17401" s="185"/>
    </row>
    <row r="17402">
      <c r="D17402" s="185"/>
      <c r="E17402" s="185" t="s">
        <v>470</v>
      </c>
      <c r="H17402" s="185"/>
    </row>
    <row r="17403">
      <c r="D17403" s="185"/>
      <c r="E17403" s="185" t="s">
        <v>470</v>
      </c>
      <c r="H17403" s="185"/>
    </row>
    <row r="17404">
      <c r="D17404" s="185"/>
      <c r="E17404" s="185" t="s">
        <v>470</v>
      </c>
      <c r="H17404" s="185"/>
    </row>
    <row r="17405">
      <c r="D17405" s="185"/>
      <c r="E17405" s="185" t="s">
        <v>470</v>
      </c>
      <c r="H17405" s="185"/>
    </row>
    <row r="17406">
      <c r="D17406" s="185"/>
      <c r="E17406" s="185" t="s">
        <v>470</v>
      </c>
      <c r="H17406" s="185"/>
    </row>
    <row r="17407">
      <c r="D17407" s="185"/>
      <c r="E17407" s="185" t="s">
        <v>470</v>
      </c>
      <c r="H17407" s="185"/>
    </row>
    <row r="17408">
      <c r="D17408" s="185"/>
      <c r="E17408" s="185" t="s">
        <v>470</v>
      </c>
      <c r="H17408" s="185"/>
    </row>
    <row r="17409">
      <c r="D17409" s="185"/>
      <c r="E17409" s="185" t="s">
        <v>470</v>
      </c>
      <c r="H17409" s="185"/>
    </row>
    <row r="17410">
      <c r="D17410" s="185"/>
      <c r="E17410" s="185" t="s">
        <v>470</v>
      </c>
      <c r="H17410" s="185"/>
    </row>
    <row r="17411">
      <c r="D17411" s="185"/>
      <c r="E17411" s="185" t="s">
        <v>470</v>
      </c>
      <c r="H17411" s="185"/>
    </row>
    <row r="17412">
      <c r="D17412" s="185"/>
      <c r="E17412" s="185" t="s">
        <v>470</v>
      </c>
      <c r="H17412" s="185"/>
    </row>
    <row r="17413">
      <c r="D17413" s="185"/>
      <c r="E17413" s="185" t="s">
        <v>470</v>
      </c>
      <c r="H17413" s="185"/>
    </row>
    <row r="17414">
      <c r="D17414" s="185"/>
      <c r="E17414" s="185" t="s">
        <v>470</v>
      </c>
      <c r="H17414" s="185"/>
    </row>
    <row r="17415">
      <c r="D17415" s="185"/>
      <c r="E17415" s="185" t="s">
        <v>470</v>
      </c>
      <c r="H17415" s="185"/>
    </row>
    <row r="17416">
      <c r="D17416" s="185"/>
      <c r="E17416" s="185" t="s">
        <v>470</v>
      </c>
      <c r="H17416" s="185"/>
    </row>
    <row r="17417">
      <c r="D17417" s="185"/>
      <c r="E17417" s="185" t="s">
        <v>470</v>
      </c>
      <c r="H17417" s="185"/>
    </row>
    <row r="17418">
      <c r="D17418" s="185"/>
      <c r="E17418" s="185" t="s">
        <v>470</v>
      </c>
      <c r="H17418" s="185"/>
    </row>
    <row r="17419">
      <c r="D17419" s="185"/>
      <c r="E17419" s="185" t="s">
        <v>470</v>
      </c>
      <c r="H17419" s="185"/>
    </row>
    <row r="17420">
      <c r="D17420" s="185"/>
      <c r="E17420" s="185" t="s">
        <v>470</v>
      </c>
      <c r="H17420" s="185"/>
    </row>
    <row r="17421">
      <c r="D17421" s="185"/>
      <c r="E17421" s="185" t="s">
        <v>470</v>
      </c>
      <c r="H17421" s="185"/>
    </row>
    <row r="17422">
      <c r="D17422" s="185"/>
      <c r="E17422" s="185" t="s">
        <v>470</v>
      </c>
      <c r="H17422" s="185"/>
    </row>
    <row r="17423">
      <c r="D17423" s="185"/>
      <c r="E17423" s="185" t="s">
        <v>470</v>
      </c>
      <c r="H17423" s="185"/>
    </row>
    <row r="17424">
      <c r="D17424" s="185"/>
      <c r="E17424" s="185" t="s">
        <v>470</v>
      </c>
      <c r="H17424" s="185"/>
    </row>
    <row r="17425">
      <c r="D17425" s="185"/>
      <c r="E17425" s="185" t="s">
        <v>470</v>
      </c>
      <c r="H17425" s="185"/>
    </row>
    <row r="17426">
      <c r="D17426" s="185"/>
      <c r="E17426" s="185" t="s">
        <v>470</v>
      </c>
      <c r="H17426" s="185"/>
    </row>
    <row r="17427">
      <c r="D17427" s="185"/>
      <c r="E17427" s="185" t="s">
        <v>470</v>
      </c>
      <c r="H17427" s="185"/>
    </row>
    <row r="17428">
      <c r="D17428" s="185"/>
      <c r="E17428" s="185" t="s">
        <v>470</v>
      </c>
      <c r="H17428" s="185"/>
    </row>
    <row r="17429">
      <c r="D17429" s="185"/>
      <c r="E17429" s="185" t="s">
        <v>470</v>
      </c>
      <c r="H17429" s="185"/>
    </row>
    <row r="17430">
      <c r="D17430" s="185"/>
      <c r="E17430" s="185" t="s">
        <v>470</v>
      </c>
      <c r="H17430" s="185"/>
    </row>
    <row r="17431">
      <c r="D17431" s="185"/>
      <c r="E17431" s="185" t="s">
        <v>470</v>
      </c>
      <c r="H17431" s="185"/>
    </row>
    <row r="17432">
      <c r="D17432" s="185"/>
      <c r="E17432" s="185" t="s">
        <v>470</v>
      </c>
      <c r="H17432" s="185"/>
    </row>
    <row r="17433">
      <c r="D17433" s="185"/>
      <c r="E17433" s="185" t="s">
        <v>470</v>
      </c>
      <c r="H17433" s="185"/>
    </row>
    <row r="17434">
      <c r="D17434" s="185"/>
      <c r="E17434" s="185" t="s">
        <v>470</v>
      </c>
      <c r="H17434" s="185"/>
    </row>
    <row r="17435">
      <c r="D17435" s="185"/>
      <c r="E17435" s="185" t="s">
        <v>470</v>
      </c>
      <c r="H17435" s="185"/>
    </row>
    <row r="17436">
      <c r="D17436" s="185"/>
      <c r="E17436" s="185" t="s">
        <v>470</v>
      </c>
      <c r="H17436" s="185"/>
    </row>
    <row r="17437">
      <c r="D17437" s="185"/>
      <c r="E17437" s="185" t="s">
        <v>470</v>
      </c>
      <c r="H17437" s="185"/>
    </row>
    <row r="17438">
      <c r="D17438" s="185"/>
      <c r="E17438" s="185" t="s">
        <v>470</v>
      </c>
      <c r="H17438" s="185"/>
    </row>
    <row r="17439">
      <c r="D17439" s="185"/>
      <c r="E17439" s="185" t="s">
        <v>470</v>
      </c>
      <c r="H17439" s="185"/>
    </row>
    <row r="17440">
      <c r="D17440" s="185"/>
      <c r="E17440" s="185" t="s">
        <v>470</v>
      </c>
      <c r="H17440" s="185"/>
    </row>
    <row r="17441">
      <c r="D17441" s="185"/>
      <c r="E17441" s="185" t="s">
        <v>470</v>
      </c>
      <c r="H17441" s="185"/>
    </row>
    <row r="17442">
      <c r="D17442" s="185"/>
      <c r="E17442" s="185" t="s">
        <v>470</v>
      </c>
      <c r="H17442" s="185"/>
    </row>
    <row r="17443">
      <c r="D17443" s="185"/>
      <c r="E17443" s="185" t="s">
        <v>470</v>
      </c>
      <c r="H17443" s="185"/>
    </row>
    <row r="17444">
      <c r="D17444" s="185"/>
      <c r="E17444" s="185" t="s">
        <v>470</v>
      </c>
      <c r="H17444" s="185"/>
    </row>
    <row r="17445">
      <c r="D17445" s="185"/>
      <c r="E17445" s="185" t="s">
        <v>470</v>
      </c>
      <c r="H17445" s="185"/>
    </row>
    <row r="17446">
      <c r="D17446" s="185"/>
      <c r="E17446" s="185" t="s">
        <v>470</v>
      </c>
      <c r="H17446" s="185"/>
    </row>
    <row r="17447">
      <c r="D17447" s="185"/>
      <c r="E17447" s="185" t="s">
        <v>470</v>
      </c>
      <c r="H17447" s="185"/>
    </row>
    <row r="17448">
      <c r="D17448" s="185"/>
      <c r="E17448" s="185" t="s">
        <v>470</v>
      </c>
      <c r="H17448" s="185"/>
    </row>
    <row r="17449">
      <c r="D17449" s="185"/>
      <c r="E17449" s="185" t="s">
        <v>470</v>
      </c>
      <c r="H17449" s="185"/>
    </row>
    <row r="17450">
      <c r="D17450" s="185"/>
      <c r="E17450" s="185" t="s">
        <v>470</v>
      </c>
      <c r="H17450" s="185"/>
    </row>
    <row r="17451">
      <c r="D17451" s="185"/>
      <c r="E17451" s="185" t="s">
        <v>470</v>
      </c>
      <c r="H17451" s="185"/>
    </row>
    <row r="17452">
      <c r="D17452" s="185"/>
      <c r="E17452" s="185" t="s">
        <v>470</v>
      </c>
      <c r="H17452" s="185"/>
    </row>
    <row r="17453">
      <c r="D17453" s="185"/>
      <c r="E17453" s="185" t="s">
        <v>470</v>
      </c>
      <c r="H17453" s="185"/>
    </row>
    <row r="17454">
      <c r="D17454" s="185"/>
      <c r="E17454" s="185" t="s">
        <v>470</v>
      </c>
      <c r="H17454" s="185"/>
    </row>
    <row r="17455">
      <c r="D17455" s="185"/>
      <c r="E17455" s="185" t="s">
        <v>470</v>
      </c>
      <c r="H17455" s="185"/>
    </row>
    <row r="17456">
      <c r="D17456" s="185"/>
      <c r="E17456" s="185" t="s">
        <v>470</v>
      </c>
      <c r="H17456" s="185"/>
    </row>
    <row r="17457">
      <c r="D17457" s="185"/>
      <c r="E17457" s="185" t="s">
        <v>470</v>
      </c>
      <c r="H17457" s="185"/>
    </row>
    <row r="17458">
      <c r="D17458" s="185"/>
      <c r="E17458" s="185" t="s">
        <v>470</v>
      </c>
      <c r="H17458" s="185"/>
    </row>
    <row r="17459">
      <c r="D17459" s="185"/>
      <c r="E17459" s="185" t="s">
        <v>470</v>
      </c>
      <c r="H17459" s="185"/>
    </row>
    <row r="17460">
      <c r="D17460" s="185"/>
      <c r="E17460" s="185" t="s">
        <v>470</v>
      </c>
      <c r="H17460" s="185"/>
    </row>
    <row r="17461">
      <c r="D17461" s="185"/>
      <c r="E17461" s="185" t="s">
        <v>470</v>
      </c>
      <c r="H17461" s="185"/>
    </row>
    <row r="17462">
      <c r="D17462" s="185"/>
      <c r="E17462" s="185" t="s">
        <v>470</v>
      </c>
      <c r="H17462" s="185"/>
    </row>
    <row r="17463">
      <c r="D17463" s="185"/>
      <c r="E17463" s="185" t="s">
        <v>470</v>
      </c>
      <c r="H17463" s="185"/>
    </row>
    <row r="17464">
      <c r="D17464" s="185"/>
      <c r="E17464" s="185" t="s">
        <v>470</v>
      </c>
      <c r="H17464" s="185"/>
    </row>
    <row r="17465">
      <c r="D17465" s="185"/>
      <c r="E17465" s="185" t="s">
        <v>470</v>
      </c>
      <c r="H17465" s="185"/>
    </row>
    <row r="17466">
      <c r="D17466" s="185"/>
      <c r="E17466" s="185" t="s">
        <v>470</v>
      </c>
      <c r="H17466" s="185"/>
    </row>
    <row r="17467">
      <c r="D17467" s="185"/>
      <c r="E17467" s="185" t="s">
        <v>470</v>
      </c>
      <c r="H17467" s="185"/>
    </row>
    <row r="17468">
      <c r="D17468" s="185"/>
      <c r="E17468" s="185" t="s">
        <v>470</v>
      </c>
      <c r="H17468" s="185"/>
    </row>
    <row r="17469">
      <c r="D17469" s="185"/>
      <c r="E17469" s="185" t="s">
        <v>470</v>
      </c>
      <c r="H17469" s="185"/>
    </row>
    <row r="17470">
      <c r="D17470" s="185"/>
      <c r="E17470" s="185" t="s">
        <v>470</v>
      </c>
      <c r="H17470" s="185"/>
    </row>
    <row r="17471">
      <c r="D17471" s="185"/>
      <c r="E17471" s="185" t="s">
        <v>470</v>
      </c>
      <c r="H17471" s="185"/>
    </row>
    <row r="17472">
      <c r="D17472" s="185"/>
      <c r="E17472" s="185" t="s">
        <v>470</v>
      </c>
      <c r="H17472" s="185"/>
    </row>
    <row r="17473">
      <c r="D17473" s="185"/>
      <c r="E17473" s="185" t="s">
        <v>470</v>
      </c>
      <c r="H17473" s="185"/>
    </row>
    <row r="17474">
      <c r="D17474" s="185"/>
      <c r="E17474" s="185" t="s">
        <v>470</v>
      </c>
      <c r="H17474" s="185"/>
    </row>
    <row r="17475">
      <c r="D17475" s="185"/>
      <c r="E17475" s="185" t="s">
        <v>470</v>
      </c>
      <c r="H17475" s="185"/>
    </row>
    <row r="17476">
      <c r="D17476" s="185"/>
      <c r="E17476" s="185" t="s">
        <v>470</v>
      </c>
      <c r="H17476" s="185"/>
    </row>
    <row r="17477">
      <c r="D17477" s="185"/>
      <c r="E17477" s="185" t="s">
        <v>470</v>
      </c>
      <c r="H17477" s="185"/>
    </row>
    <row r="17478">
      <c r="D17478" s="185"/>
      <c r="E17478" s="185" t="s">
        <v>470</v>
      </c>
      <c r="H17478" s="185"/>
    </row>
    <row r="17479">
      <c r="D17479" s="185"/>
      <c r="E17479" s="185" t="s">
        <v>470</v>
      </c>
      <c r="H17479" s="185"/>
    </row>
    <row r="17480">
      <c r="D17480" s="185"/>
      <c r="E17480" s="185" t="s">
        <v>470</v>
      </c>
      <c r="H17480" s="185"/>
    </row>
    <row r="17481">
      <c r="D17481" s="185"/>
      <c r="E17481" s="185" t="s">
        <v>470</v>
      </c>
      <c r="H17481" s="185"/>
    </row>
    <row r="17482">
      <c r="D17482" s="185"/>
      <c r="E17482" s="185" t="s">
        <v>470</v>
      </c>
      <c r="H17482" s="185"/>
    </row>
    <row r="17483">
      <c r="D17483" s="185"/>
      <c r="E17483" s="185" t="s">
        <v>470</v>
      </c>
      <c r="H17483" s="185"/>
    </row>
    <row r="17484">
      <c r="D17484" s="185"/>
      <c r="E17484" s="185" t="s">
        <v>470</v>
      </c>
      <c r="H17484" s="185"/>
    </row>
    <row r="17485">
      <c r="D17485" s="185"/>
      <c r="E17485" s="185" t="s">
        <v>470</v>
      </c>
      <c r="H17485" s="185"/>
    </row>
    <row r="17486">
      <c r="D17486" s="185"/>
      <c r="E17486" s="185" t="s">
        <v>470</v>
      </c>
      <c r="H17486" s="185"/>
    </row>
    <row r="17487">
      <c r="D17487" s="185"/>
      <c r="E17487" s="185" t="s">
        <v>470</v>
      </c>
      <c r="H17487" s="185"/>
    </row>
    <row r="17488">
      <c r="D17488" s="185"/>
      <c r="E17488" s="185" t="s">
        <v>470</v>
      </c>
      <c r="H17488" s="185"/>
    </row>
    <row r="17489">
      <c r="D17489" s="185"/>
      <c r="E17489" s="185" t="s">
        <v>470</v>
      </c>
      <c r="H17489" s="185"/>
    </row>
    <row r="17490">
      <c r="D17490" s="185"/>
      <c r="E17490" s="185" t="s">
        <v>470</v>
      </c>
      <c r="H17490" s="185"/>
    </row>
    <row r="17491">
      <c r="D17491" s="185"/>
      <c r="E17491" s="185" t="s">
        <v>470</v>
      </c>
      <c r="H17491" s="185"/>
    </row>
    <row r="17492">
      <c r="D17492" s="185"/>
      <c r="E17492" s="185" t="s">
        <v>470</v>
      </c>
      <c r="H17492" s="185"/>
    </row>
    <row r="17493">
      <c r="D17493" s="185"/>
      <c r="E17493" s="185" t="s">
        <v>470</v>
      </c>
      <c r="H17493" s="185"/>
    </row>
    <row r="17494">
      <c r="D17494" s="185"/>
      <c r="E17494" s="185" t="s">
        <v>470</v>
      </c>
      <c r="H17494" s="185"/>
    </row>
    <row r="17495">
      <c r="D17495" s="185"/>
      <c r="E17495" s="185" t="s">
        <v>470</v>
      </c>
      <c r="H17495" s="185"/>
    </row>
    <row r="17496">
      <c r="D17496" s="185"/>
      <c r="E17496" s="185" t="s">
        <v>470</v>
      </c>
      <c r="H17496" s="185"/>
    </row>
    <row r="17497">
      <c r="D17497" s="185"/>
      <c r="E17497" s="185" t="s">
        <v>470</v>
      </c>
      <c r="H17497" s="185"/>
    </row>
    <row r="17498">
      <c r="D17498" s="185"/>
      <c r="E17498" s="185" t="s">
        <v>470</v>
      </c>
      <c r="H17498" s="185"/>
    </row>
    <row r="17499">
      <c r="D17499" s="185"/>
      <c r="E17499" s="185" t="s">
        <v>470</v>
      </c>
      <c r="H17499" s="185"/>
    </row>
    <row r="17500">
      <c r="D17500" s="185"/>
      <c r="E17500" s="185" t="s">
        <v>470</v>
      </c>
      <c r="H17500" s="185"/>
    </row>
    <row r="17501">
      <c r="D17501" s="185"/>
      <c r="E17501" s="185" t="s">
        <v>470</v>
      </c>
      <c r="H17501" s="185"/>
    </row>
    <row r="17502">
      <c r="D17502" s="185"/>
      <c r="E17502" s="185" t="s">
        <v>470</v>
      </c>
      <c r="H17502" s="185"/>
    </row>
    <row r="17503">
      <c r="D17503" s="185"/>
      <c r="E17503" s="185" t="s">
        <v>470</v>
      </c>
      <c r="H17503" s="185"/>
    </row>
    <row r="17504">
      <c r="D17504" s="185"/>
      <c r="E17504" s="185" t="s">
        <v>470</v>
      </c>
      <c r="H17504" s="185"/>
    </row>
    <row r="17505">
      <c r="D17505" s="185"/>
      <c r="E17505" s="185" t="s">
        <v>470</v>
      </c>
      <c r="H17505" s="185"/>
    </row>
    <row r="17506">
      <c r="D17506" s="185"/>
      <c r="E17506" s="185" t="s">
        <v>470</v>
      </c>
      <c r="H17506" s="185"/>
    </row>
    <row r="17507">
      <c r="D17507" s="185"/>
      <c r="E17507" s="185" t="s">
        <v>470</v>
      </c>
      <c r="H17507" s="185"/>
    </row>
    <row r="17508">
      <c r="D17508" s="185"/>
      <c r="E17508" s="185" t="s">
        <v>470</v>
      </c>
      <c r="H17508" s="185"/>
    </row>
    <row r="17509">
      <c r="D17509" s="185"/>
      <c r="E17509" s="185" t="s">
        <v>470</v>
      </c>
      <c r="H17509" s="185"/>
    </row>
    <row r="17510">
      <c r="D17510" s="185"/>
      <c r="E17510" s="185" t="s">
        <v>470</v>
      </c>
      <c r="H17510" s="185"/>
    </row>
    <row r="17511">
      <c r="D17511" s="185"/>
      <c r="E17511" s="185" t="s">
        <v>470</v>
      </c>
      <c r="H17511" s="185"/>
    </row>
    <row r="17512">
      <c r="D17512" s="185"/>
      <c r="E17512" s="185" t="s">
        <v>470</v>
      </c>
      <c r="H17512" s="185"/>
    </row>
    <row r="17513">
      <c r="D17513" s="185"/>
      <c r="E17513" s="185" t="s">
        <v>470</v>
      </c>
      <c r="H17513" s="185"/>
    </row>
    <row r="17514">
      <c r="D17514" s="185"/>
      <c r="E17514" s="185" t="s">
        <v>470</v>
      </c>
      <c r="H17514" s="185"/>
    </row>
    <row r="17515">
      <c r="D17515" s="185"/>
      <c r="E17515" s="185" t="s">
        <v>470</v>
      </c>
      <c r="H17515" s="185"/>
    </row>
    <row r="17516">
      <c r="D17516" s="185"/>
      <c r="E17516" s="185" t="s">
        <v>470</v>
      </c>
      <c r="H17516" s="185"/>
    </row>
    <row r="17517">
      <c r="D17517" s="185"/>
      <c r="E17517" s="185" t="s">
        <v>470</v>
      </c>
      <c r="H17517" s="185"/>
    </row>
    <row r="17518">
      <c r="D17518" s="185"/>
      <c r="E17518" s="185" t="s">
        <v>470</v>
      </c>
      <c r="H17518" s="185"/>
    </row>
    <row r="17519">
      <c r="D17519" s="185"/>
      <c r="E17519" s="185" t="s">
        <v>470</v>
      </c>
      <c r="H17519" s="185"/>
    </row>
    <row r="17520">
      <c r="D17520" s="185"/>
      <c r="E17520" s="185" t="s">
        <v>470</v>
      </c>
      <c r="H17520" s="185"/>
    </row>
    <row r="17521">
      <c r="D17521" s="185"/>
      <c r="E17521" s="185" t="s">
        <v>470</v>
      </c>
      <c r="H17521" s="185"/>
    </row>
    <row r="17522">
      <c r="D17522" s="185"/>
      <c r="E17522" s="185" t="s">
        <v>470</v>
      </c>
      <c r="H17522" s="185"/>
    </row>
    <row r="17523">
      <c r="D17523" s="185"/>
      <c r="E17523" s="185" t="s">
        <v>470</v>
      </c>
      <c r="H17523" s="185"/>
    </row>
    <row r="17524">
      <c r="D17524" s="185"/>
      <c r="E17524" s="185" t="s">
        <v>470</v>
      </c>
      <c r="H17524" s="185"/>
    </row>
    <row r="17525">
      <c r="D17525" s="185"/>
      <c r="E17525" s="185" t="s">
        <v>470</v>
      </c>
      <c r="H17525" s="185"/>
    </row>
    <row r="17526">
      <c r="D17526" s="185"/>
      <c r="E17526" s="185" t="s">
        <v>470</v>
      </c>
      <c r="H17526" s="185"/>
    </row>
    <row r="17527">
      <c r="D17527" s="185"/>
      <c r="E17527" s="185" t="s">
        <v>470</v>
      </c>
      <c r="H17527" s="185"/>
    </row>
    <row r="17528">
      <c r="D17528" s="185"/>
      <c r="E17528" s="185" t="s">
        <v>470</v>
      </c>
      <c r="H17528" s="185"/>
    </row>
    <row r="17529">
      <c r="D17529" s="185"/>
      <c r="E17529" s="185" t="s">
        <v>470</v>
      </c>
      <c r="H17529" s="185"/>
    </row>
    <row r="17530">
      <c r="D17530" s="185"/>
      <c r="E17530" s="185" t="s">
        <v>470</v>
      </c>
      <c r="H17530" s="185"/>
    </row>
    <row r="17531">
      <c r="D17531" s="185"/>
      <c r="E17531" s="185" t="s">
        <v>470</v>
      </c>
      <c r="H17531" s="185"/>
    </row>
    <row r="17532">
      <c r="D17532" s="185"/>
      <c r="E17532" s="185" t="s">
        <v>470</v>
      </c>
      <c r="H17532" s="185"/>
    </row>
    <row r="17533">
      <c r="D17533" s="185"/>
      <c r="E17533" s="185" t="s">
        <v>470</v>
      </c>
      <c r="H17533" s="185"/>
    </row>
    <row r="17534">
      <c r="D17534" s="185"/>
      <c r="E17534" s="185" t="s">
        <v>470</v>
      </c>
      <c r="H17534" s="185"/>
    </row>
    <row r="17535">
      <c r="D17535" s="185"/>
      <c r="E17535" s="185" t="s">
        <v>470</v>
      </c>
      <c r="H17535" s="185"/>
    </row>
    <row r="17536">
      <c r="D17536" s="185"/>
      <c r="E17536" s="185" t="s">
        <v>470</v>
      </c>
      <c r="H17536" s="185"/>
    </row>
    <row r="17537">
      <c r="D17537" s="185"/>
      <c r="E17537" s="185" t="s">
        <v>470</v>
      </c>
      <c r="H17537" s="185"/>
    </row>
    <row r="17538">
      <c r="D17538" s="185"/>
      <c r="E17538" s="185" t="s">
        <v>470</v>
      </c>
      <c r="H17538" s="185"/>
    </row>
    <row r="17539">
      <c r="D17539" s="185"/>
      <c r="E17539" s="185" t="s">
        <v>470</v>
      </c>
      <c r="H17539" s="185"/>
    </row>
    <row r="17540">
      <c r="D17540" s="185"/>
      <c r="E17540" s="185" t="s">
        <v>470</v>
      </c>
      <c r="H17540" s="185"/>
    </row>
    <row r="17541">
      <c r="D17541" s="185"/>
      <c r="E17541" s="185" t="s">
        <v>470</v>
      </c>
      <c r="H17541" s="185"/>
    </row>
    <row r="17542">
      <c r="D17542" s="185"/>
      <c r="E17542" s="185" t="s">
        <v>470</v>
      </c>
      <c r="H17542" s="185"/>
    </row>
    <row r="17543">
      <c r="D17543" s="185"/>
      <c r="E17543" s="185" t="s">
        <v>470</v>
      </c>
      <c r="H17543" s="185"/>
    </row>
    <row r="17544">
      <c r="D17544" s="185"/>
      <c r="E17544" s="185" t="s">
        <v>470</v>
      </c>
      <c r="H17544" s="185"/>
    </row>
    <row r="17545">
      <c r="D17545" s="185"/>
      <c r="E17545" s="185" t="s">
        <v>470</v>
      </c>
      <c r="H17545" s="185"/>
    </row>
    <row r="17546">
      <c r="D17546" s="185"/>
      <c r="E17546" s="185" t="s">
        <v>470</v>
      </c>
      <c r="H17546" s="185"/>
    </row>
    <row r="17547">
      <c r="D17547" s="185"/>
      <c r="E17547" s="185" t="s">
        <v>470</v>
      </c>
      <c r="H17547" s="185"/>
    </row>
    <row r="17548">
      <c r="D17548" s="185"/>
      <c r="E17548" s="185" t="s">
        <v>470</v>
      </c>
      <c r="H17548" s="185"/>
    </row>
    <row r="17549">
      <c r="D17549" s="185"/>
      <c r="E17549" s="185" t="s">
        <v>470</v>
      </c>
      <c r="H17549" s="185"/>
    </row>
    <row r="17550">
      <c r="D17550" s="185"/>
      <c r="E17550" s="185" t="s">
        <v>470</v>
      </c>
      <c r="H17550" s="185"/>
    </row>
    <row r="17551">
      <c r="D17551" s="185"/>
      <c r="E17551" s="185" t="s">
        <v>470</v>
      </c>
      <c r="H17551" s="185"/>
    </row>
    <row r="17552">
      <c r="D17552" s="185"/>
      <c r="E17552" s="185" t="s">
        <v>470</v>
      </c>
      <c r="H17552" s="185"/>
    </row>
    <row r="17553">
      <c r="D17553" s="185"/>
      <c r="E17553" s="185" t="s">
        <v>470</v>
      </c>
      <c r="H17553" s="185"/>
    </row>
    <row r="17554">
      <c r="D17554" s="185"/>
      <c r="E17554" s="185" t="s">
        <v>470</v>
      </c>
      <c r="H17554" s="185"/>
    </row>
    <row r="17555">
      <c r="D17555" s="185"/>
      <c r="E17555" s="185" t="s">
        <v>470</v>
      </c>
      <c r="H17555" s="185"/>
    </row>
    <row r="17556">
      <c r="D17556" s="185"/>
      <c r="E17556" s="185" t="s">
        <v>470</v>
      </c>
      <c r="H17556" s="185"/>
    </row>
    <row r="17557">
      <c r="D17557" s="185"/>
      <c r="E17557" s="185" t="s">
        <v>470</v>
      </c>
      <c r="H17557" s="185"/>
    </row>
    <row r="17558">
      <c r="D17558" s="185"/>
      <c r="E17558" s="185" t="s">
        <v>470</v>
      </c>
      <c r="H17558" s="185"/>
    </row>
    <row r="17559">
      <c r="D17559" s="185"/>
      <c r="E17559" s="185" t="s">
        <v>470</v>
      </c>
      <c r="H17559" s="185"/>
    </row>
    <row r="17560">
      <c r="D17560" s="185"/>
      <c r="E17560" s="185" t="s">
        <v>470</v>
      </c>
      <c r="H17560" s="185"/>
    </row>
    <row r="17561">
      <c r="D17561" s="185"/>
      <c r="E17561" s="185" t="s">
        <v>470</v>
      </c>
      <c r="H17561" s="185"/>
    </row>
    <row r="17562">
      <c r="D17562" s="185"/>
      <c r="E17562" s="185" t="s">
        <v>470</v>
      </c>
      <c r="H17562" s="185"/>
    </row>
    <row r="17563">
      <c r="D17563" s="185"/>
      <c r="E17563" s="185" t="s">
        <v>470</v>
      </c>
      <c r="H17563" s="185"/>
    </row>
    <row r="17564">
      <c r="D17564" s="185"/>
      <c r="E17564" s="185" t="s">
        <v>470</v>
      </c>
      <c r="H17564" s="185"/>
    </row>
    <row r="17565">
      <c r="D17565" s="185"/>
      <c r="E17565" s="185" t="s">
        <v>470</v>
      </c>
      <c r="H17565" s="185"/>
    </row>
    <row r="17566">
      <c r="D17566" s="185"/>
      <c r="E17566" s="185" t="s">
        <v>470</v>
      </c>
      <c r="H17566" s="185"/>
    </row>
    <row r="17567">
      <c r="D17567" s="185"/>
      <c r="E17567" s="185" t="s">
        <v>470</v>
      </c>
      <c r="H17567" s="185"/>
    </row>
    <row r="17568">
      <c r="D17568" s="185"/>
      <c r="E17568" s="185" t="s">
        <v>470</v>
      </c>
      <c r="H17568" s="185"/>
    </row>
    <row r="17569">
      <c r="D17569" s="185"/>
      <c r="E17569" s="185" t="s">
        <v>470</v>
      </c>
      <c r="H17569" s="185"/>
    </row>
    <row r="17570">
      <c r="D17570" s="185"/>
      <c r="E17570" s="185" t="s">
        <v>470</v>
      </c>
      <c r="H17570" s="185"/>
    </row>
    <row r="17571">
      <c r="D17571" s="185"/>
      <c r="E17571" s="185" t="s">
        <v>470</v>
      </c>
      <c r="H17571" s="185"/>
    </row>
    <row r="17572">
      <c r="D17572" s="185"/>
      <c r="E17572" s="185" t="s">
        <v>470</v>
      </c>
      <c r="H17572" s="185"/>
    </row>
    <row r="17573">
      <c r="D17573" s="185"/>
      <c r="E17573" s="185" t="s">
        <v>470</v>
      </c>
      <c r="H17573" s="185"/>
    </row>
    <row r="17574">
      <c r="D17574" s="185"/>
      <c r="E17574" s="185" t="s">
        <v>470</v>
      </c>
      <c r="H17574" s="185"/>
    </row>
    <row r="17575">
      <c r="D17575" s="185"/>
      <c r="E17575" s="185" t="s">
        <v>470</v>
      </c>
      <c r="H17575" s="185"/>
    </row>
    <row r="17576">
      <c r="D17576" s="185"/>
      <c r="E17576" s="185" t="s">
        <v>470</v>
      </c>
      <c r="H17576" s="185"/>
    </row>
    <row r="17577">
      <c r="D17577" s="185"/>
      <c r="E17577" s="185" t="s">
        <v>470</v>
      </c>
      <c r="H17577" s="185"/>
    </row>
    <row r="17578">
      <c r="D17578" s="185"/>
      <c r="E17578" s="185" t="s">
        <v>470</v>
      </c>
      <c r="H17578" s="185"/>
    </row>
    <row r="17579">
      <c r="D17579" s="185"/>
      <c r="E17579" s="185" t="s">
        <v>470</v>
      </c>
      <c r="H17579" s="185"/>
    </row>
    <row r="17580">
      <c r="D17580" s="185"/>
      <c r="E17580" s="185" t="s">
        <v>470</v>
      </c>
      <c r="H17580" s="185"/>
    </row>
    <row r="17581">
      <c r="D17581" s="185"/>
      <c r="E17581" s="185" t="s">
        <v>470</v>
      </c>
      <c r="H17581" s="185"/>
    </row>
    <row r="17582">
      <c r="D17582" s="185"/>
      <c r="E17582" s="185" t="s">
        <v>470</v>
      </c>
      <c r="H17582" s="185"/>
    </row>
    <row r="17583">
      <c r="D17583" s="185"/>
      <c r="E17583" s="185" t="s">
        <v>470</v>
      </c>
      <c r="H17583" s="185"/>
    </row>
    <row r="17584">
      <c r="D17584" s="185"/>
      <c r="E17584" s="185" t="s">
        <v>470</v>
      </c>
      <c r="H17584" s="185"/>
    </row>
    <row r="17585">
      <c r="D17585" s="185"/>
      <c r="E17585" s="185" t="s">
        <v>470</v>
      </c>
      <c r="H17585" s="185"/>
    </row>
    <row r="17586">
      <c r="D17586" s="185"/>
      <c r="E17586" s="185" t="s">
        <v>470</v>
      </c>
      <c r="H17586" s="185"/>
    </row>
    <row r="17587">
      <c r="D17587" s="185"/>
      <c r="E17587" s="185" t="s">
        <v>470</v>
      </c>
      <c r="H17587" s="185"/>
    </row>
    <row r="17588">
      <c r="D17588" s="185"/>
      <c r="E17588" s="185" t="s">
        <v>470</v>
      </c>
      <c r="H17588" s="185"/>
    </row>
    <row r="17589">
      <c r="D17589" s="185"/>
      <c r="E17589" s="185" t="s">
        <v>470</v>
      </c>
      <c r="H17589" s="185"/>
    </row>
    <row r="17590">
      <c r="D17590" s="185"/>
      <c r="E17590" s="185" t="s">
        <v>470</v>
      </c>
      <c r="H17590" s="185"/>
    </row>
    <row r="17591">
      <c r="D17591" s="185"/>
      <c r="E17591" s="185" t="s">
        <v>470</v>
      </c>
      <c r="H17591" s="185"/>
    </row>
    <row r="17592">
      <c r="D17592" s="185"/>
      <c r="E17592" s="185" t="s">
        <v>470</v>
      </c>
      <c r="H17592" s="185"/>
    </row>
    <row r="17593">
      <c r="D17593" s="185"/>
      <c r="E17593" s="185" t="s">
        <v>470</v>
      </c>
      <c r="H17593" s="185"/>
    </row>
    <row r="17594">
      <c r="D17594" s="185"/>
      <c r="E17594" s="185" t="s">
        <v>470</v>
      </c>
      <c r="H17594" s="185"/>
    </row>
    <row r="17595">
      <c r="D17595" s="185"/>
      <c r="E17595" s="185" t="s">
        <v>470</v>
      </c>
      <c r="H17595" s="185"/>
    </row>
    <row r="17596">
      <c r="D17596" s="185"/>
      <c r="E17596" s="185" t="s">
        <v>470</v>
      </c>
      <c r="H17596" s="185"/>
    </row>
    <row r="17597">
      <c r="D17597" s="185"/>
      <c r="E17597" s="185" t="s">
        <v>470</v>
      </c>
      <c r="H17597" s="185"/>
    </row>
    <row r="17598">
      <c r="D17598" s="185"/>
      <c r="E17598" s="185" t="s">
        <v>470</v>
      </c>
      <c r="H17598" s="185"/>
    </row>
    <row r="17599">
      <c r="D17599" s="185"/>
      <c r="E17599" s="185" t="s">
        <v>470</v>
      </c>
      <c r="H17599" s="185"/>
    </row>
    <row r="17600">
      <c r="D17600" s="185"/>
      <c r="E17600" s="185" t="s">
        <v>470</v>
      </c>
      <c r="H17600" s="185"/>
    </row>
    <row r="17601">
      <c r="D17601" s="185"/>
      <c r="E17601" s="185" t="s">
        <v>470</v>
      </c>
      <c r="H17601" s="185"/>
    </row>
    <row r="17602">
      <c r="D17602" s="185"/>
      <c r="E17602" s="185" t="s">
        <v>470</v>
      </c>
      <c r="H17602" s="185"/>
    </row>
    <row r="17603">
      <c r="D17603" s="185"/>
      <c r="E17603" s="185" t="s">
        <v>470</v>
      </c>
      <c r="H17603" s="185"/>
    </row>
    <row r="17604">
      <c r="D17604" s="185"/>
      <c r="E17604" s="185" t="s">
        <v>470</v>
      </c>
      <c r="H17604" s="185"/>
    </row>
    <row r="17605">
      <c r="D17605" s="185"/>
      <c r="E17605" s="185" t="s">
        <v>470</v>
      </c>
      <c r="H17605" s="185"/>
    </row>
    <row r="17606">
      <c r="D17606" s="185"/>
      <c r="E17606" s="185" t="s">
        <v>470</v>
      </c>
      <c r="H17606" s="185"/>
    </row>
    <row r="17607">
      <c r="D17607" s="185"/>
      <c r="E17607" s="185" t="s">
        <v>470</v>
      </c>
      <c r="H17607" s="185"/>
    </row>
    <row r="17608">
      <c r="D17608" s="185"/>
      <c r="E17608" s="185" t="s">
        <v>470</v>
      </c>
      <c r="H17608" s="185"/>
    </row>
    <row r="17609">
      <c r="D17609" s="185"/>
      <c r="E17609" s="185" t="s">
        <v>470</v>
      </c>
      <c r="H17609" s="185"/>
    </row>
    <row r="17610">
      <c r="D17610" s="185"/>
      <c r="E17610" s="185" t="s">
        <v>470</v>
      </c>
      <c r="H17610" s="185"/>
    </row>
    <row r="17611">
      <c r="D17611" s="185"/>
      <c r="E17611" s="185" t="s">
        <v>470</v>
      </c>
      <c r="H17611" s="185"/>
    </row>
    <row r="17612">
      <c r="D17612" s="185"/>
      <c r="E17612" s="185" t="s">
        <v>470</v>
      </c>
      <c r="H17612" s="185"/>
    </row>
    <row r="17613">
      <c r="D17613" s="185"/>
      <c r="E17613" s="185" t="s">
        <v>470</v>
      </c>
      <c r="H17613" s="185"/>
    </row>
    <row r="17614">
      <c r="D17614" s="185"/>
      <c r="E17614" s="185" t="s">
        <v>470</v>
      </c>
      <c r="H17614" s="185"/>
    </row>
    <row r="17615">
      <c r="D17615" s="185"/>
      <c r="E17615" s="185" t="s">
        <v>470</v>
      </c>
      <c r="H17615" s="185"/>
    </row>
    <row r="17616">
      <c r="D17616" s="185"/>
      <c r="E17616" s="185" t="s">
        <v>470</v>
      </c>
      <c r="H17616" s="185"/>
    </row>
    <row r="17617">
      <c r="D17617" s="185"/>
      <c r="E17617" s="185" t="s">
        <v>470</v>
      </c>
      <c r="H17617" s="185"/>
    </row>
    <row r="17618">
      <c r="D17618" s="185"/>
      <c r="E17618" s="185" t="s">
        <v>470</v>
      </c>
      <c r="H17618" s="185"/>
    </row>
    <row r="17619">
      <c r="D17619" s="185"/>
      <c r="E17619" s="185" t="s">
        <v>470</v>
      </c>
      <c r="H17619" s="185"/>
    </row>
    <row r="17620">
      <c r="D17620" s="185"/>
      <c r="E17620" s="185" t="s">
        <v>470</v>
      </c>
      <c r="H17620" s="185"/>
    </row>
    <row r="17621">
      <c r="D17621" s="185"/>
      <c r="E17621" s="185" t="s">
        <v>470</v>
      </c>
      <c r="H17621" s="185"/>
    </row>
    <row r="17622">
      <c r="D17622" s="185"/>
      <c r="E17622" s="185" t="s">
        <v>470</v>
      </c>
      <c r="H17622" s="185"/>
    </row>
    <row r="17623">
      <c r="D17623" s="185"/>
      <c r="E17623" s="185" t="s">
        <v>470</v>
      </c>
      <c r="H17623" s="185"/>
    </row>
    <row r="17624">
      <c r="D17624" s="185"/>
      <c r="E17624" s="185" t="s">
        <v>470</v>
      </c>
      <c r="H17624" s="185"/>
    </row>
    <row r="17625">
      <c r="D17625" s="185"/>
      <c r="E17625" s="185" t="s">
        <v>470</v>
      </c>
      <c r="H17625" s="185"/>
    </row>
    <row r="17626">
      <c r="D17626" s="185"/>
      <c r="E17626" s="185" t="s">
        <v>470</v>
      </c>
      <c r="H17626" s="185"/>
    </row>
    <row r="17627">
      <c r="D17627" s="185"/>
      <c r="E17627" s="185" t="s">
        <v>470</v>
      </c>
      <c r="H17627" s="185"/>
    </row>
    <row r="17628">
      <c r="D17628" s="185"/>
      <c r="E17628" s="185" t="s">
        <v>470</v>
      </c>
      <c r="H17628" s="185"/>
    </row>
    <row r="17629">
      <c r="D17629" s="185"/>
      <c r="E17629" s="185" t="s">
        <v>470</v>
      </c>
      <c r="H17629" s="185"/>
    </row>
    <row r="17630">
      <c r="D17630" s="185"/>
      <c r="E17630" s="185" t="s">
        <v>470</v>
      </c>
      <c r="H17630" s="185"/>
    </row>
    <row r="17631">
      <c r="D17631" s="185"/>
      <c r="E17631" s="185" t="s">
        <v>470</v>
      </c>
      <c r="H17631" s="185"/>
    </row>
    <row r="17632">
      <c r="D17632" s="185"/>
      <c r="E17632" s="185" t="s">
        <v>470</v>
      </c>
      <c r="H17632" s="185"/>
    </row>
    <row r="17633">
      <c r="D17633" s="185"/>
      <c r="E17633" s="185" t="s">
        <v>470</v>
      </c>
      <c r="H17633" s="185"/>
    </row>
    <row r="17634">
      <c r="D17634" s="185"/>
      <c r="E17634" s="185" t="s">
        <v>470</v>
      </c>
      <c r="H17634" s="185"/>
    </row>
    <row r="17635">
      <c r="D17635" s="185"/>
      <c r="E17635" s="185" t="s">
        <v>470</v>
      </c>
      <c r="H17635" s="185"/>
    </row>
    <row r="17636">
      <c r="D17636" s="185"/>
      <c r="E17636" s="185" t="s">
        <v>470</v>
      </c>
      <c r="H17636" s="185"/>
    </row>
    <row r="17637">
      <c r="D17637" s="185"/>
      <c r="E17637" s="185" t="s">
        <v>470</v>
      </c>
      <c r="H17637" s="185"/>
    </row>
    <row r="17638">
      <c r="D17638" s="185"/>
      <c r="E17638" s="185" t="s">
        <v>470</v>
      </c>
      <c r="H17638" s="185"/>
    </row>
    <row r="17639">
      <c r="D17639" s="185"/>
      <c r="E17639" s="185" t="s">
        <v>470</v>
      </c>
      <c r="H17639" s="185"/>
    </row>
    <row r="17640">
      <c r="D17640" s="185"/>
      <c r="E17640" s="185" t="s">
        <v>470</v>
      </c>
      <c r="H17640" s="185"/>
    </row>
    <row r="17641">
      <c r="D17641" s="185"/>
      <c r="E17641" s="185" t="s">
        <v>470</v>
      </c>
      <c r="H17641" s="185"/>
    </row>
    <row r="17642">
      <c r="D17642" s="185"/>
      <c r="E17642" s="185" t="s">
        <v>470</v>
      </c>
      <c r="H17642" s="185"/>
    </row>
    <row r="17643">
      <c r="D17643" s="185"/>
      <c r="E17643" s="185" t="s">
        <v>470</v>
      </c>
      <c r="H17643" s="185"/>
    </row>
    <row r="17644">
      <c r="D17644" s="185"/>
      <c r="E17644" s="185" t="s">
        <v>470</v>
      </c>
      <c r="H17644" s="185"/>
    </row>
    <row r="17645">
      <c r="D17645" s="185"/>
      <c r="E17645" s="185" t="s">
        <v>470</v>
      </c>
      <c r="H17645" s="185"/>
    </row>
    <row r="17646">
      <c r="D17646" s="185"/>
      <c r="E17646" s="185" t="s">
        <v>470</v>
      </c>
      <c r="H17646" s="185"/>
    </row>
    <row r="17647">
      <c r="D17647" s="185"/>
      <c r="E17647" s="185" t="s">
        <v>470</v>
      </c>
      <c r="H17647" s="185"/>
    </row>
    <row r="17648">
      <c r="D17648" s="185"/>
      <c r="E17648" s="185" t="s">
        <v>470</v>
      </c>
      <c r="H17648" s="185"/>
    </row>
    <row r="17649">
      <c r="D17649" s="185"/>
      <c r="E17649" s="185" t="s">
        <v>470</v>
      </c>
      <c r="H17649" s="185"/>
    </row>
    <row r="17650">
      <c r="D17650" s="185"/>
      <c r="E17650" s="185" t="s">
        <v>470</v>
      </c>
      <c r="H17650" s="185"/>
    </row>
    <row r="17651">
      <c r="D17651" s="185"/>
      <c r="E17651" s="185" t="s">
        <v>470</v>
      </c>
      <c r="H17651" s="185"/>
    </row>
    <row r="17652">
      <c r="D17652" s="185"/>
      <c r="E17652" s="185" t="s">
        <v>470</v>
      </c>
      <c r="H17652" s="185"/>
    </row>
    <row r="17653">
      <c r="D17653" s="185"/>
      <c r="E17653" s="185" t="s">
        <v>470</v>
      </c>
      <c r="H17653" s="185"/>
    </row>
    <row r="17654">
      <c r="D17654" s="185"/>
      <c r="E17654" s="185" t="s">
        <v>470</v>
      </c>
      <c r="H17654" s="185"/>
    </row>
    <row r="17655">
      <c r="D17655" s="185"/>
      <c r="E17655" s="185" t="s">
        <v>470</v>
      </c>
      <c r="H17655" s="185"/>
    </row>
    <row r="17656">
      <c r="D17656" s="185"/>
      <c r="E17656" s="185" t="s">
        <v>470</v>
      </c>
      <c r="H17656" s="185"/>
    </row>
    <row r="17657">
      <c r="D17657" s="185"/>
      <c r="E17657" s="185" t="s">
        <v>470</v>
      </c>
      <c r="H17657" s="185"/>
    </row>
    <row r="17658">
      <c r="D17658" s="185"/>
      <c r="E17658" s="185" t="s">
        <v>470</v>
      </c>
      <c r="H17658" s="185"/>
    </row>
    <row r="17659">
      <c r="D17659" s="185"/>
      <c r="E17659" s="185" t="s">
        <v>470</v>
      </c>
      <c r="H17659" s="185"/>
    </row>
    <row r="17660">
      <c r="D17660" s="185"/>
      <c r="E17660" s="185" t="s">
        <v>470</v>
      </c>
      <c r="H17660" s="185"/>
    </row>
    <row r="17661">
      <c r="D17661" s="185"/>
      <c r="E17661" s="185" t="s">
        <v>470</v>
      </c>
      <c r="H17661" s="185"/>
    </row>
    <row r="17662">
      <c r="D17662" s="185"/>
      <c r="E17662" s="185" t="s">
        <v>470</v>
      </c>
      <c r="H17662" s="185"/>
    </row>
    <row r="17663">
      <c r="D17663" s="185"/>
      <c r="E17663" s="185" t="s">
        <v>470</v>
      </c>
      <c r="H17663" s="185"/>
    </row>
    <row r="17664">
      <c r="D17664" s="185"/>
      <c r="E17664" s="185" t="s">
        <v>470</v>
      </c>
      <c r="H17664" s="185"/>
    </row>
    <row r="17665">
      <c r="D17665" s="185"/>
      <c r="E17665" s="185" t="s">
        <v>470</v>
      </c>
      <c r="H17665" s="185"/>
    </row>
    <row r="17666">
      <c r="D17666" s="185"/>
      <c r="E17666" s="185" t="s">
        <v>470</v>
      </c>
      <c r="H17666" s="185"/>
    </row>
    <row r="17667">
      <c r="D17667" s="185"/>
      <c r="E17667" s="185" t="s">
        <v>470</v>
      </c>
      <c r="H17667" s="185"/>
    </row>
    <row r="17668">
      <c r="D17668" s="185"/>
      <c r="E17668" s="185" t="s">
        <v>470</v>
      </c>
      <c r="H17668" s="185"/>
    </row>
    <row r="17669">
      <c r="D17669" s="185"/>
      <c r="E17669" s="185" t="s">
        <v>470</v>
      </c>
      <c r="H17669" s="185"/>
    </row>
    <row r="17670">
      <c r="D17670" s="185"/>
      <c r="E17670" s="185" t="s">
        <v>470</v>
      </c>
      <c r="H17670" s="185"/>
    </row>
    <row r="17671">
      <c r="D17671" s="185"/>
      <c r="E17671" s="185" t="s">
        <v>470</v>
      </c>
      <c r="H17671" s="185"/>
    </row>
    <row r="17672">
      <c r="D17672" s="185"/>
      <c r="E17672" s="185" t="s">
        <v>470</v>
      </c>
      <c r="H17672" s="185"/>
    </row>
    <row r="17673">
      <c r="D17673" s="185"/>
      <c r="E17673" s="185" t="s">
        <v>470</v>
      </c>
      <c r="H17673" s="185"/>
    </row>
    <row r="17674">
      <c r="D17674" s="185"/>
      <c r="E17674" s="185" t="s">
        <v>470</v>
      </c>
      <c r="H17674" s="185"/>
    </row>
    <row r="17675">
      <c r="D17675" s="185"/>
      <c r="E17675" s="185" t="s">
        <v>470</v>
      </c>
      <c r="H17675" s="185"/>
    </row>
    <row r="17676">
      <c r="D17676" s="185"/>
      <c r="E17676" s="185" t="s">
        <v>470</v>
      </c>
      <c r="H17676" s="185"/>
    </row>
    <row r="17677">
      <c r="D17677" s="185"/>
      <c r="E17677" s="185" t="s">
        <v>470</v>
      </c>
      <c r="H17677" s="185"/>
    </row>
    <row r="17678">
      <c r="D17678" s="185"/>
      <c r="E17678" s="185" t="s">
        <v>470</v>
      </c>
      <c r="H17678" s="185"/>
    </row>
    <row r="17679">
      <c r="D17679" s="185"/>
      <c r="E17679" s="185" t="s">
        <v>470</v>
      </c>
      <c r="H17679" s="185"/>
    </row>
    <row r="17680">
      <c r="D17680" s="185"/>
      <c r="E17680" s="185" t="s">
        <v>470</v>
      </c>
      <c r="H17680" s="185"/>
    </row>
    <row r="17681">
      <c r="D17681" s="185"/>
      <c r="E17681" s="185" t="s">
        <v>470</v>
      </c>
      <c r="H17681" s="185"/>
    </row>
    <row r="17682">
      <c r="D17682" s="185"/>
      <c r="E17682" s="185" t="s">
        <v>470</v>
      </c>
      <c r="H17682" s="185"/>
    </row>
    <row r="17683">
      <c r="D17683" s="185"/>
      <c r="E17683" s="185" t="s">
        <v>470</v>
      </c>
      <c r="H17683" s="185"/>
    </row>
    <row r="17684">
      <c r="D17684" s="185"/>
      <c r="E17684" s="185" t="s">
        <v>470</v>
      </c>
      <c r="H17684" s="185"/>
    </row>
    <row r="17685">
      <c r="D17685" s="185"/>
      <c r="E17685" s="185" t="s">
        <v>470</v>
      </c>
      <c r="H17685" s="185"/>
    </row>
    <row r="17686">
      <c r="D17686" s="185"/>
      <c r="E17686" s="185" t="s">
        <v>470</v>
      </c>
      <c r="H17686" s="185"/>
    </row>
    <row r="17687">
      <c r="D17687" s="185"/>
      <c r="E17687" s="185" t="s">
        <v>470</v>
      </c>
      <c r="H17687" s="185"/>
    </row>
    <row r="17688">
      <c r="D17688" s="185"/>
      <c r="E17688" s="185" t="s">
        <v>470</v>
      </c>
      <c r="H17688" s="185"/>
    </row>
    <row r="17689">
      <c r="D17689" s="185"/>
      <c r="E17689" s="185" t="s">
        <v>470</v>
      </c>
      <c r="H17689" s="185"/>
    </row>
    <row r="17690">
      <c r="D17690" s="185"/>
      <c r="E17690" s="185" t="s">
        <v>470</v>
      </c>
      <c r="H17690" s="185"/>
    </row>
    <row r="17691">
      <c r="D17691" s="185"/>
      <c r="E17691" s="185" t="s">
        <v>470</v>
      </c>
      <c r="H17691" s="185"/>
    </row>
    <row r="17692">
      <c r="D17692" s="185"/>
      <c r="E17692" s="185" t="s">
        <v>470</v>
      </c>
      <c r="H17692" s="185"/>
    </row>
    <row r="17693">
      <c r="D17693" s="185"/>
      <c r="E17693" s="185" t="s">
        <v>470</v>
      </c>
      <c r="H17693" s="185"/>
    </row>
    <row r="17694">
      <c r="D17694" s="185"/>
      <c r="E17694" s="185" t="s">
        <v>470</v>
      </c>
      <c r="H17694" s="185"/>
    </row>
    <row r="17695">
      <c r="D17695" s="185"/>
      <c r="E17695" s="185" t="s">
        <v>470</v>
      </c>
      <c r="H17695" s="185"/>
    </row>
    <row r="17696">
      <c r="D17696" s="185"/>
      <c r="E17696" s="185" t="s">
        <v>470</v>
      </c>
      <c r="H17696" s="185"/>
    </row>
    <row r="17697">
      <c r="D17697" s="185"/>
      <c r="E17697" s="185" t="s">
        <v>470</v>
      </c>
      <c r="H17697" s="185"/>
    </row>
    <row r="17698">
      <c r="D17698" s="185"/>
      <c r="E17698" s="185" t="s">
        <v>470</v>
      </c>
      <c r="H17698" s="185"/>
    </row>
    <row r="17699">
      <c r="D17699" s="185"/>
      <c r="E17699" s="185" t="s">
        <v>470</v>
      </c>
      <c r="H17699" s="185"/>
    </row>
    <row r="17700">
      <c r="D17700" s="185"/>
      <c r="E17700" s="185" t="s">
        <v>470</v>
      </c>
      <c r="H17700" s="185"/>
    </row>
    <row r="17701">
      <c r="D17701" s="185"/>
      <c r="E17701" s="185" t="s">
        <v>470</v>
      </c>
      <c r="H17701" s="185"/>
    </row>
    <row r="17702">
      <c r="D17702" s="185"/>
      <c r="E17702" s="185" t="s">
        <v>470</v>
      </c>
      <c r="H17702" s="185"/>
    </row>
    <row r="17703">
      <c r="D17703" s="185"/>
      <c r="E17703" s="185" t="s">
        <v>470</v>
      </c>
      <c r="H17703" s="185"/>
    </row>
    <row r="17704">
      <c r="D17704" s="185"/>
      <c r="E17704" s="185" t="s">
        <v>470</v>
      </c>
      <c r="H17704" s="185"/>
    </row>
    <row r="17705">
      <c r="D17705" s="185"/>
      <c r="E17705" s="185" t="s">
        <v>470</v>
      </c>
      <c r="H17705" s="185"/>
    </row>
    <row r="17706">
      <c r="D17706" s="185"/>
      <c r="E17706" s="185" t="s">
        <v>470</v>
      </c>
      <c r="H17706" s="185"/>
    </row>
    <row r="17707">
      <c r="D17707" s="185"/>
      <c r="E17707" s="185" t="s">
        <v>470</v>
      </c>
      <c r="H17707" s="185"/>
    </row>
    <row r="17708">
      <c r="D17708" s="185"/>
      <c r="E17708" s="185" t="s">
        <v>470</v>
      </c>
      <c r="H17708" s="185"/>
    </row>
    <row r="17709">
      <c r="D17709" s="185"/>
      <c r="E17709" s="185" t="s">
        <v>470</v>
      </c>
      <c r="H17709" s="185"/>
    </row>
    <row r="17710">
      <c r="D17710" s="185"/>
      <c r="E17710" s="185" t="s">
        <v>470</v>
      </c>
      <c r="H17710" s="185"/>
    </row>
    <row r="17711">
      <c r="D17711" s="185"/>
      <c r="E17711" s="185" t="s">
        <v>470</v>
      </c>
      <c r="H17711" s="185"/>
    </row>
    <row r="17712">
      <c r="D17712" s="185"/>
      <c r="E17712" s="185" t="s">
        <v>470</v>
      </c>
      <c r="H17712" s="185"/>
    </row>
    <row r="17713">
      <c r="D17713" s="185"/>
      <c r="E17713" s="185" t="s">
        <v>470</v>
      </c>
      <c r="H17713" s="185"/>
    </row>
    <row r="17714">
      <c r="D17714" s="185"/>
      <c r="E17714" s="185" t="s">
        <v>470</v>
      </c>
      <c r="H17714" s="185"/>
    </row>
    <row r="17715">
      <c r="D17715" s="185"/>
      <c r="E17715" s="185" t="s">
        <v>470</v>
      </c>
      <c r="H17715" s="185"/>
    </row>
    <row r="17716">
      <c r="D17716" s="185"/>
      <c r="E17716" s="185" t="s">
        <v>470</v>
      </c>
      <c r="H17716" s="185"/>
    </row>
    <row r="17717">
      <c r="D17717" s="185"/>
      <c r="E17717" s="185" t="s">
        <v>470</v>
      </c>
      <c r="H17717" s="185"/>
    </row>
    <row r="17718">
      <c r="D17718" s="185"/>
      <c r="E17718" s="185" t="s">
        <v>470</v>
      </c>
      <c r="H17718" s="185"/>
    </row>
    <row r="17719">
      <c r="D17719" s="185"/>
      <c r="E17719" s="185" t="s">
        <v>470</v>
      </c>
      <c r="H17719" s="185"/>
    </row>
    <row r="17720">
      <c r="D17720" s="185"/>
      <c r="E17720" s="185" t="s">
        <v>470</v>
      </c>
      <c r="H17720" s="185"/>
    </row>
    <row r="17721">
      <c r="D17721" s="185"/>
      <c r="E17721" s="185" t="s">
        <v>470</v>
      </c>
      <c r="H17721" s="185"/>
    </row>
    <row r="17722">
      <c r="D17722" s="185"/>
      <c r="E17722" s="185" t="s">
        <v>470</v>
      </c>
      <c r="H17722" s="185"/>
    </row>
    <row r="17723">
      <c r="D17723" s="185"/>
      <c r="E17723" s="185" t="s">
        <v>470</v>
      </c>
      <c r="H17723" s="185"/>
    </row>
    <row r="17724">
      <c r="D17724" s="185"/>
      <c r="E17724" s="185" t="s">
        <v>470</v>
      </c>
      <c r="H17724" s="185"/>
    </row>
    <row r="17725">
      <c r="D17725" s="185"/>
      <c r="E17725" s="185" t="s">
        <v>470</v>
      </c>
      <c r="H17725" s="185"/>
    </row>
    <row r="17726">
      <c r="D17726" s="185"/>
      <c r="E17726" s="185" t="s">
        <v>470</v>
      </c>
      <c r="H17726" s="185"/>
    </row>
    <row r="17727">
      <c r="D17727" s="185"/>
      <c r="E17727" s="185" t="s">
        <v>470</v>
      </c>
      <c r="H17727" s="185"/>
    </row>
    <row r="17728">
      <c r="D17728" s="185"/>
      <c r="E17728" s="185" t="s">
        <v>470</v>
      </c>
      <c r="H17728" s="185"/>
    </row>
    <row r="17729">
      <c r="D17729" s="185"/>
      <c r="E17729" s="185" t="s">
        <v>470</v>
      </c>
      <c r="H17729" s="185"/>
    </row>
    <row r="17730">
      <c r="D17730" s="185"/>
      <c r="E17730" s="185" t="s">
        <v>470</v>
      </c>
      <c r="H17730" s="185"/>
    </row>
    <row r="17731">
      <c r="D17731" s="185"/>
      <c r="E17731" s="185" t="s">
        <v>470</v>
      </c>
      <c r="H17731" s="185"/>
    </row>
    <row r="17732">
      <c r="D17732" s="185"/>
      <c r="E17732" s="185" t="s">
        <v>470</v>
      </c>
      <c r="H17732" s="185"/>
    </row>
    <row r="17733">
      <c r="D17733" s="185"/>
      <c r="E17733" s="185" t="s">
        <v>470</v>
      </c>
      <c r="H17733" s="185"/>
    </row>
    <row r="17734">
      <c r="D17734" s="185"/>
      <c r="E17734" s="185" t="s">
        <v>470</v>
      </c>
      <c r="H17734" s="185"/>
    </row>
    <row r="17735">
      <c r="D17735" s="185"/>
      <c r="E17735" s="185" t="s">
        <v>470</v>
      </c>
      <c r="H17735" s="185"/>
    </row>
    <row r="17736">
      <c r="D17736" s="185"/>
      <c r="E17736" s="185" t="s">
        <v>470</v>
      </c>
      <c r="H17736" s="185"/>
    </row>
    <row r="17737">
      <c r="D17737" s="185"/>
      <c r="E17737" s="185" t="s">
        <v>470</v>
      </c>
      <c r="H17737" s="185"/>
    </row>
    <row r="17738">
      <c r="D17738" s="185"/>
      <c r="E17738" s="185" t="s">
        <v>470</v>
      </c>
      <c r="H17738" s="185"/>
    </row>
    <row r="17739">
      <c r="D17739" s="185"/>
      <c r="E17739" s="185" t="s">
        <v>470</v>
      </c>
      <c r="H17739" s="185"/>
    </row>
    <row r="17740">
      <c r="D17740" s="185"/>
      <c r="E17740" s="185" t="s">
        <v>470</v>
      </c>
      <c r="H17740" s="185"/>
    </row>
    <row r="17741">
      <c r="D17741" s="185"/>
      <c r="E17741" s="185" t="s">
        <v>470</v>
      </c>
      <c r="H17741" s="185"/>
    </row>
    <row r="17742">
      <c r="D17742" s="185"/>
      <c r="E17742" s="185" t="s">
        <v>470</v>
      </c>
      <c r="H17742" s="185"/>
    </row>
    <row r="17743">
      <c r="D17743" s="185"/>
      <c r="E17743" s="185" t="s">
        <v>470</v>
      </c>
      <c r="H17743" s="185"/>
    </row>
    <row r="17744">
      <c r="D17744" s="185"/>
      <c r="E17744" s="185" t="s">
        <v>470</v>
      </c>
      <c r="H17744" s="185"/>
    </row>
    <row r="17745">
      <c r="D17745" s="185"/>
      <c r="E17745" s="185" t="s">
        <v>470</v>
      </c>
      <c r="H17745" s="185"/>
    </row>
    <row r="17746">
      <c r="D17746" s="185"/>
      <c r="E17746" s="185" t="s">
        <v>470</v>
      </c>
      <c r="H17746" s="185"/>
    </row>
    <row r="17747">
      <c r="D17747" s="185"/>
      <c r="E17747" s="185" t="s">
        <v>470</v>
      </c>
      <c r="H17747" s="185"/>
    </row>
    <row r="17748">
      <c r="D17748" s="185"/>
      <c r="E17748" s="185" t="s">
        <v>470</v>
      </c>
      <c r="H17748" s="185"/>
    </row>
    <row r="17749">
      <c r="D17749" s="185"/>
      <c r="E17749" s="185" t="s">
        <v>470</v>
      </c>
      <c r="H17749" s="185"/>
    </row>
    <row r="17750">
      <c r="D17750" s="185"/>
      <c r="E17750" s="185" t="s">
        <v>470</v>
      </c>
      <c r="H17750" s="185"/>
    </row>
    <row r="17751">
      <c r="D17751" s="185"/>
      <c r="E17751" s="185" t="s">
        <v>470</v>
      </c>
      <c r="H17751" s="185"/>
    </row>
    <row r="17752">
      <c r="D17752" s="185"/>
      <c r="E17752" s="185" t="s">
        <v>470</v>
      </c>
      <c r="H17752" s="185"/>
    </row>
    <row r="17753">
      <c r="D17753" s="185"/>
      <c r="E17753" s="185" t="s">
        <v>470</v>
      </c>
      <c r="H17753" s="185"/>
    </row>
    <row r="17754">
      <c r="D17754" s="185"/>
      <c r="E17754" s="185" t="s">
        <v>470</v>
      </c>
      <c r="H17754" s="185"/>
    </row>
    <row r="17755">
      <c r="D17755" s="185"/>
      <c r="E17755" s="185" t="s">
        <v>470</v>
      </c>
      <c r="H17755" s="185"/>
    </row>
    <row r="17756">
      <c r="D17756" s="185"/>
      <c r="E17756" s="185" t="s">
        <v>470</v>
      </c>
      <c r="H17756" s="185"/>
    </row>
    <row r="17757">
      <c r="D17757" s="185"/>
      <c r="E17757" s="185" t="s">
        <v>470</v>
      </c>
      <c r="H17757" s="185"/>
    </row>
    <row r="17758">
      <c r="D17758" s="185"/>
      <c r="E17758" s="185" t="s">
        <v>470</v>
      </c>
      <c r="H17758" s="185"/>
    </row>
    <row r="17759">
      <c r="D17759" s="185"/>
      <c r="E17759" s="185" t="s">
        <v>470</v>
      </c>
      <c r="H17759" s="185"/>
    </row>
    <row r="17760">
      <c r="D17760" s="185"/>
      <c r="E17760" s="185" t="s">
        <v>470</v>
      </c>
      <c r="H17760" s="185"/>
    </row>
    <row r="17761">
      <c r="D17761" s="185"/>
      <c r="E17761" s="185" t="s">
        <v>470</v>
      </c>
      <c r="H17761" s="185"/>
    </row>
    <row r="17762">
      <c r="D17762" s="185"/>
      <c r="E17762" s="185" t="s">
        <v>470</v>
      </c>
      <c r="H17762" s="185"/>
    </row>
    <row r="17763">
      <c r="D17763" s="185"/>
      <c r="E17763" s="185" t="s">
        <v>470</v>
      </c>
      <c r="H17763" s="185"/>
    </row>
    <row r="17764">
      <c r="D17764" s="185"/>
      <c r="E17764" s="185" t="s">
        <v>470</v>
      </c>
      <c r="H17764" s="185"/>
    </row>
    <row r="17765">
      <c r="D17765" s="185"/>
      <c r="E17765" s="185" t="s">
        <v>470</v>
      </c>
      <c r="H17765" s="185"/>
    </row>
    <row r="17766">
      <c r="D17766" s="185"/>
      <c r="E17766" s="185" t="s">
        <v>470</v>
      </c>
      <c r="H17766" s="185"/>
    </row>
    <row r="17767">
      <c r="D17767" s="185"/>
      <c r="E17767" s="185" t="s">
        <v>470</v>
      </c>
      <c r="H17767" s="185"/>
    </row>
    <row r="17768">
      <c r="D17768" s="185"/>
      <c r="E17768" s="185" t="s">
        <v>470</v>
      </c>
      <c r="H17768" s="185"/>
    </row>
    <row r="17769">
      <c r="D17769" s="185"/>
      <c r="E17769" s="185" t="s">
        <v>470</v>
      </c>
      <c r="H17769" s="185"/>
    </row>
    <row r="17770">
      <c r="D17770" s="185"/>
      <c r="E17770" s="185" t="s">
        <v>470</v>
      </c>
      <c r="H17770" s="185"/>
    </row>
    <row r="17771">
      <c r="D17771" s="185"/>
      <c r="E17771" s="185" t="s">
        <v>470</v>
      </c>
      <c r="H17771" s="185"/>
    </row>
    <row r="17772">
      <c r="D17772" s="185"/>
      <c r="E17772" s="185" t="s">
        <v>470</v>
      </c>
      <c r="H17772" s="185"/>
    </row>
    <row r="17773">
      <c r="D17773" s="185"/>
      <c r="E17773" s="185" t="s">
        <v>470</v>
      </c>
      <c r="H17773" s="185"/>
    </row>
    <row r="17774">
      <c r="D17774" s="185"/>
      <c r="E17774" s="185" t="s">
        <v>470</v>
      </c>
      <c r="H17774" s="185"/>
    </row>
    <row r="17775">
      <c r="D17775" s="185"/>
      <c r="E17775" s="185" t="s">
        <v>470</v>
      </c>
      <c r="H17775" s="185"/>
    </row>
    <row r="17776">
      <c r="D17776" s="185"/>
      <c r="E17776" s="185" t="s">
        <v>470</v>
      </c>
      <c r="H17776" s="185"/>
    </row>
    <row r="17777">
      <c r="D17777" s="185"/>
      <c r="E17777" s="185" t="s">
        <v>470</v>
      </c>
      <c r="H17777" s="185"/>
    </row>
    <row r="17778">
      <c r="D17778" s="185"/>
      <c r="E17778" s="185" t="s">
        <v>470</v>
      </c>
      <c r="H17778" s="185"/>
    </row>
    <row r="17779">
      <c r="D17779" s="185"/>
      <c r="E17779" s="185" t="s">
        <v>470</v>
      </c>
      <c r="H17779" s="185"/>
    </row>
    <row r="17780">
      <c r="D17780" s="185"/>
      <c r="E17780" s="185" t="s">
        <v>470</v>
      </c>
      <c r="H17780" s="185"/>
    </row>
    <row r="17781">
      <c r="D17781" s="185"/>
      <c r="E17781" s="185" t="s">
        <v>470</v>
      </c>
      <c r="H17781" s="185"/>
    </row>
    <row r="17782">
      <c r="D17782" s="185"/>
      <c r="E17782" s="185" t="s">
        <v>470</v>
      </c>
      <c r="H17782" s="185"/>
    </row>
    <row r="17783">
      <c r="D17783" s="185"/>
      <c r="E17783" s="185" t="s">
        <v>470</v>
      </c>
      <c r="H17783" s="185"/>
    </row>
    <row r="17784">
      <c r="D17784" s="185"/>
      <c r="E17784" s="185" t="s">
        <v>470</v>
      </c>
      <c r="H17784" s="185"/>
    </row>
    <row r="17785">
      <c r="D17785" s="185"/>
      <c r="E17785" s="185" t="s">
        <v>470</v>
      </c>
      <c r="H17785" s="185"/>
    </row>
    <row r="17786">
      <c r="D17786" s="185"/>
      <c r="E17786" s="185" t="s">
        <v>470</v>
      </c>
      <c r="H17786" s="185"/>
    </row>
    <row r="17787">
      <c r="D17787" s="185"/>
      <c r="E17787" s="185" t="s">
        <v>470</v>
      </c>
      <c r="H17787" s="185"/>
    </row>
    <row r="17788">
      <c r="D17788" s="185"/>
      <c r="E17788" s="185" t="s">
        <v>470</v>
      </c>
      <c r="H17788" s="185"/>
    </row>
    <row r="17789">
      <c r="D17789" s="185"/>
      <c r="E17789" s="185" t="s">
        <v>470</v>
      </c>
      <c r="H17789" s="185"/>
    </row>
    <row r="17790">
      <c r="D17790" s="185"/>
      <c r="E17790" s="185" t="s">
        <v>470</v>
      </c>
      <c r="H17790" s="185"/>
    </row>
    <row r="17791">
      <c r="D17791" s="185"/>
      <c r="E17791" s="185" t="s">
        <v>470</v>
      </c>
      <c r="H17791" s="185"/>
    </row>
    <row r="17792">
      <c r="D17792" s="185"/>
      <c r="E17792" s="185" t="s">
        <v>470</v>
      </c>
      <c r="H17792" s="185"/>
    </row>
    <row r="17793">
      <c r="D17793" s="185"/>
      <c r="E17793" s="185" t="s">
        <v>470</v>
      </c>
      <c r="H17793" s="185"/>
    </row>
    <row r="17794">
      <c r="D17794" s="185"/>
      <c r="E17794" s="185" t="s">
        <v>470</v>
      </c>
      <c r="H17794" s="185"/>
    </row>
    <row r="17795">
      <c r="D17795" s="185"/>
      <c r="E17795" s="185" t="s">
        <v>470</v>
      </c>
      <c r="H17795" s="185"/>
    </row>
    <row r="17796">
      <c r="D17796" s="185"/>
      <c r="E17796" s="185" t="s">
        <v>470</v>
      </c>
      <c r="H17796" s="185"/>
    </row>
    <row r="17797">
      <c r="D17797" s="185"/>
      <c r="E17797" s="185" t="s">
        <v>470</v>
      </c>
      <c r="H17797" s="185"/>
    </row>
    <row r="17798">
      <c r="D17798" s="185"/>
      <c r="E17798" s="185" t="s">
        <v>470</v>
      </c>
      <c r="H17798" s="185"/>
    </row>
    <row r="17799">
      <c r="D17799" s="185"/>
      <c r="E17799" s="185" t="s">
        <v>470</v>
      </c>
      <c r="H17799" s="185"/>
    </row>
    <row r="17800">
      <c r="D17800" s="185"/>
      <c r="E17800" s="185" t="s">
        <v>470</v>
      </c>
      <c r="H17800" s="185"/>
    </row>
    <row r="17801">
      <c r="D17801" s="185"/>
      <c r="E17801" s="185" t="s">
        <v>470</v>
      </c>
      <c r="H17801" s="185"/>
    </row>
    <row r="17802">
      <c r="D17802" s="185"/>
      <c r="E17802" s="185" t="s">
        <v>470</v>
      </c>
      <c r="H17802" s="185"/>
    </row>
    <row r="17803">
      <c r="D17803" s="185"/>
      <c r="E17803" s="185" t="s">
        <v>470</v>
      </c>
      <c r="H17803" s="185"/>
    </row>
    <row r="17804">
      <c r="D17804" s="185"/>
      <c r="E17804" s="185" t="s">
        <v>470</v>
      </c>
      <c r="H17804" s="185"/>
    </row>
    <row r="17805">
      <c r="D17805" s="185"/>
      <c r="E17805" s="185" t="s">
        <v>470</v>
      </c>
      <c r="H17805" s="185"/>
    </row>
    <row r="17806">
      <c r="D17806" s="185"/>
      <c r="E17806" s="185" t="s">
        <v>470</v>
      </c>
      <c r="H17806" s="185"/>
    </row>
    <row r="17807">
      <c r="D17807" s="185"/>
      <c r="E17807" s="185" t="s">
        <v>470</v>
      </c>
      <c r="H17807" s="185"/>
    </row>
    <row r="17808">
      <c r="D17808" s="185"/>
      <c r="E17808" s="185" t="s">
        <v>470</v>
      </c>
      <c r="H17808" s="185"/>
    </row>
    <row r="17809">
      <c r="D17809" s="185"/>
      <c r="E17809" s="185" t="s">
        <v>470</v>
      </c>
      <c r="H17809" s="185"/>
    </row>
    <row r="17810">
      <c r="D17810" s="185"/>
      <c r="E17810" s="185" t="s">
        <v>470</v>
      </c>
      <c r="H17810" s="185"/>
    </row>
    <row r="17811">
      <c r="D17811" s="185"/>
      <c r="E17811" s="185" t="s">
        <v>470</v>
      </c>
      <c r="H17811" s="185"/>
    </row>
    <row r="17812">
      <c r="D17812" s="185"/>
      <c r="E17812" s="185" t="s">
        <v>470</v>
      </c>
      <c r="H17812" s="185"/>
    </row>
    <row r="17813">
      <c r="D17813" s="185"/>
      <c r="E17813" s="185" t="s">
        <v>470</v>
      </c>
      <c r="H17813" s="185"/>
    </row>
    <row r="17814">
      <c r="D17814" s="185"/>
      <c r="E17814" s="185" t="s">
        <v>470</v>
      </c>
      <c r="H17814" s="185"/>
    </row>
    <row r="17815">
      <c r="D17815" s="185"/>
      <c r="E17815" s="185" t="s">
        <v>470</v>
      </c>
      <c r="H17815" s="185"/>
    </row>
    <row r="17816">
      <c r="D17816" s="185"/>
      <c r="E17816" s="185" t="s">
        <v>470</v>
      </c>
      <c r="H17816" s="185"/>
    </row>
    <row r="17817">
      <c r="D17817" s="185"/>
      <c r="E17817" s="185" t="s">
        <v>470</v>
      </c>
      <c r="H17817" s="185"/>
    </row>
    <row r="17818">
      <c r="D17818" s="185"/>
      <c r="E17818" s="185" t="s">
        <v>470</v>
      </c>
      <c r="H17818" s="185"/>
    </row>
    <row r="17819">
      <c r="D17819" s="185"/>
      <c r="E17819" s="185" t="s">
        <v>470</v>
      </c>
      <c r="H17819" s="185"/>
    </row>
    <row r="17820">
      <c r="D17820" s="185"/>
      <c r="E17820" s="185" t="s">
        <v>470</v>
      </c>
      <c r="H17820" s="185"/>
    </row>
    <row r="17821">
      <c r="D17821" s="185"/>
      <c r="E17821" s="185" t="s">
        <v>470</v>
      </c>
      <c r="H17821" s="185"/>
    </row>
    <row r="17822">
      <c r="D17822" s="185"/>
      <c r="E17822" s="185" t="s">
        <v>470</v>
      </c>
      <c r="H17822" s="185"/>
    </row>
    <row r="17823">
      <c r="D17823" s="185"/>
      <c r="E17823" s="185" t="s">
        <v>470</v>
      </c>
      <c r="H17823" s="185"/>
    </row>
    <row r="17824">
      <c r="D17824" s="185"/>
      <c r="E17824" s="185" t="s">
        <v>470</v>
      </c>
      <c r="H17824" s="185"/>
    </row>
    <row r="17825">
      <c r="D17825" s="185"/>
      <c r="E17825" s="185" t="s">
        <v>470</v>
      </c>
      <c r="H17825" s="185"/>
    </row>
    <row r="17826">
      <c r="D17826" s="185"/>
      <c r="E17826" s="185" t="s">
        <v>470</v>
      </c>
      <c r="H17826" s="185"/>
    </row>
    <row r="17827">
      <c r="D17827" s="185"/>
      <c r="E17827" s="185" t="s">
        <v>470</v>
      </c>
      <c r="H17827" s="185"/>
    </row>
    <row r="17828">
      <c r="D17828" s="185"/>
      <c r="E17828" s="185" t="s">
        <v>470</v>
      </c>
      <c r="H17828" s="185"/>
    </row>
    <row r="17829">
      <c r="D17829" s="185"/>
      <c r="E17829" s="185" t="s">
        <v>470</v>
      </c>
      <c r="H17829" s="185"/>
    </row>
    <row r="17830">
      <c r="D17830" s="185"/>
      <c r="E17830" s="185" t="s">
        <v>470</v>
      </c>
      <c r="H17830" s="185"/>
    </row>
    <row r="17831">
      <c r="D17831" s="185"/>
      <c r="E17831" s="185" t="s">
        <v>470</v>
      </c>
      <c r="H17831" s="185"/>
    </row>
    <row r="17832">
      <c r="D17832" s="185"/>
      <c r="E17832" s="185" t="s">
        <v>470</v>
      </c>
      <c r="H17832" s="185"/>
    </row>
    <row r="17833">
      <c r="D17833" s="185"/>
      <c r="E17833" s="185" t="s">
        <v>470</v>
      </c>
      <c r="H17833" s="185"/>
    </row>
    <row r="17834">
      <c r="D17834" s="185"/>
      <c r="E17834" s="185" t="s">
        <v>470</v>
      </c>
      <c r="H17834" s="185"/>
    </row>
    <row r="17835">
      <c r="D17835" s="185"/>
      <c r="E17835" s="185" t="s">
        <v>470</v>
      </c>
      <c r="H17835" s="185"/>
    </row>
    <row r="17836">
      <c r="D17836" s="185"/>
      <c r="E17836" s="185" t="s">
        <v>470</v>
      </c>
      <c r="H17836" s="185"/>
    </row>
    <row r="17837">
      <c r="D17837" s="185"/>
      <c r="E17837" s="185" t="s">
        <v>470</v>
      </c>
      <c r="H17837" s="185"/>
    </row>
    <row r="17838">
      <c r="D17838" s="185"/>
      <c r="E17838" s="185" t="s">
        <v>470</v>
      </c>
      <c r="H17838" s="185"/>
    </row>
    <row r="17839">
      <c r="D17839" s="185"/>
      <c r="E17839" s="185" t="s">
        <v>470</v>
      </c>
      <c r="H17839" s="185"/>
    </row>
    <row r="17840">
      <c r="D17840" s="185"/>
      <c r="E17840" s="185" t="s">
        <v>470</v>
      </c>
      <c r="H17840" s="185"/>
    </row>
    <row r="17841">
      <c r="D17841" s="185"/>
      <c r="E17841" s="185" t="s">
        <v>470</v>
      </c>
      <c r="H17841" s="185"/>
    </row>
    <row r="17842">
      <c r="D17842" s="185"/>
      <c r="E17842" s="185" t="s">
        <v>470</v>
      </c>
      <c r="H17842" s="185"/>
    </row>
    <row r="17843">
      <c r="D17843" s="185"/>
      <c r="E17843" s="185" t="s">
        <v>470</v>
      </c>
      <c r="H17843" s="185"/>
    </row>
    <row r="17844">
      <c r="D17844" s="185"/>
      <c r="E17844" s="185" t="s">
        <v>470</v>
      </c>
      <c r="H17844" s="185"/>
    </row>
    <row r="17845">
      <c r="D17845" s="185"/>
      <c r="E17845" s="185" t="s">
        <v>470</v>
      </c>
      <c r="H17845" s="185"/>
    </row>
    <row r="17846">
      <c r="D17846" s="185"/>
      <c r="E17846" s="185" t="s">
        <v>470</v>
      </c>
      <c r="H17846" s="185"/>
    </row>
    <row r="17847">
      <c r="D17847" s="185"/>
      <c r="E17847" s="185" t="s">
        <v>470</v>
      </c>
      <c r="H17847" s="185"/>
    </row>
    <row r="17848">
      <c r="D17848" s="185"/>
      <c r="E17848" s="185" t="s">
        <v>470</v>
      </c>
      <c r="H17848" s="185"/>
    </row>
    <row r="17849">
      <c r="D17849" s="185"/>
      <c r="E17849" s="185" t="s">
        <v>470</v>
      </c>
      <c r="H17849" s="185"/>
    </row>
    <row r="17850">
      <c r="D17850" s="185"/>
      <c r="E17850" s="185" t="s">
        <v>470</v>
      </c>
      <c r="H17850" s="185"/>
    </row>
    <row r="17851">
      <c r="D17851" s="185"/>
      <c r="E17851" s="185" t="s">
        <v>470</v>
      </c>
      <c r="H17851" s="185"/>
    </row>
    <row r="17852">
      <c r="D17852" s="185"/>
      <c r="E17852" s="185" t="s">
        <v>470</v>
      </c>
      <c r="H17852" s="185"/>
    </row>
    <row r="17853">
      <c r="D17853" s="185"/>
      <c r="E17853" s="185" t="s">
        <v>470</v>
      </c>
      <c r="H17853" s="185"/>
    </row>
    <row r="17854">
      <c r="D17854" s="185"/>
      <c r="E17854" s="185" t="s">
        <v>470</v>
      </c>
      <c r="H17854" s="185"/>
    </row>
    <row r="17855">
      <c r="D17855" s="185"/>
      <c r="E17855" s="185" t="s">
        <v>470</v>
      </c>
      <c r="H17855" s="185"/>
    </row>
    <row r="17856">
      <c r="D17856" s="185"/>
      <c r="E17856" s="185" t="s">
        <v>470</v>
      </c>
      <c r="H17856" s="185"/>
    </row>
    <row r="17857">
      <c r="D17857" s="185"/>
      <c r="E17857" s="185" t="s">
        <v>470</v>
      </c>
      <c r="H17857" s="185"/>
    </row>
    <row r="17858">
      <c r="D17858" s="185"/>
      <c r="E17858" s="185" t="s">
        <v>470</v>
      </c>
      <c r="H17858" s="185"/>
    </row>
    <row r="17859">
      <c r="D17859" s="185"/>
      <c r="E17859" s="185" t="s">
        <v>470</v>
      </c>
      <c r="H17859" s="185"/>
    </row>
    <row r="17860">
      <c r="D17860" s="185"/>
      <c r="E17860" s="185" t="s">
        <v>470</v>
      </c>
      <c r="H17860" s="185"/>
    </row>
    <row r="17861">
      <c r="D17861" s="185"/>
      <c r="E17861" s="185" t="s">
        <v>470</v>
      </c>
      <c r="H17861" s="185"/>
    </row>
    <row r="17862">
      <c r="D17862" s="185"/>
      <c r="E17862" s="185" t="s">
        <v>470</v>
      </c>
      <c r="H17862" s="185"/>
    </row>
    <row r="17863">
      <c r="D17863" s="185"/>
      <c r="E17863" s="185" t="s">
        <v>470</v>
      </c>
      <c r="H17863" s="185"/>
    </row>
    <row r="17864">
      <c r="D17864" s="185"/>
      <c r="E17864" s="185" t="s">
        <v>470</v>
      </c>
      <c r="H17864" s="185"/>
    </row>
    <row r="17865">
      <c r="D17865" s="185"/>
      <c r="E17865" s="185" t="s">
        <v>470</v>
      </c>
      <c r="H17865" s="185"/>
    </row>
    <row r="17866">
      <c r="D17866" s="185"/>
      <c r="E17866" s="185" t="s">
        <v>470</v>
      </c>
      <c r="H17866" s="185"/>
    </row>
    <row r="17867">
      <c r="D17867" s="185"/>
      <c r="E17867" s="185" t="s">
        <v>470</v>
      </c>
      <c r="H17867" s="185"/>
    </row>
    <row r="17868">
      <c r="D17868" s="185"/>
      <c r="E17868" s="185" t="s">
        <v>470</v>
      </c>
      <c r="H17868" s="185"/>
    </row>
    <row r="17869">
      <c r="D17869" s="185"/>
      <c r="E17869" s="185" t="s">
        <v>470</v>
      </c>
      <c r="H17869" s="185"/>
    </row>
    <row r="17870">
      <c r="D17870" s="185"/>
      <c r="E17870" s="185" t="s">
        <v>470</v>
      </c>
      <c r="H17870" s="185"/>
    </row>
    <row r="17871">
      <c r="D17871" s="185"/>
      <c r="E17871" s="185" t="s">
        <v>470</v>
      </c>
      <c r="H17871" s="185"/>
    </row>
    <row r="17872">
      <c r="D17872" s="185"/>
      <c r="E17872" s="185" t="s">
        <v>470</v>
      </c>
      <c r="H17872" s="185"/>
    </row>
    <row r="17873">
      <c r="D17873" s="185"/>
      <c r="E17873" s="185" t="s">
        <v>470</v>
      </c>
      <c r="H17873" s="185"/>
    </row>
    <row r="17874">
      <c r="D17874" s="185"/>
      <c r="E17874" s="185" t="s">
        <v>470</v>
      </c>
      <c r="H17874" s="185"/>
    </row>
    <row r="17875">
      <c r="D17875" s="185"/>
      <c r="E17875" s="185" t="s">
        <v>470</v>
      </c>
      <c r="H17875" s="185"/>
    </row>
    <row r="17876">
      <c r="D17876" s="185"/>
      <c r="E17876" s="185" t="s">
        <v>470</v>
      </c>
      <c r="H17876" s="185"/>
    </row>
    <row r="17877">
      <c r="D17877" s="185"/>
      <c r="E17877" s="185" t="s">
        <v>470</v>
      </c>
      <c r="H17877" s="185"/>
    </row>
    <row r="17878">
      <c r="D17878" s="185"/>
      <c r="E17878" s="185" t="s">
        <v>470</v>
      </c>
      <c r="H17878" s="185"/>
    </row>
    <row r="17879">
      <c r="D17879" s="185"/>
      <c r="E17879" s="185" t="s">
        <v>470</v>
      </c>
      <c r="H17879" s="185"/>
    </row>
    <row r="17880">
      <c r="D17880" s="185"/>
      <c r="E17880" s="185" t="s">
        <v>470</v>
      </c>
      <c r="H17880" s="185"/>
    </row>
    <row r="17881">
      <c r="D17881" s="185"/>
      <c r="E17881" s="185" t="s">
        <v>470</v>
      </c>
      <c r="H17881" s="185"/>
    </row>
    <row r="17882">
      <c r="D17882" s="185"/>
      <c r="E17882" s="185" t="s">
        <v>470</v>
      </c>
      <c r="H17882" s="185"/>
    </row>
    <row r="17883">
      <c r="D17883" s="185"/>
      <c r="E17883" s="185" t="s">
        <v>470</v>
      </c>
      <c r="H17883" s="185"/>
    </row>
    <row r="17884">
      <c r="D17884" s="185"/>
      <c r="E17884" s="185" t="s">
        <v>470</v>
      </c>
      <c r="H17884" s="185"/>
    </row>
    <row r="17885">
      <c r="D17885" s="185"/>
      <c r="E17885" s="185" t="s">
        <v>470</v>
      </c>
      <c r="H17885" s="185"/>
    </row>
    <row r="17886">
      <c r="D17886" s="185"/>
      <c r="E17886" s="185" t="s">
        <v>470</v>
      </c>
      <c r="H17886" s="185"/>
    </row>
    <row r="17887">
      <c r="D17887" s="185"/>
      <c r="E17887" s="185" t="s">
        <v>470</v>
      </c>
      <c r="H17887" s="185"/>
    </row>
    <row r="17888">
      <c r="D17888" s="185"/>
      <c r="E17888" s="185" t="s">
        <v>470</v>
      </c>
      <c r="H17888" s="185"/>
    </row>
    <row r="17889">
      <c r="D17889" s="185"/>
      <c r="E17889" s="185" t="s">
        <v>470</v>
      </c>
      <c r="H17889" s="185"/>
    </row>
    <row r="17890">
      <c r="D17890" s="185"/>
      <c r="E17890" s="185" t="s">
        <v>470</v>
      </c>
      <c r="H17890" s="185"/>
    </row>
    <row r="17891">
      <c r="D17891" s="185"/>
      <c r="E17891" s="185" t="s">
        <v>470</v>
      </c>
      <c r="H17891" s="185"/>
    </row>
    <row r="17892">
      <c r="D17892" s="185"/>
      <c r="E17892" s="185" t="s">
        <v>470</v>
      </c>
      <c r="H17892" s="185"/>
    </row>
    <row r="17893">
      <c r="D17893" s="185"/>
      <c r="E17893" s="185" t="s">
        <v>470</v>
      </c>
      <c r="H17893" s="185"/>
    </row>
    <row r="17894">
      <c r="D17894" s="185"/>
      <c r="E17894" s="185" t="s">
        <v>470</v>
      </c>
      <c r="H17894" s="185"/>
    </row>
    <row r="17895">
      <c r="D17895" s="185"/>
      <c r="E17895" s="185" t="s">
        <v>470</v>
      </c>
      <c r="H17895" s="185"/>
    </row>
    <row r="17896">
      <c r="D17896" s="185"/>
      <c r="E17896" s="185" t="s">
        <v>470</v>
      </c>
      <c r="H17896" s="185"/>
    </row>
    <row r="17897">
      <c r="D17897" s="185"/>
      <c r="E17897" s="185" t="s">
        <v>470</v>
      </c>
      <c r="H17897" s="185"/>
    </row>
    <row r="17898">
      <c r="D17898" s="185"/>
      <c r="E17898" s="185" t="s">
        <v>470</v>
      </c>
      <c r="H17898" s="185"/>
    </row>
    <row r="17899">
      <c r="D17899" s="185"/>
      <c r="E17899" s="185" t="s">
        <v>470</v>
      </c>
      <c r="H17899" s="185"/>
    </row>
    <row r="17900">
      <c r="D17900" s="185"/>
      <c r="E17900" s="185" t="s">
        <v>470</v>
      </c>
      <c r="H17900" s="185"/>
    </row>
    <row r="17901">
      <c r="D17901" s="185"/>
      <c r="E17901" s="185" t="s">
        <v>470</v>
      </c>
      <c r="H17901" s="185"/>
    </row>
    <row r="17902">
      <c r="D17902" s="185"/>
      <c r="E17902" s="185" t="s">
        <v>470</v>
      </c>
      <c r="H17902" s="185"/>
    </row>
    <row r="17903">
      <c r="D17903" s="185"/>
      <c r="E17903" s="185" t="s">
        <v>470</v>
      </c>
      <c r="H17903" s="185"/>
    </row>
    <row r="17904">
      <c r="D17904" s="185"/>
      <c r="E17904" s="185" t="s">
        <v>470</v>
      </c>
      <c r="H17904" s="185"/>
    </row>
    <row r="17905">
      <c r="D17905" s="185"/>
      <c r="E17905" s="185" t="s">
        <v>470</v>
      </c>
      <c r="H17905" s="185"/>
    </row>
    <row r="17906">
      <c r="D17906" s="185"/>
      <c r="E17906" s="185" t="s">
        <v>470</v>
      </c>
      <c r="H17906" s="185"/>
    </row>
    <row r="17907">
      <c r="D17907" s="185"/>
      <c r="E17907" s="185" t="s">
        <v>470</v>
      </c>
      <c r="H17907" s="185"/>
    </row>
    <row r="17908">
      <c r="D17908" s="185"/>
      <c r="E17908" s="185" t="s">
        <v>470</v>
      </c>
      <c r="H17908" s="185"/>
    </row>
    <row r="17909">
      <c r="D17909" s="185"/>
      <c r="E17909" s="185" t="s">
        <v>470</v>
      </c>
      <c r="H17909" s="185"/>
    </row>
    <row r="17910">
      <c r="D17910" s="185"/>
      <c r="E17910" s="185" t="s">
        <v>470</v>
      </c>
      <c r="H17910" s="185"/>
    </row>
    <row r="17911">
      <c r="D17911" s="185"/>
      <c r="E17911" s="185" t="s">
        <v>470</v>
      </c>
      <c r="H17911" s="185"/>
    </row>
    <row r="17912">
      <c r="D17912" s="185"/>
      <c r="E17912" s="185" t="s">
        <v>470</v>
      </c>
      <c r="H17912" s="185"/>
    </row>
    <row r="17913">
      <c r="D17913" s="185"/>
      <c r="E17913" s="185" t="s">
        <v>470</v>
      </c>
      <c r="H17913" s="185"/>
    </row>
    <row r="17914">
      <c r="D17914" s="185"/>
      <c r="E17914" s="185" t="s">
        <v>470</v>
      </c>
      <c r="H17914" s="185"/>
    </row>
    <row r="17915">
      <c r="D17915" s="185"/>
      <c r="E17915" s="185" t="s">
        <v>470</v>
      </c>
      <c r="H17915" s="185"/>
    </row>
    <row r="17916">
      <c r="D17916" s="185"/>
      <c r="E17916" s="185" t="s">
        <v>470</v>
      </c>
      <c r="H17916" s="185"/>
    </row>
    <row r="17917">
      <c r="D17917" s="185"/>
      <c r="E17917" s="185" t="s">
        <v>470</v>
      </c>
      <c r="H17917" s="185"/>
    </row>
    <row r="17918">
      <c r="D17918" s="185"/>
      <c r="E17918" s="185" t="s">
        <v>470</v>
      </c>
      <c r="H17918" s="185"/>
    </row>
    <row r="17919">
      <c r="D17919" s="185"/>
      <c r="E17919" s="185" t="s">
        <v>470</v>
      </c>
      <c r="H17919" s="185"/>
    </row>
    <row r="17920">
      <c r="D17920" s="185"/>
      <c r="E17920" s="185" t="s">
        <v>470</v>
      </c>
      <c r="H17920" s="185"/>
    </row>
    <row r="17921">
      <c r="D17921" s="185"/>
      <c r="E17921" s="185" t="s">
        <v>470</v>
      </c>
      <c r="H17921" s="185"/>
    </row>
    <row r="17922">
      <c r="D17922" s="185"/>
      <c r="E17922" s="185" t="s">
        <v>470</v>
      </c>
      <c r="H17922" s="185"/>
    </row>
    <row r="17923">
      <c r="D17923" s="185"/>
      <c r="E17923" s="185" t="s">
        <v>470</v>
      </c>
      <c r="H17923" s="185"/>
    </row>
    <row r="17924">
      <c r="D17924" s="185"/>
      <c r="E17924" s="185" t="s">
        <v>470</v>
      </c>
      <c r="H17924" s="185"/>
    </row>
    <row r="17925">
      <c r="D17925" s="185"/>
      <c r="E17925" s="185" t="s">
        <v>470</v>
      </c>
      <c r="H17925" s="185"/>
    </row>
    <row r="17926">
      <c r="D17926" s="185"/>
      <c r="E17926" s="185" t="s">
        <v>470</v>
      </c>
      <c r="H17926" s="185"/>
    </row>
    <row r="17927">
      <c r="D17927" s="185"/>
      <c r="E17927" s="185" t="s">
        <v>470</v>
      </c>
      <c r="H17927" s="185"/>
    </row>
    <row r="17928">
      <c r="D17928" s="185"/>
      <c r="E17928" s="185" t="s">
        <v>470</v>
      </c>
      <c r="H17928" s="185"/>
    </row>
    <row r="17929">
      <c r="D17929" s="185"/>
      <c r="E17929" s="185" t="s">
        <v>470</v>
      </c>
      <c r="H17929" s="185"/>
    </row>
    <row r="17930">
      <c r="D17930" s="185"/>
      <c r="E17930" s="185" t="s">
        <v>470</v>
      </c>
      <c r="H17930" s="185"/>
    </row>
    <row r="17931">
      <c r="D17931" s="185"/>
      <c r="E17931" s="185" t="s">
        <v>470</v>
      </c>
      <c r="H17931" s="185"/>
    </row>
    <row r="17932">
      <c r="D17932" s="185"/>
      <c r="E17932" s="185" t="s">
        <v>470</v>
      </c>
      <c r="H17932" s="185"/>
    </row>
    <row r="17933">
      <c r="D17933" s="185"/>
      <c r="E17933" s="185" t="s">
        <v>470</v>
      </c>
      <c r="H17933" s="185"/>
    </row>
    <row r="17934">
      <c r="D17934" s="185"/>
      <c r="E17934" s="185" t="s">
        <v>470</v>
      </c>
      <c r="H17934" s="185"/>
    </row>
    <row r="17935">
      <c r="D17935" s="185"/>
      <c r="E17935" s="185" t="s">
        <v>470</v>
      </c>
      <c r="H17935" s="185"/>
    </row>
    <row r="17936">
      <c r="D17936" s="185"/>
      <c r="E17936" s="185" t="s">
        <v>470</v>
      </c>
      <c r="H17936" s="185"/>
    </row>
    <row r="17937">
      <c r="D17937" s="185"/>
      <c r="E17937" s="185" t="s">
        <v>470</v>
      </c>
      <c r="H17937" s="185"/>
    </row>
    <row r="17938">
      <c r="D17938" s="185"/>
      <c r="E17938" s="185" t="s">
        <v>470</v>
      </c>
      <c r="H17938" s="185"/>
    </row>
    <row r="17939">
      <c r="D17939" s="185"/>
      <c r="E17939" s="185" t="s">
        <v>470</v>
      </c>
      <c r="H17939" s="185"/>
    </row>
    <row r="17940">
      <c r="D17940" s="185"/>
      <c r="E17940" s="185" t="s">
        <v>470</v>
      </c>
      <c r="H17940" s="185"/>
    </row>
    <row r="17941">
      <c r="D17941" s="185"/>
      <c r="E17941" s="185" t="s">
        <v>470</v>
      </c>
      <c r="H17941" s="185"/>
    </row>
    <row r="17942">
      <c r="D17942" s="185"/>
      <c r="E17942" s="185" t="s">
        <v>470</v>
      </c>
      <c r="H17942" s="185"/>
    </row>
    <row r="17943">
      <c r="D17943" s="185"/>
      <c r="E17943" s="185" t="s">
        <v>470</v>
      </c>
      <c r="H17943" s="185"/>
    </row>
    <row r="17944">
      <c r="D17944" s="185"/>
      <c r="E17944" s="185" t="s">
        <v>470</v>
      </c>
      <c r="H17944" s="185"/>
    </row>
    <row r="17945">
      <c r="D17945" s="185"/>
      <c r="E17945" s="185" t="s">
        <v>470</v>
      </c>
      <c r="H17945" s="185"/>
    </row>
    <row r="17946">
      <c r="D17946" s="185"/>
      <c r="E17946" s="185" t="s">
        <v>470</v>
      </c>
      <c r="H17946" s="185"/>
    </row>
    <row r="17947">
      <c r="D17947" s="185"/>
      <c r="E17947" s="185" t="s">
        <v>470</v>
      </c>
      <c r="H17947" s="185"/>
    </row>
    <row r="17948">
      <c r="D17948" s="185"/>
      <c r="E17948" s="185" t="s">
        <v>470</v>
      </c>
      <c r="H17948" s="185"/>
    </row>
    <row r="17949">
      <c r="D17949" s="185"/>
      <c r="E17949" s="185" t="s">
        <v>470</v>
      </c>
      <c r="H17949" s="185"/>
    </row>
    <row r="17950">
      <c r="D17950" s="185"/>
      <c r="E17950" s="185" t="s">
        <v>470</v>
      </c>
      <c r="H17950" s="185"/>
    </row>
    <row r="17951">
      <c r="D17951" s="185"/>
      <c r="E17951" s="185" t="s">
        <v>470</v>
      </c>
      <c r="H17951" s="185"/>
    </row>
    <row r="17952">
      <c r="D17952" s="185"/>
      <c r="E17952" s="185" t="s">
        <v>470</v>
      </c>
      <c r="H17952" s="185"/>
    </row>
    <row r="17953">
      <c r="D17953" s="185"/>
      <c r="E17953" s="185" t="s">
        <v>470</v>
      </c>
      <c r="H17953" s="185"/>
    </row>
    <row r="17954">
      <c r="D17954" s="185"/>
      <c r="E17954" s="185" t="s">
        <v>470</v>
      </c>
      <c r="H17954" s="185"/>
    </row>
    <row r="17955">
      <c r="D17955" s="185"/>
      <c r="E17955" s="185" t="s">
        <v>470</v>
      </c>
      <c r="H17955" s="185"/>
    </row>
    <row r="17956">
      <c r="D17956" s="185"/>
      <c r="E17956" s="185" t="s">
        <v>470</v>
      </c>
      <c r="H17956" s="185"/>
    </row>
    <row r="17957">
      <c r="D17957" s="185"/>
      <c r="E17957" s="185" t="s">
        <v>470</v>
      </c>
      <c r="H17957" s="185"/>
    </row>
    <row r="17958">
      <c r="D17958" s="185"/>
      <c r="E17958" s="185" t="s">
        <v>470</v>
      </c>
      <c r="H17958" s="185"/>
    </row>
    <row r="17959">
      <c r="D17959" s="185"/>
      <c r="E17959" s="185" t="s">
        <v>470</v>
      </c>
      <c r="H17959" s="185"/>
    </row>
    <row r="17960">
      <c r="D17960" s="185"/>
      <c r="E17960" s="185" t="s">
        <v>470</v>
      </c>
      <c r="H17960" s="185"/>
    </row>
    <row r="17961">
      <c r="D17961" s="185"/>
      <c r="E17961" s="185" t="s">
        <v>470</v>
      </c>
      <c r="H17961" s="185"/>
    </row>
    <row r="17962">
      <c r="D17962" s="185"/>
      <c r="E17962" s="185" t="s">
        <v>470</v>
      </c>
      <c r="H17962" s="185"/>
    </row>
    <row r="17963">
      <c r="D17963" s="185"/>
      <c r="E17963" s="185" t="s">
        <v>470</v>
      </c>
      <c r="H17963" s="185"/>
    </row>
    <row r="17964">
      <c r="D17964" s="185"/>
      <c r="E17964" s="185" t="s">
        <v>470</v>
      </c>
      <c r="H17964" s="185"/>
    </row>
    <row r="17965">
      <c r="D17965" s="185"/>
      <c r="E17965" s="185" t="s">
        <v>470</v>
      </c>
      <c r="H17965" s="185"/>
    </row>
    <row r="17966">
      <c r="D17966" s="185"/>
      <c r="E17966" s="185" t="s">
        <v>470</v>
      </c>
      <c r="H17966" s="185"/>
    </row>
    <row r="17967">
      <c r="D17967" s="185"/>
      <c r="E17967" s="185" t="s">
        <v>470</v>
      </c>
      <c r="H17967" s="185"/>
    </row>
    <row r="17968">
      <c r="D17968" s="185"/>
      <c r="E17968" s="185" t="s">
        <v>470</v>
      </c>
      <c r="H17968" s="185"/>
    </row>
    <row r="17969">
      <c r="D17969" s="185"/>
      <c r="E17969" s="185" t="s">
        <v>470</v>
      </c>
      <c r="H17969" s="185"/>
    </row>
    <row r="17970">
      <c r="D17970" s="185"/>
      <c r="E17970" s="185" t="s">
        <v>470</v>
      </c>
      <c r="H17970" s="185"/>
    </row>
    <row r="17971">
      <c r="D17971" s="185"/>
      <c r="E17971" s="185" t="s">
        <v>470</v>
      </c>
      <c r="H17971" s="185"/>
    </row>
    <row r="17972">
      <c r="D17972" s="185"/>
      <c r="E17972" s="185" t="s">
        <v>470</v>
      </c>
      <c r="H17972" s="185"/>
    </row>
    <row r="17973">
      <c r="D17973" s="185"/>
      <c r="E17973" s="185" t="s">
        <v>470</v>
      </c>
      <c r="H17973" s="185"/>
    </row>
    <row r="17974">
      <c r="D17974" s="185"/>
      <c r="E17974" s="185" t="s">
        <v>470</v>
      </c>
      <c r="H17974" s="185"/>
    </row>
    <row r="17975">
      <c r="D17975" s="185"/>
      <c r="E17975" s="185" t="s">
        <v>470</v>
      </c>
      <c r="H17975" s="185"/>
    </row>
    <row r="17976">
      <c r="D17976" s="185"/>
      <c r="E17976" s="185" t="s">
        <v>470</v>
      </c>
      <c r="H17976" s="185"/>
    </row>
    <row r="17977">
      <c r="D17977" s="185"/>
      <c r="E17977" s="185" t="s">
        <v>470</v>
      </c>
      <c r="H17977" s="185"/>
    </row>
    <row r="17978">
      <c r="D17978" s="185"/>
      <c r="E17978" s="185" t="s">
        <v>470</v>
      </c>
      <c r="H17978" s="185"/>
    </row>
    <row r="17979">
      <c r="D17979" s="185"/>
      <c r="E17979" s="185" t="s">
        <v>470</v>
      </c>
      <c r="H17979" s="185"/>
    </row>
    <row r="17980">
      <c r="D17980" s="185"/>
      <c r="E17980" s="185" t="s">
        <v>470</v>
      </c>
      <c r="H17980" s="185"/>
    </row>
    <row r="17981">
      <c r="D17981" s="185"/>
      <c r="E17981" s="185" t="s">
        <v>470</v>
      </c>
      <c r="H17981" s="185"/>
    </row>
    <row r="17982">
      <c r="D17982" s="185"/>
      <c r="E17982" s="185" t="s">
        <v>470</v>
      </c>
      <c r="H17982" s="185"/>
    </row>
    <row r="17983">
      <c r="D17983" s="185"/>
      <c r="E17983" s="185" t="s">
        <v>470</v>
      </c>
      <c r="H17983" s="185"/>
    </row>
    <row r="17984">
      <c r="D17984" s="185"/>
      <c r="E17984" s="185" t="s">
        <v>470</v>
      </c>
      <c r="H17984" s="185"/>
    </row>
    <row r="17985">
      <c r="D17985" s="185"/>
      <c r="E17985" s="185" t="s">
        <v>470</v>
      </c>
      <c r="H17985" s="185"/>
    </row>
    <row r="17986">
      <c r="D17986" s="185"/>
      <c r="E17986" s="185" t="s">
        <v>470</v>
      </c>
      <c r="H17986" s="185"/>
    </row>
    <row r="17987">
      <c r="D17987" s="185"/>
      <c r="E17987" s="185" t="s">
        <v>470</v>
      </c>
      <c r="H17987" s="185"/>
    </row>
    <row r="17988">
      <c r="D17988" s="185"/>
      <c r="E17988" s="185" t="s">
        <v>470</v>
      </c>
      <c r="H17988" s="185"/>
    </row>
    <row r="17989">
      <c r="D17989" s="185"/>
      <c r="E17989" s="185" t="s">
        <v>470</v>
      </c>
      <c r="H17989" s="185"/>
    </row>
    <row r="17990">
      <c r="D17990" s="185"/>
      <c r="E17990" s="185" t="s">
        <v>470</v>
      </c>
      <c r="H17990" s="185"/>
    </row>
    <row r="17991">
      <c r="D17991" s="185"/>
      <c r="E17991" s="185" t="s">
        <v>470</v>
      </c>
      <c r="H17991" s="185"/>
    </row>
    <row r="17992">
      <c r="D17992" s="185"/>
      <c r="E17992" s="185" t="s">
        <v>470</v>
      </c>
      <c r="H17992" s="185"/>
    </row>
    <row r="17993">
      <c r="D17993" s="185"/>
      <c r="E17993" s="185" t="s">
        <v>470</v>
      </c>
      <c r="H17993" s="185"/>
    </row>
    <row r="17994">
      <c r="D17994" s="185"/>
      <c r="E17994" s="185" t="s">
        <v>470</v>
      </c>
      <c r="H17994" s="185"/>
    </row>
    <row r="17995">
      <c r="D17995" s="185"/>
      <c r="E17995" s="185" t="s">
        <v>470</v>
      </c>
      <c r="H17995" s="185"/>
    </row>
    <row r="17996">
      <c r="D17996" s="185"/>
      <c r="E17996" s="185" t="s">
        <v>470</v>
      </c>
      <c r="H17996" s="185"/>
    </row>
    <row r="17997">
      <c r="D17997" s="185"/>
      <c r="E17997" s="185" t="s">
        <v>470</v>
      </c>
      <c r="H17997" s="185"/>
    </row>
    <row r="17998">
      <c r="D17998" s="185"/>
      <c r="E17998" s="185" t="s">
        <v>470</v>
      </c>
      <c r="H17998" s="185"/>
    </row>
    <row r="17999">
      <c r="D17999" s="185"/>
      <c r="E17999" s="185" t="s">
        <v>470</v>
      </c>
      <c r="H17999" s="185"/>
    </row>
    <row r="18000">
      <c r="D18000" s="185"/>
      <c r="E18000" s="185" t="s">
        <v>470</v>
      </c>
      <c r="H18000" s="185"/>
    </row>
    <row r="18001">
      <c r="D18001" s="185"/>
      <c r="E18001" s="185" t="s">
        <v>470</v>
      </c>
      <c r="H18001" s="185"/>
    </row>
    <row r="18002">
      <c r="D18002" s="185"/>
      <c r="E18002" s="185" t="s">
        <v>470</v>
      </c>
      <c r="H18002" s="185"/>
    </row>
    <row r="18003">
      <c r="D18003" s="185"/>
      <c r="E18003" s="185" t="s">
        <v>470</v>
      </c>
      <c r="H18003" s="185"/>
    </row>
    <row r="18004">
      <c r="D18004" s="185"/>
      <c r="E18004" s="185" t="s">
        <v>470</v>
      </c>
      <c r="H18004" s="185"/>
    </row>
    <row r="18005">
      <c r="D18005" s="185"/>
      <c r="E18005" s="185" t="s">
        <v>470</v>
      </c>
      <c r="H18005" s="185"/>
    </row>
    <row r="18006">
      <c r="D18006" s="185"/>
      <c r="E18006" s="185" t="s">
        <v>470</v>
      </c>
      <c r="H18006" s="185"/>
    </row>
    <row r="18007">
      <c r="D18007" s="185"/>
      <c r="E18007" s="185" t="s">
        <v>470</v>
      </c>
      <c r="H18007" s="185"/>
    </row>
    <row r="18008">
      <c r="D18008" s="185"/>
      <c r="E18008" s="185" t="s">
        <v>470</v>
      </c>
      <c r="H18008" s="185"/>
    </row>
    <row r="18009">
      <c r="D18009" s="185"/>
      <c r="E18009" s="185" t="s">
        <v>470</v>
      </c>
      <c r="H18009" s="185"/>
    </row>
    <row r="18010">
      <c r="D18010" s="185"/>
      <c r="E18010" s="185" t="s">
        <v>470</v>
      </c>
      <c r="H18010" s="185"/>
    </row>
    <row r="18011">
      <c r="D18011" s="185"/>
      <c r="E18011" s="185" t="s">
        <v>470</v>
      </c>
      <c r="H18011" s="185"/>
    </row>
    <row r="18012">
      <c r="D18012" s="185"/>
      <c r="E18012" s="185" t="s">
        <v>470</v>
      </c>
      <c r="H18012" s="185"/>
    </row>
    <row r="18013">
      <c r="D18013" s="185"/>
      <c r="E18013" s="185" t="s">
        <v>470</v>
      </c>
      <c r="H18013" s="185"/>
    </row>
    <row r="18014">
      <c r="D18014" s="185"/>
      <c r="E18014" s="185" t="s">
        <v>470</v>
      </c>
      <c r="H18014" s="185"/>
    </row>
    <row r="18015">
      <c r="D18015" s="185"/>
      <c r="E18015" s="185" t="s">
        <v>470</v>
      </c>
      <c r="H18015" s="185"/>
    </row>
    <row r="18016">
      <c r="D18016" s="185"/>
      <c r="E18016" s="185" t="s">
        <v>470</v>
      </c>
      <c r="H18016" s="185"/>
    </row>
    <row r="18017">
      <c r="D18017" s="185"/>
      <c r="E18017" s="185" t="s">
        <v>470</v>
      </c>
      <c r="H18017" s="185"/>
    </row>
    <row r="18018">
      <c r="D18018" s="185"/>
      <c r="E18018" s="185" t="s">
        <v>470</v>
      </c>
      <c r="H18018" s="185"/>
    </row>
    <row r="18019">
      <c r="D18019" s="185"/>
      <c r="E18019" s="185" t="s">
        <v>470</v>
      </c>
      <c r="H18019" s="185"/>
    </row>
    <row r="18020">
      <c r="D18020" s="185"/>
      <c r="E18020" s="185" t="s">
        <v>470</v>
      </c>
      <c r="H18020" s="185"/>
    </row>
    <row r="18021">
      <c r="D18021" s="185"/>
      <c r="E18021" s="185" t="s">
        <v>470</v>
      </c>
      <c r="H18021" s="185"/>
    </row>
    <row r="18022">
      <c r="D18022" s="185"/>
      <c r="E18022" s="185" t="s">
        <v>470</v>
      </c>
      <c r="H18022" s="185"/>
    </row>
    <row r="18023">
      <c r="D18023" s="185"/>
      <c r="E18023" s="185" t="s">
        <v>470</v>
      </c>
      <c r="H18023" s="185"/>
    </row>
    <row r="18024">
      <c r="D18024" s="185"/>
      <c r="E18024" s="185" t="s">
        <v>470</v>
      </c>
      <c r="H18024" s="185"/>
    </row>
    <row r="18025">
      <c r="D18025" s="185"/>
      <c r="E18025" s="185" t="s">
        <v>470</v>
      </c>
      <c r="H18025" s="185"/>
    </row>
    <row r="18026">
      <c r="D18026" s="185"/>
      <c r="E18026" s="185" t="s">
        <v>470</v>
      </c>
      <c r="H18026" s="185"/>
    </row>
    <row r="18027">
      <c r="D18027" s="185"/>
      <c r="E18027" s="185" t="s">
        <v>470</v>
      </c>
      <c r="H18027" s="185"/>
    </row>
    <row r="18028">
      <c r="D18028" s="185"/>
      <c r="E18028" s="185" t="s">
        <v>470</v>
      </c>
      <c r="H18028" s="185"/>
    </row>
    <row r="18029">
      <c r="D18029" s="185"/>
      <c r="E18029" s="185" t="s">
        <v>470</v>
      </c>
      <c r="H18029" s="185"/>
    </row>
    <row r="18030">
      <c r="D18030" s="185"/>
      <c r="E18030" s="185" t="s">
        <v>470</v>
      </c>
      <c r="H18030" s="185"/>
    </row>
    <row r="18031">
      <c r="D18031" s="185"/>
      <c r="E18031" s="185" t="s">
        <v>470</v>
      </c>
      <c r="H18031" s="185"/>
    </row>
    <row r="18032">
      <c r="D18032" s="185"/>
      <c r="E18032" s="185" t="s">
        <v>470</v>
      </c>
      <c r="H18032" s="185"/>
    </row>
    <row r="18033">
      <c r="D18033" s="185"/>
      <c r="E18033" s="185" t="s">
        <v>470</v>
      </c>
      <c r="H18033" s="185"/>
    </row>
    <row r="18034">
      <c r="D18034" s="185"/>
      <c r="E18034" s="185" t="s">
        <v>470</v>
      </c>
      <c r="H18034" s="185"/>
    </row>
    <row r="18035">
      <c r="D18035" s="185"/>
      <c r="E18035" s="185" t="s">
        <v>470</v>
      </c>
      <c r="H18035" s="185"/>
    </row>
    <row r="18036">
      <c r="D18036" s="185"/>
      <c r="E18036" s="185" t="s">
        <v>470</v>
      </c>
      <c r="H18036" s="185"/>
    </row>
    <row r="18037">
      <c r="D18037" s="185"/>
      <c r="E18037" s="185" t="s">
        <v>470</v>
      </c>
      <c r="H18037" s="185"/>
    </row>
    <row r="18038">
      <c r="D18038" s="185"/>
      <c r="E18038" s="185" t="s">
        <v>470</v>
      </c>
      <c r="H18038" s="185"/>
    </row>
    <row r="18039">
      <c r="D18039" s="185"/>
      <c r="E18039" s="185" t="s">
        <v>470</v>
      </c>
      <c r="H18039" s="185"/>
    </row>
    <row r="18040">
      <c r="D18040" s="185"/>
      <c r="E18040" s="185" t="s">
        <v>470</v>
      </c>
      <c r="H18040" s="185"/>
    </row>
    <row r="18041">
      <c r="D18041" s="185"/>
      <c r="E18041" s="185" t="s">
        <v>470</v>
      </c>
      <c r="H18041" s="185"/>
    </row>
    <row r="18042">
      <c r="D18042" s="185"/>
      <c r="E18042" s="185" t="s">
        <v>470</v>
      </c>
      <c r="H18042" s="185"/>
    </row>
    <row r="18043">
      <c r="D18043" s="185"/>
      <c r="E18043" s="185" t="s">
        <v>470</v>
      </c>
      <c r="H18043" s="185"/>
    </row>
    <row r="18044">
      <c r="D18044" s="185"/>
      <c r="E18044" s="185" t="s">
        <v>470</v>
      </c>
      <c r="H18044" s="185"/>
    </row>
    <row r="18045">
      <c r="D18045" s="185"/>
      <c r="E18045" s="185" t="s">
        <v>470</v>
      </c>
      <c r="H18045" s="185"/>
    </row>
    <row r="18046">
      <c r="D18046" s="185"/>
      <c r="E18046" s="185" t="s">
        <v>470</v>
      </c>
      <c r="H18046" s="185"/>
    </row>
    <row r="18047">
      <c r="D18047" s="185"/>
      <c r="E18047" s="185" t="s">
        <v>470</v>
      </c>
      <c r="H18047" s="185"/>
    </row>
    <row r="18048">
      <c r="D18048" s="185"/>
      <c r="E18048" s="185" t="s">
        <v>470</v>
      </c>
      <c r="H18048" s="185"/>
    </row>
    <row r="18049">
      <c r="D18049" s="185"/>
      <c r="E18049" s="185" t="s">
        <v>470</v>
      </c>
      <c r="H18049" s="185"/>
    </row>
    <row r="18050">
      <c r="D18050" s="185"/>
      <c r="E18050" s="185" t="s">
        <v>470</v>
      </c>
      <c r="H18050" s="185"/>
    </row>
    <row r="18051">
      <c r="D18051" s="185"/>
      <c r="E18051" s="185" t="s">
        <v>470</v>
      </c>
      <c r="H18051" s="185"/>
    </row>
    <row r="18052">
      <c r="D18052" s="185"/>
      <c r="E18052" s="185" t="s">
        <v>470</v>
      </c>
      <c r="H18052" s="185"/>
    </row>
    <row r="18053">
      <c r="D18053" s="185"/>
      <c r="E18053" s="185" t="s">
        <v>470</v>
      </c>
      <c r="H18053" s="185"/>
    </row>
    <row r="18054">
      <c r="D18054" s="185"/>
      <c r="E18054" s="185" t="s">
        <v>470</v>
      </c>
      <c r="H18054" s="185"/>
    </row>
    <row r="18055">
      <c r="D18055" s="185"/>
      <c r="E18055" s="185" t="s">
        <v>470</v>
      </c>
      <c r="H18055" s="185"/>
    </row>
    <row r="18056">
      <c r="D18056" s="185"/>
      <c r="E18056" s="185" t="s">
        <v>470</v>
      </c>
      <c r="H18056" s="185"/>
    </row>
    <row r="18057">
      <c r="D18057" s="185"/>
      <c r="E18057" s="185" t="s">
        <v>470</v>
      </c>
      <c r="H18057" s="185"/>
    </row>
    <row r="18058">
      <c r="D18058" s="185"/>
      <c r="E18058" s="185" t="s">
        <v>470</v>
      </c>
      <c r="H18058" s="185"/>
    </row>
    <row r="18059">
      <c r="D18059" s="185"/>
      <c r="E18059" s="185" t="s">
        <v>470</v>
      </c>
      <c r="H18059" s="185"/>
    </row>
    <row r="18060">
      <c r="D18060" s="185"/>
      <c r="E18060" s="185" t="s">
        <v>470</v>
      </c>
      <c r="H18060" s="185"/>
    </row>
    <row r="18061">
      <c r="D18061" s="185"/>
      <c r="E18061" s="185" t="s">
        <v>470</v>
      </c>
      <c r="H18061" s="185"/>
    </row>
    <row r="18062">
      <c r="D18062" s="185"/>
      <c r="E18062" s="185" t="s">
        <v>470</v>
      </c>
      <c r="H18062" s="185"/>
    </row>
    <row r="18063">
      <c r="D18063" s="185"/>
      <c r="E18063" s="185" t="s">
        <v>470</v>
      </c>
      <c r="H18063" s="185"/>
    </row>
    <row r="18064">
      <c r="D18064" s="185"/>
      <c r="E18064" s="185" t="s">
        <v>470</v>
      </c>
      <c r="H18064" s="185"/>
    </row>
    <row r="18065">
      <c r="D18065" s="185"/>
      <c r="E18065" s="185" t="s">
        <v>470</v>
      </c>
      <c r="H18065" s="185"/>
    </row>
    <row r="18066">
      <c r="D18066" s="185"/>
      <c r="E18066" s="185" t="s">
        <v>470</v>
      </c>
      <c r="H18066" s="185"/>
    </row>
    <row r="18067">
      <c r="D18067" s="185"/>
      <c r="E18067" s="185" t="s">
        <v>470</v>
      </c>
      <c r="H18067" s="185"/>
    </row>
    <row r="18068">
      <c r="D18068" s="185"/>
      <c r="E18068" s="185" t="s">
        <v>470</v>
      </c>
      <c r="H18068" s="185"/>
    </row>
    <row r="18069">
      <c r="D18069" s="185"/>
      <c r="E18069" s="185" t="s">
        <v>470</v>
      </c>
      <c r="H18069" s="185"/>
    </row>
    <row r="18070">
      <c r="D18070" s="185"/>
      <c r="E18070" s="185" t="s">
        <v>470</v>
      </c>
      <c r="H18070" s="185"/>
    </row>
    <row r="18071">
      <c r="D18071" s="185"/>
      <c r="E18071" s="185" t="s">
        <v>470</v>
      </c>
      <c r="H18071" s="185"/>
    </row>
    <row r="18072">
      <c r="D18072" s="185"/>
      <c r="E18072" s="185" t="s">
        <v>470</v>
      </c>
      <c r="H18072" s="185"/>
    </row>
    <row r="18073">
      <c r="D18073" s="185"/>
      <c r="E18073" s="185" t="s">
        <v>470</v>
      </c>
      <c r="H18073" s="185"/>
    </row>
    <row r="18074">
      <c r="D18074" s="185"/>
      <c r="E18074" s="185" t="s">
        <v>470</v>
      </c>
      <c r="H18074" s="185"/>
    </row>
    <row r="18075">
      <c r="D18075" s="185"/>
      <c r="E18075" s="185" t="s">
        <v>470</v>
      </c>
      <c r="H18075" s="185"/>
    </row>
    <row r="18076">
      <c r="D18076" s="185"/>
      <c r="E18076" s="185" t="s">
        <v>470</v>
      </c>
      <c r="H18076" s="185"/>
    </row>
    <row r="18077">
      <c r="D18077" s="185"/>
      <c r="E18077" s="185" t="s">
        <v>470</v>
      </c>
      <c r="H18077" s="185"/>
    </row>
    <row r="18078">
      <c r="D18078" s="185"/>
      <c r="E18078" s="185" t="s">
        <v>470</v>
      </c>
      <c r="H18078" s="185"/>
    </row>
    <row r="18079">
      <c r="D18079" s="185"/>
      <c r="E18079" s="185" t="s">
        <v>470</v>
      </c>
      <c r="H18079" s="185"/>
    </row>
    <row r="18080">
      <c r="D18080" s="185"/>
      <c r="E18080" s="185" t="s">
        <v>470</v>
      </c>
      <c r="H18080" s="185"/>
    </row>
    <row r="18081">
      <c r="D18081" s="185"/>
      <c r="E18081" s="185" t="s">
        <v>470</v>
      </c>
      <c r="H18081" s="185"/>
    </row>
    <row r="18082">
      <c r="D18082" s="185"/>
      <c r="E18082" s="185" t="s">
        <v>470</v>
      </c>
      <c r="H18082" s="185"/>
    </row>
    <row r="18083">
      <c r="D18083" s="185"/>
      <c r="E18083" s="185" t="s">
        <v>470</v>
      </c>
      <c r="H18083" s="185"/>
    </row>
    <row r="18084">
      <c r="D18084" s="185"/>
      <c r="E18084" s="185" t="s">
        <v>470</v>
      </c>
      <c r="H18084" s="185"/>
    </row>
    <row r="18085">
      <c r="D18085" s="185"/>
      <c r="E18085" s="185" t="s">
        <v>470</v>
      </c>
      <c r="H18085" s="185"/>
    </row>
    <row r="18086">
      <c r="D18086" s="185"/>
      <c r="E18086" s="185" t="s">
        <v>470</v>
      </c>
      <c r="H18086" s="185"/>
    </row>
    <row r="18087">
      <c r="D18087" s="185"/>
      <c r="E18087" s="185" t="s">
        <v>470</v>
      </c>
      <c r="H18087" s="185"/>
    </row>
    <row r="18088">
      <c r="D18088" s="185"/>
      <c r="E18088" s="185" t="s">
        <v>470</v>
      </c>
      <c r="H18088" s="185"/>
    </row>
    <row r="18089">
      <c r="D18089" s="185"/>
      <c r="E18089" s="185" t="s">
        <v>470</v>
      </c>
      <c r="H18089" s="185"/>
    </row>
    <row r="18090">
      <c r="D18090" s="185"/>
      <c r="E18090" s="185" t="s">
        <v>470</v>
      </c>
      <c r="H18090" s="185"/>
    </row>
    <row r="18091">
      <c r="D18091" s="185"/>
      <c r="E18091" s="185" t="s">
        <v>470</v>
      </c>
      <c r="H18091" s="185"/>
    </row>
    <row r="18092">
      <c r="D18092" s="185"/>
      <c r="E18092" s="185" t="s">
        <v>470</v>
      </c>
      <c r="H18092" s="185"/>
    </row>
    <row r="18093">
      <c r="D18093" s="185"/>
      <c r="E18093" s="185" t="s">
        <v>470</v>
      </c>
      <c r="H18093" s="185"/>
    </row>
    <row r="18094">
      <c r="D18094" s="185"/>
      <c r="E18094" s="185" t="s">
        <v>470</v>
      </c>
      <c r="H18094" s="185"/>
    </row>
    <row r="18095">
      <c r="D18095" s="185"/>
      <c r="E18095" s="185" t="s">
        <v>470</v>
      </c>
      <c r="H18095" s="185"/>
    </row>
    <row r="18096">
      <c r="D18096" s="185"/>
      <c r="E18096" s="185" t="s">
        <v>470</v>
      </c>
      <c r="H18096" s="185"/>
    </row>
    <row r="18097">
      <c r="D18097" s="185"/>
      <c r="E18097" s="185" t="s">
        <v>470</v>
      </c>
      <c r="H18097" s="185"/>
    </row>
    <row r="18098">
      <c r="D18098" s="185"/>
      <c r="E18098" s="185" t="s">
        <v>470</v>
      </c>
      <c r="H18098" s="185"/>
    </row>
    <row r="18099">
      <c r="D18099" s="185"/>
      <c r="E18099" s="185" t="s">
        <v>470</v>
      </c>
      <c r="H18099" s="185"/>
    </row>
    <row r="18100">
      <c r="D18100" s="185"/>
      <c r="E18100" s="185" t="s">
        <v>470</v>
      </c>
      <c r="H18100" s="185"/>
    </row>
    <row r="18101">
      <c r="D18101" s="185"/>
      <c r="E18101" s="185" t="s">
        <v>470</v>
      </c>
      <c r="H18101" s="185"/>
    </row>
    <row r="18102">
      <c r="D18102" s="185"/>
      <c r="E18102" s="185" t="s">
        <v>470</v>
      </c>
      <c r="H18102" s="185"/>
    </row>
    <row r="18103">
      <c r="D18103" s="185"/>
      <c r="E18103" s="185" t="s">
        <v>470</v>
      </c>
      <c r="H18103" s="185"/>
    </row>
    <row r="18104">
      <c r="D18104" s="185"/>
      <c r="E18104" s="185" t="s">
        <v>470</v>
      </c>
      <c r="H18104" s="185"/>
    </row>
    <row r="18105">
      <c r="D18105" s="185"/>
      <c r="E18105" s="185" t="s">
        <v>470</v>
      </c>
      <c r="H18105" s="185"/>
    </row>
    <row r="18106">
      <c r="D18106" s="185"/>
      <c r="E18106" s="185" t="s">
        <v>470</v>
      </c>
      <c r="H18106" s="185"/>
    </row>
    <row r="18107">
      <c r="D18107" s="185"/>
      <c r="E18107" s="185" t="s">
        <v>470</v>
      </c>
      <c r="H18107" s="185"/>
    </row>
    <row r="18108">
      <c r="D18108" s="185"/>
      <c r="E18108" s="185" t="s">
        <v>470</v>
      </c>
      <c r="H18108" s="185"/>
    </row>
    <row r="18109">
      <c r="D18109" s="185"/>
      <c r="E18109" s="185" t="s">
        <v>470</v>
      </c>
      <c r="H18109" s="185"/>
    </row>
    <row r="18110">
      <c r="D18110" s="185"/>
      <c r="E18110" s="185" t="s">
        <v>470</v>
      </c>
      <c r="H18110" s="185"/>
    </row>
    <row r="18111">
      <c r="D18111" s="185"/>
      <c r="E18111" s="185" t="s">
        <v>470</v>
      </c>
      <c r="H18111" s="185"/>
    </row>
    <row r="18112">
      <c r="D18112" s="185"/>
      <c r="E18112" s="185" t="s">
        <v>470</v>
      </c>
      <c r="H18112" s="185"/>
    </row>
    <row r="18113">
      <c r="D18113" s="185"/>
      <c r="E18113" s="185" t="s">
        <v>470</v>
      </c>
      <c r="H18113" s="185"/>
    </row>
    <row r="18114">
      <c r="D18114" s="185"/>
      <c r="E18114" s="185" t="s">
        <v>470</v>
      </c>
      <c r="H18114" s="185"/>
    </row>
    <row r="18115">
      <c r="D18115" s="185"/>
      <c r="E18115" s="185" t="s">
        <v>470</v>
      </c>
      <c r="H18115" s="185"/>
    </row>
    <row r="18116">
      <c r="D18116" s="185"/>
      <c r="E18116" s="185" t="s">
        <v>470</v>
      </c>
      <c r="H18116" s="185"/>
    </row>
    <row r="18117">
      <c r="D18117" s="185"/>
      <c r="E18117" s="185" t="s">
        <v>470</v>
      </c>
      <c r="H18117" s="185"/>
    </row>
    <row r="18118">
      <c r="D18118" s="185"/>
      <c r="E18118" s="185" t="s">
        <v>470</v>
      </c>
      <c r="H18118" s="185"/>
    </row>
    <row r="18119">
      <c r="D18119" s="185"/>
      <c r="E18119" s="185" t="s">
        <v>470</v>
      </c>
      <c r="H18119" s="185"/>
    </row>
    <row r="18120">
      <c r="D18120" s="185"/>
      <c r="E18120" s="185" t="s">
        <v>470</v>
      </c>
      <c r="H18120" s="185"/>
    </row>
    <row r="18121">
      <c r="D18121" s="185"/>
      <c r="E18121" s="185" t="s">
        <v>470</v>
      </c>
      <c r="H18121" s="185"/>
    </row>
    <row r="18122">
      <c r="D18122" s="185"/>
      <c r="E18122" s="185" t="s">
        <v>470</v>
      </c>
      <c r="H18122" s="185"/>
    </row>
    <row r="18123">
      <c r="D18123" s="185"/>
      <c r="E18123" s="185" t="s">
        <v>470</v>
      </c>
      <c r="H18123" s="185"/>
    </row>
    <row r="18124">
      <c r="D18124" s="185"/>
      <c r="E18124" s="185" t="s">
        <v>470</v>
      </c>
      <c r="H18124" s="185"/>
    </row>
    <row r="18125">
      <c r="D18125" s="185"/>
      <c r="E18125" s="185" t="s">
        <v>470</v>
      </c>
      <c r="H18125" s="185"/>
    </row>
    <row r="18126">
      <c r="D18126" s="185"/>
      <c r="E18126" s="185" t="s">
        <v>470</v>
      </c>
      <c r="H18126" s="185"/>
    </row>
    <row r="18127">
      <c r="D18127" s="185"/>
      <c r="E18127" s="185" t="s">
        <v>470</v>
      </c>
      <c r="H18127" s="185"/>
    </row>
    <row r="18128">
      <c r="D18128" s="185"/>
      <c r="E18128" s="185" t="s">
        <v>470</v>
      </c>
      <c r="H18128" s="185"/>
    </row>
    <row r="18129">
      <c r="D18129" s="185"/>
      <c r="E18129" s="185" t="s">
        <v>470</v>
      </c>
      <c r="H18129" s="185"/>
    </row>
    <row r="18130">
      <c r="D18130" s="185"/>
      <c r="E18130" s="185" t="s">
        <v>470</v>
      </c>
      <c r="H18130" s="185"/>
    </row>
    <row r="18131">
      <c r="D18131" s="185"/>
      <c r="E18131" s="185" t="s">
        <v>470</v>
      </c>
      <c r="H18131" s="185"/>
    </row>
    <row r="18132">
      <c r="D18132" s="185"/>
      <c r="E18132" s="185" t="s">
        <v>470</v>
      </c>
      <c r="H18132" s="185"/>
    </row>
    <row r="18133">
      <c r="D18133" s="185"/>
      <c r="E18133" s="185" t="s">
        <v>470</v>
      </c>
      <c r="H18133" s="185"/>
    </row>
    <row r="18134">
      <c r="D18134" s="185"/>
      <c r="E18134" s="185" t="s">
        <v>470</v>
      </c>
      <c r="H18134" s="185"/>
    </row>
    <row r="18135">
      <c r="D18135" s="185"/>
      <c r="E18135" s="185" t="s">
        <v>470</v>
      </c>
      <c r="H18135" s="185"/>
    </row>
    <row r="18136">
      <c r="D18136" s="185"/>
      <c r="E18136" s="185" t="s">
        <v>470</v>
      </c>
      <c r="H18136" s="185"/>
    </row>
    <row r="18137">
      <c r="D18137" s="185"/>
      <c r="E18137" s="185" t="s">
        <v>470</v>
      </c>
      <c r="H18137" s="185"/>
    </row>
    <row r="18138">
      <c r="D18138" s="185"/>
      <c r="E18138" s="185" t="s">
        <v>470</v>
      </c>
      <c r="H18138" s="185"/>
    </row>
    <row r="18139">
      <c r="D18139" s="185"/>
      <c r="E18139" s="185" t="s">
        <v>470</v>
      </c>
      <c r="H18139" s="185"/>
    </row>
    <row r="18140">
      <c r="D18140" s="185"/>
      <c r="E18140" s="185" t="s">
        <v>470</v>
      </c>
      <c r="H18140" s="185"/>
    </row>
    <row r="18141">
      <c r="D18141" s="185"/>
      <c r="E18141" s="185" t="s">
        <v>470</v>
      </c>
      <c r="H18141" s="185"/>
    </row>
    <row r="18142">
      <c r="D18142" s="185"/>
      <c r="E18142" s="185" t="s">
        <v>470</v>
      </c>
      <c r="H18142" s="185"/>
    </row>
    <row r="18143">
      <c r="D18143" s="185"/>
      <c r="E18143" s="185" t="s">
        <v>470</v>
      </c>
      <c r="H18143" s="185"/>
    </row>
    <row r="18144">
      <c r="D18144" s="185"/>
      <c r="E18144" s="185" t="s">
        <v>470</v>
      </c>
      <c r="H18144" s="185"/>
    </row>
    <row r="18145">
      <c r="D18145" s="185"/>
      <c r="E18145" s="185" t="s">
        <v>470</v>
      </c>
      <c r="H18145" s="185"/>
    </row>
    <row r="18146">
      <c r="D18146" s="185"/>
      <c r="E18146" s="185" t="s">
        <v>470</v>
      </c>
      <c r="H18146" s="185"/>
    </row>
    <row r="18147">
      <c r="D18147" s="185"/>
      <c r="E18147" s="185" t="s">
        <v>470</v>
      </c>
      <c r="H18147" s="185"/>
    </row>
    <row r="18148">
      <c r="D18148" s="185"/>
      <c r="E18148" s="185" t="s">
        <v>470</v>
      </c>
      <c r="H18148" s="185"/>
    </row>
    <row r="18149">
      <c r="D18149" s="185"/>
      <c r="E18149" s="185" t="s">
        <v>470</v>
      </c>
      <c r="H18149" s="185"/>
    </row>
    <row r="18150">
      <c r="D18150" s="185"/>
      <c r="E18150" s="185" t="s">
        <v>470</v>
      </c>
      <c r="H18150" s="185"/>
    </row>
    <row r="18151">
      <c r="D18151" s="185"/>
      <c r="E18151" s="185" t="s">
        <v>470</v>
      </c>
      <c r="H18151" s="185"/>
    </row>
    <row r="18152">
      <c r="D18152" s="185"/>
      <c r="E18152" s="185" t="s">
        <v>470</v>
      </c>
      <c r="H18152" s="185"/>
    </row>
    <row r="18153">
      <c r="D18153" s="185"/>
      <c r="E18153" s="185" t="s">
        <v>470</v>
      </c>
      <c r="H18153" s="185"/>
    </row>
    <row r="18154">
      <c r="D18154" s="185"/>
      <c r="E18154" s="185" t="s">
        <v>470</v>
      </c>
      <c r="H18154" s="185"/>
    </row>
    <row r="18155">
      <c r="D18155" s="185"/>
      <c r="E18155" s="185" t="s">
        <v>470</v>
      </c>
      <c r="H18155" s="185"/>
    </row>
    <row r="18156">
      <c r="D18156" s="185"/>
      <c r="E18156" s="185" t="s">
        <v>470</v>
      </c>
      <c r="H18156" s="185"/>
    </row>
    <row r="18157">
      <c r="D18157" s="185"/>
      <c r="E18157" s="185" t="s">
        <v>470</v>
      </c>
      <c r="H18157" s="185"/>
    </row>
    <row r="18158">
      <c r="D18158" s="185"/>
      <c r="E18158" s="185" t="s">
        <v>470</v>
      </c>
      <c r="H18158" s="185"/>
    </row>
    <row r="18159">
      <c r="D18159" s="185"/>
      <c r="E18159" s="185" t="s">
        <v>470</v>
      </c>
      <c r="H18159" s="185"/>
    </row>
    <row r="18160">
      <c r="D18160" s="185"/>
      <c r="E18160" s="185" t="s">
        <v>470</v>
      </c>
      <c r="H18160" s="185"/>
    </row>
    <row r="18161">
      <c r="D18161" s="185"/>
      <c r="E18161" s="185" t="s">
        <v>470</v>
      </c>
      <c r="H18161" s="185"/>
    </row>
    <row r="18162">
      <c r="D18162" s="185"/>
      <c r="E18162" s="185" t="s">
        <v>470</v>
      </c>
      <c r="H18162" s="185"/>
    </row>
    <row r="18163">
      <c r="D18163" s="185"/>
      <c r="E18163" s="185" t="s">
        <v>470</v>
      </c>
      <c r="H18163" s="185"/>
    </row>
    <row r="18164">
      <c r="D18164" s="185"/>
      <c r="E18164" s="185" t="s">
        <v>470</v>
      </c>
      <c r="H18164" s="185"/>
    </row>
    <row r="18165">
      <c r="D18165" s="185"/>
      <c r="E18165" s="185" t="s">
        <v>470</v>
      </c>
      <c r="H18165" s="185"/>
    </row>
    <row r="18166">
      <c r="D18166" s="185"/>
      <c r="E18166" s="185" t="s">
        <v>470</v>
      </c>
      <c r="H18166" s="185"/>
    </row>
    <row r="18167">
      <c r="D18167" s="185"/>
      <c r="E18167" s="185" t="s">
        <v>470</v>
      </c>
      <c r="H18167" s="185"/>
    </row>
    <row r="18168">
      <c r="D18168" s="185"/>
      <c r="E18168" s="185" t="s">
        <v>470</v>
      </c>
      <c r="H18168" s="185"/>
    </row>
    <row r="18169">
      <c r="D18169" s="185"/>
      <c r="E18169" s="185" t="s">
        <v>470</v>
      </c>
      <c r="H18169" s="185"/>
    </row>
    <row r="18170">
      <c r="D18170" s="185"/>
      <c r="E18170" s="185" t="s">
        <v>470</v>
      </c>
      <c r="H18170" s="185"/>
    </row>
    <row r="18171">
      <c r="D18171" s="185"/>
      <c r="E18171" s="185" t="s">
        <v>470</v>
      </c>
      <c r="H18171" s="185"/>
    </row>
    <row r="18172">
      <c r="D18172" s="185"/>
      <c r="E18172" s="185" t="s">
        <v>470</v>
      </c>
      <c r="H18172" s="185"/>
    </row>
    <row r="18173">
      <c r="D18173" s="185"/>
      <c r="E18173" s="185" t="s">
        <v>470</v>
      </c>
      <c r="H18173" s="185"/>
    </row>
    <row r="18174">
      <c r="D18174" s="185"/>
      <c r="E18174" s="185" t="s">
        <v>470</v>
      </c>
      <c r="H18174" s="185"/>
    </row>
    <row r="18175">
      <c r="D18175" s="185"/>
      <c r="E18175" s="185" t="s">
        <v>470</v>
      </c>
      <c r="H18175" s="185"/>
    </row>
    <row r="18176">
      <c r="D18176" s="185"/>
      <c r="E18176" s="185" t="s">
        <v>470</v>
      </c>
      <c r="H18176" s="185"/>
    </row>
    <row r="18177">
      <c r="D18177" s="185"/>
      <c r="E18177" s="185" t="s">
        <v>470</v>
      </c>
      <c r="H18177" s="185"/>
    </row>
    <row r="18178">
      <c r="D18178" s="185"/>
      <c r="E18178" s="185" t="s">
        <v>470</v>
      </c>
      <c r="H18178" s="185"/>
    </row>
    <row r="18179">
      <c r="D18179" s="185"/>
      <c r="E18179" s="185" t="s">
        <v>470</v>
      </c>
      <c r="H18179" s="185"/>
    </row>
    <row r="18180">
      <c r="D18180" s="185"/>
      <c r="E18180" s="185" t="s">
        <v>470</v>
      </c>
      <c r="H18180" s="185"/>
    </row>
    <row r="18181">
      <c r="D18181" s="185"/>
      <c r="E18181" s="185" t="s">
        <v>470</v>
      </c>
      <c r="H18181" s="185"/>
    </row>
    <row r="18182">
      <c r="D18182" s="185"/>
      <c r="E18182" s="185" t="s">
        <v>470</v>
      </c>
      <c r="H18182" s="185"/>
    </row>
    <row r="18183">
      <c r="D18183" s="185"/>
      <c r="E18183" s="185" t="s">
        <v>470</v>
      </c>
      <c r="H18183" s="185"/>
    </row>
    <row r="18184">
      <c r="D18184" s="185"/>
      <c r="E18184" s="185" t="s">
        <v>470</v>
      </c>
      <c r="H18184" s="185"/>
    </row>
    <row r="18185">
      <c r="D18185" s="185"/>
      <c r="E18185" s="185" t="s">
        <v>470</v>
      </c>
      <c r="H18185" s="185"/>
    </row>
    <row r="18186">
      <c r="D18186" s="185"/>
      <c r="E18186" s="185" t="s">
        <v>470</v>
      </c>
      <c r="H18186" s="185"/>
    </row>
    <row r="18187">
      <c r="D18187" s="185"/>
      <c r="E18187" s="185" t="s">
        <v>470</v>
      </c>
      <c r="H18187" s="185"/>
    </row>
    <row r="18188">
      <c r="D18188" s="185"/>
      <c r="E18188" s="185" t="s">
        <v>470</v>
      </c>
      <c r="H18188" s="185"/>
    </row>
    <row r="18189">
      <c r="D18189" s="185"/>
      <c r="E18189" s="185" t="s">
        <v>470</v>
      </c>
      <c r="H18189" s="185"/>
    </row>
    <row r="18190">
      <c r="D18190" s="185"/>
      <c r="E18190" s="185" t="s">
        <v>470</v>
      </c>
      <c r="H18190" s="185"/>
    </row>
    <row r="18191">
      <c r="D18191" s="185"/>
      <c r="E18191" s="185" t="s">
        <v>470</v>
      </c>
      <c r="H18191" s="185"/>
    </row>
    <row r="18192">
      <c r="D18192" s="185"/>
      <c r="E18192" s="185" t="s">
        <v>470</v>
      </c>
      <c r="H18192" s="185"/>
    </row>
    <row r="18193">
      <c r="D18193" s="185"/>
      <c r="E18193" s="185" t="s">
        <v>470</v>
      </c>
      <c r="H18193" s="185"/>
    </row>
    <row r="18194">
      <c r="D18194" s="185"/>
      <c r="E18194" s="185" t="s">
        <v>470</v>
      </c>
      <c r="H18194" s="185"/>
    </row>
    <row r="18195">
      <c r="D18195" s="185"/>
      <c r="E18195" s="185" t="s">
        <v>470</v>
      </c>
      <c r="H18195" s="185"/>
    </row>
    <row r="18196">
      <c r="D18196" s="185"/>
      <c r="E18196" s="185" t="s">
        <v>470</v>
      </c>
      <c r="H18196" s="185"/>
    </row>
    <row r="18197">
      <c r="D18197" s="185"/>
      <c r="E18197" s="185" t="s">
        <v>470</v>
      </c>
      <c r="H18197" s="185"/>
    </row>
    <row r="18198">
      <c r="D18198" s="185"/>
      <c r="E18198" s="185" t="s">
        <v>470</v>
      </c>
      <c r="H18198" s="185"/>
    </row>
    <row r="18199">
      <c r="D18199" s="185"/>
      <c r="E18199" s="185" t="s">
        <v>470</v>
      </c>
      <c r="H18199" s="185"/>
    </row>
    <row r="18200">
      <c r="D18200" s="185"/>
      <c r="E18200" s="185" t="s">
        <v>470</v>
      </c>
      <c r="H18200" s="185"/>
    </row>
    <row r="18201">
      <c r="D18201" s="185"/>
      <c r="E18201" s="185" t="s">
        <v>470</v>
      </c>
      <c r="H18201" s="185"/>
    </row>
    <row r="18202">
      <c r="D18202" s="185"/>
      <c r="E18202" s="185" t="s">
        <v>470</v>
      </c>
      <c r="H18202" s="185"/>
    </row>
    <row r="18203">
      <c r="D18203" s="185"/>
      <c r="E18203" s="185" t="s">
        <v>470</v>
      </c>
      <c r="H18203" s="185"/>
    </row>
    <row r="18204">
      <c r="D18204" s="185"/>
      <c r="E18204" s="185" t="s">
        <v>470</v>
      </c>
      <c r="H18204" s="185"/>
    </row>
    <row r="18205">
      <c r="D18205" s="185"/>
      <c r="E18205" s="185" t="s">
        <v>470</v>
      </c>
      <c r="H18205" s="185"/>
    </row>
    <row r="18206">
      <c r="D18206" s="185"/>
      <c r="E18206" s="185" t="s">
        <v>470</v>
      </c>
      <c r="H18206" s="185"/>
    </row>
    <row r="18207">
      <c r="D18207" s="185"/>
      <c r="E18207" s="185" t="s">
        <v>470</v>
      </c>
      <c r="H18207" s="185"/>
    </row>
    <row r="18208">
      <c r="D18208" s="185"/>
      <c r="E18208" s="185" t="s">
        <v>470</v>
      </c>
      <c r="H18208" s="185"/>
    </row>
    <row r="18209">
      <c r="D18209" s="185"/>
      <c r="E18209" s="185" t="s">
        <v>470</v>
      </c>
      <c r="H18209" s="185"/>
    </row>
    <row r="18210">
      <c r="D18210" s="185"/>
      <c r="E18210" s="185" t="s">
        <v>470</v>
      </c>
      <c r="H18210" s="185"/>
    </row>
    <row r="18211">
      <c r="D18211" s="185"/>
      <c r="E18211" s="185" t="s">
        <v>470</v>
      </c>
      <c r="H18211" s="185"/>
    </row>
    <row r="18212">
      <c r="D18212" s="185"/>
      <c r="E18212" s="185" t="s">
        <v>470</v>
      </c>
      <c r="H18212" s="185"/>
    </row>
    <row r="18213">
      <c r="D18213" s="185"/>
      <c r="E18213" s="185" t="s">
        <v>470</v>
      </c>
      <c r="H18213" s="185"/>
    </row>
    <row r="18214">
      <c r="D18214" s="185"/>
      <c r="E18214" s="185" t="s">
        <v>470</v>
      </c>
      <c r="H18214" s="185"/>
    </row>
    <row r="18215">
      <c r="D18215" s="185"/>
      <c r="E18215" s="185" t="s">
        <v>470</v>
      </c>
      <c r="H18215" s="185"/>
    </row>
    <row r="18216">
      <c r="D18216" s="185"/>
      <c r="E18216" s="185" t="s">
        <v>470</v>
      </c>
      <c r="H18216" s="185"/>
    </row>
    <row r="18217">
      <c r="D18217" s="185"/>
      <c r="E18217" s="185" t="s">
        <v>470</v>
      </c>
      <c r="H18217" s="185"/>
    </row>
    <row r="18218">
      <c r="D18218" s="185"/>
      <c r="E18218" s="185" t="s">
        <v>470</v>
      </c>
      <c r="H18218" s="185"/>
    </row>
    <row r="18219">
      <c r="D18219" s="185"/>
      <c r="E18219" s="185" t="s">
        <v>470</v>
      </c>
      <c r="H18219" s="185"/>
    </row>
    <row r="18220">
      <c r="D18220" s="185"/>
      <c r="E18220" s="185" t="s">
        <v>470</v>
      </c>
      <c r="H18220" s="185"/>
    </row>
    <row r="18221">
      <c r="D18221" s="185"/>
      <c r="E18221" s="185" t="s">
        <v>470</v>
      </c>
      <c r="H18221" s="185"/>
    </row>
    <row r="18222">
      <c r="D18222" s="185"/>
      <c r="E18222" s="185" t="s">
        <v>470</v>
      </c>
      <c r="H18222" s="185"/>
    </row>
    <row r="18223">
      <c r="D18223" s="185"/>
      <c r="E18223" s="185" t="s">
        <v>470</v>
      </c>
      <c r="H18223" s="185"/>
    </row>
    <row r="18224">
      <c r="D18224" s="185"/>
      <c r="E18224" s="185" t="s">
        <v>470</v>
      </c>
      <c r="H18224" s="185"/>
    </row>
    <row r="18225">
      <c r="D18225" s="185"/>
      <c r="E18225" s="185" t="s">
        <v>470</v>
      </c>
      <c r="H18225" s="185"/>
    </row>
    <row r="18226">
      <c r="D18226" s="185"/>
      <c r="E18226" s="185" t="s">
        <v>470</v>
      </c>
      <c r="H18226" s="185"/>
    </row>
    <row r="18227">
      <c r="D18227" s="185"/>
      <c r="E18227" s="185" t="s">
        <v>470</v>
      </c>
      <c r="H18227" s="185"/>
    </row>
    <row r="18228">
      <c r="D18228" s="185"/>
      <c r="E18228" s="185" t="s">
        <v>470</v>
      </c>
      <c r="H18228" s="185"/>
    </row>
    <row r="18229">
      <c r="D18229" s="185"/>
      <c r="E18229" s="185" t="s">
        <v>470</v>
      </c>
      <c r="H18229" s="185"/>
    </row>
    <row r="18230">
      <c r="D18230" s="185"/>
      <c r="E18230" s="185" t="s">
        <v>470</v>
      </c>
      <c r="H18230" s="185"/>
    </row>
    <row r="18231">
      <c r="D18231" s="185"/>
      <c r="E18231" s="185" t="s">
        <v>470</v>
      </c>
      <c r="H18231" s="185"/>
    </row>
    <row r="18232">
      <c r="D18232" s="185"/>
      <c r="E18232" s="185" t="s">
        <v>470</v>
      </c>
      <c r="H18232" s="185"/>
    </row>
    <row r="18233">
      <c r="D18233" s="185"/>
      <c r="E18233" s="185" t="s">
        <v>470</v>
      </c>
      <c r="H18233" s="185"/>
    </row>
    <row r="18234">
      <c r="D18234" s="185"/>
      <c r="E18234" s="185" t="s">
        <v>470</v>
      </c>
      <c r="H18234" s="185"/>
    </row>
    <row r="18235">
      <c r="D18235" s="185"/>
      <c r="E18235" s="185" t="s">
        <v>470</v>
      </c>
      <c r="H18235" s="185"/>
    </row>
    <row r="18236">
      <c r="D18236" s="185"/>
      <c r="E18236" s="185" t="s">
        <v>470</v>
      </c>
      <c r="H18236" s="185"/>
    </row>
    <row r="18237">
      <c r="D18237" s="185"/>
      <c r="E18237" s="185" t="s">
        <v>470</v>
      </c>
      <c r="H18237" s="185"/>
    </row>
    <row r="18238">
      <c r="D18238" s="185"/>
      <c r="E18238" s="185" t="s">
        <v>470</v>
      </c>
      <c r="H18238" s="185"/>
    </row>
    <row r="18239">
      <c r="D18239" s="185"/>
      <c r="E18239" s="185" t="s">
        <v>470</v>
      </c>
      <c r="H18239" s="185"/>
    </row>
    <row r="18240">
      <c r="D18240" s="185"/>
      <c r="E18240" s="185" t="s">
        <v>470</v>
      </c>
      <c r="H18240" s="185"/>
    </row>
    <row r="18241">
      <c r="D18241" s="185"/>
      <c r="E18241" s="185" t="s">
        <v>470</v>
      </c>
      <c r="H18241" s="185"/>
    </row>
    <row r="18242">
      <c r="D18242" s="185"/>
      <c r="E18242" s="185" t="s">
        <v>470</v>
      </c>
      <c r="H18242" s="185"/>
    </row>
    <row r="18243">
      <c r="D18243" s="185"/>
      <c r="E18243" s="185" t="s">
        <v>470</v>
      </c>
      <c r="H18243" s="185"/>
    </row>
    <row r="18244">
      <c r="D18244" s="185"/>
      <c r="E18244" s="185" t="s">
        <v>470</v>
      </c>
      <c r="H18244" s="185"/>
    </row>
    <row r="18245">
      <c r="D18245" s="185"/>
      <c r="E18245" s="185" t="s">
        <v>470</v>
      </c>
      <c r="H18245" s="185"/>
    </row>
    <row r="18246">
      <c r="D18246" s="185"/>
      <c r="E18246" s="185" t="s">
        <v>470</v>
      </c>
      <c r="H18246" s="185"/>
    </row>
    <row r="18247">
      <c r="D18247" s="185"/>
      <c r="E18247" s="185" t="s">
        <v>470</v>
      </c>
      <c r="H18247" s="185"/>
    </row>
    <row r="18248">
      <c r="D18248" s="185"/>
      <c r="E18248" s="185" t="s">
        <v>470</v>
      </c>
      <c r="H18248" s="185"/>
    </row>
    <row r="18249">
      <c r="D18249" s="185"/>
      <c r="E18249" s="185" t="s">
        <v>470</v>
      </c>
      <c r="H18249" s="185"/>
    </row>
    <row r="18250">
      <c r="D18250" s="185"/>
      <c r="E18250" s="185" t="s">
        <v>470</v>
      </c>
      <c r="H18250" s="185"/>
    </row>
    <row r="18251">
      <c r="D18251" s="185"/>
      <c r="E18251" s="185" t="s">
        <v>470</v>
      </c>
      <c r="H18251" s="185"/>
    </row>
    <row r="18252">
      <c r="D18252" s="185"/>
      <c r="E18252" s="185" t="s">
        <v>470</v>
      </c>
      <c r="H18252" s="185"/>
    </row>
    <row r="18253">
      <c r="D18253" s="185"/>
      <c r="E18253" s="185" t="s">
        <v>470</v>
      </c>
      <c r="H18253" s="185"/>
    </row>
    <row r="18254">
      <c r="D18254" s="185"/>
      <c r="E18254" s="185" t="s">
        <v>470</v>
      </c>
      <c r="H18254" s="185"/>
    </row>
    <row r="18255">
      <c r="D18255" s="185"/>
      <c r="E18255" s="185" t="s">
        <v>470</v>
      </c>
      <c r="H18255" s="185"/>
    </row>
    <row r="18256">
      <c r="D18256" s="185"/>
      <c r="E18256" s="185" t="s">
        <v>470</v>
      </c>
      <c r="H18256" s="185"/>
    </row>
    <row r="18257">
      <c r="D18257" s="185"/>
      <c r="E18257" s="185" t="s">
        <v>470</v>
      </c>
      <c r="H18257" s="185"/>
    </row>
    <row r="18258">
      <c r="D18258" s="185"/>
      <c r="E18258" s="185" t="s">
        <v>470</v>
      </c>
      <c r="H18258" s="185"/>
    </row>
    <row r="18259">
      <c r="D18259" s="185"/>
      <c r="E18259" s="185" t="s">
        <v>470</v>
      </c>
      <c r="H18259" s="185"/>
    </row>
    <row r="18260">
      <c r="D18260" s="185"/>
      <c r="E18260" s="185" t="s">
        <v>470</v>
      </c>
      <c r="H18260" s="185"/>
    </row>
    <row r="18261">
      <c r="D18261" s="185"/>
      <c r="E18261" s="185" t="s">
        <v>470</v>
      </c>
      <c r="H18261" s="185"/>
    </row>
    <row r="18262">
      <c r="D18262" s="185"/>
      <c r="E18262" s="185" t="s">
        <v>470</v>
      </c>
      <c r="H18262" s="185"/>
    </row>
    <row r="18263">
      <c r="D18263" s="185"/>
      <c r="E18263" s="185" t="s">
        <v>470</v>
      </c>
      <c r="H18263" s="185"/>
    </row>
    <row r="18264">
      <c r="D18264" s="185"/>
      <c r="E18264" s="185" t="s">
        <v>470</v>
      </c>
      <c r="H18264" s="185"/>
    </row>
    <row r="18265">
      <c r="D18265" s="185"/>
      <c r="E18265" s="185" t="s">
        <v>470</v>
      </c>
      <c r="H18265" s="185"/>
    </row>
    <row r="18266">
      <c r="D18266" s="185"/>
      <c r="E18266" s="185" t="s">
        <v>470</v>
      </c>
      <c r="H18266" s="185"/>
    </row>
    <row r="18267">
      <c r="D18267" s="185"/>
      <c r="E18267" s="185" t="s">
        <v>470</v>
      </c>
      <c r="H18267" s="185"/>
    </row>
    <row r="18268">
      <c r="D18268" s="185"/>
      <c r="E18268" s="185" t="s">
        <v>470</v>
      </c>
      <c r="H18268" s="185"/>
    </row>
    <row r="18269">
      <c r="D18269" s="185"/>
      <c r="E18269" s="185" t="s">
        <v>470</v>
      </c>
      <c r="H18269" s="185"/>
    </row>
    <row r="18270">
      <c r="D18270" s="185"/>
      <c r="E18270" s="185" t="s">
        <v>470</v>
      </c>
      <c r="H18270" s="185"/>
    </row>
    <row r="18271">
      <c r="D18271" s="185"/>
      <c r="E18271" s="185" t="s">
        <v>470</v>
      </c>
      <c r="H18271" s="185"/>
    </row>
    <row r="18272">
      <c r="D18272" s="185"/>
      <c r="E18272" s="185" t="s">
        <v>470</v>
      </c>
      <c r="H18272" s="185"/>
    </row>
    <row r="18273">
      <c r="D18273" s="185"/>
      <c r="E18273" s="185" t="s">
        <v>470</v>
      </c>
      <c r="H18273" s="185"/>
    </row>
    <row r="18274">
      <c r="D18274" s="185"/>
      <c r="E18274" s="185" t="s">
        <v>470</v>
      </c>
      <c r="H18274" s="185"/>
    </row>
    <row r="18275">
      <c r="D18275" s="185"/>
      <c r="E18275" s="185" t="s">
        <v>470</v>
      </c>
      <c r="H18275" s="185"/>
    </row>
    <row r="18276">
      <c r="D18276" s="185"/>
      <c r="E18276" s="185" t="s">
        <v>470</v>
      </c>
      <c r="H18276" s="185"/>
    </row>
    <row r="18277">
      <c r="D18277" s="185"/>
      <c r="E18277" s="185" t="s">
        <v>470</v>
      </c>
      <c r="H18277" s="185"/>
    </row>
    <row r="18278">
      <c r="D18278" s="185"/>
      <c r="E18278" s="185" t="s">
        <v>470</v>
      </c>
      <c r="H18278" s="185"/>
    </row>
    <row r="18279">
      <c r="D18279" s="185"/>
      <c r="E18279" s="185" t="s">
        <v>470</v>
      </c>
      <c r="H18279" s="185"/>
    </row>
    <row r="18280">
      <c r="D18280" s="185"/>
      <c r="E18280" s="185" t="s">
        <v>470</v>
      </c>
      <c r="H18280" s="185"/>
    </row>
    <row r="18281">
      <c r="D18281" s="185"/>
      <c r="E18281" s="185" t="s">
        <v>470</v>
      </c>
      <c r="H18281" s="185"/>
    </row>
    <row r="18282">
      <c r="D18282" s="185"/>
      <c r="E18282" s="185" t="s">
        <v>470</v>
      </c>
      <c r="H18282" s="185"/>
    </row>
    <row r="18283">
      <c r="D18283" s="185"/>
      <c r="E18283" s="185" t="s">
        <v>470</v>
      </c>
      <c r="H18283" s="185"/>
    </row>
    <row r="18284">
      <c r="D18284" s="185"/>
      <c r="E18284" s="185" t="s">
        <v>470</v>
      </c>
      <c r="H18284" s="185"/>
    </row>
    <row r="18285">
      <c r="D18285" s="185"/>
      <c r="E18285" s="185" t="s">
        <v>470</v>
      </c>
      <c r="H18285" s="185"/>
    </row>
    <row r="18286">
      <c r="D18286" s="185"/>
      <c r="E18286" s="185" t="s">
        <v>470</v>
      </c>
      <c r="H18286" s="185"/>
    </row>
    <row r="18287">
      <c r="D18287" s="185"/>
      <c r="E18287" s="185" t="s">
        <v>470</v>
      </c>
      <c r="H18287" s="185"/>
    </row>
    <row r="18288">
      <c r="D18288" s="185"/>
      <c r="E18288" s="185" t="s">
        <v>470</v>
      </c>
      <c r="H18288" s="185"/>
    </row>
    <row r="18289">
      <c r="D18289" s="185"/>
      <c r="E18289" s="185" t="s">
        <v>470</v>
      </c>
      <c r="H18289" s="185"/>
    </row>
    <row r="18290">
      <c r="D18290" s="185"/>
      <c r="E18290" s="185" t="s">
        <v>470</v>
      </c>
      <c r="H18290" s="185"/>
    </row>
    <row r="18291">
      <c r="D18291" s="185"/>
      <c r="E18291" s="185" t="s">
        <v>470</v>
      </c>
      <c r="H18291" s="185"/>
    </row>
    <row r="18292">
      <c r="D18292" s="185"/>
      <c r="E18292" s="185" t="s">
        <v>470</v>
      </c>
      <c r="H18292" s="185"/>
    </row>
    <row r="18293">
      <c r="D18293" s="185"/>
      <c r="E18293" s="185" t="s">
        <v>470</v>
      </c>
      <c r="H18293" s="185"/>
    </row>
    <row r="18294">
      <c r="D18294" s="185"/>
      <c r="E18294" s="185" t="s">
        <v>470</v>
      </c>
      <c r="H18294" s="185"/>
    </row>
    <row r="18295">
      <c r="D18295" s="185"/>
      <c r="E18295" s="185" t="s">
        <v>470</v>
      </c>
      <c r="H18295" s="185"/>
    </row>
    <row r="18296">
      <c r="D18296" s="185"/>
      <c r="E18296" s="185" t="s">
        <v>470</v>
      </c>
      <c r="H18296" s="185"/>
    </row>
    <row r="18297">
      <c r="D18297" s="185"/>
      <c r="E18297" s="185" t="s">
        <v>470</v>
      </c>
      <c r="H18297" s="185"/>
    </row>
    <row r="18298">
      <c r="D18298" s="185"/>
      <c r="E18298" s="185" t="s">
        <v>470</v>
      </c>
      <c r="H18298" s="185"/>
    </row>
    <row r="18299">
      <c r="D18299" s="185"/>
      <c r="E18299" s="185" t="s">
        <v>470</v>
      </c>
      <c r="H18299" s="185"/>
    </row>
    <row r="18300">
      <c r="D18300" s="185"/>
      <c r="E18300" s="185" t="s">
        <v>470</v>
      </c>
      <c r="H18300" s="185"/>
    </row>
    <row r="18301">
      <c r="D18301" s="185"/>
      <c r="E18301" s="185" t="s">
        <v>470</v>
      </c>
      <c r="H18301" s="185"/>
    </row>
    <row r="18302">
      <c r="D18302" s="185"/>
      <c r="E18302" s="185" t="s">
        <v>470</v>
      </c>
      <c r="H18302" s="185"/>
    </row>
    <row r="18303">
      <c r="D18303" s="185"/>
      <c r="E18303" s="185" t="s">
        <v>470</v>
      </c>
      <c r="H18303" s="185"/>
    </row>
    <row r="18304">
      <c r="D18304" s="185"/>
      <c r="E18304" s="185" t="s">
        <v>470</v>
      </c>
      <c r="H18304" s="185"/>
    </row>
    <row r="18305">
      <c r="D18305" s="185"/>
      <c r="E18305" s="185" t="s">
        <v>470</v>
      </c>
      <c r="H18305" s="185"/>
    </row>
    <row r="18306">
      <c r="D18306" s="185"/>
      <c r="E18306" s="185" t="s">
        <v>470</v>
      </c>
      <c r="H18306" s="185"/>
    </row>
    <row r="18307">
      <c r="D18307" s="185"/>
      <c r="E18307" s="185" t="s">
        <v>470</v>
      </c>
      <c r="H18307" s="185"/>
    </row>
    <row r="18308">
      <c r="D18308" s="185"/>
      <c r="E18308" s="185" t="s">
        <v>470</v>
      </c>
      <c r="H18308" s="185"/>
    </row>
    <row r="18309">
      <c r="D18309" s="185"/>
      <c r="E18309" s="185" t="s">
        <v>470</v>
      </c>
      <c r="H18309" s="185"/>
    </row>
    <row r="18310">
      <c r="D18310" s="185"/>
      <c r="E18310" s="185" t="s">
        <v>470</v>
      </c>
      <c r="H18310" s="185"/>
    </row>
    <row r="18311">
      <c r="D18311" s="185"/>
      <c r="E18311" s="185" t="s">
        <v>470</v>
      </c>
      <c r="H18311" s="185"/>
    </row>
    <row r="18312">
      <c r="D18312" s="185"/>
      <c r="E18312" s="185" t="s">
        <v>470</v>
      </c>
      <c r="H18312" s="185"/>
    </row>
    <row r="18313">
      <c r="D18313" s="185"/>
      <c r="E18313" s="185" t="s">
        <v>470</v>
      </c>
      <c r="H18313" s="185"/>
    </row>
    <row r="18314">
      <c r="D18314" s="185"/>
      <c r="E18314" s="185" t="s">
        <v>470</v>
      </c>
      <c r="H18314" s="185"/>
    </row>
    <row r="18315">
      <c r="D18315" s="185"/>
      <c r="E18315" s="185" t="s">
        <v>470</v>
      </c>
      <c r="H18315" s="185"/>
    </row>
    <row r="18316">
      <c r="D18316" s="185"/>
      <c r="E18316" s="185" t="s">
        <v>470</v>
      </c>
      <c r="H18316" s="185"/>
    </row>
    <row r="18317">
      <c r="D18317" s="185"/>
      <c r="E18317" s="185" t="s">
        <v>470</v>
      </c>
      <c r="H18317" s="185"/>
    </row>
    <row r="18318">
      <c r="D18318" s="185"/>
      <c r="E18318" s="185" t="s">
        <v>470</v>
      </c>
      <c r="H18318" s="185"/>
    </row>
    <row r="18319">
      <c r="D18319" s="185"/>
      <c r="E18319" s="185" t="s">
        <v>470</v>
      </c>
      <c r="H18319" s="185"/>
    </row>
    <row r="18320">
      <c r="D18320" s="185"/>
      <c r="E18320" s="185" t="s">
        <v>470</v>
      </c>
      <c r="H18320" s="185"/>
    </row>
    <row r="18321">
      <c r="D18321" s="185"/>
      <c r="E18321" s="185" t="s">
        <v>470</v>
      </c>
      <c r="H18321" s="185"/>
    </row>
    <row r="18322">
      <c r="D18322" s="185"/>
      <c r="E18322" s="185" t="s">
        <v>470</v>
      </c>
      <c r="H18322" s="185"/>
    </row>
    <row r="18323">
      <c r="D18323" s="185"/>
      <c r="E18323" s="185" t="s">
        <v>470</v>
      </c>
      <c r="H18323" s="185"/>
    </row>
    <row r="18324">
      <c r="D18324" s="185"/>
      <c r="E18324" s="185" t="s">
        <v>470</v>
      </c>
      <c r="H18324" s="185"/>
    </row>
    <row r="18325">
      <c r="D18325" s="185"/>
      <c r="E18325" s="185" t="s">
        <v>470</v>
      </c>
      <c r="H18325" s="185"/>
    </row>
    <row r="18326">
      <c r="D18326" s="185"/>
      <c r="E18326" s="185" t="s">
        <v>470</v>
      </c>
      <c r="H18326" s="185"/>
    </row>
    <row r="18327">
      <c r="D18327" s="185"/>
      <c r="E18327" s="185" t="s">
        <v>470</v>
      </c>
      <c r="H18327" s="185"/>
    </row>
    <row r="18328">
      <c r="D18328" s="185"/>
      <c r="E18328" s="185" t="s">
        <v>470</v>
      </c>
      <c r="H18328" s="185"/>
    </row>
    <row r="18329">
      <c r="D18329" s="185"/>
      <c r="E18329" s="185" t="s">
        <v>470</v>
      </c>
      <c r="H18329" s="185"/>
    </row>
    <row r="18330">
      <c r="D18330" s="185"/>
      <c r="E18330" s="185" t="s">
        <v>470</v>
      </c>
      <c r="H18330" s="185"/>
    </row>
    <row r="18331">
      <c r="D18331" s="185"/>
      <c r="E18331" s="185" t="s">
        <v>470</v>
      </c>
      <c r="H18331" s="185"/>
    </row>
    <row r="18332">
      <c r="D18332" s="185"/>
      <c r="E18332" s="185" t="s">
        <v>470</v>
      </c>
      <c r="H18332" s="185"/>
    </row>
    <row r="18333">
      <c r="D18333" s="185"/>
      <c r="E18333" s="185" t="s">
        <v>470</v>
      </c>
      <c r="H18333" s="185"/>
    </row>
    <row r="18334">
      <c r="D18334" s="185"/>
      <c r="E18334" s="185" t="s">
        <v>470</v>
      </c>
      <c r="H18334" s="185"/>
    </row>
    <row r="18335">
      <c r="D18335" s="185"/>
      <c r="E18335" s="185" t="s">
        <v>470</v>
      </c>
      <c r="H18335" s="185"/>
    </row>
    <row r="18336">
      <c r="D18336" s="185"/>
      <c r="E18336" s="185" t="s">
        <v>470</v>
      </c>
      <c r="H18336" s="185"/>
    </row>
    <row r="18337">
      <c r="D18337" s="185"/>
      <c r="E18337" s="185" t="s">
        <v>470</v>
      </c>
      <c r="H18337" s="185"/>
    </row>
    <row r="18338">
      <c r="D18338" s="185"/>
      <c r="E18338" s="185" t="s">
        <v>470</v>
      </c>
      <c r="H18338" s="185"/>
    </row>
    <row r="18339">
      <c r="D18339" s="185"/>
      <c r="E18339" s="185" t="s">
        <v>470</v>
      </c>
      <c r="H18339" s="185"/>
    </row>
    <row r="18340">
      <c r="D18340" s="185"/>
      <c r="E18340" s="185" t="s">
        <v>470</v>
      </c>
      <c r="H18340" s="185"/>
    </row>
    <row r="18341">
      <c r="D18341" s="185"/>
      <c r="E18341" s="185" t="s">
        <v>470</v>
      </c>
      <c r="H18341" s="185"/>
    </row>
    <row r="18342">
      <c r="D18342" s="185"/>
      <c r="E18342" s="185" t="s">
        <v>470</v>
      </c>
      <c r="H18342" s="185"/>
    </row>
    <row r="18343">
      <c r="D18343" s="185"/>
      <c r="E18343" s="185" t="s">
        <v>470</v>
      </c>
      <c r="H18343" s="185"/>
    </row>
    <row r="18344">
      <c r="D18344" s="185"/>
      <c r="E18344" s="185" t="s">
        <v>470</v>
      </c>
      <c r="H18344" s="185"/>
    </row>
    <row r="18345">
      <c r="D18345" s="185"/>
      <c r="E18345" s="185" t="s">
        <v>470</v>
      </c>
      <c r="H18345" s="185"/>
    </row>
    <row r="18346">
      <c r="D18346" s="185"/>
      <c r="E18346" s="185" t="s">
        <v>470</v>
      </c>
      <c r="H18346" s="185"/>
    </row>
    <row r="18347">
      <c r="D18347" s="185"/>
      <c r="E18347" s="185" t="s">
        <v>470</v>
      </c>
      <c r="H18347" s="185"/>
    </row>
    <row r="18348">
      <c r="D18348" s="185"/>
      <c r="E18348" s="185" t="s">
        <v>470</v>
      </c>
      <c r="H18348" s="185"/>
    </row>
    <row r="18349">
      <c r="D18349" s="185"/>
      <c r="E18349" s="185" t="s">
        <v>470</v>
      </c>
      <c r="H18349" s="185"/>
    </row>
    <row r="18350">
      <c r="D18350" s="185"/>
      <c r="E18350" s="185" t="s">
        <v>470</v>
      </c>
      <c r="H18350" s="185"/>
    </row>
    <row r="18351">
      <c r="D18351" s="185"/>
      <c r="E18351" s="185" t="s">
        <v>470</v>
      </c>
      <c r="H18351" s="185"/>
    </row>
    <row r="18352">
      <c r="D18352" s="185"/>
      <c r="E18352" s="185" t="s">
        <v>470</v>
      </c>
      <c r="H18352" s="185"/>
    </row>
    <row r="18353">
      <c r="D18353" s="185"/>
      <c r="E18353" s="185" t="s">
        <v>470</v>
      </c>
      <c r="H18353" s="185"/>
    </row>
    <row r="18354">
      <c r="D18354" s="185"/>
      <c r="E18354" s="185" t="s">
        <v>470</v>
      </c>
      <c r="H18354" s="185"/>
    </row>
    <row r="18355">
      <c r="D18355" s="185"/>
      <c r="E18355" s="185" t="s">
        <v>470</v>
      </c>
      <c r="H18355" s="185"/>
    </row>
    <row r="18356">
      <c r="D18356" s="185"/>
      <c r="E18356" s="185" t="s">
        <v>470</v>
      </c>
      <c r="H18356" s="185"/>
    </row>
    <row r="18357">
      <c r="D18357" s="185"/>
      <c r="E18357" s="185" t="s">
        <v>470</v>
      </c>
      <c r="H18357" s="185"/>
    </row>
    <row r="18358">
      <c r="D18358" s="185"/>
      <c r="E18358" s="185" t="s">
        <v>470</v>
      </c>
      <c r="H18358" s="185"/>
    </row>
    <row r="18359">
      <c r="D18359" s="185"/>
      <c r="E18359" s="185" t="s">
        <v>470</v>
      </c>
      <c r="H18359" s="185"/>
    </row>
    <row r="18360">
      <c r="D18360" s="185"/>
      <c r="E18360" s="185" t="s">
        <v>470</v>
      </c>
      <c r="H18360" s="185"/>
    </row>
    <row r="18361">
      <c r="D18361" s="185"/>
      <c r="E18361" s="185" t="s">
        <v>470</v>
      </c>
      <c r="H18361" s="185"/>
    </row>
    <row r="18362">
      <c r="D18362" s="185"/>
      <c r="E18362" s="185" t="s">
        <v>470</v>
      </c>
      <c r="H18362" s="185"/>
    </row>
    <row r="18363">
      <c r="D18363" s="185"/>
      <c r="E18363" s="185" t="s">
        <v>470</v>
      </c>
      <c r="H18363" s="185"/>
    </row>
    <row r="18364">
      <c r="D18364" s="185"/>
      <c r="E18364" s="185" t="s">
        <v>470</v>
      </c>
      <c r="H18364" s="185"/>
    </row>
    <row r="18365">
      <c r="D18365" s="185"/>
      <c r="E18365" s="185" t="s">
        <v>470</v>
      </c>
      <c r="H18365" s="185"/>
    </row>
    <row r="18366">
      <c r="D18366" s="185"/>
      <c r="E18366" s="185" t="s">
        <v>470</v>
      </c>
      <c r="H18366" s="185"/>
    </row>
    <row r="18367">
      <c r="D18367" s="185"/>
      <c r="E18367" s="185" t="s">
        <v>470</v>
      </c>
      <c r="H18367" s="185"/>
    </row>
    <row r="18368">
      <c r="D18368" s="185"/>
      <c r="E18368" s="185" t="s">
        <v>470</v>
      </c>
      <c r="H18368" s="185"/>
    </row>
    <row r="18369">
      <c r="D18369" s="185"/>
      <c r="E18369" s="185" t="s">
        <v>470</v>
      </c>
      <c r="H18369" s="185"/>
    </row>
    <row r="18370">
      <c r="D18370" s="185"/>
      <c r="E18370" s="185" t="s">
        <v>470</v>
      </c>
      <c r="H18370" s="185"/>
    </row>
    <row r="18371">
      <c r="D18371" s="185"/>
      <c r="E18371" s="185" t="s">
        <v>470</v>
      </c>
      <c r="H18371" s="185"/>
    </row>
    <row r="18372">
      <c r="D18372" s="185"/>
      <c r="E18372" s="185" t="s">
        <v>470</v>
      </c>
      <c r="H18372" s="185"/>
    </row>
    <row r="18373">
      <c r="D18373" s="185"/>
      <c r="E18373" s="185" t="s">
        <v>470</v>
      </c>
      <c r="H18373" s="185"/>
    </row>
    <row r="18374">
      <c r="D18374" s="185"/>
      <c r="E18374" s="185" t="s">
        <v>470</v>
      </c>
      <c r="H18374" s="185"/>
    </row>
    <row r="18375">
      <c r="D18375" s="185"/>
      <c r="E18375" s="185" t="s">
        <v>470</v>
      </c>
      <c r="H18375" s="185"/>
    </row>
    <row r="18376">
      <c r="D18376" s="185"/>
      <c r="E18376" s="185" t="s">
        <v>470</v>
      </c>
      <c r="H18376" s="185"/>
    </row>
    <row r="18377">
      <c r="D18377" s="185"/>
      <c r="E18377" s="185" t="s">
        <v>470</v>
      </c>
      <c r="H18377" s="185"/>
    </row>
    <row r="18378">
      <c r="D18378" s="185"/>
      <c r="E18378" s="185" t="s">
        <v>470</v>
      </c>
      <c r="H18378" s="185"/>
    </row>
    <row r="18379">
      <c r="D18379" s="185"/>
      <c r="E18379" s="185" t="s">
        <v>470</v>
      </c>
      <c r="H18379" s="185"/>
    </row>
    <row r="18380">
      <c r="D18380" s="185"/>
      <c r="E18380" s="185" t="s">
        <v>470</v>
      </c>
      <c r="H18380" s="185"/>
    </row>
    <row r="18381">
      <c r="D18381" s="185"/>
      <c r="E18381" s="185" t="s">
        <v>470</v>
      </c>
      <c r="H18381" s="185"/>
    </row>
    <row r="18382">
      <c r="D18382" s="185"/>
      <c r="E18382" s="185" t="s">
        <v>470</v>
      </c>
      <c r="H18382" s="185"/>
    </row>
    <row r="18383">
      <c r="D18383" s="185"/>
      <c r="E18383" s="185" t="s">
        <v>470</v>
      </c>
      <c r="H18383" s="185"/>
    </row>
    <row r="18384">
      <c r="D18384" s="185"/>
      <c r="E18384" s="185" t="s">
        <v>470</v>
      </c>
      <c r="H18384" s="185"/>
    </row>
    <row r="18385">
      <c r="D18385" s="185"/>
      <c r="E18385" s="185" t="s">
        <v>470</v>
      </c>
      <c r="H18385" s="185"/>
    </row>
    <row r="18386">
      <c r="D18386" s="185"/>
      <c r="E18386" s="185" t="s">
        <v>470</v>
      </c>
      <c r="H18386" s="185"/>
    </row>
    <row r="18387">
      <c r="D18387" s="185"/>
      <c r="E18387" s="185" t="s">
        <v>470</v>
      </c>
      <c r="H18387" s="185"/>
    </row>
    <row r="18388">
      <c r="D18388" s="185"/>
      <c r="E18388" s="185" t="s">
        <v>470</v>
      </c>
      <c r="H18388" s="185"/>
    </row>
    <row r="18389">
      <c r="D18389" s="185"/>
      <c r="E18389" s="185" t="s">
        <v>470</v>
      </c>
      <c r="H18389" s="185"/>
    </row>
    <row r="18390">
      <c r="D18390" s="185"/>
      <c r="E18390" s="185" t="s">
        <v>470</v>
      </c>
      <c r="H18390" s="185"/>
    </row>
    <row r="18391">
      <c r="D18391" s="185"/>
      <c r="E18391" s="185" t="s">
        <v>470</v>
      </c>
      <c r="H18391" s="185"/>
    </row>
    <row r="18392">
      <c r="D18392" s="185"/>
      <c r="E18392" s="185" t="s">
        <v>470</v>
      </c>
      <c r="H18392" s="185"/>
    </row>
    <row r="18393">
      <c r="D18393" s="185"/>
      <c r="E18393" s="185" t="s">
        <v>470</v>
      </c>
      <c r="H18393" s="185"/>
    </row>
    <row r="18394">
      <c r="D18394" s="185"/>
      <c r="E18394" s="185" t="s">
        <v>470</v>
      </c>
      <c r="H18394" s="185"/>
    </row>
    <row r="18395">
      <c r="D18395" s="185"/>
      <c r="E18395" s="185" t="s">
        <v>470</v>
      </c>
      <c r="H18395" s="185"/>
    </row>
    <row r="18396">
      <c r="D18396" s="185"/>
      <c r="E18396" s="185" t="s">
        <v>470</v>
      </c>
      <c r="H18396" s="185"/>
    </row>
    <row r="18397">
      <c r="D18397" s="185"/>
      <c r="E18397" s="185" t="s">
        <v>470</v>
      </c>
      <c r="H18397" s="185"/>
    </row>
    <row r="18398">
      <c r="D18398" s="185"/>
      <c r="E18398" s="185" t="s">
        <v>470</v>
      </c>
      <c r="H18398" s="185"/>
    </row>
    <row r="18399">
      <c r="D18399" s="185"/>
      <c r="E18399" s="185" t="s">
        <v>470</v>
      </c>
      <c r="H18399" s="185"/>
    </row>
    <row r="18400">
      <c r="D18400" s="185"/>
      <c r="E18400" s="185" t="s">
        <v>470</v>
      </c>
      <c r="H18400" s="185"/>
    </row>
    <row r="18401">
      <c r="D18401" s="185"/>
      <c r="E18401" s="185" t="s">
        <v>470</v>
      </c>
      <c r="H18401" s="185"/>
    </row>
    <row r="18402">
      <c r="D18402" s="185"/>
      <c r="E18402" s="185" t="s">
        <v>470</v>
      </c>
      <c r="H18402" s="185"/>
    </row>
    <row r="18403">
      <c r="D18403" s="185"/>
      <c r="E18403" s="185" t="s">
        <v>470</v>
      </c>
      <c r="H18403" s="185"/>
    </row>
    <row r="18404">
      <c r="D18404" s="185"/>
      <c r="E18404" s="185" t="s">
        <v>470</v>
      </c>
      <c r="H18404" s="185"/>
    </row>
    <row r="18405">
      <c r="D18405" s="185"/>
      <c r="E18405" s="185" t="s">
        <v>470</v>
      </c>
      <c r="H18405" s="185"/>
    </row>
    <row r="18406">
      <c r="D18406" s="185"/>
      <c r="E18406" s="185" t="s">
        <v>470</v>
      </c>
      <c r="H18406" s="185"/>
    </row>
    <row r="18407">
      <c r="D18407" s="185"/>
      <c r="E18407" s="185" t="s">
        <v>470</v>
      </c>
      <c r="H18407" s="185"/>
    </row>
    <row r="18408">
      <c r="D18408" s="185"/>
      <c r="E18408" s="185" t="s">
        <v>470</v>
      </c>
      <c r="H18408" s="185"/>
    </row>
    <row r="18409">
      <c r="D18409" s="185"/>
      <c r="E18409" s="185" t="s">
        <v>470</v>
      </c>
      <c r="H18409" s="185"/>
    </row>
    <row r="18410">
      <c r="D18410" s="185"/>
      <c r="E18410" s="185" t="s">
        <v>470</v>
      </c>
      <c r="H18410" s="185"/>
    </row>
    <row r="18411">
      <c r="D18411" s="185"/>
      <c r="E18411" s="185" t="s">
        <v>470</v>
      </c>
      <c r="H18411" s="185"/>
    </row>
    <row r="18412">
      <c r="D18412" s="185"/>
      <c r="E18412" s="185" t="s">
        <v>470</v>
      </c>
      <c r="H18412" s="185"/>
    </row>
    <row r="18413">
      <c r="D18413" s="185"/>
      <c r="E18413" s="185" t="s">
        <v>470</v>
      </c>
      <c r="H18413" s="185"/>
    </row>
    <row r="18414">
      <c r="D18414" s="185"/>
      <c r="E18414" s="185" t="s">
        <v>470</v>
      </c>
      <c r="H18414" s="185"/>
    </row>
    <row r="18415">
      <c r="D18415" s="185"/>
      <c r="E18415" s="185" t="s">
        <v>470</v>
      </c>
      <c r="H18415" s="185"/>
    </row>
    <row r="18416">
      <c r="D18416" s="185"/>
      <c r="E18416" s="185" t="s">
        <v>470</v>
      </c>
      <c r="H18416" s="185"/>
    </row>
    <row r="18417">
      <c r="D18417" s="185"/>
      <c r="E18417" s="185" t="s">
        <v>470</v>
      </c>
      <c r="H18417" s="185"/>
    </row>
    <row r="18418">
      <c r="D18418" s="185"/>
      <c r="E18418" s="185" t="s">
        <v>470</v>
      </c>
      <c r="H18418" s="185"/>
    </row>
    <row r="18419">
      <c r="D18419" s="185"/>
      <c r="E18419" s="185" t="s">
        <v>470</v>
      </c>
      <c r="H18419" s="185"/>
    </row>
    <row r="18420">
      <c r="D18420" s="185"/>
      <c r="E18420" s="185" t="s">
        <v>470</v>
      </c>
      <c r="H18420" s="185"/>
    </row>
    <row r="18421">
      <c r="D18421" s="185"/>
      <c r="E18421" s="185" t="s">
        <v>470</v>
      </c>
      <c r="H18421" s="185"/>
    </row>
    <row r="18422">
      <c r="D18422" s="185"/>
      <c r="E18422" s="185" t="s">
        <v>470</v>
      </c>
      <c r="H18422" s="185"/>
    </row>
    <row r="18423">
      <c r="D18423" s="185"/>
      <c r="E18423" s="185" t="s">
        <v>470</v>
      </c>
      <c r="H18423" s="185"/>
    </row>
    <row r="18424">
      <c r="D18424" s="185"/>
      <c r="E18424" s="185" t="s">
        <v>470</v>
      </c>
      <c r="H18424" s="185"/>
    </row>
    <row r="18425">
      <c r="D18425" s="185"/>
      <c r="E18425" s="185" t="s">
        <v>470</v>
      </c>
      <c r="H18425" s="185"/>
    </row>
    <row r="18426">
      <c r="D18426" s="185"/>
      <c r="E18426" s="185" t="s">
        <v>470</v>
      </c>
      <c r="H18426" s="185"/>
    </row>
    <row r="18427">
      <c r="D18427" s="185"/>
      <c r="E18427" s="185" t="s">
        <v>470</v>
      </c>
      <c r="H18427" s="185"/>
    </row>
    <row r="18428">
      <c r="D18428" s="185"/>
      <c r="E18428" s="185" t="s">
        <v>470</v>
      </c>
      <c r="H18428" s="185"/>
    </row>
    <row r="18429">
      <c r="D18429" s="185"/>
      <c r="E18429" s="185" t="s">
        <v>470</v>
      </c>
      <c r="H18429" s="185"/>
    </row>
    <row r="18430">
      <c r="D18430" s="185"/>
      <c r="E18430" s="185" t="s">
        <v>470</v>
      </c>
      <c r="H18430" s="185"/>
    </row>
    <row r="18431">
      <c r="D18431" s="185"/>
      <c r="E18431" s="185" t="s">
        <v>470</v>
      </c>
      <c r="H18431" s="185"/>
    </row>
    <row r="18432">
      <c r="D18432" s="185"/>
      <c r="E18432" s="185" t="s">
        <v>470</v>
      </c>
      <c r="H18432" s="185"/>
    </row>
    <row r="18433">
      <c r="D18433" s="185"/>
      <c r="E18433" s="185" t="s">
        <v>470</v>
      </c>
      <c r="H18433" s="185"/>
    </row>
    <row r="18434">
      <c r="D18434" s="185"/>
      <c r="E18434" s="185" t="s">
        <v>470</v>
      </c>
      <c r="H18434" s="185"/>
    </row>
    <row r="18435">
      <c r="D18435" s="185"/>
      <c r="E18435" s="185" t="s">
        <v>470</v>
      </c>
      <c r="H18435" s="185"/>
    </row>
    <row r="18436">
      <c r="D18436" s="185"/>
      <c r="E18436" s="185" t="s">
        <v>470</v>
      </c>
      <c r="H18436" s="185"/>
    </row>
    <row r="18437">
      <c r="D18437" s="185"/>
      <c r="E18437" s="185" t="s">
        <v>470</v>
      </c>
      <c r="H18437" s="185"/>
    </row>
    <row r="18438">
      <c r="D18438" s="185"/>
      <c r="E18438" s="185" t="s">
        <v>470</v>
      </c>
      <c r="H18438" s="185"/>
    </row>
    <row r="18439">
      <c r="D18439" s="185"/>
      <c r="E18439" s="185" t="s">
        <v>470</v>
      </c>
      <c r="H18439" s="185"/>
    </row>
    <row r="18440">
      <c r="D18440" s="185"/>
      <c r="E18440" s="185" t="s">
        <v>470</v>
      </c>
      <c r="H18440" s="185"/>
    </row>
    <row r="18441">
      <c r="D18441" s="185"/>
      <c r="E18441" s="185" t="s">
        <v>470</v>
      </c>
      <c r="H18441" s="185"/>
    </row>
    <row r="18442">
      <c r="D18442" s="185"/>
      <c r="E18442" s="185" t="s">
        <v>470</v>
      </c>
      <c r="H18442" s="185"/>
    </row>
    <row r="18443">
      <c r="D18443" s="185"/>
      <c r="E18443" s="185" t="s">
        <v>470</v>
      </c>
      <c r="H18443" s="185"/>
    </row>
    <row r="18444">
      <c r="D18444" s="185"/>
      <c r="E18444" s="185" t="s">
        <v>470</v>
      </c>
      <c r="H18444" s="185"/>
    </row>
    <row r="18445">
      <c r="D18445" s="185"/>
      <c r="E18445" s="185" t="s">
        <v>470</v>
      </c>
      <c r="H18445" s="185"/>
    </row>
    <row r="18446">
      <c r="D18446" s="185"/>
      <c r="E18446" s="185" t="s">
        <v>470</v>
      </c>
      <c r="H18446" s="185"/>
    </row>
    <row r="18447">
      <c r="D18447" s="185"/>
      <c r="E18447" s="185" t="s">
        <v>470</v>
      </c>
      <c r="H18447" s="185"/>
    </row>
    <row r="18448">
      <c r="D18448" s="185"/>
      <c r="E18448" s="185" t="s">
        <v>470</v>
      </c>
      <c r="H18448" s="185"/>
    </row>
    <row r="18449">
      <c r="D18449" s="185"/>
      <c r="E18449" s="185" t="s">
        <v>470</v>
      </c>
      <c r="H18449" s="185"/>
    </row>
    <row r="18450">
      <c r="D18450" s="185"/>
      <c r="E18450" s="185" t="s">
        <v>470</v>
      </c>
      <c r="H18450" s="185"/>
    </row>
    <row r="18451">
      <c r="D18451" s="185"/>
      <c r="E18451" s="185" t="s">
        <v>470</v>
      </c>
      <c r="H18451" s="185"/>
    </row>
    <row r="18452">
      <c r="D18452" s="185"/>
      <c r="E18452" s="185" t="s">
        <v>470</v>
      </c>
      <c r="H18452" s="185"/>
    </row>
    <row r="18453">
      <c r="D18453" s="185"/>
      <c r="E18453" s="185" t="s">
        <v>470</v>
      </c>
      <c r="H18453" s="185"/>
    </row>
    <row r="18454">
      <c r="D18454" s="185"/>
      <c r="E18454" s="185" t="s">
        <v>470</v>
      </c>
      <c r="H18454" s="185"/>
    </row>
    <row r="18455">
      <c r="D18455" s="185"/>
      <c r="E18455" s="185" t="s">
        <v>470</v>
      </c>
      <c r="H18455" s="185"/>
    </row>
    <row r="18456">
      <c r="D18456" s="185"/>
      <c r="E18456" s="185" t="s">
        <v>470</v>
      </c>
      <c r="H18456" s="185"/>
    </row>
    <row r="18457">
      <c r="D18457" s="185"/>
      <c r="E18457" s="185" t="s">
        <v>470</v>
      </c>
      <c r="H18457" s="185"/>
    </row>
    <row r="18458">
      <c r="D18458" s="185"/>
      <c r="E18458" s="185" t="s">
        <v>470</v>
      </c>
      <c r="H18458" s="185"/>
    </row>
    <row r="18459">
      <c r="D18459" s="185"/>
      <c r="E18459" s="185" t="s">
        <v>470</v>
      </c>
      <c r="H18459" s="185"/>
    </row>
    <row r="18460">
      <c r="D18460" s="185"/>
      <c r="E18460" s="185" t="s">
        <v>470</v>
      </c>
      <c r="H18460" s="185"/>
    </row>
    <row r="18461">
      <c r="D18461" s="185"/>
      <c r="E18461" s="185" t="s">
        <v>470</v>
      </c>
      <c r="H18461" s="185"/>
    </row>
    <row r="18462">
      <c r="D18462" s="185"/>
      <c r="E18462" s="185" t="s">
        <v>470</v>
      </c>
      <c r="H18462" s="185"/>
    </row>
    <row r="18463">
      <c r="D18463" s="185"/>
      <c r="E18463" s="185" t="s">
        <v>470</v>
      </c>
      <c r="H18463" s="185"/>
    </row>
    <row r="18464">
      <c r="D18464" s="185"/>
      <c r="E18464" s="185" t="s">
        <v>470</v>
      </c>
      <c r="H18464" s="185"/>
    </row>
    <row r="18465">
      <c r="D18465" s="185"/>
      <c r="E18465" s="185" t="s">
        <v>470</v>
      </c>
      <c r="H18465" s="185"/>
    </row>
    <row r="18466">
      <c r="D18466" s="185"/>
      <c r="E18466" s="185" t="s">
        <v>470</v>
      </c>
      <c r="H18466" s="185"/>
    </row>
    <row r="18467">
      <c r="D18467" s="185"/>
      <c r="E18467" s="185" t="s">
        <v>470</v>
      </c>
      <c r="H18467" s="185"/>
    </row>
    <row r="18468">
      <c r="D18468" s="185"/>
      <c r="E18468" s="185" t="s">
        <v>470</v>
      </c>
      <c r="H18468" s="185"/>
    </row>
    <row r="18469">
      <c r="D18469" s="185"/>
      <c r="E18469" s="185" t="s">
        <v>470</v>
      </c>
      <c r="H18469" s="185"/>
    </row>
    <row r="18470">
      <c r="D18470" s="185"/>
      <c r="E18470" s="185" t="s">
        <v>470</v>
      </c>
      <c r="H18470" s="185"/>
    </row>
    <row r="18471">
      <c r="D18471" s="185"/>
      <c r="E18471" s="185" t="s">
        <v>470</v>
      </c>
      <c r="H18471" s="185"/>
    </row>
    <row r="18472">
      <c r="D18472" s="185"/>
      <c r="E18472" s="185" t="s">
        <v>470</v>
      </c>
      <c r="H18472" s="185"/>
    </row>
    <row r="18473">
      <c r="D18473" s="185"/>
      <c r="E18473" s="185" t="s">
        <v>470</v>
      </c>
      <c r="H18473" s="185"/>
    </row>
    <row r="18474">
      <c r="D18474" s="185"/>
      <c r="E18474" s="185" t="s">
        <v>470</v>
      </c>
      <c r="H18474" s="185"/>
    </row>
    <row r="18475">
      <c r="D18475" s="185"/>
      <c r="E18475" s="185" t="s">
        <v>470</v>
      </c>
      <c r="H18475" s="185"/>
    </row>
    <row r="18476">
      <c r="D18476" s="185"/>
      <c r="E18476" s="185" t="s">
        <v>470</v>
      </c>
      <c r="H18476" s="185"/>
    </row>
    <row r="18477">
      <c r="D18477" s="185"/>
      <c r="E18477" s="185" t="s">
        <v>470</v>
      </c>
      <c r="H18477" s="185"/>
    </row>
    <row r="18478">
      <c r="D18478" s="185"/>
      <c r="E18478" s="185" t="s">
        <v>470</v>
      </c>
      <c r="H18478" s="185"/>
    </row>
    <row r="18479">
      <c r="D18479" s="185"/>
      <c r="E18479" s="185" t="s">
        <v>470</v>
      </c>
      <c r="H18479" s="185"/>
    </row>
    <row r="18480">
      <c r="D18480" s="185"/>
      <c r="E18480" s="185" t="s">
        <v>470</v>
      </c>
      <c r="H18480" s="185"/>
    </row>
    <row r="18481">
      <c r="D18481" s="185"/>
      <c r="E18481" s="185" t="s">
        <v>470</v>
      </c>
      <c r="H18481" s="185"/>
    </row>
    <row r="18482">
      <c r="D18482" s="185"/>
      <c r="E18482" s="185" t="s">
        <v>470</v>
      </c>
      <c r="H18482" s="185"/>
    </row>
    <row r="18483">
      <c r="D18483" s="185"/>
      <c r="E18483" s="185" t="s">
        <v>470</v>
      </c>
      <c r="H18483" s="185"/>
    </row>
    <row r="18484">
      <c r="D18484" s="185"/>
      <c r="E18484" s="185" t="s">
        <v>470</v>
      </c>
      <c r="H18484" s="185"/>
    </row>
    <row r="18485">
      <c r="D18485" s="185"/>
      <c r="E18485" s="185" t="s">
        <v>470</v>
      </c>
      <c r="H18485" s="185"/>
    </row>
    <row r="18486">
      <c r="D18486" s="185"/>
      <c r="E18486" s="185" t="s">
        <v>470</v>
      </c>
      <c r="H18486" s="185"/>
    </row>
    <row r="18487">
      <c r="D18487" s="185"/>
      <c r="E18487" s="185" t="s">
        <v>470</v>
      </c>
      <c r="H18487" s="185"/>
    </row>
    <row r="18488">
      <c r="D18488" s="185"/>
      <c r="E18488" s="185" t="s">
        <v>470</v>
      </c>
      <c r="H18488" s="185"/>
    </row>
    <row r="18489">
      <c r="D18489" s="185"/>
      <c r="E18489" s="185" t="s">
        <v>470</v>
      </c>
      <c r="H18489" s="185"/>
    </row>
    <row r="18490">
      <c r="D18490" s="185"/>
      <c r="E18490" s="185" t="s">
        <v>470</v>
      </c>
      <c r="H18490" s="185"/>
    </row>
    <row r="18491">
      <c r="D18491" s="185"/>
      <c r="E18491" s="185" t="s">
        <v>470</v>
      </c>
      <c r="H18491" s="185"/>
    </row>
    <row r="18492">
      <c r="D18492" s="185"/>
      <c r="E18492" s="185" t="s">
        <v>470</v>
      </c>
      <c r="H18492" s="185"/>
    </row>
    <row r="18493">
      <c r="D18493" s="185"/>
      <c r="E18493" s="185" t="s">
        <v>470</v>
      </c>
      <c r="H18493" s="185"/>
    </row>
    <row r="18494">
      <c r="D18494" s="185"/>
      <c r="E18494" s="185" t="s">
        <v>470</v>
      </c>
      <c r="H18494" s="185"/>
    </row>
    <row r="18495">
      <c r="D18495" s="185"/>
      <c r="E18495" s="185" t="s">
        <v>470</v>
      </c>
      <c r="H18495" s="185"/>
    </row>
    <row r="18496">
      <c r="D18496" s="185"/>
      <c r="E18496" s="185" t="s">
        <v>470</v>
      </c>
      <c r="H18496" s="185"/>
    </row>
    <row r="18497">
      <c r="D18497" s="185"/>
      <c r="E18497" s="185" t="s">
        <v>470</v>
      </c>
      <c r="H18497" s="185"/>
    </row>
    <row r="18498">
      <c r="D18498" s="185"/>
      <c r="E18498" s="185" t="s">
        <v>470</v>
      </c>
      <c r="H18498" s="185"/>
    </row>
    <row r="18499">
      <c r="D18499" s="185"/>
      <c r="E18499" s="185" t="s">
        <v>470</v>
      </c>
      <c r="H18499" s="185"/>
    </row>
    <row r="18500">
      <c r="D18500" s="185"/>
      <c r="E18500" s="185" t="s">
        <v>470</v>
      </c>
      <c r="H18500" s="185"/>
    </row>
    <row r="18501">
      <c r="D18501" s="185"/>
      <c r="E18501" s="185" t="s">
        <v>470</v>
      </c>
      <c r="H18501" s="185"/>
    </row>
    <row r="18502">
      <c r="D18502" s="185"/>
      <c r="E18502" s="185" t="s">
        <v>470</v>
      </c>
      <c r="H18502" s="185"/>
    </row>
    <row r="18503">
      <c r="D18503" s="185"/>
      <c r="E18503" s="185" t="s">
        <v>470</v>
      </c>
      <c r="H18503" s="185"/>
    </row>
    <row r="18504">
      <c r="D18504" s="185"/>
      <c r="E18504" s="185" t="s">
        <v>470</v>
      </c>
      <c r="H18504" s="185"/>
    </row>
    <row r="18505">
      <c r="D18505" s="185"/>
      <c r="E18505" s="185" t="s">
        <v>470</v>
      </c>
      <c r="H18505" s="185"/>
    </row>
    <row r="18506">
      <c r="D18506" s="185"/>
      <c r="E18506" s="185" t="s">
        <v>470</v>
      </c>
      <c r="H18506" s="185"/>
    </row>
    <row r="18507">
      <c r="D18507" s="185"/>
      <c r="E18507" s="185" t="s">
        <v>470</v>
      </c>
      <c r="H18507" s="185"/>
    </row>
    <row r="18508">
      <c r="D18508" s="185"/>
      <c r="E18508" s="185" t="s">
        <v>470</v>
      </c>
      <c r="H18508" s="185"/>
    </row>
    <row r="18509">
      <c r="D18509" s="185"/>
      <c r="E18509" s="185" t="s">
        <v>470</v>
      </c>
      <c r="H18509" s="185"/>
    </row>
    <row r="18510">
      <c r="D18510" s="185"/>
      <c r="E18510" s="185" t="s">
        <v>470</v>
      </c>
      <c r="H18510" s="185"/>
    </row>
    <row r="18511">
      <c r="D18511" s="185"/>
      <c r="E18511" s="185" t="s">
        <v>470</v>
      </c>
      <c r="H18511" s="185"/>
    </row>
    <row r="18512">
      <c r="D18512" s="185"/>
      <c r="E18512" s="185" t="s">
        <v>470</v>
      </c>
      <c r="H18512" s="185"/>
    </row>
    <row r="18513">
      <c r="D18513" s="185"/>
      <c r="E18513" s="185" t="s">
        <v>470</v>
      </c>
      <c r="H18513" s="185"/>
    </row>
    <row r="18514">
      <c r="D18514" s="185"/>
      <c r="E18514" s="185" t="s">
        <v>470</v>
      </c>
      <c r="H18514" s="185"/>
    </row>
    <row r="18515">
      <c r="D18515" s="185"/>
      <c r="E18515" s="185" t="s">
        <v>470</v>
      </c>
      <c r="H18515" s="185"/>
    </row>
    <row r="18516">
      <c r="D18516" s="185"/>
      <c r="E18516" s="185" t="s">
        <v>470</v>
      </c>
      <c r="H18516" s="185"/>
    </row>
    <row r="18517">
      <c r="D18517" s="185"/>
      <c r="E18517" s="185" t="s">
        <v>470</v>
      </c>
      <c r="H18517" s="185"/>
    </row>
    <row r="18518">
      <c r="D18518" s="185"/>
      <c r="E18518" s="185" t="s">
        <v>470</v>
      </c>
      <c r="H18518" s="185"/>
    </row>
    <row r="18519">
      <c r="D18519" s="185"/>
      <c r="E18519" s="185" t="s">
        <v>470</v>
      </c>
      <c r="H18519" s="185"/>
    </row>
    <row r="18520">
      <c r="D18520" s="185"/>
      <c r="E18520" s="185" t="s">
        <v>470</v>
      </c>
      <c r="H18520" s="185"/>
    </row>
    <row r="18521">
      <c r="D18521" s="185"/>
      <c r="E18521" s="185" t="s">
        <v>470</v>
      </c>
      <c r="H18521" s="185"/>
    </row>
    <row r="18522">
      <c r="D18522" s="185"/>
      <c r="E18522" s="185" t="s">
        <v>470</v>
      </c>
      <c r="H18522" s="185"/>
    </row>
    <row r="18523">
      <c r="D18523" s="185"/>
      <c r="E18523" s="185" t="s">
        <v>470</v>
      </c>
      <c r="H18523" s="185"/>
    </row>
    <row r="18524">
      <c r="D18524" s="185"/>
      <c r="E18524" s="185" t="s">
        <v>470</v>
      </c>
      <c r="H18524" s="185"/>
    </row>
    <row r="18525">
      <c r="D18525" s="185"/>
      <c r="E18525" s="185" t="s">
        <v>470</v>
      </c>
      <c r="H18525" s="185"/>
    </row>
    <row r="18526">
      <c r="D18526" s="185"/>
      <c r="E18526" s="185" t="s">
        <v>470</v>
      </c>
      <c r="H18526" s="185"/>
    </row>
    <row r="18527">
      <c r="D18527" s="185"/>
      <c r="E18527" s="185" t="s">
        <v>470</v>
      </c>
      <c r="H18527" s="185"/>
    </row>
    <row r="18528">
      <c r="D18528" s="185"/>
      <c r="E18528" s="185" t="s">
        <v>470</v>
      </c>
      <c r="H18528" s="185"/>
    </row>
    <row r="18529">
      <c r="D18529" s="185"/>
      <c r="E18529" s="185" t="s">
        <v>470</v>
      </c>
      <c r="H18529" s="185"/>
    </row>
    <row r="18530">
      <c r="D18530" s="185"/>
      <c r="E18530" s="185" t="s">
        <v>470</v>
      </c>
      <c r="H18530" s="185"/>
    </row>
    <row r="18531">
      <c r="D18531" s="185"/>
      <c r="E18531" s="185" t="s">
        <v>470</v>
      </c>
      <c r="H18531" s="185"/>
    </row>
    <row r="18532">
      <c r="D18532" s="185"/>
      <c r="E18532" s="185" t="s">
        <v>470</v>
      </c>
      <c r="H18532" s="185"/>
    </row>
    <row r="18533">
      <c r="D18533" s="185"/>
      <c r="E18533" s="185" t="s">
        <v>470</v>
      </c>
      <c r="H18533" s="185"/>
    </row>
    <row r="18534">
      <c r="D18534" s="185"/>
      <c r="E18534" s="185" t="s">
        <v>470</v>
      </c>
      <c r="H18534" s="185"/>
    </row>
    <row r="18535">
      <c r="D18535" s="185"/>
      <c r="E18535" s="185" t="s">
        <v>470</v>
      </c>
      <c r="H18535" s="185"/>
    </row>
    <row r="18536">
      <c r="D18536" s="185"/>
      <c r="E18536" s="185" t="s">
        <v>470</v>
      </c>
      <c r="H18536" s="185"/>
    </row>
    <row r="18537">
      <c r="D18537" s="185"/>
      <c r="E18537" s="185" t="s">
        <v>470</v>
      </c>
      <c r="H18537" s="185"/>
    </row>
    <row r="18538">
      <c r="D18538" s="185"/>
      <c r="E18538" s="185" t="s">
        <v>470</v>
      </c>
      <c r="H18538" s="185"/>
    </row>
    <row r="18539">
      <c r="D18539" s="185"/>
      <c r="E18539" s="185" t="s">
        <v>470</v>
      </c>
      <c r="H18539" s="185"/>
    </row>
    <row r="18540">
      <c r="D18540" s="185"/>
      <c r="E18540" s="185" t="s">
        <v>470</v>
      </c>
      <c r="H18540" s="185"/>
    </row>
    <row r="18541">
      <c r="D18541" s="185"/>
      <c r="E18541" s="185" t="s">
        <v>470</v>
      </c>
      <c r="H18541" s="185"/>
    </row>
    <row r="18542">
      <c r="D18542" s="185"/>
      <c r="E18542" s="185" t="s">
        <v>470</v>
      </c>
      <c r="H18542" s="185"/>
    </row>
    <row r="18543">
      <c r="D18543" s="185"/>
      <c r="E18543" s="185" t="s">
        <v>470</v>
      </c>
      <c r="H18543" s="185"/>
    </row>
    <row r="18544">
      <c r="D18544" s="185"/>
      <c r="E18544" s="185" t="s">
        <v>470</v>
      </c>
      <c r="H18544" s="185"/>
    </row>
    <row r="18545">
      <c r="D18545" s="185"/>
      <c r="E18545" s="185" t="s">
        <v>470</v>
      </c>
      <c r="H18545" s="185"/>
    </row>
    <row r="18546">
      <c r="D18546" s="185"/>
      <c r="E18546" s="185" t="s">
        <v>470</v>
      </c>
      <c r="H18546" s="185"/>
    </row>
    <row r="18547">
      <c r="D18547" s="185"/>
      <c r="E18547" s="185" t="s">
        <v>470</v>
      </c>
      <c r="H18547" s="185"/>
    </row>
    <row r="18548">
      <c r="D18548" s="185"/>
      <c r="E18548" s="185" t="s">
        <v>470</v>
      </c>
      <c r="H18548" s="185"/>
    </row>
    <row r="18549">
      <c r="D18549" s="185"/>
      <c r="E18549" s="185" t="s">
        <v>470</v>
      </c>
      <c r="H18549" s="185"/>
    </row>
    <row r="18550">
      <c r="D18550" s="185"/>
      <c r="E18550" s="185" t="s">
        <v>470</v>
      </c>
      <c r="H18550" s="185"/>
    </row>
    <row r="18551">
      <c r="D18551" s="185"/>
      <c r="E18551" s="185" t="s">
        <v>470</v>
      </c>
      <c r="H18551" s="185"/>
    </row>
    <row r="18552">
      <c r="D18552" s="185"/>
      <c r="E18552" s="185" t="s">
        <v>470</v>
      </c>
      <c r="H18552" s="185"/>
    </row>
    <row r="18553">
      <c r="D18553" s="185"/>
      <c r="E18553" s="185" t="s">
        <v>470</v>
      </c>
      <c r="H18553" s="185"/>
    </row>
    <row r="18554">
      <c r="D18554" s="185"/>
      <c r="E18554" s="185" t="s">
        <v>470</v>
      </c>
      <c r="H18554" s="185"/>
    </row>
    <row r="18555">
      <c r="D18555" s="185"/>
      <c r="E18555" s="185" t="s">
        <v>470</v>
      </c>
      <c r="H18555" s="185"/>
    </row>
    <row r="18556">
      <c r="D18556" s="185"/>
      <c r="E18556" s="185" t="s">
        <v>470</v>
      </c>
      <c r="H18556" s="185"/>
    </row>
    <row r="18557">
      <c r="D18557" s="185"/>
      <c r="E18557" s="185" t="s">
        <v>470</v>
      </c>
      <c r="H18557" s="185"/>
    </row>
    <row r="18558">
      <c r="D18558" s="185"/>
      <c r="E18558" s="185" t="s">
        <v>470</v>
      </c>
      <c r="H18558" s="185"/>
    </row>
    <row r="18559">
      <c r="D18559" s="185"/>
      <c r="E18559" s="185" t="s">
        <v>470</v>
      </c>
      <c r="H18559" s="185"/>
    </row>
    <row r="18560">
      <c r="D18560" s="185"/>
      <c r="E18560" s="185" t="s">
        <v>470</v>
      </c>
      <c r="H18560" s="185"/>
    </row>
    <row r="18561">
      <c r="D18561" s="185"/>
      <c r="E18561" s="185" t="s">
        <v>470</v>
      </c>
      <c r="H18561" s="185"/>
    </row>
    <row r="18562">
      <c r="D18562" s="185"/>
      <c r="E18562" s="185" t="s">
        <v>470</v>
      </c>
      <c r="H18562" s="185"/>
    </row>
    <row r="18563">
      <c r="D18563" s="185"/>
      <c r="E18563" s="185" t="s">
        <v>470</v>
      </c>
      <c r="H18563" s="185"/>
    </row>
    <row r="18564">
      <c r="D18564" s="185"/>
      <c r="E18564" s="185" t="s">
        <v>470</v>
      </c>
      <c r="H18564" s="185"/>
    </row>
    <row r="18565">
      <c r="D18565" s="185"/>
      <c r="E18565" s="185" t="s">
        <v>470</v>
      </c>
      <c r="H18565" s="185"/>
    </row>
    <row r="18566">
      <c r="D18566" s="185"/>
      <c r="E18566" s="185" t="s">
        <v>470</v>
      </c>
      <c r="H18566" s="185"/>
    </row>
    <row r="18567">
      <c r="D18567" s="185"/>
      <c r="E18567" s="185" t="s">
        <v>470</v>
      </c>
      <c r="H18567" s="185"/>
    </row>
    <row r="18568">
      <c r="D18568" s="185"/>
      <c r="E18568" s="185" t="s">
        <v>470</v>
      </c>
      <c r="H18568" s="185"/>
    </row>
    <row r="18569">
      <c r="D18569" s="185"/>
      <c r="E18569" s="185" t="s">
        <v>470</v>
      </c>
      <c r="H18569" s="185"/>
    </row>
    <row r="18570">
      <c r="D18570" s="185"/>
      <c r="E18570" s="185" t="s">
        <v>470</v>
      </c>
      <c r="H18570" s="185"/>
    </row>
    <row r="18571">
      <c r="D18571" s="185"/>
      <c r="E18571" s="185" t="s">
        <v>470</v>
      </c>
      <c r="H18571" s="185"/>
    </row>
    <row r="18572">
      <c r="D18572" s="185"/>
      <c r="E18572" s="185" t="s">
        <v>470</v>
      </c>
      <c r="H18572" s="185"/>
    </row>
    <row r="18573">
      <c r="D18573" s="185"/>
      <c r="E18573" s="185" t="s">
        <v>470</v>
      </c>
      <c r="H18573" s="185"/>
    </row>
    <row r="18574">
      <c r="D18574" s="185"/>
      <c r="E18574" s="185" t="s">
        <v>470</v>
      </c>
      <c r="H18574" s="185"/>
    </row>
    <row r="18575">
      <c r="D18575" s="185"/>
      <c r="E18575" s="185" t="s">
        <v>470</v>
      </c>
      <c r="H18575" s="185"/>
    </row>
    <row r="18576">
      <c r="D18576" s="185"/>
      <c r="E18576" s="185" t="s">
        <v>470</v>
      </c>
      <c r="H18576" s="185"/>
    </row>
    <row r="18577">
      <c r="D18577" s="185"/>
      <c r="E18577" s="185" t="s">
        <v>470</v>
      </c>
      <c r="H18577" s="185"/>
    </row>
    <row r="18578">
      <c r="D18578" s="185"/>
      <c r="E18578" s="185" t="s">
        <v>470</v>
      </c>
      <c r="H18578" s="185"/>
    </row>
    <row r="18579">
      <c r="D18579" s="185"/>
      <c r="E18579" s="185" t="s">
        <v>470</v>
      </c>
      <c r="H18579" s="185"/>
    </row>
    <row r="18580">
      <c r="D18580" s="185"/>
      <c r="E18580" s="185" t="s">
        <v>470</v>
      </c>
      <c r="H18580" s="185"/>
    </row>
    <row r="18581">
      <c r="D18581" s="185"/>
      <c r="E18581" s="185" t="s">
        <v>470</v>
      </c>
      <c r="H18581" s="185"/>
    </row>
    <row r="18582">
      <c r="D18582" s="185"/>
      <c r="E18582" s="185" t="s">
        <v>470</v>
      </c>
      <c r="H18582" s="185"/>
    </row>
    <row r="18583">
      <c r="D18583" s="185"/>
      <c r="E18583" s="185" t="s">
        <v>470</v>
      </c>
      <c r="H18583" s="185"/>
    </row>
    <row r="18584">
      <c r="D18584" s="185"/>
      <c r="E18584" s="185" t="s">
        <v>470</v>
      </c>
      <c r="H18584" s="185"/>
    </row>
    <row r="18585">
      <c r="D18585" s="185"/>
      <c r="E18585" s="185" t="s">
        <v>470</v>
      </c>
      <c r="H18585" s="185"/>
    </row>
    <row r="18586">
      <c r="D18586" s="185"/>
      <c r="E18586" s="185" t="s">
        <v>470</v>
      </c>
      <c r="H18586" s="185"/>
    </row>
    <row r="18587">
      <c r="D18587" s="185"/>
      <c r="E18587" s="185" t="s">
        <v>470</v>
      </c>
      <c r="H18587" s="185"/>
    </row>
    <row r="18588">
      <c r="D18588" s="185"/>
      <c r="E18588" s="185" t="s">
        <v>470</v>
      </c>
      <c r="H18588" s="185"/>
    </row>
    <row r="18589">
      <c r="D18589" s="185"/>
      <c r="E18589" s="185" t="s">
        <v>470</v>
      </c>
      <c r="H18589" s="185"/>
    </row>
    <row r="18590">
      <c r="D18590" s="185"/>
      <c r="E18590" s="185" t="s">
        <v>470</v>
      </c>
      <c r="H18590" s="185"/>
    </row>
    <row r="18591">
      <c r="D18591" s="185"/>
      <c r="E18591" s="185" t="s">
        <v>470</v>
      </c>
      <c r="H18591" s="185"/>
    </row>
    <row r="18592">
      <c r="D18592" s="185"/>
      <c r="E18592" s="185" t="s">
        <v>470</v>
      </c>
      <c r="H18592" s="185"/>
    </row>
    <row r="18593">
      <c r="D18593" s="185"/>
      <c r="E18593" s="185" t="s">
        <v>470</v>
      </c>
      <c r="H18593" s="185"/>
    </row>
    <row r="18594">
      <c r="D18594" s="185"/>
      <c r="E18594" s="185" t="s">
        <v>470</v>
      </c>
      <c r="H18594" s="185"/>
    </row>
    <row r="18595">
      <c r="D18595" s="185"/>
      <c r="E18595" s="185" t="s">
        <v>470</v>
      </c>
      <c r="H18595" s="185"/>
    </row>
    <row r="18596">
      <c r="D18596" s="185"/>
      <c r="E18596" s="185" t="s">
        <v>470</v>
      </c>
      <c r="H18596" s="185"/>
    </row>
    <row r="18597">
      <c r="D18597" s="185"/>
      <c r="E18597" s="185" t="s">
        <v>470</v>
      </c>
      <c r="H18597" s="185"/>
    </row>
    <row r="18598">
      <c r="D18598" s="185"/>
      <c r="E18598" s="185" t="s">
        <v>470</v>
      </c>
      <c r="H18598" s="185"/>
    </row>
    <row r="18599">
      <c r="D18599" s="185"/>
      <c r="E18599" s="185" t="s">
        <v>470</v>
      </c>
      <c r="H18599" s="185"/>
    </row>
    <row r="18600">
      <c r="D18600" s="185"/>
      <c r="E18600" s="185" t="s">
        <v>470</v>
      </c>
      <c r="H18600" s="185"/>
    </row>
    <row r="18601">
      <c r="D18601" s="185"/>
      <c r="E18601" s="185" t="s">
        <v>470</v>
      </c>
      <c r="H18601" s="185"/>
    </row>
    <row r="18602">
      <c r="D18602" s="185"/>
      <c r="E18602" s="185" t="s">
        <v>470</v>
      </c>
      <c r="H18602" s="185"/>
    </row>
    <row r="18603">
      <c r="D18603" s="185"/>
      <c r="E18603" s="185" t="s">
        <v>470</v>
      </c>
      <c r="H18603" s="185"/>
    </row>
    <row r="18604">
      <c r="D18604" s="185"/>
      <c r="E18604" s="185" t="s">
        <v>470</v>
      </c>
      <c r="H18604" s="185"/>
    </row>
    <row r="18605">
      <c r="D18605" s="185"/>
      <c r="E18605" s="185" t="s">
        <v>470</v>
      </c>
      <c r="H18605" s="185"/>
    </row>
    <row r="18606">
      <c r="D18606" s="185"/>
      <c r="E18606" s="185" t="s">
        <v>470</v>
      </c>
      <c r="H18606" s="185"/>
    </row>
    <row r="18607">
      <c r="D18607" s="185"/>
      <c r="E18607" s="185" t="s">
        <v>470</v>
      </c>
      <c r="H18607" s="185"/>
    </row>
    <row r="18608">
      <c r="D18608" s="185"/>
      <c r="E18608" s="185" t="s">
        <v>470</v>
      </c>
      <c r="H18608" s="185"/>
    </row>
    <row r="18609">
      <c r="D18609" s="185"/>
      <c r="E18609" s="185" t="s">
        <v>470</v>
      </c>
      <c r="H18609" s="185"/>
    </row>
    <row r="18610">
      <c r="D18610" s="185"/>
      <c r="E18610" s="185" t="s">
        <v>470</v>
      </c>
      <c r="H18610" s="185"/>
    </row>
    <row r="18611">
      <c r="D18611" s="185"/>
      <c r="E18611" s="185" t="s">
        <v>470</v>
      </c>
      <c r="H18611" s="185"/>
    </row>
    <row r="18612">
      <c r="D18612" s="185"/>
      <c r="E18612" s="185" t="s">
        <v>470</v>
      </c>
      <c r="H18612" s="185"/>
    </row>
    <row r="18613">
      <c r="D18613" s="185"/>
      <c r="E18613" s="185" t="s">
        <v>470</v>
      </c>
      <c r="H18613" s="185"/>
    </row>
    <row r="18614">
      <c r="D18614" s="185"/>
      <c r="E18614" s="185" t="s">
        <v>470</v>
      </c>
      <c r="H18614" s="185"/>
    </row>
    <row r="18615">
      <c r="D18615" s="185"/>
      <c r="E18615" s="185" t="s">
        <v>470</v>
      </c>
      <c r="H18615" s="185"/>
    </row>
    <row r="18616">
      <c r="D18616" s="185"/>
      <c r="E18616" s="185" t="s">
        <v>470</v>
      </c>
      <c r="H18616" s="185"/>
    </row>
    <row r="18617">
      <c r="D18617" s="185"/>
      <c r="E18617" s="185" t="s">
        <v>470</v>
      </c>
      <c r="H18617" s="185"/>
    </row>
    <row r="18618">
      <c r="D18618" s="185"/>
      <c r="E18618" s="185" t="s">
        <v>470</v>
      </c>
      <c r="H18618" s="185"/>
    </row>
    <row r="18619">
      <c r="D18619" s="185"/>
      <c r="E18619" s="185" t="s">
        <v>470</v>
      </c>
      <c r="H18619" s="185"/>
    </row>
    <row r="18620">
      <c r="D18620" s="185"/>
      <c r="E18620" s="185" t="s">
        <v>470</v>
      </c>
      <c r="H18620" s="185"/>
    </row>
    <row r="18621">
      <c r="D18621" s="185"/>
      <c r="E18621" s="185" t="s">
        <v>470</v>
      </c>
      <c r="H18621" s="185"/>
    </row>
    <row r="18622">
      <c r="D18622" s="185"/>
      <c r="E18622" s="185" t="s">
        <v>470</v>
      </c>
      <c r="H18622" s="185"/>
    </row>
    <row r="18623">
      <c r="D18623" s="185"/>
      <c r="E18623" s="185" t="s">
        <v>470</v>
      </c>
      <c r="H18623" s="185"/>
    </row>
    <row r="18624">
      <c r="D18624" s="185"/>
      <c r="E18624" s="185" t="s">
        <v>470</v>
      </c>
      <c r="H18624" s="185"/>
    </row>
    <row r="18625">
      <c r="D18625" s="185"/>
      <c r="E18625" s="185" t="s">
        <v>470</v>
      </c>
      <c r="H18625" s="185"/>
    </row>
    <row r="18626">
      <c r="D18626" s="185"/>
      <c r="E18626" s="185" t="s">
        <v>470</v>
      </c>
      <c r="H18626" s="185"/>
    </row>
    <row r="18627">
      <c r="D18627" s="185"/>
      <c r="E18627" s="185" t="s">
        <v>470</v>
      </c>
      <c r="H18627" s="185"/>
    </row>
    <row r="18628">
      <c r="D18628" s="185"/>
      <c r="E18628" s="185" t="s">
        <v>470</v>
      </c>
      <c r="H18628" s="185"/>
    </row>
    <row r="18629">
      <c r="D18629" s="185"/>
      <c r="E18629" s="185" t="s">
        <v>470</v>
      </c>
      <c r="H18629" s="185"/>
    </row>
    <row r="18630">
      <c r="D18630" s="185"/>
      <c r="E18630" s="185" t="s">
        <v>470</v>
      </c>
      <c r="H18630" s="185"/>
    </row>
    <row r="18631">
      <c r="D18631" s="185"/>
      <c r="E18631" s="185" t="s">
        <v>470</v>
      </c>
      <c r="H18631" s="185"/>
    </row>
    <row r="18632">
      <c r="D18632" s="185"/>
      <c r="E18632" s="185" t="s">
        <v>470</v>
      </c>
      <c r="H18632" s="185"/>
    </row>
    <row r="18633">
      <c r="D18633" s="185"/>
      <c r="E18633" s="185" t="s">
        <v>470</v>
      </c>
      <c r="H18633" s="185"/>
    </row>
    <row r="18634">
      <c r="D18634" s="185"/>
      <c r="E18634" s="185" t="s">
        <v>470</v>
      </c>
      <c r="H18634" s="185"/>
    </row>
    <row r="18635">
      <c r="D18635" s="185"/>
      <c r="E18635" s="185" t="s">
        <v>470</v>
      </c>
      <c r="H18635" s="185"/>
    </row>
    <row r="18636">
      <c r="D18636" s="185"/>
      <c r="E18636" s="185" t="s">
        <v>470</v>
      </c>
      <c r="H18636" s="185"/>
    </row>
    <row r="18637">
      <c r="D18637" s="185"/>
      <c r="E18637" s="185" t="s">
        <v>470</v>
      </c>
      <c r="H18637" s="185"/>
    </row>
    <row r="18638">
      <c r="D18638" s="185"/>
      <c r="E18638" s="185" t="s">
        <v>470</v>
      </c>
      <c r="H18638" s="185"/>
    </row>
    <row r="18639">
      <c r="D18639" s="185"/>
      <c r="E18639" s="185" t="s">
        <v>470</v>
      </c>
      <c r="H18639" s="185"/>
    </row>
    <row r="18640">
      <c r="D18640" s="185"/>
      <c r="E18640" s="185" t="s">
        <v>470</v>
      </c>
      <c r="H18640" s="185"/>
    </row>
    <row r="18641">
      <c r="D18641" s="185"/>
      <c r="E18641" s="185" t="s">
        <v>470</v>
      </c>
      <c r="H18641" s="185"/>
    </row>
    <row r="18642">
      <c r="D18642" s="185"/>
      <c r="E18642" s="185" t="s">
        <v>470</v>
      </c>
      <c r="H18642" s="185"/>
    </row>
    <row r="18643">
      <c r="D18643" s="185"/>
      <c r="E18643" s="185" t="s">
        <v>470</v>
      </c>
      <c r="H18643" s="185"/>
    </row>
    <row r="18644">
      <c r="D18644" s="185"/>
      <c r="E18644" s="185" t="s">
        <v>470</v>
      </c>
      <c r="H18644" s="185"/>
    </row>
    <row r="18645">
      <c r="D18645" s="185"/>
      <c r="E18645" s="185" t="s">
        <v>470</v>
      </c>
      <c r="H18645" s="185"/>
    </row>
    <row r="18646">
      <c r="D18646" s="185"/>
      <c r="E18646" s="185" t="s">
        <v>470</v>
      </c>
      <c r="H18646" s="185"/>
    </row>
    <row r="18647">
      <c r="D18647" s="185"/>
      <c r="E18647" s="185" t="s">
        <v>470</v>
      </c>
      <c r="H18647" s="185"/>
    </row>
    <row r="18648">
      <c r="D18648" s="185"/>
      <c r="E18648" s="185" t="s">
        <v>470</v>
      </c>
      <c r="H18648" s="185"/>
    </row>
    <row r="18649">
      <c r="D18649" s="185"/>
      <c r="E18649" s="185" t="s">
        <v>470</v>
      </c>
      <c r="H18649" s="185"/>
    </row>
    <row r="18650">
      <c r="D18650" s="185"/>
      <c r="E18650" s="185" t="s">
        <v>470</v>
      </c>
      <c r="H18650" s="185"/>
    </row>
    <row r="18651">
      <c r="D18651" s="185"/>
      <c r="E18651" s="185" t="s">
        <v>470</v>
      </c>
      <c r="H18651" s="185"/>
    </row>
    <row r="18652">
      <c r="D18652" s="185"/>
      <c r="E18652" s="185" t="s">
        <v>470</v>
      </c>
      <c r="H18652" s="185"/>
    </row>
    <row r="18653">
      <c r="D18653" s="185"/>
      <c r="E18653" s="185" t="s">
        <v>470</v>
      </c>
      <c r="H18653" s="185"/>
    </row>
    <row r="18654">
      <c r="D18654" s="185"/>
      <c r="E18654" s="185" t="s">
        <v>470</v>
      </c>
      <c r="H18654" s="185"/>
    </row>
    <row r="18655">
      <c r="D18655" s="185"/>
      <c r="E18655" s="185" t="s">
        <v>470</v>
      </c>
      <c r="H18655" s="185"/>
    </row>
    <row r="18656">
      <c r="D18656" s="185"/>
      <c r="E18656" s="185" t="s">
        <v>470</v>
      </c>
      <c r="H18656" s="185"/>
    </row>
    <row r="18657">
      <c r="D18657" s="185"/>
      <c r="E18657" s="185" t="s">
        <v>470</v>
      </c>
      <c r="H18657" s="185"/>
    </row>
    <row r="18658">
      <c r="D18658" s="185"/>
      <c r="E18658" s="185" t="s">
        <v>470</v>
      </c>
      <c r="H18658" s="185"/>
    </row>
    <row r="18659">
      <c r="D18659" s="185"/>
      <c r="E18659" s="185" t="s">
        <v>470</v>
      </c>
      <c r="H18659" s="185"/>
    </row>
    <row r="18660">
      <c r="D18660" s="185"/>
      <c r="E18660" s="185" t="s">
        <v>470</v>
      </c>
      <c r="H18660" s="185"/>
    </row>
    <row r="18661">
      <c r="D18661" s="185"/>
      <c r="E18661" s="185" t="s">
        <v>470</v>
      </c>
      <c r="H18661" s="185"/>
    </row>
    <row r="18662">
      <c r="D18662" s="185"/>
      <c r="E18662" s="185" t="s">
        <v>470</v>
      </c>
      <c r="H18662" s="185"/>
    </row>
    <row r="18663">
      <c r="D18663" s="185"/>
      <c r="E18663" s="185" t="s">
        <v>470</v>
      </c>
      <c r="H18663" s="185"/>
    </row>
    <row r="18664">
      <c r="D18664" s="185"/>
      <c r="E18664" s="185" t="s">
        <v>470</v>
      </c>
      <c r="H18664" s="185"/>
    </row>
    <row r="18665">
      <c r="D18665" s="185"/>
      <c r="E18665" s="185" t="s">
        <v>470</v>
      </c>
      <c r="H18665" s="185"/>
    </row>
    <row r="18666">
      <c r="D18666" s="185"/>
      <c r="E18666" s="185" t="s">
        <v>470</v>
      </c>
      <c r="H18666" s="185"/>
    </row>
    <row r="18667">
      <c r="D18667" s="185"/>
      <c r="E18667" s="185" t="s">
        <v>470</v>
      </c>
      <c r="H18667" s="185"/>
    </row>
    <row r="18668">
      <c r="D18668" s="185"/>
      <c r="E18668" s="185" t="s">
        <v>470</v>
      </c>
      <c r="H18668" s="185"/>
    </row>
    <row r="18669">
      <c r="D18669" s="185"/>
      <c r="E18669" s="185" t="s">
        <v>470</v>
      </c>
      <c r="H18669" s="185"/>
    </row>
    <row r="18670">
      <c r="D18670" s="185"/>
      <c r="E18670" s="185" t="s">
        <v>470</v>
      </c>
      <c r="H18670" s="185"/>
    </row>
    <row r="18671">
      <c r="D18671" s="185"/>
      <c r="E18671" s="185" t="s">
        <v>470</v>
      </c>
      <c r="H18671" s="185"/>
    </row>
    <row r="18672">
      <c r="D18672" s="185"/>
      <c r="E18672" s="185" t="s">
        <v>470</v>
      </c>
      <c r="H18672" s="185"/>
    </row>
    <row r="18673">
      <c r="D18673" s="185"/>
      <c r="E18673" s="185" t="s">
        <v>470</v>
      </c>
      <c r="H18673" s="185"/>
    </row>
    <row r="18674">
      <c r="D18674" s="185"/>
      <c r="E18674" s="185" t="s">
        <v>470</v>
      </c>
      <c r="H18674" s="185"/>
    </row>
    <row r="18675">
      <c r="D18675" s="185"/>
      <c r="E18675" s="185" t="s">
        <v>470</v>
      </c>
      <c r="H18675" s="185"/>
    </row>
    <row r="18676">
      <c r="D18676" s="185"/>
      <c r="E18676" s="185" t="s">
        <v>470</v>
      </c>
      <c r="H18676" s="185"/>
    </row>
    <row r="18677">
      <c r="D18677" s="185"/>
      <c r="E18677" s="185" t="s">
        <v>470</v>
      </c>
      <c r="H18677" s="185"/>
    </row>
    <row r="18678">
      <c r="D18678" s="185"/>
      <c r="E18678" s="185" t="s">
        <v>470</v>
      </c>
      <c r="H18678" s="185"/>
    </row>
    <row r="18679">
      <c r="D18679" s="185"/>
      <c r="E18679" s="185" t="s">
        <v>470</v>
      </c>
      <c r="H18679" s="185"/>
    </row>
    <row r="18680">
      <c r="D18680" s="185"/>
      <c r="E18680" s="185" t="s">
        <v>470</v>
      </c>
      <c r="H18680" s="185"/>
    </row>
    <row r="18681">
      <c r="D18681" s="185"/>
      <c r="E18681" s="185" t="s">
        <v>470</v>
      </c>
      <c r="H18681" s="185"/>
    </row>
    <row r="18682">
      <c r="D18682" s="185"/>
      <c r="E18682" s="185" t="s">
        <v>470</v>
      </c>
      <c r="H18682" s="185"/>
    </row>
    <row r="18683">
      <c r="D18683" s="185"/>
      <c r="E18683" s="185" t="s">
        <v>470</v>
      </c>
      <c r="H18683" s="185"/>
    </row>
    <row r="18684">
      <c r="D18684" s="185"/>
      <c r="E18684" s="185" t="s">
        <v>470</v>
      </c>
      <c r="H18684" s="185"/>
    </row>
    <row r="18685">
      <c r="D18685" s="185"/>
      <c r="E18685" s="185" t="s">
        <v>470</v>
      </c>
      <c r="H18685" s="185"/>
    </row>
    <row r="18686">
      <c r="D18686" s="185"/>
      <c r="E18686" s="185" t="s">
        <v>470</v>
      </c>
      <c r="H18686" s="185"/>
    </row>
    <row r="18687">
      <c r="D18687" s="185"/>
      <c r="E18687" s="185" t="s">
        <v>470</v>
      </c>
      <c r="H18687" s="185"/>
    </row>
    <row r="18688">
      <c r="D18688" s="185"/>
      <c r="E18688" s="185" t="s">
        <v>470</v>
      </c>
      <c r="H18688" s="185"/>
    </row>
    <row r="18689">
      <c r="D18689" s="185"/>
      <c r="E18689" s="185" t="s">
        <v>470</v>
      </c>
      <c r="H18689" s="185"/>
    </row>
    <row r="18690">
      <c r="D18690" s="185"/>
      <c r="E18690" s="185" t="s">
        <v>470</v>
      </c>
      <c r="H18690" s="185"/>
    </row>
    <row r="18691">
      <c r="D18691" s="185"/>
      <c r="E18691" s="185" t="s">
        <v>470</v>
      </c>
      <c r="H18691" s="185"/>
    </row>
    <row r="18692">
      <c r="D18692" s="185"/>
      <c r="E18692" s="185" t="s">
        <v>470</v>
      </c>
      <c r="H18692" s="185"/>
    </row>
    <row r="18693">
      <c r="D18693" s="185"/>
      <c r="E18693" s="185" t="s">
        <v>470</v>
      </c>
      <c r="H18693" s="185"/>
    </row>
    <row r="18694">
      <c r="D18694" s="185"/>
      <c r="E18694" s="185" t="s">
        <v>470</v>
      </c>
      <c r="H18694" s="185"/>
    </row>
    <row r="18695">
      <c r="D18695" s="185"/>
      <c r="E18695" s="185" t="s">
        <v>470</v>
      </c>
      <c r="H18695" s="185"/>
    </row>
    <row r="18696">
      <c r="D18696" s="185"/>
      <c r="E18696" s="185" t="s">
        <v>470</v>
      </c>
      <c r="H18696" s="185"/>
    </row>
    <row r="18697">
      <c r="D18697" s="185"/>
      <c r="E18697" s="185" t="s">
        <v>470</v>
      </c>
      <c r="H18697" s="185"/>
    </row>
    <row r="18698">
      <c r="D18698" s="185"/>
      <c r="E18698" s="185" t="s">
        <v>470</v>
      </c>
      <c r="H18698" s="185"/>
    </row>
    <row r="18699">
      <c r="D18699" s="185"/>
      <c r="E18699" s="185" t="s">
        <v>470</v>
      </c>
      <c r="H18699" s="185"/>
    </row>
    <row r="18700">
      <c r="D18700" s="185"/>
      <c r="E18700" s="185" t="s">
        <v>470</v>
      </c>
      <c r="H18700" s="185"/>
    </row>
    <row r="18701">
      <c r="D18701" s="185"/>
      <c r="E18701" s="185" t="s">
        <v>470</v>
      </c>
      <c r="H18701" s="185"/>
    </row>
    <row r="18702">
      <c r="D18702" s="185"/>
      <c r="E18702" s="185" t="s">
        <v>470</v>
      </c>
      <c r="H18702" s="185"/>
    </row>
    <row r="18703">
      <c r="D18703" s="185"/>
      <c r="E18703" s="185" t="s">
        <v>470</v>
      </c>
      <c r="H18703" s="185"/>
    </row>
    <row r="18704">
      <c r="D18704" s="185"/>
      <c r="E18704" s="185" t="s">
        <v>470</v>
      </c>
      <c r="H18704" s="185"/>
    </row>
    <row r="18705">
      <c r="D18705" s="185"/>
      <c r="E18705" s="185" t="s">
        <v>470</v>
      </c>
      <c r="H18705" s="185"/>
    </row>
    <row r="18706">
      <c r="D18706" s="185"/>
      <c r="E18706" s="185" t="s">
        <v>470</v>
      </c>
      <c r="H18706" s="185"/>
    </row>
    <row r="18707">
      <c r="D18707" s="185"/>
      <c r="E18707" s="185" t="s">
        <v>470</v>
      </c>
      <c r="H18707" s="185"/>
    </row>
    <row r="18708">
      <c r="D18708" s="185"/>
      <c r="E18708" s="185" t="s">
        <v>470</v>
      </c>
      <c r="H18708" s="185"/>
    </row>
    <row r="18709">
      <c r="D18709" s="185"/>
      <c r="E18709" s="185" t="s">
        <v>470</v>
      </c>
      <c r="H18709" s="185"/>
    </row>
    <row r="18710">
      <c r="D18710" s="185"/>
      <c r="E18710" s="185" t="s">
        <v>470</v>
      </c>
      <c r="H18710" s="185"/>
    </row>
    <row r="18711">
      <c r="D18711" s="185"/>
      <c r="E18711" s="185" t="s">
        <v>470</v>
      </c>
      <c r="H18711" s="185"/>
    </row>
    <row r="18712">
      <c r="D18712" s="185"/>
      <c r="E18712" s="185" t="s">
        <v>470</v>
      </c>
      <c r="H18712" s="185"/>
    </row>
    <row r="18713">
      <c r="D18713" s="185"/>
      <c r="E18713" s="185" t="s">
        <v>470</v>
      </c>
      <c r="H18713" s="185"/>
    </row>
    <row r="18714">
      <c r="D18714" s="185"/>
      <c r="E18714" s="185" t="s">
        <v>470</v>
      </c>
      <c r="H18714" s="185"/>
    </row>
    <row r="18715">
      <c r="D18715" s="185"/>
      <c r="E18715" s="185" t="s">
        <v>470</v>
      </c>
      <c r="H18715" s="185"/>
    </row>
    <row r="18716">
      <c r="D18716" s="185"/>
      <c r="E18716" s="185" t="s">
        <v>470</v>
      </c>
      <c r="H18716" s="185"/>
    </row>
    <row r="18717">
      <c r="D18717" s="185"/>
      <c r="E18717" s="185" t="s">
        <v>470</v>
      </c>
      <c r="H18717" s="185"/>
    </row>
    <row r="18718">
      <c r="D18718" s="185"/>
      <c r="E18718" s="185" t="s">
        <v>470</v>
      </c>
      <c r="H18718" s="185"/>
    </row>
    <row r="18719">
      <c r="D18719" s="185"/>
      <c r="E18719" s="185" t="s">
        <v>470</v>
      </c>
      <c r="H18719" s="185"/>
    </row>
    <row r="18720">
      <c r="D18720" s="185"/>
      <c r="E18720" s="185" t="s">
        <v>470</v>
      </c>
      <c r="H18720" s="185"/>
    </row>
    <row r="18721">
      <c r="D18721" s="185"/>
      <c r="E18721" s="185" t="s">
        <v>470</v>
      </c>
      <c r="H18721" s="185"/>
    </row>
    <row r="18722">
      <c r="D18722" s="185"/>
      <c r="E18722" s="185" t="s">
        <v>470</v>
      </c>
      <c r="H18722" s="185"/>
    </row>
    <row r="18723">
      <c r="D18723" s="185"/>
      <c r="E18723" s="185" t="s">
        <v>470</v>
      </c>
      <c r="H18723" s="185"/>
    </row>
    <row r="18724">
      <c r="D18724" s="185"/>
      <c r="E18724" s="185" t="s">
        <v>470</v>
      </c>
      <c r="H18724" s="185"/>
    </row>
    <row r="18725">
      <c r="D18725" s="185"/>
      <c r="E18725" s="185" t="s">
        <v>470</v>
      </c>
      <c r="H18725" s="185"/>
    </row>
    <row r="18726">
      <c r="D18726" s="185"/>
      <c r="E18726" s="185" t="s">
        <v>470</v>
      </c>
      <c r="H18726" s="185"/>
    </row>
    <row r="18727">
      <c r="D18727" s="185"/>
      <c r="E18727" s="185" t="s">
        <v>470</v>
      </c>
      <c r="H18727" s="185"/>
    </row>
    <row r="18728">
      <c r="D18728" s="185"/>
      <c r="E18728" s="185" t="s">
        <v>470</v>
      </c>
      <c r="H18728" s="185"/>
    </row>
    <row r="18729">
      <c r="D18729" s="185"/>
      <c r="E18729" s="185" t="s">
        <v>470</v>
      </c>
      <c r="H18729" s="185"/>
    </row>
    <row r="18730">
      <c r="D18730" s="185"/>
      <c r="E18730" s="185" t="s">
        <v>470</v>
      </c>
      <c r="H18730" s="185"/>
    </row>
    <row r="18731">
      <c r="D18731" s="185"/>
      <c r="E18731" s="185" t="s">
        <v>470</v>
      </c>
      <c r="H18731" s="185"/>
    </row>
    <row r="18732">
      <c r="D18732" s="185"/>
      <c r="E18732" s="185" t="s">
        <v>470</v>
      </c>
      <c r="H18732" s="185"/>
    </row>
    <row r="18733">
      <c r="D18733" s="185"/>
      <c r="E18733" s="185" t="s">
        <v>470</v>
      </c>
      <c r="H18733" s="185"/>
    </row>
    <row r="18734">
      <c r="D18734" s="185"/>
      <c r="E18734" s="185" t="s">
        <v>470</v>
      </c>
      <c r="H18734" s="185"/>
    </row>
    <row r="18735">
      <c r="D18735" s="185"/>
      <c r="E18735" s="185" t="s">
        <v>470</v>
      </c>
      <c r="H18735" s="185"/>
    </row>
    <row r="18736">
      <c r="D18736" s="185"/>
      <c r="E18736" s="185" t="s">
        <v>470</v>
      </c>
      <c r="H18736" s="185"/>
    </row>
    <row r="18737">
      <c r="D18737" s="185"/>
      <c r="E18737" s="185" t="s">
        <v>470</v>
      </c>
      <c r="H18737" s="185"/>
    </row>
    <row r="18738">
      <c r="D18738" s="185"/>
      <c r="E18738" s="185" t="s">
        <v>470</v>
      </c>
      <c r="H18738" s="185"/>
    </row>
    <row r="18739">
      <c r="D18739" s="185"/>
      <c r="E18739" s="185" t="s">
        <v>470</v>
      </c>
      <c r="H18739" s="185"/>
    </row>
    <row r="18740">
      <c r="D18740" s="185"/>
      <c r="E18740" s="185" t="s">
        <v>470</v>
      </c>
      <c r="H18740" s="185"/>
    </row>
    <row r="18741">
      <c r="D18741" s="185"/>
      <c r="E18741" s="185" t="s">
        <v>470</v>
      </c>
      <c r="H18741" s="185"/>
    </row>
    <row r="18742">
      <c r="D18742" s="185"/>
      <c r="E18742" s="185" t="s">
        <v>470</v>
      </c>
      <c r="H18742" s="185"/>
    </row>
    <row r="18743">
      <c r="D18743" s="185"/>
      <c r="E18743" s="185" t="s">
        <v>470</v>
      </c>
      <c r="H18743" s="185"/>
    </row>
    <row r="18744">
      <c r="D18744" s="185"/>
      <c r="E18744" s="185" t="s">
        <v>470</v>
      </c>
      <c r="H18744" s="185"/>
    </row>
    <row r="18745">
      <c r="D18745" s="185"/>
      <c r="E18745" s="185" t="s">
        <v>470</v>
      </c>
      <c r="H18745" s="185"/>
    </row>
    <row r="18746">
      <c r="D18746" s="185"/>
      <c r="E18746" s="185" t="s">
        <v>470</v>
      </c>
      <c r="H18746" s="185"/>
    </row>
    <row r="18747">
      <c r="D18747" s="185"/>
      <c r="E18747" s="185" t="s">
        <v>470</v>
      </c>
      <c r="H18747" s="185"/>
    </row>
    <row r="18748">
      <c r="D18748" s="185"/>
      <c r="E18748" s="185" t="s">
        <v>470</v>
      </c>
      <c r="H18748" s="185"/>
    </row>
    <row r="18749">
      <c r="D18749" s="185"/>
      <c r="E18749" s="185" t="s">
        <v>470</v>
      </c>
      <c r="H18749" s="185"/>
    </row>
    <row r="18750">
      <c r="D18750" s="185"/>
      <c r="E18750" s="185" t="s">
        <v>470</v>
      </c>
      <c r="H18750" s="185"/>
    </row>
    <row r="18751">
      <c r="D18751" s="185"/>
      <c r="E18751" s="185" t="s">
        <v>470</v>
      </c>
      <c r="H18751" s="185"/>
    </row>
    <row r="18752">
      <c r="D18752" s="185"/>
      <c r="E18752" s="185" t="s">
        <v>470</v>
      </c>
      <c r="H18752" s="185"/>
    </row>
    <row r="18753">
      <c r="D18753" s="185"/>
      <c r="E18753" s="185" t="s">
        <v>470</v>
      </c>
      <c r="H18753" s="185"/>
    </row>
    <row r="18754">
      <c r="D18754" s="185"/>
      <c r="E18754" s="185" t="s">
        <v>470</v>
      </c>
      <c r="H18754" s="185"/>
    </row>
    <row r="18755">
      <c r="D18755" s="185"/>
      <c r="E18755" s="185" t="s">
        <v>470</v>
      </c>
      <c r="H18755" s="185"/>
    </row>
    <row r="18756">
      <c r="D18756" s="185"/>
      <c r="E18756" s="185" t="s">
        <v>470</v>
      </c>
      <c r="H18756" s="185"/>
    </row>
    <row r="18757">
      <c r="D18757" s="185"/>
      <c r="E18757" s="185" t="s">
        <v>470</v>
      </c>
      <c r="H18757" s="185"/>
    </row>
    <row r="18758">
      <c r="D18758" s="185"/>
      <c r="E18758" s="185" t="s">
        <v>470</v>
      </c>
      <c r="H18758" s="185"/>
    </row>
    <row r="18759">
      <c r="D18759" s="185"/>
      <c r="E18759" s="185" t="s">
        <v>470</v>
      </c>
      <c r="H18759" s="185"/>
    </row>
    <row r="18760">
      <c r="D18760" s="185"/>
      <c r="E18760" s="185" t="s">
        <v>470</v>
      </c>
      <c r="H18760" s="185"/>
    </row>
    <row r="18761">
      <c r="D18761" s="185"/>
      <c r="E18761" s="185" t="s">
        <v>470</v>
      </c>
      <c r="H18761" s="185"/>
    </row>
    <row r="18762">
      <c r="D18762" s="185"/>
      <c r="E18762" s="185" t="s">
        <v>470</v>
      </c>
      <c r="H18762" s="185"/>
    </row>
    <row r="18763">
      <c r="D18763" s="185"/>
      <c r="E18763" s="185" t="s">
        <v>470</v>
      </c>
      <c r="H18763" s="185"/>
    </row>
    <row r="18764">
      <c r="D18764" s="185"/>
      <c r="E18764" s="185" t="s">
        <v>470</v>
      </c>
      <c r="H18764" s="185"/>
    </row>
    <row r="18765">
      <c r="D18765" s="185"/>
      <c r="E18765" s="185" t="s">
        <v>470</v>
      </c>
      <c r="H18765" s="185"/>
    </row>
    <row r="18766">
      <c r="D18766" s="185"/>
      <c r="E18766" s="185" t="s">
        <v>470</v>
      </c>
      <c r="H18766" s="185"/>
    </row>
    <row r="18767">
      <c r="D18767" s="185"/>
      <c r="E18767" s="185" t="s">
        <v>470</v>
      </c>
      <c r="H18767" s="185"/>
    </row>
    <row r="18768">
      <c r="D18768" s="185"/>
      <c r="E18768" s="185" t="s">
        <v>470</v>
      </c>
      <c r="H18768" s="185"/>
    </row>
    <row r="18769">
      <c r="D18769" s="185"/>
      <c r="E18769" s="185" t="s">
        <v>470</v>
      </c>
      <c r="H18769" s="185"/>
    </row>
    <row r="18770">
      <c r="D18770" s="185"/>
      <c r="E18770" s="185" t="s">
        <v>470</v>
      </c>
      <c r="H18770" s="185"/>
    </row>
    <row r="18771">
      <c r="D18771" s="185"/>
      <c r="E18771" s="185" t="s">
        <v>470</v>
      </c>
      <c r="H18771" s="185"/>
    </row>
    <row r="18772">
      <c r="D18772" s="185"/>
      <c r="E18772" s="185" t="s">
        <v>470</v>
      </c>
      <c r="H18772" s="185"/>
    </row>
    <row r="18773">
      <c r="D18773" s="185"/>
      <c r="E18773" s="185" t="s">
        <v>470</v>
      </c>
      <c r="H18773" s="185"/>
    </row>
    <row r="18774">
      <c r="D18774" s="185"/>
      <c r="E18774" s="185" t="s">
        <v>470</v>
      </c>
      <c r="H18774" s="185"/>
    </row>
    <row r="18775">
      <c r="D18775" s="185"/>
      <c r="E18775" s="185" t="s">
        <v>470</v>
      </c>
      <c r="H18775" s="185"/>
    </row>
    <row r="18776">
      <c r="D18776" s="185"/>
      <c r="E18776" s="185" t="s">
        <v>470</v>
      </c>
      <c r="H18776" s="185"/>
    </row>
    <row r="18777">
      <c r="D18777" s="185"/>
      <c r="E18777" s="185" t="s">
        <v>470</v>
      </c>
      <c r="H18777" s="185"/>
    </row>
    <row r="18778">
      <c r="D18778" s="185"/>
      <c r="E18778" s="185" t="s">
        <v>470</v>
      </c>
      <c r="H18778" s="185"/>
    </row>
    <row r="18779">
      <c r="D18779" s="185"/>
      <c r="E18779" s="185" t="s">
        <v>470</v>
      </c>
      <c r="H18779" s="185"/>
    </row>
    <row r="18780">
      <c r="D18780" s="185"/>
      <c r="E18780" s="185" t="s">
        <v>470</v>
      </c>
      <c r="H18780" s="185"/>
    </row>
    <row r="18781">
      <c r="D18781" s="185"/>
      <c r="E18781" s="185" t="s">
        <v>470</v>
      </c>
      <c r="H18781" s="185"/>
    </row>
    <row r="18782">
      <c r="D18782" s="185"/>
      <c r="E18782" s="185" t="s">
        <v>470</v>
      </c>
      <c r="H18782" s="185"/>
    </row>
    <row r="18783">
      <c r="D18783" s="185"/>
      <c r="E18783" s="185" t="s">
        <v>470</v>
      </c>
      <c r="H18783" s="185"/>
    </row>
    <row r="18784">
      <c r="D18784" s="185"/>
      <c r="E18784" s="185" t="s">
        <v>470</v>
      </c>
      <c r="H18784" s="185"/>
    </row>
    <row r="18785">
      <c r="D18785" s="185"/>
      <c r="E18785" s="185" t="s">
        <v>470</v>
      </c>
      <c r="H18785" s="185"/>
    </row>
    <row r="18786">
      <c r="D18786" s="185"/>
      <c r="E18786" s="185" t="s">
        <v>470</v>
      </c>
      <c r="H18786" s="185"/>
    </row>
    <row r="18787">
      <c r="D18787" s="185"/>
      <c r="E18787" s="185" t="s">
        <v>470</v>
      </c>
      <c r="H18787" s="185"/>
    </row>
    <row r="18788">
      <c r="D18788" s="185"/>
      <c r="E18788" s="185" t="s">
        <v>470</v>
      </c>
      <c r="H18788" s="185"/>
    </row>
    <row r="18789">
      <c r="D18789" s="185"/>
      <c r="E18789" s="185" t="s">
        <v>470</v>
      </c>
      <c r="H18789" s="185"/>
    </row>
    <row r="18790">
      <c r="D18790" s="185"/>
      <c r="E18790" s="185" t="s">
        <v>470</v>
      </c>
      <c r="H18790" s="185"/>
    </row>
    <row r="18791">
      <c r="D18791" s="185"/>
      <c r="E18791" s="185" t="s">
        <v>470</v>
      </c>
      <c r="H18791" s="185"/>
    </row>
    <row r="18792">
      <c r="D18792" s="185"/>
      <c r="E18792" s="185" t="s">
        <v>470</v>
      </c>
      <c r="H18792" s="185"/>
    </row>
    <row r="18793">
      <c r="D18793" s="185"/>
      <c r="E18793" s="185" t="s">
        <v>470</v>
      </c>
      <c r="H18793" s="185"/>
    </row>
    <row r="18794">
      <c r="D18794" s="185"/>
      <c r="E18794" s="185" t="s">
        <v>470</v>
      </c>
      <c r="H18794" s="185"/>
    </row>
    <row r="18795">
      <c r="D18795" s="185"/>
      <c r="E18795" s="185" t="s">
        <v>470</v>
      </c>
      <c r="H18795" s="185"/>
    </row>
    <row r="18796">
      <c r="D18796" s="185"/>
      <c r="E18796" s="185" t="s">
        <v>470</v>
      </c>
      <c r="H18796" s="185"/>
    </row>
    <row r="18797">
      <c r="D18797" s="185"/>
      <c r="E18797" s="185" t="s">
        <v>470</v>
      </c>
      <c r="H18797" s="185"/>
    </row>
    <row r="18798">
      <c r="D18798" s="185"/>
      <c r="E18798" s="185" t="s">
        <v>470</v>
      </c>
      <c r="H18798" s="185"/>
    </row>
    <row r="18799">
      <c r="D18799" s="185"/>
      <c r="E18799" s="185" t="s">
        <v>470</v>
      </c>
      <c r="H18799" s="185"/>
    </row>
    <row r="18800">
      <c r="D18800" s="185"/>
      <c r="E18800" s="185" t="s">
        <v>470</v>
      </c>
      <c r="H18800" s="185"/>
    </row>
    <row r="18801">
      <c r="D18801" s="185"/>
      <c r="E18801" s="185" t="s">
        <v>470</v>
      </c>
      <c r="H18801" s="185"/>
    </row>
    <row r="18802">
      <c r="D18802" s="185"/>
      <c r="E18802" s="185" t="s">
        <v>470</v>
      </c>
      <c r="H18802" s="185"/>
    </row>
    <row r="18803">
      <c r="D18803" s="185"/>
      <c r="E18803" s="185" t="s">
        <v>470</v>
      </c>
      <c r="H18803" s="185"/>
    </row>
    <row r="18804">
      <c r="D18804" s="185"/>
      <c r="E18804" s="185" t="s">
        <v>470</v>
      </c>
      <c r="H18804" s="185"/>
    </row>
    <row r="18805">
      <c r="D18805" s="185"/>
      <c r="E18805" s="185" t="s">
        <v>470</v>
      </c>
      <c r="H18805" s="185"/>
    </row>
    <row r="18806">
      <c r="D18806" s="185"/>
      <c r="E18806" s="185" t="s">
        <v>470</v>
      </c>
      <c r="H18806" s="185"/>
    </row>
    <row r="18807">
      <c r="D18807" s="185"/>
      <c r="E18807" s="185" t="s">
        <v>470</v>
      </c>
      <c r="H18807" s="185"/>
    </row>
    <row r="18808">
      <c r="D18808" s="185"/>
      <c r="E18808" s="185" t="s">
        <v>470</v>
      </c>
      <c r="H18808" s="185"/>
    </row>
    <row r="18809">
      <c r="D18809" s="185"/>
      <c r="E18809" s="185" t="s">
        <v>470</v>
      </c>
      <c r="H18809" s="185"/>
    </row>
    <row r="18810">
      <c r="D18810" s="185"/>
      <c r="E18810" s="185" t="s">
        <v>470</v>
      </c>
      <c r="H18810" s="185"/>
    </row>
    <row r="18811">
      <c r="D18811" s="185"/>
      <c r="E18811" s="185" t="s">
        <v>470</v>
      </c>
      <c r="H18811" s="185"/>
    </row>
    <row r="18812">
      <c r="D18812" s="185"/>
      <c r="E18812" s="185" t="s">
        <v>470</v>
      </c>
      <c r="H18812" s="185"/>
    </row>
    <row r="18813">
      <c r="D18813" s="185"/>
      <c r="E18813" s="185" t="s">
        <v>470</v>
      </c>
      <c r="H18813" s="185"/>
    </row>
    <row r="18814">
      <c r="D18814" s="185"/>
      <c r="E18814" s="185" t="s">
        <v>470</v>
      </c>
      <c r="H18814" s="185"/>
    </row>
    <row r="18815">
      <c r="D18815" s="185"/>
      <c r="E18815" s="185" t="s">
        <v>470</v>
      </c>
      <c r="H18815" s="185"/>
    </row>
    <row r="18816">
      <c r="D18816" s="185"/>
      <c r="E18816" s="185" t="s">
        <v>470</v>
      </c>
      <c r="H18816" s="185"/>
    </row>
    <row r="18817">
      <c r="D18817" s="185"/>
      <c r="E18817" s="185" t="s">
        <v>470</v>
      </c>
      <c r="H18817" s="185"/>
    </row>
    <row r="18818">
      <c r="D18818" s="185"/>
      <c r="E18818" s="185" t="s">
        <v>470</v>
      </c>
      <c r="H18818" s="185"/>
    </row>
    <row r="18819">
      <c r="D18819" s="185"/>
      <c r="E18819" s="185" t="s">
        <v>470</v>
      </c>
      <c r="H18819" s="185"/>
    </row>
    <row r="18820">
      <c r="D18820" s="185"/>
      <c r="E18820" s="185" t="s">
        <v>470</v>
      </c>
      <c r="H18820" s="185"/>
    </row>
    <row r="18821">
      <c r="D18821" s="185"/>
      <c r="E18821" s="185" t="s">
        <v>470</v>
      </c>
      <c r="H18821" s="185"/>
    </row>
    <row r="18822">
      <c r="D18822" s="185"/>
      <c r="E18822" s="185" t="s">
        <v>470</v>
      </c>
      <c r="H18822" s="185"/>
    </row>
    <row r="18823">
      <c r="D18823" s="185"/>
      <c r="E18823" s="185" t="s">
        <v>470</v>
      </c>
      <c r="H18823" s="185"/>
    </row>
    <row r="18824">
      <c r="D18824" s="185"/>
      <c r="E18824" s="185" t="s">
        <v>470</v>
      </c>
      <c r="H18824" s="185"/>
    </row>
    <row r="18825">
      <c r="D18825" s="185"/>
      <c r="E18825" s="185" t="s">
        <v>470</v>
      </c>
      <c r="H18825" s="185"/>
    </row>
    <row r="18826">
      <c r="D18826" s="185"/>
      <c r="E18826" s="185" t="s">
        <v>470</v>
      </c>
      <c r="H18826" s="185"/>
    </row>
    <row r="18827">
      <c r="D18827" s="185"/>
      <c r="E18827" s="185" t="s">
        <v>470</v>
      </c>
      <c r="H18827" s="185"/>
    </row>
    <row r="18828">
      <c r="D18828" s="185"/>
      <c r="E18828" s="185" t="s">
        <v>470</v>
      </c>
      <c r="H18828" s="185"/>
    </row>
    <row r="18829">
      <c r="D18829" s="185"/>
      <c r="E18829" s="185" t="s">
        <v>470</v>
      </c>
      <c r="H18829" s="185"/>
    </row>
    <row r="18830">
      <c r="D18830" s="185"/>
      <c r="E18830" s="185" t="s">
        <v>470</v>
      </c>
      <c r="H18830" s="185"/>
    </row>
    <row r="18831">
      <c r="D18831" s="185"/>
      <c r="E18831" s="185" t="s">
        <v>470</v>
      </c>
      <c r="H18831" s="185"/>
    </row>
    <row r="18832">
      <c r="D18832" s="185"/>
      <c r="E18832" s="185" t="s">
        <v>470</v>
      </c>
      <c r="H18832" s="185"/>
    </row>
    <row r="18833">
      <c r="D18833" s="185"/>
      <c r="E18833" s="185" t="s">
        <v>470</v>
      </c>
      <c r="H18833" s="185"/>
    </row>
    <row r="18834">
      <c r="D18834" s="185"/>
      <c r="E18834" s="185" t="s">
        <v>470</v>
      </c>
      <c r="H18834" s="185"/>
    </row>
    <row r="18835">
      <c r="D18835" s="185"/>
      <c r="E18835" s="185" t="s">
        <v>470</v>
      </c>
      <c r="H18835" s="185"/>
    </row>
    <row r="18836">
      <c r="D18836" s="185"/>
      <c r="E18836" s="185" t="s">
        <v>470</v>
      </c>
      <c r="H18836" s="185"/>
    </row>
    <row r="18837">
      <c r="D18837" s="185"/>
      <c r="E18837" s="185" t="s">
        <v>470</v>
      </c>
      <c r="H18837" s="185"/>
    </row>
    <row r="18838">
      <c r="D18838" s="185"/>
      <c r="E18838" s="185" t="s">
        <v>470</v>
      </c>
      <c r="H18838" s="185"/>
    </row>
    <row r="18839">
      <c r="D18839" s="185"/>
      <c r="E18839" s="185" t="s">
        <v>470</v>
      </c>
      <c r="H18839" s="185"/>
    </row>
    <row r="18840">
      <c r="D18840" s="185"/>
      <c r="E18840" s="185" t="s">
        <v>470</v>
      </c>
      <c r="H18840" s="185"/>
    </row>
    <row r="18841">
      <c r="D18841" s="185"/>
      <c r="E18841" s="185" t="s">
        <v>470</v>
      </c>
      <c r="H18841" s="185"/>
    </row>
    <row r="18842">
      <c r="D18842" s="185"/>
      <c r="E18842" s="185" t="s">
        <v>470</v>
      </c>
      <c r="H18842" s="185"/>
    </row>
    <row r="18843">
      <c r="D18843" s="185"/>
      <c r="E18843" s="185" t="s">
        <v>470</v>
      </c>
      <c r="H18843" s="185"/>
    </row>
    <row r="18844">
      <c r="D18844" s="185"/>
      <c r="E18844" s="185" t="s">
        <v>470</v>
      </c>
      <c r="H18844" s="185"/>
    </row>
    <row r="18845">
      <c r="D18845" s="185"/>
      <c r="E18845" s="185" t="s">
        <v>470</v>
      </c>
      <c r="H18845" s="185"/>
    </row>
    <row r="18846">
      <c r="D18846" s="185"/>
      <c r="E18846" s="185" t="s">
        <v>470</v>
      </c>
      <c r="H18846" s="185"/>
    </row>
    <row r="18847">
      <c r="D18847" s="185"/>
      <c r="E18847" s="185" t="s">
        <v>470</v>
      </c>
      <c r="H18847" s="185"/>
    </row>
    <row r="18848">
      <c r="D18848" s="185"/>
      <c r="E18848" s="185" t="s">
        <v>470</v>
      </c>
      <c r="H18848" s="185"/>
    </row>
    <row r="18849">
      <c r="D18849" s="185"/>
      <c r="E18849" s="185" t="s">
        <v>470</v>
      </c>
      <c r="H18849" s="185"/>
    </row>
    <row r="18850">
      <c r="D18850" s="185"/>
      <c r="E18850" s="185" t="s">
        <v>470</v>
      </c>
      <c r="H18850" s="185"/>
    </row>
    <row r="18851">
      <c r="D18851" s="185"/>
      <c r="E18851" s="185" t="s">
        <v>470</v>
      </c>
      <c r="H18851" s="185"/>
    </row>
    <row r="18852">
      <c r="D18852" s="185"/>
      <c r="E18852" s="185" t="s">
        <v>470</v>
      </c>
      <c r="H18852" s="185"/>
    </row>
    <row r="18853">
      <c r="D18853" s="185"/>
      <c r="E18853" s="185" t="s">
        <v>470</v>
      </c>
      <c r="H18853" s="185"/>
    </row>
    <row r="18854">
      <c r="D18854" s="185"/>
      <c r="E18854" s="185" t="s">
        <v>470</v>
      </c>
      <c r="H18854" s="185"/>
    </row>
    <row r="18855">
      <c r="D18855" s="185"/>
      <c r="E18855" s="185" t="s">
        <v>470</v>
      </c>
      <c r="H18855" s="185"/>
    </row>
    <row r="18856">
      <c r="D18856" s="185"/>
      <c r="E18856" s="185" t="s">
        <v>470</v>
      </c>
      <c r="H18856" s="185"/>
    </row>
    <row r="18857">
      <c r="D18857" s="185"/>
      <c r="E18857" s="185" t="s">
        <v>470</v>
      </c>
      <c r="H18857" s="185"/>
    </row>
    <row r="18858">
      <c r="D18858" s="185"/>
      <c r="E18858" s="185" t="s">
        <v>470</v>
      </c>
      <c r="H18858" s="185"/>
    </row>
    <row r="18859">
      <c r="D18859" s="185"/>
      <c r="E18859" s="185" t="s">
        <v>470</v>
      </c>
      <c r="H18859" s="185"/>
    </row>
    <row r="18860">
      <c r="D18860" s="185"/>
      <c r="E18860" s="185" t="s">
        <v>470</v>
      </c>
      <c r="H18860" s="185"/>
    </row>
    <row r="18861">
      <c r="D18861" s="185"/>
      <c r="E18861" s="185" t="s">
        <v>470</v>
      </c>
      <c r="H18861" s="185"/>
    </row>
    <row r="18862">
      <c r="D18862" s="185"/>
      <c r="E18862" s="185" t="s">
        <v>470</v>
      </c>
      <c r="H18862" s="185"/>
    </row>
    <row r="18863">
      <c r="D18863" s="185"/>
      <c r="E18863" s="185" t="s">
        <v>470</v>
      </c>
      <c r="H18863" s="185"/>
    </row>
    <row r="18864">
      <c r="D18864" s="185"/>
      <c r="E18864" s="185" t="s">
        <v>470</v>
      </c>
      <c r="H18864" s="185"/>
    </row>
    <row r="18865">
      <c r="D18865" s="185"/>
      <c r="E18865" s="185" t="s">
        <v>470</v>
      </c>
      <c r="H18865" s="185"/>
    </row>
    <row r="18866">
      <c r="D18866" s="185"/>
      <c r="E18866" s="185" t="s">
        <v>470</v>
      </c>
      <c r="H18866" s="185"/>
    </row>
    <row r="18867">
      <c r="D18867" s="185"/>
      <c r="E18867" s="185" t="s">
        <v>470</v>
      </c>
      <c r="H18867" s="185"/>
    </row>
    <row r="18868">
      <c r="D18868" s="185"/>
      <c r="E18868" s="185" t="s">
        <v>470</v>
      </c>
      <c r="H18868" s="185"/>
    </row>
    <row r="18869">
      <c r="D18869" s="185"/>
      <c r="E18869" s="185" t="s">
        <v>470</v>
      </c>
      <c r="H18869" s="185"/>
    </row>
    <row r="18870">
      <c r="D18870" s="185"/>
      <c r="E18870" s="185" t="s">
        <v>470</v>
      </c>
      <c r="H18870" s="185"/>
    </row>
    <row r="18871">
      <c r="D18871" s="185"/>
      <c r="E18871" s="185" t="s">
        <v>470</v>
      </c>
      <c r="H18871" s="185"/>
    </row>
    <row r="18872">
      <c r="D18872" s="185"/>
      <c r="E18872" s="185" t="s">
        <v>470</v>
      </c>
      <c r="H18872" s="185"/>
    </row>
    <row r="18873">
      <c r="D18873" s="185"/>
      <c r="E18873" s="185" t="s">
        <v>470</v>
      </c>
      <c r="H18873" s="185"/>
    </row>
    <row r="18874">
      <c r="D18874" s="185"/>
      <c r="E18874" s="185" t="s">
        <v>470</v>
      </c>
      <c r="H18874" s="185"/>
    </row>
    <row r="18875">
      <c r="D18875" s="185"/>
      <c r="E18875" s="185" t="s">
        <v>470</v>
      </c>
      <c r="H18875" s="185"/>
    </row>
    <row r="18876">
      <c r="D18876" s="185"/>
      <c r="E18876" s="185" t="s">
        <v>470</v>
      </c>
      <c r="H18876" s="185"/>
    </row>
    <row r="18877">
      <c r="D18877" s="185"/>
      <c r="E18877" s="185" t="s">
        <v>470</v>
      </c>
      <c r="H18877" s="185"/>
    </row>
    <row r="18878">
      <c r="D18878" s="185"/>
      <c r="E18878" s="185" t="s">
        <v>470</v>
      </c>
      <c r="H18878" s="185"/>
    </row>
    <row r="18879">
      <c r="D18879" s="185"/>
      <c r="E18879" s="185" t="s">
        <v>470</v>
      </c>
      <c r="H18879" s="185"/>
    </row>
    <row r="18880">
      <c r="D18880" s="185"/>
      <c r="E18880" s="185" t="s">
        <v>470</v>
      </c>
      <c r="H18880" s="185"/>
    </row>
    <row r="18881">
      <c r="D18881" s="185"/>
      <c r="E18881" s="185" t="s">
        <v>470</v>
      </c>
      <c r="H18881" s="185"/>
    </row>
    <row r="18882">
      <c r="D18882" s="185"/>
      <c r="E18882" s="185" t="s">
        <v>470</v>
      </c>
      <c r="H18882" s="185"/>
    </row>
    <row r="18883">
      <c r="D18883" s="185"/>
      <c r="E18883" s="185" t="s">
        <v>470</v>
      </c>
      <c r="H18883" s="185"/>
    </row>
    <row r="18884">
      <c r="D18884" s="185"/>
      <c r="E18884" s="185" t="s">
        <v>470</v>
      </c>
      <c r="H18884" s="185"/>
    </row>
    <row r="18885">
      <c r="D18885" s="185"/>
      <c r="E18885" s="185" t="s">
        <v>470</v>
      </c>
      <c r="H18885" s="185"/>
    </row>
    <row r="18886">
      <c r="D18886" s="185"/>
      <c r="E18886" s="185" t="s">
        <v>470</v>
      </c>
      <c r="H18886" s="185"/>
    </row>
    <row r="18887">
      <c r="D18887" s="185"/>
      <c r="E18887" s="185" t="s">
        <v>470</v>
      </c>
      <c r="H18887" s="185"/>
    </row>
    <row r="18888">
      <c r="D18888" s="185"/>
      <c r="E18888" s="185" t="s">
        <v>470</v>
      </c>
      <c r="H18888" s="185"/>
    </row>
    <row r="18889">
      <c r="D18889" s="185"/>
      <c r="E18889" s="185" t="s">
        <v>470</v>
      </c>
      <c r="H18889" s="185"/>
    </row>
    <row r="18890">
      <c r="D18890" s="185"/>
      <c r="E18890" s="185" t="s">
        <v>470</v>
      </c>
      <c r="H18890" s="185"/>
    </row>
    <row r="18891">
      <c r="D18891" s="185"/>
      <c r="E18891" s="185" t="s">
        <v>470</v>
      </c>
      <c r="H18891" s="185"/>
    </row>
    <row r="18892">
      <c r="D18892" s="185"/>
      <c r="E18892" s="185" t="s">
        <v>470</v>
      </c>
      <c r="H18892" s="185"/>
    </row>
    <row r="18893">
      <c r="D18893" s="185"/>
      <c r="E18893" s="185" t="s">
        <v>470</v>
      </c>
      <c r="H18893" s="185"/>
    </row>
    <row r="18894">
      <c r="D18894" s="185"/>
      <c r="E18894" s="185" t="s">
        <v>470</v>
      </c>
      <c r="H18894" s="185"/>
    </row>
    <row r="18895">
      <c r="D18895" s="185"/>
      <c r="E18895" s="185" t="s">
        <v>470</v>
      </c>
      <c r="H18895" s="185"/>
    </row>
    <row r="18896">
      <c r="D18896" s="185"/>
      <c r="E18896" s="185" t="s">
        <v>470</v>
      </c>
      <c r="H18896" s="185"/>
    </row>
    <row r="18897">
      <c r="D18897" s="185"/>
      <c r="E18897" s="185" t="s">
        <v>470</v>
      </c>
      <c r="H18897" s="185"/>
    </row>
    <row r="18898">
      <c r="D18898" s="185"/>
      <c r="E18898" s="185" t="s">
        <v>470</v>
      </c>
      <c r="H18898" s="185"/>
    </row>
    <row r="18899">
      <c r="D18899" s="185"/>
      <c r="E18899" s="185" t="s">
        <v>470</v>
      </c>
      <c r="H18899" s="185"/>
    </row>
    <row r="18900">
      <c r="D18900" s="185"/>
      <c r="E18900" s="185" t="s">
        <v>470</v>
      </c>
      <c r="H18900" s="185"/>
    </row>
    <row r="18901">
      <c r="D18901" s="185"/>
      <c r="E18901" s="185" t="s">
        <v>470</v>
      </c>
      <c r="H18901" s="185"/>
    </row>
    <row r="18902">
      <c r="D18902" s="185"/>
      <c r="E18902" s="185" t="s">
        <v>470</v>
      </c>
      <c r="H18902" s="185"/>
    </row>
    <row r="18903">
      <c r="D18903" s="185"/>
      <c r="E18903" s="185" t="s">
        <v>470</v>
      </c>
      <c r="H18903" s="185"/>
    </row>
    <row r="18904">
      <c r="D18904" s="185"/>
      <c r="E18904" s="185" t="s">
        <v>470</v>
      </c>
      <c r="H18904" s="185"/>
    </row>
    <row r="18905">
      <c r="D18905" s="185"/>
      <c r="E18905" s="185" t="s">
        <v>470</v>
      </c>
      <c r="H18905" s="185"/>
    </row>
    <row r="18906">
      <c r="D18906" s="185"/>
      <c r="E18906" s="185" t="s">
        <v>470</v>
      </c>
      <c r="H18906" s="185"/>
    </row>
    <row r="18907">
      <c r="D18907" s="185"/>
      <c r="E18907" s="185" t="s">
        <v>470</v>
      </c>
      <c r="H18907" s="185"/>
    </row>
    <row r="18908">
      <c r="D18908" s="185"/>
      <c r="E18908" s="185" t="s">
        <v>470</v>
      </c>
      <c r="H18908" s="185"/>
    </row>
    <row r="18909">
      <c r="D18909" s="185"/>
      <c r="E18909" s="185" t="s">
        <v>470</v>
      </c>
      <c r="H18909" s="185"/>
    </row>
    <row r="18910">
      <c r="D18910" s="185"/>
      <c r="E18910" s="185" t="s">
        <v>470</v>
      </c>
      <c r="H18910" s="185"/>
    </row>
    <row r="18911">
      <c r="D18911" s="185"/>
      <c r="E18911" s="185" t="s">
        <v>470</v>
      </c>
      <c r="H18911" s="185"/>
    </row>
    <row r="18912">
      <c r="D18912" s="185"/>
      <c r="E18912" s="185" t="s">
        <v>470</v>
      </c>
      <c r="H18912" s="185"/>
    </row>
    <row r="18913">
      <c r="D18913" s="185"/>
      <c r="E18913" s="185" t="s">
        <v>470</v>
      </c>
      <c r="H18913" s="185"/>
    </row>
    <row r="18914">
      <c r="D18914" s="185"/>
      <c r="E18914" s="185" t="s">
        <v>470</v>
      </c>
      <c r="H18914" s="185"/>
    </row>
    <row r="18915">
      <c r="D18915" s="185"/>
      <c r="E18915" s="185" t="s">
        <v>470</v>
      </c>
      <c r="H18915" s="185"/>
    </row>
    <row r="18916">
      <c r="D18916" s="185"/>
      <c r="E18916" s="185" t="s">
        <v>470</v>
      </c>
      <c r="H18916" s="185"/>
    </row>
    <row r="18917">
      <c r="D18917" s="185"/>
      <c r="E18917" s="185" t="s">
        <v>470</v>
      </c>
      <c r="H18917" s="185"/>
    </row>
    <row r="18918">
      <c r="D18918" s="185"/>
      <c r="E18918" s="185" t="s">
        <v>470</v>
      </c>
      <c r="H18918" s="185"/>
    </row>
    <row r="18919">
      <c r="D18919" s="185"/>
      <c r="E18919" s="185" t="s">
        <v>470</v>
      </c>
      <c r="H18919" s="185"/>
    </row>
    <row r="18920">
      <c r="D18920" s="185"/>
      <c r="E18920" s="185" t="s">
        <v>470</v>
      </c>
      <c r="H18920" s="185"/>
    </row>
    <row r="18921">
      <c r="D18921" s="185"/>
      <c r="E18921" s="185" t="s">
        <v>470</v>
      </c>
      <c r="H18921" s="185"/>
    </row>
    <row r="18922">
      <c r="D18922" s="185"/>
      <c r="E18922" s="185" t="s">
        <v>470</v>
      </c>
      <c r="H18922" s="185"/>
    </row>
    <row r="18923">
      <c r="D18923" s="185"/>
      <c r="E18923" s="185" t="s">
        <v>470</v>
      </c>
      <c r="H18923" s="185"/>
    </row>
    <row r="18924">
      <c r="D18924" s="185"/>
      <c r="E18924" s="185" t="s">
        <v>470</v>
      </c>
      <c r="H18924" s="185"/>
    </row>
    <row r="18925">
      <c r="D18925" s="185"/>
      <c r="E18925" s="185" t="s">
        <v>470</v>
      </c>
      <c r="H18925" s="185"/>
    </row>
    <row r="18926">
      <c r="D18926" s="185"/>
      <c r="E18926" s="185" t="s">
        <v>470</v>
      </c>
      <c r="H18926" s="185"/>
    </row>
    <row r="18927">
      <c r="D18927" s="185"/>
      <c r="E18927" s="185" t="s">
        <v>470</v>
      </c>
      <c r="H18927" s="185"/>
    </row>
    <row r="18928">
      <c r="D18928" s="185"/>
      <c r="E18928" s="185" t="s">
        <v>470</v>
      </c>
      <c r="H18928" s="185"/>
    </row>
    <row r="18929">
      <c r="D18929" s="185"/>
      <c r="E18929" s="185" t="s">
        <v>470</v>
      </c>
      <c r="H18929" s="185"/>
    </row>
    <row r="18930">
      <c r="D18930" s="185"/>
      <c r="E18930" s="185" t="s">
        <v>470</v>
      </c>
      <c r="H18930" s="185"/>
    </row>
    <row r="18931">
      <c r="D18931" s="185"/>
      <c r="E18931" s="185" t="s">
        <v>470</v>
      </c>
      <c r="H18931" s="185"/>
    </row>
    <row r="18932">
      <c r="D18932" s="185"/>
      <c r="E18932" s="185" t="s">
        <v>470</v>
      </c>
      <c r="H18932" s="185"/>
    </row>
    <row r="18933">
      <c r="D18933" s="185"/>
      <c r="E18933" s="185" t="s">
        <v>470</v>
      </c>
      <c r="H18933" s="185"/>
    </row>
    <row r="18934">
      <c r="D18934" s="185"/>
      <c r="E18934" s="185" t="s">
        <v>470</v>
      </c>
      <c r="H18934" s="185"/>
    </row>
    <row r="18935">
      <c r="D18935" s="185"/>
      <c r="E18935" s="185" t="s">
        <v>470</v>
      </c>
      <c r="H18935" s="185"/>
    </row>
    <row r="18936">
      <c r="D18936" s="185"/>
      <c r="E18936" s="185" t="s">
        <v>470</v>
      </c>
      <c r="H18936" s="185"/>
    </row>
    <row r="18937">
      <c r="D18937" s="185"/>
      <c r="E18937" s="185" t="s">
        <v>470</v>
      </c>
      <c r="H18937" s="185"/>
    </row>
    <row r="18938">
      <c r="D18938" s="185"/>
      <c r="E18938" s="185" t="s">
        <v>470</v>
      </c>
      <c r="H18938" s="185"/>
    </row>
    <row r="18939">
      <c r="D18939" s="185"/>
      <c r="E18939" s="185" t="s">
        <v>470</v>
      </c>
      <c r="H18939" s="185"/>
    </row>
    <row r="18940">
      <c r="D18940" s="185"/>
      <c r="E18940" s="185" t="s">
        <v>470</v>
      </c>
      <c r="H18940" s="185"/>
    </row>
    <row r="18941">
      <c r="D18941" s="185"/>
      <c r="E18941" s="185" t="s">
        <v>470</v>
      </c>
      <c r="H18941" s="185"/>
    </row>
    <row r="18942">
      <c r="D18942" s="185"/>
      <c r="E18942" s="185" t="s">
        <v>470</v>
      </c>
      <c r="H18942" s="185"/>
    </row>
    <row r="18943">
      <c r="D18943" s="185"/>
      <c r="E18943" s="185" t="s">
        <v>470</v>
      </c>
      <c r="H18943" s="185"/>
    </row>
    <row r="18944">
      <c r="D18944" s="185"/>
      <c r="E18944" s="185" t="s">
        <v>470</v>
      </c>
      <c r="H18944" s="185"/>
    </row>
    <row r="18945">
      <c r="D18945" s="185"/>
      <c r="E18945" s="185" t="s">
        <v>470</v>
      </c>
      <c r="H18945" s="185"/>
    </row>
    <row r="18946">
      <c r="D18946" s="185"/>
      <c r="E18946" s="185" t="s">
        <v>470</v>
      </c>
      <c r="H18946" s="185"/>
    </row>
    <row r="18947">
      <c r="D18947" s="185"/>
      <c r="E18947" s="185" t="s">
        <v>470</v>
      </c>
      <c r="H18947" s="185"/>
    </row>
    <row r="18948">
      <c r="D18948" s="185"/>
      <c r="E18948" s="185" t="s">
        <v>470</v>
      </c>
      <c r="H18948" s="185"/>
    </row>
    <row r="18949">
      <c r="D18949" s="185"/>
      <c r="E18949" s="185" t="s">
        <v>470</v>
      </c>
      <c r="H18949" s="185"/>
    </row>
    <row r="18950">
      <c r="D18950" s="185"/>
      <c r="E18950" s="185" t="s">
        <v>470</v>
      </c>
      <c r="H18950" s="185"/>
    </row>
    <row r="18951">
      <c r="D18951" s="185"/>
      <c r="E18951" s="185" t="s">
        <v>470</v>
      </c>
      <c r="H18951" s="185"/>
    </row>
    <row r="18952">
      <c r="D18952" s="185"/>
      <c r="E18952" s="185" t="s">
        <v>470</v>
      </c>
      <c r="H18952" s="185"/>
    </row>
    <row r="18953">
      <c r="D18953" s="185"/>
      <c r="E18953" s="185" t="s">
        <v>470</v>
      </c>
      <c r="H18953" s="185"/>
    </row>
    <row r="18954">
      <c r="D18954" s="185"/>
      <c r="E18954" s="185" t="s">
        <v>470</v>
      </c>
      <c r="H18954" s="185"/>
    </row>
    <row r="18955">
      <c r="D18955" s="185"/>
      <c r="E18955" s="185" t="s">
        <v>470</v>
      </c>
      <c r="H18955" s="185"/>
    </row>
    <row r="18956">
      <c r="D18956" s="185"/>
      <c r="E18956" s="185" t="s">
        <v>470</v>
      </c>
      <c r="H18956" s="185"/>
    </row>
    <row r="18957">
      <c r="D18957" s="185"/>
      <c r="E18957" s="185" t="s">
        <v>470</v>
      </c>
      <c r="H18957" s="185"/>
    </row>
    <row r="18958">
      <c r="D18958" s="185"/>
      <c r="E18958" s="185" t="s">
        <v>470</v>
      </c>
      <c r="H18958" s="185"/>
    </row>
    <row r="18959">
      <c r="D18959" s="185"/>
      <c r="E18959" s="185" t="s">
        <v>470</v>
      </c>
      <c r="H18959" s="185"/>
    </row>
    <row r="18960">
      <c r="D18960" s="185"/>
      <c r="E18960" s="185" t="s">
        <v>470</v>
      </c>
      <c r="H18960" s="185"/>
    </row>
    <row r="18961">
      <c r="D18961" s="185"/>
      <c r="E18961" s="185" t="s">
        <v>470</v>
      </c>
      <c r="H18961" s="185"/>
    </row>
    <row r="18962">
      <c r="D18962" s="185"/>
      <c r="E18962" s="185" t="s">
        <v>470</v>
      </c>
      <c r="H18962" s="185"/>
    </row>
    <row r="18963">
      <c r="D18963" s="185"/>
      <c r="E18963" s="185" t="s">
        <v>470</v>
      </c>
      <c r="H18963" s="185"/>
    </row>
    <row r="18964">
      <c r="D18964" s="185"/>
      <c r="E18964" s="185" t="s">
        <v>470</v>
      </c>
      <c r="H18964" s="185"/>
    </row>
    <row r="18965">
      <c r="D18965" s="185"/>
      <c r="E18965" s="185" t="s">
        <v>470</v>
      </c>
      <c r="H18965" s="185"/>
    </row>
    <row r="18966">
      <c r="D18966" s="185"/>
      <c r="E18966" s="185" t="s">
        <v>470</v>
      </c>
      <c r="H18966" s="185"/>
    </row>
    <row r="18967">
      <c r="D18967" s="185"/>
      <c r="E18967" s="185" t="s">
        <v>470</v>
      </c>
      <c r="H18967" s="185"/>
    </row>
    <row r="18968">
      <c r="D18968" s="185"/>
      <c r="E18968" s="185" t="s">
        <v>470</v>
      </c>
      <c r="H18968" s="185"/>
    </row>
    <row r="18969">
      <c r="D18969" s="185"/>
      <c r="E18969" s="185" t="s">
        <v>470</v>
      </c>
      <c r="H18969" s="185"/>
    </row>
    <row r="18970">
      <c r="D18970" s="185"/>
      <c r="E18970" s="185" t="s">
        <v>470</v>
      </c>
      <c r="H18970" s="185"/>
    </row>
    <row r="18971">
      <c r="D18971" s="185"/>
      <c r="E18971" s="185" t="s">
        <v>470</v>
      </c>
      <c r="H18971" s="185"/>
    </row>
    <row r="18972">
      <c r="D18972" s="185"/>
      <c r="E18972" s="185" t="s">
        <v>470</v>
      </c>
      <c r="H18972" s="185"/>
    </row>
    <row r="18973">
      <c r="D18973" s="185"/>
      <c r="E18973" s="185" t="s">
        <v>470</v>
      </c>
      <c r="H18973" s="185"/>
    </row>
    <row r="18974">
      <c r="D18974" s="185"/>
      <c r="E18974" s="185" t="s">
        <v>470</v>
      </c>
      <c r="H18974" s="185"/>
    </row>
    <row r="18975">
      <c r="D18975" s="185"/>
      <c r="E18975" s="185" t="s">
        <v>470</v>
      </c>
      <c r="H18975" s="185"/>
    </row>
    <row r="18976">
      <c r="D18976" s="185"/>
      <c r="E18976" s="185" t="s">
        <v>470</v>
      </c>
      <c r="H18976" s="185"/>
    </row>
    <row r="18977">
      <c r="D18977" s="185"/>
      <c r="E18977" s="185" t="s">
        <v>470</v>
      </c>
      <c r="H18977" s="185"/>
    </row>
    <row r="18978">
      <c r="D18978" s="185"/>
      <c r="E18978" s="185" t="s">
        <v>470</v>
      </c>
      <c r="H18978" s="185"/>
    </row>
    <row r="18979">
      <c r="D18979" s="185"/>
      <c r="E18979" s="185" t="s">
        <v>470</v>
      </c>
      <c r="H18979" s="185"/>
    </row>
    <row r="18980">
      <c r="D18980" s="185"/>
      <c r="E18980" s="185" t="s">
        <v>470</v>
      </c>
      <c r="H18980" s="185"/>
    </row>
    <row r="18981">
      <c r="D18981" s="185"/>
      <c r="E18981" s="185" t="s">
        <v>470</v>
      </c>
      <c r="H18981" s="185"/>
    </row>
    <row r="18982">
      <c r="D18982" s="185"/>
      <c r="E18982" s="185" t="s">
        <v>470</v>
      </c>
      <c r="H18982" s="185"/>
    </row>
    <row r="18983">
      <c r="D18983" s="185"/>
      <c r="E18983" s="185" t="s">
        <v>470</v>
      </c>
      <c r="H18983" s="185"/>
    </row>
    <row r="18984">
      <c r="D18984" s="185"/>
      <c r="E18984" s="185" t="s">
        <v>470</v>
      </c>
      <c r="H18984" s="185"/>
    </row>
    <row r="18985">
      <c r="D18985" s="185"/>
      <c r="E18985" s="185" t="s">
        <v>470</v>
      </c>
      <c r="H18985" s="185"/>
    </row>
    <row r="18986">
      <c r="D18986" s="185"/>
      <c r="E18986" s="185" t="s">
        <v>470</v>
      </c>
      <c r="H18986" s="185"/>
    </row>
    <row r="18987">
      <c r="D18987" s="185"/>
      <c r="E18987" s="185" t="s">
        <v>470</v>
      </c>
      <c r="H18987" s="185"/>
    </row>
    <row r="18988">
      <c r="D18988" s="185"/>
      <c r="E18988" s="185" t="s">
        <v>470</v>
      </c>
      <c r="H18988" s="185"/>
    </row>
    <row r="18989">
      <c r="D18989" s="185"/>
      <c r="E18989" s="185" t="s">
        <v>470</v>
      </c>
      <c r="H18989" s="185"/>
    </row>
    <row r="18990">
      <c r="D18990" s="185"/>
      <c r="E18990" s="185" t="s">
        <v>470</v>
      </c>
      <c r="H18990" s="185"/>
    </row>
    <row r="18991">
      <c r="D18991" s="185"/>
      <c r="E18991" s="185" t="s">
        <v>470</v>
      </c>
      <c r="H18991" s="185"/>
    </row>
    <row r="18992">
      <c r="D18992" s="185"/>
      <c r="E18992" s="185" t="s">
        <v>470</v>
      </c>
      <c r="H18992" s="185"/>
    </row>
    <row r="18993">
      <c r="D18993" s="185"/>
      <c r="E18993" s="185" t="s">
        <v>470</v>
      </c>
      <c r="H18993" s="185"/>
    </row>
    <row r="18994">
      <c r="D18994" s="185"/>
      <c r="E18994" s="185" t="s">
        <v>470</v>
      </c>
      <c r="H18994" s="185"/>
    </row>
    <row r="18995">
      <c r="D18995" s="185"/>
      <c r="E18995" s="185" t="s">
        <v>470</v>
      </c>
      <c r="H18995" s="185"/>
    </row>
    <row r="18996">
      <c r="D18996" s="185"/>
      <c r="E18996" s="185" t="s">
        <v>470</v>
      </c>
      <c r="H18996" s="185"/>
    </row>
    <row r="18997">
      <c r="D18997" s="185"/>
      <c r="E18997" s="185" t="s">
        <v>470</v>
      </c>
      <c r="H18997" s="185"/>
    </row>
    <row r="18998">
      <c r="D18998" s="185"/>
      <c r="E18998" s="185" t="s">
        <v>470</v>
      </c>
      <c r="H18998" s="185"/>
    </row>
    <row r="18999">
      <c r="D18999" s="185"/>
      <c r="E18999" s="185" t="s">
        <v>470</v>
      </c>
      <c r="H18999" s="185"/>
    </row>
    <row r="19000">
      <c r="D19000" s="185"/>
      <c r="E19000" s="185" t="s">
        <v>470</v>
      </c>
      <c r="H19000" s="185"/>
    </row>
    <row r="19001">
      <c r="D19001" s="185"/>
      <c r="E19001" s="185" t="s">
        <v>470</v>
      </c>
      <c r="H19001" s="185"/>
    </row>
    <row r="19002">
      <c r="D19002" s="185"/>
      <c r="E19002" s="185" t="s">
        <v>470</v>
      </c>
      <c r="H19002" s="185"/>
    </row>
    <row r="19003">
      <c r="D19003" s="185"/>
      <c r="E19003" s="185" t="s">
        <v>470</v>
      </c>
      <c r="H19003" s="185"/>
    </row>
    <row r="19004">
      <c r="D19004" s="185"/>
      <c r="E19004" s="185" t="s">
        <v>470</v>
      </c>
      <c r="H19004" s="185"/>
    </row>
    <row r="19005">
      <c r="D19005" s="185"/>
      <c r="E19005" s="185" t="s">
        <v>470</v>
      </c>
      <c r="H19005" s="185"/>
    </row>
    <row r="19006">
      <c r="D19006" s="185"/>
      <c r="E19006" s="185" t="s">
        <v>470</v>
      </c>
      <c r="H19006" s="185"/>
    </row>
    <row r="19007">
      <c r="D19007" s="185"/>
      <c r="E19007" s="185" t="s">
        <v>470</v>
      </c>
      <c r="H19007" s="185"/>
    </row>
    <row r="19008">
      <c r="D19008" s="185"/>
      <c r="E19008" s="185" t="s">
        <v>470</v>
      </c>
      <c r="H19008" s="185"/>
    </row>
    <row r="19009">
      <c r="D19009" s="185"/>
      <c r="E19009" s="185" t="s">
        <v>470</v>
      </c>
      <c r="H19009" s="185"/>
    </row>
    <row r="19010">
      <c r="D19010" s="185"/>
      <c r="E19010" s="185" t="s">
        <v>470</v>
      </c>
      <c r="H19010" s="185"/>
    </row>
    <row r="19011">
      <c r="D19011" s="185"/>
      <c r="E19011" s="185" t="s">
        <v>470</v>
      </c>
      <c r="H19011" s="185"/>
    </row>
    <row r="19012">
      <c r="D19012" s="185"/>
      <c r="E19012" s="185" t="s">
        <v>470</v>
      </c>
      <c r="H19012" s="185"/>
    </row>
    <row r="19013">
      <c r="D19013" s="185"/>
      <c r="E19013" s="185" t="s">
        <v>470</v>
      </c>
      <c r="H19013" s="185"/>
    </row>
    <row r="19014">
      <c r="D19014" s="185"/>
      <c r="E19014" s="185" t="s">
        <v>470</v>
      </c>
      <c r="H19014" s="185"/>
    </row>
    <row r="19015">
      <c r="D19015" s="185"/>
      <c r="E19015" s="185" t="s">
        <v>470</v>
      </c>
      <c r="H19015" s="185"/>
    </row>
    <row r="19016">
      <c r="D19016" s="185"/>
      <c r="E19016" s="185" t="s">
        <v>470</v>
      </c>
      <c r="H19016" s="185"/>
    </row>
    <row r="19017">
      <c r="D19017" s="185"/>
      <c r="E19017" s="185" t="s">
        <v>470</v>
      </c>
      <c r="H19017" s="185"/>
    </row>
    <row r="19018">
      <c r="D19018" s="185"/>
      <c r="E19018" s="185" t="s">
        <v>470</v>
      </c>
      <c r="H19018" s="185"/>
    </row>
    <row r="19019">
      <c r="D19019" s="185"/>
      <c r="E19019" s="185" t="s">
        <v>470</v>
      </c>
      <c r="H19019" s="185"/>
    </row>
    <row r="19020">
      <c r="D19020" s="185"/>
      <c r="E19020" s="185" t="s">
        <v>470</v>
      </c>
      <c r="H19020" s="185"/>
    </row>
    <row r="19021">
      <c r="D19021" s="185"/>
      <c r="E19021" s="185" t="s">
        <v>470</v>
      </c>
      <c r="H19021" s="185"/>
    </row>
    <row r="19022">
      <c r="D19022" s="185"/>
      <c r="E19022" s="185" t="s">
        <v>470</v>
      </c>
      <c r="H19022" s="185"/>
    </row>
    <row r="19023">
      <c r="D19023" s="185"/>
      <c r="E19023" s="185" t="s">
        <v>470</v>
      </c>
      <c r="H19023" s="185"/>
    </row>
    <row r="19024">
      <c r="D19024" s="185"/>
      <c r="E19024" s="185" t="s">
        <v>470</v>
      </c>
      <c r="H19024" s="185"/>
    </row>
    <row r="19025">
      <c r="D19025" s="185"/>
      <c r="E19025" s="185" t="s">
        <v>470</v>
      </c>
      <c r="H19025" s="185"/>
    </row>
    <row r="19026">
      <c r="D19026" s="185"/>
      <c r="E19026" s="185" t="s">
        <v>470</v>
      </c>
      <c r="H19026" s="185"/>
    </row>
    <row r="19027">
      <c r="D19027" s="185"/>
      <c r="E19027" s="185" t="s">
        <v>470</v>
      </c>
      <c r="H19027" s="185"/>
    </row>
    <row r="19028">
      <c r="D19028" s="185"/>
      <c r="E19028" s="185" t="s">
        <v>470</v>
      </c>
      <c r="H19028" s="185"/>
    </row>
    <row r="19029">
      <c r="D19029" s="185"/>
      <c r="E19029" s="185" t="s">
        <v>470</v>
      </c>
      <c r="H19029" s="185"/>
    </row>
    <row r="19030">
      <c r="D19030" s="185"/>
      <c r="E19030" s="185" t="s">
        <v>470</v>
      </c>
      <c r="H19030" s="185"/>
    </row>
    <row r="19031">
      <c r="D19031" s="185"/>
      <c r="E19031" s="185" t="s">
        <v>470</v>
      </c>
      <c r="H19031" s="185"/>
    </row>
    <row r="19032">
      <c r="D19032" s="185"/>
      <c r="E19032" s="185" t="s">
        <v>470</v>
      </c>
      <c r="H19032" s="185"/>
    </row>
    <row r="19033">
      <c r="D19033" s="185"/>
      <c r="E19033" s="185" t="s">
        <v>470</v>
      </c>
      <c r="H19033" s="185"/>
    </row>
    <row r="19034">
      <c r="D19034" s="185"/>
      <c r="E19034" s="185" t="s">
        <v>470</v>
      </c>
      <c r="H19034" s="185"/>
    </row>
    <row r="19035">
      <c r="D19035" s="185"/>
      <c r="E19035" s="185" t="s">
        <v>470</v>
      </c>
      <c r="H19035" s="185"/>
    </row>
    <row r="19036">
      <c r="D19036" s="185"/>
      <c r="E19036" s="185" t="s">
        <v>470</v>
      </c>
      <c r="H19036" s="185"/>
    </row>
    <row r="19037">
      <c r="D19037" s="185"/>
      <c r="E19037" s="185" t="s">
        <v>470</v>
      </c>
      <c r="H19037" s="185"/>
    </row>
    <row r="19038">
      <c r="D19038" s="185"/>
      <c r="E19038" s="185" t="s">
        <v>470</v>
      </c>
      <c r="H19038" s="185"/>
    </row>
    <row r="19039">
      <c r="D19039" s="185"/>
      <c r="E19039" s="185" t="s">
        <v>470</v>
      </c>
      <c r="H19039" s="185"/>
    </row>
    <row r="19040">
      <c r="D19040" s="185"/>
      <c r="E19040" s="185" t="s">
        <v>470</v>
      </c>
      <c r="H19040" s="185"/>
    </row>
    <row r="19041">
      <c r="D19041" s="185"/>
      <c r="E19041" s="185" t="s">
        <v>470</v>
      </c>
      <c r="H19041" s="185"/>
    </row>
    <row r="19042">
      <c r="D19042" s="185"/>
      <c r="E19042" s="185" t="s">
        <v>470</v>
      </c>
      <c r="H19042" s="185"/>
    </row>
    <row r="19043">
      <c r="D19043" s="185"/>
      <c r="E19043" s="185" t="s">
        <v>470</v>
      </c>
      <c r="H19043" s="185"/>
    </row>
    <row r="19044">
      <c r="D19044" s="185"/>
      <c r="E19044" s="185" t="s">
        <v>470</v>
      </c>
      <c r="H19044" s="185"/>
    </row>
    <row r="19045">
      <c r="D19045" s="185"/>
      <c r="E19045" s="185" t="s">
        <v>470</v>
      </c>
      <c r="H19045" s="185"/>
    </row>
    <row r="19046">
      <c r="D19046" s="185"/>
      <c r="E19046" s="185" t="s">
        <v>470</v>
      </c>
      <c r="H19046" s="185"/>
    </row>
    <row r="19047">
      <c r="D19047" s="185"/>
      <c r="E19047" s="185" t="s">
        <v>470</v>
      </c>
      <c r="H19047" s="185"/>
    </row>
    <row r="19048">
      <c r="D19048" s="185"/>
      <c r="E19048" s="185" t="s">
        <v>470</v>
      </c>
      <c r="H19048" s="185"/>
    </row>
    <row r="19049">
      <c r="D19049" s="185"/>
      <c r="E19049" s="185" t="s">
        <v>470</v>
      </c>
      <c r="H19049" s="185"/>
    </row>
    <row r="19050">
      <c r="D19050" s="185"/>
      <c r="E19050" s="185" t="s">
        <v>470</v>
      </c>
      <c r="H19050" s="185"/>
    </row>
    <row r="19051">
      <c r="D19051" s="185"/>
      <c r="E19051" s="185" t="s">
        <v>470</v>
      </c>
      <c r="H19051" s="185"/>
    </row>
    <row r="19052">
      <c r="D19052" s="185"/>
      <c r="E19052" s="185" t="s">
        <v>470</v>
      </c>
      <c r="H19052" s="185"/>
    </row>
    <row r="19053">
      <c r="D19053" s="185"/>
      <c r="E19053" s="185" t="s">
        <v>470</v>
      </c>
      <c r="H19053" s="185"/>
    </row>
    <row r="19054">
      <c r="D19054" s="185"/>
      <c r="E19054" s="185" t="s">
        <v>470</v>
      </c>
      <c r="H19054" s="185"/>
    </row>
    <row r="19055">
      <c r="D19055" s="185"/>
      <c r="E19055" s="185" t="s">
        <v>470</v>
      </c>
      <c r="H19055" s="185"/>
    </row>
    <row r="19056">
      <c r="D19056" s="185"/>
      <c r="E19056" s="185" t="s">
        <v>470</v>
      </c>
      <c r="H19056" s="185"/>
    </row>
    <row r="19057">
      <c r="D19057" s="185"/>
      <c r="E19057" s="185" t="s">
        <v>470</v>
      </c>
      <c r="H19057" s="185"/>
    </row>
    <row r="19058">
      <c r="D19058" s="185"/>
      <c r="E19058" s="185" t="s">
        <v>470</v>
      </c>
      <c r="H19058" s="185"/>
    </row>
    <row r="19059">
      <c r="D19059" s="185"/>
      <c r="E19059" s="185" t="s">
        <v>470</v>
      </c>
      <c r="H19059" s="185"/>
    </row>
    <row r="19060">
      <c r="D19060" s="185"/>
      <c r="E19060" s="185" t="s">
        <v>470</v>
      </c>
      <c r="H19060" s="185"/>
    </row>
    <row r="19061">
      <c r="D19061" s="185"/>
      <c r="E19061" s="185" t="s">
        <v>470</v>
      </c>
      <c r="H19061" s="185"/>
    </row>
    <row r="19062">
      <c r="D19062" s="185"/>
      <c r="E19062" s="185" t="s">
        <v>470</v>
      </c>
      <c r="H19062" s="185"/>
    </row>
    <row r="19063">
      <c r="D19063" s="185"/>
      <c r="E19063" s="185" t="s">
        <v>470</v>
      </c>
      <c r="H19063" s="185"/>
    </row>
    <row r="19064">
      <c r="D19064" s="185"/>
      <c r="E19064" s="185" t="s">
        <v>470</v>
      </c>
      <c r="H19064" s="185"/>
    </row>
    <row r="19065">
      <c r="D19065" s="185"/>
      <c r="E19065" s="185" t="s">
        <v>470</v>
      </c>
      <c r="H19065" s="185"/>
    </row>
    <row r="19066">
      <c r="D19066" s="185"/>
      <c r="E19066" s="185" t="s">
        <v>470</v>
      </c>
      <c r="H19066" s="185"/>
    </row>
    <row r="19067">
      <c r="D19067" s="185"/>
      <c r="E19067" s="185" t="s">
        <v>470</v>
      </c>
      <c r="H19067" s="185"/>
    </row>
    <row r="19068">
      <c r="D19068" s="185"/>
      <c r="E19068" s="185" t="s">
        <v>470</v>
      </c>
      <c r="H19068" s="185"/>
    </row>
    <row r="19069">
      <c r="D19069" s="185"/>
      <c r="E19069" s="185" t="s">
        <v>470</v>
      </c>
      <c r="H19069" s="185"/>
    </row>
    <row r="19070">
      <c r="D19070" s="185"/>
      <c r="E19070" s="185" t="s">
        <v>470</v>
      </c>
      <c r="H19070" s="185"/>
    </row>
    <row r="19071">
      <c r="D19071" s="185"/>
      <c r="E19071" s="185" t="s">
        <v>470</v>
      </c>
      <c r="H19071" s="185"/>
    </row>
    <row r="19072">
      <c r="D19072" s="185"/>
      <c r="E19072" s="185" t="s">
        <v>470</v>
      </c>
      <c r="H19072" s="185"/>
    </row>
    <row r="19073">
      <c r="D19073" s="185"/>
      <c r="E19073" s="185" t="s">
        <v>470</v>
      </c>
      <c r="H19073" s="185"/>
    </row>
    <row r="19074">
      <c r="D19074" s="185"/>
      <c r="E19074" s="185" t="s">
        <v>470</v>
      </c>
      <c r="H19074" s="185"/>
    </row>
    <row r="19075">
      <c r="D19075" s="185"/>
      <c r="E19075" s="185" t="s">
        <v>470</v>
      </c>
      <c r="H19075" s="185"/>
    </row>
    <row r="19076">
      <c r="D19076" s="185"/>
      <c r="E19076" s="185" t="s">
        <v>470</v>
      </c>
      <c r="H19076" s="185"/>
    </row>
    <row r="19077">
      <c r="D19077" s="185"/>
      <c r="E19077" s="185" t="s">
        <v>470</v>
      </c>
      <c r="H19077" s="185"/>
    </row>
    <row r="19078">
      <c r="D19078" s="185"/>
      <c r="E19078" s="185" t="s">
        <v>470</v>
      </c>
      <c r="H19078" s="185"/>
    </row>
    <row r="19079">
      <c r="D19079" s="185"/>
      <c r="E19079" s="185" t="s">
        <v>470</v>
      </c>
      <c r="H19079" s="185"/>
    </row>
    <row r="19080">
      <c r="D19080" s="185"/>
      <c r="E19080" s="185" t="s">
        <v>470</v>
      </c>
      <c r="H19080" s="185"/>
    </row>
    <row r="19081">
      <c r="D19081" s="185"/>
      <c r="E19081" s="185" t="s">
        <v>470</v>
      </c>
      <c r="H19081" s="185"/>
    </row>
    <row r="19082">
      <c r="D19082" s="185"/>
      <c r="E19082" s="185" t="s">
        <v>470</v>
      </c>
      <c r="H19082" s="185"/>
    </row>
    <row r="19083">
      <c r="D19083" s="185"/>
      <c r="E19083" s="185" t="s">
        <v>470</v>
      </c>
      <c r="H19083" s="185"/>
    </row>
    <row r="19084">
      <c r="D19084" s="185"/>
      <c r="E19084" s="185" t="s">
        <v>470</v>
      </c>
      <c r="H19084" s="185"/>
    </row>
    <row r="19085">
      <c r="D19085" s="185"/>
      <c r="E19085" s="185" t="s">
        <v>470</v>
      </c>
      <c r="H19085" s="185"/>
    </row>
    <row r="19086">
      <c r="D19086" s="185"/>
      <c r="E19086" s="185" t="s">
        <v>470</v>
      </c>
      <c r="H19086" s="185"/>
    </row>
    <row r="19087">
      <c r="D19087" s="185"/>
      <c r="E19087" s="185" t="s">
        <v>470</v>
      </c>
      <c r="H19087" s="185"/>
    </row>
    <row r="19088">
      <c r="D19088" s="185"/>
      <c r="E19088" s="185" t="s">
        <v>470</v>
      </c>
      <c r="H19088" s="185"/>
    </row>
    <row r="19089">
      <c r="D19089" s="185"/>
      <c r="E19089" s="185" t="s">
        <v>470</v>
      </c>
      <c r="H19089" s="185"/>
    </row>
    <row r="19090">
      <c r="D19090" s="185"/>
      <c r="E19090" s="185" t="s">
        <v>470</v>
      </c>
      <c r="H19090" s="185"/>
    </row>
    <row r="19091">
      <c r="D19091" s="185"/>
      <c r="E19091" s="185" t="s">
        <v>470</v>
      </c>
      <c r="H19091" s="185"/>
    </row>
    <row r="19092">
      <c r="D19092" s="185"/>
      <c r="E19092" s="185" t="s">
        <v>470</v>
      </c>
      <c r="H19092" s="185"/>
    </row>
    <row r="19093">
      <c r="D19093" s="185"/>
      <c r="E19093" s="185" t="s">
        <v>470</v>
      </c>
      <c r="H19093" s="185"/>
    </row>
    <row r="19094">
      <c r="D19094" s="185"/>
      <c r="E19094" s="185" t="s">
        <v>470</v>
      </c>
      <c r="H19094" s="185"/>
    </row>
    <row r="19095">
      <c r="D19095" s="185"/>
      <c r="E19095" s="185" t="s">
        <v>470</v>
      </c>
      <c r="H19095" s="185"/>
    </row>
    <row r="19096">
      <c r="D19096" s="185"/>
      <c r="E19096" s="185" t="s">
        <v>470</v>
      </c>
      <c r="H19096" s="185"/>
    </row>
    <row r="19097">
      <c r="D19097" s="185"/>
      <c r="E19097" s="185" t="s">
        <v>470</v>
      </c>
      <c r="H19097" s="185"/>
    </row>
    <row r="19098">
      <c r="D19098" s="185"/>
      <c r="E19098" s="185" t="s">
        <v>470</v>
      </c>
      <c r="H19098" s="185"/>
    </row>
    <row r="19099">
      <c r="D19099" s="185"/>
      <c r="E19099" s="185" t="s">
        <v>470</v>
      </c>
      <c r="H19099" s="185"/>
    </row>
    <row r="19100">
      <c r="D19100" s="185"/>
      <c r="E19100" s="185" t="s">
        <v>470</v>
      </c>
      <c r="H19100" s="185"/>
    </row>
    <row r="19101">
      <c r="D19101" s="185"/>
      <c r="E19101" s="185" t="s">
        <v>470</v>
      </c>
      <c r="H19101" s="185"/>
    </row>
    <row r="19102">
      <c r="D19102" s="185"/>
      <c r="E19102" s="185" t="s">
        <v>470</v>
      </c>
      <c r="H19102" s="185"/>
    </row>
    <row r="19103">
      <c r="D19103" s="185"/>
      <c r="E19103" s="185" t="s">
        <v>470</v>
      </c>
      <c r="H19103" s="185"/>
    </row>
    <row r="19104">
      <c r="D19104" s="185"/>
      <c r="E19104" s="185" t="s">
        <v>470</v>
      </c>
      <c r="H19104" s="185"/>
    </row>
    <row r="19105">
      <c r="D19105" s="185"/>
      <c r="E19105" s="185" t="s">
        <v>470</v>
      </c>
      <c r="H19105" s="185"/>
    </row>
    <row r="19106">
      <c r="D19106" s="185"/>
      <c r="E19106" s="185" t="s">
        <v>470</v>
      </c>
      <c r="H19106" s="185"/>
    </row>
    <row r="19107">
      <c r="D19107" s="185"/>
      <c r="E19107" s="185" t="s">
        <v>470</v>
      </c>
      <c r="H19107" s="185"/>
    </row>
    <row r="19108">
      <c r="D19108" s="185"/>
      <c r="E19108" s="185" t="s">
        <v>470</v>
      </c>
      <c r="H19108" s="185"/>
    </row>
    <row r="19109">
      <c r="D19109" s="185"/>
      <c r="E19109" s="185" t="s">
        <v>470</v>
      </c>
      <c r="H19109" s="185"/>
    </row>
    <row r="19110">
      <c r="D19110" s="185"/>
      <c r="E19110" s="185" t="s">
        <v>470</v>
      </c>
      <c r="H19110" s="185"/>
    </row>
    <row r="19111">
      <c r="D19111" s="185"/>
      <c r="E19111" s="185" t="s">
        <v>470</v>
      </c>
      <c r="H19111" s="185"/>
    </row>
    <row r="19112">
      <c r="D19112" s="185"/>
      <c r="E19112" s="185" t="s">
        <v>470</v>
      </c>
      <c r="H19112" s="185"/>
    </row>
    <row r="19113">
      <c r="D19113" s="185"/>
      <c r="E19113" s="185" t="s">
        <v>470</v>
      </c>
      <c r="H19113" s="185"/>
    </row>
    <row r="19114">
      <c r="D19114" s="185"/>
      <c r="E19114" s="185" t="s">
        <v>470</v>
      </c>
      <c r="H19114" s="185"/>
    </row>
    <row r="19115">
      <c r="D19115" s="185"/>
      <c r="E19115" s="185" t="s">
        <v>470</v>
      </c>
      <c r="H19115" s="185"/>
    </row>
    <row r="19116">
      <c r="D19116" s="185"/>
      <c r="E19116" s="185" t="s">
        <v>470</v>
      </c>
      <c r="H19116" s="185"/>
    </row>
    <row r="19117">
      <c r="D19117" s="185"/>
      <c r="E19117" s="185" t="s">
        <v>470</v>
      </c>
      <c r="H19117" s="185"/>
    </row>
    <row r="19118">
      <c r="D19118" s="185"/>
      <c r="E19118" s="185" t="s">
        <v>470</v>
      </c>
      <c r="H19118" s="185"/>
    </row>
    <row r="19119">
      <c r="D19119" s="185"/>
      <c r="E19119" s="185" t="s">
        <v>470</v>
      </c>
      <c r="H19119" s="185"/>
    </row>
    <row r="19120">
      <c r="D19120" s="185"/>
      <c r="E19120" s="185" t="s">
        <v>470</v>
      </c>
      <c r="H19120" s="185"/>
    </row>
    <row r="19121">
      <c r="D19121" s="185"/>
      <c r="E19121" s="185" t="s">
        <v>470</v>
      </c>
      <c r="H19121" s="185"/>
    </row>
    <row r="19122">
      <c r="D19122" s="185"/>
      <c r="E19122" s="185" t="s">
        <v>470</v>
      </c>
      <c r="H19122" s="185"/>
    </row>
    <row r="19123">
      <c r="D19123" s="185"/>
      <c r="E19123" s="185" t="s">
        <v>470</v>
      </c>
      <c r="H19123" s="185"/>
    </row>
    <row r="19124">
      <c r="D19124" s="185"/>
      <c r="E19124" s="185" t="s">
        <v>470</v>
      </c>
      <c r="H19124" s="185"/>
    </row>
    <row r="19125">
      <c r="D19125" s="185"/>
      <c r="E19125" s="185" t="s">
        <v>470</v>
      </c>
      <c r="H19125" s="185"/>
    </row>
    <row r="19126">
      <c r="D19126" s="185"/>
      <c r="E19126" s="185" t="s">
        <v>470</v>
      </c>
      <c r="H19126" s="185"/>
    </row>
    <row r="19127">
      <c r="D19127" s="185"/>
      <c r="E19127" s="185" t="s">
        <v>470</v>
      </c>
      <c r="H19127" s="185"/>
    </row>
    <row r="19128">
      <c r="D19128" s="185"/>
      <c r="E19128" s="185" t="s">
        <v>470</v>
      </c>
      <c r="H19128" s="185"/>
    </row>
    <row r="19129">
      <c r="D19129" s="185"/>
      <c r="E19129" s="185" t="s">
        <v>470</v>
      </c>
      <c r="H19129" s="185"/>
    </row>
    <row r="19130">
      <c r="D19130" s="185"/>
      <c r="E19130" s="185" t="s">
        <v>470</v>
      </c>
      <c r="H19130" s="185"/>
    </row>
    <row r="19131">
      <c r="D19131" s="185"/>
      <c r="E19131" s="185" t="s">
        <v>470</v>
      </c>
      <c r="H19131" s="185"/>
    </row>
    <row r="19132">
      <c r="D19132" s="185"/>
      <c r="E19132" s="185" t="s">
        <v>470</v>
      </c>
      <c r="H19132" s="185"/>
    </row>
    <row r="19133">
      <c r="D19133" s="185"/>
      <c r="E19133" s="185" t="s">
        <v>470</v>
      </c>
      <c r="H19133" s="185"/>
    </row>
    <row r="19134">
      <c r="D19134" s="185"/>
      <c r="E19134" s="185" t="s">
        <v>470</v>
      </c>
      <c r="H19134" s="185"/>
    </row>
    <row r="19135">
      <c r="D19135" s="185"/>
      <c r="E19135" s="185" t="s">
        <v>470</v>
      </c>
      <c r="H19135" s="185"/>
    </row>
    <row r="19136">
      <c r="D19136" s="185"/>
      <c r="E19136" s="185" t="s">
        <v>470</v>
      </c>
      <c r="H19136" s="185"/>
    </row>
    <row r="19137">
      <c r="D19137" s="185"/>
      <c r="E19137" s="185" t="s">
        <v>470</v>
      </c>
      <c r="H19137" s="185"/>
    </row>
    <row r="19138">
      <c r="D19138" s="185"/>
      <c r="E19138" s="185" t="s">
        <v>470</v>
      </c>
      <c r="H19138" s="185"/>
    </row>
    <row r="19139">
      <c r="D19139" s="185"/>
      <c r="E19139" s="185" t="s">
        <v>470</v>
      </c>
      <c r="H19139" s="185"/>
    </row>
    <row r="19140">
      <c r="D19140" s="185"/>
      <c r="E19140" s="185" t="s">
        <v>470</v>
      </c>
      <c r="H19140" s="185"/>
    </row>
    <row r="19141">
      <c r="D19141" s="185"/>
      <c r="E19141" s="185" t="s">
        <v>470</v>
      </c>
      <c r="H19141" s="185"/>
    </row>
    <row r="19142">
      <c r="D19142" s="185"/>
      <c r="E19142" s="185" t="s">
        <v>470</v>
      </c>
      <c r="H19142" s="185"/>
    </row>
    <row r="19143">
      <c r="D19143" s="185"/>
      <c r="E19143" s="185" t="s">
        <v>470</v>
      </c>
      <c r="H19143" s="185"/>
    </row>
    <row r="19144">
      <c r="D19144" s="185"/>
      <c r="E19144" s="185" t="s">
        <v>470</v>
      </c>
      <c r="H19144" s="185"/>
    </row>
    <row r="19145">
      <c r="D19145" s="185"/>
      <c r="E19145" s="185" t="s">
        <v>470</v>
      </c>
      <c r="H19145" s="185"/>
    </row>
    <row r="19146">
      <c r="D19146" s="185"/>
      <c r="E19146" s="185" t="s">
        <v>470</v>
      </c>
      <c r="H19146" s="185"/>
    </row>
    <row r="19147">
      <c r="D19147" s="185"/>
      <c r="E19147" s="185" t="s">
        <v>470</v>
      </c>
      <c r="H19147" s="185"/>
    </row>
    <row r="19148">
      <c r="D19148" s="185"/>
      <c r="E19148" s="185" t="s">
        <v>470</v>
      </c>
      <c r="H19148" s="185"/>
    </row>
    <row r="19149">
      <c r="D19149" s="185"/>
      <c r="E19149" s="185" t="s">
        <v>470</v>
      </c>
      <c r="H19149" s="185"/>
    </row>
    <row r="19150">
      <c r="D19150" s="185"/>
      <c r="E19150" s="185" t="s">
        <v>470</v>
      </c>
      <c r="H19150" s="185"/>
    </row>
    <row r="19151">
      <c r="D19151" s="185"/>
      <c r="E19151" s="185" t="s">
        <v>470</v>
      </c>
      <c r="H19151" s="185"/>
    </row>
    <row r="19152">
      <c r="D19152" s="185"/>
      <c r="E19152" s="185" t="s">
        <v>470</v>
      </c>
      <c r="H19152" s="185"/>
    </row>
    <row r="19153">
      <c r="D19153" s="185"/>
      <c r="E19153" s="185" t="s">
        <v>470</v>
      </c>
      <c r="H19153" s="185"/>
    </row>
    <row r="19154">
      <c r="D19154" s="185"/>
      <c r="E19154" s="185" t="s">
        <v>470</v>
      </c>
      <c r="H19154" s="185"/>
    </row>
    <row r="19155">
      <c r="D19155" s="185"/>
      <c r="E19155" s="185" t="s">
        <v>470</v>
      </c>
      <c r="H19155" s="185"/>
    </row>
    <row r="19156">
      <c r="D19156" s="185"/>
      <c r="E19156" s="185" t="s">
        <v>470</v>
      </c>
      <c r="H19156" s="185"/>
    </row>
    <row r="19157">
      <c r="D19157" s="185"/>
      <c r="E19157" s="185" t="s">
        <v>470</v>
      </c>
      <c r="H19157" s="185"/>
    </row>
    <row r="19158">
      <c r="D19158" s="185"/>
      <c r="E19158" s="185" t="s">
        <v>470</v>
      </c>
      <c r="H19158" s="185"/>
    </row>
    <row r="19159">
      <c r="D19159" s="185"/>
      <c r="E19159" s="185" t="s">
        <v>470</v>
      </c>
      <c r="H19159" s="185"/>
    </row>
    <row r="19160">
      <c r="D19160" s="185"/>
      <c r="E19160" s="185" t="s">
        <v>470</v>
      </c>
      <c r="H19160" s="185"/>
    </row>
    <row r="19161">
      <c r="D19161" s="185"/>
      <c r="E19161" s="185" t="s">
        <v>470</v>
      </c>
      <c r="H19161" s="185"/>
    </row>
    <row r="19162">
      <c r="D19162" s="185"/>
      <c r="E19162" s="185" t="s">
        <v>470</v>
      </c>
      <c r="H19162" s="185"/>
    </row>
    <row r="19163">
      <c r="D19163" s="185"/>
      <c r="E19163" s="185" t="s">
        <v>470</v>
      </c>
      <c r="H19163" s="185"/>
    </row>
    <row r="19164">
      <c r="D19164" s="185"/>
      <c r="E19164" s="185" t="s">
        <v>470</v>
      </c>
      <c r="H19164" s="185"/>
    </row>
    <row r="19165">
      <c r="D19165" s="185"/>
      <c r="E19165" s="185" t="s">
        <v>470</v>
      </c>
      <c r="H19165" s="185"/>
    </row>
    <row r="19166">
      <c r="D19166" s="185"/>
      <c r="E19166" s="185" t="s">
        <v>470</v>
      </c>
      <c r="H19166" s="185"/>
    </row>
    <row r="19167">
      <c r="D19167" s="185"/>
      <c r="E19167" s="185" t="s">
        <v>470</v>
      </c>
      <c r="H19167" s="185"/>
    </row>
    <row r="19168">
      <c r="D19168" s="185"/>
      <c r="E19168" s="185" t="s">
        <v>470</v>
      </c>
      <c r="H19168" s="185"/>
    </row>
    <row r="19169">
      <c r="D19169" s="185"/>
      <c r="E19169" s="185" t="s">
        <v>470</v>
      </c>
      <c r="H19169" s="185"/>
    </row>
    <row r="19170">
      <c r="D19170" s="185"/>
      <c r="E19170" s="185" t="s">
        <v>470</v>
      </c>
      <c r="H19170" s="185"/>
    </row>
    <row r="19171">
      <c r="D19171" s="185"/>
      <c r="E19171" s="185" t="s">
        <v>470</v>
      </c>
      <c r="H19171" s="185"/>
    </row>
    <row r="19172">
      <c r="D19172" s="185"/>
      <c r="E19172" s="185" t="s">
        <v>470</v>
      </c>
      <c r="H19172" s="185"/>
    </row>
    <row r="19173">
      <c r="D19173" s="185"/>
      <c r="E19173" s="185" t="s">
        <v>470</v>
      </c>
      <c r="H19173" s="185"/>
    </row>
    <row r="19174">
      <c r="D19174" s="185"/>
      <c r="E19174" s="185" t="s">
        <v>470</v>
      </c>
      <c r="H19174" s="185"/>
    </row>
    <row r="19175">
      <c r="D19175" s="185"/>
      <c r="E19175" s="185" t="s">
        <v>470</v>
      </c>
      <c r="H19175" s="185"/>
    </row>
    <row r="19176">
      <c r="D19176" s="185"/>
      <c r="E19176" s="185" t="s">
        <v>470</v>
      </c>
      <c r="H19176" s="185"/>
    </row>
    <row r="19177">
      <c r="D19177" s="185"/>
      <c r="E19177" s="185" t="s">
        <v>470</v>
      </c>
      <c r="H19177" s="185"/>
    </row>
    <row r="19178">
      <c r="D19178" s="185"/>
      <c r="E19178" s="185" t="s">
        <v>470</v>
      </c>
      <c r="H19178" s="185"/>
    </row>
    <row r="19179">
      <c r="D19179" s="185"/>
      <c r="E19179" s="185" t="s">
        <v>470</v>
      </c>
      <c r="H19179" s="185"/>
    </row>
    <row r="19180">
      <c r="D19180" s="185"/>
      <c r="E19180" s="185" t="s">
        <v>470</v>
      </c>
      <c r="H19180" s="185"/>
    </row>
    <row r="19181">
      <c r="D19181" s="185"/>
      <c r="E19181" s="185" t="s">
        <v>470</v>
      </c>
      <c r="H19181" s="185"/>
    </row>
    <row r="19182">
      <c r="D19182" s="185"/>
      <c r="E19182" s="185" t="s">
        <v>470</v>
      </c>
      <c r="H19182" s="185"/>
    </row>
    <row r="19183">
      <c r="D19183" s="185"/>
      <c r="E19183" s="185" t="s">
        <v>470</v>
      </c>
      <c r="H19183" s="185"/>
    </row>
    <row r="19184">
      <c r="D19184" s="185"/>
      <c r="E19184" s="185" t="s">
        <v>470</v>
      </c>
      <c r="H19184" s="185"/>
    </row>
    <row r="19185">
      <c r="D19185" s="185"/>
      <c r="E19185" s="185" t="s">
        <v>470</v>
      </c>
      <c r="H19185" s="185"/>
    </row>
    <row r="19186">
      <c r="D19186" s="185"/>
      <c r="E19186" s="185" t="s">
        <v>470</v>
      </c>
      <c r="H19186" s="185"/>
    </row>
    <row r="19187">
      <c r="D19187" s="185"/>
      <c r="E19187" s="185" t="s">
        <v>470</v>
      </c>
      <c r="H19187" s="185"/>
    </row>
    <row r="19188">
      <c r="D19188" s="185"/>
      <c r="E19188" s="185" t="s">
        <v>470</v>
      </c>
      <c r="H19188" s="185"/>
    </row>
    <row r="19189">
      <c r="D19189" s="185"/>
      <c r="E19189" s="185" t="s">
        <v>470</v>
      </c>
      <c r="H19189" s="185"/>
    </row>
    <row r="19190">
      <c r="D19190" s="185"/>
      <c r="E19190" s="185" t="s">
        <v>470</v>
      </c>
      <c r="H19190" s="185"/>
    </row>
    <row r="19191">
      <c r="D19191" s="185"/>
      <c r="E19191" s="185" t="s">
        <v>470</v>
      </c>
      <c r="H19191" s="185"/>
    </row>
    <row r="19192">
      <c r="D19192" s="185"/>
      <c r="E19192" s="185" t="s">
        <v>470</v>
      </c>
      <c r="H19192" s="185"/>
    </row>
    <row r="19193">
      <c r="D19193" s="185"/>
      <c r="E19193" s="185" t="s">
        <v>470</v>
      </c>
      <c r="H19193" s="185"/>
    </row>
    <row r="19194">
      <c r="D19194" s="185"/>
      <c r="E19194" s="185" t="s">
        <v>470</v>
      </c>
      <c r="H19194" s="185"/>
    </row>
    <row r="19195">
      <c r="D19195" s="185"/>
      <c r="E19195" s="185" t="s">
        <v>470</v>
      </c>
      <c r="H19195" s="185"/>
    </row>
    <row r="19196">
      <c r="D19196" s="185"/>
      <c r="E19196" s="185" t="s">
        <v>470</v>
      </c>
      <c r="H19196" s="185"/>
    </row>
    <row r="19197">
      <c r="D19197" s="185"/>
      <c r="E19197" s="185" t="s">
        <v>470</v>
      </c>
      <c r="H19197" s="185"/>
    </row>
    <row r="19198">
      <c r="D19198" s="185"/>
      <c r="E19198" s="185" t="s">
        <v>470</v>
      </c>
      <c r="H19198" s="185"/>
    </row>
    <row r="19199">
      <c r="D19199" s="185"/>
      <c r="E19199" s="185" t="s">
        <v>470</v>
      </c>
      <c r="H19199" s="185"/>
    </row>
    <row r="19200">
      <c r="D19200" s="185"/>
      <c r="E19200" s="185" t="s">
        <v>470</v>
      </c>
      <c r="H19200" s="185"/>
    </row>
    <row r="19201">
      <c r="D19201" s="185"/>
      <c r="E19201" s="185" t="s">
        <v>470</v>
      </c>
      <c r="H19201" s="185"/>
    </row>
    <row r="19202">
      <c r="D19202" s="185"/>
      <c r="E19202" s="185" t="s">
        <v>470</v>
      </c>
      <c r="H19202" s="185"/>
    </row>
    <row r="19203">
      <c r="D19203" s="185"/>
      <c r="E19203" s="185" t="s">
        <v>470</v>
      </c>
      <c r="H19203" s="185"/>
    </row>
    <row r="19204">
      <c r="D19204" s="185"/>
      <c r="E19204" s="185" t="s">
        <v>470</v>
      </c>
      <c r="H19204" s="185"/>
    </row>
    <row r="19205">
      <c r="D19205" s="185"/>
      <c r="E19205" s="185" t="s">
        <v>470</v>
      </c>
      <c r="H19205" s="185"/>
    </row>
    <row r="19206">
      <c r="D19206" s="185"/>
      <c r="E19206" s="185" t="s">
        <v>470</v>
      </c>
      <c r="H19206" s="185"/>
    </row>
    <row r="19207">
      <c r="D19207" s="185"/>
      <c r="E19207" s="185" t="s">
        <v>470</v>
      </c>
      <c r="H19207" s="185"/>
    </row>
    <row r="19208">
      <c r="D19208" s="185"/>
      <c r="E19208" s="185" t="s">
        <v>470</v>
      </c>
      <c r="H19208" s="185"/>
    </row>
    <row r="19209">
      <c r="D19209" s="185"/>
      <c r="E19209" s="185" t="s">
        <v>470</v>
      </c>
      <c r="H19209" s="185"/>
    </row>
    <row r="19210">
      <c r="D19210" s="185"/>
      <c r="E19210" s="185" t="s">
        <v>470</v>
      </c>
      <c r="H19210" s="185"/>
    </row>
    <row r="19211">
      <c r="D19211" s="185"/>
      <c r="E19211" s="185" t="s">
        <v>470</v>
      </c>
      <c r="H19211" s="185"/>
    </row>
    <row r="19212">
      <c r="D19212" s="185"/>
      <c r="E19212" s="185" t="s">
        <v>470</v>
      </c>
      <c r="H19212" s="185"/>
    </row>
    <row r="19213">
      <c r="D19213" s="185"/>
      <c r="E19213" s="185" t="s">
        <v>470</v>
      </c>
      <c r="H19213" s="185"/>
    </row>
    <row r="19214">
      <c r="D19214" s="185"/>
      <c r="E19214" s="185" t="s">
        <v>470</v>
      </c>
      <c r="H19214" s="185"/>
    </row>
    <row r="19215">
      <c r="D19215" s="185"/>
      <c r="E19215" s="185" t="s">
        <v>470</v>
      </c>
      <c r="H19215" s="185"/>
    </row>
    <row r="19216">
      <c r="D19216" s="185"/>
      <c r="E19216" s="185" t="s">
        <v>470</v>
      </c>
      <c r="H19216" s="185"/>
    </row>
    <row r="19217">
      <c r="D19217" s="185"/>
      <c r="E19217" s="185" t="s">
        <v>470</v>
      </c>
      <c r="H19217" s="185"/>
    </row>
    <row r="19218">
      <c r="D19218" s="185"/>
      <c r="E19218" s="185" t="s">
        <v>470</v>
      </c>
      <c r="H19218" s="185"/>
    </row>
    <row r="19219">
      <c r="D19219" s="185"/>
      <c r="E19219" s="185" t="s">
        <v>470</v>
      </c>
      <c r="H19219" s="185"/>
    </row>
    <row r="19220">
      <c r="D19220" s="185"/>
      <c r="E19220" s="185" t="s">
        <v>470</v>
      </c>
      <c r="H19220" s="185"/>
    </row>
    <row r="19221">
      <c r="D19221" s="185"/>
      <c r="E19221" s="185" t="s">
        <v>470</v>
      </c>
      <c r="H19221" s="185"/>
    </row>
    <row r="19222">
      <c r="D19222" s="185"/>
      <c r="E19222" s="185" t="s">
        <v>470</v>
      </c>
      <c r="H19222" s="185"/>
    </row>
    <row r="19223">
      <c r="D19223" s="185"/>
      <c r="E19223" s="185" t="s">
        <v>470</v>
      </c>
      <c r="H19223" s="185"/>
    </row>
    <row r="19224">
      <c r="D19224" s="185"/>
      <c r="E19224" s="185" t="s">
        <v>470</v>
      </c>
      <c r="H19224" s="185"/>
    </row>
    <row r="19225">
      <c r="D19225" s="185"/>
      <c r="E19225" s="185" t="s">
        <v>470</v>
      </c>
      <c r="H19225" s="185"/>
    </row>
    <row r="19226">
      <c r="D19226" s="185"/>
      <c r="E19226" s="185" t="s">
        <v>470</v>
      </c>
      <c r="H19226" s="185"/>
    </row>
    <row r="19227">
      <c r="D19227" s="185"/>
      <c r="E19227" s="185" t="s">
        <v>470</v>
      </c>
      <c r="H19227" s="185"/>
    </row>
    <row r="19228">
      <c r="D19228" s="185"/>
      <c r="E19228" s="185" t="s">
        <v>470</v>
      </c>
      <c r="H19228" s="185"/>
    </row>
    <row r="19229">
      <c r="D19229" s="185"/>
      <c r="E19229" s="185" t="s">
        <v>470</v>
      </c>
      <c r="H19229" s="185"/>
    </row>
    <row r="19230">
      <c r="D19230" s="185"/>
      <c r="E19230" s="185" t="s">
        <v>470</v>
      </c>
      <c r="H19230" s="185"/>
    </row>
    <row r="19231">
      <c r="D19231" s="185"/>
      <c r="E19231" s="185" t="s">
        <v>470</v>
      </c>
      <c r="H19231" s="185"/>
    </row>
    <row r="19232">
      <c r="D19232" s="185"/>
      <c r="E19232" s="185" t="s">
        <v>470</v>
      </c>
      <c r="H19232" s="185"/>
    </row>
    <row r="19233">
      <c r="D19233" s="185"/>
      <c r="E19233" s="185" t="s">
        <v>470</v>
      </c>
      <c r="H19233" s="185"/>
    </row>
    <row r="19234">
      <c r="D19234" s="185"/>
      <c r="E19234" s="185" t="s">
        <v>470</v>
      </c>
      <c r="H19234" s="185"/>
    </row>
    <row r="19235">
      <c r="D19235" s="185"/>
      <c r="E19235" s="185" t="s">
        <v>470</v>
      </c>
      <c r="H19235" s="185"/>
    </row>
    <row r="19236">
      <c r="D19236" s="185"/>
      <c r="E19236" s="185" t="s">
        <v>470</v>
      </c>
      <c r="H19236" s="185"/>
    </row>
    <row r="19237">
      <c r="D19237" s="185"/>
      <c r="E19237" s="185" t="s">
        <v>470</v>
      </c>
      <c r="H19237" s="185"/>
    </row>
    <row r="19238">
      <c r="D19238" s="185"/>
      <c r="E19238" s="185" t="s">
        <v>470</v>
      </c>
      <c r="H19238" s="185"/>
    </row>
    <row r="19239">
      <c r="D19239" s="185"/>
      <c r="E19239" s="185" t="s">
        <v>470</v>
      </c>
      <c r="H19239" s="185"/>
    </row>
    <row r="19240">
      <c r="D19240" s="185"/>
      <c r="E19240" s="185" t="s">
        <v>470</v>
      </c>
      <c r="H19240" s="185"/>
    </row>
    <row r="19241">
      <c r="D19241" s="185"/>
      <c r="E19241" s="185" t="s">
        <v>470</v>
      </c>
      <c r="H19241" s="185"/>
    </row>
    <row r="19242">
      <c r="D19242" s="185"/>
      <c r="E19242" s="185" t="s">
        <v>470</v>
      </c>
      <c r="H19242" s="185"/>
    </row>
    <row r="19243">
      <c r="D19243" s="185"/>
      <c r="E19243" s="185" t="s">
        <v>470</v>
      </c>
      <c r="H19243" s="185"/>
    </row>
    <row r="19244">
      <c r="D19244" s="185"/>
      <c r="E19244" s="185" t="s">
        <v>470</v>
      </c>
      <c r="H19244" s="185"/>
    </row>
    <row r="19245">
      <c r="D19245" s="185"/>
      <c r="E19245" s="185" t="s">
        <v>470</v>
      </c>
      <c r="H19245" s="185"/>
    </row>
    <row r="19246">
      <c r="D19246" s="185"/>
      <c r="E19246" s="185" t="s">
        <v>470</v>
      </c>
      <c r="H19246" s="185"/>
    </row>
    <row r="19247">
      <c r="D19247" s="185"/>
      <c r="E19247" s="185" t="s">
        <v>470</v>
      </c>
      <c r="H19247" s="185"/>
    </row>
    <row r="19248">
      <c r="D19248" s="185"/>
      <c r="E19248" s="185" t="s">
        <v>470</v>
      </c>
      <c r="H19248" s="185"/>
    </row>
    <row r="19249">
      <c r="D19249" s="185"/>
      <c r="E19249" s="185" t="s">
        <v>470</v>
      </c>
      <c r="H19249" s="185"/>
    </row>
    <row r="19250">
      <c r="D19250" s="185"/>
      <c r="E19250" s="185" t="s">
        <v>470</v>
      </c>
      <c r="H19250" s="185"/>
    </row>
    <row r="19251">
      <c r="D19251" s="185"/>
      <c r="E19251" s="185" t="s">
        <v>470</v>
      </c>
      <c r="H19251" s="185"/>
    </row>
    <row r="19252">
      <c r="D19252" s="185"/>
      <c r="E19252" s="185" t="s">
        <v>470</v>
      </c>
      <c r="H19252" s="185"/>
    </row>
    <row r="19253">
      <c r="D19253" s="185"/>
      <c r="E19253" s="185" t="s">
        <v>470</v>
      </c>
      <c r="H19253" s="185"/>
    </row>
    <row r="19254">
      <c r="D19254" s="185"/>
      <c r="E19254" s="185" t="s">
        <v>470</v>
      </c>
      <c r="H19254" s="185"/>
    </row>
    <row r="19255">
      <c r="D19255" s="185"/>
      <c r="E19255" s="185" t="s">
        <v>470</v>
      </c>
      <c r="H19255" s="185"/>
    </row>
    <row r="19256">
      <c r="D19256" s="185"/>
      <c r="E19256" s="185" t="s">
        <v>470</v>
      </c>
      <c r="H19256" s="185"/>
    </row>
    <row r="19257">
      <c r="D19257" s="185"/>
      <c r="E19257" s="185" t="s">
        <v>470</v>
      </c>
      <c r="H19257" s="185"/>
    </row>
    <row r="19258">
      <c r="D19258" s="185"/>
      <c r="E19258" s="185" t="s">
        <v>470</v>
      </c>
      <c r="H19258" s="185"/>
    </row>
    <row r="19259">
      <c r="D19259" s="185"/>
      <c r="E19259" s="185" t="s">
        <v>470</v>
      </c>
      <c r="H19259" s="185"/>
    </row>
    <row r="19260">
      <c r="D19260" s="185"/>
      <c r="E19260" s="185" t="s">
        <v>470</v>
      </c>
      <c r="H19260" s="185"/>
    </row>
    <row r="19261">
      <c r="D19261" s="185"/>
      <c r="E19261" s="185" t="s">
        <v>470</v>
      </c>
      <c r="H19261" s="185"/>
    </row>
    <row r="19262">
      <c r="D19262" s="185"/>
      <c r="E19262" s="185" t="s">
        <v>470</v>
      </c>
      <c r="H19262" s="185"/>
    </row>
    <row r="19263">
      <c r="D19263" s="185"/>
      <c r="E19263" s="185" t="s">
        <v>470</v>
      </c>
      <c r="H19263" s="185"/>
    </row>
    <row r="19264">
      <c r="D19264" s="185"/>
      <c r="E19264" s="185" t="s">
        <v>470</v>
      </c>
      <c r="H19264" s="185"/>
    </row>
    <row r="19265">
      <c r="D19265" s="185"/>
      <c r="E19265" s="185" t="s">
        <v>470</v>
      </c>
      <c r="H19265" s="185"/>
    </row>
    <row r="19266">
      <c r="D19266" s="185"/>
      <c r="E19266" s="185" t="s">
        <v>470</v>
      </c>
      <c r="H19266" s="185"/>
    </row>
    <row r="19267">
      <c r="D19267" s="185"/>
      <c r="E19267" s="185" t="s">
        <v>470</v>
      </c>
      <c r="H19267" s="185"/>
    </row>
    <row r="19268">
      <c r="D19268" s="185"/>
      <c r="E19268" s="185" t="s">
        <v>470</v>
      </c>
      <c r="H19268" s="185"/>
    </row>
    <row r="19269">
      <c r="D19269" s="185"/>
      <c r="E19269" s="185" t="s">
        <v>470</v>
      </c>
      <c r="H19269" s="185"/>
    </row>
    <row r="19270">
      <c r="D19270" s="185"/>
      <c r="E19270" s="185" t="s">
        <v>470</v>
      </c>
      <c r="H19270" s="185"/>
    </row>
    <row r="19271">
      <c r="D19271" s="185"/>
      <c r="E19271" s="185" t="s">
        <v>470</v>
      </c>
      <c r="H19271" s="185"/>
    </row>
    <row r="19272">
      <c r="D19272" s="185"/>
      <c r="E19272" s="185" t="s">
        <v>470</v>
      </c>
      <c r="H19272" s="185"/>
    </row>
    <row r="19273">
      <c r="D19273" s="185"/>
      <c r="E19273" s="185" t="s">
        <v>470</v>
      </c>
      <c r="H19273" s="185"/>
    </row>
    <row r="19274">
      <c r="D19274" s="185"/>
      <c r="E19274" s="185" t="s">
        <v>470</v>
      </c>
      <c r="H19274" s="185"/>
    </row>
    <row r="19275">
      <c r="D19275" s="185"/>
      <c r="E19275" s="185" t="s">
        <v>470</v>
      </c>
      <c r="H19275" s="185"/>
    </row>
    <row r="19276">
      <c r="D19276" s="185"/>
      <c r="E19276" s="185" t="s">
        <v>470</v>
      </c>
      <c r="H19276" s="185"/>
    </row>
    <row r="19277">
      <c r="D19277" s="185"/>
      <c r="E19277" s="185" t="s">
        <v>470</v>
      </c>
      <c r="H19277" s="185"/>
    </row>
    <row r="19278">
      <c r="D19278" s="185"/>
      <c r="E19278" s="185" t="s">
        <v>470</v>
      </c>
      <c r="H19278" s="185"/>
    </row>
    <row r="19279">
      <c r="D19279" s="185"/>
      <c r="E19279" s="185" t="s">
        <v>470</v>
      </c>
      <c r="H19279" s="185"/>
    </row>
    <row r="19280">
      <c r="D19280" s="185"/>
      <c r="E19280" s="185" t="s">
        <v>470</v>
      </c>
      <c r="H19280" s="185"/>
    </row>
    <row r="19281">
      <c r="D19281" s="185"/>
      <c r="E19281" s="185" t="s">
        <v>470</v>
      </c>
      <c r="H19281" s="185"/>
    </row>
    <row r="19282">
      <c r="D19282" s="185"/>
      <c r="E19282" s="185" t="s">
        <v>470</v>
      </c>
      <c r="H19282" s="185"/>
    </row>
    <row r="19283">
      <c r="D19283" s="185"/>
      <c r="E19283" s="185" t="s">
        <v>470</v>
      </c>
      <c r="H19283" s="185"/>
    </row>
    <row r="19284">
      <c r="D19284" s="185"/>
      <c r="E19284" s="185" t="s">
        <v>470</v>
      </c>
      <c r="H19284" s="185"/>
    </row>
    <row r="19285">
      <c r="D19285" s="185"/>
      <c r="E19285" s="185" t="s">
        <v>470</v>
      </c>
      <c r="H19285" s="185"/>
    </row>
    <row r="19286">
      <c r="D19286" s="185"/>
      <c r="E19286" s="185" t="s">
        <v>470</v>
      </c>
      <c r="H19286" s="185"/>
    </row>
    <row r="19287">
      <c r="D19287" s="185"/>
      <c r="E19287" s="185" t="s">
        <v>470</v>
      </c>
      <c r="H19287" s="185"/>
    </row>
    <row r="19288">
      <c r="D19288" s="185"/>
      <c r="E19288" s="185" t="s">
        <v>470</v>
      </c>
      <c r="H19288" s="185"/>
    </row>
    <row r="19289">
      <c r="D19289" s="185"/>
      <c r="E19289" s="185" t="s">
        <v>470</v>
      </c>
      <c r="H19289" s="185"/>
    </row>
    <row r="19290">
      <c r="D19290" s="185"/>
      <c r="E19290" s="185" t="s">
        <v>470</v>
      </c>
      <c r="H19290" s="185"/>
    </row>
    <row r="19291">
      <c r="D19291" s="185"/>
      <c r="E19291" s="185" t="s">
        <v>470</v>
      </c>
      <c r="H19291" s="185"/>
    </row>
    <row r="19292">
      <c r="D19292" s="185"/>
      <c r="E19292" s="185" t="s">
        <v>470</v>
      </c>
      <c r="H19292" s="185"/>
    </row>
    <row r="19293">
      <c r="D19293" s="185"/>
      <c r="E19293" s="185" t="s">
        <v>470</v>
      </c>
      <c r="H19293" s="185"/>
    </row>
    <row r="19294">
      <c r="D19294" s="185"/>
      <c r="E19294" s="185" t="s">
        <v>470</v>
      </c>
      <c r="H19294" s="185"/>
    </row>
    <row r="19295">
      <c r="D19295" s="185"/>
      <c r="E19295" s="185" t="s">
        <v>470</v>
      </c>
      <c r="H19295" s="185"/>
    </row>
    <row r="19296">
      <c r="D19296" s="185"/>
      <c r="E19296" s="185" t="s">
        <v>470</v>
      </c>
      <c r="H19296" s="185"/>
    </row>
    <row r="19297">
      <c r="D19297" s="185"/>
      <c r="E19297" s="185" t="s">
        <v>470</v>
      </c>
      <c r="H19297" s="185"/>
    </row>
    <row r="19298">
      <c r="D19298" s="185"/>
      <c r="E19298" s="185" t="s">
        <v>470</v>
      </c>
      <c r="H19298" s="185"/>
    </row>
    <row r="19299">
      <c r="D19299" s="185"/>
      <c r="E19299" s="185" t="s">
        <v>470</v>
      </c>
      <c r="H19299" s="185"/>
    </row>
    <row r="19300">
      <c r="D19300" s="185"/>
      <c r="E19300" s="185" t="s">
        <v>470</v>
      </c>
      <c r="H19300" s="185"/>
    </row>
    <row r="19301">
      <c r="D19301" s="185"/>
      <c r="E19301" s="185" t="s">
        <v>470</v>
      </c>
      <c r="H19301" s="185"/>
    </row>
    <row r="19302">
      <c r="D19302" s="185"/>
      <c r="E19302" s="185" t="s">
        <v>470</v>
      </c>
      <c r="H19302" s="185"/>
    </row>
    <row r="19303">
      <c r="D19303" s="185"/>
      <c r="E19303" s="185" t="s">
        <v>470</v>
      </c>
      <c r="H19303" s="185"/>
    </row>
    <row r="19304">
      <c r="D19304" s="185"/>
      <c r="E19304" s="185" t="s">
        <v>470</v>
      </c>
      <c r="H19304" s="185"/>
    </row>
    <row r="19305">
      <c r="D19305" s="185"/>
      <c r="E19305" s="185" t="s">
        <v>470</v>
      </c>
      <c r="H19305" s="185"/>
    </row>
    <row r="19306">
      <c r="D19306" s="185"/>
      <c r="E19306" s="185" t="s">
        <v>470</v>
      </c>
      <c r="H19306" s="185"/>
    </row>
    <row r="19307">
      <c r="D19307" s="185"/>
      <c r="E19307" s="185" t="s">
        <v>470</v>
      </c>
      <c r="H19307" s="185"/>
    </row>
    <row r="19308">
      <c r="D19308" s="185"/>
      <c r="E19308" s="185" t="s">
        <v>470</v>
      </c>
      <c r="H19308" s="185"/>
    </row>
    <row r="19309">
      <c r="D19309" s="185"/>
      <c r="E19309" s="185" t="s">
        <v>470</v>
      </c>
      <c r="H19309" s="185"/>
    </row>
    <row r="19310">
      <c r="D19310" s="185"/>
      <c r="E19310" s="185" t="s">
        <v>470</v>
      </c>
      <c r="H19310" s="185"/>
    </row>
    <row r="19311">
      <c r="D19311" s="185"/>
      <c r="E19311" s="185" t="s">
        <v>470</v>
      </c>
      <c r="H19311" s="185"/>
    </row>
    <row r="19312">
      <c r="D19312" s="185"/>
      <c r="E19312" s="185" t="s">
        <v>470</v>
      </c>
      <c r="H19312" s="185"/>
    </row>
    <row r="19313">
      <c r="D19313" s="185"/>
      <c r="E19313" s="185" t="s">
        <v>470</v>
      </c>
      <c r="H19313" s="185"/>
    </row>
    <row r="19314">
      <c r="D19314" s="185"/>
      <c r="E19314" s="185" t="s">
        <v>470</v>
      </c>
      <c r="H19314" s="185"/>
    </row>
    <row r="19315">
      <c r="D19315" s="185"/>
      <c r="E19315" s="185" t="s">
        <v>470</v>
      </c>
      <c r="H19315" s="185"/>
    </row>
    <row r="19316">
      <c r="D19316" s="185"/>
      <c r="E19316" s="185" t="s">
        <v>470</v>
      </c>
      <c r="H19316" s="185"/>
    </row>
    <row r="19317">
      <c r="D19317" s="185"/>
      <c r="E19317" s="185" t="s">
        <v>470</v>
      </c>
      <c r="H19317" s="185"/>
    </row>
    <row r="19318">
      <c r="D19318" s="185"/>
      <c r="E19318" s="185" t="s">
        <v>470</v>
      </c>
      <c r="H19318" s="185"/>
    </row>
    <row r="19319">
      <c r="D19319" s="185"/>
      <c r="E19319" s="185" t="s">
        <v>470</v>
      </c>
      <c r="H19319" s="185"/>
    </row>
    <row r="19320">
      <c r="D19320" s="185"/>
      <c r="E19320" s="185" t="s">
        <v>470</v>
      </c>
      <c r="H19320" s="185"/>
    </row>
    <row r="19321">
      <c r="D19321" s="185"/>
      <c r="E19321" s="185" t="s">
        <v>470</v>
      </c>
      <c r="H19321" s="185"/>
    </row>
    <row r="19322">
      <c r="D19322" s="185"/>
      <c r="E19322" s="185" t="s">
        <v>470</v>
      </c>
      <c r="H19322" s="185"/>
    </row>
    <row r="19323">
      <c r="D19323" s="185"/>
      <c r="E19323" s="185" t="s">
        <v>470</v>
      </c>
      <c r="H19323" s="185"/>
    </row>
    <row r="19324">
      <c r="D19324" s="185"/>
      <c r="E19324" s="185" t="s">
        <v>470</v>
      </c>
      <c r="H19324" s="185"/>
    </row>
    <row r="19325">
      <c r="D19325" s="185"/>
      <c r="E19325" s="185" t="s">
        <v>470</v>
      </c>
      <c r="H19325" s="185"/>
    </row>
    <row r="19326">
      <c r="D19326" s="185"/>
      <c r="E19326" s="185" t="s">
        <v>470</v>
      </c>
      <c r="H19326" s="185"/>
    </row>
    <row r="19327">
      <c r="D19327" s="185"/>
      <c r="E19327" s="185" t="s">
        <v>470</v>
      </c>
      <c r="H19327" s="185"/>
    </row>
    <row r="19328">
      <c r="D19328" s="185"/>
      <c r="E19328" s="185" t="s">
        <v>470</v>
      </c>
      <c r="H19328" s="185"/>
    </row>
    <row r="19329">
      <c r="D19329" s="185"/>
      <c r="E19329" s="185" t="s">
        <v>470</v>
      </c>
      <c r="H19329" s="185"/>
    </row>
    <row r="19330">
      <c r="D19330" s="185"/>
      <c r="E19330" s="185" t="s">
        <v>470</v>
      </c>
      <c r="H19330" s="185"/>
    </row>
    <row r="19331">
      <c r="D19331" s="185"/>
      <c r="E19331" s="185" t="s">
        <v>470</v>
      </c>
      <c r="H19331" s="185"/>
    </row>
    <row r="19332">
      <c r="D19332" s="185"/>
      <c r="E19332" s="185" t="s">
        <v>470</v>
      </c>
      <c r="H19332" s="185"/>
    </row>
    <row r="19333">
      <c r="D19333" s="185"/>
      <c r="E19333" s="185" t="s">
        <v>470</v>
      </c>
      <c r="H19333" s="185"/>
    </row>
    <row r="19334">
      <c r="D19334" s="185"/>
      <c r="E19334" s="185" t="s">
        <v>470</v>
      </c>
      <c r="H19334" s="185"/>
    </row>
    <row r="19335">
      <c r="D19335" s="185"/>
      <c r="E19335" s="185" t="s">
        <v>470</v>
      </c>
      <c r="H19335" s="185"/>
    </row>
    <row r="19336">
      <c r="D19336" s="185"/>
      <c r="E19336" s="185" t="s">
        <v>470</v>
      </c>
      <c r="H19336" s="185"/>
    </row>
    <row r="19337">
      <c r="D19337" s="185"/>
      <c r="E19337" s="185" t="s">
        <v>470</v>
      </c>
      <c r="H19337" s="185"/>
    </row>
    <row r="19338">
      <c r="D19338" s="185"/>
      <c r="E19338" s="185" t="s">
        <v>470</v>
      </c>
      <c r="H19338" s="185"/>
    </row>
    <row r="19339">
      <c r="D19339" s="185"/>
      <c r="E19339" s="185" t="s">
        <v>470</v>
      </c>
      <c r="H19339" s="185"/>
    </row>
    <row r="19340">
      <c r="D19340" s="185"/>
      <c r="E19340" s="185" t="s">
        <v>470</v>
      </c>
      <c r="H19340" s="185"/>
    </row>
    <row r="19341">
      <c r="D19341" s="185"/>
      <c r="E19341" s="185" t="s">
        <v>470</v>
      </c>
      <c r="H19341" s="185"/>
    </row>
    <row r="19342">
      <c r="D19342" s="185"/>
      <c r="E19342" s="185" t="s">
        <v>470</v>
      </c>
      <c r="H19342" s="185"/>
    </row>
    <row r="19343">
      <c r="D19343" s="185"/>
      <c r="E19343" s="185" t="s">
        <v>470</v>
      </c>
      <c r="H19343" s="185"/>
    </row>
    <row r="19344">
      <c r="D19344" s="185"/>
      <c r="E19344" s="185" t="s">
        <v>470</v>
      </c>
      <c r="H19344" s="185"/>
    </row>
    <row r="19345">
      <c r="D19345" s="185"/>
      <c r="E19345" s="185" t="s">
        <v>470</v>
      </c>
      <c r="H19345" s="185"/>
    </row>
    <row r="19346">
      <c r="D19346" s="185"/>
      <c r="E19346" s="185" t="s">
        <v>470</v>
      </c>
      <c r="H19346" s="185"/>
    </row>
    <row r="19347">
      <c r="D19347" s="185"/>
      <c r="E19347" s="185" t="s">
        <v>470</v>
      </c>
      <c r="H19347" s="185"/>
    </row>
    <row r="19348">
      <c r="D19348" s="185"/>
      <c r="E19348" s="185" t="s">
        <v>470</v>
      </c>
      <c r="H19348" s="185"/>
    </row>
    <row r="19349">
      <c r="D19349" s="185"/>
      <c r="E19349" s="185" t="s">
        <v>470</v>
      </c>
      <c r="H19349" s="185"/>
    </row>
    <row r="19350">
      <c r="D19350" s="185"/>
      <c r="E19350" s="185" t="s">
        <v>470</v>
      </c>
      <c r="H19350" s="185"/>
    </row>
    <row r="19351">
      <c r="D19351" s="185"/>
      <c r="E19351" s="185" t="s">
        <v>470</v>
      </c>
      <c r="H19351" s="185"/>
    </row>
    <row r="19352">
      <c r="D19352" s="185"/>
      <c r="E19352" s="185" t="s">
        <v>470</v>
      </c>
      <c r="H19352" s="185"/>
    </row>
    <row r="19353">
      <c r="D19353" s="185"/>
      <c r="E19353" s="185" t="s">
        <v>470</v>
      </c>
      <c r="H19353" s="185"/>
    </row>
    <row r="19354">
      <c r="D19354" s="185"/>
      <c r="E19354" s="185" t="s">
        <v>470</v>
      </c>
      <c r="H19354" s="185"/>
    </row>
    <row r="19355">
      <c r="D19355" s="185"/>
      <c r="E19355" s="185" t="s">
        <v>470</v>
      </c>
      <c r="H19355" s="185"/>
    </row>
    <row r="19356">
      <c r="D19356" s="185"/>
      <c r="E19356" s="185" t="s">
        <v>470</v>
      </c>
      <c r="H19356" s="185"/>
    </row>
    <row r="19357">
      <c r="D19357" s="185"/>
      <c r="E19357" s="185" t="s">
        <v>470</v>
      </c>
      <c r="H19357" s="185"/>
    </row>
    <row r="19358">
      <c r="D19358" s="185"/>
      <c r="E19358" s="185" t="s">
        <v>470</v>
      </c>
      <c r="H19358" s="185"/>
    </row>
    <row r="19359">
      <c r="D19359" s="185"/>
      <c r="E19359" s="185" t="s">
        <v>470</v>
      </c>
      <c r="H19359" s="185"/>
    </row>
    <row r="19360">
      <c r="D19360" s="185"/>
      <c r="E19360" s="185" t="s">
        <v>470</v>
      </c>
      <c r="H19360" s="185"/>
    </row>
    <row r="19361">
      <c r="D19361" s="185"/>
      <c r="E19361" s="185" t="s">
        <v>470</v>
      </c>
      <c r="H19361" s="185"/>
    </row>
    <row r="19362">
      <c r="D19362" s="185"/>
      <c r="E19362" s="185" t="s">
        <v>470</v>
      </c>
      <c r="H19362" s="185"/>
    </row>
    <row r="19363">
      <c r="D19363" s="185"/>
      <c r="E19363" s="185" t="s">
        <v>470</v>
      </c>
      <c r="H19363" s="185"/>
    </row>
    <row r="19364">
      <c r="D19364" s="185"/>
      <c r="E19364" s="185" t="s">
        <v>470</v>
      </c>
      <c r="H19364" s="185"/>
    </row>
    <row r="19365">
      <c r="D19365" s="185"/>
      <c r="E19365" s="185" t="s">
        <v>470</v>
      </c>
      <c r="H19365" s="185"/>
    </row>
    <row r="19366">
      <c r="D19366" s="185"/>
      <c r="E19366" s="185" t="s">
        <v>470</v>
      </c>
      <c r="H19366" s="185"/>
    </row>
    <row r="19367">
      <c r="D19367" s="185"/>
      <c r="E19367" s="185" t="s">
        <v>470</v>
      </c>
      <c r="H19367" s="185"/>
    </row>
    <row r="19368">
      <c r="D19368" s="185"/>
      <c r="E19368" s="185" t="s">
        <v>470</v>
      </c>
      <c r="H19368" s="185"/>
    </row>
    <row r="19369">
      <c r="D19369" s="185"/>
      <c r="E19369" s="185" t="s">
        <v>470</v>
      </c>
      <c r="H19369" s="185"/>
    </row>
    <row r="19370">
      <c r="D19370" s="185"/>
      <c r="E19370" s="185" t="s">
        <v>470</v>
      </c>
      <c r="H19370" s="185"/>
    </row>
    <row r="19371">
      <c r="D19371" s="185"/>
      <c r="E19371" s="185" t="s">
        <v>470</v>
      </c>
      <c r="H19371" s="185"/>
    </row>
    <row r="19372">
      <c r="D19372" s="185"/>
      <c r="E19372" s="185" t="s">
        <v>470</v>
      </c>
      <c r="H19372" s="185"/>
    </row>
    <row r="19373">
      <c r="D19373" s="185"/>
      <c r="E19373" s="185" t="s">
        <v>470</v>
      </c>
      <c r="H19373" s="185"/>
    </row>
    <row r="19374">
      <c r="D19374" s="185"/>
      <c r="E19374" s="185" t="s">
        <v>470</v>
      </c>
      <c r="H19374" s="185"/>
    </row>
    <row r="19375">
      <c r="D19375" s="185"/>
      <c r="E19375" s="185" t="s">
        <v>470</v>
      </c>
      <c r="H19375" s="185"/>
    </row>
    <row r="19376">
      <c r="D19376" s="185"/>
      <c r="E19376" s="185" t="s">
        <v>470</v>
      </c>
      <c r="H19376" s="185"/>
    </row>
    <row r="19377">
      <c r="D19377" s="185"/>
      <c r="E19377" s="185" t="s">
        <v>470</v>
      </c>
      <c r="H19377" s="185"/>
    </row>
    <row r="19378">
      <c r="D19378" s="185"/>
      <c r="E19378" s="185" t="s">
        <v>470</v>
      </c>
      <c r="H19378" s="185"/>
    </row>
    <row r="19379">
      <c r="D19379" s="185"/>
      <c r="E19379" s="185" t="s">
        <v>470</v>
      </c>
      <c r="H19379" s="185"/>
    </row>
    <row r="19380">
      <c r="D19380" s="185"/>
      <c r="E19380" s="185" t="s">
        <v>470</v>
      </c>
      <c r="H19380" s="185"/>
    </row>
    <row r="19381">
      <c r="D19381" s="185"/>
      <c r="E19381" s="185" t="s">
        <v>470</v>
      </c>
      <c r="H19381" s="185"/>
    </row>
    <row r="19382">
      <c r="D19382" s="185"/>
      <c r="E19382" s="185" t="s">
        <v>470</v>
      </c>
      <c r="H19382" s="185"/>
    </row>
    <row r="19383">
      <c r="D19383" s="185"/>
      <c r="E19383" s="185" t="s">
        <v>470</v>
      </c>
      <c r="H19383" s="185"/>
    </row>
    <row r="19384">
      <c r="D19384" s="185"/>
      <c r="E19384" s="185" t="s">
        <v>470</v>
      </c>
      <c r="H19384" s="185"/>
    </row>
    <row r="19385">
      <c r="D19385" s="185"/>
      <c r="E19385" s="185" t="s">
        <v>470</v>
      </c>
      <c r="H19385" s="185"/>
    </row>
    <row r="19386">
      <c r="D19386" s="185"/>
      <c r="E19386" s="185" t="s">
        <v>470</v>
      </c>
      <c r="H19386" s="185"/>
    </row>
    <row r="19387">
      <c r="D19387" s="185"/>
      <c r="E19387" s="185" t="s">
        <v>470</v>
      </c>
      <c r="H19387" s="185"/>
    </row>
    <row r="19388">
      <c r="D19388" s="185"/>
      <c r="E19388" s="185" t="s">
        <v>470</v>
      </c>
      <c r="H19388" s="185"/>
    </row>
    <row r="19389">
      <c r="D19389" s="185"/>
      <c r="E19389" s="185" t="s">
        <v>470</v>
      </c>
      <c r="H19389" s="185"/>
    </row>
    <row r="19390">
      <c r="D19390" s="185"/>
      <c r="E19390" s="185" t="s">
        <v>470</v>
      </c>
      <c r="H19390" s="185"/>
    </row>
    <row r="19391">
      <c r="D19391" s="185"/>
      <c r="E19391" s="185" t="s">
        <v>470</v>
      </c>
      <c r="H19391" s="185"/>
    </row>
    <row r="19392">
      <c r="D19392" s="185"/>
      <c r="E19392" s="185" t="s">
        <v>470</v>
      </c>
      <c r="H19392" s="185"/>
    </row>
    <row r="19393">
      <c r="D19393" s="185"/>
      <c r="E19393" s="185" t="s">
        <v>470</v>
      </c>
      <c r="H19393" s="185"/>
    </row>
    <row r="19394">
      <c r="D19394" s="185"/>
      <c r="E19394" s="185" t="s">
        <v>470</v>
      </c>
      <c r="H19394" s="185"/>
    </row>
    <row r="19395">
      <c r="D19395" s="185"/>
      <c r="E19395" s="185" t="s">
        <v>470</v>
      </c>
      <c r="H19395" s="185"/>
    </row>
    <row r="19396">
      <c r="D19396" s="185"/>
      <c r="E19396" s="185" t="s">
        <v>470</v>
      </c>
      <c r="H19396" s="185"/>
    </row>
    <row r="19397">
      <c r="D19397" s="185"/>
      <c r="E19397" s="185" t="s">
        <v>470</v>
      </c>
      <c r="H19397" s="185"/>
    </row>
    <row r="19398">
      <c r="D19398" s="185"/>
      <c r="E19398" s="185" t="s">
        <v>470</v>
      </c>
      <c r="H19398" s="185"/>
    </row>
    <row r="19399">
      <c r="D19399" s="185"/>
      <c r="E19399" s="185" t="s">
        <v>470</v>
      </c>
      <c r="H19399" s="185"/>
    </row>
    <row r="19400">
      <c r="D19400" s="185"/>
      <c r="E19400" s="185" t="s">
        <v>470</v>
      </c>
      <c r="H19400" s="185"/>
    </row>
    <row r="19401">
      <c r="D19401" s="185"/>
      <c r="E19401" s="185" t="s">
        <v>470</v>
      </c>
      <c r="H19401" s="185"/>
    </row>
    <row r="19402">
      <c r="D19402" s="185"/>
      <c r="E19402" s="185" t="s">
        <v>470</v>
      </c>
      <c r="H19402" s="185"/>
    </row>
    <row r="19403">
      <c r="D19403" s="185"/>
      <c r="E19403" s="185" t="s">
        <v>470</v>
      </c>
      <c r="H19403" s="185"/>
    </row>
    <row r="19404">
      <c r="D19404" s="185"/>
      <c r="E19404" s="185" t="s">
        <v>470</v>
      </c>
      <c r="H19404" s="185"/>
    </row>
    <row r="19405">
      <c r="D19405" s="185"/>
      <c r="E19405" s="185" t="s">
        <v>470</v>
      </c>
      <c r="H19405" s="185"/>
    </row>
    <row r="19406">
      <c r="D19406" s="185"/>
      <c r="E19406" s="185" t="s">
        <v>470</v>
      </c>
      <c r="H19406" s="185"/>
    </row>
    <row r="19407">
      <c r="D19407" s="185"/>
      <c r="E19407" s="185" t="s">
        <v>470</v>
      </c>
      <c r="H19407" s="185"/>
    </row>
    <row r="19408">
      <c r="D19408" s="185"/>
      <c r="E19408" s="185" t="s">
        <v>470</v>
      </c>
      <c r="H19408" s="185"/>
    </row>
    <row r="19409">
      <c r="D19409" s="185"/>
      <c r="E19409" s="185" t="s">
        <v>470</v>
      </c>
      <c r="H19409" s="185"/>
    </row>
    <row r="19410">
      <c r="D19410" s="185"/>
      <c r="E19410" s="185" t="s">
        <v>470</v>
      </c>
      <c r="H19410" s="185"/>
    </row>
    <row r="19411">
      <c r="D19411" s="185"/>
      <c r="E19411" s="185" t="s">
        <v>470</v>
      </c>
      <c r="H19411" s="185"/>
    </row>
    <row r="19412">
      <c r="D19412" s="185"/>
      <c r="E19412" s="185" t="s">
        <v>470</v>
      </c>
      <c r="H19412" s="185"/>
    </row>
    <row r="19413">
      <c r="D19413" s="185"/>
      <c r="E19413" s="185" t="s">
        <v>470</v>
      </c>
      <c r="H19413" s="185"/>
    </row>
    <row r="19414">
      <c r="D19414" s="185"/>
      <c r="E19414" s="185" t="s">
        <v>470</v>
      </c>
      <c r="H19414" s="185"/>
    </row>
    <row r="19415">
      <c r="D19415" s="185"/>
      <c r="E19415" s="185" t="s">
        <v>470</v>
      </c>
      <c r="H19415" s="185"/>
    </row>
    <row r="19416">
      <c r="D19416" s="185"/>
      <c r="E19416" s="185" t="s">
        <v>470</v>
      </c>
      <c r="H19416" s="185"/>
    </row>
    <row r="19417">
      <c r="D19417" s="185"/>
      <c r="E19417" s="185" t="s">
        <v>470</v>
      </c>
      <c r="H19417" s="185"/>
    </row>
    <row r="19418">
      <c r="D19418" s="185"/>
      <c r="E19418" s="185" t="s">
        <v>470</v>
      </c>
      <c r="H19418" s="185"/>
    </row>
    <row r="19419">
      <c r="D19419" s="185"/>
      <c r="E19419" s="185" t="s">
        <v>470</v>
      </c>
      <c r="H19419" s="185"/>
    </row>
    <row r="19420">
      <c r="D19420" s="185"/>
      <c r="E19420" s="185" t="s">
        <v>470</v>
      </c>
      <c r="H19420" s="185"/>
    </row>
    <row r="19421">
      <c r="D19421" s="185"/>
      <c r="E19421" s="185" t="s">
        <v>470</v>
      </c>
      <c r="H19421" s="185"/>
    </row>
    <row r="19422">
      <c r="D19422" s="185"/>
      <c r="E19422" s="185" t="s">
        <v>470</v>
      </c>
      <c r="H19422" s="185"/>
    </row>
    <row r="19423">
      <c r="D19423" s="185"/>
      <c r="E19423" s="185" t="s">
        <v>470</v>
      </c>
      <c r="H19423" s="185"/>
    </row>
    <row r="19424">
      <c r="D19424" s="185"/>
      <c r="E19424" s="185" t="s">
        <v>470</v>
      </c>
      <c r="H19424" s="185"/>
    </row>
    <row r="19425">
      <c r="D19425" s="185"/>
      <c r="E19425" s="185" t="s">
        <v>470</v>
      </c>
      <c r="H19425" s="185"/>
    </row>
    <row r="19426">
      <c r="D19426" s="185"/>
      <c r="E19426" s="185" t="s">
        <v>470</v>
      </c>
      <c r="H19426" s="185"/>
    </row>
    <row r="19427">
      <c r="D19427" s="185"/>
      <c r="E19427" s="185" t="s">
        <v>470</v>
      </c>
      <c r="H19427" s="185"/>
    </row>
    <row r="19428">
      <c r="D19428" s="185"/>
      <c r="E19428" s="185" t="s">
        <v>470</v>
      </c>
      <c r="H19428" s="185"/>
    </row>
    <row r="19429">
      <c r="D19429" s="185"/>
      <c r="E19429" s="185" t="s">
        <v>470</v>
      </c>
      <c r="H19429" s="185"/>
    </row>
    <row r="19430">
      <c r="D19430" s="185"/>
      <c r="E19430" s="185" t="s">
        <v>470</v>
      </c>
      <c r="H19430" s="185"/>
    </row>
    <row r="19431">
      <c r="D19431" s="185"/>
      <c r="E19431" s="185" t="s">
        <v>470</v>
      </c>
      <c r="H19431" s="185"/>
    </row>
    <row r="19432">
      <c r="D19432" s="185"/>
      <c r="E19432" s="185" t="s">
        <v>470</v>
      </c>
      <c r="H19432" s="185"/>
    </row>
    <row r="19433">
      <c r="D19433" s="185"/>
      <c r="E19433" s="185" t="s">
        <v>470</v>
      </c>
      <c r="H19433" s="185"/>
    </row>
    <row r="19434">
      <c r="D19434" s="185"/>
      <c r="E19434" s="185" t="s">
        <v>470</v>
      </c>
      <c r="H19434" s="185"/>
    </row>
    <row r="19435">
      <c r="D19435" s="185"/>
      <c r="E19435" s="185" t="s">
        <v>470</v>
      </c>
      <c r="H19435" s="185"/>
    </row>
    <row r="19436">
      <c r="D19436" s="185"/>
      <c r="E19436" s="185" t="s">
        <v>470</v>
      </c>
      <c r="H19436" s="185"/>
    </row>
    <row r="19437">
      <c r="D19437" s="185"/>
      <c r="E19437" s="185" t="s">
        <v>470</v>
      </c>
      <c r="H19437" s="185"/>
    </row>
    <row r="19438">
      <c r="D19438" s="185"/>
      <c r="E19438" s="185" t="s">
        <v>470</v>
      </c>
      <c r="H19438" s="185"/>
    </row>
    <row r="19439">
      <c r="D19439" s="185"/>
      <c r="E19439" s="185" t="s">
        <v>470</v>
      </c>
      <c r="H19439" s="185"/>
    </row>
    <row r="19440">
      <c r="D19440" s="185"/>
      <c r="E19440" s="185" t="s">
        <v>470</v>
      </c>
      <c r="H19440" s="185"/>
    </row>
    <row r="19441">
      <c r="D19441" s="185"/>
      <c r="E19441" s="185" t="s">
        <v>470</v>
      </c>
      <c r="H19441" s="185"/>
    </row>
    <row r="19442">
      <c r="D19442" s="185"/>
      <c r="E19442" s="185" t="s">
        <v>470</v>
      </c>
      <c r="H19442" s="185"/>
    </row>
    <row r="19443">
      <c r="D19443" s="185"/>
      <c r="E19443" s="185" t="s">
        <v>470</v>
      </c>
      <c r="H19443" s="185"/>
    </row>
    <row r="19444">
      <c r="D19444" s="185"/>
      <c r="E19444" s="185" t="s">
        <v>470</v>
      </c>
      <c r="H19444" s="185"/>
    </row>
    <row r="19445">
      <c r="D19445" s="185"/>
      <c r="E19445" s="185" t="s">
        <v>470</v>
      </c>
      <c r="H19445" s="185"/>
    </row>
    <row r="19446">
      <c r="D19446" s="185"/>
      <c r="E19446" s="185" t="s">
        <v>470</v>
      </c>
      <c r="H19446" s="185"/>
    </row>
    <row r="19447">
      <c r="D19447" s="185"/>
      <c r="E19447" s="185" t="s">
        <v>470</v>
      </c>
      <c r="H19447" s="185"/>
    </row>
    <row r="19448">
      <c r="D19448" s="185"/>
      <c r="E19448" s="185" t="s">
        <v>470</v>
      </c>
      <c r="H19448" s="185"/>
    </row>
    <row r="19449">
      <c r="D19449" s="185"/>
      <c r="E19449" s="185" t="s">
        <v>470</v>
      </c>
      <c r="H19449" s="185"/>
    </row>
    <row r="19450">
      <c r="D19450" s="185"/>
      <c r="E19450" s="185" t="s">
        <v>470</v>
      </c>
      <c r="H19450" s="185"/>
    </row>
    <row r="19451">
      <c r="D19451" s="185"/>
      <c r="E19451" s="185" t="s">
        <v>470</v>
      </c>
      <c r="H19451" s="185"/>
    </row>
    <row r="19452">
      <c r="D19452" s="185"/>
      <c r="E19452" s="185" t="s">
        <v>470</v>
      </c>
      <c r="H19452" s="185"/>
    </row>
    <row r="19453">
      <c r="D19453" s="185"/>
      <c r="E19453" s="185" t="s">
        <v>470</v>
      </c>
      <c r="H19453" s="185"/>
    </row>
    <row r="19454">
      <c r="D19454" s="185"/>
      <c r="E19454" s="185" t="s">
        <v>470</v>
      </c>
      <c r="H19454" s="185"/>
    </row>
    <row r="19455">
      <c r="D19455" s="185"/>
      <c r="E19455" s="185" t="s">
        <v>470</v>
      </c>
      <c r="H19455" s="185"/>
    </row>
    <row r="19456">
      <c r="D19456" s="185"/>
      <c r="E19456" s="185" t="s">
        <v>470</v>
      </c>
      <c r="H19456" s="185"/>
    </row>
    <row r="19457">
      <c r="D19457" s="185"/>
      <c r="E19457" s="185" t="s">
        <v>470</v>
      </c>
      <c r="H19457" s="185"/>
    </row>
    <row r="19458">
      <c r="D19458" s="185"/>
      <c r="E19458" s="185" t="s">
        <v>470</v>
      </c>
      <c r="H19458" s="185"/>
    </row>
    <row r="19459">
      <c r="D19459" s="185"/>
      <c r="E19459" s="185" t="s">
        <v>470</v>
      </c>
      <c r="H19459" s="185"/>
    </row>
    <row r="19460">
      <c r="D19460" s="185"/>
      <c r="E19460" s="185" t="s">
        <v>470</v>
      </c>
      <c r="H19460" s="185"/>
    </row>
    <row r="19461">
      <c r="D19461" s="185"/>
      <c r="E19461" s="185" t="s">
        <v>470</v>
      </c>
      <c r="H19461" s="185"/>
    </row>
    <row r="19462">
      <c r="D19462" s="185"/>
      <c r="E19462" s="185" t="s">
        <v>470</v>
      </c>
      <c r="H19462" s="185"/>
    </row>
    <row r="19463">
      <c r="D19463" s="185"/>
      <c r="E19463" s="185" t="s">
        <v>470</v>
      </c>
      <c r="H19463" s="185"/>
    </row>
    <row r="19464">
      <c r="D19464" s="185"/>
      <c r="E19464" s="185" t="s">
        <v>470</v>
      </c>
      <c r="H19464" s="185"/>
    </row>
    <row r="19465">
      <c r="D19465" s="185"/>
      <c r="E19465" s="185" t="s">
        <v>470</v>
      </c>
      <c r="H19465" s="185"/>
    </row>
    <row r="19466">
      <c r="D19466" s="185"/>
      <c r="E19466" s="185" t="s">
        <v>470</v>
      </c>
      <c r="H19466" s="185"/>
    </row>
    <row r="19467">
      <c r="D19467" s="185"/>
      <c r="E19467" s="185" t="s">
        <v>470</v>
      </c>
      <c r="H19467" s="185"/>
    </row>
    <row r="19468">
      <c r="D19468" s="185"/>
      <c r="E19468" s="185" t="s">
        <v>470</v>
      </c>
      <c r="H19468" s="185"/>
    </row>
    <row r="19469">
      <c r="D19469" s="185"/>
      <c r="E19469" s="185" t="s">
        <v>470</v>
      </c>
      <c r="H19469" s="185"/>
    </row>
    <row r="19470">
      <c r="D19470" s="185"/>
      <c r="E19470" s="185" t="s">
        <v>470</v>
      </c>
      <c r="H19470" s="185"/>
    </row>
    <row r="19471">
      <c r="D19471" s="185"/>
      <c r="E19471" s="185" t="s">
        <v>470</v>
      </c>
      <c r="H19471" s="185"/>
    </row>
    <row r="19472">
      <c r="D19472" s="185"/>
      <c r="E19472" s="185" t="s">
        <v>470</v>
      </c>
      <c r="H19472" s="185"/>
    </row>
    <row r="19473">
      <c r="D19473" s="185"/>
      <c r="E19473" s="185" t="s">
        <v>470</v>
      </c>
      <c r="H19473" s="185"/>
    </row>
    <row r="19474">
      <c r="D19474" s="185"/>
      <c r="E19474" s="185" t="s">
        <v>470</v>
      </c>
      <c r="H19474" s="185"/>
    </row>
    <row r="19475">
      <c r="D19475" s="185"/>
      <c r="E19475" s="185" t="s">
        <v>470</v>
      </c>
      <c r="H19475" s="185"/>
    </row>
    <row r="19476">
      <c r="D19476" s="185"/>
      <c r="E19476" s="185" t="s">
        <v>470</v>
      </c>
      <c r="H19476" s="185"/>
    </row>
    <row r="19477">
      <c r="D19477" s="185"/>
      <c r="E19477" s="185" t="s">
        <v>470</v>
      </c>
      <c r="H19477" s="185"/>
    </row>
    <row r="19478">
      <c r="D19478" s="185"/>
      <c r="E19478" s="185" t="s">
        <v>470</v>
      </c>
      <c r="H19478" s="185"/>
    </row>
    <row r="19479">
      <c r="D19479" s="185"/>
      <c r="E19479" s="185" t="s">
        <v>470</v>
      </c>
      <c r="H19479" s="185"/>
    </row>
    <row r="19480">
      <c r="D19480" s="185"/>
      <c r="E19480" s="185" t="s">
        <v>470</v>
      </c>
      <c r="H19480" s="185"/>
    </row>
    <row r="19481">
      <c r="D19481" s="185"/>
      <c r="E19481" s="185" t="s">
        <v>470</v>
      </c>
      <c r="H19481" s="185"/>
    </row>
    <row r="19482">
      <c r="D19482" s="185"/>
      <c r="E19482" s="185" t="s">
        <v>470</v>
      </c>
      <c r="H19482" s="185"/>
    </row>
    <row r="19483">
      <c r="D19483" s="185"/>
      <c r="E19483" s="185" t="s">
        <v>470</v>
      </c>
      <c r="H19483" s="185"/>
    </row>
    <row r="19484">
      <c r="D19484" s="185"/>
      <c r="E19484" s="185" t="s">
        <v>470</v>
      </c>
      <c r="H19484" s="185"/>
    </row>
    <row r="19485">
      <c r="D19485" s="185"/>
      <c r="E19485" s="185" t="s">
        <v>470</v>
      </c>
      <c r="H19485" s="185"/>
    </row>
    <row r="19486">
      <c r="D19486" s="185"/>
      <c r="E19486" s="185" t="s">
        <v>470</v>
      </c>
      <c r="H19486" s="185"/>
    </row>
    <row r="19487">
      <c r="D19487" s="185"/>
      <c r="E19487" s="185" t="s">
        <v>470</v>
      </c>
      <c r="H19487" s="185"/>
    </row>
    <row r="19488">
      <c r="D19488" s="185"/>
      <c r="E19488" s="185" t="s">
        <v>470</v>
      </c>
      <c r="H19488" s="185"/>
    </row>
    <row r="19489">
      <c r="D19489" s="185"/>
      <c r="E19489" s="185" t="s">
        <v>470</v>
      </c>
      <c r="H19489" s="185"/>
    </row>
    <row r="19490">
      <c r="D19490" s="185"/>
      <c r="E19490" s="185" t="s">
        <v>470</v>
      </c>
      <c r="H19490" s="185"/>
    </row>
    <row r="19491">
      <c r="D19491" s="185"/>
      <c r="E19491" s="185" t="s">
        <v>470</v>
      </c>
      <c r="H19491" s="185"/>
    </row>
    <row r="19492">
      <c r="D19492" s="185"/>
      <c r="E19492" s="185" t="s">
        <v>470</v>
      </c>
      <c r="H19492" s="185"/>
    </row>
    <row r="19493">
      <c r="D19493" s="185"/>
      <c r="E19493" s="185" t="s">
        <v>470</v>
      </c>
      <c r="H19493" s="185"/>
    </row>
    <row r="19494">
      <c r="D19494" s="185"/>
      <c r="E19494" s="185" t="s">
        <v>470</v>
      </c>
      <c r="H19494" s="185"/>
    </row>
    <row r="19495">
      <c r="D19495" s="185"/>
      <c r="E19495" s="185" t="s">
        <v>470</v>
      </c>
      <c r="H19495" s="185"/>
    </row>
    <row r="19496">
      <c r="D19496" s="185"/>
      <c r="E19496" s="185" t="s">
        <v>470</v>
      </c>
      <c r="H19496" s="185"/>
    </row>
    <row r="19497">
      <c r="D19497" s="185"/>
      <c r="E19497" s="185" t="s">
        <v>470</v>
      </c>
      <c r="H19497" s="185"/>
    </row>
    <row r="19498">
      <c r="D19498" s="185"/>
      <c r="E19498" s="185" t="s">
        <v>470</v>
      </c>
      <c r="H19498" s="185"/>
    </row>
    <row r="19499">
      <c r="D19499" s="185"/>
      <c r="E19499" s="185" t="s">
        <v>470</v>
      </c>
      <c r="H19499" s="185"/>
    </row>
    <row r="19500">
      <c r="D19500" s="185"/>
      <c r="E19500" s="185" t="s">
        <v>470</v>
      </c>
      <c r="H19500" s="185"/>
    </row>
    <row r="19501">
      <c r="D19501" s="185"/>
      <c r="E19501" s="185" t="s">
        <v>470</v>
      </c>
      <c r="H19501" s="185"/>
    </row>
    <row r="19502">
      <c r="D19502" s="185"/>
      <c r="E19502" s="185" t="s">
        <v>470</v>
      </c>
      <c r="H19502" s="185"/>
    </row>
    <row r="19503">
      <c r="D19503" s="185"/>
      <c r="E19503" s="185" t="s">
        <v>470</v>
      </c>
      <c r="H19503" s="185"/>
    </row>
    <row r="19504">
      <c r="D19504" s="185"/>
      <c r="E19504" s="185" t="s">
        <v>470</v>
      </c>
      <c r="H19504" s="185"/>
    </row>
    <row r="19505">
      <c r="D19505" s="185"/>
      <c r="E19505" s="185" t="s">
        <v>470</v>
      </c>
      <c r="H19505" s="185"/>
    </row>
    <row r="19506">
      <c r="D19506" s="185"/>
      <c r="E19506" s="185" t="s">
        <v>470</v>
      </c>
      <c r="H19506" s="185"/>
    </row>
    <row r="19507">
      <c r="D19507" s="185"/>
      <c r="E19507" s="185" t="s">
        <v>470</v>
      </c>
      <c r="H19507" s="185"/>
    </row>
    <row r="19508">
      <c r="D19508" s="185"/>
      <c r="E19508" s="185" t="s">
        <v>470</v>
      </c>
      <c r="H19508" s="185"/>
    </row>
    <row r="19509">
      <c r="D19509" s="185"/>
      <c r="E19509" s="185" t="s">
        <v>470</v>
      </c>
      <c r="H19509" s="185"/>
    </row>
    <row r="19510">
      <c r="D19510" s="185"/>
      <c r="E19510" s="185" t="s">
        <v>470</v>
      </c>
      <c r="H19510" s="185"/>
    </row>
    <row r="19511">
      <c r="D19511" s="185"/>
      <c r="E19511" s="185" t="s">
        <v>470</v>
      </c>
      <c r="H19511" s="185"/>
    </row>
    <row r="19512">
      <c r="D19512" s="185"/>
      <c r="E19512" s="185" t="s">
        <v>470</v>
      </c>
      <c r="H19512" s="185"/>
    </row>
    <row r="19513">
      <c r="D19513" s="185"/>
      <c r="E19513" s="185" t="s">
        <v>470</v>
      </c>
      <c r="H19513" s="185"/>
    </row>
    <row r="19514">
      <c r="D19514" s="185"/>
      <c r="E19514" s="185" t="s">
        <v>470</v>
      </c>
      <c r="H19514" s="185"/>
    </row>
    <row r="19515">
      <c r="D19515" s="185"/>
      <c r="E19515" s="185" t="s">
        <v>470</v>
      </c>
      <c r="H19515" s="185"/>
    </row>
    <row r="19516">
      <c r="D19516" s="185"/>
      <c r="E19516" s="185" t="s">
        <v>470</v>
      </c>
      <c r="H19516" s="185"/>
    </row>
    <row r="19517">
      <c r="D19517" s="185"/>
      <c r="E19517" s="185" t="s">
        <v>470</v>
      </c>
      <c r="H19517" s="185"/>
    </row>
    <row r="19518">
      <c r="D19518" s="185"/>
      <c r="E19518" s="185" t="s">
        <v>470</v>
      </c>
      <c r="H19518" s="185"/>
    </row>
    <row r="19519">
      <c r="D19519" s="185"/>
      <c r="E19519" s="185" t="s">
        <v>470</v>
      </c>
      <c r="H19519" s="185"/>
    </row>
    <row r="19520">
      <c r="D19520" s="185"/>
      <c r="E19520" s="185" t="s">
        <v>470</v>
      </c>
      <c r="H19520" s="185"/>
    </row>
    <row r="19521">
      <c r="D19521" s="185"/>
      <c r="E19521" s="185" t="s">
        <v>470</v>
      </c>
      <c r="H19521" s="185"/>
    </row>
    <row r="19522">
      <c r="D19522" s="185"/>
      <c r="E19522" s="185" t="s">
        <v>470</v>
      </c>
      <c r="H19522" s="185"/>
    </row>
    <row r="19523">
      <c r="D19523" s="185"/>
      <c r="E19523" s="185" t="s">
        <v>470</v>
      </c>
      <c r="H19523" s="185"/>
    </row>
    <row r="19524">
      <c r="D19524" s="185"/>
      <c r="E19524" s="185" t="s">
        <v>470</v>
      </c>
      <c r="H19524" s="185"/>
    </row>
    <row r="19525">
      <c r="D19525" s="185"/>
      <c r="E19525" s="185" t="s">
        <v>470</v>
      </c>
      <c r="H19525" s="185"/>
    </row>
    <row r="19526">
      <c r="D19526" s="185"/>
      <c r="E19526" s="185" t="s">
        <v>470</v>
      </c>
      <c r="H19526" s="185"/>
    </row>
    <row r="19527">
      <c r="D19527" s="185"/>
      <c r="E19527" s="185" t="s">
        <v>470</v>
      </c>
      <c r="H19527" s="185"/>
    </row>
    <row r="19528">
      <c r="D19528" s="185"/>
      <c r="E19528" s="185" t="s">
        <v>470</v>
      </c>
      <c r="H19528" s="185"/>
    </row>
    <row r="19529">
      <c r="D19529" s="185"/>
      <c r="E19529" s="185" t="s">
        <v>470</v>
      </c>
      <c r="H19529" s="185"/>
    </row>
    <row r="19530">
      <c r="D19530" s="185"/>
      <c r="E19530" s="185" t="s">
        <v>470</v>
      </c>
      <c r="H19530" s="185"/>
    </row>
    <row r="19531">
      <c r="D19531" s="185"/>
      <c r="E19531" s="185" t="s">
        <v>470</v>
      </c>
      <c r="H19531" s="185"/>
    </row>
    <row r="19532">
      <c r="D19532" s="185"/>
      <c r="E19532" s="185" t="s">
        <v>470</v>
      </c>
      <c r="H19532" s="185"/>
    </row>
    <row r="19533">
      <c r="D19533" s="185"/>
      <c r="E19533" s="185" t="s">
        <v>470</v>
      </c>
      <c r="H19533" s="185"/>
    </row>
    <row r="19534">
      <c r="D19534" s="185"/>
      <c r="E19534" s="185" t="s">
        <v>470</v>
      </c>
      <c r="H19534" s="185"/>
    </row>
    <row r="19535">
      <c r="D19535" s="185"/>
      <c r="E19535" s="185" t="s">
        <v>470</v>
      </c>
      <c r="H19535" s="185"/>
    </row>
    <row r="19536">
      <c r="D19536" s="185"/>
      <c r="E19536" s="185" t="s">
        <v>470</v>
      </c>
      <c r="H19536" s="185"/>
    </row>
    <row r="19537">
      <c r="D19537" s="185"/>
      <c r="E19537" s="185" t="s">
        <v>470</v>
      </c>
      <c r="H19537" s="185"/>
    </row>
    <row r="19538">
      <c r="D19538" s="185"/>
      <c r="E19538" s="185" t="s">
        <v>470</v>
      </c>
      <c r="H19538" s="185"/>
    </row>
    <row r="19539">
      <c r="D19539" s="185"/>
      <c r="E19539" s="185" t="s">
        <v>470</v>
      </c>
      <c r="H19539" s="185"/>
    </row>
    <row r="19540">
      <c r="D19540" s="185"/>
      <c r="E19540" s="185" t="s">
        <v>470</v>
      </c>
      <c r="H19540" s="185"/>
    </row>
    <row r="19541">
      <c r="D19541" s="185"/>
      <c r="E19541" s="185" t="s">
        <v>470</v>
      </c>
      <c r="H19541" s="185"/>
    </row>
    <row r="19542">
      <c r="D19542" s="185"/>
      <c r="E19542" s="185" t="s">
        <v>470</v>
      </c>
      <c r="H19542" s="185"/>
    </row>
    <row r="19543">
      <c r="D19543" s="185"/>
      <c r="E19543" s="185" t="s">
        <v>470</v>
      </c>
      <c r="H19543" s="185"/>
    </row>
    <row r="19544">
      <c r="D19544" s="185"/>
      <c r="E19544" s="185" t="s">
        <v>470</v>
      </c>
      <c r="H19544" s="185"/>
    </row>
    <row r="19545">
      <c r="D19545" s="185"/>
      <c r="E19545" s="185" t="s">
        <v>470</v>
      </c>
      <c r="H19545" s="185"/>
    </row>
    <row r="19546">
      <c r="D19546" s="185"/>
      <c r="E19546" s="185" t="s">
        <v>470</v>
      </c>
      <c r="H19546" s="185"/>
    </row>
    <row r="19547">
      <c r="D19547" s="185"/>
      <c r="E19547" s="185" t="s">
        <v>470</v>
      </c>
      <c r="H19547" s="185"/>
    </row>
    <row r="19548">
      <c r="D19548" s="185"/>
      <c r="E19548" s="185" t="s">
        <v>470</v>
      </c>
      <c r="H19548" s="185"/>
    </row>
    <row r="19549">
      <c r="D19549" s="185"/>
      <c r="E19549" s="185" t="s">
        <v>470</v>
      </c>
      <c r="H19549" s="185"/>
    </row>
    <row r="19550">
      <c r="D19550" s="185"/>
      <c r="E19550" s="185" t="s">
        <v>470</v>
      </c>
      <c r="H19550" s="185"/>
    </row>
    <row r="19551">
      <c r="D19551" s="185"/>
      <c r="E19551" s="185" t="s">
        <v>470</v>
      </c>
      <c r="H19551" s="185"/>
    </row>
    <row r="19552">
      <c r="D19552" s="185"/>
      <c r="E19552" s="185" t="s">
        <v>470</v>
      </c>
      <c r="H19552" s="185"/>
    </row>
    <row r="19553">
      <c r="D19553" s="185"/>
      <c r="E19553" s="185" t="s">
        <v>470</v>
      </c>
      <c r="H19553" s="185"/>
    </row>
    <row r="19554">
      <c r="D19554" s="185"/>
      <c r="E19554" s="185" t="s">
        <v>470</v>
      </c>
      <c r="H19554" s="185"/>
    </row>
    <row r="19555">
      <c r="D19555" s="185"/>
      <c r="E19555" s="185" t="s">
        <v>470</v>
      </c>
      <c r="H19555" s="185"/>
    </row>
    <row r="19556">
      <c r="D19556" s="185"/>
      <c r="E19556" s="185" t="s">
        <v>470</v>
      </c>
      <c r="H19556" s="185"/>
    </row>
    <row r="19557">
      <c r="D19557" s="185"/>
      <c r="E19557" s="185" t="s">
        <v>470</v>
      </c>
      <c r="H19557" s="185"/>
    </row>
    <row r="19558">
      <c r="D19558" s="185"/>
      <c r="E19558" s="185" t="s">
        <v>470</v>
      </c>
      <c r="H19558" s="185"/>
    </row>
    <row r="19559">
      <c r="D19559" s="185"/>
      <c r="E19559" s="185" t="s">
        <v>470</v>
      </c>
      <c r="H19559" s="185"/>
    </row>
    <row r="19560">
      <c r="D19560" s="185"/>
      <c r="E19560" s="185" t="s">
        <v>470</v>
      </c>
      <c r="H19560" s="185"/>
    </row>
    <row r="19561">
      <c r="D19561" s="185"/>
      <c r="E19561" s="185" t="s">
        <v>470</v>
      </c>
      <c r="H19561" s="185"/>
    </row>
    <row r="19562">
      <c r="D19562" s="185"/>
      <c r="E19562" s="185" t="s">
        <v>470</v>
      </c>
      <c r="H19562" s="185"/>
    </row>
    <row r="19563">
      <c r="D19563" s="185"/>
      <c r="E19563" s="185" t="s">
        <v>470</v>
      </c>
      <c r="H19563" s="185"/>
    </row>
    <row r="19564">
      <c r="D19564" s="185"/>
      <c r="E19564" s="185" t="s">
        <v>470</v>
      </c>
      <c r="H19564" s="185"/>
    </row>
    <row r="19565">
      <c r="D19565" s="185"/>
      <c r="E19565" s="185" t="s">
        <v>470</v>
      </c>
      <c r="H19565" s="185"/>
    </row>
    <row r="19566">
      <c r="D19566" s="185"/>
      <c r="E19566" s="185" t="s">
        <v>470</v>
      </c>
      <c r="H19566" s="185"/>
    </row>
    <row r="19567">
      <c r="D19567" s="185"/>
      <c r="E19567" s="185" t="s">
        <v>470</v>
      </c>
      <c r="H19567" s="185"/>
    </row>
    <row r="19568">
      <c r="D19568" s="185"/>
      <c r="E19568" s="185" t="s">
        <v>470</v>
      </c>
      <c r="H19568" s="185"/>
    </row>
    <row r="19569">
      <c r="D19569" s="185"/>
      <c r="E19569" s="185" t="s">
        <v>470</v>
      </c>
      <c r="H19569" s="185"/>
    </row>
    <row r="19570">
      <c r="D19570" s="185"/>
      <c r="E19570" s="185" t="s">
        <v>470</v>
      </c>
      <c r="H19570" s="185"/>
    </row>
    <row r="19571">
      <c r="D19571" s="185"/>
      <c r="E19571" s="185" t="s">
        <v>470</v>
      </c>
      <c r="H19571" s="185"/>
    </row>
    <row r="19572">
      <c r="D19572" s="185"/>
      <c r="E19572" s="185" t="s">
        <v>470</v>
      </c>
      <c r="H19572" s="185"/>
    </row>
    <row r="19573">
      <c r="D19573" s="185"/>
      <c r="E19573" s="185" t="s">
        <v>470</v>
      </c>
      <c r="H19573" s="185"/>
    </row>
    <row r="19574">
      <c r="D19574" s="185"/>
      <c r="E19574" s="185" t="s">
        <v>470</v>
      </c>
      <c r="H19574" s="185"/>
    </row>
    <row r="19575">
      <c r="D19575" s="185"/>
      <c r="E19575" s="185" t="s">
        <v>470</v>
      </c>
      <c r="H19575" s="185"/>
    </row>
    <row r="19576">
      <c r="D19576" s="185"/>
      <c r="E19576" s="185" t="s">
        <v>470</v>
      </c>
      <c r="H19576" s="185"/>
    </row>
    <row r="19577">
      <c r="D19577" s="185"/>
      <c r="E19577" s="185" t="s">
        <v>470</v>
      </c>
      <c r="H19577" s="185"/>
    </row>
    <row r="19578">
      <c r="D19578" s="185"/>
      <c r="E19578" s="185" t="s">
        <v>470</v>
      </c>
      <c r="H19578" s="185"/>
    </row>
    <row r="19579">
      <c r="D19579" s="185"/>
      <c r="E19579" s="185" t="s">
        <v>470</v>
      </c>
      <c r="H19579" s="185"/>
    </row>
    <row r="19580">
      <c r="D19580" s="185"/>
      <c r="E19580" s="185" t="s">
        <v>470</v>
      </c>
      <c r="H19580" s="185"/>
    </row>
    <row r="19581">
      <c r="D19581" s="185"/>
      <c r="E19581" s="185" t="s">
        <v>470</v>
      </c>
      <c r="H19581" s="185"/>
    </row>
    <row r="19582">
      <c r="D19582" s="185"/>
      <c r="E19582" s="185" t="s">
        <v>470</v>
      </c>
      <c r="H19582" s="185"/>
    </row>
    <row r="19583">
      <c r="D19583" s="185"/>
      <c r="E19583" s="185" t="s">
        <v>470</v>
      </c>
      <c r="H19583" s="185"/>
    </row>
    <row r="19584">
      <c r="D19584" s="185"/>
      <c r="E19584" s="185" t="s">
        <v>470</v>
      </c>
      <c r="H19584" s="185"/>
    </row>
    <row r="19585">
      <c r="D19585" s="185"/>
      <c r="E19585" s="185" t="s">
        <v>470</v>
      </c>
      <c r="H19585" s="185"/>
    </row>
    <row r="19586">
      <c r="D19586" s="185"/>
      <c r="E19586" s="185" t="s">
        <v>470</v>
      </c>
      <c r="H19586" s="185"/>
    </row>
    <row r="19587">
      <c r="D19587" s="185"/>
      <c r="E19587" s="185" t="s">
        <v>470</v>
      </c>
      <c r="H19587" s="185"/>
    </row>
    <row r="19588">
      <c r="D19588" s="185"/>
      <c r="E19588" s="185" t="s">
        <v>470</v>
      </c>
      <c r="H19588" s="185"/>
    </row>
    <row r="19589">
      <c r="D19589" s="185"/>
      <c r="E19589" s="185" t="s">
        <v>470</v>
      </c>
      <c r="H19589" s="185"/>
    </row>
    <row r="19590">
      <c r="D19590" s="185"/>
      <c r="E19590" s="185" t="s">
        <v>470</v>
      </c>
      <c r="H19590" s="185"/>
    </row>
    <row r="19591">
      <c r="D19591" s="185"/>
      <c r="E19591" s="185" t="s">
        <v>470</v>
      </c>
      <c r="H19591" s="185"/>
    </row>
    <row r="19592">
      <c r="D19592" s="185"/>
      <c r="E19592" s="185" t="s">
        <v>470</v>
      </c>
      <c r="H19592" s="185"/>
    </row>
    <row r="19593">
      <c r="D19593" s="185"/>
      <c r="E19593" s="185" t="s">
        <v>470</v>
      </c>
      <c r="H19593" s="185"/>
    </row>
    <row r="19594">
      <c r="D19594" s="185"/>
      <c r="E19594" s="185" t="s">
        <v>470</v>
      </c>
      <c r="H19594" s="185"/>
    </row>
    <row r="19595">
      <c r="D19595" s="185"/>
      <c r="E19595" s="185" t="s">
        <v>470</v>
      </c>
      <c r="H19595" s="185"/>
    </row>
    <row r="19596">
      <c r="D19596" s="185"/>
      <c r="E19596" s="185" t="s">
        <v>470</v>
      </c>
      <c r="H19596" s="185"/>
    </row>
    <row r="19597">
      <c r="D19597" s="185"/>
      <c r="E19597" s="185" t="s">
        <v>470</v>
      </c>
      <c r="H19597" s="185"/>
    </row>
    <row r="19598">
      <c r="D19598" s="185"/>
      <c r="E19598" s="185" t="s">
        <v>470</v>
      </c>
      <c r="H19598" s="185"/>
    </row>
    <row r="19599">
      <c r="D19599" s="185"/>
      <c r="E19599" s="185" t="s">
        <v>470</v>
      </c>
      <c r="H19599" s="185"/>
    </row>
    <row r="19600">
      <c r="D19600" s="185"/>
      <c r="E19600" s="185" t="s">
        <v>470</v>
      </c>
      <c r="H19600" s="185"/>
    </row>
    <row r="19601">
      <c r="D19601" s="185"/>
      <c r="E19601" s="185" t="s">
        <v>470</v>
      </c>
      <c r="H19601" s="185"/>
    </row>
    <row r="19602">
      <c r="D19602" s="185"/>
      <c r="E19602" s="185" t="s">
        <v>470</v>
      </c>
      <c r="H19602" s="185"/>
    </row>
    <row r="19603">
      <c r="D19603" s="185"/>
      <c r="E19603" s="185" t="s">
        <v>470</v>
      </c>
      <c r="H19603" s="185"/>
    </row>
    <row r="19604">
      <c r="D19604" s="185"/>
      <c r="E19604" s="185" t="s">
        <v>470</v>
      </c>
      <c r="H19604" s="185"/>
    </row>
    <row r="19605">
      <c r="D19605" s="185"/>
      <c r="E19605" s="185" t="s">
        <v>470</v>
      </c>
      <c r="H19605" s="185"/>
    </row>
    <row r="19606">
      <c r="D19606" s="185"/>
      <c r="E19606" s="185" t="s">
        <v>470</v>
      </c>
      <c r="H19606" s="185"/>
    </row>
    <row r="19607">
      <c r="D19607" s="185"/>
      <c r="E19607" s="185" t="s">
        <v>470</v>
      </c>
      <c r="H19607" s="185"/>
    </row>
    <row r="19608">
      <c r="D19608" s="185"/>
      <c r="E19608" s="185" t="s">
        <v>470</v>
      </c>
      <c r="H19608" s="185"/>
    </row>
    <row r="19609">
      <c r="D19609" s="185"/>
      <c r="E19609" s="185" t="s">
        <v>470</v>
      </c>
      <c r="H19609" s="185"/>
    </row>
    <row r="19610">
      <c r="D19610" s="185"/>
      <c r="E19610" s="185" t="s">
        <v>470</v>
      </c>
      <c r="H19610" s="185"/>
    </row>
    <row r="19611">
      <c r="D19611" s="185"/>
      <c r="E19611" s="185" t="s">
        <v>470</v>
      </c>
      <c r="H19611" s="185"/>
    </row>
    <row r="19612">
      <c r="D19612" s="185"/>
      <c r="E19612" s="185" t="s">
        <v>470</v>
      </c>
      <c r="H19612" s="185"/>
    </row>
    <row r="19613">
      <c r="D19613" s="185"/>
      <c r="E19613" s="185" t="s">
        <v>470</v>
      </c>
      <c r="H19613" s="185"/>
    </row>
    <row r="19614">
      <c r="D19614" s="185"/>
      <c r="E19614" s="185" t="s">
        <v>470</v>
      </c>
      <c r="H19614" s="185"/>
    </row>
    <row r="19615">
      <c r="D19615" s="185"/>
      <c r="E19615" s="185" t="s">
        <v>470</v>
      </c>
      <c r="H19615" s="185"/>
    </row>
    <row r="19616">
      <c r="D19616" s="185"/>
      <c r="E19616" s="185" t="s">
        <v>470</v>
      </c>
      <c r="H19616" s="185"/>
    </row>
    <row r="19617">
      <c r="D19617" s="185"/>
      <c r="E19617" s="185" t="s">
        <v>470</v>
      </c>
      <c r="H19617" s="185"/>
    </row>
    <row r="19618">
      <c r="D19618" s="185"/>
      <c r="E19618" s="185" t="s">
        <v>470</v>
      </c>
      <c r="H19618" s="185"/>
    </row>
    <row r="19619">
      <c r="D19619" s="185"/>
      <c r="E19619" s="185" t="s">
        <v>470</v>
      </c>
      <c r="H19619" s="185"/>
    </row>
    <row r="19620">
      <c r="D19620" s="185"/>
      <c r="E19620" s="185" t="s">
        <v>470</v>
      </c>
      <c r="H19620" s="185"/>
    </row>
    <row r="19621">
      <c r="D19621" s="185"/>
      <c r="E19621" s="185" t="s">
        <v>470</v>
      </c>
      <c r="H19621" s="185"/>
    </row>
    <row r="19622">
      <c r="D19622" s="185"/>
      <c r="E19622" s="185" t="s">
        <v>470</v>
      </c>
      <c r="H19622" s="185"/>
    </row>
    <row r="19623">
      <c r="D19623" s="185"/>
      <c r="E19623" s="185" t="s">
        <v>470</v>
      </c>
      <c r="H19623" s="185"/>
    </row>
    <row r="19624">
      <c r="D19624" s="185"/>
      <c r="E19624" s="185" t="s">
        <v>470</v>
      </c>
      <c r="H19624" s="185"/>
    </row>
    <row r="19625">
      <c r="D19625" s="185"/>
      <c r="E19625" s="185" t="s">
        <v>470</v>
      </c>
      <c r="H19625" s="185"/>
    </row>
    <row r="19626">
      <c r="D19626" s="185"/>
      <c r="E19626" s="185" t="s">
        <v>470</v>
      </c>
      <c r="H19626" s="185"/>
    </row>
    <row r="19627">
      <c r="D19627" s="185"/>
      <c r="E19627" s="185" t="s">
        <v>470</v>
      </c>
      <c r="H19627" s="185"/>
    </row>
    <row r="19628">
      <c r="D19628" s="185"/>
      <c r="E19628" s="185" t="s">
        <v>470</v>
      </c>
      <c r="H19628" s="185"/>
    </row>
    <row r="19629">
      <c r="D19629" s="185"/>
      <c r="E19629" s="185" t="s">
        <v>470</v>
      </c>
      <c r="H19629" s="185"/>
    </row>
    <row r="19630">
      <c r="D19630" s="185"/>
      <c r="E19630" s="185" t="s">
        <v>470</v>
      </c>
      <c r="H19630" s="185"/>
    </row>
    <row r="19631">
      <c r="D19631" s="185"/>
      <c r="E19631" s="185" t="s">
        <v>470</v>
      </c>
      <c r="H19631" s="185"/>
    </row>
    <row r="19632">
      <c r="D19632" s="185"/>
      <c r="E19632" s="185" t="s">
        <v>470</v>
      </c>
      <c r="H19632" s="185"/>
    </row>
    <row r="19633">
      <c r="D19633" s="185"/>
      <c r="E19633" s="185" t="s">
        <v>470</v>
      </c>
      <c r="H19633" s="185"/>
    </row>
    <row r="19634">
      <c r="D19634" s="185"/>
      <c r="E19634" s="185" t="s">
        <v>470</v>
      </c>
      <c r="H19634" s="185"/>
    </row>
    <row r="19635">
      <c r="D19635" s="185"/>
      <c r="E19635" s="185" t="s">
        <v>470</v>
      </c>
      <c r="H19635" s="185"/>
    </row>
    <row r="19636">
      <c r="D19636" s="185"/>
      <c r="E19636" s="185" t="s">
        <v>470</v>
      </c>
      <c r="H19636" s="185"/>
    </row>
    <row r="19637">
      <c r="D19637" s="185"/>
      <c r="E19637" s="185" t="s">
        <v>470</v>
      </c>
      <c r="H19637" s="185"/>
    </row>
    <row r="19638">
      <c r="D19638" s="185"/>
      <c r="E19638" s="185" t="s">
        <v>470</v>
      </c>
      <c r="H19638" s="185"/>
    </row>
    <row r="19639">
      <c r="D19639" s="185"/>
      <c r="E19639" s="185" t="s">
        <v>470</v>
      </c>
      <c r="H19639" s="185"/>
    </row>
    <row r="19640">
      <c r="D19640" s="185"/>
      <c r="E19640" s="185" t="s">
        <v>470</v>
      </c>
      <c r="H19640" s="185"/>
    </row>
    <row r="19641">
      <c r="D19641" s="185"/>
      <c r="E19641" s="185" t="s">
        <v>470</v>
      </c>
      <c r="H19641" s="185"/>
    </row>
    <row r="19642">
      <c r="D19642" s="185"/>
      <c r="E19642" s="185" t="s">
        <v>470</v>
      </c>
      <c r="H19642" s="185"/>
    </row>
    <row r="19643">
      <c r="D19643" s="185"/>
      <c r="E19643" s="185" t="s">
        <v>470</v>
      </c>
      <c r="H19643" s="185"/>
    </row>
    <row r="19644">
      <c r="D19644" s="185"/>
      <c r="E19644" s="185" t="s">
        <v>470</v>
      </c>
      <c r="H19644" s="185"/>
    </row>
    <row r="19645">
      <c r="D19645" s="185"/>
      <c r="E19645" s="185" t="s">
        <v>470</v>
      </c>
      <c r="H19645" s="185"/>
    </row>
    <row r="19646">
      <c r="D19646" s="185"/>
      <c r="E19646" s="185" t="s">
        <v>470</v>
      </c>
      <c r="H19646" s="185"/>
    </row>
    <row r="19647">
      <c r="D19647" s="185"/>
      <c r="E19647" s="185" t="s">
        <v>470</v>
      </c>
      <c r="H19647" s="185"/>
    </row>
    <row r="19648">
      <c r="D19648" s="185"/>
      <c r="E19648" s="185" t="s">
        <v>470</v>
      </c>
      <c r="H19648" s="185"/>
    </row>
    <row r="19649">
      <c r="D19649" s="185"/>
      <c r="E19649" s="185" t="s">
        <v>470</v>
      </c>
      <c r="H19649" s="185"/>
    </row>
    <row r="19650">
      <c r="D19650" s="185"/>
      <c r="E19650" s="185" t="s">
        <v>470</v>
      </c>
      <c r="H19650" s="185"/>
    </row>
    <row r="19651">
      <c r="D19651" s="185"/>
      <c r="E19651" s="185" t="s">
        <v>470</v>
      </c>
      <c r="H19651" s="185"/>
    </row>
    <row r="19652">
      <c r="D19652" s="185"/>
      <c r="E19652" s="185" t="s">
        <v>470</v>
      </c>
      <c r="H19652" s="185"/>
    </row>
    <row r="19653">
      <c r="D19653" s="185"/>
      <c r="E19653" s="185" t="s">
        <v>470</v>
      </c>
      <c r="H19653" s="185"/>
    </row>
    <row r="19654">
      <c r="D19654" s="185"/>
      <c r="E19654" s="185" t="s">
        <v>470</v>
      </c>
      <c r="H19654" s="185"/>
    </row>
    <row r="19655">
      <c r="D19655" s="185"/>
      <c r="E19655" s="185" t="s">
        <v>470</v>
      </c>
      <c r="H19655" s="185"/>
    </row>
    <row r="19656">
      <c r="D19656" s="185"/>
      <c r="E19656" s="185" t="s">
        <v>470</v>
      </c>
      <c r="H19656" s="185"/>
    </row>
    <row r="19657">
      <c r="D19657" s="185"/>
      <c r="E19657" s="185" t="s">
        <v>470</v>
      </c>
      <c r="H19657" s="185"/>
    </row>
    <row r="19658">
      <c r="D19658" s="185"/>
      <c r="E19658" s="185" t="s">
        <v>470</v>
      </c>
      <c r="H19658" s="185"/>
    </row>
    <row r="19659">
      <c r="D19659" s="185"/>
      <c r="E19659" s="185" t="s">
        <v>470</v>
      </c>
      <c r="H19659" s="185"/>
    </row>
    <row r="19660">
      <c r="D19660" s="185"/>
      <c r="E19660" s="185" t="s">
        <v>470</v>
      </c>
      <c r="H19660" s="185"/>
    </row>
    <row r="19661">
      <c r="D19661" s="185"/>
      <c r="E19661" s="185" t="s">
        <v>470</v>
      </c>
      <c r="H19661" s="185"/>
    </row>
    <row r="19662">
      <c r="D19662" s="185"/>
      <c r="E19662" s="185" t="s">
        <v>470</v>
      </c>
      <c r="H19662" s="185"/>
    </row>
    <row r="19663">
      <c r="D19663" s="185"/>
      <c r="E19663" s="185" t="s">
        <v>470</v>
      </c>
      <c r="H19663" s="185"/>
    </row>
    <row r="19664">
      <c r="D19664" s="185"/>
      <c r="E19664" s="185" t="s">
        <v>470</v>
      </c>
      <c r="H19664" s="185"/>
    </row>
    <row r="19665">
      <c r="D19665" s="185"/>
      <c r="E19665" s="185" t="s">
        <v>470</v>
      </c>
      <c r="H19665" s="185"/>
    </row>
    <row r="19666">
      <c r="D19666" s="185"/>
      <c r="E19666" s="185" t="s">
        <v>470</v>
      </c>
      <c r="H19666" s="185"/>
    </row>
    <row r="19667">
      <c r="D19667" s="185"/>
      <c r="E19667" s="185" t="s">
        <v>470</v>
      </c>
      <c r="H19667" s="185"/>
    </row>
    <row r="19668">
      <c r="D19668" s="185"/>
      <c r="E19668" s="185" t="s">
        <v>470</v>
      </c>
      <c r="H19668" s="185"/>
    </row>
    <row r="19669">
      <c r="D19669" s="185"/>
      <c r="E19669" s="185" t="s">
        <v>470</v>
      </c>
      <c r="H19669" s="185"/>
    </row>
    <row r="19670">
      <c r="D19670" s="185"/>
      <c r="E19670" s="185" t="s">
        <v>470</v>
      </c>
      <c r="H19670" s="185"/>
    </row>
    <row r="19671">
      <c r="D19671" s="185"/>
      <c r="E19671" s="185" t="s">
        <v>470</v>
      </c>
      <c r="H19671" s="185"/>
    </row>
    <row r="19672">
      <c r="D19672" s="185"/>
      <c r="E19672" s="185" t="s">
        <v>470</v>
      </c>
      <c r="H19672" s="185"/>
    </row>
    <row r="19673">
      <c r="D19673" s="185"/>
      <c r="E19673" s="185" t="s">
        <v>470</v>
      </c>
      <c r="H19673" s="185"/>
    </row>
    <row r="19674">
      <c r="D19674" s="185"/>
      <c r="E19674" s="185" t="s">
        <v>470</v>
      </c>
      <c r="H19674" s="185"/>
    </row>
    <row r="19675">
      <c r="D19675" s="185"/>
      <c r="E19675" s="185" t="s">
        <v>470</v>
      </c>
      <c r="H19675" s="185"/>
    </row>
    <row r="19676">
      <c r="D19676" s="185"/>
      <c r="E19676" s="185" t="s">
        <v>470</v>
      </c>
      <c r="H19676" s="185"/>
    </row>
    <row r="19677">
      <c r="D19677" s="185"/>
      <c r="E19677" s="185" t="s">
        <v>470</v>
      </c>
      <c r="H19677" s="185"/>
    </row>
    <row r="19678">
      <c r="D19678" s="185"/>
      <c r="E19678" s="185" t="s">
        <v>470</v>
      </c>
      <c r="H19678" s="185"/>
    </row>
    <row r="19679">
      <c r="D19679" s="185"/>
      <c r="E19679" s="185" t="s">
        <v>470</v>
      </c>
      <c r="H19679" s="185"/>
    </row>
    <row r="19680">
      <c r="D19680" s="185"/>
      <c r="E19680" s="185" t="s">
        <v>470</v>
      </c>
      <c r="H19680" s="185"/>
    </row>
    <row r="19681">
      <c r="D19681" s="185"/>
      <c r="E19681" s="185" t="s">
        <v>470</v>
      </c>
      <c r="H19681" s="185"/>
    </row>
    <row r="19682">
      <c r="D19682" s="185"/>
      <c r="E19682" s="185" t="s">
        <v>470</v>
      </c>
      <c r="H19682" s="185"/>
    </row>
    <row r="19683">
      <c r="D19683" s="185"/>
      <c r="E19683" s="185" t="s">
        <v>470</v>
      </c>
      <c r="H19683" s="185"/>
    </row>
    <row r="19684">
      <c r="D19684" s="185"/>
      <c r="E19684" s="185" t="s">
        <v>470</v>
      </c>
      <c r="H19684" s="185"/>
    </row>
    <row r="19685">
      <c r="D19685" s="185"/>
      <c r="E19685" s="185" t="s">
        <v>470</v>
      </c>
      <c r="H19685" s="185"/>
    </row>
    <row r="19686">
      <c r="D19686" s="185"/>
      <c r="E19686" s="185" t="s">
        <v>470</v>
      </c>
      <c r="H19686" s="185"/>
    </row>
    <row r="19687">
      <c r="D19687" s="185"/>
      <c r="E19687" s="185" t="s">
        <v>470</v>
      </c>
      <c r="H19687" s="185"/>
    </row>
    <row r="19688">
      <c r="D19688" s="185"/>
      <c r="E19688" s="185" t="s">
        <v>470</v>
      </c>
      <c r="H19688" s="185"/>
    </row>
    <row r="19689">
      <c r="D19689" s="185"/>
      <c r="E19689" s="185" t="s">
        <v>470</v>
      </c>
      <c r="H19689" s="185"/>
    </row>
    <row r="19690">
      <c r="D19690" s="185"/>
      <c r="E19690" s="185" t="s">
        <v>470</v>
      </c>
      <c r="H19690" s="185"/>
    </row>
    <row r="19691">
      <c r="D19691" s="185"/>
      <c r="E19691" s="185" t="s">
        <v>470</v>
      </c>
      <c r="H19691" s="185"/>
    </row>
    <row r="19692">
      <c r="D19692" s="185"/>
      <c r="E19692" s="185" t="s">
        <v>470</v>
      </c>
      <c r="H19692" s="185"/>
    </row>
    <row r="19693">
      <c r="D19693" s="185"/>
      <c r="E19693" s="185" t="s">
        <v>470</v>
      </c>
      <c r="H19693" s="185"/>
    </row>
    <row r="19694">
      <c r="D19694" s="185"/>
      <c r="E19694" s="185" t="s">
        <v>470</v>
      </c>
      <c r="H19694" s="185"/>
    </row>
    <row r="19695">
      <c r="D19695" s="185"/>
      <c r="E19695" s="185" t="s">
        <v>470</v>
      </c>
      <c r="H19695" s="185"/>
    </row>
    <row r="19696">
      <c r="D19696" s="185"/>
      <c r="E19696" s="185" t="s">
        <v>470</v>
      </c>
      <c r="H19696" s="185"/>
    </row>
    <row r="19697">
      <c r="D19697" s="185"/>
      <c r="E19697" s="185" t="s">
        <v>470</v>
      </c>
      <c r="H19697" s="185"/>
    </row>
    <row r="19698">
      <c r="D19698" s="185"/>
      <c r="E19698" s="185" t="s">
        <v>470</v>
      </c>
      <c r="H19698" s="185"/>
    </row>
    <row r="19699">
      <c r="D19699" s="185"/>
      <c r="E19699" s="185" t="s">
        <v>470</v>
      </c>
      <c r="H19699" s="185"/>
    </row>
    <row r="19700">
      <c r="D19700" s="185"/>
      <c r="E19700" s="185" t="s">
        <v>470</v>
      </c>
      <c r="H19700" s="185"/>
    </row>
    <row r="19701">
      <c r="D19701" s="185"/>
      <c r="E19701" s="185" t="s">
        <v>470</v>
      </c>
      <c r="H19701" s="185"/>
    </row>
    <row r="19702">
      <c r="D19702" s="185"/>
      <c r="E19702" s="185" t="s">
        <v>470</v>
      </c>
      <c r="H19702" s="185"/>
    </row>
    <row r="19703">
      <c r="D19703" s="185"/>
      <c r="E19703" s="185" t="s">
        <v>470</v>
      </c>
      <c r="H19703" s="185"/>
    </row>
    <row r="19704">
      <c r="D19704" s="185"/>
      <c r="E19704" s="185" t="s">
        <v>470</v>
      </c>
      <c r="H19704" s="185"/>
    </row>
    <row r="19705">
      <c r="D19705" s="185"/>
      <c r="E19705" s="185" t="s">
        <v>470</v>
      </c>
      <c r="H19705" s="185"/>
    </row>
    <row r="19706">
      <c r="D19706" s="185"/>
      <c r="E19706" s="185" t="s">
        <v>470</v>
      </c>
      <c r="H19706" s="185"/>
    </row>
    <row r="19707">
      <c r="D19707" s="185"/>
      <c r="E19707" s="185" t="s">
        <v>470</v>
      </c>
      <c r="H19707" s="185"/>
    </row>
    <row r="19708">
      <c r="D19708" s="185"/>
      <c r="E19708" s="185" t="s">
        <v>470</v>
      </c>
      <c r="H19708" s="185"/>
    </row>
    <row r="19709">
      <c r="D19709" s="185"/>
      <c r="E19709" s="185" t="s">
        <v>470</v>
      </c>
      <c r="H19709" s="185"/>
    </row>
    <row r="19710">
      <c r="D19710" s="185"/>
      <c r="E19710" s="185" t="s">
        <v>470</v>
      </c>
      <c r="H19710" s="185"/>
    </row>
    <row r="19711">
      <c r="D19711" s="185"/>
      <c r="E19711" s="185" t="s">
        <v>470</v>
      </c>
      <c r="H19711" s="185"/>
    </row>
    <row r="19712">
      <c r="D19712" s="185"/>
      <c r="E19712" s="185" t="s">
        <v>470</v>
      </c>
      <c r="H19712" s="185"/>
    </row>
    <row r="19713">
      <c r="D19713" s="185"/>
      <c r="E19713" s="185" t="s">
        <v>470</v>
      </c>
      <c r="H19713" s="185"/>
    </row>
    <row r="19714">
      <c r="D19714" s="185"/>
      <c r="E19714" s="185" t="s">
        <v>470</v>
      </c>
      <c r="H19714" s="185"/>
    </row>
    <row r="19715">
      <c r="D19715" s="185"/>
      <c r="E19715" s="185" t="s">
        <v>470</v>
      </c>
      <c r="H19715" s="185"/>
    </row>
    <row r="19716">
      <c r="D19716" s="185"/>
      <c r="E19716" s="185" t="s">
        <v>470</v>
      </c>
      <c r="H19716" s="185"/>
    </row>
    <row r="19717">
      <c r="D19717" s="185"/>
      <c r="E19717" s="185" t="s">
        <v>470</v>
      </c>
      <c r="H19717" s="185"/>
    </row>
    <row r="19718">
      <c r="D19718" s="185"/>
      <c r="E19718" s="185" t="s">
        <v>470</v>
      </c>
      <c r="H19718" s="185"/>
    </row>
    <row r="19719">
      <c r="D19719" s="185"/>
      <c r="E19719" s="185" t="s">
        <v>470</v>
      </c>
      <c r="H19719" s="185"/>
    </row>
    <row r="19720">
      <c r="D19720" s="185"/>
      <c r="E19720" s="185" t="s">
        <v>470</v>
      </c>
      <c r="H19720" s="185"/>
    </row>
    <row r="19721">
      <c r="D19721" s="185"/>
      <c r="E19721" s="185" t="s">
        <v>470</v>
      </c>
      <c r="H19721" s="185"/>
    </row>
    <row r="19722">
      <c r="D19722" s="185"/>
      <c r="E19722" s="185" t="s">
        <v>470</v>
      </c>
      <c r="H19722" s="185"/>
    </row>
    <row r="19723">
      <c r="D19723" s="185"/>
      <c r="E19723" s="185" t="s">
        <v>470</v>
      </c>
      <c r="H19723" s="185"/>
    </row>
    <row r="19724">
      <c r="D19724" s="185"/>
      <c r="E19724" s="185" t="s">
        <v>470</v>
      </c>
      <c r="H19724" s="185"/>
    </row>
    <row r="19725">
      <c r="D19725" s="185"/>
      <c r="E19725" s="185" t="s">
        <v>470</v>
      </c>
      <c r="H19725" s="185"/>
    </row>
    <row r="19726">
      <c r="D19726" s="185"/>
      <c r="E19726" s="185" t="s">
        <v>470</v>
      </c>
      <c r="H19726" s="185"/>
    </row>
    <row r="19727">
      <c r="D19727" s="185"/>
      <c r="E19727" s="185" t="s">
        <v>470</v>
      </c>
      <c r="H19727" s="185"/>
    </row>
    <row r="19728">
      <c r="D19728" s="185"/>
      <c r="E19728" s="185" t="s">
        <v>470</v>
      </c>
      <c r="H19728" s="185"/>
    </row>
    <row r="19729">
      <c r="D19729" s="185"/>
      <c r="E19729" s="185" t="s">
        <v>470</v>
      </c>
      <c r="H19729" s="185"/>
    </row>
    <row r="19730">
      <c r="D19730" s="185"/>
      <c r="E19730" s="185" t="s">
        <v>470</v>
      </c>
      <c r="H19730" s="185"/>
    </row>
    <row r="19731">
      <c r="D19731" s="185"/>
      <c r="E19731" s="185" t="s">
        <v>470</v>
      </c>
      <c r="H19731" s="185"/>
    </row>
    <row r="19732">
      <c r="D19732" s="185"/>
      <c r="E19732" s="185" t="s">
        <v>470</v>
      </c>
      <c r="H19732" s="185"/>
    </row>
    <row r="19733">
      <c r="D19733" s="185"/>
      <c r="E19733" s="185" t="s">
        <v>470</v>
      </c>
      <c r="H19733" s="185"/>
    </row>
    <row r="19734">
      <c r="D19734" s="185"/>
      <c r="E19734" s="185" t="s">
        <v>470</v>
      </c>
      <c r="H19734" s="185"/>
    </row>
    <row r="19735">
      <c r="D19735" s="185"/>
      <c r="E19735" s="185" t="s">
        <v>470</v>
      </c>
      <c r="H19735" s="185"/>
    </row>
    <row r="19736">
      <c r="D19736" s="185"/>
      <c r="E19736" s="185" t="s">
        <v>470</v>
      </c>
      <c r="H19736" s="185"/>
    </row>
    <row r="19737">
      <c r="D19737" s="185"/>
      <c r="E19737" s="185" t="s">
        <v>470</v>
      </c>
      <c r="H19737" s="185"/>
    </row>
    <row r="19738">
      <c r="D19738" s="185"/>
      <c r="E19738" s="185" t="s">
        <v>470</v>
      </c>
      <c r="H19738" s="185"/>
    </row>
    <row r="19739">
      <c r="D19739" s="185"/>
      <c r="E19739" s="185" t="s">
        <v>470</v>
      </c>
      <c r="H19739" s="185"/>
    </row>
    <row r="19740">
      <c r="D19740" s="185"/>
      <c r="E19740" s="185" t="s">
        <v>470</v>
      </c>
      <c r="H19740" s="185"/>
    </row>
    <row r="19741">
      <c r="D19741" s="185"/>
      <c r="E19741" s="185" t="s">
        <v>470</v>
      </c>
      <c r="H19741" s="185"/>
    </row>
    <row r="19742">
      <c r="D19742" s="185"/>
      <c r="E19742" s="185" t="s">
        <v>470</v>
      </c>
      <c r="H19742" s="185"/>
    </row>
    <row r="19743">
      <c r="D19743" s="185"/>
      <c r="E19743" s="185" t="s">
        <v>470</v>
      </c>
      <c r="H19743" s="185"/>
    </row>
    <row r="19744">
      <c r="D19744" s="185"/>
      <c r="E19744" s="185" t="s">
        <v>470</v>
      </c>
      <c r="H19744" s="185"/>
    </row>
    <row r="19745">
      <c r="D19745" s="185"/>
      <c r="E19745" s="185" t="s">
        <v>470</v>
      </c>
      <c r="H19745" s="185"/>
    </row>
    <row r="19746">
      <c r="D19746" s="185"/>
      <c r="E19746" s="185" t="s">
        <v>470</v>
      </c>
      <c r="H19746" s="185"/>
    </row>
    <row r="19747">
      <c r="D19747" s="185"/>
      <c r="E19747" s="185" t="s">
        <v>470</v>
      </c>
      <c r="H19747" s="185"/>
    </row>
    <row r="19748">
      <c r="D19748" s="185"/>
      <c r="E19748" s="185" t="s">
        <v>470</v>
      </c>
      <c r="H19748" s="185"/>
    </row>
    <row r="19749">
      <c r="D19749" s="185"/>
      <c r="E19749" s="185" t="s">
        <v>470</v>
      </c>
      <c r="H19749" s="185"/>
    </row>
    <row r="19750">
      <c r="D19750" s="185"/>
      <c r="E19750" s="185" t="s">
        <v>470</v>
      </c>
      <c r="H19750" s="185"/>
    </row>
    <row r="19751">
      <c r="D19751" s="185"/>
      <c r="E19751" s="185" t="s">
        <v>470</v>
      </c>
      <c r="H19751" s="185"/>
    </row>
    <row r="19752">
      <c r="D19752" s="185"/>
      <c r="E19752" s="185" t="s">
        <v>470</v>
      </c>
      <c r="H19752" s="185"/>
    </row>
    <row r="19753">
      <c r="D19753" s="185"/>
      <c r="E19753" s="185" t="s">
        <v>470</v>
      </c>
      <c r="H19753" s="185"/>
    </row>
    <row r="19754">
      <c r="D19754" s="185"/>
      <c r="E19754" s="185" t="s">
        <v>470</v>
      </c>
      <c r="H19754" s="185"/>
    </row>
    <row r="19755">
      <c r="D19755" s="185"/>
      <c r="E19755" s="185" t="s">
        <v>470</v>
      </c>
      <c r="H19755" s="185"/>
    </row>
    <row r="19756">
      <c r="D19756" s="185"/>
      <c r="E19756" s="185" t="s">
        <v>470</v>
      </c>
      <c r="H19756" s="185"/>
    </row>
    <row r="19757">
      <c r="D19757" s="185"/>
      <c r="E19757" s="185" t="s">
        <v>470</v>
      </c>
      <c r="H19757" s="185"/>
    </row>
    <row r="19758">
      <c r="D19758" s="185"/>
      <c r="E19758" s="185" t="s">
        <v>470</v>
      </c>
      <c r="H19758" s="185"/>
    </row>
    <row r="19759">
      <c r="D19759" s="185"/>
      <c r="E19759" s="185" t="s">
        <v>470</v>
      </c>
      <c r="H19759" s="185"/>
    </row>
    <row r="19760">
      <c r="D19760" s="185"/>
      <c r="E19760" s="185" t="s">
        <v>470</v>
      </c>
      <c r="H19760" s="185"/>
    </row>
    <row r="19761">
      <c r="D19761" s="185"/>
      <c r="E19761" s="185" t="s">
        <v>470</v>
      </c>
      <c r="H19761" s="185"/>
    </row>
    <row r="19762">
      <c r="D19762" s="185"/>
      <c r="E19762" s="185" t="s">
        <v>470</v>
      </c>
      <c r="H19762" s="185"/>
    </row>
    <row r="19763">
      <c r="D19763" s="185"/>
      <c r="E19763" s="185" t="s">
        <v>470</v>
      </c>
      <c r="H19763" s="185"/>
    </row>
    <row r="19764">
      <c r="D19764" s="185"/>
      <c r="E19764" s="185" t="s">
        <v>470</v>
      </c>
      <c r="H19764" s="185"/>
    </row>
    <row r="19765">
      <c r="D19765" s="185"/>
      <c r="E19765" s="185" t="s">
        <v>470</v>
      </c>
      <c r="H19765" s="185"/>
    </row>
    <row r="19766">
      <c r="D19766" s="185"/>
      <c r="E19766" s="185" t="s">
        <v>470</v>
      </c>
      <c r="H19766" s="185"/>
    </row>
    <row r="19767">
      <c r="D19767" s="185"/>
      <c r="E19767" s="185" t="s">
        <v>470</v>
      </c>
      <c r="H19767" s="185"/>
    </row>
    <row r="19768">
      <c r="D19768" s="185"/>
      <c r="E19768" s="185" t="s">
        <v>470</v>
      </c>
      <c r="H19768" s="185"/>
    </row>
    <row r="19769">
      <c r="D19769" s="185"/>
      <c r="E19769" s="185" t="s">
        <v>470</v>
      </c>
      <c r="H19769" s="185"/>
    </row>
    <row r="19770">
      <c r="D19770" s="185"/>
      <c r="E19770" s="185" t="s">
        <v>470</v>
      </c>
      <c r="H19770" s="185"/>
    </row>
    <row r="19771">
      <c r="D19771" s="185"/>
      <c r="E19771" s="185" t="s">
        <v>470</v>
      </c>
      <c r="H19771" s="185"/>
    </row>
    <row r="19772">
      <c r="D19772" s="185"/>
      <c r="E19772" s="185" t="s">
        <v>470</v>
      </c>
      <c r="H19772" s="185"/>
    </row>
    <row r="19773">
      <c r="D19773" s="185"/>
      <c r="E19773" s="185" t="s">
        <v>470</v>
      </c>
      <c r="H19773" s="185"/>
    </row>
    <row r="19774">
      <c r="D19774" s="185"/>
      <c r="E19774" s="185" t="s">
        <v>470</v>
      </c>
      <c r="H19774" s="185"/>
    </row>
    <row r="19775">
      <c r="D19775" s="185"/>
      <c r="E19775" s="185" t="s">
        <v>470</v>
      </c>
      <c r="H19775" s="185"/>
    </row>
    <row r="19776">
      <c r="D19776" s="185"/>
      <c r="E19776" s="185" t="s">
        <v>470</v>
      </c>
      <c r="H19776" s="185"/>
    </row>
    <row r="19777">
      <c r="D19777" s="185"/>
      <c r="E19777" s="185" t="s">
        <v>470</v>
      </c>
      <c r="H19777" s="185"/>
    </row>
    <row r="19778">
      <c r="D19778" s="185"/>
      <c r="E19778" s="185" t="s">
        <v>470</v>
      </c>
      <c r="H19778" s="185"/>
    </row>
    <row r="19779">
      <c r="D19779" s="185"/>
      <c r="E19779" s="185" t="s">
        <v>470</v>
      </c>
      <c r="H19779" s="185"/>
    </row>
    <row r="19780">
      <c r="D19780" s="185"/>
      <c r="E19780" s="185" t="s">
        <v>470</v>
      </c>
      <c r="H19780" s="185"/>
    </row>
    <row r="19781">
      <c r="D19781" s="185"/>
      <c r="E19781" s="185" t="s">
        <v>470</v>
      </c>
      <c r="H19781" s="185"/>
    </row>
    <row r="19782">
      <c r="D19782" s="185"/>
      <c r="E19782" s="185" t="s">
        <v>470</v>
      </c>
      <c r="H19782" s="185"/>
    </row>
    <row r="19783">
      <c r="D19783" s="185"/>
      <c r="E19783" s="185" t="s">
        <v>470</v>
      </c>
      <c r="H19783" s="185"/>
    </row>
    <row r="19784">
      <c r="D19784" s="185"/>
      <c r="E19784" s="185" t="s">
        <v>470</v>
      </c>
      <c r="H19784" s="185"/>
    </row>
    <row r="19785">
      <c r="D19785" s="185"/>
      <c r="E19785" s="185" t="s">
        <v>470</v>
      </c>
      <c r="H19785" s="185"/>
    </row>
    <row r="19786">
      <c r="D19786" s="185"/>
      <c r="E19786" s="185" t="s">
        <v>470</v>
      </c>
      <c r="H19786" s="185"/>
    </row>
    <row r="19787">
      <c r="D19787" s="185"/>
      <c r="E19787" s="185" t="s">
        <v>470</v>
      </c>
      <c r="H19787" s="185"/>
    </row>
    <row r="19788">
      <c r="D19788" s="185"/>
      <c r="E19788" s="185" t="s">
        <v>470</v>
      </c>
      <c r="H19788" s="185"/>
    </row>
    <row r="19789">
      <c r="D19789" s="185"/>
      <c r="E19789" s="185" t="s">
        <v>470</v>
      </c>
      <c r="H19789" s="185"/>
    </row>
    <row r="19790">
      <c r="D19790" s="185"/>
      <c r="E19790" s="185" t="s">
        <v>470</v>
      </c>
      <c r="H19790" s="185"/>
    </row>
    <row r="19791">
      <c r="D19791" s="185"/>
      <c r="E19791" s="185" t="s">
        <v>470</v>
      </c>
      <c r="H19791" s="185"/>
    </row>
    <row r="19792">
      <c r="D19792" s="185"/>
      <c r="E19792" s="185" t="s">
        <v>470</v>
      </c>
      <c r="H19792" s="185"/>
    </row>
    <row r="19793">
      <c r="D19793" s="185"/>
      <c r="E19793" s="185" t="s">
        <v>470</v>
      </c>
      <c r="H19793" s="185"/>
    </row>
    <row r="19794">
      <c r="D19794" s="185"/>
      <c r="E19794" s="185" t="s">
        <v>470</v>
      </c>
      <c r="H19794" s="185"/>
    </row>
    <row r="19795">
      <c r="D19795" s="185"/>
      <c r="E19795" s="185" t="s">
        <v>470</v>
      </c>
      <c r="H19795" s="185"/>
    </row>
    <row r="19796">
      <c r="D19796" s="185"/>
      <c r="E19796" s="185" t="s">
        <v>470</v>
      </c>
      <c r="H19796" s="185"/>
    </row>
    <row r="19797">
      <c r="D19797" s="185"/>
      <c r="E19797" s="185" t="s">
        <v>470</v>
      </c>
      <c r="H19797" s="185"/>
    </row>
    <row r="19798">
      <c r="D19798" s="185"/>
      <c r="E19798" s="185" t="s">
        <v>470</v>
      </c>
      <c r="H19798" s="185"/>
    </row>
    <row r="19799">
      <c r="D19799" s="185"/>
      <c r="E19799" s="185" t="s">
        <v>470</v>
      </c>
      <c r="H19799" s="185"/>
    </row>
    <row r="19800">
      <c r="D19800" s="185"/>
      <c r="E19800" s="185" t="s">
        <v>470</v>
      </c>
      <c r="H19800" s="185"/>
    </row>
    <row r="19801">
      <c r="D19801" s="185"/>
      <c r="E19801" s="185" t="s">
        <v>470</v>
      </c>
      <c r="H19801" s="185"/>
    </row>
    <row r="19802">
      <c r="D19802" s="185"/>
      <c r="E19802" s="185" t="s">
        <v>470</v>
      </c>
      <c r="H19802" s="185"/>
    </row>
    <row r="19803">
      <c r="D19803" s="185"/>
      <c r="E19803" s="185" t="s">
        <v>470</v>
      </c>
      <c r="H19803" s="185"/>
    </row>
    <row r="19804">
      <c r="D19804" s="185"/>
      <c r="E19804" s="185" t="s">
        <v>470</v>
      </c>
      <c r="H19804" s="185"/>
    </row>
    <row r="19805">
      <c r="D19805" s="185"/>
      <c r="E19805" s="185" t="s">
        <v>470</v>
      </c>
      <c r="H19805" s="185"/>
    </row>
    <row r="19806">
      <c r="D19806" s="185"/>
      <c r="E19806" s="185" t="s">
        <v>470</v>
      </c>
      <c r="H19806" s="185"/>
    </row>
    <row r="19807">
      <c r="D19807" s="185"/>
      <c r="E19807" s="185" t="s">
        <v>470</v>
      </c>
      <c r="H19807" s="185"/>
    </row>
    <row r="19808">
      <c r="D19808" s="185"/>
      <c r="E19808" s="185" t="s">
        <v>470</v>
      </c>
      <c r="H19808" s="185"/>
    </row>
    <row r="19809">
      <c r="D19809" s="185"/>
      <c r="E19809" s="185" t="s">
        <v>470</v>
      </c>
      <c r="H19809" s="185"/>
    </row>
    <row r="19810">
      <c r="D19810" s="185"/>
      <c r="E19810" s="185" t="s">
        <v>470</v>
      </c>
      <c r="H19810" s="185"/>
    </row>
    <row r="19811">
      <c r="D19811" s="185"/>
      <c r="E19811" s="185" t="s">
        <v>470</v>
      </c>
      <c r="H19811" s="185"/>
    </row>
    <row r="19812">
      <c r="D19812" s="185"/>
      <c r="E19812" s="185" t="s">
        <v>470</v>
      </c>
      <c r="H19812" s="185"/>
    </row>
    <row r="19813">
      <c r="D19813" s="185"/>
      <c r="E19813" s="185" t="s">
        <v>470</v>
      </c>
      <c r="H19813" s="185"/>
    </row>
    <row r="19814">
      <c r="D19814" s="185"/>
      <c r="E19814" s="185" t="s">
        <v>470</v>
      </c>
      <c r="H19814" s="185"/>
    </row>
    <row r="19815">
      <c r="D19815" s="185"/>
      <c r="E19815" s="185" t="s">
        <v>470</v>
      </c>
      <c r="H19815" s="185"/>
    </row>
    <row r="19816">
      <c r="D19816" s="185"/>
      <c r="E19816" s="185" t="s">
        <v>470</v>
      </c>
      <c r="H19816" s="185"/>
    </row>
    <row r="19817">
      <c r="D19817" s="185"/>
      <c r="E19817" s="185" t="s">
        <v>470</v>
      </c>
      <c r="H19817" s="185"/>
    </row>
    <row r="19818">
      <c r="D19818" s="185"/>
      <c r="E19818" s="185" t="s">
        <v>470</v>
      </c>
      <c r="H19818" s="185"/>
    </row>
    <row r="19819">
      <c r="D19819" s="185"/>
      <c r="E19819" s="185" t="s">
        <v>470</v>
      </c>
      <c r="H19819" s="185"/>
    </row>
    <row r="19820">
      <c r="D19820" s="185"/>
      <c r="E19820" s="185" t="s">
        <v>470</v>
      </c>
      <c r="H19820" s="185"/>
    </row>
    <row r="19821">
      <c r="D19821" s="185"/>
      <c r="E19821" s="185" t="s">
        <v>470</v>
      </c>
      <c r="H19821" s="185"/>
    </row>
    <row r="19822">
      <c r="D19822" s="185"/>
      <c r="E19822" s="185" t="s">
        <v>470</v>
      </c>
      <c r="H19822" s="185"/>
    </row>
    <row r="19823">
      <c r="D19823" s="185"/>
      <c r="E19823" s="185" t="s">
        <v>470</v>
      </c>
      <c r="H19823" s="185"/>
    </row>
    <row r="19824">
      <c r="D19824" s="185"/>
      <c r="E19824" s="185" t="s">
        <v>470</v>
      </c>
      <c r="H19824" s="185"/>
    </row>
    <row r="19825">
      <c r="D19825" s="185"/>
      <c r="E19825" s="185" t="s">
        <v>470</v>
      </c>
      <c r="H19825" s="185"/>
    </row>
    <row r="19826">
      <c r="D19826" s="185"/>
      <c r="E19826" s="185" t="s">
        <v>470</v>
      </c>
      <c r="H19826" s="185"/>
    </row>
    <row r="19827">
      <c r="D19827" s="185"/>
      <c r="E19827" s="185" t="s">
        <v>470</v>
      </c>
      <c r="H19827" s="185"/>
    </row>
    <row r="19828">
      <c r="D19828" s="185"/>
      <c r="E19828" s="185" t="s">
        <v>470</v>
      </c>
      <c r="H19828" s="185"/>
    </row>
    <row r="19829">
      <c r="D19829" s="185"/>
      <c r="E19829" s="185" t="s">
        <v>470</v>
      </c>
      <c r="H19829" s="185"/>
    </row>
    <row r="19830">
      <c r="D19830" s="185"/>
      <c r="E19830" s="185" t="s">
        <v>470</v>
      </c>
      <c r="H19830" s="185"/>
    </row>
    <row r="19831">
      <c r="D19831" s="185"/>
      <c r="E19831" s="185" t="s">
        <v>470</v>
      </c>
      <c r="H19831" s="185"/>
    </row>
    <row r="19832">
      <c r="D19832" s="185"/>
      <c r="E19832" s="185" t="s">
        <v>470</v>
      </c>
      <c r="H19832" s="185"/>
    </row>
    <row r="19833">
      <c r="D19833" s="185"/>
      <c r="E19833" s="185" t="s">
        <v>470</v>
      </c>
      <c r="H19833" s="185"/>
    </row>
    <row r="19834">
      <c r="D19834" s="185"/>
      <c r="E19834" s="185" t="s">
        <v>470</v>
      </c>
      <c r="H19834" s="185"/>
    </row>
    <row r="19835">
      <c r="D19835" s="185"/>
      <c r="E19835" s="185" t="s">
        <v>470</v>
      </c>
      <c r="H19835" s="185"/>
    </row>
    <row r="19836">
      <c r="D19836" s="185"/>
      <c r="E19836" s="185" t="s">
        <v>470</v>
      </c>
      <c r="H19836" s="185"/>
    </row>
    <row r="19837">
      <c r="D19837" s="185"/>
      <c r="E19837" s="185" t="s">
        <v>470</v>
      </c>
      <c r="H19837" s="185"/>
    </row>
    <row r="19838">
      <c r="D19838" s="185"/>
      <c r="E19838" s="185" t="s">
        <v>470</v>
      </c>
      <c r="H19838" s="185"/>
    </row>
    <row r="19839">
      <c r="D19839" s="185"/>
      <c r="E19839" s="185" t="s">
        <v>470</v>
      </c>
      <c r="H19839" s="185"/>
    </row>
    <row r="19840">
      <c r="D19840" s="185"/>
      <c r="E19840" s="185" t="s">
        <v>470</v>
      </c>
      <c r="H19840" s="185"/>
    </row>
    <row r="19841">
      <c r="D19841" s="185"/>
      <c r="E19841" s="185" t="s">
        <v>470</v>
      </c>
      <c r="H19841" s="185"/>
    </row>
    <row r="19842">
      <c r="D19842" s="185"/>
      <c r="E19842" s="185" t="s">
        <v>470</v>
      </c>
      <c r="H19842" s="185"/>
    </row>
    <row r="19843">
      <c r="D19843" s="185"/>
      <c r="E19843" s="185" t="s">
        <v>470</v>
      </c>
      <c r="H19843" s="185"/>
    </row>
    <row r="19844">
      <c r="D19844" s="185"/>
      <c r="E19844" s="185" t="s">
        <v>470</v>
      </c>
      <c r="H19844" s="185"/>
    </row>
    <row r="19845">
      <c r="D19845" s="185"/>
      <c r="E19845" s="185" t="s">
        <v>470</v>
      </c>
      <c r="H19845" s="185"/>
    </row>
    <row r="19846">
      <c r="D19846" s="185"/>
      <c r="E19846" s="185" t="s">
        <v>470</v>
      </c>
      <c r="H19846" s="185"/>
    </row>
    <row r="19847">
      <c r="D19847" s="185"/>
      <c r="E19847" s="185" t="s">
        <v>470</v>
      </c>
      <c r="H19847" s="185"/>
    </row>
    <row r="19848">
      <c r="D19848" s="185"/>
      <c r="E19848" s="185" t="s">
        <v>470</v>
      </c>
      <c r="H19848" s="185"/>
    </row>
    <row r="19849">
      <c r="D19849" s="185"/>
      <c r="E19849" s="185" t="s">
        <v>470</v>
      </c>
      <c r="H19849" s="185"/>
    </row>
    <row r="19850">
      <c r="D19850" s="185"/>
      <c r="E19850" s="185" t="s">
        <v>470</v>
      </c>
      <c r="H19850" s="185"/>
    </row>
    <row r="19851">
      <c r="D19851" s="185"/>
      <c r="E19851" s="185" t="s">
        <v>470</v>
      </c>
      <c r="H19851" s="185"/>
    </row>
    <row r="19852">
      <c r="D19852" s="185"/>
      <c r="E19852" s="185" t="s">
        <v>470</v>
      </c>
      <c r="H19852" s="185"/>
    </row>
    <row r="19853">
      <c r="D19853" s="185"/>
      <c r="E19853" s="185" t="s">
        <v>470</v>
      </c>
      <c r="H19853" s="185"/>
    </row>
    <row r="19854">
      <c r="D19854" s="185"/>
      <c r="E19854" s="185" t="s">
        <v>470</v>
      </c>
      <c r="H19854" s="185"/>
    </row>
    <row r="19855">
      <c r="D19855" s="185"/>
      <c r="E19855" s="185" t="s">
        <v>470</v>
      </c>
      <c r="H19855" s="185"/>
    </row>
    <row r="19856">
      <c r="D19856" s="185"/>
      <c r="E19856" s="185" t="s">
        <v>470</v>
      </c>
      <c r="H19856" s="185"/>
    </row>
    <row r="19857">
      <c r="D19857" s="185"/>
      <c r="E19857" s="185" t="s">
        <v>470</v>
      </c>
      <c r="H19857" s="185"/>
    </row>
    <row r="19858">
      <c r="D19858" s="185"/>
      <c r="E19858" s="185" t="s">
        <v>470</v>
      </c>
      <c r="H19858" s="185"/>
    </row>
    <row r="19859">
      <c r="D19859" s="185"/>
      <c r="E19859" s="185" t="s">
        <v>470</v>
      </c>
      <c r="H19859" s="185"/>
    </row>
    <row r="19860">
      <c r="D19860" s="185"/>
      <c r="E19860" s="185" t="s">
        <v>470</v>
      </c>
      <c r="H19860" s="185"/>
    </row>
    <row r="19861">
      <c r="D19861" s="185"/>
      <c r="E19861" s="185" t="s">
        <v>470</v>
      </c>
      <c r="H19861" s="185"/>
    </row>
    <row r="19862">
      <c r="D19862" s="185"/>
      <c r="E19862" s="185" t="s">
        <v>470</v>
      </c>
      <c r="H19862" s="185"/>
    </row>
    <row r="19863">
      <c r="D19863" s="185"/>
      <c r="E19863" s="185" t="s">
        <v>470</v>
      </c>
      <c r="H19863" s="185"/>
    </row>
    <row r="19864">
      <c r="D19864" s="185"/>
      <c r="E19864" s="185" t="s">
        <v>470</v>
      </c>
      <c r="H19864" s="185"/>
    </row>
    <row r="19865">
      <c r="D19865" s="185"/>
      <c r="E19865" s="185" t="s">
        <v>470</v>
      </c>
      <c r="H19865" s="185"/>
    </row>
    <row r="19866">
      <c r="D19866" s="185"/>
      <c r="E19866" s="185" t="s">
        <v>470</v>
      </c>
      <c r="H19866" s="185"/>
    </row>
    <row r="19867">
      <c r="D19867" s="185"/>
      <c r="E19867" s="185" t="s">
        <v>470</v>
      </c>
      <c r="H19867" s="185"/>
    </row>
    <row r="19868">
      <c r="D19868" s="185"/>
      <c r="E19868" s="185" t="s">
        <v>470</v>
      </c>
      <c r="H19868" s="185"/>
    </row>
    <row r="19869">
      <c r="D19869" s="185"/>
      <c r="E19869" s="185" t="s">
        <v>470</v>
      </c>
      <c r="H19869" s="185"/>
    </row>
    <row r="19870">
      <c r="D19870" s="185"/>
      <c r="E19870" s="185" t="s">
        <v>470</v>
      </c>
      <c r="H19870" s="185"/>
    </row>
    <row r="19871">
      <c r="D19871" s="185"/>
      <c r="E19871" s="185" t="s">
        <v>470</v>
      </c>
      <c r="H19871" s="185"/>
    </row>
    <row r="19872">
      <c r="D19872" s="185"/>
      <c r="E19872" s="185" t="s">
        <v>470</v>
      </c>
      <c r="H19872" s="185"/>
    </row>
    <row r="19873">
      <c r="D19873" s="185"/>
      <c r="E19873" s="185" t="s">
        <v>470</v>
      </c>
      <c r="H19873" s="185"/>
    </row>
    <row r="19874">
      <c r="D19874" s="185"/>
      <c r="E19874" s="185" t="s">
        <v>470</v>
      </c>
      <c r="H19874" s="185"/>
    </row>
    <row r="19875">
      <c r="D19875" s="185"/>
      <c r="E19875" s="185" t="s">
        <v>470</v>
      </c>
      <c r="H19875" s="185"/>
    </row>
    <row r="19876">
      <c r="D19876" s="185"/>
      <c r="E19876" s="185" t="s">
        <v>470</v>
      </c>
      <c r="H19876" s="185"/>
    </row>
    <row r="19877">
      <c r="D19877" s="185"/>
      <c r="E19877" s="185" t="s">
        <v>470</v>
      </c>
      <c r="H19877" s="185"/>
    </row>
    <row r="19878">
      <c r="D19878" s="185"/>
      <c r="E19878" s="185" t="s">
        <v>470</v>
      </c>
      <c r="H19878" s="185"/>
    </row>
    <row r="19879">
      <c r="D19879" s="185"/>
      <c r="E19879" s="185" t="s">
        <v>470</v>
      </c>
      <c r="H19879" s="185"/>
    </row>
    <row r="19880">
      <c r="D19880" s="185"/>
      <c r="E19880" s="185" t="s">
        <v>470</v>
      </c>
      <c r="H19880" s="185"/>
    </row>
    <row r="19881">
      <c r="D19881" s="185"/>
      <c r="E19881" s="185" t="s">
        <v>470</v>
      </c>
      <c r="H19881" s="185"/>
    </row>
    <row r="19882">
      <c r="D19882" s="185"/>
      <c r="E19882" s="185" t="s">
        <v>470</v>
      </c>
      <c r="H19882" s="185"/>
    </row>
    <row r="19883">
      <c r="D19883" s="185"/>
      <c r="E19883" s="185" t="s">
        <v>470</v>
      </c>
      <c r="H19883" s="185"/>
    </row>
    <row r="19884">
      <c r="D19884" s="185"/>
      <c r="E19884" s="185" t="s">
        <v>470</v>
      </c>
      <c r="H19884" s="185"/>
    </row>
    <row r="19885">
      <c r="D19885" s="185"/>
      <c r="E19885" s="185" t="s">
        <v>470</v>
      </c>
      <c r="H19885" s="185"/>
    </row>
    <row r="19886">
      <c r="D19886" s="185"/>
      <c r="E19886" s="185" t="s">
        <v>470</v>
      </c>
      <c r="H19886" s="185"/>
    </row>
    <row r="19887">
      <c r="D19887" s="185"/>
      <c r="E19887" s="185" t="s">
        <v>470</v>
      </c>
      <c r="H19887" s="185"/>
    </row>
    <row r="19888">
      <c r="D19888" s="185"/>
      <c r="E19888" s="185" t="s">
        <v>470</v>
      </c>
      <c r="H19888" s="185"/>
    </row>
    <row r="19889">
      <c r="D19889" s="185"/>
      <c r="E19889" s="185" t="s">
        <v>470</v>
      </c>
      <c r="H19889" s="185"/>
    </row>
    <row r="19890">
      <c r="D19890" s="185"/>
      <c r="E19890" s="185" t="s">
        <v>470</v>
      </c>
      <c r="H19890" s="185"/>
    </row>
    <row r="19891">
      <c r="D19891" s="185"/>
      <c r="E19891" s="185" t="s">
        <v>470</v>
      </c>
      <c r="H19891" s="185"/>
    </row>
    <row r="19892">
      <c r="D19892" s="185"/>
      <c r="E19892" s="185" t="s">
        <v>470</v>
      </c>
      <c r="H19892" s="185"/>
    </row>
    <row r="19893">
      <c r="D19893" s="185"/>
      <c r="E19893" s="185" t="s">
        <v>470</v>
      </c>
      <c r="H19893" s="185"/>
    </row>
    <row r="19894">
      <c r="D19894" s="185"/>
      <c r="E19894" s="185" t="s">
        <v>470</v>
      </c>
      <c r="H19894" s="185"/>
    </row>
    <row r="19895">
      <c r="D19895" s="185"/>
      <c r="E19895" s="185" t="s">
        <v>470</v>
      </c>
      <c r="H19895" s="185"/>
    </row>
    <row r="19896">
      <c r="D19896" s="185"/>
      <c r="E19896" s="185" t="s">
        <v>470</v>
      </c>
      <c r="H19896" s="185"/>
    </row>
    <row r="19897">
      <c r="D19897" s="185"/>
      <c r="E19897" s="185" t="s">
        <v>470</v>
      </c>
      <c r="H19897" s="185"/>
    </row>
    <row r="19898">
      <c r="D19898" s="185"/>
      <c r="E19898" s="185" t="s">
        <v>470</v>
      </c>
      <c r="H19898" s="185"/>
    </row>
    <row r="19899">
      <c r="D19899" s="185"/>
      <c r="E19899" s="185" t="s">
        <v>470</v>
      </c>
      <c r="H19899" s="185"/>
    </row>
    <row r="19900">
      <c r="D19900" s="185"/>
      <c r="E19900" s="185" t="s">
        <v>470</v>
      </c>
      <c r="H19900" s="185"/>
    </row>
    <row r="19901">
      <c r="D19901" s="185"/>
      <c r="E19901" s="185" t="s">
        <v>470</v>
      </c>
      <c r="H19901" s="185"/>
    </row>
    <row r="19902">
      <c r="D19902" s="185"/>
      <c r="E19902" s="185" t="s">
        <v>470</v>
      </c>
      <c r="H19902" s="185"/>
    </row>
    <row r="19903">
      <c r="D19903" s="185"/>
      <c r="E19903" s="185" t="s">
        <v>470</v>
      </c>
      <c r="H19903" s="185"/>
    </row>
    <row r="19904">
      <c r="D19904" s="185"/>
      <c r="E19904" s="185" t="s">
        <v>470</v>
      </c>
      <c r="H19904" s="185"/>
    </row>
    <row r="19905">
      <c r="D19905" s="185"/>
      <c r="E19905" s="185" t="s">
        <v>470</v>
      </c>
      <c r="H19905" s="185"/>
    </row>
    <row r="19906">
      <c r="D19906" s="185"/>
      <c r="E19906" s="185" t="s">
        <v>470</v>
      </c>
      <c r="H19906" s="185"/>
    </row>
    <row r="19907">
      <c r="D19907" s="185"/>
      <c r="E19907" s="185" t="s">
        <v>470</v>
      </c>
      <c r="H19907" s="185"/>
    </row>
    <row r="19908">
      <c r="D19908" s="185"/>
      <c r="E19908" s="185" t="s">
        <v>470</v>
      </c>
      <c r="H19908" s="185"/>
    </row>
    <row r="19909">
      <c r="D19909" s="185"/>
      <c r="E19909" s="185" t="s">
        <v>470</v>
      </c>
      <c r="H19909" s="185"/>
    </row>
    <row r="19910">
      <c r="D19910" s="185"/>
      <c r="E19910" s="185" t="s">
        <v>470</v>
      </c>
      <c r="H19910" s="185"/>
    </row>
    <row r="19911">
      <c r="D19911" s="185"/>
      <c r="E19911" s="185" t="s">
        <v>470</v>
      </c>
      <c r="H19911" s="185"/>
    </row>
    <row r="19912">
      <c r="D19912" s="185"/>
      <c r="E19912" s="185" t="s">
        <v>470</v>
      </c>
      <c r="H19912" s="185"/>
    </row>
    <row r="19913">
      <c r="D19913" s="185"/>
      <c r="E19913" s="185" t="s">
        <v>470</v>
      </c>
      <c r="H19913" s="185"/>
    </row>
    <row r="19914">
      <c r="D19914" s="185"/>
      <c r="E19914" s="185" t="s">
        <v>470</v>
      </c>
      <c r="H19914" s="185"/>
    </row>
    <row r="19915">
      <c r="D19915" s="185"/>
      <c r="E19915" s="185" t="s">
        <v>470</v>
      </c>
      <c r="H19915" s="185"/>
    </row>
    <row r="19916">
      <c r="D19916" s="185"/>
      <c r="E19916" s="185" t="s">
        <v>470</v>
      </c>
      <c r="H19916" s="185"/>
    </row>
    <row r="19917">
      <c r="D19917" s="185"/>
      <c r="E19917" s="185" t="s">
        <v>470</v>
      </c>
      <c r="H19917" s="185"/>
    </row>
    <row r="19918">
      <c r="D19918" s="185"/>
      <c r="E19918" s="185" t="s">
        <v>470</v>
      </c>
      <c r="H19918" s="185"/>
    </row>
    <row r="19919">
      <c r="D19919" s="185"/>
      <c r="E19919" s="185" t="s">
        <v>470</v>
      </c>
      <c r="H19919" s="185"/>
    </row>
    <row r="19920">
      <c r="D19920" s="185"/>
      <c r="E19920" s="185" t="s">
        <v>470</v>
      </c>
      <c r="H19920" s="185"/>
    </row>
    <row r="19921">
      <c r="D19921" s="185"/>
      <c r="E19921" s="185" t="s">
        <v>470</v>
      </c>
      <c r="H19921" s="185"/>
    </row>
    <row r="19922">
      <c r="D19922" s="185"/>
      <c r="E19922" s="185" t="s">
        <v>470</v>
      </c>
      <c r="H19922" s="185"/>
    </row>
    <row r="19923">
      <c r="D19923" s="185"/>
      <c r="E19923" s="185" t="s">
        <v>470</v>
      </c>
      <c r="H19923" s="185"/>
    </row>
    <row r="19924">
      <c r="D19924" s="185"/>
      <c r="E19924" s="185" t="s">
        <v>470</v>
      </c>
      <c r="H19924" s="185"/>
    </row>
    <row r="19925">
      <c r="D19925" s="185"/>
      <c r="E19925" s="185" t="s">
        <v>470</v>
      </c>
      <c r="H19925" s="185"/>
    </row>
    <row r="19926">
      <c r="D19926" s="185"/>
      <c r="E19926" s="185" t="s">
        <v>470</v>
      </c>
      <c r="H19926" s="185"/>
    </row>
    <row r="19927">
      <c r="D19927" s="185"/>
      <c r="E19927" s="185" t="s">
        <v>470</v>
      </c>
      <c r="H19927" s="185"/>
    </row>
    <row r="19928">
      <c r="D19928" s="185"/>
      <c r="E19928" s="185" t="s">
        <v>470</v>
      </c>
      <c r="H19928" s="185"/>
    </row>
    <row r="19929">
      <c r="D19929" s="185"/>
      <c r="E19929" s="185" t="s">
        <v>470</v>
      </c>
      <c r="H19929" s="185"/>
    </row>
    <row r="19930">
      <c r="D19930" s="185"/>
      <c r="E19930" s="185" t="s">
        <v>470</v>
      </c>
      <c r="H19930" s="185"/>
    </row>
    <row r="19931">
      <c r="D19931" s="185"/>
      <c r="E19931" s="185" t="s">
        <v>470</v>
      </c>
      <c r="H19931" s="185"/>
    </row>
    <row r="19932">
      <c r="D19932" s="185"/>
      <c r="E19932" s="185" t="s">
        <v>470</v>
      </c>
      <c r="H19932" s="185"/>
    </row>
    <row r="19933">
      <c r="D19933" s="185"/>
      <c r="E19933" s="185" t="s">
        <v>470</v>
      </c>
      <c r="H19933" s="185"/>
    </row>
    <row r="19934">
      <c r="D19934" s="185"/>
      <c r="E19934" s="185" t="s">
        <v>470</v>
      </c>
      <c r="H19934" s="185"/>
    </row>
    <row r="19935">
      <c r="D19935" s="185"/>
      <c r="E19935" s="185" t="s">
        <v>470</v>
      </c>
      <c r="H19935" s="185"/>
    </row>
    <row r="19936">
      <c r="D19936" s="185"/>
      <c r="E19936" s="185" t="s">
        <v>470</v>
      </c>
      <c r="H19936" s="185"/>
    </row>
    <row r="19937">
      <c r="D19937" s="185"/>
      <c r="E19937" s="185" t="s">
        <v>470</v>
      </c>
      <c r="H19937" s="185"/>
    </row>
    <row r="19938">
      <c r="D19938" s="185"/>
      <c r="E19938" s="185" t="s">
        <v>470</v>
      </c>
      <c r="H19938" s="185"/>
    </row>
    <row r="19939">
      <c r="D19939" s="185"/>
      <c r="E19939" s="185" t="s">
        <v>470</v>
      </c>
      <c r="H19939" s="185"/>
    </row>
    <row r="19940">
      <c r="D19940" s="185"/>
      <c r="E19940" s="185" t="s">
        <v>470</v>
      </c>
      <c r="H19940" s="185"/>
    </row>
    <row r="19941">
      <c r="D19941" s="185"/>
      <c r="E19941" s="185" t="s">
        <v>470</v>
      </c>
      <c r="H19941" s="185"/>
    </row>
    <row r="19942">
      <c r="D19942" s="185"/>
      <c r="E19942" s="185" t="s">
        <v>470</v>
      </c>
      <c r="H19942" s="185"/>
    </row>
    <row r="19943">
      <c r="D19943" s="185"/>
      <c r="E19943" s="185" t="s">
        <v>470</v>
      </c>
      <c r="H19943" s="185"/>
    </row>
    <row r="19944">
      <c r="D19944" s="185"/>
      <c r="E19944" s="185" t="s">
        <v>470</v>
      </c>
      <c r="H19944" s="185"/>
    </row>
    <row r="19945">
      <c r="D19945" s="185"/>
      <c r="E19945" s="185" t="s">
        <v>470</v>
      </c>
      <c r="H19945" s="185"/>
    </row>
    <row r="19946">
      <c r="D19946" s="185"/>
      <c r="E19946" s="185" t="s">
        <v>470</v>
      </c>
      <c r="H19946" s="185"/>
    </row>
    <row r="19947">
      <c r="D19947" s="185"/>
      <c r="E19947" s="185" t="s">
        <v>470</v>
      </c>
      <c r="H19947" s="185"/>
    </row>
    <row r="19948">
      <c r="D19948" s="185"/>
      <c r="E19948" s="185" t="s">
        <v>470</v>
      </c>
      <c r="H19948" s="185"/>
    </row>
    <row r="19949">
      <c r="D19949" s="185"/>
      <c r="E19949" s="185" t="s">
        <v>470</v>
      </c>
      <c r="H19949" s="185"/>
    </row>
    <row r="19950">
      <c r="D19950" s="185"/>
      <c r="E19950" s="185" t="s">
        <v>470</v>
      </c>
      <c r="H19950" s="185"/>
    </row>
    <row r="19951">
      <c r="D19951" s="185"/>
      <c r="E19951" s="185" t="s">
        <v>470</v>
      </c>
      <c r="H19951" s="185"/>
    </row>
    <row r="19952">
      <c r="D19952" s="185"/>
      <c r="E19952" s="185" t="s">
        <v>470</v>
      </c>
      <c r="H19952" s="185"/>
    </row>
    <row r="19953">
      <c r="D19953" s="185"/>
      <c r="E19953" s="185" t="s">
        <v>470</v>
      </c>
      <c r="H19953" s="185"/>
    </row>
    <row r="19954">
      <c r="D19954" s="185"/>
      <c r="E19954" s="185" t="s">
        <v>470</v>
      </c>
      <c r="H19954" s="185"/>
    </row>
    <row r="19955">
      <c r="D19955" s="185"/>
      <c r="E19955" s="185" t="s">
        <v>470</v>
      </c>
      <c r="H19955" s="185"/>
    </row>
    <row r="19956">
      <c r="D19956" s="185"/>
      <c r="E19956" s="185" t="s">
        <v>470</v>
      </c>
      <c r="H19956" s="185"/>
    </row>
    <row r="19957">
      <c r="D19957" s="185"/>
      <c r="E19957" s="185" t="s">
        <v>470</v>
      </c>
      <c r="H19957" s="185"/>
    </row>
    <row r="19958">
      <c r="D19958" s="185"/>
      <c r="E19958" s="185" t="s">
        <v>470</v>
      </c>
      <c r="H19958" s="185"/>
    </row>
    <row r="19959">
      <c r="D19959" s="185"/>
      <c r="E19959" s="185" t="s">
        <v>470</v>
      </c>
      <c r="H19959" s="185"/>
    </row>
    <row r="19960">
      <c r="D19960" s="185"/>
      <c r="E19960" s="185" t="s">
        <v>470</v>
      </c>
      <c r="H19960" s="185"/>
    </row>
    <row r="19961">
      <c r="D19961" s="185"/>
      <c r="E19961" s="185" t="s">
        <v>470</v>
      </c>
      <c r="H19961" s="185"/>
    </row>
    <row r="19962">
      <c r="D19962" s="185"/>
      <c r="E19962" s="185" t="s">
        <v>470</v>
      </c>
      <c r="H19962" s="185"/>
    </row>
    <row r="19963">
      <c r="D19963" s="185"/>
      <c r="E19963" s="185" t="s">
        <v>470</v>
      </c>
      <c r="H19963" s="185"/>
    </row>
    <row r="19964">
      <c r="D19964" s="185"/>
      <c r="E19964" s="185" t="s">
        <v>470</v>
      </c>
      <c r="H19964" s="185"/>
    </row>
    <row r="19965">
      <c r="D19965" s="185"/>
      <c r="E19965" s="185" t="s">
        <v>470</v>
      </c>
      <c r="H19965" s="185"/>
    </row>
    <row r="19966">
      <c r="D19966" s="185"/>
      <c r="E19966" s="185" t="s">
        <v>470</v>
      </c>
      <c r="H19966" s="185"/>
    </row>
    <row r="19967">
      <c r="D19967" s="185"/>
      <c r="E19967" s="185" t="s">
        <v>470</v>
      </c>
      <c r="H19967" s="185"/>
    </row>
    <row r="19968">
      <c r="D19968" s="185"/>
      <c r="E19968" s="185" t="s">
        <v>470</v>
      </c>
      <c r="H19968" s="185"/>
    </row>
    <row r="19969">
      <c r="D19969" s="185"/>
      <c r="E19969" s="185" t="s">
        <v>470</v>
      </c>
      <c r="H19969" s="185"/>
    </row>
    <row r="19970">
      <c r="D19970" s="185"/>
      <c r="E19970" s="185" t="s">
        <v>470</v>
      </c>
      <c r="H19970" s="185"/>
    </row>
    <row r="19971">
      <c r="D19971" s="185"/>
      <c r="E19971" s="185" t="s">
        <v>470</v>
      </c>
      <c r="H19971" s="185"/>
    </row>
    <row r="19972">
      <c r="D19972" s="185"/>
      <c r="E19972" s="185" t="s">
        <v>470</v>
      </c>
      <c r="H19972" s="185"/>
    </row>
    <row r="19973">
      <c r="D19973" s="185"/>
      <c r="E19973" s="185" t="s">
        <v>470</v>
      </c>
      <c r="H19973" s="185"/>
    </row>
    <row r="19974">
      <c r="D19974" s="185"/>
      <c r="E19974" s="185" t="s">
        <v>470</v>
      </c>
      <c r="H19974" s="185"/>
    </row>
    <row r="19975">
      <c r="D19975" s="185"/>
      <c r="E19975" s="185" t="s">
        <v>470</v>
      </c>
      <c r="H19975" s="185"/>
    </row>
    <row r="19976">
      <c r="D19976" s="185"/>
      <c r="E19976" s="185" t="s">
        <v>470</v>
      </c>
      <c r="H19976" s="185"/>
    </row>
    <row r="19977">
      <c r="D19977" s="185"/>
      <c r="E19977" s="185" t="s">
        <v>470</v>
      </c>
      <c r="H19977" s="185"/>
    </row>
    <row r="19978">
      <c r="D19978" s="185"/>
      <c r="E19978" s="185" t="s">
        <v>470</v>
      </c>
      <c r="H19978" s="185"/>
    </row>
    <row r="19979">
      <c r="D19979" s="185"/>
      <c r="E19979" s="185" t="s">
        <v>470</v>
      </c>
      <c r="H19979" s="185"/>
    </row>
    <row r="19980">
      <c r="D19980" s="185"/>
      <c r="E19980" s="185" t="s">
        <v>470</v>
      </c>
      <c r="H19980" s="185"/>
    </row>
    <row r="19981">
      <c r="D19981" s="185"/>
      <c r="E19981" s="185" t="s">
        <v>470</v>
      </c>
      <c r="H19981" s="185"/>
    </row>
    <row r="19982">
      <c r="D19982" s="185"/>
      <c r="E19982" s="185" t="s">
        <v>470</v>
      </c>
      <c r="H19982" s="185"/>
    </row>
    <row r="19983">
      <c r="D19983" s="185"/>
      <c r="E19983" s="185" t="s">
        <v>470</v>
      </c>
      <c r="H19983" s="185"/>
    </row>
    <row r="19984">
      <c r="D19984" s="185"/>
      <c r="E19984" s="185" t="s">
        <v>470</v>
      </c>
      <c r="H19984" s="185"/>
    </row>
    <row r="19985">
      <c r="D19985" s="185"/>
      <c r="E19985" s="185" t="s">
        <v>470</v>
      </c>
      <c r="H19985" s="185"/>
    </row>
    <row r="19986">
      <c r="D19986" s="185"/>
      <c r="E19986" s="185" t="s">
        <v>470</v>
      </c>
      <c r="H19986" s="185"/>
    </row>
    <row r="19987">
      <c r="D19987" s="185"/>
      <c r="E19987" s="185" t="s">
        <v>470</v>
      </c>
      <c r="H19987" s="185"/>
    </row>
    <row r="19988">
      <c r="D19988" s="185"/>
      <c r="E19988" s="185" t="s">
        <v>470</v>
      </c>
      <c r="H19988" s="185"/>
    </row>
    <row r="19989">
      <c r="D19989" s="185"/>
      <c r="E19989" s="185" t="s">
        <v>470</v>
      </c>
      <c r="H19989" s="185"/>
    </row>
    <row r="19990">
      <c r="D19990" s="185"/>
      <c r="E19990" s="185" t="s">
        <v>470</v>
      </c>
      <c r="H19990" s="185"/>
    </row>
    <row r="19991">
      <c r="D19991" s="185"/>
      <c r="E19991" s="185" t="s">
        <v>470</v>
      </c>
      <c r="H19991" s="185"/>
    </row>
    <row r="19992">
      <c r="D19992" s="185"/>
      <c r="E19992" s="185" t="s">
        <v>470</v>
      </c>
      <c r="H19992" s="185"/>
    </row>
    <row r="19993">
      <c r="D19993" s="185"/>
      <c r="E19993" s="185" t="s">
        <v>470</v>
      </c>
      <c r="H19993" s="185"/>
    </row>
    <row r="19994">
      <c r="D19994" s="185"/>
      <c r="E19994" s="185" t="s">
        <v>470</v>
      </c>
      <c r="H19994" s="185"/>
    </row>
    <row r="19995">
      <c r="D19995" s="185"/>
      <c r="E19995" s="185" t="s">
        <v>470</v>
      </c>
      <c r="H19995" s="185"/>
    </row>
    <row r="19996">
      <c r="D19996" s="185"/>
      <c r="E19996" s="185" t="s">
        <v>470</v>
      </c>
      <c r="H19996" s="185"/>
    </row>
    <row r="19997">
      <c r="D19997" s="185"/>
      <c r="E19997" s="185" t="s">
        <v>470</v>
      </c>
      <c r="H19997" s="185"/>
    </row>
    <row r="19998">
      <c r="D19998" s="185"/>
      <c r="E19998" s="185" t="s">
        <v>470</v>
      </c>
      <c r="H19998" s="185"/>
    </row>
    <row r="19999">
      <c r="D19999" s="185"/>
      <c r="E19999" s="185" t="s">
        <v>470</v>
      </c>
      <c r="H19999" s="185"/>
    </row>
    <row r="20000">
      <c r="D20000" s="185"/>
      <c r="E20000" s="185" t="s">
        <v>470</v>
      </c>
      <c r="H20000" s="185"/>
    </row>
    <row r="20001">
      <c r="D20001" s="185"/>
      <c r="E20001" s="185" t="s">
        <v>470</v>
      </c>
      <c r="H20001" s="185"/>
    </row>
    <row r="20002">
      <c r="D20002" s="185"/>
      <c r="E20002" s="185" t="s">
        <v>470</v>
      </c>
      <c r="H20002" s="185"/>
    </row>
    <row r="20003">
      <c r="D20003" s="185"/>
      <c r="E20003" s="185" t="s">
        <v>470</v>
      </c>
      <c r="H20003" s="185"/>
    </row>
    <row r="20004">
      <c r="D20004" s="185"/>
      <c r="E20004" s="185" t="s">
        <v>470</v>
      </c>
      <c r="H20004" s="185"/>
    </row>
    <row r="20005">
      <c r="D20005" s="185"/>
      <c r="E20005" s="185" t="s">
        <v>470</v>
      </c>
      <c r="H20005" s="185"/>
    </row>
    <row r="20006">
      <c r="D20006" s="185"/>
      <c r="E20006" s="185" t="s">
        <v>470</v>
      </c>
      <c r="H20006" s="185"/>
    </row>
    <row r="20007">
      <c r="D20007" s="185"/>
      <c r="E20007" s="185" t="s">
        <v>470</v>
      </c>
      <c r="H20007" s="185"/>
    </row>
    <row r="20008">
      <c r="D20008" s="185"/>
      <c r="E20008" s="185" t="s">
        <v>470</v>
      </c>
      <c r="H20008" s="185"/>
    </row>
    <row r="20009">
      <c r="D20009" s="185"/>
      <c r="E20009" s="185" t="s">
        <v>470</v>
      </c>
      <c r="H20009" s="185"/>
    </row>
    <row r="20010">
      <c r="D20010" s="185"/>
      <c r="E20010" s="185" t="s">
        <v>470</v>
      </c>
      <c r="H20010" s="185"/>
    </row>
    <row r="20011">
      <c r="D20011" s="185"/>
      <c r="E20011" s="185" t="s">
        <v>470</v>
      </c>
      <c r="H20011" s="185"/>
    </row>
    <row r="20012">
      <c r="D20012" s="185"/>
      <c r="E20012" s="185" t="s">
        <v>470</v>
      </c>
      <c r="H20012" s="185"/>
    </row>
    <row r="20013">
      <c r="D20013" s="185"/>
      <c r="E20013" s="185" t="s">
        <v>470</v>
      </c>
      <c r="H20013" s="185"/>
    </row>
    <row r="20014">
      <c r="D20014" s="185"/>
      <c r="E20014" s="185" t="s">
        <v>470</v>
      </c>
      <c r="H20014" s="185"/>
    </row>
    <row r="20015">
      <c r="D20015" s="185"/>
      <c r="E20015" s="185" t="s">
        <v>470</v>
      </c>
      <c r="H20015" s="185"/>
    </row>
    <row r="20016">
      <c r="D20016" s="185"/>
      <c r="E20016" s="185" t="s">
        <v>470</v>
      </c>
      <c r="H20016" s="185"/>
    </row>
    <row r="20017">
      <c r="D20017" s="185"/>
      <c r="E20017" s="185" t="s">
        <v>470</v>
      </c>
      <c r="H20017" s="185"/>
    </row>
    <row r="20018">
      <c r="D20018" s="185"/>
      <c r="E20018" s="185" t="s">
        <v>470</v>
      </c>
      <c r="H20018" s="185"/>
    </row>
    <row r="20019">
      <c r="D20019" s="185"/>
      <c r="E20019" s="185" t="s">
        <v>470</v>
      </c>
      <c r="H20019" s="185"/>
    </row>
    <row r="20020">
      <c r="D20020" s="185"/>
      <c r="E20020" s="185" t="s">
        <v>470</v>
      </c>
      <c r="H20020" s="185"/>
    </row>
    <row r="20021">
      <c r="D20021" s="185"/>
      <c r="E20021" s="185" t="s">
        <v>470</v>
      </c>
      <c r="H20021" s="185"/>
    </row>
    <row r="20022">
      <c r="D20022" s="185"/>
      <c r="E20022" s="185" t="s">
        <v>470</v>
      </c>
      <c r="H20022" s="185"/>
    </row>
    <row r="20023">
      <c r="D20023" s="185"/>
      <c r="E20023" s="185" t="s">
        <v>470</v>
      </c>
      <c r="H20023" s="185"/>
    </row>
    <row r="20024">
      <c r="D20024" s="185"/>
      <c r="E20024" s="185" t="s">
        <v>470</v>
      </c>
      <c r="H20024" s="185"/>
    </row>
    <row r="20025">
      <c r="D20025" s="185"/>
      <c r="E20025" s="185" t="s">
        <v>470</v>
      </c>
      <c r="H20025" s="185"/>
    </row>
    <row r="20026">
      <c r="D20026" s="185"/>
      <c r="E20026" s="185" t="s">
        <v>470</v>
      </c>
      <c r="H20026" s="185"/>
    </row>
    <row r="20027">
      <c r="D20027" s="185"/>
      <c r="E20027" s="185" t="s">
        <v>470</v>
      </c>
      <c r="H20027" s="185"/>
    </row>
    <row r="20028">
      <c r="D20028" s="185"/>
      <c r="E20028" s="185" t="s">
        <v>470</v>
      </c>
      <c r="H20028" s="185"/>
    </row>
    <row r="20029">
      <c r="D20029" s="185"/>
      <c r="E20029" s="185" t="s">
        <v>470</v>
      </c>
      <c r="H20029" s="185"/>
    </row>
    <row r="20030">
      <c r="D20030" s="185"/>
      <c r="E20030" s="185" t="s">
        <v>470</v>
      </c>
      <c r="H20030" s="185"/>
    </row>
    <row r="20031">
      <c r="D20031" s="185"/>
      <c r="E20031" s="185" t="s">
        <v>470</v>
      </c>
      <c r="H20031" s="185"/>
    </row>
    <row r="20032">
      <c r="D20032" s="185"/>
      <c r="E20032" s="185" t="s">
        <v>470</v>
      </c>
      <c r="H20032" s="185"/>
    </row>
    <row r="20033">
      <c r="D20033" s="185"/>
      <c r="E20033" s="185" t="s">
        <v>470</v>
      </c>
      <c r="H20033" s="185"/>
    </row>
    <row r="20034">
      <c r="D20034" s="185"/>
      <c r="E20034" s="185" t="s">
        <v>470</v>
      </c>
      <c r="H20034" s="185"/>
    </row>
    <row r="20035">
      <c r="D20035" s="185"/>
      <c r="E20035" s="185" t="s">
        <v>470</v>
      </c>
      <c r="H20035" s="185"/>
    </row>
    <row r="20036">
      <c r="D20036" s="185"/>
      <c r="E20036" s="185" t="s">
        <v>470</v>
      </c>
      <c r="H20036" s="185"/>
    </row>
    <row r="20037">
      <c r="D20037" s="185"/>
      <c r="E20037" s="185" t="s">
        <v>470</v>
      </c>
      <c r="H20037" s="185"/>
    </row>
    <row r="20038">
      <c r="D20038" s="185"/>
      <c r="E20038" s="185" t="s">
        <v>470</v>
      </c>
      <c r="H20038" s="185"/>
    </row>
    <row r="20039">
      <c r="D20039" s="185"/>
      <c r="E20039" s="185" t="s">
        <v>470</v>
      </c>
      <c r="H20039" s="185"/>
    </row>
    <row r="20040">
      <c r="D20040" s="185"/>
      <c r="E20040" s="185" t="s">
        <v>470</v>
      </c>
      <c r="H20040" s="185"/>
    </row>
    <row r="20041">
      <c r="D20041" s="185"/>
      <c r="E20041" s="185" t="s">
        <v>470</v>
      </c>
      <c r="H20041" s="185"/>
    </row>
    <row r="20042">
      <c r="D20042" s="185"/>
      <c r="E20042" s="185" t="s">
        <v>470</v>
      </c>
      <c r="H20042" s="185"/>
    </row>
    <row r="20043">
      <c r="D20043" s="185"/>
      <c r="E20043" s="185" t="s">
        <v>470</v>
      </c>
      <c r="H20043" s="185"/>
    </row>
    <row r="20044">
      <c r="D20044" s="185"/>
      <c r="E20044" s="185" t="s">
        <v>470</v>
      </c>
      <c r="H20044" s="185"/>
    </row>
    <row r="20045">
      <c r="D20045" s="185"/>
      <c r="E20045" s="185" t="s">
        <v>470</v>
      </c>
      <c r="H20045" s="185"/>
    </row>
    <row r="20046">
      <c r="D20046" s="185"/>
      <c r="E20046" s="185" t="s">
        <v>470</v>
      </c>
      <c r="H20046" s="185"/>
    </row>
    <row r="20047">
      <c r="D20047" s="185"/>
      <c r="E20047" s="185" t="s">
        <v>470</v>
      </c>
      <c r="H20047" s="185"/>
    </row>
    <row r="20048">
      <c r="D20048" s="185"/>
      <c r="E20048" s="185" t="s">
        <v>470</v>
      </c>
      <c r="H20048" s="185"/>
    </row>
    <row r="20049">
      <c r="D20049" s="185"/>
      <c r="E20049" s="185" t="s">
        <v>470</v>
      </c>
      <c r="H20049" s="185"/>
    </row>
    <row r="20050">
      <c r="D20050" s="185"/>
      <c r="E20050" s="185" t="s">
        <v>470</v>
      </c>
      <c r="H20050" s="185"/>
    </row>
    <row r="20051">
      <c r="D20051" s="185"/>
      <c r="E20051" s="185" t="s">
        <v>470</v>
      </c>
      <c r="H20051" s="185"/>
    </row>
    <row r="20052">
      <c r="D20052" s="185"/>
      <c r="E20052" s="185" t="s">
        <v>470</v>
      </c>
      <c r="H20052" s="185"/>
    </row>
    <row r="20053">
      <c r="D20053" s="185"/>
      <c r="E20053" s="185" t="s">
        <v>470</v>
      </c>
      <c r="H20053" s="185"/>
    </row>
    <row r="20054">
      <c r="D20054" s="185"/>
      <c r="E20054" s="185" t="s">
        <v>470</v>
      </c>
      <c r="H20054" s="185"/>
    </row>
    <row r="20055">
      <c r="D20055" s="185"/>
      <c r="E20055" s="185" t="s">
        <v>470</v>
      </c>
      <c r="H20055" s="185"/>
    </row>
    <row r="20056">
      <c r="D20056" s="185"/>
      <c r="E20056" s="185" t="s">
        <v>470</v>
      </c>
      <c r="H20056" s="185"/>
    </row>
    <row r="20057">
      <c r="D20057" s="185"/>
      <c r="E20057" s="185" t="s">
        <v>470</v>
      </c>
      <c r="H20057" s="185"/>
    </row>
    <row r="20058">
      <c r="D20058" s="185"/>
      <c r="E20058" s="185" t="s">
        <v>470</v>
      </c>
      <c r="H20058" s="185"/>
    </row>
    <row r="20059">
      <c r="D20059" s="185"/>
      <c r="E20059" s="185" t="s">
        <v>470</v>
      </c>
      <c r="H20059" s="185"/>
    </row>
    <row r="20060">
      <c r="D20060" s="185"/>
      <c r="E20060" s="185" t="s">
        <v>470</v>
      </c>
      <c r="H20060" s="185"/>
    </row>
    <row r="20061">
      <c r="D20061" s="185"/>
      <c r="E20061" s="185" t="s">
        <v>470</v>
      </c>
      <c r="H20061" s="185"/>
    </row>
    <row r="20062">
      <c r="D20062" s="185"/>
      <c r="E20062" s="185" t="s">
        <v>470</v>
      </c>
      <c r="H20062" s="185"/>
    </row>
    <row r="20063">
      <c r="D20063" s="185"/>
      <c r="E20063" s="185" t="s">
        <v>470</v>
      </c>
      <c r="H20063" s="185"/>
    </row>
    <row r="20064">
      <c r="D20064" s="185"/>
      <c r="E20064" s="185" t="s">
        <v>470</v>
      </c>
      <c r="H20064" s="185"/>
    </row>
    <row r="20065">
      <c r="D20065" s="185"/>
      <c r="E20065" s="185" t="s">
        <v>470</v>
      </c>
      <c r="H20065" s="185"/>
    </row>
    <row r="20066">
      <c r="D20066" s="185"/>
      <c r="E20066" s="185" t="s">
        <v>470</v>
      </c>
      <c r="H20066" s="185"/>
    </row>
    <row r="20067">
      <c r="D20067" s="185"/>
      <c r="E20067" s="185" t="s">
        <v>470</v>
      </c>
      <c r="H20067" s="185"/>
    </row>
    <row r="20068">
      <c r="D20068" s="185"/>
      <c r="E20068" s="185" t="s">
        <v>470</v>
      </c>
      <c r="H20068" s="185"/>
    </row>
    <row r="20069">
      <c r="D20069" s="185"/>
      <c r="E20069" s="185" t="s">
        <v>470</v>
      </c>
      <c r="H20069" s="185"/>
    </row>
    <row r="20070">
      <c r="D20070" s="185"/>
      <c r="E20070" s="185" t="s">
        <v>470</v>
      </c>
      <c r="H20070" s="185"/>
    </row>
    <row r="20071">
      <c r="D20071" s="185"/>
      <c r="E20071" s="185" t="s">
        <v>470</v>
      </c>
      <c r="H20071" s="185"/>
    </row>
    <row r="20072">
      <c r="D20072" s="185"/>
      <c r="E20072" s="185" t="s">
        <v>470</v>
      </c>
      <c r="H20072" s="185"/>
    </row>
    <row r="20073">
      <c r="D20073" s="185"/>
      <c r="E20073" s="185" t="s">
        <v>470</v>
      </c>
      <c r="H20073" s="185"/>
    </row>
    <row r="20074">
      <c r="D20074" s="185"/>
      <c r="E20074" s="185" t="s">
        <v>470</v>
      </c>
      <c r="H20074" s="185"/>
    </row>
    <row r="20075">
      <c r="D20075" s="185"/>
      <c r="E20075" s="185" t="s">
        <v>470</v>
      </c>
      <c r="H20075" s="185"/>
    </row>
    <row r="20076">
      <c r="D20076" s="185"/>
      <c r="E20076" s="185" t="s">
        <v>470</v>
      </c>
      <c r="H20076" s="185"/>
    </row>
    <row r="20077">
      <c r="D20077" s="185"/>
      <c r="E20077" s="185" t="s">
        <v>470</v>
      </c>
      <c r="H20077" s="185"/>
    </row>
    <row r="20078">
      <c r="D20078" s="185"/>
      <c r="E20078" s="185" t="s">
        <v>470</v>
      </c>
      <c r="H20078" s="185"/>
    </row>
    <row r="20079">
      <c r="D20079" s="185"/>
      <c r="E20079" s="185" t="s">
        <v>470</v>
      </c>
      <c r="H20079" s="185"/>
    </row>
    <row r="20080">
      <c r="D20080" s="185"/>
      <c r="E20080" s="185" t="s">
        <v>470</v>
      </c>
      <c r="H20080" s="185"/>
    </row>
    <row r="20081">
      <c r="D20081" s="185"/>
      <c r="E20081" s="185" t="s">
        <v>470</v>
      </c>
      <c r="H20081" s="185"/>
    </row>
    <row r="20082">
      <c r="D20082" s="185"/>
      <c r="E20082" s="185" t="s">
        <v>470</v>
      </c>
      <c r="H20082" s="185"/>
    </row>
    <row r="20083">
      <c r="D20083" s="185"/>
      <c r="E20083" s="185" t="s">
        <v>470</v>
      </c>
      <c r="H20083" s="185"/>
    </row>
    <row r="20084">
      <c r="D20084" s="185"/>
      <c r="E20084" s="185" t="s">
        <v>470</v>
      </c>
      <c r="H20084" s="185"/>
    </row>
    <row r="20085">
      <c r="D20085" s="185"/>
      <c r="E20085" s="185" t="s">
        <v>470</v>
      </c>
      <c r="H20085" s="185"/>
    </row>
    <row r="20086">
      <c r="D20086" s="185"/>
      <c r="E20086" s="185" t="s">
        <v>470</v>
      </c>
      <c r="H20086" s="185"/>
    </row>
    <row r="20087">
      <c r="D20087" s="185"/>
      <c r="E20087" s="185" t="s">
        <v>470</v>
      </c>
      <c r="H20087" s="185"/>
    </row>
    <row r="20088">
      <c r="D20088" s="185"/>
      <c r="E20088" s="185" t="s">
        <v>470</v>
      </c>
      <c r="H20088" s="185"/>
    </row>
    <row r="20089">
      <c r="D20089" s="185"/>
      <c r="E20089" s="185" t="s">
        <v>470</v>
      </c>
      <c r="H20089" s="185"/>
    </row>
    <row r="20090">
      <c r="D20090" s="185"/>
      <c r="E20090" s="185" t="s">
        <v>470</v>
      </c>
      <c r="H20090" s="185"/>
    </row>
    <row r="20091">
      <c r="D20091" s="185"/>
      <c r="E20091" s="185" t="s">
        <v>470</v>
      </c>
      <c r="H20091" s="185"/>
    </row>
    <row r="20092">
      <c r="D20092" s="185"/>
      <c r="E20092" s="185" t="s">
        <v>470</v>
      </c>
      <c r="H20092" s="185"/>
    </row>
    <row r="20093">
      <c r="D20093" s="185"/>
      <c r="E20093" s="185" t="s">
        <v>470</v>
      </c>
      <c r="H20093" s="185"/>
    </row>
    <row r="20094">
      <c r="D20094" s="185"/>
      <c r="E20094" s="185" t="s">
        <v>470</v>
      </c>
      <c r="H20094" s="185"/>
    </row>
    <row r="20095">
      <c r="D20095" s="185"/>
      <c r="E20095" s="185" t="s">
        <v>470</v>
      </c>
      <c r="H20095" s="185"/>
    </row>
    <row r="20096">
      <c r="D20096" s="185"/>
      <c r="E20096" s="185" t="s">
        <v>470</v>
      </c>
      <c r="H20096" s="185"/>
    </row>
    <row r="20097">
      <c r="D20097" s="185"/>
      <c r="E20097" s="185" t="s">
        <v>470</v>
      </c>
      <c r="H20097" s="185"/>
    </row>
    <row r="20098">
      <c r="D20098" s="185"/>
      <c r="E20098" s="185" t="s">
        <v>470</v>
      </c>
      <c r="H20098" s="185"/>
    </row>
    <row r="20099">
      <c r="D20099" s="185"/>
      <c r="E20099" s="185" t="s">
        <v>470</v>
      </c>
      <c r="H20099" s="185"/>
    </row>
    <row r="20100">
      <c r="D20100" s="185"/>
      <c r="E20100" s="185" t="s">
        <v>470</v>
      </c>
      <c r="H20100" s="185"/>
    </row>
    <row r="20101">
      <c r="D20101" s="185"/>
      <c r="E20101" s="185" t="s">
        <v>470</v>
      </c>
      <c r="H20101" s="185"/>
    </row>
    <row r="20102">
      <c r="D20102" s="185"/>
      <c r="E20102" s="185" t="s">
        <v>470</v>
      </c>
      <c r="H20102" s="185"/>
    </row>
    <row r="20103">
      <c r="D20103" s="185"/>
      <c r="E20103" s="185" t="s">
        <v>470</v>
      </c>
      <c r="H20103" s="185"/>
    </row>
    <row r="20104">
      <c r="D20104" s="185"/>
      <c r="E20104" s="185" t="s">
        <v>470</v>
      </c>
      <c r="H20104" s="185"/>
    </row>
    <row r="20105">
      <c r="D20105" s="185"/>
      <c r="E20105" s="185" t="s">
        <v>470</v>
      </c>
      <c r="H20105" s="185"/>
    </row>
    <row r="20106">
      <c r="D20106" s="185"/>
      <c r="E20106" s="185" t="s">
        <v>470</v>
      </c>
      <c r="H20106" s="185"/>
    </row>
    <row r="20107">
      <c r="D20107" s="185"/>
      <c r="E20107" s="185" t="s">
        <v>470</v>
      </c>
      <c r="H20107" s="185"/>
    </row>
    <row r="20108">
      <c r="D20108" s="185"/>
      <c r="E20108" s="185" t="s">
        <v>470</v>
      </c>
      <c r="H20108" s="185"/>
    </row>
    <row r="20109">
      <c r="D20109" s="185"/>
      <c r="E20109" s="185" t="s">
        <v>470</v>
      </c>
      <c r="H20109" s="185"/>
    </row>
    <row r="20110">
      <c r="D20110" s="185"/>
      <c r="E20110" s="185" t="s">
        <v>470</v>
      </c>
      <c r="H20110" s="185"/>
    </row>
    <row r="20111">
      <c r="D20111" s="185"/>
      <c r="E20111" s="185" t="s">
        <v>470</v>
      </c>
      <c r="H20111" s="185"/>
    </row>
    <row r="20112">
      <c r="D20112" s="185"/>
      <c r="E20112" s="185" t="s">
        <v>470</v>
      </c>
      <c r="H20112" s="185"/>
    </row>
    <row r="20113">
      <c r="D20113" s="185"/>
      <c r="E20113" s="185" t="s">
        <v>470</v>
      </c>
      <c r="H20113" s="185"/>
    </row>
    <row r="20114">
      <c r="D20114" s="185"/>
      <c r="E20114" s="185" t="s">
        <v>470</v>
      </c>
      <c r="H20114" s="185"/>
    </row>
    <row r="20115">
      <c r="D20115" s="185"/>
      <c r="E20115" s="185" t="s">
        <v>470</v>
      </c>
      <c r="H20115" s="185"/>
    </row>
    <row r="20116">
      <c r="D20116" s="185"/>
      <c r="E20116" s="185" t="s">
        <v>470</v>
      </c>
      <c r="H20116" s="185"/>
    </row>
    <row r="20117">
      <c r="D20117" s="185"/>
      <c r="E20117" s="185" t="s">
        <v>470</v>
      </c>
      <c r="H20117" s="185"/>
    </row>
    <row r="20118">
      <c r="D20118" s="185"/>
      <c r="E20118" s="185" t="s">
        <v>470</v>
      </c>
      <c r="H20118" s="185"/>
    </row>
    <row r="20119">
      <c r="D20119" s="185"/>
      <c r="E20119" s="185" t="s">
        <v>470</v>
      </c>
      <c r="H20119" s="185"/>
    </row>
    <row r="20120">
      <c r="D20120" s="185"/>
      <c r="E20120" s="185" t="s">
        <v>470</v>
      </c>
      <c r="H20120" s="185"/>
    </row>
    <row r="20121">
      <c r="D20121" s="185"/>
      <c r="E20121" s="185" t="s">
        <v>470</v>
      </c>
      <c r="H20121" s="185"/>
    </row>
    <row r="20122">
      <c r="D20122" s="185"/>
      <c r="E20122" s="185" t="s">
        <v>470</v>
      </c>
      <c r="H20122" s="185"/>
    </row>
    <row r="20123">
      <c r="D20123" s="185"/>
      <c r="E20123" s="185" t="s">
        <v>470</v>
      </c>
      <c r="H20123" s="185"/>
    </row>
    <row r="20124">
      <c r="D20124" s="185"/>
      <c r="E20124" s="185" t="s">
        <v>470</v>
      </c>
      <c r="H20124" s="185"/>
    </row>
    <row r="20125">
      <c r="D20125" s="185"/>
      <c r="E20125" s="185" t="s">
        <v>470</v>
      </c>
      <c r="H20125" s="185"/>
    </row>
    <row r="20126">
      <c r="D20126" s="185"/>
      <c r="E20126" s="185" t="s">
        <v>470</v>
      </c>
      <c r="H20126" s="185"/>
    </row>
    <row r="20127">
      <c r="D20127" s="185"/>
      <c r="E20127" s="185" t="s">
        <v>470</v>
      </c>
      <c r="H20127" s="185"/>
    </row>
    <row r="20128">
      <c r="D20128" s="185"/>
      <c r="E20128" s="185" t="s">
        <v>470</v>
      </c>
      <c r="H20128" s="185"/>
    </row>
    <row r="20129">
      <c r="D20129" s="185"/>
      <c r="E20129" s="185" t="s">
        <v>470</v>
      </c>
      <c r="H20129" s="185"/>
    </row>
    <row r="20130">
      <c r="D20130" s="185"/>
      <c r="E20130" s="185" t="s">
        <v>470</v>
      </c>
      <c r="H20130" s="185"/>
    </row>
    <row r="20131">
      <c r="D20131" s="185"/>
      <c r="E20131" s="185" t="s">
        <v>470</v>
      </c>
      <c r="H20131" s="185"/>
    </row>
    <row r="20132">
      <c r="D20132" s="185"/>
      <c r="E20132" s="185" t="s">
        <v>470</v>
      </c>
      <c r="H20132" s="185"/>
    </row>
    <row r="20133">
      <c r="D20133" s="185"/>
      <c r="E20133" s="185" t="s">
        <v>470</v>
      </c>
      <c r="H20133" s="185"/>
    </row>
    <row r="20134">
      <c r="D20134" s="185"/>
      <c r="E20134" s="185" t="s">
        <v>470</v>
      </c>
      <c r="H20134" s="185"/>
    </row>
    <row r="20135">
      <c r="D20135" s="185"/>
      <c r="E20135" s="185" t="s">
        <v>470</v>
      </c>
      <c r="H20135" s="185"/>
    </row>
    <row r="20136">
      <c r="D20136" s="185"/>
      <c r="E20136" s="185" t="s">
        <v>470</v>
      </c>
      <c r="H20136" s="185"/>
    </row>
    <row r="20137">
      <c r="D20137" s="185"/>
      <c r="E20137" s="185" t="s">
        <v>470</v>
      </c>
      <c r="H20137" s="185"/>
    </row>
    <row r="20138">
      <c r="D20138" s="185"/>
      <c r="E20138" s="185" t="s">
        <v>470</v>
      </c>
      <c r="H20138" s="185"/>
    </row>
    <row r="20139">
      <c r="D20139" s="185"/>
      <c r="E20139" s="185" t="s">
        <v>470</v>
      </c>
      <c r="H20139" s="185"/>
    </row>
    <row r="20140">
      <c r="D20140" s="185"/>
      <c r="E20140" s="185" t="s">
        <v>470</v>
      </c>
      <c r="H20140" s="185"/>
    </row>
    <row r="20141">
      <c r="D20141" s="185"/>
      <c r="E20141" s="185" t="s">
        <v>470</v>
      </c>
      <c r="H20141" s="185"/>
    </row>
    <row r="20142">
      <c r="D20142" s="185"/>
      <c r="E20142" s="185" t="s">
        <v>470</v>
      </c>
      <c r="H20142" s="185"/>
    </row>
    <row r="20143">
      <c r="D20143" s="185"/>
      <c r="E20143" s="185" t="s">
        <v>470</v>
      </c>
      <c r="H20143" s="185"/>
    </row>
    <row r="20144">
      <c r="D20144" s="185"/>
      <c r="E20144" s="185" t="s">
        <v>470</v>
      </c>
      <c r="H20144" s="185"/>
    </row>
    <row r="20145">
      <c r="D20145" s="185"/>
      <c r="E20145" s="185" t="s">
        <v>470</v>
      </c>
      <c r="H20145" s="185"/>
    </row>
    <row r="20146">
      <c r="D20146" s="185"/>
      <c r="E20146" s="185" t="s">
        <v>470</v>
      </c>
      <c r="H20146" s="185"/>
    </row>
    <row r="20147">
      <c r="D20147" s="185"/>
      <c r="E20147" s="185" t="s">
        <v>470</v>
      </c>
      <c r="H20147" s="185"/>
    </row>
    <row r="20148">
      <c r="D20148" s="185"/>
      <c r="E20148" s="185" t="s">
        <v>470</v>
      </c>
      <c r="H20148" s="185"/>
    </row>
    <row r="20149">
      <c r="D20149" s="185"/>
      <c r="E20149" s="185" t="s">
        <v>470</v>
      </c>
      <c r="H20149" s="185"/>
    </row>
    <row r="20150">
      <c r="D20150" s="185"/>
      <c r="E20150" s="185" t="s">
        <v>470</v>
      </c>
      <c r="H20150" s="185"/>
    </row>
    <row r="20151">
      <c r="D20151" s="185"/>
      <c r="E20151" s="185" t="s">
        <v>470</v>
      </c>
      <c r="H20151" s="185"/>
    </row>
    <row r="20152">
      <c r="D20152" s="185"/>
      <c r="E20152" s="185" t="s">
        <v>470</v>
      </c>
      <c r="H20152" s="185"/>
    </row>
    <row r="20153">
      <c r="D20153" s="185"/>
      <c r="E20153" s="185" t="s">
        <v>470</v>
      </c>
      <c r="H20153" s="185"/>
    </row>
    <row r="20154">
      <c r="D20154" s="185"/>
      <c r="E20154" s="185" t="s">
        <v>470</v>
      </c>
      <c r="H20154" s="185"/>
    </row>
    <row r="20155">
      <c r="D20155" s="185"/>
      <c r="E20155" s="185" t="s">
        <v>470</v>
      </c>
      <c r="H20155" s="185"/>
    </row>
    <row r="20156">
      <c r="D20156" s="185"/>
      <c r="E20156" s="185" t="s">
        <v>470</v>
      </c>
      <c r="H20156" s="185"/>
    </row>
    <row r="20157">
      <c r="D20157" s="185"/>
      <c r="E20157" s="185" t="s">
        <v>470</v>
      </c>
      <c r="H20157" s="185"/>
    </row>
    <row r="20158">
      <c r="D20158" s="185"/>
      <c r="E20158" s="185" t="s">
        <v>470</v>
      </c>
      <c r="H20158" s="185"/>
    </row>
    <row r="20159">
      <c r="D20159" s="185"/>
      <c r="E20159" s="185" t="s">
        <v>470</v>
      </c>
      <c r="H20159" s="185"/>
    </row>
    <row r="20160">
      <c r="D20160" s="185"/>
      <c r="E20160" s="185" t="s">
        <v>470</v>
      </c>
      <c r="H20160" s="185"/>
    </row>
    <row r="20161">
      <c r="D20161" s="185"/>
      <c r="E20161" s="185" t="s">
        <v>470</v>
      </c>
      <c r="H20161" s="185"/>
    </row>
    <row r="20162">
      <c r="D20162" s="185"/>
      <c r="E20162" s="185" t="s">
        <v>470</v>
      </c>
      <c r="H20162" s="185"/>
    </row>
    <row r="20163">
      <c r="D20163" s="185"/>
      <c r="E20163" s="185" t="s">
        <v>470</v>
      </c>
      <c r="H20163" s="185"/>
    </row>
    <row r="20164">
      <c r="D20164" s="185"/>
      <c r="E20164" s="185" t="s">
        <v>470</v>
      </c>
      <c r="H20164" s="185"/>
    </row>
    <row r="20165">
      <c r="D20165" s="185"/>
      <c r="E20165" s="185" t="s">
        <v>470</v>
      </c>
      <c r="H20165" s="185"/>
    </row>
    <row r="20166">
      <c r="D20166" s="185"/>
      <c r="E20166" s="185" t="s">
        <v>470</v>
      </c>
      <c r="H20166" s="185"/>
    </row>
    <row r="20167">
      <c r="D20167" s="185"/>
      <c r="E20167" s="185" t="s">
        <v>470</v>
      </c>
      <c r="H20167" s="185"/>
    </row>
    <row r="20168">
      <c r="D20168" s="185"/>
      <c r="E20168" s="185" t="s">
        <v>470</v>
      </c>
      <c r="H20168" s="185"/>
    </row>
    <row r="20169">
      <c r="D20169" s="185"/>
      <c r="E20169" s="185" t="s">
        <v>470</v>
      </c>
      <c r="H20169" s="185"/>
    </row>
    <row r="20170">
      <c r="D20170" s="185"/>
      <c r="E20170" s="185" t="s">
        <v>470</v>
      </c>
      <c r="H20170" s="185"/>
    </row>
    <row r="20171">
      <c r="D20171" s="185"/>
      <c r="E20171" s="185" t="s">
        <v>470</v>
      </c>
      <c r="H20171" s="185"/>
    </row>
    <row r="20172">
      <c r="D20172" s="185"/>
      <c r="E20172" s="185" t="s">
        <v>470</v>
      </c>
      <c r="H20172" s="185"/>
    </row>
    <row r="20173">
      <c r="D20173" s="185"/>
      <c r="E20173" s="185" t="s">
        <v>470</v>
      </c>
      <c r="H20173" s="185"/>
    </row>
    <row r="20174">
      <c r="D20174" s="185"/>
      <c r="E20174" s="185" t="s">
        <v>470</v>
      </c>
      <c r="H20174" s="185"/>
    </row>
    <row r="20175">
      <c r="D20175" s="185"/>
      <c r="E20175" s="185" t="s">
        <v>470</v>
      </c>
      <c r="H20175" s="185"/>
    </row>
    <row r="20176">
      <c r="D20176" s="185"/>
      <c r="E20176" s="185" t="s">
        <v>470</v>
      </c>
      <c r="H20176" s="185"/>
    </row>
    <row r="20177">
      <c r="D20177" s="185"/>
      <c r="E20177" s="185" t="s">
        <v>470</v>
      </c>
      <c r="H20177" s="185"/>
    </row>
    <row r="20178">
      <c r="D20178" s="185"/>
      <c r="E20178" s="185" t="s">
        <v>470</v>
      </c>
      <c r="H20178" s="185"/>
    </row>
    <row r="20179">
      <c r="D20179" s="185"/>
      <c r="E20179" s="185" t="s">
        <v>470</v>
      </c>
      <c r="H20179" s="185"/>
    </row>
    <row r="20180">
      <c r="D20180" s="185"/>
      <c r="E20180" s="185" t="s">
        <v>470</v>
      </c>
      <c r="H20180" s="185"/>
    </row>
    <row r="20181">
      <c r="D20181" s="185"/>
      <c r="E20181" s="185" t="s">
        <v>470</v>
      </c>
      <c r="H20181" s="185"/>
    </row>
    <row r="20182">
      <c r="D20182" s="185"/>
      <c r="E20182" s="185" t="s">
        <v>470</v>
      </c>
      <c r="H20182" s="185"/>
    </row>
    <row r="20183">
      <c r="D20183" s="185"/>
      <c r="E20183" s="185" t="s">
        <v>470</v>
      </c>
      <c r="H20183" s="185"/>
    </row>
    <row r="20184">
      <c r="D20184" s="185"/>
      <c r="E20184" s="185" t="s">
        <v>470</v>
      </c>
      <c r="H20184" s="185"/>
    </row>
    <row r="20185">
      <c r="D20185" s="185"/>
      <c r="E20185" s="185" t="s">
        <v>470</v>
      </c>
      <c r="H20185" s="185"/>
    </row>
    <row r="20186">
      <c r="D20186" s="185"/>
      <c r="E20186" s="185" t="s">
        <v>470</v>
      </c>
      <c r="H20186" s="185"/>
    </row>
    <row r="20187">
      <c r="D20187" s="185"/>
      <c r="E20187" s="185" t="s">
        <v>470</v>
      </c>
      <c r="H20187" s="185"/>
    </row>
    <row r="20188">
      <c r="D20188" s="185"/>
      <c r="E20188" s="185" t="s">
        <v>470</v>
      </c>
      <c r="H20188" s="185"/>
    </row>
    <row r="20189">
      <c r="D20189" s="185"/>
      <c r="E20189" s="185" t="s">
        <v>470</v>
      </c>
      <c r="H20189" s="185"/>
    </row>
    <row r="20190">
      <c r="D20190" s="185"/>
      <c r="E20190" s="185" t="s">
        <v>470</v>
      </c>
      <c r="H20190" s="185"/>
    </row>
    <row r="20191">
      <c r="D20191" s="185"/>
      <c r="E20191" s="185" t="s">
        <v>470</v>
      </c>
      <c r="H20191" s="185"/>
    </row>
    <row r="20192">
      <c r="D20192" s="185"/>
      <c r="E20192" s="185" t="s">
        <v>470</v>
      </c>
      <c r="H20192" s="185"/>
    </row>
    <row r="20193">
      <c r="D20193" s="185"/>
      <c r="E20193" s="185" t="s">
        <v>470</v>
      </c>
      <c r="H20193" s="185"/>
    </row>
    <row r="20194">
      <c r="D20194" s="185"/>
      <c r="E20194" s="185" t="s">
        <v>470</v>
      </c>
      <c r="H20194" s="185"/>
    </row>
    <row r="20195">
      <c r="D20195" s="185"/>
      <c r="E20195" s="185" t="s">
        <v>470</v>
      </c>
      <c r="H20195" s="185"/>
    </row>
    <row r="20196">
      <c r="D20196" s="185"/>
      <c r="E20196" s="185" t="s">
        <v>470</v>
      </c>
      <c r="H20196" s="185"/>
    </row>
    <row r="20197">
      <c r="D20197" s="185"/>
      <c r="E20197" s="185" t="s">
        <v>470</v>
      </c>
      <c r="H20197" s="185"/>
    </row>
    <row r="20198">
      <c r="D20198" s="185"/>
      <c r="E20198" s="185" t="s">
        <v>470</v>
      </c>
      <c r="H20198" s="185"/>
    </row>
    <row r="20199">
      <c r="D20199" s="185"/>
      <c r="E20199" s="185" t="s">
        <v>470</v>
      </c>
      <c r="H20199" s="185"/>
    </row>
    <row r="20200">
      <c r="D20200" s="185"/>
      <c r="E20200" s="185" t="s">
        <v>470</v>
      </c>
      <c r="H20200" s="185"/>
    </row>
    <row r="20201">
      <c r="D20201" s="185"/>
      <c r="E20201" s="185" t="s">
        <v>470</v>
      </c>
      <c r="H20201" s="185"/>
    </row>
    <row r="20202">
      <c r="D20202" s="185"/>
      <c r="E20202" s="185" t="s">
        <v>470</v>
      </c>
      <c r="H20202" s="185"/>
    </row>
    <row r="20203">
      <c r="D20203" s="185"/>
      <c r="E20203" s="185" t="s">
        <v>470</v>
      </c>
      <c r="H20203" s="185"/>
    </row>
    <row r="20204">
      <c r="D20204" s="185"/>
      <c r="E20204" s="185" t="s">
        <v>470</v>
      </c>
      <c r="H20204" s="185"/>
    </row>
    <row r="20205">
      <c r="D20205" s="185"/>
      <c r="E20205" s="185" t="s">
        <v>470</v>
      </c>
      <c r="H20205" s="185"/>
    </row>
    <row r="20206">
      <c r="D20206" s="185"/>
      <c r="E20206" s="185" t="s">
        <v>470</v>
      </c>
      <c r="H20206" s="185"/>
    </row>
    <row r="20207">
      <c r="D20207" s="185"/>
      <c r="E20207" s="185" t="s">
        <v>470</v>
      </c>
      <c r="H20207" s="185"/>
    </row>
    <row r="20208">
      <c r="D20208" s="185"/>
      <c r="E20208" s="185" t="s">
        <v>470</v>
      </c>
      <c r="H20208" s="185"/>
    </row>
    <row r="20209">
      <c r="D20209" s="185"/>
      <c r="E20209" s="185" t="s">
        <v>470</v>
      </c>
      <c r="H20209" s="185"/>
    </row>
    <row r="20210">
      <c r="D20210" s="185"/>
      <c r="E20210" s="185" t="s">
        <v>470</v>
      </c>
      <c r="H20210" s="185"/>
    </row>
    <row r="20211">
      <c r="D20211" s="185"/>
      <c r="E20211" s="185" t="s">
        <v>470</v>
      </c>
      <c r="H20211" s="185"/>
    </row>
    <row r="20212">
      <c r="D20212" s="185"/>
      <c r="E20212" s="185" t="s">
        <v>470</v>
      </c>
      <c r="H20212" s="185"/>
    </row>
    <row r="20213">
      <c r="D20213" s="185"/>
      <c r="E20213" s="185" t="s">
        <v>470</v>
      </c>
      <c r="H20213" s="185"/>
    </row>
    <row r="20214">
      <c r="D20214" s="185"/>
      <c r="E20214" s="185" t="s">
        <v>470</v>
      </c>
      <c r="H20214" s="185"/>
    </row>
    <row r="20215">
      <c r="D20215" s="185"/>
      <c r="E20215" s="185" t="s">
        <v>470</v>
      </c>
      <c r="H20215" s="185"/>
    </row>
    <row r="20216">
      <c r="D20216" s="185"/>
      <c r="E20216" s="185" t="s">
        <v>470</v>
      </c>
      <c r="H20216" s="185"/>
    </row>
    <row r="20217">
      <c r="D20217" s="185"/>
      <c r="E20217" s="185" t="s">
        <v>470</v>
      </c>
      <c r="H20217" s="185"/>
    </row>
    <row r="20218">
      <c r="D20218" s="185"/>
      <c r="E20218" s="185" t="s">
        <v>470</v>
      </c>
      <c r="H20218" s="185"/>
    </row>
    <row r="20219">
      <c r="D20219" s="185"/>
      <c r="E20219" s="185" t="s">
        <v>470</v>
      </c>
      <c r="H20219" s="185"/>
    </row>
    <row r="20220">
      <c r="D20220" s="185"/>
      <c r="E20220" s="185" t="s">
        <v>470</v>
      </c>
      <c r="H20220" s="185"/>
    </row>
    <row r="20221">
      <c r="D20221" s="185"/>
      <c r="E20221" s="185" t="s">
        <v>470</v>
      </c>
      <c r="H20221" s="185"/>
    </row>
    <row r="20222">
      <c r="D20222" s="185"/>
      <c r="E20222" s="185" t="s">
        <v>470</v>
      </c>
      <c r="H20222" s="185"/>
    </row>
    <row r="20223">
      <c r="D20223" s="185"/>
      <c r="E20223" s="185" t="s">
        <v>470</v>
      </c>
      <c r="H20223" s="185"/>
    </row>
    <row r="20224">
      <c r="D20224" s="185"/>
      <c r="E20224" s="185" t="s">
        <v>470</v>
      </c>
      <c r="H20224" s="185"/>
    </row>
    <row r="20225">
      <c r="D20225" s="185"/>
      <c r="E20225" s="185" t="s">
        <v>470</v>
      </c>
      <c r="H20225" s="185"/>
    </row>
    <row r="20226">
      <c r="D20226" s="185"/>
      <c r="E20226" s="185" t="s">
        <v>470</v>
      </c>
      <c r="H20226" s="185"/>
    </row>
    <row r="20227">
      <c r="D20227" s="185"/>
      <c r="E20227" s="185" t="s">
        <v>470</v>
      </c>
      <c r="H20227" s="185"/>
    </row>
    <row r="20228">
      <c r="D20228" s="185"/>
      <c r="E20228" s="185" t="s">
        <v>470</v>
      </c>
      <c r="H20228" s="185"/>
    </row>
    <row r="20229">
      <c r="D20229" s="185"/>
      <c r="E20229" s="185" t="s">
        <v>470</v>
      </c>
      <c r="H20229" s="185"/>
    </row>
    <row r="20230">
      <c r="D20230" s="185"/>
      <c r="E20230" s="185" t="s">
        <v>470</v>
      </c>
      <c r="H20230" s="185"/>
    </row>
    <row r="20231">
      <c r="D20231" s="185"/>
      <c r="E20231" s="185" t="s">
        <v>470</v>
      </c>
      <c r="H20231" s="185"/>
    </row>
    <row r="20232">
      <c r="D20232" s="185"/>
      <c r="E20232" s="185" t="s">
        <v>470</v>
      </c>
      <c r="H20232" s="185"/>
    </row>
    <row r="20233">
      <c r="D20233" s="185"/>
      <c r="E20233" s="185" t="s">
        <v>470</v>
      </c>
      <c r="H20233" s="185"/>
    </row>
    <row r="20234">
      <c r="D20234" s="185"/>
      <c r="E20234" s="185" t="s">
        <v>470</v>
      </c>
      <c r="H20234" s="185"/>
    </row>
    <row r="20235">
      <c r="D20235" s="185"/>
      <c r="E20235" s="185" t="s">
        <v>470</v>
      </c>
      <c r="H20235" s="185"/>
    </row>
    <row r="20236">
      <c r="D20236" s="185"/>
      <c r="E20236" s="185" t="s">
        <v>470</v>
      </c>
      <c r="H20236" s="185"/>
    </row>
    <row r="20237">
      <c r="D20237" s="185"/>
      <c r="E20237" s="185" t="s">
        <v>470</v>
      </c>
      <c r="H20237" s="185"/>
    </row>
    <row r="20238">
      <c r="D20238" s="185"/>
      <c r="E20238" s="185" t="s">
        <v>470</v>
      </c>
      <c r="H20238" s="185"/>
    </row>
    <row r="20239">
      <c r="D20239" s="185"/>
      <c r="E20239" s="185" t="s">
        <v>470</v>
      </c>
      <c r="H20239" s="185"/>
    </row>
    <row r="20240">
      <c r="D20240" s="185"/>
      <c r="E20240" s="185" t="s">
        <v>470</v>
      </c>
      <c r="H20240" s="185"/>
    </row>
    <row r="20241">
      <c r="D20241" s="185"/>
      <c r="E20241" s="185" t="s">
        <v>470</v>
      </c>
      <c r="H20241" s="185"/>
    </row>
    <row r="20242">
      <c r="D20242" s="185"/>
      <c r="E20242" s="185" t="s">
        <v>470</v>
      </c>
      <c r="H20242" s="185"/>
    </row>
    <row r="20243">
      <c r="D20243" s="185"/>
      <c r="E20243" s="185" t="s">
        <v>470</v>
      </c>
      <c r="H20243" s="185"/>
    </row>
    <row r="20244">
      <c r="D20244" s="185"/>
      <c r="E20244" s="185" t="s">
        <v>470</v>
      </c>
      <c r="H20244" s="185"/>
    </row>
    <row r="20245">
      <c r="D20245" s="185"/>
      <c r="E20245" s="185" t="s">
        <v>470</v>
      </c>
      <c r="H20245" s="185"/>
    </row>
    <row r="20246">
      <c r="D20246" s="185"/>
      <c r="E20246" s="185" t="s">
        <v>470</v>
      </c>
      <c r="H20246" s="185"/>
    </row>
    <row r="20247">
      <c r="D20247" s="185"/>
      <c r="E20247" s="185" t="s">
        <v>470</v>
      </c>
      <c r="H20247" s="185"/>
    </row>
    <row r="20248">
      <c r="D20248" s="185"/>
      <c r="E20248" s="185" t="s">
        <v>470</v>
      </c>
      <c r="H20248" s="185"/>
    </row>
    <row r="20249">
      <c r="D20249" s="185"/>
      <c r="E20249" s="185" t="s">
        <v>470</v>
      </c>
      <c r="H20249" s="185"/>
    </row>
    <row r="20250">
      <c r="D20250" s="185"/>
      <c r="E20250" s="185" t="s">
        <v>470</v>
      </c>
      <c r="H20250" s="185"/>
    </row>
    <row r="20251">
      <c r="D20251" s="185"/>
      <c r="E20251" s="185" t="s">
        <v>470</v>
      </c>
      <c r="H20251" s="185"/>
    </row>
    <row r="20252">
      <c r="D20252" s="185"/>
      <c r="E20252" s="185" t="s">
        <v>470</v>
      </c>
      <c r="H20252" s="185"/>
    </row>
    <row r="20253">
      <c r="D20253" s="185"/>
      <c r="E20253" s="185" t="s">
        <v>470</v>
      </c>
      <c r="H20253" s="185"/>
    </row>
    <row r="20254">
      <c r="D20254" s="185"/>
      <c r="E20254" s="185" t="s">
        <v>470</v>
      </c>
      <c r="H20254" s="185"/>
    </row>
    <row r="20255">
      <c r="D20255" s="185"/>
      <c r="E20255" s="185" t="s">
        <v>470</v>
      </c>
      <c r="H20255" s="185"/>
    </row>
    <row r="20256">
      <c r="D20256" s="185"/>
      <c r="E20256" s="185" t="s">
        <v>470</v>
      </c>
      <c r="H20256" s="185"/>
    </row>
    <row r="20257">
      <c r="D20257" s="185"/>
      <c r="E20257" s="185" t="s">
        <v>470</v>
      </c>
      <c r="H20257" s="185"/>
    </row>
    <row r="20258">
      <c r="D20258" s="185"/>
      <c r="E20258" s="185" t="s">
        <v>470</v>
      </c>
      <c r="H20258" s="185"/>
    </row>
    <row r="20259">
      <c r="D20259" s="185"/>
      <c r="E20259" s="185" t="s">
        <v>470</v>
      </c>
      <c r="H20259" s="185"/>
    </row>
    <row r="20260">
      <c r="D20260" s="185"/>
      <c r="E20260" s="185" t="s">
        <v>470</v>
      </c>
      <c r="H20260" s="185"/>
    </row>
    <row r="20261">
      <c r="D20261" s="185"/>
      <c r="E20261" s="185" t="s">
        <v>470</v>
      </c>
      <c r="H20261" s="185"/>
    </row>
    <row r="20262">
      <c r="D20262" s="185"/>
      <c r="E20262" s="185" t="s">
        <v>470</v>
      </c>
      <c r="H20262" s="185"/>
    </row>
    <row r="20263">
      <c r="D20263" s="185"/>
      <c r="E20263" s="185" t="s">
        <v>470</v>
      </c>
      <c r="H20263" s="185"/>
    </row>
    <row r="20264">
      <c r="D20264" s="185"/>
      <c r="E20264" s="185" t="s">
        <v>470</v>
      </c>
      <c r="H20264" s="185"/>
    </row>
    <row r="20265">
      <c r="D20265" s="185"/>
      <c r="E20265" s="185" t="s">
        <v>470</v>
      </c>
      <c r="H20265" s="185"/>
    </row>
    <row r="20266">
      <c r="D20266" s="185"/>
      <c r="E20266" s="185" t="s">
        <v>470</v>
      </c>
      <c r="H20266" s="185"/>
    </row>
    <row r="20267">
      <c r="D20267" s="185"/>
      <c r="E20267" s="185" t="s">
        <v>470</v>
      </c>
      <c r="H20267" s="185"/>
    </row>
    <row r="20268">
      <c r="D20268" s="185"/>
      <c r="E20268" s="185" t="s">
        <v>470</v>
      </c>
      <c r="H20268" s="185"/>
    </row>
    <row r="20269">
      <c r="D20269" s="185"/>
      <c r="E20269" s="185" t="s">
        <v>470</v>
      </c>
      <c r="H20269" s="185"/>
    </row>
    <row r="20270">
      <c r="D20270" s="185"/>
      <c r="E20270" s="185" t="s">
        <v>470</v>
      </c>
      <c r="H20270" s="185"/>
    </row>
    <row r="20271">
      <c r="D20271" s="185"/>
      <c r="E20271" s="185" t="s">
        <v>470</v>
      </c>
      <c r="H20271" s="185"/>
    </row>
    <row r="20272">
      <c r="D20272" s="185"/>
      <c r="E20272" s="185" t="s">
        <v>470</v>
      </c>
      <c r="H20272" s="185"/>
    </row>
    <row r="20273">
      <c r="D20273" s="185"/>
      <c r="E20273" s="185" t="s">
        <v>470</v>
      </c>
      <c r="H20273" s="185"/>
    </row>
    <row r="20274">
      <c r="D20274" s="185"/>
      <c r="E20274" s="185" t="s">
        <v>470</v>
      </c>
      <c r="H20274" s="185"/>
    </row>
    <row r="20275">
      <c r="D20275" s="185"/>
      <c r="E20275" s="185" t="s">
        <v>470</v>
      </c>
      <c r="H20275" s="185"/>
    </row>
    <row r="20276">
      <c r="D20276" s="185"/>
      <c r="E20276" s="185" t="s">
        <v>470</v>
      </c>
      <c r="H20276" s="185"/>
    </row>
    <row r="20277">
      <c r="D20277" s="185"/>
      <c r="E20277" s="185" t="s">
        <v>470</v>
      </c>
      <c r="H20277" s="185"/>
    </row>
    <row r="20278">
      <c r="D20278" s="185"/>
      <c r="E20278" s="185" t="s">
        <v>470</v>
      </c>
      <c r="H20278" s="185"/>
    </row>
    <row r="20279">
      <c r="D20279" s="185"/>
      <c r="E20279" s="185" t="s">
        <v>470</v>
      </c>
      <c r="H20279" s="185"/>
    </row>
    <row r="20280">
      <c r="D20280" s="185"/>
      <c r="E20280" s="185" t="s">
        <v>470</v>
      </c>
      <c r="H20280" s="185"/>
    </row>
    <row r="20281">
      <c r="D20281" s="185"/>
      <c r="E20281" s="185" t="s">
        <v>470</v>
      </c>
      <c r="H20281" s="185"/>
    </row>
    <row r="20282">
      <c r="D20282" s="185"/>
      <c r="E20282" s="185" t="s">
        <v>470</v>
      </c>
      <c r="H20282" s="185"/>
    </row>
    <row r="20283">
      <c r="D20283" s="185"/>
      <c r="E20283" s="185" t="s">
        <v>470</v>
      </c>
      <c r="H20283" s="185"/>
    </row>
    <row r="20284">
      <c r="D20284" s="185"/>
      <c r="E20284" s="185" t="s">
        <v>470</v>
      </c>
      <c r="H20284" s="185"/>
    </row>
    <row r="20285">
      <c r="D20285" s="185"/>
      <c r="E20285" s="185" t="s">
        <v>470</v>
      </c>
      <c r="H20285" s="185"/>
    </row>
    <row r="20286">
      <c r="D20286" s="185"/>
      <c r="E20286" s="185" t="s">
        <v>470</v>
      </c>
      <c r="H20286" s="185"/>
    </row>
    <row r="20287">
      <c r="D20287" s="185"/>
      <c r="E20287" s="185" t="s">
        <v>470</v>
      </c>
      <c r="H20287" s="185"/>
    </row>
    <row r="20288">
      <c r="D20288" s="185"/>
      <c r="E20288" s="185" t="s">
        <v>470</v>
      </c>
      <c r="H20288" s="185"/>
    </row>
    <row r="20289">
      <c r="D20289" s="185"/>
      <c r="E20289" s="185" t="s">
        <v>470</v>
      </c>
      <c r="H20289" s="185"/>
    </row>
    <row r="20290">
      <c r="D20290" s="185"/>
      <c r="E20290" s="185" t="s">
        <v>470</v>
      </c>
      <c r="H20290" s="185"/>
    </row>
    <row r="20291">
      <c r="D20291" s="185"/>
      <c r="E20291" s="185" t="s">
        <v>470</v>
      </c>
      <c r="H20291" s="185"/>
    </row>
    <row r="20292">
      <c r="D20292" s="185"/>
      <c r="E20292" s="185" t="s">
        <v>470</v>
      </c>
      <c r="H20292" s="185"/>
    </row>
    <row r="20293">
      <c r="D20293" s="185"/>
      <c r="E20293" s="185" t="s">
        <v>470</v>
      </c>
      <c r="H20293" s="185"/>
    </row>
    <row r="20294">
      <c r="D20294" s="185"/>
      <c r="E20294" s="185" t="s">
        <v>470</v>
      </c>
      <c r="H20294" s="185"/>
    </row>
    <row r="20295">
      <c r="D20295" s="185"/>
      <c r="E20295" s="185" t="s">
        <v>470</v>
      </c>
      <c r="H20295" s="185"/>
    </row>
    <row r="20296">
      <c r="D20296" s="185"/>
      <c r="E20296" s="185" t="s">
        <v>470</v>
      </c>
      <c r="H20296" s="185"/>
    </row>
    <row r="20297">
      <c r="D20297" s="185"/>
      <c r="E20297" s="185" t="s">
        <v>470</v>
      </c>
      <c r="H20297" s="185"/>
    </row>
    <row r="20298">
      <c r="D20298" s="185"/>
      <c r="E20298" s="185" t="s">
        <v>470</v>
      </c>
      <c r="H20298" s="185"/>
    </row>
    <row r="20299">
      <c r="D20299" s="185"/>
      <c r="E20299" s="185" t="s">
        <v>470</v>
      </c>
      <c r="H20299" s="185"/>
    </row>
    <row r="20300">
      <c r="D20300" s="185"/>
      <c r="E20300" s="185" t="s">
        <v>470</v>
      </c>
      <c r="H20300" s="185"/>
    </row>
    <row r="20301">
      <c r="D20301" s="185"/>
      <c r="E20301" s="185" t="s">
        <v>470</v>
      </c>
      <c r="H20301" s="185"/>
    </row>
    <row r="20302">
      <c r="D20302" s="185"/>
      <c r="E20302" s="185" t="s">
        <v>470</v>
      </c>
      <c r="H20302" s="185"/>
    </row>
    <row r="20303">
      <c r="D20303" s="185"/>
      <c r="E20303" s="185" t="s">
        <v>470</v>
      </c>
      <c r="H20303" s="185"/>
    </row>
    <row r="20304">
      <c r="D20304" s="185"/>
      <c r="E20304" s="185" t="s">
        <v>470</v>
      </c>
      <c r="H20304" s="185"/>
    </row>
    <row r="20305">
      <c r="D20305" s="185"/>
      <c r="E20305" s="185" t="s">
        <v>470</v>
      </c>
      <c r="H20305" s="185"/>
    </row>
    <row r="20306">
      <c r="D20306" s="185"/>
      <c r="E20306" s="185" t="s">
        <v>470</v>
      </c>
      <c r="H20306" s="185"/>
    </row>
    <row r="20307">
      <c r="D20307" s="185"/>
      <c r="E20307" s="185" t="s">
        <v>470</v>
      </c>
      <c r="H20307" s="185"/>
    </row>
    <row r="20308">
      <c r="D20308" s="185"/>
      <c r="E20308" s="185" t="s">
        <v>470</v>
      </c>
      <c r="H20308" s="185"/>
    </row>
    <row r="20309">
      <c r="D20309" s="185"/>
      <c r="E20309" s="185" t="s">
        <v>470</v>
      </c>
      <c r="H20309" s="185"/>
    </row>
    <row r="20310">
      <c r="D20310" s="185"/>
      <c r="E20310" s="185" t="s">
        <v>470</v>
      </c>
      <c r="H20310" s="185"/>
    </row>
    <row r="20311">
      <c r="D20311" s="185"/>
      <c r="E20311" s="185" t="s">
        <v>470</v>
      </c>
      <c r="H20311" s="185"/>
    </row>
    <row r="20312">
      <c r="D20312" s="185"/>
      <c r="E20312" s="185" t="s">
        <v>470</v>
      </c>
      <c r="H20312" s="185"/>
    </row>
    <row r="20313">
      <c r="D20313" s="185"/>
      <c r="E20313" s="185" t="s">
        <v>470</v>
      </c>
      <c r="H20313" s="185"/>
    </row>
    <row r="20314">
      <c r="D20314" s="185"/>
      <c r="E20314" s="185" t="s">
        <v>470</v>
      </c>
      <c r="H20314" s="185"/>
    </row>
    <row r="20315">
      <c r="D20315" s="185"/>
      <c r="E20315" s="185" t="s">
        <v>470</v>
      </c>
      <c r="H20315" s="185"/>
    </row>
    <row r="20316">
      <c r="D20316" s="185"/>
      <c r="E20316" s="185" t="s">
        <v>470</v>
      </c>
      <c r="H20316" s="185"/>
    </row>
    <row r="20317">
      <c r="D20317" s="185"/>
      <c r="E20317" s="185" t="s">
        <v>470</v>
      </c>
      <c r="H20317" s="185"/>
    </row>
    <row r="20318">
      <c r="D20318" s="185"/>
      <c r="E20318" s="185" t="s">
        <v>470</v>
      </c>
      <c r="H20318" s="185"/>
    </row>
    <row r="20319">
      <c r="D20319" s="185"/>
      <c r="E20319" s="185" t="s">
        <v>470</v>
      </c>
      <c r="H20319" s="185"/>
    </row>
    <row r="20320">
      <c r="D20320" s="185"/>
      <c r="E20320" s="185" t="s">
        <v>470</v>
      </c>
      <c r="H20320" s="185"/>
    </row>
    <row r="20321">
      <c r="D20321" s="185"/>
      <c r="E20321" s="185" t="s">
        <v>470</v>
      </c>
      <c r="H20321" s="185"/>
    </row>
    <row r="20322">
      <c r="D20322" s="185"/>
      <c r="E20322" s="185" t="s">
        <v>470</v>
      </c>
      <c r="H20322" s="185"/>
    </row>
    <row r="20323">
      <c r="D20323" s="185"/>
      <c r="E20323" s="185" t="s">
        <v>470</v>
      </c>
      <c r="H20323" s="185"/>
    </row>
    <row r="20324">
      <c r="D20324" s="185"/>
      <c r="E20324" s="185" t="s">
        <v>470</v>
      </c>
      <c r="H20324" s="185"/>
    </row>
    <row r="20325">
      <c r="D20325" s="185"/>
      <c r="E20325" s="185" t="s">
        <v>470</v>
      </c>
      <c r="H20325" s="185"/>
    </row>
    <row r="20326">
      <c r="D20326" s="185"/>
      <c r="E20326" s="185" t="s">
        <v>470</v>
      </c>
      <c r="H20326" s="185"/>
    </row>
    <row r="20327">
      <c r="D20327" s="185"/>
      <c r="E20327" s="185" t="s">
        <v>470</v>
      </c>
      <c r="H20327" s="185"/>
    </row>
    <row r="20328">
      <c r="D20328" s="185"/>
      <c r="E20328" s="185" t="s">
        <v>470</v>
      </c>
      <c r="H20328" s="185"/>
    </row>
    <row r="20329">
      <c r="D20329" s="185"/>
      <c r="E20329" s="185" t="s">
        <v>470</v>
      </c>
      <c r="H20329" s="185"/>
    </row>
    <row r="20330">
      <c r="D20330" s="185"/>
      <c r="E20330" s="185" t="s">
        <v>470</v>
      </c>
      <c r="H20330" s="185"/>
    </row>
    <row r="20331">
      <c r="D20331" s="185"/>
      <c r="E20331" s="185" t="s">
        <v>470</v>
      </c>
      <c r="H20331" s="185"/>
    </row>
    <row r="20332">
      <c r="D20332" s="185"/>
      <c r="E20332" s="185" t="s">
        <v>470</v>
      </c>
      <c r="H20332" s="185"/>
    </row>
    <row r="20333">
      <c r="D20333" s="185"/>
      <c r="E20333" s="185" t="s">
        <v>470</v>
      </c>
      <c r="H20333" s="185"/>
    </row>
    <row r="20334">
      <c r="D20334" s="185"/>
      <c r="E20334" s="185" t="s">
        <v>470</v>
      </c>
      <c r="H20334" s="185"/>
    </row>
    <row r="20335">
      <c r="D20335" s="185"/>
      <c r="E20335" s="185" t="s">
        <v>470</v>
      </c>
      <c r="H20335" s="185"/>
    </row>
    <row r="20336">
      <c r="D20336" s="185"/>
      <c r="E20336" s="185" t="s">
        <v>470</v>
      </c>
      <c r="H20336" s="185"/>
    </row>
    <row r="20337">
      <c r="D20337" s="185"/>
      <c r="E20337" s="185" t="s">
        <v>470</v>
      </c>
      <c r="H20337" s="185"/>
    </row>
    <row r="20338">
      <c r="D20338" s="185"/>
      <c r="E20338" s="185" t="s">
        <v>470</v>
      </c>
      <c r="H20338" s="185"/>
    </row>
    <row r="20339">
      <c r="D20339" s="185"/>
      <c r="E20339" s="185" t="s">
        <v>470</v>
      </c>
      <c r="H20339" s="185"/>
    </row>
    <row r="20340">
      <c r="D20340" s="185"/>
      <c r="E20340" s="185" t="s">
        <v>470</v>
      </c>
      <c r="H20340" s="185"/>
    </row>
    <row r="20341">
      <c r="D20341" s="185"/>
      <c r="E20341" s="185" t="s">
        <v>470</v>
      </c>
      <c r="H20341" s="185"/>
    </row>
    <row r="20342">
      <c r="D20342" s="185"/>
      <c r="E20342" s="185" t="s">
        <v>470</v>
      </c>
      <c r="H20342" s="185"/>
    </row>
    <row r="20343">
      <c r="D20343" s="185"/>
      <c r="E20343" s="185" t="s">
        <v>470</v>
      </c>
      <c r="H20343" s="185"/>
    </row>
    <row r="20344">
      <c r="D20344" s="185"/>
      <c r="E20344" s="185" t="s">
        <v>470</v>
      </c>
      <c r="H20344" s="185"/>
    </row>
    <row r="20345">
      <c r="D20345" s="185"/>
      <c r="E20345" s="185" t="s">
        <v>470</v>
      </c>
      <c r="H20345" s="185"/>
    </row>
    <row r="20346">
      <c r="D20346" s="185"/>
      <c r="E20346" s="185" t="s">
        <v>470</v>
      </c>
      <c r="H20346" s="185"/>
    </row>
    <row r="20347">
      <c r="D20347" s="185"/>
      <c r="E20347" s="185" t="s">
        <v>470</v>
      </c>
      <c r="H20347" s="185"/>
    </row>
    <row r="20348">
      <c r="D20348" s="185"/>
      <c r="E20348" s="185" t="s">
        <v>470</v>
      </c>
      <c r="H20348" s="185"/>
    </row>
    <row r="20349">
      <c r="D20349" s="185"/>
      <c r="E20349" s="185" t="s">
        <v>470</v>
      </c>
      <c r="H20349" s="185"/>
    </row>
    <row r="20350">
      <c r="D20350" s="185"/>
      <c r="E20350" s="185" t="s">
        <v>470</v>
      </c>
      <c r="H20350" s="185"/>
    </row>
    <row r="20351">
      <c r="D20351" s="185"/>
      <c r="E20351" s="185" t="s">
        <v>470</v>
      </c>
      <c r="H20351" s="185"/>
    </row>
    <row r="20352">
      <c r="D20352" s="185"/>
      <c r="E20352" s="185" t="s">
        <v>470</v>
      </c>
      <c r="H20352" s="185"/>
    </row>
    <row r="20353">
      <c r="D20353" s="185"/>
      <c r="E20353" s="185" t="s">
        <v>470</v>
      </c>
      <c r="H20353" s="185"/>
    </row>
    <row r="20354">
      <c r="D20354" s="185"/>
      <c r="E20354" s="185" t="s">
        <v>470</v>
      </c>
      <c r="H20354" s="185"/>
    </row>
    <row r="20355">
      <c r="D20355" s="185"/>
      <c r="E20355" s="185" t="s">
        <v>470</v>
      </c>
      <c r="H20355" s="185"/>
    </row>
    <row r="20356">
      <c r="D20356" s="185"/>
      <c r="E20356" s="185" t="s">
        <v>470</v>
      </c>
      <c r="H20356" s="185"/>
    </row>
    <row r="20357">
      <c r="D20357" s="185"/>
      <c r="E20357" s="185" t="s">
        <v>470</v>
      </c>
      <c r="H20357" s="185"/>
    </row>
    <row r="20358">
      <c r="D20358" s="185"/>
      <c r="E20358" s="185" t="s">
        <v>470</v>
      </c>
      <c r="H20358" s="185"/>
    </row>
    <row r="20359">
      <c r="D20359" s="185"/>
      <c r="E20359" s="185" t="s">
        <v>470</v>
      </c>
      <c r="H20359" s="185"/>
    </row>
    <row r="20360">
      <c r="D20360" s="185"/>
      <c r="E20360" s="185" t="s">
        <v>470</v>
      </c>
      <c r="H20360" s="185"/>
    </row>
    <row r="20361">
      <c r="D20361" s="185"/>
      <c r="E20361" s="185" t="s">
        <v>470</v>
      </c>
      <c r="H20361" s="185"/>
    </row>
    <row r="20362">
      <c r="D20362" s="185"/>
      <c r="E20362" s="185" t="s">
        <v>470</v>
      </c>
      <c r="H20362" s="185"/>
    </row>
    <row r="20363">
      <c r="D20363" s="185"/>
      <c r="E20363" s="185" t="s">
        <v>470</v>
      </c>
      <c r="H20363" s="185"/>
    </row>
    <row r="20364">
      <c r="D20364" s="185"/>
      <c r="E20364" s="185" t="s">
        <v>470</v>
      </c>
      <c r="H20364" s="185"/>
    </row>
    <row r="20365">
      <c r="D20365" s="185"/>
      <c r="E20365" s="185" t="s">
        <v>470</v>
      </c>
      <c r="H20365" s="185"/>
    </row>
    <row r="20366">
      <c r="D20366" s="185"/>
      <c r="E20366" s="185" t="s">
        <v>470</v>
      </c>
      <c r="H20366" s="185"/>
    </row>
    <row r="20367">
      <c r="D20367" s="185"/>
      <c r="E20367" s="185" t="s">
        <v>470</v>
      </c>
      <c r="H20367" s="185"/>
    </row>
    <row r="20368">
      <c r="D20368" s="185"/>
      <c r="E20368" s="185" t="s">
        <v>470</v>
      </c>
      <c r="H20368" s="185"/>
    </row>
    <row r="20369">
      <c r="D20369" s="185"/>
      <c r="E20369" s="185" t="s">
        <v>470</v>
      </c>
      <c r="H20369" s="185"/>
    </row>
    <row r="20370">
      <c r="D20370" s="185"/>
      <c r="E20370" s="185" t="s">
        <v>470</v>
      </c>
      <c r="H20370" s="185"/>
    </row>
    <row r="20371">
      <c r="D20371" s="185"/>
      <c r="E20371" s="185" t="s">
        <v>470</v>
      </c>
      <c r="H20371" s="185"/>
    </row>
    <row r="20372">
      <c r="D20372" s="185"/>
      <c r="E20372" s="185" t="s">
        <v>470</v>
      </c>
      <c r="H20372" s="185"/>
    </row>
    <row r="20373">
      <c r="D20373" s="185"/>
      <c r="E20373" s="185" t="s">
        <v>470</v>
      </c>
      <c r="H20373" s="185"/>
    </row>
    <row r="20374">
      <c r="D20374" s="185"/>
      <c r="E20374" s="185" t="s">
        <v>470</v>
      </c>
      <c r="H20374" s="185"/>
    </row>
    <row r="20375">
      <c r="D20375" s="185"/>
      <c r="E20375" s="185" t="s">
        <v>470</v>
      </c>
      <c r="H20375" s="185"/>
    </row>
    <row r="20376">
      <c r="D20376" s="185"/>
      <c r="E20376" s="185" t="s">
        <v>470</v>
      </c>
      <c r="H20376" s="185"/>
    </row>
    <row r="20377">
      <c r="D20377" s="185"/>
      <c r="E20377" s="185" t="s">
        <v>470</v>
      </c>
      <c r="H20377" s="185"/>
    </row>
    <row r="20378">
      <c r="D20378" s="185"/>
      <c r="E20378" s="185" t="s">
        <v>470</v>
      </c>
      <c r="H20378" s="185"/>
    </row>
    <row r="20379">
      <c r="D20379" s="185"/>
      <c r="E20379" s="185" t="s">
        <v>470</v>
      </c>
      <c r="H20379" s="185"/>
    </row>
    <row r="20380">
      <c r="D20380" s="185"/>
      <c r="E20380" s="185" t="s">
        <v>470</v>
      </c>
      <c r="H20380" s="185"/>
    </row>
    <row r="20381">
      <c r="D20381" s="185"/>
      <c r="E20381" s="185" t="s">
        <v>470</v>
      </c>
      <c r="H20381" s="185"/>
    </row>
    <row r="20382">
      <c r="D20382" s="185"/>
      <c r="E20382" s="185" t="s">
        <v>470</v>
      </c>
      <c r="H20382" s="185"/>
    </row>
    <row r="20383">
      <c r="D20383" s="185"/>
      <c r="E20383" s="185" t="s">
        <v>470</v>
      </c>
      <c r="H20383" s="185"/>
    </row>
    <row r="20384">
      <c r="D20384" s="185"/>
      <c r="E20384" s="185" t="s">
        <v>470</v>
      </c>
      <c r="H20384" s="185"/>
    </row>
    <row r="20385">
      <c r="D20385" s="185"/>
      <c r="E20385" s="185" t="s">
        <v>470</v>
      </c>
      <c r="H20385" s="185"/>
    </row>
    <row r="20386">
      <c r="D20386" s="185"/>
      <c r="E20386" s="185" t="s">
        <v>470</v>
      </c>
      <c r="H20386" s="185"/>
    </row>
    <row r="20387">
      <c r="D20387" s="185"/>
      <c r="E20387" s="185" t="s">
        <v>470</v>
      </c>
      <c r="H20387" s="185"/>
    </row>
    <row r="20388">
      <c r="D20388" s="185"/>
      <c r="E20388" s="185" t="s">
        <v>470</v>
      </c>
      <c r="H20388" s="185"/>
    </row>
    <row r="20389">
      <c r="D20389" s="185"/>
      <c r="E20389" s="185" t="s">
        <v>470</v>
      </c>
      <c r="H20389" s="185"/>
    </row>
    <row r="20390">
      <c r="D20390" s="185"/>
      <c r="E20390" s="185" t="s">
        <v>470</v>
      </c>
      <c r="H20390" s="185"/>
    </row>
    <row r="20391">
      <c r="D20391" s="185"/>
      <c r="E20391" s="185" t="s">
        <v>470</v>
      </c>
      <c r="H20391" s="185"/>
    </row>
    <row r="20392">
      <c r="D20392" s="185"/>
      <c r="E20392" s="185" t="s">
        <v>470</v>
      </c>
      <c r="H20392" s="185"/>
    </row>
    <row r="20393">
      <c r="D20393" s="185"/>
      <c r="E20393" s="185" t="s">
        <v>470</v>
      </c>
      <c r="H20393" s="185"/>
    </row>
    <row r="20394">
      <c r="D20394" s="185"/>
      <c r="E20394" s="185" t="s">
        <v>470</v>
      </c>
      <c r="H20394" s="185"/>
    </row>
    <row r="20395">
      <c r="D20395" s="185"/>
      <c r="E20395" s="185" t="s">
        <v>470</v>
      </c>
      <c r="H20395" s="185"/>
    </row>
    <row r="20396">
      <c r="D20396" s="185"/>
      <c r="E20396" s="185" t="s">
        <v>470</v>
      </c>
      <c r="H20396" s="185"/>
    </row>
    <row r="20397">
      <c r="D20397" s="185"/>
      <c r="E20397" s="185" t="s">
        <v>470</v>
      </c>
      <c r="H20397" s="185"/>
    </row>
    <row r="20398">
      <c r="D20398" s="185"/>
      <c r="E20398" s="185" t="s">
        <v>470</v>
      </c>
      <c r="H20398" s="185"/>
    </row>
    <row r="20399">
      <c r="D20399" s="185"/>
      <c r="E20399" s="185" t="s">
        <v>470</v>
      </c>
      <c r="H20399" s="185"/>
    </row>
    <row r="20400">
      <c r="D20400" s="185"/>
      <c r="E20400" s="185" t="s">
        <v>470</v>
      </c>
      <c r="H20400" s="185"/>
    </row>
    <row r="20401">
      <c r="D20401" s="185"/>
      <c r="E20401" s="185" t="s">
        <v>470</v>
      </c>
      <c r="H20401" s="185"/>
    </row>
    <row r="20402">
      <c r="D20402" s="185"/>
      <c r="E20402" s="185" t="s">
        <v>470</v>
      </c>
      <c r="H20402" s="185"/>
    </row>
    <row r="20403">
      <c r="D20403" s="185"/>
      <c r="E20403" s="185" t="s">
        <v>470</v>
      </c>
      <c r="H20403" s="185"/>
    </row>
    <row r="20404">
      <c r="D20404" s="185"/>
      <c r="E20404" s="185" t="s">
        <v>470</v>
      </c>
      <c r="H20404" s="185"/>
    </row>
    <row r="20405">
      <c r="D20405" s="185"/>
      <c r="E20405" s="185" t="s">
        <v>470</v>
      </c>
      <c r="H20405" s="185"/>
    </row>
    <row r="20406">
      <c r="D20406" s="185"/>
      <c r="E20406" s="185" t="s">
        <v>470</v>
      </c>
      <c r="H20406" s="185"/>
    </row>
    <row r="20407">
      <c r="D20407" s="185"/>
      <c r="E20407" s="185" t="s">
        <v>470</v>
      </c>
      <c r="H20407" s="185"/>
    </row>
    <row r="20408">
      <c r="D20408" s="185"/>
      <c r="E20408" s="185" t="s">
        <v>470</v>
      </c>
      <c r="H20408" s="185"/>
    </row>
    <row r="20409">
      <c r="D20409" s="185"/>
      <c r="E20409" s="185" t="s">
        <v>470</v>
      </c>
      <c r="H20409" s="185"/>
    </row>
    <row r="20410">
      <c r="D20410" s="185"/>
      <c r="E20410" s="185" t="s">
        <v>470</v>
      </c>
      <c r="H20410" s="185"/>
    </row>
    <row r="20411">
      <c r="D20411" s="185"/>
      <c r="E20411" s="185" t="s">
        <v>470</v>
      </c>
      <c r="H20411" s="185"/>
    </row>
    <row r="20412">
      <c r="D20412" s="185"/>
      <c r="E20412" s="185" t="s">
        <v>470</v>
      </c>
      <c r="H20412" s="185"/>
    </row>
    <row r="20413">
      <c r="D20413" s="185"/>
      <c r="E20413" s="185" t="s">
        <v>470</v>
      </c>
      <c r="H20413" s="185"/>
    </row>
    <row r="20414">
      <c r="D20414" s="185"/>
      <c r="E20414" s="185" t="s">
        <v>470</v>
      </c>
      <c r="H20414" s="185"/>
    </row>
    <row r="20415">
      <c r="D20415" s="185"/>
      <c r="E20415" s="185" t="s">
        <v>470</v>
      </c>
      <c r="H20415" s="185"/>
    </row>
    <row r="20416">
      <c r="D20416" s="185"/>
      <c r="E20416" s="185" t="s">
        <v>470</v>
      </c>
      <c r="H20416" s="185"/>
    </row>
    <row r="20417">
      <c r="D20417" s="185"/>
      <c r="E20417" s="185" t="s">
        <v>470</v>
      </c>
      <c r="H20417" s="185"/>
    </row>
    <row r="20418">
      <c r="D20418" s="185"/>
      <c r="E20418" s="185" t="s">
        <v>470</v>
      </c>
      <c r="H20418" s="185"/>
    </row>
    <row r="20419">
      <c r="D20419" s="185"/>
      <c r="E20419" s="185" t="s">
        <v>470</v>
      </c>
      <c r="H20419" s="185"/>
    </row>
    <row r="20420">
      <c r="D20420" s="185"/>
      <c r="E20420" s="185" t="s">
        <v>470</v>
      </c>
      <c r="H20420" s="185"/>
    </row>
    <row r="20421">
      <c r="D20421" s="185"/>
      <c r="E20421" s="185" t="s">
        <v>470</v>
      </c>
      <c r="H20421" s="185"/>
    </row>
    <row r="20422">
      <c r="D20422" s="185"/>
      <c r="E20422" s="185" t="s">
        <v>470</v>
      </c>
      <c r="H20422" s="185"/>
    </row>
    <row r="20423">
      <c r="D20423" s="185"/>
      <c r="E20423" s="185" t="s">
        <v>470</v>
      </c>
      <c r="H20423" s="185"/>
    </row>
    <row r="20424">
      <c r="D20424" s="185"/>
      <c r="E20424" s="185" t="s">
        <v>470</v>
      </c>
      <c r="H20424" s="185"/>
    </row>
    <row r="20425">
      <c r="D20425" s="185"/>
      <c r="E20425" s="185" t="s">
        <v>470</v>
      </c>
      <c r="H20425" s="185"/>
    </row>
    <row r="20426">
      <c r="D20426" s="185"/>
      <c r="E20426" s="185" t="s">
        <v>470</v>
      </c>
      <c r="H20426" s="185"/>
    </row>
    <row r="20427">
      <c r="D20427" s="185"/>
      <c r="E20427" s="185" t="s">
        <v>470</v>
      </c>
      <c r="H20427" s="185"/>
    </row>
    <row r="20428">
      <c r="D20428" s="185"/>
      <c r="E20428" s="185" t="s">
        <v>470</v>
      </c>
      <c r="H20428" s="185"/>
    </row>
    <row r="20429">
      <c r="D20429" s="185"/>
      <c r="E20429" s="185" t="s">
        <v>470</v>
      </c>
      <c r="H20429" s="185"/>
    </row>
    <row r="20430">
      <c r="D20430" s="185"/>
      <c r="E20430" s="185" t="s">
        <v>470</v>
      </c>
      <c r="H20430" s="185"/>
    </row>
    <row r="20431">
      <c r="D20431" s="185"/>
      <c r="E20431" s="185" t="s">
        <v>470</v>
      </c>
      <c r="H20431" s="185"/>
    </row>
    <row r="20432">
      <c r="D20432" s="185"/>
      <c r="E20432" s="185" t="s">
        <v>470</v>
      </c>
      <c r="H20432" s="185"/>
    </row>
    <row r="20433">
      <c r="D20433" s="185"/>
      <c r="E20433" s="185" t="s">
        <v>470</v>
      </c>
      <c r="H20433" s="185"/>
    </row>
    <row r="20434">
      <c r="D20434" s="185"/>
      <c r="E20434" s="185" t="s">
        <v>470</v>
      </c>
      <c r="H20434" s="185"/>
    </row>
    <row r="20435">
      <c r="D20435" s="185"/>
      <c r="E20435" s="185" t="s">
        <v>470</v>
      </c>
      <c r="H20435" s="185"/>
    </row>
    <row r="20436">
      <c r="D20436" s="185"/>
      <c r="E20436" s="185" t="s">
        <v>470</v>
      </c>
      <c r="H20436" s="185"/>
    </row>
    <row r="20437">
      <c r="D20437" s="185"/>
      <c r="E20437" s="185" t="s">
        <v>470</v>
      </c>
      <c r="H20437" s="185"/>
    </row>
    <row r="20438">
      <c r="D20438" s="185"/>
      <c r="E20438" s="185" t="s">
        <v>470</v>
      </c>
      <c r="H20438" s="185"/>
    </row>
    <row r="20439">
      <c r="D20439" s="185"/>
      <c r="E20439" s="185" t="s">
        <v>470</v>
      </c>
      <c r="H20439" s="185"/>
    </row>
    <row r="20440">
      <c r="D20440" s="185"/>
      <c r="E20440" s="185" t="s">
        <v>470</v>
      </c>
      <c r="H20440" s="185"/>
    </row>
    <row r="20441">
      <c r="D20441" s="185"/>
      <c r="E20441" s="185" t="s">
        <v>470</v>
      </c>
      <c r="H20441" s="185"/>
    </row>
    <row r="20442">
      <c r="D20442" s="185"/>
      <c r="E20442" s="185" t="s">
        <v>470</v>
      </c>
      <c r="H20442" s="185"/>
    </row>
    <row r="20443">
      <c r="D20443" s="185"/>
      <c r="E20443" s="185" t="s">
        <v>470</v>
      </c>
      <c r="H20443" s="185"/>
    </row>
    <row r="20444">
      <c r="D20444" s="185"/>
      <c r="E20444" s="185" t="s">
        <v>470</v>
      </c>
      <c r="H20444" s="185"/>
    </row>
    <row r="20445">
      <c r="D20445" s="185"/>
      <c r="E20445" s="185" t="s">
        <v>470</v>
      </c>
      <c r="H20445" s="185"/>
    </row>
    <row r="20446">
      <c r="D20446" s="185"/>
      <c r="E20446" s="185" t="s">
        <v>470</v>
      </c>
      <c r="H20446" s="185"/>
    </row>
    <row r="20447">
      <c r="D20447" s="185"/>
      <c r="E20447" s="185" t="s">
        <v>470</v>
      </c>
      <c r="H20447" s="185"/>
    </row>
    <row r="20448">
      <c r="D20448" s="185"/>
      <c r="E20448" s="185" t="s">
        <v>470</v>
      </c>
      <c r="H20448" s="185"/>
    </row>
    <row r="20449">
      <c r="D20449" s="185"/>
      <c r="E20449" s="185" t="s">
        <v>470</v>
      </c>
      <c r="H20449" s="185"/>
    </row>
    <row r="20450">
      <c r="D20450" s="185"/>
      <c r="E20450" s="185" t="s">
        <v>470</v>
      </c>
      <c r="H20450" s="185"/>
    </row>
    <row r="20451">
      <c r="D20451" s="185"/>
      <c r="E20451" s="185" t="s">
        <v>470</v>
      </c>
      <c r="H20451" s="185"/>
    </row>
    <row r="20452">
      <c r="D20452" s="185"/>
      <c r="E20452" s="185" t="s">
        <v>470</v>
      </c>
      <c r="H20452" s="185"/>
    </row>
    <row r="20453">
      <c r="D20453" s="185"/>
      <c r="E20453" s="185" t="s">
        <v>470</v>
      </c>
      <c r="H20453" s="185"/>
    </row>
    <row r="20454">
      <c r="D20454" s="185"/>
      <c r="E20454" s="185" t="s">
        <v>470</v>
      </c>
      <c r="H20454" s="185"/>
    </row>
    <row r="20455">
      <c r="D20455" s="185"/>
      <c r="E20455" s="185" t="s">
        <v>470</v>
      </c>
      <c r="H20455" s="185"/>
    </row>
    <row r="20456">
      <c r="D20456" s="185"/>
      <c r="E20456" s="185" t="s">
        <v>470</v>
      </c>
      <c r="H20456" s="185"/>
    </row>
    <row r="20457">
      <c r="D20457" s="185"/>
      <c r="E20457" s="185" t="s">
        <v>470</v>
      </c>
      <c r="H20457" s="185"/>
    </row>
    <row r="20458">
      <c r="D20458" s="185"/>
      <c r="E20458" s="185" t="s">
        <v>470</v>
      </c>
      <c r="H20458" s="185"/>
    </row>
    <row r="20459">
      <c r="D20459" s="185"/>
      <c r="E20459" s="185" t="s">
        <v>470</v>
      </c>
      <c r="H20459" s="185"/>
    </row>
    <row r="20460">
      <c r="D20460" s="185"/>
      <c r="E20460" s="185" t="s">
        <v>470</v>
      </c>
      <c r="H20460" s="185"/>
    </row>
    <row r="20461">
      <c r="D20461" s="185"/>
      <c r="E20461" s="185" t="s">
        <v>470</v>
      </c>
      <c r="H20461" s="185"/>
    </row>
    <row r="20462">
      <c r="D20462" s="185"/>
      <c r="E20462" s="185" t="s">
        <v>470</v>
      </c>
      <c r="H20462" s="185"/>
    </row>
    <row r="20463">
      <c r="D20463" s="185"/>
      <c r="E20463" s="185" t="s">
        <v>470</v>
      </c>
      <c r="H20463" s="185"/>
    </row>
    <row r="20464">
      <c r="D20464" s="185"/>
      <c r="E20464" s="185" t="s">
        <v>470</v>
      </c>
      <c r="H20464" s="185"/>
    </row>
    <row r="20465">
      <c r="D20465" s="185"/>
      <c r="E20465" s="185" t="s">
        <v>470</v>
      </c>
      <c r="H20465" s="185"/>
    </row>
    <row r="20466">
      <c r="D20466" s="185"/>
      <c r="E20466" s="185" t="s">
        <v>470</v>
      </c>
      <c r="H20466" s="185"/>
    </row>
    <row r="20467">
      <c r="D20467" s="185"/>
      <c r="E20467" s="185" t="s">
        <v>470</v>
      </c>
      <c r="H20467" s="185"/>
    </row>
    <row r="20468">
      <c r="D20468" s="185"/>
      <c r="E20468" s="185" t="s">
        <v>470</v>
      </c>
      <c r="H20468" s="185"/>
    </row>
    <row r="20469">
      <c r="D20469" s="185"/>
      <c r="E20469" s="185" t="s">
        <v>470</v>
      </c>
      <c r="H20469" s="185"/>
    </row>
    <row r="20470">
      <c r="D20470" s="185"/>
      <c r="E20470" s="185" t="s">
        <v>470</v>
      </c>
      <c r="H20470" s="185"/>
    </row>
    <row r="20471">
      <c r="D20471" s="185"/>
      <c r="E20471" s="185" t="s">
        <v>470</v>
      </c>
      <c r="H20471" s="185"/>
    </row>
    <row r="20472">
      <c r="D20472" s="185"/>
      <c r="E20472" s="185" t="s">
        <v>470</v>
      </c>
      <c r="H20472" s="185"/>
    </row>
    <row r="20473">
      <c r="D20473" s="185"/>
      <c r="E20473" s="185" t="s">
        <v>470</v>
      </c>
      <c r="H20473" s="185"/>
    </row>
    <row r="20474">
      <c r="D20474" s="185"/>
      <c r="E20474" s="185" t="s">
        <v>470</v>
      </c>
      <c r="H20474" s="185"/>
    </row>
    <row r="20475">
      <c r="D20475" s="185"/>
      <c r="E20475" s="185" t="s">
        <v>470</v>
      </c>
      <c r="H20475" s="185"/>
    </row>
    <row r="20476">
      <c r="D20476" s="185"/>
      <c r="E20476" s="185" t="s">
        <v>470</v>
      </c>
      <c r="H20476" s="185"/>
    </row>
    <row r="20477">
      <c r="D20477" s="185"/>
      <c r="E20477" s="185" t="s">
        <v>470</v>
      </c>
      <c r="H20477" s="185"/>
    </row>
    <row r="20478">
      <c r="D20478" s="185"/>
      <c r="E20478" s="185" t="s">
        <v>470</v>
      </c>
      <c r="H20478" s="185"/>
    </row>
    <row r="20479">
      <c r="D20479" s="185"/>
      <c r="E20479" s="185" t="s">
        <v>470</v>
      </c>
      <c r="H20479" s="185"/>
    </row>
    <row r="20480">
      <c r="D20480" s="185"/>
      <c r="E20480" s="185" t="s">
        <v>470</v>
      </c>
      <c r="H20480" s="185"/>
    </row>
    <row r="20481">
      <c r="D20481" s="185"/>
      <c r="E20481" s="185" t="s">
        <v>470</v>
      </c>
      <c r="H20481" s="185"/>
    </row>
    <row r="20482">
      <c r="D20482" s="185"/>
      <c r="E20482" s="185" t="s">
        <v>470</v>
      </c>
      <c r="H20482" s="185"/>
    </row>
    <row r="20483">
      <c r="D20483" s="185"/>
      <c r="E20483" s="185" t="s">
        <v>470</v>
      </c>
      <c r="H20483" s="185"/>
    </row>
    <row r="20484">
      <c r="D20484" s="185"/>
      <c r="E20484" s="185" t="s">
        <v>470</v>
      </c>
      <c r="H20484" s="185"/>
    </row>
    <row r="20485">
      <c r="D20485" s="185"/>
      <c r="E20485" s="185" t="s">
        <v>470</v>
      </c>
      <c r="H20485" s="185"/>
    </row>
    <row r="20486">
      <c r="D20486" s="185"/>
      <c r="E20486" s="185" t="s">
        <v>470</v>
      </c>
      <c r="H20486" s="185"/>
    </row>
    <row r="20487">
      <c r="D20487" s="185"/>
      <c r="E20487" s="185" t="s">
        <v>470</v>
      </c>
      <c r="H20487" s="185"/>
    </row>
    <row r="20488">
      <c r="D20488" s="185"/>
      <c r="E20488" s="185" t="s">
        <v>470</v>
      </c>
      <c r="H20488" s="185"/>
    </row>
    <row r="20489">
      <c r="D20489" s="185"/>
      <c r="E20489" s="185" t="s">
        <v>470</v>
      </c>
      <c r="H20489" s="185"/>
    </row>
    <row r="20490">
      <c r="D20490" s="185"/>
      <c r="E20490" s="185" t="s">
        <v>470</v>
      </c>
      <c r="H20490" s="185"/>
    </row>
    <row r="20491">
      <c r="D20491" s="185"/>
      <c r="E20491" s="185" t="s">
        <v>470</v>
      </c>
      <c r="H20491" s="185"/>
    </row>
    <row r="20492">
      <c r="D20492" s="185"/>
      <c r="E20492" s="185" t="s">
        <v>470</v>
      </c>
      <c r="H20492" s="185"/>
    </row>
    <row r="20493">
      <c r="D20493" s="185"/>
      <c r="E20493" s="185" t="s">
        <v>470</v>
      </c>
      <c r="H20493" s="185"/>
    </row>
    <row r="20494">
      <c r="D20494" s="185"/>
      <c r="E20494" s="185" t="s">
        <v>470</v>
      </c>
      <c r="H20494" s="185"/>
    </row>
    <row r="20495">
      <c r="D20495" s="185"/>
      <c r="E20495" s="185" t="s">
        <v>470</v>
      </c>
      <c r="H20495" s="185"/>
    </row>
    <row r="20496">
      <c r="D20496" s="185"/>
      <c r="E20496" s="185" t="s">
        <v>470</v>
      </c>
      <c r="H20496" s="185"/>
    </row>
    <row r="20497">
      <c r="D20497" s="185"/>
      <c r="E20497" s="185" t="s">
        <v>470</v>
      </c>
      <c r="H20497" s="185"/>
    </row>
    <row r="20498">
      <c r="D20498" s="185"/>
      <c r="E20498" s="185" t="s">
        <v>470</v>
      </c>
      <c r="H20498" s="185"/>
    </row>
    <row r="20499">
      <c r="D20499" s="185"/>
      <c r="E20499" s="185" t="s">
        <v>470</v>
      </c>
      <c r="H20499" s="185"/>
    </row>
    <row r="20500">
      <c r="D20500" s="185"/>
      <c r="E20500" s="185" t="s">
        <v>470</v>
      </c>
      <c r="H20500" s="185"/>
    </row>
    <row r="20501">
      <c r="D20501" s="185"/>
      <c r="E20501" s="185" t="s">
        <v>470</v>
      </c>
      <c r="H20501" s="185"/>
    </row>
    <row r="20502">
      <c r="D20502" s="185"/>
      <c r="E20502" s="185" t="s">
        <v>470</v>
      </c>
      <c r="H20502" s="185"/>
    </row>
    <row r="20503">
      <c r="D20503" s="185"/>
      <c r="E20503" s="185" t="s">
        <v>470</v>
      </c>
      <c r="H20503" s="185"/>
    </row>
    <row r="20504">
      <c r="D20504" s="185"/>
      <c r="E20504" s="185" t="s">
        <v>470</v>
      </c>
      <c r="H20504" s="185"/>
    </row>
    <row r="20505">
      <c r="D20505" s="185"/>
      <c r="E20505" s="185" t="s">
        <v>470</v>
      </c>
      <c r="H20505" s="185"/>
    </row>
    <row r="20506">
      <c r="D20506" s="185"/>
      <c r="E20506" s="185" t="s">
        <v>470</v>
      </c>
      <c r="H20506" s="185"/>
    </row>
    <row r="20507">
      <c r="D20507" s="185"/>
      <c r="E20507" s="185" t="s">
        <v>470</v>
      </c>
      <c r="H20507" s="185"/>
    </row>
    <row r="20508">
      <c r="D20508" s="185"/>
      <c r="E20508" s="185" t="s">
        <v>470</v>
      </c>
      <c r="H20508" s="185"/>
    </row>
    <row r="20509">
      <c r="D20509" s="185"/>
      <c r="E20509" s="185" t="s">
        <v>470</v>
      </c>
      <c r="H20509" s="185"/>
    </row>
    <row r="20510">
      <c r="D20510" s="185"/>
      <c r="E20510" s="185" t="s">
        <v>470</v>
      </c>
      <c r="H20510" s="185"/>
    </row>
    <row r="20511">
      <c r="D20511" s="185"/>
      <c r="E20511" s="185" t="s">
        <v>470</v>
      </c>
      <c r="H20511" s="185"/>
    </row>
    <row r="20512">
      <c r="D20512" s="185"/>
      <c r="E20512" s="185" t="s">
        <v>470</v>
      </c>
      <c r="H20512" s="185"/>
    </row>
    <row r="20513">
      <c r="D20513" s="185"/>
      <c r="E20513" s="185" t="s">
        <v>470</v>
      </c>
      <c r="H20513" s="185"/>
    </row>
    <row r="20514">
      <c r="D20514" s="185"/>
      <c r="E20514" s="185" t="s">
        <v>470</v>
      </c>
      <c r="H20514" s="185"/>
    </row>
    <row r="20515">
      <c r="D20515" s="185"/>
      <c r="E20515" s="185" t="s">
        <v>470</v>
      </c>
      <c r="H20515" s="185"/>
    </row>
    <row r="20516">
      <c r="D20516" s="185"/>
      <c r="E20516" s="185" t="s">
        <v>470</v>
      </c>
      <c r="H20516" s="185"/>
    </row>
    <row r="20517">
      <c r="D20517" s="185"/>
      <c r="E20517" s="185" t="s">
        <v>470</v>
      </c>
      <c r="H20517" s="185"/>
    </row>
    <row r="20518">
      <c r="D20518" s="185"/>
      <c r="E20518" s="185" t="s">
        <v>470</v>
      </c>
      <c r="H20518" s="185"/>
    </row>
    <row r="20519">
      <c r="D20519" s="185"/>
      <c r="E20519" s="185" t="s">
        <v>470</v>
      </c>
      <c r="H20519" s="185"/>
    </row>
    <row r="20520">
      <c r="D20520" s="185"/>
      <c r="E20520" s="185" t="s">
        <v>470</v>
      </c>
      <c r="H20520" s="185"/>
    </row>
    <row r="20521">
      <c r="D20521" s="185"/>
      <c r="E20521" s="185" t="s">
        <v>470</v>
      </c>
      <c r="H20521" s="185"/>
    </row>
    <row r="20522">
      <c r="D20522" s="185"/>
      <c r="E20522" s="185" t="s">
        <v>470</v>
      </c>
      <c r="H20522" s="185"/>
    </row>
    <row r="20523">
      <c r="D20523" s="185"/>
      <c r="E20523" s="185" t="s">
        <v>470</v>
      </c>
      <c r="H20523" s="185"/>
    </row>
    <row r="20524">
      <c r="D20524" s="185"/>
      <c r="E20524" s="185" t="s">
        <v>470</v>
      </c>
      <c r="H20524" s="185"/>
    </row>
    <row r="20525">
      <c r="D20525" s="185"/>
      <c r="E20525" s="185" t="s">
        <v>470</v>
      </c>
      <c r="H20525" s="185"/>
    </row>
    <row r="20526">
      <c r="D20526" s="185"/>
      <c r="E20526" s="185" t="s">
        <v>470</v>
      </c>
      <c r="H20526" s="185"/>
    </row>
    <row r="20527">
      <c r="D20527" s="185"/>
      <c r="E20527" s="185" t="s">
        <v>470</v>
      </c>
      <c r="H20527" s="185"/>
    </row>
    <row r="20528">
      <c r="D20528" s="185"/>
      <c r="E20528" s="185" t="s">
        <v>470</v>
      </c>
      <c r="H20528" s="185"/>
    </row>
    <row r="20529">
      <c r="D20529" s="185"/>
      <c r="E20529" s="185" t="s">
        <v>470</v>
      </c>
      <c r="H20529" s="185"/>
    </row>
    <row r="20530">
      <c r="D20530" s="185"/>
      <c r="E20530" s="185" t="s">
        <v>470</v>
      </c>
      <c r="H20530" s="185"/>
    </row>
    <row r="20531">
      <c r="D20531" s="185"/>
      <c r="E20531" s="185" t="s">
        <v>470</v>
      </c>
      <c r="H20531" s="185"/>
    </row>
    <row r="20532">
      <c r="D20532" s="185"/>
      <c r="E20532" s="185" t="s">
        <v>470</v>
      </c>
      <c r="H20532" s="185"/>
    </row>
    <row r="20533">
      <c r="D20533" s="185"/>
      <c r="E20533" s="185" t="s">
        <v>470</v>
      </c>
      <c r="H20533" s="185"/>
    </row>
    <row r="20534">
      <c r="D20534" s="185"/>
      <c r="E20534" s="185" t="s">
        <v>470</v>
      </c>
      <c r="H20534" s="185"/>
    </row>
    <row r="20535">
      <c r="D20535" s="185"/>
      <c r="E20535" s="185" t="s">
        <v>470</v>
      </c>
      <c r="H20535" s="185"/>
    </row>
    <row r="20536">
      <c r="D20536" s="185"/>
      <c r="E20536" s="185" t="s">
        <v>470</v>
      </c>
      <c r="H20536" s="185"/>
    </row>
    <row r="20537">
      <c r="D20537" s="185"/>
      <c r="E20537" s="185" t="s">
        <v>470</v>
      </c>
      <c r="H20537" s="185"/>
    </row>
    <row r="20538">
      <c r="D20538" s="185"/>
      <c r="E20538" s="185" t="s">
        <v>470</v>
      </c>
      <c r="H20538" s="185"/>
    </row>
    <row r="20539">
      <c r="D20539" s="185"/>
      <c r="E20539" s="185" t="s">
        <v>470</v>
      </c>
      <c r="H20539" s="185"/>
    </row>
    <row r="20540">
      <c r="D20540" s="185"/>
      <c r="E20540" s="185" t="s">
        <v>470</v>
      </c>
      <c r="H20540" s="185"/>
    </row>
    <row r="20541">
      <c r="D20541" s="185"/>
      <c r="E20541" s="185" t="s">
        <v>470</v>
      </c>
      <c r="H20541" s="185"/>
    </row>
    <row r="20542">
      <c r="D20542" s="185"/>
      <c r="E20542" s="185" t="s">
        <v>470</v>
      </c>
      <c r="H20542" s="185"/>
    </row>
    <row r="20543">
      <c r="D20543" s="185"/>
      <c r="E20543" s="185" t="s">
        <v>470</v>
      </c>
      <c r="H20543" s="185"/>
    </row>
    <row r="20544">
      <c r="D20544" s="185"/>
      <c r="E20544" s="185" t="s">
        <v>470</v>
      </c>
      <c r="H20544" s="185"/>
    </row>
    <row r="20545">
      <c r="D20545" s="185"/>
      <c r="E20545" s="185" t="s">
        <v>470</v>
      </c>
      <c r="H20545" s="185"/>
    </row>
    <row r="20546">
      <c r="D20546" s="185"/>
      <c r="E20546" s="185" t="s">
        <v>470</v>
      </c>
      <c r="H20546" s="185"/>
    </row>
    <row r="20547">
      <c r="D20547" s="185"/>
      <c r="E20547" s="185" t="s">
        <v>470</v>
      </c>
      <c r="H20547" s="185"/>
    </row>
    <row r="20548">
      <c r="D20548" s="185"/>
      <c r="E20548" s="185" t="s">
        <v>470</v>
      </c>
      <c r="H20548" s="185"/>
    </row>
    <row r="20549">
      <c r="D20549" s="185"/>
      <c r="E20549" s="185" t="s">
        <v>470</v>
      </c>
      <c r="H20549" s="185"/>
    </row>
    <row r="20550">
      <c r="D20550" s="185"/>
      <c r="E20550" s="185" t="s">
        <v>470</v>
      </c>
      <c r="H20550" s="185"/>
    </row>
    <row r="20551">
      <c r="D20551" s="185"/>
      <c r="E20551" s="185" t="s">
        <v>470</v>
      </c>
      <c r="H20551" s="185"/>
    </row>
    <row r="20552">
      <c r="D20552" s="185"/>
      <c r="E20552" s="185" t="s">
        <v>470</v>
      </c>
      <c r="H20552" s="185"/>
    </row>
    <row r="20553">
      <c r="D20553" s="185"/>
      <c r="E20553" s="185" t="s">
        <v>470</v>
      </c>
      <c r="H20553" s="185"/>
    </row>
    <row r="20554">
      <c r="D20554" s="185"/>
      <c r="E20554" s="185" t="s">
        <v>470</v>
      </c>
      <c r="H20554" s="185"/>
    </row>
    <row r="20555">
      <c r="D20555" s="185"/>
      <c r="E20555" s="185" t="s">
        <v>470</v>
      </c>
      <c r="H20555" s="185"/>
    </row>
    <row r="20556">
      <c r="D20556" s="185"/>
      <c r="E20556" s="185" t="s">
        <v>470</v>
      </c>
      <c r="H20556" s="185"/>
    </row>
    <row r="20557">
      <c r="D20557" s="185"/>
      <c r="E20557" s="185" t="s">
        <v>470</v>
      </c>
      <c r="H20557" s="185"/>
    </row>
    <row r="20558">
      <c r="D20558" s="185"/>
      <c r="E20558" s="185" t="s">
        <v>470</v>
      </c>
      <c r="H20558" s="185"/>
    </row>
    <row r="20559">
      <c r="D20559" s="185"/>
      <c r="E20559" s="185" t="s">
        <v>470</v>
      </c>
      <c r="H20559" s="185"/>
    </row>
    <row r="20560">
      <c r="D20560" s="185"/>
      <c r="E20560" s="185" t="s">
        <v>470</v>
      </c>
      <c r="H20560" s="185"/>
    </row>
    <row r="20561">
      <c r="D20561" s="185"/>
      <c r="E20561" s="185" t="s">
        <v>470</v>
      </c>
      <c r="H20561" s="185"/>
    </row>
    <row r="20562">
      <c r="D20562" s="185"/>
      <c r="E20562" s="185" t="s">
        <v>470</v>
      </c>
      <c r="H20562" s="185"/>
    </row>
    <row r="20563">
      <c r="D20563" s="185"/>
      <c r="E20563" s="185" t="s">
        <v>470</v>
      </c>
      <c r="H20563" s="185"/>
    </row>
    <row r="20564">
      <c r="D20564" s="185"/>
      <c r="E20564" s="185" t="s">
        <v>470</v>
      </c>
      <c r="H20564" s="185"/>
    </row>
    <row r="20565">
      <c r="D20565" s="185"/>
      <c r="E20565" s="185" t="s">
        <v>470</v>
      </c>
      <c r="H20565" s="185"/>
    </row>
    <row r="20566">
      <c r="D20566" s="185"/>
      <c r="E20566" s="185" t="s">
        <v>470</v>
      </c>
      <c r="H20566" s="185"/>
    </row>
    <row r="20567">
      <c r="D20567" s="185"/>
      <c r="E20567" s="185" t="s">
        <v>470</v>
      </c>
      <c r="H20567" s="185"/>
    </row>
    <row r="20568">
      <c r="D20568" s="185"/>
      <c r="E20568" s="185" t="s">
        <v>470</v>
      </c>
      <c r="H20568" s="185"/>
    </row>
    <row r="20569">
      <c r="D20569" s="185"/>
      <c r="E20569" s="185" t="s">
        <v>470</v>
      </c>
      <c r="H20569" s="185"/>
    </row>
    <row r="20570">
      <c r="D20570" s="185"/>
      <c r="E20570" s="185" t="s">
        <v>470</v>
      </c>
      <c r="H20570" s="185"/>
    </row>
    <row r="20571">
      <c r="D20571" s="185"/>
      <c r="E20571" s="185" t="s">
        <v>470</v>
      </c>
      <c r="H20571" s="185"/>
    </row>
    <row r="20572">
      <c r="D20572" s="185"/>
      <c r="E20572" s="185" t="s">
        <v>470</v>
      </c>
      <c r="H20572" s="185"/>
    </row>
    <row r="20573">
      <c r="D20573" s="185"/>
      <c r="E20573" s="185" t="s">
        <v>470</v>
      </c>
      <c r="H20573" s="185"/>
    </row>
    <row r="20574">
      <c r="D20574" s="185"/>
      <c r="E20574" s="185" t="s">
        <v>470</v>
      </c>
      <c r="H20574" s="185"/>
    </row>
    <row r="20575">
      <c r="D20575" s="185"/>
      <c r="E20575" s="185" t="s">
        <v>470</v>
      </c>
      <c r="H20575" s="185"/>
    </row>
    <row r="20576">
      <c r="D20576" s="185"/>
      <c r="E20576" s="185" t="s">
        <v>470</v>
      </c>
      <c r="H20576" s="185"/>
    </row>
    <row r="20577">
      <c r="D20577" s="185"/>
      <c r="E20577" s="185" t="s">
        <v>470</v>
      </c>
      <c r="H20577" s="185"/>
    </row>
    <row r="20578">
      <c r="D20578" s="185"/>
      <c r="E20578" s="185" t="s">
        <v>470</v>
      </c>
      <c r="H20578" s="185"/>
    </row>
    <row r="20579">
      <c r="D20579" s="185"/>
      <c r="E20579" s="185" t="s">
        <v>470</v>
      </c>
      <c r="H20579" s="185"/>
    </row>
    <row r="20580">
      <c r="D20580" s="185"/>
      <c r="E20580" s="185" t="s">
        <v>470</v>
      </c>
      <c r="H20580" s="185"/>
    </row>
    <row r="20581">
      <c r="D20581" s="185"/>
      <c r="E20581" s="185" t="s">
        <v>470</v>
      </c>
      <c r="H20581" s="185"/>
    </row>
    <row r="20582">
      <c r="D20582" s="185"/>
      <c r="E20582" s="185" t="s">
        <v>470</v>
      </c>
      <c r="H20582" s="185"/>
    </row>
    <row r="20583">
      <c r="D20583" s="185"/>
      <c r="E20583" s="185" t="s">
        <v>470</v>
      </c>
      <c r="H20583" s="185"/>
    </row>
    <row r="20584">
      <c r="D20584" s="185"/>
      <c r="E20584" s="185" t="s">
        <v>470</v>
      </c>
      <c r="H20584" s="185"/>
    </row>
    <row r="20585">
      <c r="D20585" s="185"/>
      <c r="E20585" s="185" t="s">
        <v>470</v>
      </c>
      <c r="H20585" s="185"/>
    </row>
    <row r="20586">
      <c r="D20586" s="185"/>
      <c r="E20586" s="185" t="s">
        <v>470</v>
      </c>
      <c r="H20586" s="185"/>
    </row>
    <row r="20587">
      <c r="D20587" s="185"/>
      <c r="E20587" s="185" t="s">
        <v>470</v>
      </c>
      <c r="H20587" s="185"/>
    </row>
    <row r="20588">
      <c r="D20588" s="185"/>
      <c r="E20588" s="185" t="s">
        <v>470</v>
      </c>
      <c r="H20588" s="185"/>
    </row>
    <row r="20589">
      <c r="D20589" s="185"/>
      <c r="E20589" s="185" t="s">
        <v>470</v>
      </c>
      <c r="H20589" s="185"/>
    </row>
    <row r="20590">
      <c r="D20590" s="185"/>
      <c r="E20590" s="185" t="s">
        <v>470</v>
      </c>
      <c r="H20590" s="185"/>
    </row>
    <row r="20591">
      <c r="D20591" s="185"/>
      <c r="E20591" s="185" t="s">
        <v>470</v>
      </c>
      <c r="H20591" s="185"/>
    </row>
    <row r="20592">
      <c r="D20592" s="185"/>
      <c r="E20592" s="185" t="s">
        <v>470</v>
      </c>
      <c r="H20592" s="185"/>
    </row>
    <row r="20593">
      <c r="D20593" s="185"/>
      <c r="E20593" s="185" t="s">
        <v>470</v>
      </c>
      <c r="H20593" s="185"/>
    </row>
    <row r="20594">
      <c r="D20594" s="185"/>
      <c r="E20594" s="185" t="s">
        <v>470</v>
      </c>
      <c r="H20594" s="185"/>
    </row>
    <row r="20595">
      <c r="D20595" s="185"/>
      <c r="E20595" s="185" t="s">
        <v>470</v>
      </c>
      <c r="H20595" s="185"/>
    </row>
    <row r="20596">
      <c r="D20596" s="185"/>
      <c r="E20596" s="185" t="s">
        <v>470</v>
      </c>
      <c r="H20596" s="185"/>
    </row>
    <row r="20597">
      <c r="D20597" s="185"/>
      <c r="E20597" s="185" t="s">
        <v>470</v>
      </c>
      <c r="H20597" s="185"/>
    </row>
    <row r="20598">
      <c r="D20598" s="185"/>
      <c r="E20598" s="185" t="s">
        <v>470</v>
      </c>
      <c r="H20598" s="185"/>
    </row>
    <row r="20599">
      <c r="D20599" s="185"/>
      <c r="E20599" s="185" t="s">
        <v>470</v>
      </c>
      <c r="H20599" s="185"/>
    </row>
    <row r="20600">
      <c r="D20600" s="185"/>
      <c r="E20600" s="185" t="s">
        <v>470</v>
      </c>
      <c r="H20600" s="185"/>
    </row>
    <row r="20601">
      <c r="D20601" s="185"/>
      <c r="E20601" s="185" t="s">
        <v>470</v>
      </c>
      <c r="H20601" s="185"/>
    </row>
    <row r="20602">
      <c r="D20602" s="185"/>
      <c r="E20602" s="185" t="s">
        <v>470</v>
      </c>
      <c r="H20602" s="185"/>
    </row>
    <row r="20603">
      <c r="D20603" s="185"/>
      <c r="E20603" s="185" t="s">
        <v>470</v>
      </c>
      <c r="H20603" s="185"/>
    </row>
    <row r="20604">
      <c r="D20604" s="185"/>
      <c r="E20604" s="185" t="s">
        <v>470</v>
      </c>
      <c r="H20604" s="185"/>
    </row>
    <row r="20605">
      <c r="D20605" s="185"/>
      <c r="E20605" s="185" t="s">
        <v>470</v>
      </c>
      <c r="H20605" s="185"/>
    </row>
    <row r="20606">
      <c r="D20606" s="185"/>
      <c r="E20606" s="185" t="s">
        <v>470</v>
      </c>
      <c r="H20606" s="185"/>
    </row>
    <row r="20607">
      <c r="D20607" s="185"/>
      <c r="E20607" s="185" t="s">
        <v>470</v>
      </c>
      <c r="H20607" s="185"/>
    </row>
    <row r="20608">
      <c r="D20608" s="185"/>
      <c r="E20608" s="185" t="s">
        <v>470</v>
      </c>
      <c r="H20608" s="185"/>
    </row>
    <row r="20609">
      <c r="D20609" s="185"/>
      <c r="E20609" s="185" t="s">
        <v>470</v>
      </c>
      <c r="H20609" s="185"/>
    </row>
    <row r="20610">
      <c r="D20610" s="185"/>
      <c r="E20610" s="185" t="s">
        <v>470</v>
      </c>
      <c r="H20610" s="185"/>
    </row>
    <row r="20611">
      <c r="D20611" s="185"/>
      <c r="E20611" s="185" t="s">
        <v>470</v>
      </c>
      <c r="H20611" s="185"/>
    </row>
    <row r="20612">
      <c r="D20612" s="185"/>
      <c r="E20612" s="185" t="s">
        <v>470</v>
      </c>
      <c r="H20612" s="185"/>
    </row>
    <row r="20613">
      <c r="D20613" s="185"/>
      <c r="E20613" s="185" t="s">
        <v>470</v>
      </c>
      <c r="H20613" s="185"/>
    </row>
    <row r="20614">
      <c r="D20614" s="185"/>
      <c r="E20614" s="185" t="s">
        <v>470</v>
      </c>
      <c r="H20614" s="185"/>
    </row>
    <row r="20615">
      <c r="D20615" s="185"/>
      <c r="E20615" s="185" t="s">
        <v>470</v>
      </c>
      <c r="H20615" s="185"/>
    </row>
    <row r="20616">
      <c r="D20616" s="185"/>
      <c r="E20616" s="185" t="s">
        <v>470</v>
      </c>
      <c r="H20616" s="185"/>
    </row>
    <row r="20617">
      <c r="D20617" s="185"/>
      <c r="E20617" s="185" t="s">
        <v>470</v>
      </c>
      <c r="H20617" s="185"/>
    </row>
    <row r="20618">
      <c r="D20618" s="185"/>
      <c r="E20618" s="185" t="s">
        <v>470</v>
      </c>
      <c r="H20618" s="185"/>
    </row>
    <row r="20619">
      <c r="D20619" s="185"/>
      <c r="E20619" s="185" t="s">
        <v>470</v>
      </c>
      <c r="H20619" s="185"/>
    </row>
    <row r="20620">
      <c r="D20620" s="185"/>
      <c r="E20620" s="185" t="s">
        <v>470</v>
      </c>
      <c r="H20620" s="185"/>
    </row>
    <row r="20621">
      <c r="D20621" s="185"/>
      <c r="E20621" s="185" t="s">
        <v>470</v>
      </c>
      <c r="H20621" s="185"/>
    </row>
    <row r="20622">
      <c r="D20622" s="185"/>
      <c r="E20622" s="185" t="s">
        <v>470</v>
      </c>
      <c r="H20622" s="185"/>
    </row>
    <row r="20623">
      <c r="D20623" s="185"/>
      <c r="E20623" s="185" t="s">
        <v>470</v>
      </c>
      <c r="H20623" s="185"/>
    </row>
    <row r="20624">
      <c r="D20624" s="185"/>
      <c r="E20624" s="185" t="s">
        <v>470</v>
      </c>
      <c r="H20624" s="185"/>
    </row>
    <row r="20625">
      <c r="D20625" s="185"/>
      <c r="E20625" s="185" t="s">
        <v>470</v>
      </c>
      <c r="H20625" s="185"/>
    </row>
    <row r="20626">
      <c r="D20626" s="185"/>
      <c r="E20626" s="185" t="s">
        <v>470</v>
      </c>
      <c r="H20626" s="185"/>
    </row>
    <row r="20627">
      <c r="D20627" s="185"/>
      <c r="E20627" s="185" t="s">
        <v>470</v>
      </c>
      <c r="H20627" s="185"/>
    </row>
    <row r="20628">
      <c r="D20628" s="185"/>
      <c r="E20628" s="185" t="s">
        <v>470</v>
      </c>
      <c r="H20628" s="185"/>
    </row>
    <row r="20629">
      <c r="D20629" s="185"/>
      <c r="E20629" s="185" t="s">
        <v>470</v>
      </c>
      <c r="H20629" s="185"/>
    </row>
    <row r="20630">
      <c r="D20630" s="185"/>
      <c r="E20630" s="185" t="s">
        <v>470</v>
      </c>
      <c r="H20630" s="185"/>
    </row>
    <row r="20631">
      <c r="D20631" s="185"/>
      <c r="E20631" s="185" t="s">
        <v>470</v>
      </c>
      <c r="H20631" s="185"/>
    </row>
    <row r="20632">
      <c r="D20632" s="185"/>
      <c r="E20632" s="185" t="s">
        <v>470</v>
      </c>
      <c r="H20632" s="185"/>
    </row>
    <row r="20633">
      <c r="D20633" s="185"/>
      <c r="E20633" s="185" t="s">
        <v>470</v>
      </c>
      <c r="H20633" s="185"/>
    </row>
    <row r="20634">
      <c r="D20634" s="185"/>
      <c r="E20634" s="185" t="s">
        <v>470</v>
      </c>
      <c r="H20634" s="185"/>
    </row>
    <row r="20635">
      <c r="D20635" s="185"/>
      <c r="E20635" s="185" t="s">
        <v>470</v>
      </c>
      <c r="H20635" s="185"/>
    </row>
    <row r="20636">
      <c r="D20636" s="185"/>
      <c r="E20636" s="185" t="s">
        <v>470</v>
      </c>
      <c r="H20636" s="185"/>
    </row>
    <row r="20637">
      <c r="D20637" s="185"/>
      <c r="E20637" s="185" t="s">
        <v>470</v>
      </c>
      <c r="H20637" s="185"/>
    </row>
    <row r="20638">
      <c r="D20638" s="185"/>
      <c r="E20638" s="185" t="s">
        <v>470</v>
      </c>
      <c r="H20638" s="185"/>
    </row>
    <row r="20639">
      <c r="D20639" s="185"/>
      <c r="E20639" s="185" t="s">
        <v>470</v>
      </c>
      <c r="H20639" s="185"/>
    </row>
    <row r="20640">
      <c r="D20640" s="185"/>
      <c r="E20640" s="185" t="s">
        <v>470</v>
      </c>
      <c r="H20640" s="185"/>
    </row>
    <row r="20641">
      <c r="D20641" s="185"/>
      <c r="E20641" s="185" t="s">
        <v>470</v>
      </c>
      <c r="H20641" s="185"/>
    </row>
    <row r="20642">
      <c r="D20642" s="185"/>
      <c r="E20642" s="185" t="s">
        <v>470</v>
      </c>
      <c r="H20642" s="185"/>
    </row>
    <row r="20643">
      <c r="D20643" s="185"/>
      <c r="E20643" s="185" t="s">
        <v>470</v>
      </c>
      <c r="H20643" s="185"/>
    </row>
    <row r="20644">
      <c r="D20644" s="185"/>
      <c r="E20644" s="185" t="s">
        <v>470</v>
      </c>
      <c r="H20644" s="185"/>
    </row>
    <row r="20645">
      <c r="D20645" s="185"/>
      <c r="E20645" s="185" t="s">
        <v>470</v>
      </c>
      <c r="H20645" s="185"/>
    </row>
    <row r="20646">
      <c r="D20646" s="185"/>
      <c r="E20646" s="185" t="s">
        <v>470</v>
      </c>
      <c r="H20646" s="185"/>
    </row>
    <row r="20647">
      <c r="D20647" s="185"/>
      <c r="E20647" s="185" t="s">
        <v>470</v>
      </c>
      <c r="H20647" s="185"/>
    </row>
    <row r="20648">
      <c r="D20648" s="185"/>
      <c r="E20648" s="185" t="s">
        <v>470</v>
      </c>
      <c r="H20648" s="185"/>
    </row>
    <row r="20649">
      <c r="D20649" s="185"/>
      <c r="E20649" s="185" t="s">
        <v>470</v>
      </c>
      <c r="H20649" s="185"/>
    </row>
    <row r="20650">
      <c r="D20650" s="185"/>
      <c r="E20650" s="185" t="s">
        <v>470</v>
      </c>
      <c r="H20650" s="185"/>
    </row>
    <row r="20651">
      <c r="D20651" s="185"/>
      <c r="E20651" s="185" t="s">
        <v>470</v>
      </c>
      <c r="H20651" s="185"/>
    </row>
    <row r="20652">
      <c r="D20652" s="185"/>
      <c r="E20652" s="185" t="s">
        <v>470</v>
      </c>
      <c r="H20652" s="185"/>
    </row>
    <row r="20653">
      <c r="D20653" s="185"/>
      <c r="E20653" s="185" t="s">
        <v>470</v>
      </c>
      <c r="H20653" s="185"/>
    </row>
    <row r="20654">
      <c r="D20654" s="185"/>
      <c r="E20654" s="185" t="s">
        <v>470</v>
      </c>
      <c r="H20654" s="185"/>
    </row>
    <row r="20655">
      <c r="D20655" s="185"/>
      <c r="E20655" s="185" t="s">
        <v>470</v>
      </c>
      <c r="H20655" s="185"/>
    </row>
    <row r="20656">
      <c r="D20656" s="185"/>
      <c r="E20656" s="185" t="s">
        <v>470</v>
      </c>
      <c r="H20656" s="185"/>
    </row>
    <row r="20657">
      <c r="D20657" s="185"/>
      <c r="E20657" s="185" t="s">
        <v>470</v>
      </c>
      <c r="H20657" s="185"/>
    </row>
    <row r="20658">
      <c r="D20658" s="185"/>
      <c r="E20658" s="185" t="s">
        <v>470</v>
      </c>
      <c r="H20658" s="185"/>
    </row>
    <row r="20659">
      <c r="D20659" s="185"/>
      <c r="E20659" s="185" t="s">
        <v>470</v>
      </c>
      <c r="H20659" s="185"/>
    </row>
    <row r="20660">
      <c r="D20660" s="185"/>
      <c r="E20660" s="185" t="s">
        <v>470</v>
      </c>
      <c r="H20660" s="185"/>
    </row>
    <row r="20661">
      <c r="D20661" s="185"/>
      <c r="E20661" s="185" t="s">
        <v>470</v>
      </c>
      <c r="H20661" s="185"/>
    </row>
    <row r="20662">
      <c r="D20662" s="185"/>
      <c r="E20662" s="185" t="s">
        <v>470</v>
      </c>
      <c r="H20662" s="185"/>
    </row>
    <row r="20663">
      <c r="D20663" s="185"/>
      <c r="E20663" s="185" t="s">
        <v>470</v>
      </c>
      <c r="H20663" s="185"/>
    </row>
    <row r="20664">
      <c r="D20664" s="185"/>
      <c r="E20664" s="185" t="s">
        <v>470</v>
      </c>
      <c r="H20664" s="185"/>
    </row>
    <row r="20665">
      <c r="D20665" s="185"/>
      <c r="E20665" s="185" t="s">
        <v>470</v>
      </c>
      <c r="H20665" s="185"/>
    </row>
    <row r="20666">
      <c r="D20666" s="185"/>
      <c r="E20666" s="185" t="s">
        <v>470</v>
      </c>
      <c r="H20666" s="185"/>
    </row>
    <row r="20667">
      <c r="D20667" s="185"/>
      <c r="E20667" s="185" t="s">
        <v>470</v>
      </c>
      <c r="H20667" s="185"/>
    </row>
    <row r="20668">
      <c r="D20668" s="185"/>
      <c r="E20668" s="185" t="s">
        <v>470</v>
      </c>
      <c r="H20668" s="185"/>
    </row>
    <row r="20669">
      <c r="D20669" s="185"/>
      <c r="E20669" s="185" t="s">
        <v>470</v>
      </c>
      <c r="H20669" s="185"/>
    </row>
    <row r="20670">
      <c r="D20670" s="185"/>
      <c r="E20670" s="185" t="s">
        <v>470</v>
      </c>
      <c r="H20670" s="185"/>
    </row>
    <row r="20671">
      <c r="D20671" s="185"/>
      <c r="E20671" s="185" t="s">
        <v>470</v>
      </c>
      <c r="H20671" s="185"/>
    </row>
    <row r="20672">
      <c r="D20672" s="185"/>
      <c r="E20672" s="185" t="s">
        <v>470</v>
      </c>
      <c r="H20672" s="185"/>
    </row>
    <row r="20673">
      <c r="D20673" s="185"/>
      <c r="E20673" s="185" t="s">
        <v>470</v>
      </c>
      <c r="H20673" s="185"/>
    </row>
    <row r="20674">
      <c r="D20674" s="185"/>
      <c r="E20674" s="185" t="s">
        <v>470</v>
      </c>
      <c r="H20674" s="185"/>
    </row>
    <row r="20675">
      <c r="D20675" s="185"/>
      <c r="E20675" s="185" t="s">
        <v>470</v>
      </c>
      <c r="H20675" s="185"/>
    </row>
    <row r="20676">
      <c r="D20676" s="185"/>
      <c r="E20676" s="185" t="s">
        <v>470</v>
      </c>
      <c r="H20676" s="185"/>
    </row>
    <row r="20677">
      <c r="D20677" s="185"/>
      <c r="E20677" s="185" t="s">
        <v>470</v>
      </c>
      <c r="H20677" s="185"/>
    </row>
    <row r="20678">
      <c r="D20678" s="185"/>
      <c r="E20678" s="185" t="s">
        <v>470</v>
      </c>
      <c r="H20678" s="185"/>
    </row>
    <row r="20679">
      <c r="D20679" s="185"/>
      <c r="E20679" s="185" t="s">
        <v>470</v>
      </c>
      <c r="H20679" s="185"/>
    </row>
    <row r="20680">
      <c r="D20680" s="185"/>
      <c r="E20680" s="185" t="s">
        <v>470</v>
      </c>
      <c r="H20680" s="185"/>
    </row>
    <row r="20681">
      <c r="D20681" s="185"/>
      <c r="E20681" s="185" t="s">
        <v>470</v>
      </c>
      <c r="H20681" s="185"/>
    </row>
    <row r="20682">
      <c r="D20682" s="185"/>
      <c r="E20682" s="185" t="s">
        <v>470</v>
      </c>
      <c r="H20682" s="185"/>
    </row>
    <row r="20683">
      <c r="D20683" s="185"/>
      <c r="E20683" s="185" t="s">
        <v>470</v>
      </c>
      <c r="H20683" s="185"/>
    </row>
    <row r="20684">
      <c r="D20684" s="185"/>
      <c r="E20684" s="185" t="s">
        <v>470</v>
      </c>
      <c r="H20684" s="185"/>
    </row>
    <row r="20685">
      <c r="D20685" s="185"/>
      <c r="E20685" s="185" t="s">
        <v>470</v>
      </c>
      <c r="H20685" s="185"/>
    </row>
    <row r="20686">
      <c r="D20686" s="185"/>
      <c r="E20686" s="185" t="s">
        <v>470</v>
      </c>
      <c r="H20686" s="185"/>
    </row>
    <row r="20687">
      <c r="D20687" s="185"/>
      <c r="E20687" s="185" t="s">
        <v>470</v>
      </c>
      <c r="H20687" s="185"/>
    </row>
    <row r="20688">
      <c r="D20688" s="185"/>
      <c r="E20688" s="185" t="s">
        <v>470</v>
      </c>
      <c r="H20688" s="185"/>
    </row>
    <row r="20689">
      <c r="D20689" s="185"/>
      <c r="E20689" s="185" t="s">
        <v>470</v>
      </c>
      <c r="H20689" s="185"/>
    </row>
    <row r="20690">
      <c r="D20690" s="185"/>
      <c r="E20690" s="185" t="s">
        <v>470</v>
      </c>
      <c r="H20690" s="185"/>
    </row>
    <row r="20691">
      <c r="D20691" s="185"/>
      <c r="E20691" s="185" t="s">
        <v>470</v>
      </c>
      <c r="H20691" s="185"/>
    </row>
    <row r="20692">
      <c r="D20692" s="185"/>
      <c r="E20692" s="185" t="s">
        <v>470</v>
      </c>
      <c r="H20692" s="185"/>
    </row>
    <row r="20693">
      <c r="D20693" s="185"/>
      <c r="E20693" s="185" t="s">
        <v>470</v>
      </c>
      <c r="H20693" s="185"/>
    </row>
    <row r="20694">
      <c r="D20694" s="185"/>
      <c r="E20694" s="185" t="s">
        <v>470</v>
      </c>
      <c r="H20694" s="185"/>
    </row>
    <row r="20695">
      <c r="D20695" s="185"/>
      <c r="E20695" s="185" t="s">
        <v>470</v>
      </c>
      <c r="H20695" s="185"/>
    </row>
    <row r="20696">
      <c r="D20696" s="185"/>
      <c r="E20696" s="185" t="s">
        <v>470</v>
      </c>
      <c r="H20696" s="185"/>
    </row>
    <row r="20697">
      <c r="D20697" s="185"/>
      <c r="E20697" s="185" t="s">
        <v>470</v>
      </c>
      <c r="H20697" s="185"/>
    </row>
    <row r="20698">
      <c r="D20698" s="185"/>
      <c r="E20698" s="185" t="s">
        <v>470</v>
      </c>
      <c r="H20698" s="185"/>
    </row>
    <row r="20699">
      <c r="D20699" s="185"/>
      <c r="E20699" s="185" t="s">
        <v>470</v>
      </c>
      <c r="H20699" s="185"/>
    </row>
    <row r="20700">
      <c r="D20700" s="185"/>
      <c r="E20700" s="185" t="s">
        <v>470</v>
      </c>
      <c r="H20700" s="185"/>
    </row>
    <row r="20701">
      <c r="D20701" s="185"/>
      <c r="E20701" s="185" t="s">
        <v>470</v>
      </c>
      <c r="H20701" s="185"/>
    </row>
    <row r="20702">
      <c r="D20702" s="185"/>
      <c r="E20702" s="185" t="s">
        <v>470</v>
      </c>
      <c r="H20702" s="185"/>
    </row>
    <row r="20703">
      <c r="D20703" s="185"/>
      <c r="E20703" s="185" t="s">
        <v>470</v>
      </c>
      <c r="H20703" s="185"/>
    </row>
    <row r="20704">
      <c r="D20704" s="185"/>
      <c r="E20704" s="185" t="s">
        <v>470</v>
      </c>
      <c r="H20704" s="185"/>
    </row>
    <row r="20705">
      <c r="D20705" s="185"/>
      <c r="E20705" s="185" t="s">
        <v>470</v>
      </c>
      <c r="H20705" s="185"/>
    </row>
    <row r="20706">
      <c r="D20706" s="185"/>
      <c r="E20706" s="185" t="s">
        <v>470</v>
      </c>
      <c r="H20706" s="185"/>
    </row>
    <row r="20707">
      <c r="D20707" s="185"/>
      <c r="E20707" s="185" t="s">
        <v>470</v>
      </c>
      <c r="H20707" s="185"/>
    </row>
    <row r="20708">
      <c r="D20708" s="185"/>
      <c r="E20708" s="185" t="s">
        <v>470</v>
      </c>
      <c r="H20708" s="185"/>
    </row>
    <row r="20709">
      <c r="D20709" s="185"/>
      <c r="E20709" s="185" t="s">
        <v>470</v>
      </c>
      <c r="H20709" s="185"/>
    </row>
    <row r="20710">
      <c r="D20710" s="185"/>
      <c r="E20710" s="185" t="s">
        <v>470</v>
      </c>
      <c r="H20710" s="185"/>
    </row>
    <row r="20711">
      <c r="D20711" s="185"/>
      <c r="E20711" s="185" t="s">
        <v>470</v>
      </c>
      <c r="H20711" s="185"/>
    </row>
    <row r="20712">
      <c r="D20712" s="185"/>
      <c r="E20712" s="185" t="s">
        <v>470</v>
      </c>
      <c r="H20712" s="185"/>
    </row>
    <row r="20713">
      <c r="D20713" s="185"/>
      <c r="E20713" s="185" t="s">
        <v>470</v>
      </c>
      <c r="H20713" s="185"/>
    </row>
    <row r="20714">
      <c r="D20714" s="185"/>
      <c r="E20714" s="185" t="s">
        <v>470</v>
      </c>
      <c r="H20714" s="185"/>
    </row>
    <row r="20715">
      <c r="D20715" s="185"/>
      <c r="E20715" s="185" t="s">
        <v>470</v>
      </c>
      <c r="H20715" s="185"/>
    </row>
    <row r="20716">
      <c r="D20716" s="185"/>
      <c r="E20716" s="185" t="s">
        <v>470</v>
      </c>
      <c r="H20716" s="185"/>
    </row>
    <row r="20717">
      <c r="D20717" s="185"/>
      <c r="E20717" s="185" t="s">
        <v>470</v>
      </c>
      <c r="H20717" s="185"/>
    </row>
    <row r="20718">
      <c r="D20718" s="185"/>
      <c r="E20718" s="185" t="s">
        <v>470</v>
      </c>
      <c r="H20718" s="185"/>
    </row>
    <row r="20719">
      <c r="D20719" s="185"/>
      <c r="E20719" s="185" t="s">
        <v>470</v>
      </c>
      <c r="H20719" s="185"/>
    </row>
    <row r="20720">
      <c r="D20720" s="185"/>
      <c r="E20720" s="185" t="s">
        <v>470</v>
      </c>
      <c r="H20720" s="185"/>
    </row>
    <row r="20721">
      <c r="D20721" s="185"/>
      <c r="E20721" s="185" t="s">
        <v>470</v>
      </c>
      <c r="H20721" s="185"/>
    </row>
    <row r="20722">
      <c r="D20722" s="185"/>
      <c r="E20722" s="185" t="s">
        <v>470</v>
      </c>
      <c r="H20722" s="185"/>
    </row>
    <row r="20723">
      <c r="D20723" s="185"/>
      <c r="E20723" s="185" t="s">
        <v>470</v>
      </c>
      <c r="H20723" s="185"/>
    </row>
    <row r="20724">
      <c r="D20724" s="185"/>
      <c r="E20724" s="185" t="s">
        <v>470</v>
      </c>
      <c r="H20724" s="185"/>
    </row>
    <row r="20725">
      <c r="D20725" s="185"/>
      <c r="E20725" s="185" t="s">
        <v>470</v>
      </c>
      <c r="H20725" s="185"/>
    </row>
    <row r="20726">
      <c r="D20726" s="185"/>
      <c r="E20726" s="185" t="s">
        <v>470</v>
      </c>
      <c r="H20726" s="185"/>
    </row>
    <row r="20727">
      <c r="D20727" s="185"/>
      <c r="E20727" s="185" t="s">
        <v>470</v>
      </c>
      <c r="H20727" s="185"/>
    </row>
    <row r="20728">
      <c r="D20728" s="185"/>
      <c r="E20728" s="185" t="s">
        <v>470</v>
      </c>
      <c r="H20728" s="185"/>
    </row>
    <row r="20729">
      <c r="D20729" s="185"/>
      <c r="E20729" s="185" t="s">
        <v>470</v>
      </c>
      <c r="H20729" s="185"/>
    </row>
    <row r="20730">
      <c r="D20730" s="185"/>
      <c r="E20730" s="185" t="s">
        <v>470</v>
      </c>
      <c r="H20730" s="185"/>
    </row>
    <row r="20731">
      <c r="D20731" s="185"/>
      <c r="E20731" s="185" t="s">
        <v>470</v>
      </c>
      <c r="H20731" s="185"/>
    </row>
    <row r="20732">
      <c r="D20732" s="185"/>
      <c r="E20732" s="185" t="s">
        <v>470</v>
      </c>
      <c r="H20732" s="185"/>
    </row>
    <row r="20733">
      <c r="D20733" s="185"/>
      <c r="E20733" s="185" t="s">
        <v>470</v>
      </c>
      <c r="H20733" s="185"/>
    </row>
    <row r="20734">
      <c r="D20734" s="185"/>
      <c r="E20734" s="185" t="s">
        <v>470</v>
      </c>
      <c r="H20734" s="185"/>
    </row>
    <row r="20735">
      <c r="D20735" s="185"/>
      <c r="E20735" s="185" t="s">
        <v>470</v>
      </c>
      <c r="H20735" s="185"/>
    </row>
    <row r="20736">
      <c r="D20736" s="185"/>
      <c r="E20736" s="185" t="s">
        <v>470</v>
      </c>
      <c r="H20736" s="185"/>
    </row>
    <row r="20737">
      <c r="D20737" s="185"/>
      <c r="E20737" s="185" t="s">
        <v>470</v>
      </c>
      <c r="H20737" s="185"/>
    </row>
    <row r="20738">
      <c r="D20738" s="185"/>
      <c r="E20738" s="185" t="s">
        <v>470</v>
      </c>
      <c r="H20738" s="185"/>
    </row>
    <row r="20739">
      <c r="D20739" s="185"/>
      <c r="E20739" s="185" t="s">
        <v>470</v>
      </c>
      <c r="H20739" s="185"/>
    </row>
    <row r="20740">
      <c r="D20740" s="185"/>
      <c r="E20740" s="185" t="s">
        <v>470</v>
      </c>
      <c r="H20740" s="185"/>
    </row>
    <row r="20741">
      <c r="D20741" s="185"/>
      <c r="E20741" s="185" t="s">
        <v>470</v>
      </c>
      <c r="H20741" s="185"/>
    </row>
    <row r="20742">
      <c r="D20742" s="185"/>
      <c r="E20742" s="185" t="s">
        <v>470</v>
      </c>
      <c r="H20742" s="185"/>
    </row>
    <row r="20743">
      <c r="D20743" s="185"/>
      <c r="E20743" s="185" t="s">
        <v>470</v>
      </c>
      <c r="H20743" s="185"/>
    </row>
    <row r="20744">
      <c r="D20744" s="185"/>
      <c r="E20744" s="185" t="s">
        <v>470</v>
      </c>
      <c r="H20744" s="185"/>
    </row>
    <row r="20745">
      <c r="D20745" s="185"/>
      <c r="E20745" s="185" t="s">
        <v>470</v>
      </c>
      <c r="H20745" s="185"/>
    </row>
    <row r="20746">
      <c r="D20746" s="185"/>
      <c r="E20746" s="185" t="s">
        <v>470</v>
      </c>
      <c r="H20746" s="185"/>
    </row>
    <row r="20747">
      <c r="D20747" s="185"/>
      <c r="E20747" s="185" t="s">
        <v>470</v>
      </c>
      <c r="H20747" s="185"/>
    </row>
    <row r="20748">
      <c r="D20748" s="185"/>
      <c r="E20748" s="185" t="s">
        <v>470</v>
      </c>
      <c r="H20748" s="185"/>
    </row>
    <row r="20749">
      <c r="D20749" s="185"/>
      <c r="E20749" s="185" t="s">
        <v>470</v>
      </c>
      <c r="H20749" s="185"/>
    </row>
    <row r="20750">
      <c r="D20750" s="185"/>
      <c r="E20750" s="185" t="s">
        <v>470</v>
      </c>
      <c r="H20750" s="185"/>
    </row>
    <row r="20751">
      <c r="D20751" s="185"/>
      <c r="E20751" s="185" t="s">
        <v>470</v>
      </c>
      <c r="H20751" s="185"/>
    </row>
    <row r="20752">
      <c r="D20752" s="185"/>
      <c r="E20752" s="185" t="s">
        <v>470</v>
      </c>
      <c r="H20752" s="185"/>
    </row>
    <row r="20753">
      <c r="D20753" s="185"/>
      <c r="E20753" s="185" t="s">
        <v>470</v>
      </c>
      <c r="H20753" s="185"/>
    </row>
    <row r="20754">
      <c r="D20754" s="185"/>
      <c r="E20754" s="185" t="s">
        <v>470</v>
      </c>
      <c r="H20754" s="185"/>
    </row>
    <row r="20755">
      <c r="D20755" s="185"/>
      <c r="E20755" s="185" t="s">
        <v>470</v>
      </c>
      <c r="H20755" s="185"/>
    </row>
    <row r="20756">
      <c r="D20756" s="185"/>
      <c r="E20756" s="185" t="s">
        <v>470</v>
      </c>
      <c r="H20756" s="185"/>
    </row>
    <row r="20757">
      <c r="D20757" s="185"/>
      <c r="E20757" s="185" t="s">
        <v>470</v>
      </c>
      <c r="H20757" s="185"/>
    </row>
    <row r="20758">
      <c r="D20758" s="185"/>
      <c r="E20758" s="185" t="s">
        <v>470</v>
      </c>
      <c r="H20758" s="185"/>
    </row>
    <row r="20759">
      <c r="D20759" s="185"/>
      <c r="E20759" s="185" t="s">
        <v>470</v>
      </c>
      <c r="H20759" s="185"/>
    </row>
    <row r="20760">
      <c r="D20760" s="185"/>
      <c r="E20760" s="185" t="s">
        <v>470</v>
      </c>
      <c r="H20760" s="185"/>
    </row>
    <row r="20761">
      <c r="D20761" s="185"/>
      <c r="E20761" s="185" t="s">
        <v>470</v>
      </c>
      <c r="H20761" s="185"/>
    </row>
    <row r="20762">
      <c r="D20762" s="185"/>
      <c r="E20762" s="185" t="s">
        <v>470</v>
      </c>
      <c r="H20762" s="185"/>
    </row>
    <row r="20763">
      <c r="D20763" s="185"/>
      <c r="E20763" s="185" t="s">
        <v>470</v>
      </c>
      <c r="H20763" s="185"/>
    </row>
    <row r="20764">
      <c r="D20764" s="185"/>
      <c r="E20764" s="185" t="s">
        <v>470</v>
      </c>
      <c r="H20764" s="185"/>
    </row>
    <row r="20765">
      <c r="D20765" s="185"/>
      <c r="E20765" s="185" t="s">
        <v>470</v>
      </c>
      <c r="H20765" s="185"/>
    </row>
    <row r="20766">
      <c r="D20766" s="185"/>
      <c r="E20766" s="185" t="s">
        <v>470</v>
      </c>
      <c r="H20766" s="185"/>
    </row>
    <row r="20767">
      <c r="D20767" s="185"/>
      <c r="E20767" s="185" t="s">
        <v>470</v>
      </c>
      <c r="H20767" s="185"/>
    </row>
    <row r="20768">
      <c r="D20768" s="185"/>
      <c r="E20768" s="185" t="s">
        <v>470</v>
      </c>
      <c r="H20768" s="185"/>
    </row>
    <row r="20769">
      <c r="D20769" s="185"/>
      <c r="E20769" s="185" t="s">
        <v>470</v>
      </c>
      <c r="H20769" s="185"/>
    </row>
    <row r="20770">
      <c r="D20770" s="185"/>
      <c r="E20770" s="185" t="s">
        <v>470</v>
      </c>
      <c r="H20770" s="185"/>
    </row>
    <row r="20771">
      <c r="D20771" s="185"/>
      <c r="E20771" s="185" t="s">
        <v>470</v>
      </c>
      <c r="H20771" s="185"/>
    </row>
    <row r="20772">
      <c r="D20772" s="185"/>
      <c r="E20772" s="185" t="s">
        <v>470</v>
      </c>
      <c r="H20772" s="185"/>
    </row>
    <row r="20773">
      <c r="D20773" s="185"/>
      <c r="E20773" s="185" t="s">
        <v>470</v>
      </c>
      <c r="H20773" s="185"/>
    </row>
    <row r="20774">
      <c r="D20774" s="185"/>
      <c r="E20774" s="185" t="s">
        <v>470</v>
      </c>
      <c r="H20774" s="185"/>
    </row>
    <row r="20775">
      <c r="D20775" s="185"/>
      <c r="E20775" s="185" t="s">
        <v>470</v>
      </c>
      <c r="H20775" s="185"/>
    </row>
    <row r="20776">
      <c r="D20776" s="185"/>
      <c r="E20776" s="185" t="s">
        <v>470</v>
      </c>
      <c r="H20776" s="185"/>
    </row>
    <row r="20777">
      <c r="D20777" s="185"/>
      <c r="E20777" s="185" t="s">
        <v>470</v>
      </c>
      <c r="H20777" s="185"/>
    </row>
    <row r="20778">
      <c r="D20778" s="185"/>
      <c r="E20778" s="185" t="s">
        <v>470</v>
      </c>
      <c r="H20778" s="185"/>
    </row>
    <row r="20779">
      <c r="D20779" s="185"/>
      <c r="E20779" s="185" t="s">
        <v>470</v>
      </c>
      <c r="H20779" s="185"/>
    </row>
    <row r="20780">
      <c r="D20780" s="185"/>
      <c r="E20780" s="185" t="s">
        <v>470</v>
      </c>
      <c r="H20780" s="185"/>
    </row>
    <row r="20781">
      <c r="D20781" s="185"/>
      <c r="E20781" s="185" t="s">
        <v>470</v>
      </c>
      <c r="H20781" s="185"/>
    </row>
    <row r="20782">
      <c r="D20782" s="185"/>
      <c r="E20782" s="185" t="s">
        <v>470</v>
      </c>
      <c r="H20782" s="185"/>
    </row>
    <row r="20783">
      <c r="D20783" s="185"/>
      <c r="E20783" s="185" t="s">
        <v>470</v>
      </c>
      <c r="H20783" s="185"/>
    </row>
    <row r="20784">
      <c r="D20784" s="185"/>
      <c r="E20784" s="185" t="s">
        <v>470</v>
      </c>
      <c r="H20784" s="185"/>
    </row>
    <row r="20785">
      <c r="D20785" s="185"/>
      <c r="E20785" s="185" t="s">
        <v>470</v>
      </c>
      <c r="H20785" s="185"/>
    </row>
    <row r="20786">
      <c r="D20786" s="185"/>
      <c r="E20786" s="185" t="s">
        <v>470</v>
      </c>
      <c r="H20786" s="185"/>
    </row>
    <row r="20787">
      <c r="D20787" s="185"/>
      <c r="E20787" s="185" t="s">
        <v>470</v>
      </c>
      <c r="H20787" s="185"/>
    </row>
    <row r="20788">
      <c r="D20788" s="185"/>
      <c r="E20788" s="185" t="s">
        <v>470</v>
      </c>
      <c r="H20788" s="185"/>
    </row>
    <row r="20789">
      <c r="D20789" s="185"/>
      <c r="E20789" s="185" t="s">
        <v>470</v>
      </c>
      <c r="H20789" s="185"/>
    </row>
    <row r="20790">
      <c r="D20790" s="185"/>
      <c r="E20790" s="185" t="s">
        <v>470</v>
      </c>
      <c r="H20790" s="185"/>
    </row>
    <row r="20791">
      <c r="D20791" s="185"/>
      <c r="E20791" s="185" t="s">
        <v>470</v>
      </c>
      <c r="H20791" s="185"/>
    </row>
    <row r="20792">
      <c r="D20792" s="185"/>
      <c r="E20792" s="185" t="s">
        <v>470</v>
      </c>
      <c r="H20792" s="185"/>
    </row>
    <row r="20793">
      <c r="D20793" s="185"/>
      <c r="E20793" s="185" t="s">
        <v>470</v>
      </c>
      <c r="H20793" s="185"/>
    </row>
    <row r="20794">
      <c r="D20794" s="185"/>
      <c r="E20794" s="185" t="s">
        <v>470</v>
      </c>
      <c r="H20794" s="185"/>
    </row>
    <row r="20795">
      <c r="D20795" s="185"/>
      <c r="E20795" s="185" t="s">
        <v>470</v>
      </c>
      <c r="H20795" s="185"/>
    </row>
    <row r="20796">
      <c r="D20796" s="185"/>
      <c r="E20796" s="185" t="s">
        <v>470</v>
      </c>
      <c r="H20796" s="185"/>
    </row>
    <row r="20797">
      <c r="D20797" s="185"/>
      <c r="E20797" s="185" t="s">
        <v>470</v>
      </c>
      <c r="H20797" s="185"/>
    </row>
    <row r="20798">
      <c r="D20798" s="185"/>
      <c r="E20798" s="185" t="s">
        <v>470</v>
      </c>
      <c r="H20798" s="185"/>
    </row>
    <row r="20799">
      <c r="D20799" s="185"/>
      <c r="E20799" s="185" t="s">
        <v>470</v>
      </c>
      <c r="H20799" s="185"/>
    </row>
    <row r="20800">
      <c r="D20800" s="185"/>
      <c r="E20800" s="185" t="s">
        <v>470</v>
      </c>
      <c r="H20800" s="185"/>
    </row>
    <row r="20801">
      <c r="D20801" s="185"/>
      <c r="E20801" s="185" t="s">
        <v>470</v>
      </c>
      <c r="H20801" s="185"/>
    </row>
    <row r="20802">
      <c r="D20802" s="185"/>
      <c r="E20802" s="185" t="s">
        <v>470</v>
      </c>
      <c r="H20802" s="185"/>
    </row>
    <row r="20803">
      <c r="D20803" s="185"/>
      <c r="E20803" s="185" t="s">
        <v>470</v>
      </c>
      <c r="H20803" s="185"/>
    </row>
    <row r="20804">
      <c r="D20804" s="185"/>
      <c r="E20804" s="185" t="s">
        <v>470</v>
      </c>
      <c r="H20804" s="185"/>
    </row>
    <row r="20805">
      <c r="D20805" s="185"/>
      <c r="E20805" s="185" t="s">
        <v>470</v>
      </c>
      <c r="H20805" s="185"/>
    </row>
    <row r="20806">
      <c r="D20806" s="185"/>
      <c r="E20806" s="185" t="s">
        <v>470</v>
      </c>
      <c r="H20806" s="185"/>
    </row>
    <row r="20807">
      <c r="D20807" s="185"/>
      <c r="E20807" s="185" t="s">
        <v>470</v>
      </c>
      <c r="H20807" s="185"/>
    </row>
    <row r="20808">
      <c r="D20808" s="185"/>
      <c r="E20808" s="185" t="s">
        <v>470</v>
      </c>
      <c r="H20808" s="185"/>
    </row>
    <row r="20809">
      <c r="D20809" s="185"/>
      <c r="E20809" s="185" t="s">
        <v>470</v>
      </c>
      <c r="H20809" s="185"/>
    </row>
    <row r="20810">
      <c r="D20810" s="185"/>
      <c r="E20810" s="185" t="s">
        <v>470</v>
      </c>
      <c r="H20810" s="185"/>
    </row>
    <row r="20811">
      <c r="D20811" s="185"/>
      <c r="E20811" s="185" t="s">
        <v>470</v>
      </c>
      <c r="H20811" s="185"/>
    </row>
    <row r="20812">
      <c r="D20812" s="185"/>
      <c r="E20812" s="185" t="s">
        <v>470</v>
      </c>
      <c r="H20812" s="185"/>
    </row>
    <row r="20813">
      <c r="D20813" s="185"/>
      <c r="E20813" s="185" t="s">
        <v>470</v>
      </c>
      <c r="H20813" s="185"/>
    </row>
    <row r="20814">
      <c r="D20814" s="185"/>
      <c r="E20814" s="185" t="s">
        <v>470</v>
      </c>
      <c r="H20814" s="185"/>
    </row>
    <row r="20815">
      <c r="D20815" s="185"/>
      <c r="E20815" s="185" t="s">
        <v>470</v>
      </c>
      <c r="H20815" s="185"/>
    </row>
    <row r="20816">
      <c r="D20816" s="185"/>
      <c r="E20816" s="185" t="s">
        <v>470</v>
      </c>
      <c r="H20816" s="185"/>
    </row>
    <row r="20817">
      <c r="D20817" s="185"/>
      <c r="E20817" s="185" t="s">
        <v>470</v>
      </c>
      <c r="H20817" s="185"/>
    </row>
    <row r="20818">
      <c r="D20818" s="185"/>
      <c r="E20818" s="185" t="s">
        <v>470</v>
      </c>
      <c r="H20818" s="185"/>
    </row>
    <row r="20819">
      <c r="D20819" s="185"/>
      <c r="E20819" s="185" t="s">
        <v>470</v>
      </c>
      <c r="H20819" s="185"/>
    </row>
    <row r="20820">
      <c r="D20820" s="185"/>
      <c r="E20820" s="185" t="s">
        <v>470</v>
      </c>
      <c r="H20820" s="185"/>
    </row>
    <row r="20821">
      <c r="D20821" s="185"/>
      <c r="E20821" s="185" t="s">
        <v>470</v>
      </c>
      <c r="H20821" s="185"/>
    </row>
    <row r="20822">
      <c r="D20822" s="185"/>
      <c r="E20822" s="185" t="s">
        <v>470</v>
      </c>
      <c r="H20822" s="185"/>
    </row>
    <row r="20823">
      <c r="D20823" s="185"/>
      <c r="E20823" s="185" t="s">
        <v>470</v>
      </c>
      <c r="H20823" s="185"/>
    </row>
    <row r="20824">
      <c r="D20824" s="185"/>
      <c r="E20824" s="185" t="s">
        <v>470</v>
      </c>
      <c r="H20824" s="185"/>
    </row>
    <row r="20825">
      <c r="D20825" s="185"/>
      <c r="E20825" s="185" t="s">
        <v>470</v>
      </c>
      <c r="H20825" s="185"/>
    </row>
    <row r="20826">
      <c r="D20826" s="185"/>
      <c r="E20826" s="185" t="s">
        <v>470</v>
      </c>
      <c r="H20826" s="185"/>
    </row>
    <row r="20827">
      <c r="D20827" s="185"/>
      <c r="E20827" s="185" t="s">
        <v>470</v>
      </c>
      <c r="H20827" s="185"/>
    </row>
    <row r="20828">
      <c r="D20828" s="185"/>
      <c r="E20828" s="185" t="s">
        <v>470</v>
      </c>
      <c r="H20828" s="185"/>
    </row>
    <row r="20829">
      <c r="D20829" s="185"/>
      <c r="E20829" s="185" t="s">
        <v>470</v>
      </c>
      <c r="H20829" s="185"/>
    </row>
    <row r="20830">
      <c r="D20830" s="185"/>
      <c r="E20830" s="185" t="s">
        <v>470</v>
      </c>
      <c r="H20830" s="185"/>
    </row>
    <row r="20831">
      <c r="D20831" s="185"/>
      <c r="E20831" s="185" t="s">
        <v>470</v>
      </c>
      <c r="H20831" s="185"/>
    </row>
    <row r="20832">
      <c r="D20832" s="185"/>
      <c r="E20832" s="185" t="s">
        <v>470</v>
      </c>
      <c r="H20832" s="185"/>
    </row>
    <row r="20833">
      <c r="D20833" s="185"/>
      <c r="E20833" s="185" t="s">
        <v>470</v>
      </c>
      <c r="H20833" s="185"/>
    </row>
    <row r="20834">
      <c r="D20834" s="185"/>
      <c r="E20834" s="185" t="s">
        <v>470</v>
      </c>
      <c r="H20834" s="185"/>
    </row>
    <row r="20835">
      <c r="D20835" s="185"/>
      <c r="E20835" s="185" t="s">
        <v>470</v>
      </c>
      <c r="H20835" s="185"/>
    </row>
    <row r="20836">
      <c r="D20836" s="185"/>
      <c r="E20836" s="185" t="s">
        <v>470</v>
      </c>
      <c r="H20836" s="185"/>
    </row>
    <row r="20837">
      <c r="D20837" s="185"/>
      <c r="E20837" s="185" t="s">
        <v>470</v>
      </c>
      <c r="H20837" s="185"/>
    </row>
    <row r="20838">
      <c r="D20838" s="185"/>
      <c r="E20838" s="185" t="s">
        <v>470</v>
      </c>
      <c r="H20838" s="185"/>
    </row>
    <row r="20839">
      <c r="D20839" s="185"/>
      <c r="E20839" s="185" t="s">
        <v>470</v>
      </c>
      <c r="H20839" s="185"/>
    </row>
    <row r="20840">
      <c r="D20840" s="185"/>
      <c r="E20840" s="185" t="s">
        <v>470</v>
      </c>
      <c r="H20840" s="185"/>
    </row>
    <row r="20841">
      <c r="D20841" s="185"/>
      <c r="E20841" s="185" t="s">
        <v>470</v>
      </c>
      <c r="H20841" s="185"/>
    </row>
    <row r="20842">
      <c r="D20842" s="185"/>
      <c r="E20842" s="185" t="s">
        <v>470</v>
      </c>
      <c r="H20842" s="185"/>
    </row>
    <row r="20843">
      <c r="D20843" s="185"/>
      <c r="E20843" s="185" t="s">
        <v>470</v>
      </c>
      <c r="H20843" s="185"/>
    </row>
    <row r="20844">
      <c r="D20844" s="185"/>
      <c r="E20844" s="185" t="s">
        <v>470</v>
      </c>
      <c r="H20844" s="185"/>
    </row>
    <row r="20845">
      <c r="D20845" s="185"/>
      <c r="E20845" s="185" t="s">
        <v>470</v>
      </c>
      <c r="H20845" s="185"/>
    </row>
    <row r="20846">
      <c r="D20846" s="185"/>
      <c r="E20846" s="185" t="s">
        <v>470</v>
      </c>
      <c r="H20846" s="185"/>
    </row>
    <row r="20847">
      <c r="D20847" s="185"/>
      <c r="E20847" s="185" t="s">
        <v>470</v>
      </c>
      <c r="H20847" s="185"/>
    </row>
    <row r="20848">
      <c r="D20848" s="185"/>
      <c r="E20848" s="185" t="s">
        <v>470</v>
      </c>
      <c r="H20848" s="185"/>
    </row>
    <row r="20849">
      <c r="D20849" s="185"/>
      <c r="E20849" s="185" t="s">
        <v>470</v>
      </c>
      <c r="H20849" s="185"/>
    </row>
    <row r="20850">
      <c r="D20850" s="185"/>
      <c r="E20850" s="185" t="s">
        <v>470</v>
      </c>
      <c r="H20850" s="185"/>
    </row>
    <row r="20851">
      <c r="D20851" s="185"/>
      <c r="E20851" s="185" t="s">
        <v>470</v>
      </c>
      <c r="H20851" s="185"/>
    </row>
    <row r="20852">
      <c r="D20852" s="185"/>
      <c r="E20852" s="185" t="s">
        <v>470</v>
      </c>
      <c r="H20852" s="185"/>
    </row>
    <row r="20853">
      <c r="D20853" s="185"/>
      <c r="E20853" s="185" t="s">
        <v>470</v>
      </c>
      <c r="H20853" s="185"/>
    </row>
    <row r="20854">
      <c r="D20854" s="185"/>
      <c r="E20854" s="185" t="s">
        <v>470</v>
      </c>
      <c r="H20854" s="185"/>
    </row>
    <row r="20855">
      <c r="D20855" s="185"/>
      <c r="E20855" s="185" t="s">
        <v>470</v>
      </c>
      <c r="H20855" s="185"/>
    </row>
    <row r="20856">
      <c r="D20856" s="185"/>
      <c r="E20856" s="185" t="s">
        <v>470</v>
      </c>
      <c r="H20856" s="185"/>
    </row>
    <row r="20857">
      <c r="D20857" s="185"/>
      <c r="E20857" s="185" t="s">
        <v>470</v>
      </c>
      <c r="H20857" s="185"/>
    </row>
    <row r="20858">
      <c r="D20858" s="185"/>
      <c r="E20858" s="185" t="s">
        <v>470</v>
      </c>
      <c r="H20858" s="185"/>
    </row>
    <row r="20859">
      <c r="D20859" s="185"/>
      <c r="E20859" s="185" t="s">
        <v>470</v>
      </c>
      <c r="H20859" s="185"/>
    </row>
    <row r="20860">
      <c r="D20860" s="185"/>
      <c r="E20860" s="185" t="s">
        <v>470</v>
      </c>
      <c r="H20860" s="185"/>
    </row>
    <row r="20861">
      <c r="D20861" s="185"/>
      <c r="E20861" s="185" t="s">
        <v>470</v>
      </c>
      <c r="H20861" s="185"/>
    </row>
    <row r="20862">
      <c r="D20862" s="185"/>
      <c r="E20862" s="185" t="s">
        <v>470</v>
      </c>
      <c r="H20862" s="185"/>
    </row>
    <row r="20863">
      <c r="D20863" s="185"/>
      <c r="E20863" s="185" t="s">
        <v>470</v>
      </c>
      <c r="H20863" s="185"/>
    </row>
    <row r="20864">
      <c r="D20864" s="185"/>
      <c r="E20864" s="185" t="s">
        <v>470</v>
      </c>
      <c r="H20864" s="185"/>
    </row>
    <row r="20865">
      <c r="D20865" s="185"/>
      <c r="E20865" s="185" t="s">
        <v>470</v>
      </c>
      <c r="H20865" s="185"/>
    </row>
    <row r="20866">
      <c r="D20866" s="185"/>
      <c r="E20866" s="185" t="s">
        <v>470</v>
      </c>
      <c r="H20866" s="185"/>
    </row>
    <row r="20867">
      <c r="D20867" s="185"/>
      <c r="E20867" s="185" t="s">
        <v>470</v>
      </c>
      <c r="H20867" s="185"/>
    </row>
    <row r="20868">
      <c r="D20868" s="185"/>
      <c r="E20868" s="185" t="s">
        <v>470</v>
      </c>
      <c r="H20868" s="185"/>
    </row>
    <row r="20869">
      <c r="D20869" s="185"/>
      <c r="E20869" s="185" t="s">
        <v>470</v>
      </c>
      <c r="H20869" s="185"/>
    </row>
    <row r="20870">
      <c r="D20870" s="185"/>
      <c r="E20870" s="185" t="s">
        <v>470</v>
      </c>
      <c r="H20870" s="185"/>
    </row>
    <row r="20871">
      <c r="D20871" s="185"/>
      <c r="E20871" s="185" t="s">
        <v>470</v>
      </c>
      <c r="H20871" s="185"/>
    </row>
    <row r="20872">
      <c r="D20872" s="185"/>
      <c r="E20872" s="185" t="s">
        <v>470</v>
      </c>
      <c r="H20872" s="185"/>
    </row>
    <row r="20873">
      <c r="D20873" s="185"/>
      <c r="E20873" s="185" t="s">
        <v>470</v>
      </c>
      <c r="H20873" s="185"/>
    </row>
    <row r="20874">
      <c r="D20874" s="185"/>
      <c r="E20874" s="185" t="s">
        <v>470</v>
      </c>
      <c r="H20874" s="185"/>
    </row>
    <row r="20875">
      <c r="D20875" s="185"/>
      <c r="E20875" s="185" t="s">
        <v>470</v>
      </c>
      <c r="H20875" s="185"/>
    </row>
    <row r="20876">
      <c r="D20876" s="185"/>
      <c r="E20876" s="185" t="s">
        <v>470</v>
      </c>
      <c r="H20876" s="185"/>
    </row>
    <row r="20877">
      <c r="D20877" s="185"/>
      <c r="E20877" s="185" t="s">
        <v>470</v>
      </c>
      <c r="H20877" s="185"/>
    </row>
    <row r="20878">
      <c r="D20878" s="185"/>
      <c r="E20878" s="185" t="s">
        <v>470</v>
      </c>
      <c r="H20878" s="185"/>
    </row>
    <row r="20879">
      <c r="D20879" s="185"/>
      <c r="E20879" s="185" t="s">
        <v>470</v>
      </c>
      <c r="H20879" s="185"/>
    </row>
    <row r="20880">
      <c r="D20880" s="185"/>
      <c r="E20880" s="185" t="s">
        <v>470</v>
      </c>
      <c r="H20880" s="185"/>
    </row>
    <row r="20881">
      <c r="D20881" s="185"/>
      <c r="E20881" s="185" t="s">
        <v>470</v>
      </c>
      <c r="H20881" s="185"/>
    </row>
    <row r="20882">
      <c r="D20882" s="185"/>
      <c r="E20882" s="185" t="s">
        <v>470</v>
      </c>
      <c r="H20882" s="185"/>
    </row>
    <row r="20883">
      <c r="D20883" s="185"/>
      <c r="E20883" s="185" t="s">
        <v>470</v>
      </c>
      <c r="H20883" s="185"/>
    </row>
    <row r="20884">
      <c r="D20884" s="185"/>
      <c r="E20884" s="185" t="s">
        <v>470</v>
      </c>
      <c r="H20884" s="185"/>
    </row>
    <row r="20885">
      <c r="D20885" s="185"/>
      <c r="E20885" s="185" t="s">
        <v>470</v>
      </c>
      <c r="H20885" s="185"/>
    </row>
    <row r="20886">
      <c r="D20886" s="185"/>
      <c r="E20886" s="185" t="s">
        <v>470</v>
      </c>
      <c r="H20886" s="185"/>
    </row>
    <row r="20887">
      <c r="D20887" s="185"/>
      <c r="E20887" s="185" t="s">
        <v>470</v>
      </c>
      <c r="H20887" s="185"/>
    </row>
    <row r="20888">
      <c r="D20888" s="185"/>
      <c r="E20888" s="185" t="s">
        <v>470</v>
      </c>
      <c r="H20888" s="185"/>
    </row>
    <row r="20889">
      <c r="D20889" s="185"/>
      <c r="E20889" s="185" t="s">
        <v>470</v>
      </c>
      <c r="H20889" s="185"/>
    </row>
    <row r="20890">
      <c r="D20890" s="185"/>
      <c r="E20890" s="185" t="s">
        <v>470</v>
      </c>
      <c r="H20890" s="185"/>
    </row>
    <row r="20891">
      <c r="D20891" s="185"/>
      <c r="E20891" s="185" t="s">
        <v>470</v>
      </c>
      <c r="H20891" s="185"/>
    </row>
    <row r="20892">
      <c r="D20892" s="185"/>
      <c r="E20892" s="185" t="s">
        <v>470</v>
      </c>
      <c r="H20892" s="185"/>
    </row>
    <row r="20893">
      <c r="D20893" s="185"/>
      <c r="E20893" s="185" t="s">
        <v>470</v>
      </c>
      <c r="H20893" s="185"/>
    </row>
    <row r="20894">
      <c r="D20894" s="185"/>
      <c r="E20894" s="185" t="s">
        <v>470</v>
      </c>
      <c r="H20894" s="185"/>
    </row>
    <row r="20895">
      <c r="D20895" s="185"/>
      <c r="E20895" s="185" t="s">
        <v>470</v>
      </c>
      <c r="H20895" s="185"/>
    </row>
    <row r="20896">
      <c r="D20896" s="185"/>
      <c r="E20896" s="185" t="s">
        <v>470</v>
      </c>
      <c r="H20896" s="185"/>
    </row>
    <row r="20897">
      <c r="D20897" s="185"/>
      <c r="E20897" s="185" t="s">
        <v>470</v>
      </c>
      <c r="H20897" s="185"/>
    </row>
    <row r="20898">
      <c r="D20898" s="185"/>
      <c r="E20898" s="185" t="s">
        <v>470</v>
      </c>
      <c r="H20898" s="185"/>
    </row>
    <row r="20899">
      <c r="D20899" s="185"/>
      <c r="E20899" s="185" t="s">
        <v>470</v>
      </c>
      <c r="H20899" s="185"/>
    </row>
    <row r="20900">
      <c r="D20900" s="185"/>
      <c r="E20900" s="185" t="s">
        <v>470</v>
      </c>
      <c r="H20900" s="185"/>
    </row>
    <row r="20901">
      <c r="D20901" s="185"/>
      <c r="E20901" s="185" t="s">
        <v>470</v>
      </c>
      <c r="H20901" s="185"/>
    </row>
    <row r="20902">
      <c r="D20902" s="185"/>
      <c r="E20902" s="185" t="s">
        <v>470</v>
      </c>
      <c r="H20902" s="185"/>
    </row>
    <row r="20903">
      <c r="D20903" s="185"/>
      <c r="E20903" s="185" t="s">
        <v>470</v>
      </c>
      <c r="H20903" s="185"/>
    </row>
    <row r="20904">
      <c r="D20904" s="185"/>
      <c r="E20904" s="185" t="s">
        <v>470</v>
      </c>
      <c r="H20904" s="185"/>
    </row>
    <row r="20905">
      <c r="D20905" s="185"/>
      <c r="E20905" s="185" t="s">
        <v>470</v>
      </c>
      <c r="H20905" s="185"/>
    </row>
    <row r="20906">
      <c r="D20906" s="185"/>
      <c r="E20906" s="185" t="s">
        <v>470</v>
      </c>
      <c r="H20906" s="185"/>
    </row>
    <row r="20907">
      <c r="D20907" s="185"/>
      <c r="E20907" s="185" t="s">
        <v>470</v>
      </c>
      <c r="H20907" s="185"/>
    </row>
    <row r="20908">
      <c r="D20908" s="185"/>
      <c r="E20908" s="185" t="s">
        <v>470</v>
      </c>
      <c r="H20908" s="185"/>
    </row>
    <row r="20909">
      <c r="D20909" s="185"/>
      <c r="E20909" s="185" t="s">
        <v>470</v>
      </c>
      <c r="H20909" s="185"/>
    </row>
    <row r="20910">
      <c r="D20910" s="185"/>
      <c r="E20910" s="185" t="s">
        <v>470</v>
      </c>
      <c r="H20910" s="185"/>
    </row>
    <row r="20911">
      <c r="D20911" s="185"/>
      <c r="E20911" s="185" t="s">
        <v>470</v>
      </c>
      <c r="H20911" s="185"/>
    </row>
    <row r="20912">
      <c r="D20912" s="185"/>
      <c r="E20912" s="185" t="s">
        <v>470</v>
      </c>
      <c r="H20912" s="185"/>
    </row>
    <row r="20913">
      <c r="D20913" s="185"/>
      <c r="E20913" s="185" t="s">
        <v>470</v>
      </c>
      <c r="H20913" s="185"/>
    </row>
    <row r="20914">
      <c r="D20914" s="185"/>
      <c r="E20914" s="185" t="s">
        <v>470</v>
      </c>
      <c r="H20914" s="185"/>
    </row>
    <row r="20915">
      <c r="D20915" s="185"/>
      <c r="E20915" s="185" t="s">
        <v>470</v>
      </c>
      <c r="H20915" s="185"/>
    </row>
    <row r="20916">
      <c r="D20916" s="185"/>
      <c r="E20916" s="185" t="s">
        <v>470</v>
      </c>
      <c r="H20916" s="185"/>
    </row>
    <row r="20917">
      <c r="D20917" s="185"/>
      <c r="E20917" s="185" t="s">
        <v>470</v>
      </c>
      <c r="H20917" s="185"/>
    </row>
    <row r="20918">
      <c r="D20918" s="185"/>
      <c r="E20918" s="185" t="s">
        <v>470</v>
      </c>
      <c r="H20918" s="185"/>
    </row>
    <row r="20919">
      <c r="D20919" s="185"/>
      <c r="E20919" s="185" t="s">
        <v>470</v>
      </c>
      <c r="H20919" s="185"/>
    </row>
    <row r="20920">
      <c r="D20920" s="185"/>
      <c r="E20920" s="185" t="s">
        <v>470</v>
      </c>
      <c r="H20920" s="185"/>
    </row>
    <row r="20921">
      <c r="D20921" s="185"/>
      <c r="E20921" s="185" t="s">
        <v>470</v>
      </c>
      <c r="H20921" s="185"/>
    </row>
    <row r="20922">
      <c r="D20922" s="185"/>
      <c r="E20922" s="185" t="s">
        <v>470</v>
      </c>
      <c r="H20922" s="185"/>
    </row>
    <row r="20923">
      <c r="D20923" s="185"/>
      <c r="E20923" s="185" t="s">
        <v>470</v>
      </c>
      <c r="H20923" s="185"/>
    </row>
    <row r="20924">
      <c r="D20924" s="185"/>
      <c r="E20924" s="185" t="s">
        <v>470</v>
      </c>
      <c r="H20924" s="185"/>
    </row>
    <row r="20925">
      <c r="D20925" s="185"/>
      <c r="E20925" s="185" t="s">
        <v>470</v>
      </c>
      <c r="H20925" s="185"/>
    </row>
    <row r="20926">
      <c r="D20926" s="185"/>
      <c r="E20926" s="185" t="s">
        <v>470</v>
      </c>
      <c r="H20926" s="185"/>
    </row>
    <row r="20927">
      <c r="D20927" s="185"/>
      <c r="E20927" s="185" t="s">
        <v>470</v>
      </c>
      <c r="H20927" s="185"/>
    </row>
    <row r="20928">
      <c r="D20928" s="185"/>
      <c r="E20928" s="185" t="s">
        <v>470</v>
      </c>
      <c r="H20928" s="185"/>
    </row>
    <row r="20929">
      <c r="D20929" s="185"/>
      <c r="E20929" s="185" t="s">
        <v>470</v>
      </c>
      <c r="H20929" s="185"/>
    </row>
    <row r="20930">
      <c r="D20930" s="185"/>
      <c r="E20930" s="185" t="s">
        <v>470</v>
      </c>
      <c r="H20930" s="185"/>
    </row>
    <row r="20931">
      <c r="D20931" s="185"/>
      <c r="E20931" s="185" t="s">
        <v>470</v>
      </c>
      <c r="H20931" s="185"/>
    </row>
    <row r="20932">
      <c r="D20932" s="185"/>
      <c r="E20932" s="185" t="s">
        <v>470</v>
      </c>
      <c r="H20932" s="185"/>
    </row>
    <row r="20933">
      <c r="D20933" s="185"/>
      <c r="E20933" s="185" t="s">
        <v>470</v>
      </c>
      <c r="H20933" s="185"/>
    </row>
    <row r="20934">
      <c r="D20934" s="185"/>
      <c r="E20934" s="185" t="s">
        <v>470</v>
      </c>
      <c r="H20934" s="185"/>
    </row>
    <row r="20935">
      <c r="D20935" s="185"/>
      <c r="E20935" s="185" t="s">
        <v>470</v>
      </c>
      <c r="H20935" s="185"/>
    </row>
    <row r="20936">
      <c r="D20936" s="185"/>
      <c r="E20936" s="185" t="s">
        <v>470</v>
      </c>
      <c r="H20936" s="185"/>
    </row>
    <row r="20937">
      <c r="D20937" s="185"/>
      <c r="E20937" s="185" t="s">
        <v>470</v>
      </c>
      <c r="H20937" s="185"/>
    </row>
    <row r="20938">
      <c r="D20938" s="185"/>
      <c r="E20938" s="185" t="s">
        <v>470</v>
      </c>
      <c r="H20938" s="185"/>
    </row>
    <row r="20939">
      <c r="D20939" s="185"/>
      <c r="E20939" s="185" t="s">
        <v>470</v>
      </c>
      <c r="H20939" s="185"/>
    </row>
    <row r="20940">
      <c r="D20940" s="185"/>
      <c r="E20940" s="185" t="s">
        <v>470</v>
      </c>
      <c r="H20940" s="185"/>
    </row>
    <row r="20941">
      <c r="D20941" s="185"/>
      <c r="E20941" s="185" t="s">
        <v>470</v>
      </c>
      <c r="H20941" s="185"/>
    </row>
    <row r="20942">
      <c r="D20942" s="185"/>
      <c r="E20942" s="185" t="s">
        <v>470</v>
      </c>
      <c r="H20942" s="185"/>
    </row>
    <row r="20943">
      <c r="D20943" s="185"/>
      <c r="E20943" s="185" t="s">
        <v>470</v>
      </c>
      <c r="H20943" s="185"/>
    </row>
    <row r="20944">
      <c r="D20944" s="185"/>
      <c r="E20944" s="185" t="s">
        <v>470</v>
      </c>
      <c r="H20944" s="185"/>
    </row>
    <row r="20945">
      <c r="D20945" s="185"/>
      <c r="E20945" s="185" t="s">
        <v>470</v>
      </c>
      <c r="H20945" s="185"/>
    </row>
    <row r="20946">
      <c r="D20946" s="185"/>
      <c r="E20946" s="185" t="s">
        <v>470</v>
      </c>
      <c r="H20946" s="185"/>
    </row>
    <row r="20947">
      <c r="D20947" s="185"/>
      <c r="E20947" s="185" t="s">
        <v>470</v>
      </c>
      <c r="H20947" s="185"/>
    </row>
    <row r="20948">
      <c r="D20948" s="185"/>
      <c r="E20948" s="185" t="s">
        <v>470</v>
      </c>
      <c r="H20948" s="185"/>
    </row>
    <row r="20949">
      <c r="D20949" s="185"/>
      <c r="E20949" s="185" t="s">
        <v>470</v>
      </c>
      <c r="H20949" s="185"/>
    </row>
    <row r="20950">
      <c r="D20950" s="185"/>
      <c r="E20950" s="185" t="s">
        <v>470</v>
      </c>
      <c r="H20950" s="185"/>
    </row>
    <row r="20951">
      <c r="D20951" s="185"/>
      <c r="E20951" s="185" t="s">
        <v>470</v>
      </c>
      <c r="H20951" s="185"/>
    </row>
    <row r="20952">
      <c r="D20952" s="185"/>
      <c r="E20952" s="185" t="s">
        <v>470</v>
      </c>
      <c r="H20952" s="185"/>
    </row>
    <row r="20953">
      <c r="D20953" s="185"/>
      <c r="E20953" s="185" t="s">
        <v>470</v>
      </c>
      <c r="H20953" s="185"/>
    </row>
    <row r="20954">
      <c r="D20954" s="185"/>
      <c r="E20954" s="185" t="s">
        <v>470</v>
      </c>
      <c r="H20954" s="185"/>
    </row>
    <row r="20955">
      <c r="D20955" s="185"/>
      <c r="E20955" s="185" t="s">
        <v>470</v>
      </c>
      <c r="H20955" s="185"/>
    </row>
    <row r="20956">
      <c r="D20956" s="185"/>
      <c r="E20956" s="185" t="s">
        <v>470</v>
      </c>
      <c r="H20956" s="185"/>
    </row>
    <row r="20957">
      <c r="D20957" s="185"/>
      <c r="E20957" s="185" t="s">
        <v>470</v>
      </c>
      <c r="H20957" s="185"/>
    </row>
    <row r="20958">
      <c r="D20958" s="185"/>
      <c r="E20958" s="185" t="s">
        <v>470</v>
      </c>
      <c r="H20958" s="185"/>
    </row>
    <row r="20959">
      <c r="D20959" s="185"/>
      <c r="E20959" s="185" t="s">
        <v>470</v>
      </c>
      <c r="H20959" s="185"/>
    </row>
    <row r="20960">
      <c r="D20960" s="185"/>
      <c r="E20960" s="185" t="s">
        <v>470</v>
      </c>
      <c r="H20960" s="185"/>
    </row>
    <row r="20961">
      <c r="D20961" s="185"/>
      <c r="E20961" s="185" t="s">
        <v>470</v>
      </c>
      <c r="H20961" s="185"/>
    </row>
    <row r="20962">
      <c r="D20962" s="185"/>
      <c r="E20962" s="185" t="s">
        <v>470</v>
      </c>
      <c r="H20962" s="185"/>
    </row>
    <row r="20963">
      <c r="D20963" s="185"/>
      <c r="E20963" s="185" t="s">
        <v>470</v>
      </c>
      <c r="H20963" s="185"/>
    </row>
    <row r="20964">
      <c r="D20964" s="185"/>
      <c r="E20964" s="185" t="s">
        <v>470</v>
      </c>
      <c r="H20964" s="185"/>
    </row>
    <row r="20965">
      <c r="D20965" s="185"/>
      <c r="E20965" s="185" t="s">
        <v>470</v>
      </c>
      <c r="H20965" s="185"/>
    </row>
    <row r="20966">
      <c r="D20966" s="185"/>
      <c r="E20966" s="185" t="s">
        <v>470</v>
      </c>
      <c r="H20966" s="185"/>
    </row>
    <row r="20967">
      <c r="D20967" s="185"/>
      <c r="E20967" s="185" t="s">
        <v>470</v>
      </c>
      <c r="H20967" s="185"/>
    </row>
    <row r="20968">
      <c r="D20968" s="185"/>
      <c r="E20968" s="185" t="s">
        <v>470</v>
      </c>
      <c r="H20968" s="185"/>
    </row>
    <row r="20969">
      <c r="D20969" s="185"/>
      <c r="E20969" s="185" t="s">
        <v>470</v>
      </c>
      <c r="H20969" s="185"/>
    </row>
    <row r="20970">
      <c r="D20970" s="185"/>
      <c r="E20970" s="185" t="s">
        <v>470</v>
      </c>
      <c r="H20970" s="185"/>
    </row>
    <row r="20971">
      <c r="D20971" s="185"/>
      <c r="E20971" s="185" t="s">
        <v>470</v>
      </c>
      <c r="H20971" s="185"/>
    </row>
    <row r="20972">
      <c r="D20972" s="185"/>
      <c r="E20972" s="185" t="s">
        <v>470</v>
      </c>
      <c r="H20972" s="185"/>
    </row>
    <row r="20973">
      <c r="D20973" s="185"/>
      <c r="E20973" s="185" t="s">
        <v>470</v>
      </c>
      <c r="H20973" s="185"/>
    </row>
    <row r="20974">
      <c r="D20974" s="185"/>
      <c r="E20974" s="185" t="s">
        <v>470</v>
      </c>
      <c r="H20974" s="185"/>
    </row>
    <row r="20975">
      <c r="D20975" s="185"/>
      <c r="E20975" s="185" t="s">
        <v>470</v>
      </c>
      <c r="H20975" s="185"/>
    </row>
    <row r="20976">
      <c r="D20976" s="185"/>
      <c r="E20976" s="185" t="s">
        <v>470</v>
      </c>
      <c r="H20976" s="185"/>
    </row>
    <row r="20977">
      <c r="D20977" s="185"/>
      <c r="E20977" s="185" t="s">
        <v>470</v>
      </c>
      <c r="H20977" s="185"/>
    </row>
    <row r="20978">
      <c r="D20978" s="185"/>
      <c r="E20978" s="185" t="s">
        <v>470</v>
      </c>
      <c r="H20978" s="185"/>
    </row>
    <row r="20979">
      <c r="D20979" s="185"/>
      <c r="E20979" s="185" t="s">
        <v>470</v>
      </c>
      <c r="H20979" s="185"/>
    </row>
    <row r="20980">
      <c r="D20980" s="185"/>
      <c r="E20980" s="185" t="s">
        <v>470</v>
      </c>
      <c r="H20980" s="185"/>
    </row>
    <row r="20981">
      <c r="D20981" s="185"/>
      <c r="E20981" s="185" t="s">
        <v>470</v>
      </c>
      <c r="H20981" s="185"/>
    </row>
    <row r="20982">
      <c r="D20982" s="185"/>
      <c r="E20982" s="185" t="s">
        <v>470</v>
      </c>
      <c r="H20982" s="185"/>
    </row>
    <row r="20983">
      <c r="D20983" s="185"/>
      <c r="E20983" s="185" t="s">
        <v>470</v>
      </c>
      <c r="H20983" s="185"/>
    </row>
    <row r="20984">
      <c r="D20984" s="185"/>
      <c r="E20984" s="185" t="s">
        <v>470</v>
      </c>
      <c r="H20984" s="185"/>
    </row>
    <row r="20985">
      <c r="D20985" s="185"/>
      <c r="E20985" s="185" t="s">
        <v>470</v>
      </c>
      <c r="H20985" s="185"/>
    </row>
    <row r="20986">
      <c r="D20986" s="185"/>
      <c r="E20986" s="185" t="s">
        <v>470</v>
      </c>
      <c r="H20986" s="185"/>
    </row>
    <row r="20987">
      <c r="D20987" s="185"/>
      <c r="E20987" s="185" t="s">
        <v>470</v>
      </c>
      <c r="H20987" s="185"/>
    </row>
    <row r="20988">
      <c r="D20988" s="185"/>
      <c r="E20988" s="185" t="s">
        <v>470</v>
      </c>
      <c r="H20988" s="185"/>
    </row>
    <row r="20989">
      <c r="D20989" s="185"/>
      <c r="E20989" s="185" t="s">
        <v>470</v>
      </c>
      <c r="H20989" s="185"/>
    </row>
    <row r="20990">
      <c r="D20990" s="185"/>
      <c r="E20990" s="185" t="s">
        <v>470</v>
      </c>
      <c r="H20990" s="185"/>
    </row>
    <row r="20991">
      <c r="D20991" s="185"/>
      <c r="E20991" s="185" t="s">
        <v>470</v>
      </c>
      <c r="H20991" s="185"/>
    </row>
    <row r="20992">
      <c r="D20992" s="185"/>
      <c r="E20992" s="185" t="s">
        <v>470</v>
      </c>
      <c r="H20992" s="185"/>
    </row>
    <row r="20993">
      <c r="D20993" s="185"/>
      <c r="E20993" s="185" t="s">
        <v>470</v>
      </c>
      <c r="H20993" s="185"/>
    </row>
    <row r="20994">
      <c r="D20994" s="185"/>
      <c r="E20994" s="185" t="s">
        <v>470</v>
      </c>
      <c r="H20994" s="185"/>
    </row>
    <row r="20995">
      <c r="D20995" s="185"/>
      <c r="E20995" s="185" t="s">
        <v>470</v>
      </c>
      <c r="H20995" s="185"/>
    </row>
    <row r="20996">
      <c r="D20996" s="185"/>
      <c r="E20996" s="185" t="s">
        <v>470</v>
      </c>
      <c r="H20996" s="185"/>
    </row>
    <row r="20997">
      <c r="D20997" s="185"/>
      <c r="E20997" s="185" t="s">
        <v>470</v>
      </c>
      <c r="H20997" s="185"/>
    </row>
    <row r="20998">
      <c r="D20998" s="185"/>
      <c r="E20998" s="185" t="s">
        <v>470</v>
      </c>
      <c r="H20998" s="185"/>
    </row>
    <row r="20999">
      <c r="D20999" s="185"/>
      <c r="E20999" s="185" t="s">
        <v>470</v>
      </c>
      <c r="H20999" s="185"/>
    </row>
    <row r="21000">
      <c r="D21000" s="185"/>
      <c r="E21000" s="185" t="s">
        <v>470</v>
      </c>
      <c r="H21000" s="185"/>
    </row>
    <row r="21001">
      <c r="D21001" s="185"/>
      <c r="E21001" s="185" t="s">
        <v>470</v>
      </c>
      <c r="H21001" s="185"/>
    </row>
    <row r="21002">
      <c r="D21002" s="185"/>
      <c r="E21002" s="185" t="s">
        <v>470</v>
      </c>
      <c r="H21002" s="185"/>
    </row>
    <row r="21003">
      <c r="D21003" s="185"/>
      <c r="E21003" s="185" t="s">
        <v>470</v>
      </c>
      <c r="H21003" s="185"/>
    </row>
    <row r="21004">
      <c r="D21004" s="185"/>
      <c r="E21004" s="185" t="s">
        <v>470</v>
      </c>
      <c r="H21004" s="185"/>
    </row>
    <row r="21005">
      <c r="D21005" s="185"/>
      <c r="E21005" s="185" t="s">
        <v>470</v>
      </c>
      <c r="H21005" s="185"/>
    </row>
    <row r="21006">
      <c r="D21006" s="185"/>
      <c r="E21006" s="185" t="s">
        <v>470</v>
      </c>
      <c r="H21006" s="185"/>
    </row>
    <row r="21007">
      <c r="D21007" s="185"/>
      <c r="E21007" s="185" t="s">
        <v>470</v>
      </c>
      <c r="H21007" s="185"/>
    </row>
    <row r="21008">
      <c r="D21008" s="185"/>
      <c r="E21008" s="185" t="s">
        <v>470</v>
      </c>
      <c r="H21008" s="185"/>
    </row>
    <row r="21009">
      <c r="D21009" s="185"/>
      <c r="E21009" s="185" t="s">
        <v>470</v>
      </c>
      <c r="H21009" s="185"/>
    </row>
    <row r="21010">
      <c r="D21010" s="185"/>
      <c r="E21010" s="185" t="s">
        <v>470</v>
      </c>
      <c r="H21010" s="185"/>
    </row>
    <row r="21011">
      <c r="D21011" s="185"/>
      <c r="E21011" s="185" t="s">
        <v>470</v>
      </c>
      <c r="H21011" s="185"/>
    </row>
    <row r="21012">
      <c r="D21012" s="185"/>
      <c r="E21012" s="185" t="s">
        <v>470</v>
      </c>
      <c r="H21012" s="185"/>
    </row>
    <row r="21013">
      <c r="D21013" s="185"/>
      <c r="E21013" s="185" t="s">
        <v>470</v>
      </c>
      <c r="H21013" s="185"/>
    </row>
    <row r="21014">
      <c r="D21014" s="185"/>
      <c r="E21014" s="185" t="s">
        <v>470</v>
      </c>
      <c r="H21014" s="185"/>
    </row>
    <row r="21015">
      <c r="D21015" s="185"/>
      <c r="E21015" s="185" t="s">
        <v>470</v>
      </c>
      <c r="H21015" s="185"/>
    </row>
    <row r="21016">
      <c r="D21016" s="185"/>
      <c r="E21016" s="185" t="s">
        <v>470</v>
      </c>
      <c r="H21016" s="185"/>
    </row>
    <row r="21017">
      <c r="D21017" s="185"/>
      <c r="E21017" s="185" t="s">
        <v>470</v>
      </c>
      <c r="H21017" s="185"/>
    </row>
    <row r="21018">
      <c r="D21018" s="185"/>
      <c r="E21018" s="185" t="s">
        <v>470</v>
      </c>
      <c r="H21018" s="185"/>
    </row>
    <row r="21019">
      <c r="D21019" s="185"/>
      <c r="E21019" s="185" t="s">
        <v>470</v>
      </c>
      <c r="H21019" s="185"/>
    </row>
    <row r="21020">
      <c r="D21020" s="185"/>
      <c r="E21020" s="185" t="s">
        <v>470</v>
      </c>
      <c r="H21020" s="185"/>
    </row>
    <row r="21021">
      <c r="D21021" s="185"/>
      <c r="E21021" s="185" t="s">
        <v>470</v>
      </c>
      <c r="H21021" s="185"/>
    </row>
    <row r="21022">
      <c r="D21022" s="185"/>
      <c r="E21022" s="185" t="s">
        <v>470</v>
      </c>
      <c r="H21022" s="185"/>
    </row>
    <row r="21023">
      <c r="D21023" s="185"/>
      <c r="E21023" s="185" t="s">
        <v>470</v>
      </c>
      <c r="H21023" s="185"/>
    </row>
    <row r="21024">
      <c r="D21024" s="185"/>
      <c r="E21024" s="185" t="s">
        <v>470</v>
      </c>
      <c r="H21024" s="185"/>
    </row>
    <row r="21025">
      <c r="D21025" s="185"/>
      <c r="E21025" s="185" t="s">
        <v>470</v>
      </c>
      <c r="H21025" s="185"/>
    </row>
    <row r="21026">
      <c r="D21026" s="185"/>
      <c r="E21026" s="185" t="s">
        <v>470</v>
      </c>
      <c r="H21026" s="185"/>
    </row>
    <row r="21027">
      <c r="D21027" s="185"/>
      <c r="E21027" s="185" t="s">
        <v>470</v>
      </c>
      <c r="H21027" s="185"/>
    </row>
    <row r="21028">
      <c r="D21028" s="185"/>
      <c r="E21028" s="185" t="s">
        <v>470</v>
      </c>
      <c r="H21028" s="185"/>
    </row>
    <row r="21029">
      <c r="D21029" s="185"/>
      <c r="E21029" s="185" t="s">
        <v>470</v>
      </c>
      <c r="H21029" s="185"/>
    </row>
    <row r="21030">
      <c r="D21030" s="185"/>
      <c r="E21030" s="185" t="s">
        <v>470</v>
      </c>
      <c r="H21030" s="185"/>
    </row>
    <row r="21031">
      <c r="D21031" s="185"/>
      <c r="E21031" s="185" t="s">
        <v>470</v>
      </c>
      <c r="H21031" s="185"/>
    </row>
    <row r="21032">
      <c r="D21032" s="185"/>
      <c r="E21032" s="185" t="s">
        <v>470</v>
      </c>
      <c r="H21032" s="185"/>
    </row>
    <row r="21033">
      <c r="D21033" s="185"/>
      <c r="E21033" s="185" t="s">
        <v>470</v>
      </c>
      <c r="H21033" s="185"/>
    </row>
    <row r="21034">
      <c r="D21034" s="185"/>
      <c r="E21034" s="185" t="s">
        <v>470</v>
      </c>
      <c r="H21034" s="185"/>
    </row>
    <row r="21035">
      <c r="D21035" s="185"/>
      <c r="E21035" s="185" t="s">
        <v>470</v>
      </c>
      <c r="H21035" s="185"/>
    </row>
    <row r="21036">
      <c r="D21036" s="185"/>
      <c r="E21036" s="185" t="s">
        <v>470</v>
      </c>
      <c r="H21036" s="185"/>
    </row>
    <row r="21037">
      <c r="D21037" s="185"/>
      <c r="E21037" s="185" t="s">
        <v>470</v>
      </c>
      <c r="H21037" s="185"/>
    </row>
    <row r="21038">
      <c r="D21038" s="185"/>
      <c r="E21038" s="185" t="s">
        <v>470</v>
      </c>
      <c r="H21038" s="185"/>
    </row>
    <row r="21039">
      <c r="D21039" s="185"/>
      <c r="E21039" s="185" t="s">
        <v>470</v>
      </c>
      <c r="H21039" s="185"/>
    </row>
    <row r="21040">
      <c r="D21040" s="185"/>
      <c r="E21040" s="185" t="s">
        <v>470</v>
      </c>
      <c r="H21040" s="185"/>
    </row>
    <row r="21041">
      <c r="D21041" s="185"/>
      <c r="E21041" s="185" t="s">
        <v>470</v>
      </c>
      <c r="H21041" s="185"/>
    </row>
    <row r="21042">
      <c r="D21042" s="185"/>
      <c r="E21042" s="185" t="s">
        <v>470</v>
      </c>
      <c r="H21042" s="185"/>
    </row>
    <row r="21043">
      <c r="D21043" s="185"/>
      <c r="E21043" s="185" t="s">
        <v>470</v>
      </c>
      <c r="H21043" s="185"/>
    </row>
    <row r="21044">
      <c r="D21044" s="185"/>
      <c r="E21044" s="185" t="s">
        <v>470</v>
      </c>
      <c r="H21044" s="185"/>
    </row>
    <row r="21045">
      <c r="D21045" s="185"/>
      <c r="E21045" s="185" t="s">
        <v>470</v>
      </c>
      <c r="H21045" s="185"/>
    </row>
    <row r="21046">
      <c r="D21046" s="185"/>
      <c r="E21046" s="185" t="s">
        <v>470</v>
      </c>
      <c r="H21046" s="185"/>
    </row>
    <row r="21047">
      <c r="D21047" s="185"/>
      <c r="E21047" s="185" t="s">
        <v>470</v>
      </c>
      <c r="H21047" s="185"/>
    </row>
    <row r="21048">
      <c r="D21048" s="185"/>
      <c r="E21048" s="185" t="s">
        <v>470</v>
      </c>
      <c r="H21048" s="185"/>
    </row>
    <row r="21049">
      <c r="D21049" s="185"/>
      <c r="E21049" s="185" t="s">
        <v>470</v>
      </c>
      <c r="H21049" s="185"/>
    </row>
    <row r="21050">
      <c r="D21050" s="185"/>
      <c r="E21050" s="185" t="s">
        <v>470</v>
      </c>
      <c r="H21050" s="185"/>
    </row>
    <row r="21051">
      <c r="D21051" s="185"/>
      <c r="E21051" s="185" t="s">
        <v>470</v>
      </c>
      <c r="H21051" s="185"/>
    </row>
    <row r="21052">
      <c r="D21052" s="185"/>
      <c r="E21052" s="185" t="s">
        <v>470</v>
      </c>
      <c r="H21052" s="185"/>
    </row>
    <row r="21053">
      <c r="D21053" s="185"/>
      <c r="E21053" s="185" t="s">
        <v>470</v>
      </c>
      <c r="H21053" s="185"/>
    </row>
    <row r="21054">
      <c r="D21054" s="185"/>
      <c r="E21054" s="185" t="s">
        <v>470</v>
      </c>
      <c r="H21054" s="185"/>
    </row>
    <row r="21055">
      <c r="D21055" s="185"/>
      <c r="E21055" s="185" t="s">
        <v>470</v>
      </c>
      <c r="H21055" s="185"/>
    </row>
    <row r="21056">
      <c r="D21056" s="185"/>
      <c r="E21056" s="185" t="s">
        <v>470</v>
      </c>
      <c r="H21056" s="185"/>
    </row>
    <row r="21057">
      <c r="D21057" s="185"/>
      <c r="E21057" s="185" t="s">
        <v>470</v>
      </c>
      <c r="H21057" s="185"/>
    </row>
    <row r="21058">
      <c r="D21058" s="185"/>
      <c r="E21058" s="185" t="s">
        <v>470</v>
      </c>
      <c r="H21058" s="185"/>
    </row>
    <row r="21059">
      <c r="D21059" s="185"/>
      <c r="E21059" s="185" t="s">
        <v>470</v>
      </c>
      <c r="H21059" s="185"/>
    </row>
    <row r="21060">
      <c r="D21060" s="185"/>
      <c r="E21060" s="185" t="s">
        <v>470</v>
      </c>
      <c r="H21060" s="185"/>
    </row>
    <row r="21061">
      <c r="D21061" s="185"/>
      <c r="E21061" s="185" t="s">
        <v>470</v>
      </c>
      <c r="H21061" s="185"/>
    </row>
    <row r="21062">
      <c r="D21062" s="185"/>
      <c r="E21062" s="185" t="s">
        <v>470</v>
      </c>
      <c r="H21062" s="185"/>
    </row>
    <row r="21063">
      <c r="D21063" s="185"/>
      <c r="E21063" s="185" t="s">
        <v>470</v>
      </c>
      <c r="H21063" s="185"/>
    </row>
    <row r="21064">
      <c r="D21064" s="185"/>
      <c r="E21064" s="185" t="s">
        <v>470</v>
      </c>
      <c r="H21064" s="185"/>
    </row>
    <row r="21065">
      <c r="D21065" s="185"/>
      <c r="E21065" s="185" t="s">
        <v>470</v>
      </c>
      <c r="H21065" s="185"/>
    </row>
    <row r="21066">
      <c r="D21066" s="185"/>
      <c r="E21066" s="185" t="s">
        <v>470</v>
      </c>
      <c r="H21066" s="185"/>
    </row>
    <row r="21067">
      <c r="D21067" s="185"/>
      <c r="E21067" s="185" t="s">
        <v>470</v>
      </c>
      <c r="H21067" s="185"/>
    </row>
    <row r="21068">
      <c r="D21068" s="185"/>
      <c r="E21068" s="185" t="s">
        <v>470</v>
      </c>
      <c r="H21068" s="185"/>
    </row>
    <row r="21069">
      <c r="D21069" s="185"/>
      <c r="E21069" s="185" t="s">
        <v>470</v>
      </c>
      <c r="H21069" s="185"/>
    </row>
    <row r="21070">
      <c r="D21070" s="185"/>
      <c r="E21070" s="185" t="s">
        <v>470</v>
      </c>
      <c r="H21070" s="185"/>
    </row>
    <row r="21071">
      <c r="D21071" s="185"/>
      <c r="E21071" s="185" t="s">
        <v>470</v>
      </c>
      <c r="H21071" s="185"/>
    </row>
    <row r="21072">
      <c r="D21072" s="185"/>
      <c r="E21072" s="185" t="s">
        <v>470</v>
      </c>
      <c r="H21072" s="185"/>
    </row>
    <row r="21073">
      <c r="D21073" s="185"/>
      <c r="E21073" s="185" t="s">
        <v>470</v>
      </c>
      <c r="H21073" s="185"/>
    </row>
    <row r="21074">
      <c r="D21074" s="185"/>
      <c r="E21074" s="185" t="s">
        <v>470</v>
      </c>
      <c r="H21074" s="185"/>
    </row>
    <row r="21075">
      <c r="D21075" s="185"/>
      <c r="E21075" s="185" t="s">
        <v>470</v>
      </c>
      <c r="H21075" s="185"/>
    </row>
    <row r="21076">
      <c r="D21076" s="185"/>
      <c r="E21076" s="185" t="s">
        <v>470</v>
      </c>
      <c r="H21076" s="185"/>
    </row>
    <row r="21077">
      <c r="D21077" s="185"/>
      <c r="E21077" s="185" t="s">
        <v>470</v>
      </c>
      <c r="H21077" s="185"/>
    </row>
    <row r="21078">
      <c r="D21078" s="185"/>
      <c r="E21078" s="185" t="s">
        <v>470</v>
      </c>
      <c r="H21078" s="185"/>
    </row>
    <row r="21079">
      <c r="D21079" s="185"/>
      <c r="E21079" s="185" t="s">
        <v>470</v>
      </c>
      <c r="H21079" s="185"/>
    </row>
    <row r="21080">
      <c r="D21080" s="185"/>
      <c r="E21080" s="185" t="s">
        <v>470</v>
      </c>
      <c r="H21080" s="185"/>
    </row>
    <row r="21081">
      <c r="D21081" s="185"/>
      <c r="E21081" s="185" t="s">
        <v>470</v>
      </c>
      <c r="H21081" s="185"/>
    </row>
    <row r="21082">
      <c r="D21082" s="185"/>
      <c r="E21082" s="185" t="s">
        <v>470</v>
      </c>
      <c r="H21082" s="185"/>
    </row>
    <row r="21083">
      <c r="D21083" s="185"/>
      <c r="E21083" s="185" t="s">
        <v>470</v>
      </c>
      <c r="H21083" s="185"/>
    </row>
    <row r="21084">
      <c r="D21084" s="185"/>
      <c r="E21084" s="185" t="s">
        <v>470</v>
      </c>
      <c r="H21084" s="185"/>
    </row>
    <row r="21085">
      <c r="D21085" s="185"/>
      <c r="E21085" s="185" t="s">
        <v>470</v>
      </c>
      <c r="H21085" s="185"/>
    </row>
    <row r="21086">
      <c r="D21086" s="185"/>
      <c r="E21086" s="185" t="s">
        <v>470</v>
      </c>
      <c r="H21086" s="185"/>
    </row>
    <row r="21087">
      <c r="D21087" s="185"/>
      <c r="E21087" s="185" t="s">
        <v>470</v>
      </c>
      <c r="H21087" s="185"/>
    </row>
    <row r="21088">
      <c r="D21088" s="185"/>
      <c r="E21088" s="185" t="s">
        <v>470</v>
      </c>
      <c r="H21088" s="185"/>
    </row>
    <row r="21089">
      <c r="D21089" s="185"/>
      <c r="E21089" s="185" t="s">
        <v>470</v>
      </c>
      <c r="H21089" s="185"/>
    </row>
    <row r="21090">
      <c r="D21090" s="185"/>
      <c r="E21090" s="185" t="s">
        <v>470</v>
      </c>
      <c r="H21090" s="185"/>
    </row>
    <row r="21091">
      <c r="D21091" s="185"/>
      <c r="E21091" s="185" t="s">
        <v>470</v>
      </c>
      <c r="H21091" s="185"/>
    </row>
    <row r="21092">
      <c r="D21092" s="185"/>
      <c r="E21092" s="185" t="s">
        <v>470</v>
      </c>
      <c r="H21092" s="185"/>
    </row>
    <row r="21093">
      <c r="D21093" s="185"/>
      <c r="E21093" s="185" t="s">
        <v>470</v>
      </c>
      <c r="H21093" s="185"/>
    </row>
    <row r="21094">
      <c r="D21094" s="185"/>
      <c r="E21094" s="185" t="s">
        <v>470</v>
      </c>
      <c r="H21094" s="185"/>
    </row>
    <row r="21095">
      <c r="D21095" s="185"/>
      <c r="E21095" s="185" t="s">
        <v>470</v>
      </c>
      <c r="H21095" s="185"/>
    </row>
    <row r="21096">
      <c r="D21096" s="185"/>
      <c r="E21096" s="185" t="s">
        <v>470</v>
      </c>
      <c r="H21096" s="185"/>
    </row>
    <row r="21097">
      <c r="D21097" s="185"/>
      <c r="E21097" s="185" t="s">
        <v>470</v>
      </c>
      <c r="H21097" s="185"/>
    </row>
    <row r="21098">
      <c r="D21098" s="185"/>
      <c r="E21098" s="185" t="s">
        <v>470</v>
      </c>
      <c r="H21098" s="185"/>
    </row>
    <row r="21099">
      <c r="D21099" s="185"/>
      <c r="E21099" s="185" t="s">
        <v>470</v>
      </c>
      <c r="H21099" s="185"/>
    </row>
    <row r="21100">
      <c r="D21100" s="185"/>
      <c r="E21100" s="185" t="s">
        <v>470</v>
      </c>
      <c r="H21100" s="185"/>
    </row>
    <row r="21101">
      <c r="D21101" s="185"/>
      <c r="E21101" s="185" t="s">
        <v>470</v>
      </c>
      <c r="H21101" s="185"/>
    </row>
    <row r="21102">
      <c r="D21102" s="185"/>
      <c r="E21102" s="185" t="s">
        <v>470</v>
      </c>
      <c r="H21102" s="185"/>
    </row>
    <row r="21103">
      <c r="D21103" s="185"/>
      <c r="E21103" s="185" t="s">
        <v>470</v>
      </c>
      <c r="H21103" s="185"/>
    </row>
    <row r="21104">
      <c r="D21104" s="185"/>
      <c r="E21104" s="185" t="s">
        <v>470</v>
      </c>
      <c r="H21104" s="185"/>
    </row>
    <row r="21105">
      <c r="D21105" s="185"/>
      <c r="E21105" s="185" t="s">
        <v>470</v>
      </c>
      <c r="H21105" s="185"/>
    </row>
    <row r="21106">
      <c r="D21106" s="185"/>
      <c r="E21106" s="185" t="s">
        <v>470</v>
      </c>
      <c r="H21106" s="185"/>
    </row>
    <row r="21107">
      <c r="D21107" s="185"/>
      <c r="E21107" s="185" t="s">
        <v>470</v>
      </c>
      <c r="H21107" s="185"/>
    </row>
    <row r="21108">
      <c r="D21108" s="185"/>
      <c r="E21108" s="185" t="s">
        <v>470</v>
      </c>
      <c r="H21108" s="185"/>
    </row>
    <row r="21109">
      <c r="D21109" s="185"/>
      <c r="E21109" s="185" t="s">
        <v>470</v>
      </c>
      <c r="H21109" s="185"/>
    </row>
    <row r="21110">
      <c r="D21110" s="185"/>
      <c r="E21110" s="185" t="s">
        <v>470</v>
      </c>
      <c r="H21110" s="185"/>
    </row>
    <row r="21111">
      <c r="D21111" s="185"/>
      <c r="E21111" s="185" t="s">
        <v>470</v>
      </c>
      <c r="H21111" s="185"/>
    </row>
    <row r="21112">
      <c r="D21112" s="185"/>
      <c r="E21112" s="185" t="s">
        <v>470</v>
      </c>
      <c r="H21112" s="185"/>
    </row>
    <row r="21113">
      <c r="D21113" s="185"/>
      <c r="E21113" s="185" t="s">
        <v>470</v>
      </c>
      <c r="H21113" s="185"/>
    </row>
    <row r="21114">
      <c r="D21114" s="185"/>
      <c r="E21114" s="185" t="s">
        <v>470</v>
      </c>
      <c r="H21114" s="185"/>
    </row>
    <row r="21115">
      <c r="D21115" s="185"/>
      <c r="E21115" s="185" t="s">
        <v>470</v>
      </c>
      <c r="H21115" s="185"/>
    </row>
    <row r="21116">
      <c r="D21116" s="185"/>
      <c r="E21116" s="185" t="s">
        <v>470</v>
      </c>
      <c r="H21116" s="185"/>
    </row>
    <row r="21117">
      <c r="D21117" s="185"/>
      <c r="E21117" s="185" t="s">
        <v>470</v>
      </c>
      <c r="H21117" s="185"/>
    </row>
    <row r="21118">
      <c r="D21118" s="185"/>
      <c r="E21118" s="185" t="s">
        <v>470</v>
      </c>
      <c r="H21118" s="185"/>
    </row>
    <row r="21119">
      <c r="D21119" s="185"/>
      <c r="E21119" s="185" t="s">
        <v>470</v>
      </c>
      <c r="H21119" s="185"/>
    </row>
    <row r="21120">
      <c r="D21120" s="185"/>
      <c r="E21120" s="185" t="s">
        <v>470</v>
      </c>
      <c r="H21120" s="185"/>
    </row>
    <row r="21121">
      <c r="D21121" s="185"/>
      <c r="E21121" s="185" t="s">
        <v>470</v>
      </c>
      <c r="H21121" s="185"/>
    </row>
    <row r="21122">
      <c r="D21122" s="185"/>
      <c r="E21122" s="185" t="s">
        <v>470</v>
      </c>
      <c r="H21122" s="185"/>
    </row>
    <row r="21123">
      <c r="D21123" s="185"/>
      <c r="E21123" s="185" t="s">
        <v>470</v>
      </c>
      <c r="H21123" s="185"/>
    </row>
    <row r="21124">
      <c r="D21124" s="185"/>
      <c r="E21124" s="185" t="s">
        <v>470</v>
      </c>
      <c r="H21124" s="185"/>
    </row>
    <row r="21125">
      <c r="D21125" s="185"/>
      <c r="E21125" s="185" t="s">
        <v>470</v>
      </c>
      <c r="H21125" s="185"/>
    </row>
    <row r="21126">
      <c r="D21126" s="185"/>
      <c r="E21126" s="185" t="s">
        <v>470</v>
      </c>
      <c r="H21126" s="185"/>
    </row>
    <row r="21127">
      <c r="D21127" s="185"/>
      <c r="E21127" s="185" t="s">
        <v>470</v>
      </c>
      <c r="H21127" s="185"/>
    </row>
    <row r="21128">
      <c r="D21128" s="185"/>
      <c r="E21128" s="185" t="s">
        <v>470</v>
      </c>
      <c r="H21128" s="185"/>
    </row>
    <row r="21129">
      <c r="D21129" s="185"/>
      <c r="E21129" s="185" t="s">
        <v>470</v>
      </c>
      <c r="H21129" s="185"/>
    </row>
    <row r="21130">
      <c r="D21130" s="185"/>
      <c r="E21130" s="185" t="s">
        <v>470</v>
      </c>
      <c r="H21130" s="185"/>
    </row>
    <row r="21131">
      <c r="D21131" s="185"/>
      <c r="E21131" s="185" t="s">
        <v>470</v>
      </c>
      <c r="H21131" s="185"/>
    </row>
    <row r="21132">
      <c r="D21132" s="185"/>
      <c r="E21132" s="185" t="s">
        <v>470</v>
      </c>
      <c r="H21132" s="185"/>
    </row>
    <row r="21133">
      <c r="D21133" s="185"/>
      <c r="E21133" s="185" t="s">
        <v>470</v>
      </c>
      <c r="H21133" s="185"/>
    </row>
    <row r="21134">
      <c r="D21134" s="185"/>
      <c r="E21134" s="185" t="s">
        <v>470</v>
      </c>
      <c r="H21134" s="185"/>
    </row>
    <row r="21135">
      <c r="D21135" s="185"/>
      <c r="E21135" s="185" t="s">
        <v>470</v>
      </c>
      <c r="H21135" s="185"/>
    </row>
    <row r="21136">
      <c r="D21136" s="185"/>
      <c r="E21136" s="185" t="s">
        <v>470</v>
      </c>
      <c r="H21136" s="185"/>
    </row>
    <row r="21137">
      <c r="D21137" s="185"/>
      <c r="E21137" s="185" t="s">
        <v>470</v>
      </c>
      <c r="H21137" s="185"/>
    </row>
    <row r="21138">
      <c r="D21138" s="185"/>
      <c r="E21138" s="185" t="s">
        <v>470</v>
      </c>
      <c r="H21138" s="185"/>
    </row>
    <row r="21139">
      <c r="D21139" s="185"/>
      <c r="E21139" s="185" t="s">
        <v>470</v>
      </c>
      <c r="H21139" s="185"/>
    </row>
    <row r="21140">
      <c r="D21140" s="185"/>
      <c r="E21140" s="185" t="s">
        <v>470</v>
      </c>
      <c r="H21140" s="185"/>
    </row>
    <row r="21141">
      <c r="D21141" s="185"/>
      <c r="E21141" s="185" t="s">
        <v>470</v>
      </c>
      <c r="H21141" s="185"/>
    </row>
    <row r="21142">
      <c r="D21142" s="185"/>
      <c r="E21142" s="185" t="s">
        <v>470</v>
      </c>
      <c r="H21142" s="185"/>
    </row>
    <row r="21143">
      <c r="D21143" s="185"/>
      <c r="E21143" s="185" t="s">
        <v>470</v>
      </c>
      <c r="H21143" s="185"/>
    </row>
    <row r="21144">
      <c r="D21144" s="185"/>
      <c r="E21144" s="185" t="s">
        <v>470</v>
      </c>
      <c r="H21144" s="185"/>
    </row>
    <row r="21145">
      <c r="D21145" s="185"/>
      <c r="E21145" s="185" t="s">
        <v>470</v>
      </c>
      <c r="H21145" s="185"/>
    </row>
    <row r="21146">
      <c r="D21146" s="185"/>
      <c r="E21146" s="185" t="s">
        <v>470</v>
      </c>
      <c r="H21146" s="185"/>
    </row>
    <row r="21147">
      <c r="D21147" s="185"/>
      <c r="E21147" s="185" t="s">
        <v>470</v>
      </c>
      <c r="H21147" s="185"/>
    </row>
    <row r="21148">
      <c r="D21148" s="185"/>
      <c r="E21148" s="185" t="s">
        <v>470</v>
      </c>
      <c r="H21148" s="185"/>
    </row>
    <row r="21149">
      <c r="D21149" s="185"/>
      <c r="E21149" s="185" t="s">
        <v>470</v>
      </c>
      <c r="H21149" s="185"/>
    </row>
    <row r="21150">
      <c r="D21150" s="185"/>
      <c r="E21150" s="185" t="s">
        <v>470</v>
      </c>
      <c r="H21150" s="185"/>
    </row>
    <row r="21151">
      <c r="D21151" s="185"/>
      <c r="E21151" s="185" t="s">
        <v>470</v>
      </c>
      <c r="H21151" s="185"/>
    </row>
    <row r="21152">
      <c r="D21152" s="185"/>
      <c r="E21152" s="185" t="s">
        <v>470</v>
      </c>
      <c r="H21152" s="185"/>
    </row>
    <row r="21153">
      <c r="D21153" s="185"/>
      <c r="E21153" s="185" t="s">
        <v>470</v>
      </c>
      <c r="H21153" s="185"/>
    </row>
    <row r="21154">
      <c r="D21154" s="185"/>
      <c r="E21154" s="185" t="s">
        <v>470</v>
      </c>
      <c r="H21154" s="185"/>
    </row>
    <row r="21155">
      <c r="D21155" s="185"/>
      <c r="E21155" s="185" t="s">
        <v>470</v>
      </c>
      <c r="H21155" s="185"/>
    </row>
    <row r="21156">
      <c r="D21156" s="185"/>
      <c r="E21156" s="185" t="s">
        <v>470</v>
      </c>
      <c r="H21156" s="185"/>
    </row>
    <row r="21157">
      <c r="D21157" s="185"/>
      <c r="E21157" s="185" t="s">
        <v>470</v>
      </c>
      <c r="H21157" s="185"/>
    </row>
    <row r="21158">
      <c r="D21158" s="185"/>
      <c r="E21158" s="185" t="s">
        <v>470</v>
      </c>
      <c r="H21158" s="185"/>
    </row>
    <row r="21159">
      <c r="D21159" s="185"/>
      <c r="E21159" s="185" t="s">
        <v>470</v>
      </c>
      <c r="H21159" s="185"/>
    </row>
    <row r="21160">
      <c r="D21160" s="185"/>
      <c r="E21160" s="185" t="s">
        <v>470</v>
      </c>
      <c r="H21160" s="185"/>
    </row>
    <row r="21161">
      <c r="D21161" s="185"/>
      <c r="E21161" s="185" t="s">
        <v>470</v>
      </c>
      <c r="H21161" s="185"/>
    </row>
    <row r="21162">
      <c r="D21162" s="185"/>
      <c r="E21162" s="185" t="s">
        <v>470</v>
      </c>
      <c r="H21162" s="185"/>
    </row>
    <row r="21163">
      <c r="D21163" s="185"/>
      <c r="E21163" s="185" t="s">
        <v>470</v>
      </c>
      <c r="H21163" s="185"/>
    </row>
    <row r="21164">
      <c r="D21164" s="185"/>
      <c r="E21164" s="185" t="s">
        <v>470</v>
      </c>
      <c r="H21164" s="185"/>
    </row>
    <row r="21165">
      <c r="D21165" s="185"/>
      <c r="E21165" s="185" t="s">
        <v>470</v>
      </c>
      <c r="H21165" s="185"/>
    </row>
    <row r="21166">
      <c r="D21166" s="185"/>
      <c r="E21166" s="185" t="s">
        <v>470</v>
      </c>
      <c r="H21166" s="185"/>
    </row>
    <row r="21167">
      <c r="D21167" s="185"/>
      <c r="E21167" s="185" t="s">
        <v>470</v>
      </c>
      <c r="H21167" s="185"/>
    </row>
    <row r="21168">
      <c r="D21168" s="185"/>
      <c r="E21168" s="185" t="s">
        <v>470</v>
      </c>
      <c r="H21168" s="185"/>
    </row>
    <row r="21169">
      <c r="D21169" s="185"/>
      <c r="E21169" s="185" t="s">
        <v>470</v>
      </c>
      <c r="H21169" s="185"/>
    </row>
    <row r="21170">
      <c r="D21170" s="185"/>
      <c r="E21170" s="185" t="s">
        <v>470</v>
      </c>
      <c r="H21170" s="185"/>
    </row>
    <row r="21171">
      <c r="D21171" s="185"/>
      <c r="E21171" s="185" t="s">
        <v>470</v>
      </c>
      <c r="H21171" s="185"/>
    </row>
    <row r="21172">
      <c r="D21172" s="185"/>
      <c r="E21172" s="185" t="s">
        <v>470</v>
      </c>
      <c r="H21172" s="185"/>
    </row>
    <row r="21173">
      <c r="D21173" s="185"/>
      <c r="E21173" s="185" t="s">
        <v>470</v>
      </c>
      <c r="H21173" s="185"/>
    </row>
    <row r="21174">
      <c r="D21174" s="185"/>
      <c r="E21174" s="185" t="s">
        <v>470</v>
      </c>
      <c r="H21174" s="185"/>
    </row>
    <row r="21175">
      <c r="D21175" s="185"/>
      <c r="E21175" s="185" t="s">
        <v>470</v>
      </c>
      <c r="H21175" s="185"/>
    </row>
    <row r="21176">
      <c r="D21176" s="185"/>
      <c r="E21176" s="185" t="s">
        <v>470</v>
      </c>
      <c r="H21176" s="185"/>
    </row>
    <row r="21177">
      <c r="D21177" s="185"/>
      <c r="E21177" s="185" t="s">
        <v>470</v>
      </c>
      <c r="H21177" s="185"/>
    </row>
    <row r="21178">
      <c r="D21178" s="185"/>
      <c r="E21178" s="185" t="s">
        <v>470</v>
      </c>
      <c r="H21178" s="185"/>
    </row>
    <row r="21179">
      <c r="D21179" s="185"/>
      <c r="E21179" s="185" t="s">
        <v>470</v>
      </c>
      <c r="H21179" s="185"/>
    </row>
    <row r="21180">
      <c r="D21180" s="185"/>
      <c r="E21180" s="185" t="s">
        <v>470</v>
      </c>
      <c r="H21180" s="185"/>
    </row>
    <row r="21181">
      <c r="D21181" s="185"/>
      <c r="E21181" s="185" t="s">
        <v>470</v>
      </c>
      <c r="H21181" s="185"/>
    </row>
    <row r="21182">
      <c r="D21182" s="185"/>
      <c r="E21182" s="185" t="s">
        <v>470</v>
      </c>
      <c r="H21182" s="185"/>
    </row>
    <row r="21183">
      <c r="D21183" s="185"/>
      <c r="E21183" s="185" t="s">
        <v>470</v>
      </c>
      <c r="H21183" s="185"/>
    </row>
    <row r="21184">
      <c r="D21184" s="185"/>
      <c r="E21184" s="185" t="s">
        <v>470</v>
      </c>
      <c r="H21184" s="185"/>
    </row>
    <row r="21185">
      <c r="D21185" s="185"/>
      <c r="E21185" s="185" t="s">
        <v>470</v>
      </c>
      <c r="H21185" s="185"/>
    </row>
    <row r="21186">
      <c r="D21186" s="185"/>
      <c r="E21186" s="185" t="s">
        <v>470</v>
      </c>
      <c r="H21186" s="185"/>
    </row>
    <row r="21187">
      <c r="D21187" s="185"/>
      <c r="E21187" s="185" t="s">
        <v>470</v>
      </c>
      <c r="H21187" s="185"/>
    </row>
    <row r="21188">
      <c r="D21188" s="185"/>
      <c r="E21188" s="185" t="s">
        <v>470</v>
      </c>
      <c r="H21188" s="185"/>
    </row>
    <row r="21189">
      <c r="D21189" s="185"/>
      <c r="E21189" s="185" t="s">
        <v>470</v>
      </c>
      <c r="H21189" s="185"/>
    </row>
    <row r="21190">
      <c r="D21190" s="185"/>
      <c r="E21190" s="185" t="s">
        <v>470</v>
      </c>
      <c r="H21190" s="185"/>
    </row>
    <row r="21191">
      <c r="D21191" s="185"/>
      <c r="E21191" s="185" t="s">
        <v>470</v>
      </c>
      <c r="H21191" s="185"/>
    </row>
    <row r="21192">
      <c r="D21192" s="185"/>
      <c r="E21192" s="185" t="s">
        <v>470</v>
      </c>
      <c r="H21192" s="185"/>
    </row>
    <row r="21193">
      <c r="D21193" s="185"/>
      <c r="E21193" s="185" t="s">
        <v>470</v>
      </c>
      <c r="H21193" s="185"/>
    </row>
    <row r="21194">
      <c r="D21194" s="185"/>
      <c r="E21194" s="185" t="s">
        <v>470</v>
      </c>
      <c r="H21194" s="185"/>
    </row>
    <row r="21195">
      <c r="D21195" s="185"/>
      <c r="E21195" s="185" t="s">
        <v>470</v>
      </c>
      <c r="H21195" s="185"/>
    </row>
    <row r="21196">
      <c r="D21196" s="185"/>
      <c r="E21196" s="185" t="s">
        <v>470</v>
      </c>
      <c r="H21196" s="185"/>
    </row>
    <row r="21197">
      <c r="D21197" s="185"/>
      <c r="E21197" s="185" t="s">
        <v>470</v>
      </c>
      <c r="H21197" s="185"/>
    </row>
    <row r="21198">
      <c r="D21198" s="185"/>
      <c r="E21198" s="185" t="s">
        <v>470</v>
      </c>
      <c r="H21198" s="185"/>
    </row>
    <row r="21199">
      <c r="D21199" s="185"/>
      <c r="E21199" s="185" t="s">
        <v>470</v>
      </c>
      <c r="H21199" s="185"/>
    </row>
    <row r="21200">
      <c r="D21200" s="185"/>
      <c r="E21200" s="185" t="s">
        <v>470</v>
      </c>
      <c r="H21200" s="185"/>
    </row>
    <row r="21201">
      <c r="D21201" s="185"/>
      <c r="E21201" s="185" t="s">
        <v>470</v>
      </c>
      <c r="H21201" s="185"/>
    </row>
    <row r="21202">
      <c r="D21202" s="185"/>
      <c r="E21202" s="185" t="s">
        <v>470</v>
      </c>
      <c r="H21202" s="185"/>
    </row>
    <row r="21203">
      <c r="D21203" s="185"/>
      <c r="E21203" s="185" t="s">
        <v>470</v>
      </c>
      <c r="H21203" s="185"/>
    </row>
    <row r="21204">
      <c r="D21204" s="185"/>
      <c r="E21204" s="185" t="s">
        <v>470</v>
      </c>
      <c r="H21204" s="185"/>
    </row>
    <row r="21205">
      <c r="D21205" s="185"/>
      <c r="E21205" s="185" t="s">
        <v>470</v>
      </c>
      <c r="H21205" s="185"/>
    </row>
    <row r="21206">
      <c r="D21206" s="185"/>
      <c r="E21206" s="185" t="s">
        <v>470</v>
      </c>
      <c r="H21206" s="185"/>
    </row>
    <row r="21207">
      <c r="D21207" s="185"/>
      <c r="E21207" s="185" t="s">
        <v>470</v>
      </c>
      <c r="H21207" s="185"/>
    </row>
    <row r="21208">
      <c r="D21208" s="185"/>
      <c r="E21208" s="185" t="s">
        <v>470</v>
      </c>
      <c r="H21208" s="185"/>
    </row>
    <row r="21209">
      <c r="D21209" s="185"/>
      <c r="E21209" s="185" t="s">
        <v>470</v>
      </c>
      <c r="H21209" s="185"/>
    </row>
    <row r="21210">
      <c r="D21210" s="185"/>
      <c r="E21210" s="185" t="s">
        <v>470</v>
      </c>
      <c r="H21210" s="185"/>
    </row>
    <row r="21211">
      <c r="D21211" s="185"/>
      <c r="E21211" s="185" t="s">
        <v>470</v>
      </c>
      <c r="H21211" s="185"/>
    </row>
    <row r="21212">
      <c r="D21212" s="185"/>
      <c r="E21212" s="185" t="s">
        <v>470</v>
      </c>
      <c r="H21212" s="185"/>
    </row>
    <row r="21213">
      <c r="D21213" s="185"/>
      <c r="E21213" s="185" t="s">
        <v>470</v>
      </c>
      <c r="H21213" s="185"/>
    </row>
    <row r="21214">
      <c r="D21214" s="185"/>
      <c r="E21214" s="185" t="s">
        <v>470</v>
      </c>
      <c r="H21214" s="185"/>
    </row>
    <row r="21215">
      <c r="D21215" s="185"/>
      <c r="E21215" s="185" t="s">
        <v>470</v>
      </c>
      <c r="H21215" s="185"/>
    </row>
    <row r="21216">
      <c r="D21216" s="185"/>
      <c r="E21216" s="185" t="s">
        <v>470</v>
      </c>
      <c r="H21216" s="185"/>
    </row>
    <row r="21217">
      <c r="D21217" s="185"/>
      <c r="E21217" s="185" t="s">
        <v>470</v>
      </c>
      <c r="H21217" s="185"/>
    </row>
    <row r="21218">
      <c r="D21218" s="185"/>
      <c r="E21218" s="185" t="s">
        <v>470</v>
      </c>
      <c r="H21218" s="185"/>
    </row>
    <row r="21219">
      <c r="D21219" s="185"/>
      <c r="E21219" s="185" t="s">
        <v>470</v>
      </c>
      <c r="H21219" s="185"/>
    </row>
    <row r="21220">
      <c r="D21220" s="185"/>
      <c r="E21220" s="185" t="s">
        <v>470</v>
      </c>
      <c r="H21220" s="185"/>
    </row>
    <row r="21221">
      <c r="D21221" s="185"/>
      <c r="E21221" s="185" t="s">
        <v>470</v>
      </c>
      <c r="H21221" s="185"/>
    </row>
    <row r="21222">
      <c r="D21222" s="185"/>
      <c r="E21222" s="185" t="s">
        <v>470</v>
      </c>
      <c r="H21222" s="185"/>
    </row>
    <row r="21223">
      <c r="D21223" s="185"/>
      <c r="E21223" s="185" t="s">
        <v>470</v>
      </c>
      <c r="H21223" s="185"/>
    </row>
    <row r="21224">
      <c r="D21224" s="185"/>
      <c r="E21224" s="185" t="s">
        <v>470</v>
      </c>
      <c r="H21224" s="185"/>
    </row>
    <row r="21225">
      <c r="D21225" s="185"/>
      <c r="E21225" s="185" t="s">
        <v>470</v>
      </c>
      <c r="H21225" s="185"/>
    </row>
    <row r="21226">
      <c r="D21226" s="185"/>
      <c r="E21226" s="185" t="s">
        <v>470</v>
      </c>
      <c r="H21226" s="185"/>
    </row>
    <row r="21227">
      <c r="D21227" s="185"/>
      <c r="E21227" s="185" t="s">
        <v>470</v>
      </c>
      <c r="H21227" s="185"/>
    </row>
    <row r="21228">
      <c r="D21228" s="185"/>
      <c r="E21228" s="185" t="s">
        <v>470</v>
      </c>
      <c r="H21228" s="185"/>
    </row>
    <row r="21229">
      <c r="D21229" s="185"/>
      <c r="E21229" s="185" t="s">
        <v>470</v>
      </c>
      <c r="H21229" s="185"/>
    </row>
    <row r="21230">
      <c r="D21230" s="185"/>
      <c r="E21230" s="185" t="s">
        <v>470</v>
      </c>
      <c r="H21230" s="185"/>
    </row>
    <row r="21231">
      <c r="D21231" s="185"/>
      <c r="E21231" s="185" t="s">
        <v>470</v>
      </c>
      <c r="H21231" s="185"/>
    </row>
    <row r="21232">
      <c r="D21232" s="185"/>
      <c r="E21232" s="185" t="s">
        <v>470</v>
      </c>
      <c r="H21232" s="185"/>
    </row>
    <row r="21233">
      <c r="D21233" s="185"/>
      <c r="E21233" s="185" t="s">
        <v>470</v>
      </c>
      <c r="H21233" s="185"/>
    </row>
    <row r="21234">
      <c r="D21234" s="185"/>
      <c r="E21234" s="185" t="s">
        <v>470</v>
      </c>
      <c r="H21234" s="185"/>
    </row>
    <row r="21235">
      <c r="D21235" s="185"/>
      <c r="E21235" s="185" t="s">
        <v>470</v>
      </c>
      <c r="H21235" s="185"/>
    </row>
    <row r="21236">
      <c r="D21236" s="185"/>
      <c r="E21236" s="185" t="s">
        <v>470</v>
      </c>
      <c r="H21236" s="185"/>
    </row>
    <row r="21237">
      <c r="D21237" s="185"/>
      <c r="E21237" s="185" t="s">
        <v>470</v>
      </c>
      <c r="H21237" s="185"/>
    </row>
    <row r="21238">
      <c r="D21238" s="185"/>
      <c r="E21238" s="185" t="s">
        <v>470</v>
      </c>
      <c r="H21238" s="185"/>
    </row>
    <row r="21239">
      <c r="D21239" s="185"/>
      <c r="E21239" s="185" t="s">
        <v>470</v>
      </c>
      <c r="H21239" s="185"/>
    </row>
    <row r="21240">
      <c r="D21240" s="185"/>
      <c r="E21240" s="185" t="s">
        <v>470</v>
      </c>
      <c r="H21240" s="185"/>
    </row>
    <row r="21241">
      <c r="D21241" s="185"/>
      <c r="E21241" s="185" t="s">
        <v>470</v>
      </c>
      <c r="H21241" s="185"/>
    </row>
    <row r="21242">
      <c r="D21242" s="185"/>
      <c r="E21242" s="185" t="s">
        <v>470</v>
      </c>
      <c r="H21242" s="185"/>
    </row>
    <row r="21243">
      <c r="D21243" s="185"/>
      <c r="E21243" s="185" t="s">
        <v>470</v>
      </c>
      <c r="H21243" s="185"/>
    </row>
    <row r="21244">
      <c r="D21244" s="185"/>
      <c r="E21244" s="185" t="s">
        <v>470</v>
      </c>
      <c r="H21244" s="185"/>
    </row>
    <row r="21245">
      <c r="D21245" s="185"/>
      <c r="E21245" s="185" t="s">
        <v>470</v>
      </c>
      <c r="H21245" s="185"/>
    </row>
    <row r="21246">
      <c r="D21246" s="185"/>
      <c r="E21246" s="185" t="s">
        <v>470</v>
      </c>
      <c r="H21246" s="185"/>
    </row>
    <row r="21247">
      <c r="D21247" s="185"/>
      <c r="E21247" s="185" t="s">
        <v>470</v>
      </c>
      <c r="H21247" s="185"/>
    </row>
    <row r="21248">
      <c r="D21248" s="185"/>
      <c r="E21248" s="185" t="s">
        <v>470</v>
      </c>
      <c r="H21248" s="185"/>
    </row>
    <row r="21249">
      <c r="D21249" s="185"/>
      <c r="E21249" s="185" t="s">
        <v>470</v>
      </c>
      <c r="H21249" s="185"/>
    </row>
    <row r="21250">
      <c r="D21250" s="185"/>
      <c r="E21250" s="185" t="s">
        <v>470</v>
      </c>
      <c r="H21250" s="185"/>
    </row>
    <row r="21251">
      <c r="D21251" s="185"/>
      <c r="E21251" s="185" t="s">
        <v>470</v>
      </c>
      <c r="H21251" s="185"/>
    </row>
    <row r="21252">
      <c r="D21252" s="185"/>
      <c r="E21252" s="185" t="s">
        <v>470</v>
      </c>
      <c r="H21252" s="185"/>
    </row>
    <row r="21253">
      <c r="D21253" s="185"/>
      <c r="E21253" s="185" t="s">
        <v>470</v>
      </c>
      <c r="H21253" s="185"/>
    </row>
    <row r="21254">
      <c r="D21254" s="185"/>
      <c r="E21254" s="185" t="s">
        <v>470</v>
      </c>
      <c r="H21254" s="185"/>
    </row>
    <row r="21255">
      <c r="D21255" s="185"/>
      <c r="E21255" s="185" t="s">
        <v>470</v>
      </c>
      <c r="H21255" s="185"/>
    </row>
    <row r="21256">
      <c r="D21256" s="185"/>
      <c r="E21256" s="185" t="s">
        <v>470</v>
      </c>
      <c r="H21256" s="185"/>
    </row>
    <row r="21257">
      <c r="D21257" s="185"/>
      <c r="E21257" s="185" t="s">
        <v>470</v>
      </c>
      <c r="H21257" s="185"/>
    </row>
    <row r="21258">
      <c r="D21258" s="185"/>
      <c r="E21258" s="185" t="s">
        <v>470</v>
      </c>
      <c r="H21258" s="185"/>
    </row>
    <row r="21259">
      <c r="D21259" s="185"/>
      <c r="E21259" s="185" t="s">
        <v>470</v>
      </c>
      <c r="H21259" s="185"/>
    </row>
    <row r="21260">
      <c r="D21260" s="185"/>
      <c r="E21260" s="185" t="s">
        <v>470</v>
      </c>
      <c r="H21260" s="185"/>
    </row>
    <row r="21261">
      <c r="D21261" s="185"/>
      <c r="E21261" s="185" t="s">
        <v>470</v>
      </c>
      <c r="H21261" s="185"/>
    </row>
    <row r="21262">
      <c r="D21262" s="185"/>
      <c r="E21262" s="185" t="s">
        <v>470</v>
      </c>
      <c r="H21262" s="185"/>
    </row>
    <row r="21263">
      <c r="D21263" s="185"/>
      <c r="E21263" s="185" t="s">
        <v>470</v>
      </c>
      <c r="H21263" s="185"/>
    </row>
    <row r="21264">
      <c r="D21264" s="185"/>
      <c r="E21264" s="185" t="s">
        <v>470</v>
      </c>
      <c r="H21264" s="185"/>
    </row>
    <row r="21265">
      <c r="D21265" s="185"/>
      <c r="E21265" s="185" t="s">
        <v>470</v>
      </c>
      <c r="H21265" s="185"/>
    </row>
    <row r="21266">
      <c r="D21266" s="185"/>
      <c r="E21266" s="185" t="s">
        <v>470</v>
      </c>
      <c r="H21266" s="185"/>
    </row>
    <row r="21267">
      <c r="D21267" s="185"/>
      <c r="E21267" s="185" t="s">
        <v>470</v>
      </c>
      <c r="H21267" s="185"/>
    </row>
    <row r="21268">
      <c r="D21268" s="185"/>
      <c r="E21268" s="185" t="s">
        <v>470</v>
      </c>
      <c r="H21268" s="185"/>
    </row>
    <row r="21269">
      <c r="D21269" s="185"/>
      <c r="E21269" s="185" t="s">
        <v>470</v>
      </c>
      <c r="H21269" s="185"/>
    </row>
    <row r="21270">
      <c r="D21270" s="185"/>
      <c r="E21270" s="185" t="s">
        <v>470</v>
      </c>
      <c r="H21270" s="185"/>
    </row>
    <row r="21271">
      <c r="D21271" s="185"/>
      <c r="E21271" s="185" t="s">
        <v>470</v>
      </c>
      <c r="H21271" s="185"/>
    </row>
    <row r="21272">
      <c r="D21272" s="185"/>
      <c r="E21272" s="185" t="s">
        <v>470</v>
      </c>
      <c r="H21272" s="185"/>
    </row>
    <row r="21273">
      <c r="D21273" s="185"/>
      <c r="E21273" s="185" t="s">
        <v>470</v>
      </c>
      <c r="H21273" s="185"/>
    </row>
    <row r="21274">
      <c r="D21274" s="185"/>
      <c r="E21274" s="185" t="s">
        <v>470</v>
      </c>
      <c r="H21274" s="185"/>
    </row>
    <row r="21275">
      <c r="D21275" s="185"/>
      <c r="E21275" s="185" t="s">
        <v>470</v>
      </c>
      <c r="H21275" s="185"/>
    </row>
    <row r="21276">
      <c r="D21276" s="185"/>
      <c r="E21276" s="185" t="s">
        <v>470</v>
      </c>
      <c r="H21276" s="185"/>
    </row>
    <row r="21277">
      <c r="D21277" s="185"/>
      <c r="E21277" s="185" t="s">
        <v>470</v>
      </c>
      <c r="H21277" s="185"/>
    </row>
    <row r="21278">
      <c r="D21278" s="185"/>
      <c r="E21278" s="185" t="s">
        <v>470</v>
      </c>
      <c r="H21278" s="185"/>
    </row>
    <row r="21279">
      <c r="D21279" s="185"/>
      <c r="E21279" s="185" t="s">
        <v>470</v>
      </c>
      <c r="H21279" s="185"/>
    </row>
    <row r="21280">
      <c r="D21280" s="185"/>
      <c r="E21280" s="185" t="s">
        <v>470</v>
      </c>
      <c r="H21280" s="185"/>
    </row>
    <row r="21281">
      <c r="D21281" s="185"/>
      <c r="E21281" s="185" t="s">
        <v>470</v>
      </c>
      <c r="H21281" s="185"/>
    </row>
    <row r="21282">
      <c r="D21282" s="185"/>
      <c r="E21282" s="185" t="s">
        <v>470</v>
      </c>
      <c r="H21282" s="185"/>
    </row>
    <row r="21283">
      <c r="D21283" s="185"/>
      <c r="E21283" s="185" t="s">
        <v>470</v>
      </c>
      <c r="H21283" s="185"/>
    </row>
    <row r="21284">
      <c r="D21284" s="185"/>
      <c r="E21284" s="185" t="s">
        <v>470</v>
      </c>
      <c r="H21284" s="185"/>
    </row>
    <row r="21285">
      <c r="D21285" s="185"/>
      <c r="E21285" s="185" t="s">
        <v>470</v>
      </c>
      <c r="H21285" s="185"/>
    </row>
    <row r="21286">
      <c r="D21286" s="185"/>
      <c r="E21286" s="185" t="s">
        <v>470</v>
      </c>
      <c r="H21286" s="185"/>
    </row>
    <row r="21287">
      <c r="D21287" s="185"/>
      <c r="E21287" s="185" t="s">
        <v>470</v>
      </c>
      <c r="H21287" s="185"/>
    </row>
    <row r="21288">
      <c r="D21288" s="185"/>
      <c r="E21288" s="185" t="s">
        <v>470</v>
      </c>
      <c r="H21288" s="185"/>
    </row>
    <row r="21289">
      <c r="D21289" s="185"/>
      <c r="E21289" s="185" t="s">
        <v>470</v>
      </c>
      <c r="H21289" s="185"/>
    </row>
    <row r="21290">
      <c r="D21290" s="185"/>
      <c r="E21290" s="185" t="s">
        <v>470</v>
      </c>
      <c r="H21290" s="185"/>
    </row>
    <row r="21291">
      <c r="D21291" s="185"/>
      <c r="E21291" s="185" t="s">
        <v>470</v>
      </c>
      <c r="H21291" s="185"/>
    </row>
    <row r="21292">
      <c r="D21292" s="185"/>
      <c r="E21292" s="185" t="s">
        <v>470</v>
      </c>
      <c r="H21292" s="185"/>
    </row>
    <row r="21293">
      <c r="D21293" s="185"/>
      <c r="E21293" s="185" t="s">
        <v>470</v>
      </c>
      <c r="H21293" s="185"/>
    </row>
    <row r="21294">
      <c r="D21294" s="185"/>
      <c r="E21294" s="185" t="s">
        <v>470</v>
      </c>
      <c r="H21294" s="185"/>
    </row>
    <row r="21295">
      <c r="D21295" s="185"/>
      <c r="E21295" s="185" t="s">
        <v>470</v>
      </c>
      <c r="H21295" s="185"/>
    </row>
    <row r="21296">
      <c r="D21296" s="185"/>
      <c r="E21296" s="185" t="s">
        <v>470</v>
      </c>
      <c r="H21296" s="185"/>
    </row>
    <row r="21297">
      <c r="D21297" s="185"/>
      <c r="E21297" s="185" t="s">
        <v>470</v>
      </c>
      <c r="H21297" s="185"/>
    </row>
    <row r="21298">
      <c r="D21298" s="185"/>
      <c r="E21298" s="185" t="s">
        <v>470</v>
      </c>
      <c r="H21298" s="185"/>
    </row>
    <row r="21299">
      <c r="D21299" s="185"/>
      <c r="E21299" s="185" t="s">
        <v>470</v>
      </c>
      <c r="H21299" s="185"/>
    </row>
    <row r="21300">
      <c r="D21300" s="185"/>
      <c r="E21300" s="185" t="s">
        <v>470</v>
      </c>
      <c r="H21300" s="185"/>
    </row>
    <row r="21301">
      <c r="D21301" s="185"/>
      <c r="E21301" s="185" t="s">
        <v>470</v>
      </c>
      <c r="H21301" s="185"/>
    </row>
    <row r="21302">
      <c r="D21302" s="185"/>
      <c r="E21302" s="185" t="s">
        <v>470</v>
      </c>
      <c r="H21302" s="185"/>
    </row>
    <row r="21303">
      <c r="D21303" s="185"/>
      <c r="E21303" s="185" t="s">
        <v>470</v>
      </c>
      <c r="H21303" s="185"/>
    </row>
    <row r="21304">
      <c r="D21304" s="185"/>
      <c r="E21304" s="185" t="s">
        <v>470</v>
      </c>
      <c r="H21304" s="185"/>
    </row>
    <row r="21305">
      <c r="D21305" s="185"/>
      <c r="E21305" s="185" t="s">
        <v>470</v>
      </c>
      <c r="H21305" s="185"/>
    </row>
    <row r="21306">
      <c r="D21306" s="185"/>
      <c r="E21306" s="185" t="s">
        <v>470</v>
      </c>
      <c r="H21306" s="185"/>
    </row>
    <row r="21307">
      <c r="D21307" s="185"/>
      <c r="E21307" s="185" t="s">
        <v>470</v>
      </c>
      <c r="H21307" s="185"/>
    </row>
    <row r="21308">
      <c r="D21308" s="185"/>
      <c r="E21308" s="185" t="s">
        <v>470</v>
      </c>
      <c r="H21308" s="185"/>
    </row>
    <row r="21309">
      <c r="D21309" s="185"/>
      <c r="E21309" s="185" t="s">
        <v>470</v>
      </c>
      <c r="H21309" s="185"/>
    </row>
    <row r="21310">
      <c r="D21310" s="185"/>
      <c r="E21310" s="185" t="s">
        <v>470</v>
      </c>
      <c r="H21310" s="185"/>
    </row>
    <row r="21311">
      <c r="D21311" s="185"/>
      <c r="E21311" s="185" t="s">
        <v>470</v>
      </c>
      <c r="H21311" s="185"/>
    </row>
    <row r="21312">
      <c r="D21312" s="185"/>
      <c r="E21312" s="185" t="s">
        <v>470</v>
      </c>
      <c r="H21312" s="185"/>
    </row>
    <row r="21313">
      <c r="D21313" s="185"/>
      <c r="E21313" s="185" t="s">
        <v>470</v>
      </c>
      <c r="H21313" s="185"/>
    </row>
    <row r="21314">
      <c r="D21314" s="185"/>
      <c r="E21314" s="185" t="s">
        <v>470</v>
      </c>
      <c r="H21314" s="185"/>
    </row>
    <row r="21315">
      <c r="D21315" s="185"/>
      <c r="E21315" s="185" t="s">
        <v>470</v>
      </c>
      <c r="H21315" s="185"/>
    </row>
    <row r="21316">
      <c r="D21316" s="185"/>
      <c r="E21316" s="185" t="s">
        <v>470</v>
      </c>
      <c r="H21316" s="185"/>
    </row>
    <row r="21317">
      <c r="D21317" s="185"/>
      <c r="E21317" s="185" t="s">
        <v>470</v>
      </c>
      <c r="H21317" s="185"/>
    </row>
    <row r="21318">
      <c r="D21318" s="185"/>
      <c r="E21318" s="185" t="s">
        <v>470</v>
      </c>
      <c r="H21318" s="185"/>
    </row>
    <row r="21319">
      <c r="D21319" s="185"/>
      <c r="E21319" s="185" t="s">
        <v>470</v>
      </c>
      <c r="H21319" s="185"/>
    </row>
    <row r="21320">
      <c r="D21320" s="185"/>
      <c r="E21320" s="185" t="s">
        <v>470</v>
      </c>
      <c r="H21320" s="185"/>
    </row>
    <row r="21321">
      <c r="D21321" s="185"/>
      <c r="E21321" s="185" t="s">
        <v>470</v>
      </c>
      <c r="H21321" s="185"/>
    </row>
    <row r="21322">
      <c r="D21322" s="185"/>
      <c r="E21322" s="185" t="s">
        <v>470</v>
      </c>
      <c r="H21322" s="185"/>
    </row>
    <row r="21323">
      <c r="D21323" s="185"/>
      <c r="E21323" s="185" t="s">
        <v>470</v>
      </c>
      <c r="H21323" s="185"/>
    </row>
    <row r="21324">
      <c r="D21324" s="185"/>
      <c r="E21324" s="185" t="s">
        <v>470</v>
      </c>
      <c r="H21324" s="185"/>
    </row>
    <row r="21325">
      <c r="D21325" s="185"/>
      <c r="E21325" s="185" t="s">
        <v>470</v>
      </c>
      <c r="H21325" s="185"/>
    </row>
    <row r="21326">
      <c r="D21326" s="185"/>
      <c r="E21326" s="185" t="s">
        <v>470</v>
      </c>
      <c r="H21326" s="185"/>
    </row>
    <row r="21327">
      <c r="D21327" s="185"/>
      <c r="E21327" s="185" t="s">
        <v>470</v>
      </c>
      <c r="H21327" s="185"/>
    </row>
    <row r="21328">
      <c r="D21328" s="185"/>
      <c r="E21328" s="185" t="s">
        <v>470</v>
      </c>
      <c r="H21328" s="185"/>
    </row>
    <row r="21329">
      <c r="D21329" s="185"/>
      <c r="E21329" s="185" t="s">
        <v>470</v>
      </c>
      <c r="H21329" s="185"/>
    </row>
    <row r="21330">
      <c r="D21330" s="185"/>
      <c r="E21330" s="185" t="s">
        <v>470</v>
      </c>
      <c r="H21330" s="185"/>
    </row>
    <row r="21331">
      <c r="D21331" s="185"/>
      <c r="E21331" s="185" t="s">
        <v>470</v>
      </c>
      <c r="H21331" s="185"/>
    </row>
    <row r="21332">
      <c r="D21332" s="185"/>
      <c r="E21332" s="185" t="s">
        <v>470</v>
      </c>
      <c r="H21332" s="185"/>
    </row>
    <row r="21333">
      <c r="D21333" s="185"/>
      <c r="E21333" s="185" t="s">
        <v>470</v>
      </c>
      <c r="H21333" s="185"/>
    </row>
    <row r="21334">
      <c r="D21334" s="185"/>
      <c r="E21334" s="185" t="s">
        <v>470</v>
      </c>
      <c r="H21334" s="185"/>
    </row>
    <row r="21335">
      <c r="D21335" s="185"/>
      <c r="E21335" s="185" t="s">
        <v>470</v>
      </c>
      <c r="H21335" s="185"/>
    </row>
    <row r="21336">
      <c r="D21336" s="185"/>
      <c r="E21336" s="185" t="s">
        <v>470</v>
      </c>
      <c r="H21336" s="185"/>
    </row>
    <row r="21337">
      <c r="D21337" s="185"/>
      <c r="E21337" s="185" t="s">
        <v>470</v>
      </c>
      <c r="H21337" s="185"/>
    </row>
    <row r="21338">
      <c r="D21338" s="185"/>
      <c r="E21338" s="185" t="s">
        <v>470</v>
      </c>
      <c r="H21338" s="185"/>
    </row>
    <row r="21339">
      <c r="D21339" s="185"/>
      <c r="E21339" s="185" t="s">
        <v>470</v>
      </c>
      <c r="H21339" s="185"/>
    </row>
    <row r="21340">
      <c r="D21340" s="185"/>
      <c r="E21340" s="185" t="s">
        <v>470</v>
      </c>
      <c r="H21340" s="185"/>
    </row>
    <row r="21341">
      <c r="D21341" s="185"/>
      <c r="E21341" s="185" t="s">
        <v>470</v>
      </c>
      <c r="H21341" s="185"/>
    </row>
    <row r="21342">
      <c r="D21342" s="185"/>
      <c r="E21342" s="185" t="s">
        <v>470</v>
      </c>
      <c r="H21342" s="185"/>
    </row>
    <row r="21343">
      <c r="D21343" s="185"/>
      <c r="E21343" s="185" t="s">
        <v>470</v>
      </c>
      <c r="H21343" s="185"/>
    </row>
    <row r="21344">
      <c r="D21344" s="185"/>
      <c r="E21344" s="185" t="s">
        <v>470</v>
      </c>
      <c r="H21344" s="185"/>
    </row>
    <row r="21345">
      <c r="D21345" s="185"/>
      <c r="E21345" s="185" t="s">
        <v>470</v>
      </c>
      <c r="H21345" s="185"/>
    </row>
    <row r="21346">
      <c r="D21346" s="185"/>
      <c r="E21346" s="185" t="s">
        <v>470</v>
      </c>
      <c r="H21346" s="185"/>
    </row>
    <row r="21347">
      <c r="D21347" s="185"/>
      <c r="E21347" s="185" t="s">
        <v>470</v>
      </c>
      <c r="H21347" s="185"/>
    </row>
    <row r="21348">
      <c r="D21348" s="185"/>
      <c r="E21348" s="185" t="s">
        <v>470</v>
      </c>
      <c r="H21348" s="185"/>
    </row>
    <row r="21349">
      <c r="D21349" s="185"/>
      <c r="E21349" s="185" t="s">
        <v>470</v>
      </c>
      <c r="H21349" s="185"/>
    </row>
    <row r="21350">
      <c r="D21350" s="185"/>
      <c r="E21350" s="185" t="s">
        <v>470</v>
      </c>
      <c r="H21350" s="185"/>
    </row>
    <row r="21351">
      <c r="D21351" s="185"/>
      <c r="E21351" s="185" t="s">
        <v>470</v>
      </c>
      <c r="H21351" s="185"/>
    </row>
    <row r="21352">
      <c r="D21352" s="185"/>
      <c r="E21352" s="185" t="s">
        <v>470</v>
      </c>
      <c r="H21352" s="185"/>
    </row>
    <row r="21353">
      <c r="D21353" s="185"/>
      <c r="E21353" s="185" t="s">
        <v>470</v>
      </c>
      <c r="H21353" s="185"/>
    </row>
    <row r="21354">
      <c r="D21354" s="185"/>
      <c r="E21354" s="185" t="s">
        <v>470</v>
      </c>
      <c r="H21354" s="185"/>
    </row>
    <row r="21355">
      <c r="D21355" s="185"/>
      <c r="E21355" s="185" t="s">
        <v>470</v>
      </c>
      <c r="H21355" s="185"/>
    </row>
    <row r="21356">
      <c r="D21356" s="185"/>
      <c r="E21356" s="185" t="s">
        <v>470</v>
      </c>
      <c r="H21356" s="185"/>
    </row>
    <row r="21357">
      <c r="D21357" s="185"/>
      <c r="E21357" s="185" t="s">
        <v>470</v>
      </c>
      <c r="H21357" s="185"/>
    </row>
    <row r="21358">
      <c r="D21358" s="185"/>
      <c r="E21358" s="185" t="s">
        <v>470</v>
      </c>
      <c r="H21358" s="185"/>
    </row>
    <row r="21359">
      <c r="D21359" s="185"/>
      <c r="E21359" s="185" t="s">
        <v>470</v>
      </c>
      <c r="H21359" s="185"/>
    </row>
    <row r="21360">
      <c r="D21360" s="185"/>
      <c r="E21360" s="185" t="s">
        <v>470</v>
      </c>
      <c r="H21360" s="185"/>
    </row>
    <row r="21361">
      <c r="D21361" s="185"/>
      <c r="E21361" s="185" t="s">
        <v>470</v>
      </c>
      <c r="H21361" s="185"/>
    </row>
    <row r="21362">
      <c r="D21362" s="185"/>
      <c r="E21362" s="185" t="s">
        <v>470</v>
      </c>
      <c r="H21362" s="185"/>
    </row>
    <row r="21363">
      <c r="D21363" s="185"/>
      <c r="E21363" s="185" t="s">
        <v>470</v>
      </c>
      <c r="H21363" s="185"/>
    </row>
    <row r="21364">
      <c r="D21364" s="185"/>
      <c r="E21364" s="185" t="s">
        <v>470</v>
      </c>
      <c r="H21364" s="185"/>
    </row>
    <row r="21365">
      <c r="D21365" s="185"/>
      <c r="E21365" s="185" t="s">
        <v>470</v>
      </c>
      <c r="H21365" s="185"/>
    </row>
    <row r="21366">
      <c r="D21366" s="185"/>
      <c r="E21366" s="185" t="s">
        <v>470</v>
      </c>
      <c r="H21366" s="185"/>
    </row>
    <row r="21367">
      <c r="D21367" s="185"/>
      <c r="E21367" s="185" t="s">
        <v>470</v>
      </c>
      <c r="H21367" s="185"/>
    </row>
    <row r="21368">
      <c r="D21368" s="185"/>
      <c r="E21368" s="185" t="s">
        <v>470</v>
      </c>
      <c r="H21368" s="185"/>
    </row>
    <row r="21369">
      <c r="D21369" s="185"/>
      <c r="E21369" s="185" t="s">
        <v>470</v>
      </c>
      <c r="H21369" s="185"/>
    </row>
    <row r="21370">
      <c r="D21370" s="185"/>
      <c r="E21370" s="185" t="s">
        <v>470</v>
      </c>
      <c r="H21370" s="185"/>
    </row>
    <row r="21371">
      <c r="D21371" s="185"/>
      <c r="E21371" s="185" t="s">
        <v>470</v>
      </c>
      <c r="H21371" s="185"/>
    </row>
    <row r="21372">
      <c r="D21372" s="185"/>
      <c r="E21372" s="185" t="s">
        <v>470</v>
      </c>
      <c r="H21372" s="185"/>
    </row>
    <row r="21373">
      <c r="D21373" s="185"/>
      <c r="E21373" s="185" t="s">
        <v>470</v>
      </c>
      <c r="H21373" s="185"/>
    </row>
    <row r="21374">
      <c r="D21374" s="185"/>
      <c r="E21374" s="185" t="s">
        <v>470</v>
      </c>
      <c r="H21374" s="185"/>
    </row>
    <row r="21375">
      <c r="D21375" s="185"/>
      <c r="E21375" s="185" t="s">
        <v>470</v>
      </c>
      <c r="H21375" s="185"/>
    </row>
    <row r="21376">
      <c r="D21376" s="185"/>
      <c r="E21376" s="185" t="s">
        <v>470</v>
      </c>
      <c r="H21376" s="185"/>
    </row>
    <row r="21377">
      <c r="D21377" s="185"/>
      <c r="E21377" s="185" t="s">
        <v>470</v>
      </c>
      <c r="H21377" s="185"/>
    </row>
    <row r="21378">
      <c r="D21378" s="185"/>
      <c r="E21378" s="185" t="s">
        <v>470</v>
      </c>
      <c r="H21378" s="185"/>
    </row>
    <row r="21379">
      <c r="D21379" s="185"/>
      <c r="E21379" s="185" t="s">
        <v>470</v>
      </c>
      <c r="H21379" s="185"/>
    </row>
    <row r="21380">
      <c r="D21380" s="185"/>
      <c r="E21380" s="185" t="s">
        <v>470</v>
      </c>
      <c r="H21380" s="185"/>
    </row>
    <row r="21381">
      <c r="D21381" s="185"/>
      <c r="E21381" s="185" t="s">
        <v>470</v>
      </c>
      <c r="H21381" s="185"/>
    </row>
    <row r="21382">
      <c r="D21382" s="185"/>
      <c r="E21382" s="185" t="s">
        <v>470</v>
      </c>
      <c r="H21382" s="185"/>
    </row>
    <row r="21383">
      <c r="D21383" s="185"/>
      <c r="E21383" s="185" t="s">
        <v>470</v>
      </c>
      <c r="H21383" s="185"/>
    </row>
    <row r="21384">
      <c r="D21384" s="185"/>
      <c r="E21384" s="185" t="s">
        <v>470</v>
      </c>
      <c r="H21384" s="185"/>
    </row>
    <row r="21385">
      <c r="D21385" s="185"/>
      <c r="E21385" s="185" t="s">
        <v>470</v>
      </c>
      <c r="H21385" s="185"/>
    </row>
    <row r="21386">
      <c r="D21386" s="185"/>
      <c r="E21386" s="185" t="s">
        <v>470</v>
      </c>
      <c r="H21386" s="185"/>
    </row>
    <row r="21387">
      <c r="D21387" s="185"/>
      <c r="E21387" s="185" t="s">
        <v>470</v>
      </c>
      <c r="H21387" s="185"/>
    </row>
    <row r="21388">
      <c r="D21388" s="185"/>
      <c r="E21388" s="185" t="s">
        <v>470</v>
      </c>
      <c r="H21388" s="185"/>
    </row>
    <row r="21389">
      <c r="D21389" s="185"/>
      <c r="E21389" s="185" t="s">
        <v>470</v>
      </c>
      <c r="H21389" s="185"/>
    </row>
    <row r="21390">
      <c r="D21390" s="185"/>
      <c r="E21390" s="185" t="s">
        <v>470</v>
      </c>
      <c r="H21390" s="185"/>
    </row>
    <row r="21391">
      <c r="D21391" s="185"/>
      <c r="E21391" s="185" t="s">
        <v>470</v>
      </c>
      <c r="H21391" s="185"/>
    </row>
    <row r="21392">
      <c r="D21392" s="185"/>
      <c r="E21392" s="185" t="s">
        <v>470</v>
      </c>
      <c r="H21392" s="185"/>
    </row>
    <row r="21393">
      <c r="D21393" s="185"/>
      <c r="E21393" s="185" t="s">
        <v>470</v>
      </c>
      <c r="H21393" s="185"/>
    </row>
    <row r="21394">
      <c r="D21394" s="185"/>
      <c r="E21394" s="185" t="s">
        <v>470</v>
      </c>
      <c r="H21394" s="185"/>
    </row>
    <row r="21395">
      <c r="D21395" s="185"/>
      <c r="E21395" s="185" t="s">
        <v>470</v>
      </c>
      <c r="H21395" s="185"/>
    </row>
    <row r="21396">
      <c r="D21396" s="185"/>
      <c r="E21396" s="185" t="s">
        <v>470</v>
      </c>
      <c r="H21396" s="185"/>
    </row>
    <row r="21397">
      <c r="D21397" s="185"/>
      <c r="E21397" s="185" t="s">
        <v>470</v>
      </c>
      <c r="H21397" s="185"/>
    </row>
    <row r="21398">
      <c r="D21398" s="185"/>
      <c r="E21398" s="185" t="s">
        <v>470</v>
      </c>
      <c r="H21398" s="185"/>
    </row>
    <row r="21399">
      <c r="D21399" s="185"/>
      <c r="E21399" s="185" t="s">
        <v>470</v>
      </c>
      <c r="H21399" s="185"/>
    </row>
    <row r="21400">
      <c r="D21400" s="185"/>
      <c r="E21400" s="185" t="s">
        <v>470</v>
      </c>
      <c r="H21400" s="185"/>
    </row>
    <row r="21401">
      <c r="D21401" s="185"/>
      <c r="E21401" s="185" t="s">
        <v>470</v>
      </c>
      <c r="H21401" s="185"/>
    </row>
    <row r="21402">
      <c r="D21402" s="185"/>
      <c r="E21402" s="185" t="s">
        <v>470</v>
      </c>
      <c r="H21402" s="185"/>
    </row>
    <row r="21403">
      <c r="D21403" s="185"/>
      <c r="E21403" s="185" t="s">
        <v>470</v>
      </c>
      <c r="H21403" s="185"/>
    </row>
    <row r="21404">
      <c r="D21404" s="185"/>
      <c r="E21404" s="185" t="s">
        <v>470</v>
      </c>
      <c r="H21404" s="185"/>
    </row>
    <row r="21405">
      <c r="D21405" s="185"/>
      <c r="E21405" s="185" t="s">
        <v>470</v>
      </c>
      <c r="H21405" s="185"/>
    </row>
    <row r="21406">
      <c r="D21406" s="185"/>
      <c r="E21406" s="185" t="s">
        <v>470</v>
      </c>
      <c r="H21406" s="185"/>
    </row>
    <row r="21407">
      <c r="D21407" s="185"/>
      <c r="E21407" s="185" t="s">
        <v>470</v>
      </c>
      <c r="H21407" s="185"/>
    </row>
    <row r="21408">
      <c r="D21408" s="185"/>
      <c r="E21408" s="185" t="s">
        <v>470</v>
      </c>
      <c r="H21408" s="185"/>
    </row>
    <row r="21409">
      <c r="D21409" s="185"/>
      <c r="E21409" s="185" t="s">
        <v>470</v>
      </c>
      <c r="H21409" s="185"/>
    </row>
    <row r="21410">
      <c r="D21410" s="185"/>
      <c r="E21410" s="185" t="s">
        <v>470</v>
      </c>
      <c r="H21410" s="185"/>
    </row>
    <row r="21411">
      <c r="D21411" s="185"/>
      <c r="E21411" s="185" t="s">
        <v>470</v>
      </c>
      <c r="H21411" s="185"/>
    </row>
    <row r="21412">
      <c r="D21412" s="185"/>
      <c r="E21412" s="185" t="s">
        <v>470</v>
      </c>
      <c r="H21412" s="185"/>
    </row>
    <row r="21413">
      <c r="D21413" s="185"/>
      <c r="E21413" s="185" t="s">
        <v>470</v>
      </c>
      <c r="H21413" s="185"/>
    </row>
    <row r="21414">
      <c r="D21414" s="185"/>
      <c r="E21414" s="185" t="s">
        <v>470</v>
      </c>
      <c r="H21414" s="185"/>
    </row>
    <row r="21415">
      <c r="D21415" s="185"/>
      <c r="E21415" s="185" t="s">
        <v>470</v>
      </c>
      <c r="H21415" s="185"/>
    </row>
    <row r="21416">
      <c r="D21416" s="185"/>
      <c r="E21416" s="185" t="s">
        <v>470</v>
      </c>
      <c r="H21416" s="185"/>
    </row>
    <row r="21417">
      <c r="D21417" s="185"/>
      <c r="E21417" s="185" t="s">
        <v>470</v>
      </c>
      <c r="H21417" s="185"/>
    </row>
    <row r="21418">
      <c r="D21418" s="185"/>
      <c r="E21418" s="185" t="s">
        <v>470</v>
      </c>
      <c r="H21418" s="185"/>
    </row>
    <row r="21419">
      <c r="D21419" s="185"/>
      <c r="E21419" s="185" t="s">
        <v>470</v>
      </c>
      <c r="H21419" s="185"/>
    </row>
    <row r="21420">
      <c r="D21420" s="185"/>
      <c r="E21420" s="185" t="s">
        <v>470</v>
      </c>
      <c r="H21420" s="185"/>
    </row>
    <row r="21421">
      <c r="D21421" s="185"/>
      <c r="E21421" s="185" t="s">
        <v>470</v>
      </c>
      <c r="H21421" s="185"/>
    </row>
    <row r="21422">
      <c r="D21422" s="185"/>
      <c r="E21422" s="185" t="s">
        <v>470</v>
      </c>
      <c r="H21422" s="185"/>
    </row>
    <row r="21423">
      <c r="D21423" s="185"/>
      <c r="E21423" s="185" t="s">
        <v>470</v>
      </c>
      <c r="H21423" s="185"/>
    </row>
    <row r="21424">
      <c r="D21424" s="185"/>
      <c r="E21424" s="185" t="s">
        <v>470</v>
      </c>
      <c r="H21424" s="185"/>
    </row>
    <row r="21425">
      <c r="D21425" s="185"/>
      <c r="E21425" s="185" t="s">
        <v>470</v>
      </c>
      <c r="H21425" s="185"/>
    </row>
    <row r="21426">
      <c r="D21426" s="185"/>
      <c r="E21426" s="185" t="s">
        <v>470</v>
      </c>
      <c r="H21426" s="185"/>
    </row>
    <row r="21427">
      <c r="D21427" s="185"/>
      <c r="E21427" s="185" t="s">
        <v>470</v>
      </c>
      <c r="H21427" s="185"/>
    </row>
    <row r="21428">
      <c r="D21428" s="185"/>
      <c r="E21428" s="185" t="s">
        <v>470</v>
      </c>
      <c r="H21428" s="185"/>
    </row>
    <row r="21429">
      <c r="D21429" s="185"/>
      <c r="E21429" s="185" t="s">
        <v>470</v>
      </c>
      <c r="H21429" s="185"/>
    </row>
    <row r="21430">
      <c r="D21430" s="185"/>
      <c r="E21430" s="185" t="s">
        <v>470</v>
      </c>
      <c r="H21430" s="185"/>
    </row>
    <row r="21431">
      <c r="D21431" s="185"/>
      <c r="E21431" s="185" t="s">
        <v>470</v>
      </c>
      <c r="H21431" s="185"/>
    </row>
    <row r="21432">
      <c r="D21432" s="185"/>
      <c r="E21432" s="185" t="s">
        <v>470</v>
      </c>
      <c r="H21432" s="185"/>
    </row>
    <row r="21433">
      <c r="D21433" s="185"/>
      <c r="E21433" s="185" t="s">
        <v>470</v>
      </c>
      <c r="H21433" s="185"/>
    </row>
    <row r="21434">
      <c r="D21434" s="185"/>
      <c r="E21434" s="185" t="s">
        <v>470</v>
      </c>
      <c r="H21434" s="185"/>
    </row>
    <row r="21435">
      <c r="D21435" s="185"/>
      <c r="E21435" s="185" t="s">
        <v>470</v>
      </c>
      <c r="H21435" s="185"/>
    </row>
    <row r="21436">
      <c r="D21436" s="185"/>
      <c r="E21436" s="185" t="s">
        <v>470</v>
      </c>
      <c r="H21436" s="185"/>
    </row>
    <row r="21437">
      <c r="D21437" s="185"/>
      <c r="E21437" s="185" t="s">
        <v>470</v>
      </c>
      <c r="H21437" s="185"/>
    </row>
    <row r="21438">
      <c r="D21438" s="185"/>
      <c r="E21438" s="185" t="s">
        <v>470</v>
      </c>
      <c r="H21438" s="185"/>
    </row>
    <row r="21439">
      <c r="D21439" s="185"/>
      <c r="E21439" s="185" t="s">
        <v>470</v>
      </c>
      <c r="H21439" s="185"/>
    </row>
    <row r="21440">
      <c r="D21440" s="185"/>
      <c r="E21440" s="185" t="s">
        <v>470</v>
      </c>
      <c r="H21440" s="185"/>
    </row>
    <row r="21441">
      <c r="D21441" s="185"/>
      <c r="E21441" s="185" t="s">
        <v>470</v>
      </c>
      <c r="H21441" s="185"/>
    </row>
    <row r="21442">
      <c r="D21442" s="185"/>
      <c r="E21442" s="185" t="s">
        <v>470</v>
      </c>
      <c r="H21442" s="185"/>
    </row>
    <row r="21443">
      <c r="D21443" s="185"/>
      <c r="E21443" s="185" t="s">
        <v>470</v>
      </c>
      <c r="H21443" s="185"/>
    </row>
    <row r="21444">
      <c r="D21444" s="185"/>
      <c r="E21444" s="185" t="s">
        <v>470</v>
      </c>
      <c r="H21444" s="185"/>
    </row>
    <row r="21445">
      <c r="D21445" s="185"/>
      <c r="E21445" s="185" t="s">
        <v>470</v>
      </c>
      <c r="H21445" s="185"/>
    </row>
    <row r="21446">
      <c r="D21446" s="185"/>
      <c r="E21446" s="185" t="s">
        <v>470</v>
      </c>
      <c r="H21446" s="185"/>
    </row>
    <row r="21447">
      <c r="D21447" s="185"/>
      <c r="E21447" s="185" t="s">
        <v>470</v>
      </c>
      <c r="H21447" s="185"/>
    </row>
    <row r="21448">
      <c r="D21448" s="185"/>
      <c r="E21448" s="185" t="s">
        <v>470</v>
      </c>
      <c r="H21448" s="185"/>
    </row>
    <row r="21449">
      <c r="D21449" s="185"/>
      <c r="E21449" s="185" t="s">
        <v>470</v>
      </c>
      <c r="H21449" s="185"/>
    </row>
    <row r="21450">
      <c r="D21450" s="185"/>
      <c r="E21450" s="185" t="s">
        <v>470</v>
      </c>
      <c r="H21450" s="185"/>
    </row>
    <row r="21451">
      <c r="D21451" s="185"/>
      <c r="E21451" s="185" t="s">
        <v>470</v>
      </c>
      <c r="H21451" s="185"/>
    </row>
    <row r="21452">
      <c r="D21452" s="185"/>
      <c r="E21452" s="185" t="s">
        <v>470</v>
      </c>
      <c r="H21452" s="185"/>
    </row>
    <row r="21453">
      <c r="D21453" s="185"/>
      <c r="E21453" s="185" t="s">
        <v>470</v>
      </c>
      <c r="H21453" s="185"/>
    </row>
    <row r="21454">
      <c r="D21454" s="185"/>
      <c r="E21454" s="185" t="s">
        <v>470</v>
      </c>
      <c r="H21454" s="185"/>
    </row>
    <row r="21455">
      <c r="D21455" s="185"/>
      <c r="E21455" s="185" t="s">
        <v>470</v>
      </c>
      <c r="H21455" s="185"/>
    </row>
    <row r="21456">
      <c r="D21456" s="185"/>
      <c r="E21456" s="185" t="s">
        <v>470</v>
      </c>
      <c r="H21456" s="185"/>
    </row>
    <row r="21457">
      <c r="D21457" s="185"/>
      <c r="E21457" s="185" t="s">
        <v>470</v>
      </c>
      <c r="H21457" s="185"/>
    </row>
    <row r="21458">
      <c r="D21458" s="185"/>
      <c r="E21458" s="185" t="s">
        <v>470</v>
      </c>
      <c r="H21458" s="185"/>
    </row>
    <row r="21459">
      <c r="D21459" s="185"/>
      <c r="E21459" s="185" t="s">
        <v>470</v>
      </c>
      <c r="H21459" s="185"/>
    </row>
    <row r="21460">
      <c r="D21460" s="185"/>
      <c r="E21460" s="185" t="s">
        <v>470</v>
      </c>
      <c r="H21460" s="185"/>
    </row>
    <row r="21461">
      <c r="D21461" s="185"/>
      <c r="E21461" s="185" t="s">
        <v>470</v>
      </c>
      <c r="H21461" s="185"/>
    </row>
    <row r="21462">
      <c r="D21462" s="185"/>
      <c r="E21462" s="185" t="s">
        <v>470</v>
      </c>
      <c r="H21462" s="185"/>
    </row>
    <row r="21463">
      <c r="D21463" s="185"/>
      <c r="E21463" s="185" t="s">
        <v>470</v>
      </c>
      <c r="H21463" s="185"/>
    </row>
    <row r="21464">
      <c r="D21464" s="185"/>
      <c r="E21464" s="185" t="s">
        <v>470</v>
      </c>
      <c r="H21464" s="185"/>
    </row>
    <row r="21465">
      <c r="D21465" s="185"/>
      <c r="E21465" s="185" t="s">
        <v>470</v>
      </c>
      <c r="H21465" s="185"/>
    </row>
    <row r="21466">
      <c r="D21466" s="185"/>
      <c r="E21466" s="185" t="s">
        <v>470</v>
      </c>
      <c r="H21466" s="185"/>
    </row>
    <row r="21467">
      <c r="D21467" s="185"/>
      <c r="E21467" s="185" t="s">
        <v>470</v>
      </c>
      <c r="H21467" s="185"/>
    </row>
    <row r="21468">
      <c r="D21468" s="185"/>
      <c r="E21468" s="185" t="s">
        <v>470</v>
      </c>
      <c r="H21468" s="185"/>
    </row>
    <row r="21469">
      <c r="D21469" s="185"/>
      <c r="E21469" s="185" t="s">
        <v>470</v>
      </c>
      <c r="H21469" s="185"/>
    </row>
    <row r="21470">
      <c r="D21470" s="185"/>
      <c r="E21470" s="185" t="s">
        <v>470</v>
      </c>
      <c r="H21470" s="185"/>
    </row>
    <row r="21471">
      <c r="D21471" s="185"/>
      <c r="E21471" s="185" t="s">
        <v>470</v>
      </c>
      <c r="H21471" s="185"/>
    </row>
    <row r="21472">
      <c r="D21472" s="185"/>
      <c r="E21472" s="185" t="s">
        <v>470</v>
      </c>
      <c r="H21472" s="185"/>
    </row>
    <row r="21473">
      <c r="D21473" s="185"/>
      <c r="E21473" s="185" t="s">
        <v>470</v>
      </c>
      <c r="H21473" s="185"/>
    </row>
    <row r="21474">
      <c r="D21474" s="185"/>
      <c r="E21474" s="185" t="s">
        <v>470</v>
      </c>
      <c r="H21474" s="185"/>
    </row>
    <row r="21475">
      <c r="D21475" s="185"/>
      <c r="E21475" s="185" t="s">
        <v>470</v>
      </c>
      <c r="H21475" s="185"/>
    </row>
    <row r="21476">
      <c r="D21476" s="185"/>
      <c r="E21476" s="185" t="s">
        <v>470</v>
      </c>
      <c r="H21476" s="185"/>
    </row>
    <row r="21477">
      <c r="D21477" s="185"/>
      <c r="E21477" s="185" t="s">
        <v>470</v>
      </c>
      <c r="H21477" s="185"/>
    </row>
    <row r="21478">
      <c r="D21478" s="185"/>
      <c r="E21478" s="185" t="s">
        <v>470</v>
      </c>
      <c r="H21478" s="185"/>
    </row>
    <row r="21479">
      <c r="D21479" s="185"/>
      <c r="E21479" s="185" t="s">
        <v>470</v>
      </c>
      <c r="H21479" s="185"/>
    </row>
    <row r="21480">
      <c r="D21480" s="185"/>
      <c r="E21480" s="185" t="s">
        <v>470</v>
      </c>
      <c r="H21480" s="185"/>
    </row>
    <row r="21481">
      <c r="D21481" s="185"/>
      <c r="E21481" s="185" t="s">
        <v>470</v>
      </c>
      <c r="H21481" s="185"/>
    </row>
    <row r="21482">
      <c r="D21482" s="185"/>
      <c r="E21482" s="185" t="s">
        <v>470</v>
      </c>
      <c r="H21482" s="185"/>
    </row>
    <row r="21483">
      <c r="D21483" s="185"/>
      <c r="E21483" s="185" t="s">
        <v>470</v>
      </c>
      <c r="H21483" s="185"/>
    </row>
    <row r="21484">
      <c r="D21484" s="185"/>
      <c r="E21484" s="185" t="s">
        <v>470</v>
      </c>
      <c r="H21484" s="185"/>
    </row>
    <row r="21485">
      <c r="D21485" s="185"/>
      <c r="E21485" s="185" t="s">
        <v>470</v>
      </c>
      <c r="H21485" s="185"/>
    </row>
    <row r="21486">
      <c r="D21486" s="185"/>
      <c r="E21486" s="185" t="s">
        <v>470</v>
      </c>
      <c r="H21486" s="185"/>
    </row>
    <row r="21487">
      <c r="D21487" s="185"/>
      <c r="E21487" s="185" t="s">
        <v>470</v>
      </c>
      <c r="H21487" s="185"/>
    </row>
    <row r="21488">
      <c r="D21488" s="185"/>
      <c r="E21488" s="185" t="s">
        <v>470</v>
      </c>
      <c r="H21488" s="185"/>
    </row>
    <row r="21489">
      <c r="D21489" s="185"/>
      <c r="E21489" s="185" t="s">
        <v>470</v>
      </c>
      <c r="H21489" s="185"/>
    </row>
    <row r="21490">
      <c r="D21490" s="185"/>
      <c r="E21490" s="185" t="s">
        <v>470</v>
      </c>
      <c r="H21490" s="185"/>
    </row>
    <row r="21491">
      <c r="D21491" s="185"/>
      <c r="E21491" s="185" t="s">
        <v>470</v>
      </c>
      <c r="H21491" s="185"/>
    </row>
    <row r="21492">
      <c r="D21492" s="185"/>
      <c r="E21492" s="185" t="s">
        <v>470</v>
      </c>
      <c r="H21492" s="185"/>
    </row>
    <row r="21493">
      <c r="D21493" s="185"/>
      <c r="E21493" s="185" t="s">
        <v>470</v>
      </c>
      <c r="H21493" s="185"/>
    </row>
    <row r="21494">
      <c r="D21494" s="185"/>
      <c r="E21494" s="185" t="s">
        <v>470</v>
      </c>
      <c r="H21494" s="185"/>
    </row>
    <row r="21495">
      <c r="D21495" s="185"/>
      <c r="E21495" s="185" t="s">
        <v>470</v>
      </c>
      <c r="H21495" s="185"/>
    </row>
    <row r="21496">
      <c r="D21496" s="185"/>
      <c r="E21496" s="185" t="s">
        <v>470</v>
      </c>
      <c r="H21496" s="185"/>
    </row>
    <row r="21497">
      <c r="D21497" s="185"/>
      <c r="E21497" s="185" t="s">
        <v>470</v>
      </c>
      <c r="H21497" s="185"/>
    </row>
    <row r="21498">
      <c r="D21498" s="185"/>
      <c r="E21498" s="185" t="s">
        <v>470</v>
      </c>
      <c r="H21498" s="185"/>
    </row>
    <row r="21499">
      <c r="D21499" s="185"/>
      <c r="E21499" s="185" t="s">
        <v>470</v>
      </c>
      <c r="H21499" s="185"/>
    </row>
    <row r="21500">
      <c r="D21500" s="185"/>
      <c r="E21500" s="185" t="s">
        <v>470</v>
      </c>
      <c r="H21500" s="185"/>
    </row>
    <row r="21501">
      <c r="D21501" s="185"/>
      <c r="E21501" s="185" t="s">
        <v>470</v>
      </c>
      <c r="H21501" s="185"/>
    </row>
    <row r="21502">
      <c r="D21502" s="185"/>
      <c r="E21502" s="185" t="s">
        <v>470</v>
      </c>
      <c r="H21502" s="185"/>
    </row>
    <row r="21503">
      <c r="D21503" s="185"/>
      <c r="E21503" s="185" t="s">
        <v>470</v>
      </c>
      <c r="H21503" s="185"/>
    </row>
    <row r="21504">
      <c r="D21504" s="185"/>
      <c r="E21504" s="185" t="s">
        <v>470</v>
      </c>
      <c r="H21504" s="185"/>
    </row>
    <row r="21505">
      <c r="D21505" s="185"/>
      <c r="E21505" s="185" t="s">
        <v>470</v>
      </c>
      <c r="H21505" s="185"/>
    </row>
    <row r="21506">
      <c r="D21506" s="185"/>
      <c r="E21506" s="185" t="s">
        <v>470</v>
      </c>
      <c r="H21506" s="185"/>
    </row>
    <row r="21507">
      <c r="D21507" s="185"/>
      <c r="E21507" s="185" t="s">
        <v>470</v>
      </c>
      <c r="H21507" s="185"/>
    </row>
    <row r="21508">
      <c r="D21508" s="185"/>
      <c r="E21508" s="185" t="s">
        <v>470</v>
      </c>
      <c r="H21508" s="185"/>
    </row>
    <row r="21509">
      <c r="D21509" s="185"/>
      <c r="E21509" s="185" t="s">
        <v>470</v>
      </c>
      <c r="H21509" s="185"/>
    </row>
    <row r="21510">
      <c r="D21510" s="185"/>
      <c r="E21510" s="185" t="s">
        <v>470</v>
      </c>
      <c r="H21510" s="185"/>
    </row>
    <row r="21511">
      <c r="D21511" s="185"/>
      <c r="E21511" s="185" t="s">
        <v>470</v>
      </c>
      <c r="H21511" s="185"/>
    </row>
    <row r="21512">
      <c r="D21512" s="185"/>
      <c r="E21512" s="185" t="s">
        <v>470</v>
      </c>
      <c r="H21512" s="185"/>
    </row>
    <row r="21513">
      <c r="D21513" s="185"/>
      <c r="E21513" s="185" t="s">
        <v>470</v>
      </c>
      <c r="H21513" s="185"/>
    </row>
    <row r="21514">
      <c r="D21514" s="185"/>
      <c r="E21514" s="185" t="s">
        <v>470</v>
      </c>
      <c r="H21514" s="185"/>
    </row>
    <row r="21515">
      <c r="D21515" s="185"/>
      <c r="E21515" s="185" t="s">
        <v>470</v>
      </c>
      <c r="H21515" s="185"/>
    </row>
    <row r="21516">
      <c r="D21516" s="185"/>
      <c r="E21516" s="185" t="s">
        <v>470</v>
      </c>
      <c r="H21516" s="185"/>
    </row>
    <row r="21517">
      <c r="D21517" s="185"/>
      <c r="E21517" s="185" t="s">
        <v>470</v>
      </c>
      <c r="H21517" s="185"/>
    </row>
    <row r="21518">
      <c r="D21518" s="185"/>
      <c r="E21518" s="185" t="s">
        <v>470</v>
      </c>
      <c r="H21518" s="185"/>
    </row>
    <row r="21519">
      <c r="D21519" s="185"/>
      <c r="E21519" s="185" t="s">
        <v>470</v>
      </c>
      <c r="H21519" s="185"/>
    </row>
    <row r="21520">
      <c r="D21520" s="185"/>
      <c r="E21520" s="185" t="s">
        <v>470</v>
      </c>
      <c r="H21520" s="185"/>
    </row>
    <row r="21521">
      <c r="D21521" s="185"/>
      <c r="E21521" s="185" t="s">
        <v>470</v>
      </c>
      <c r="H21521" s="185"/>
    </row>
    <row r="21522">
      <c r="D21522" s="185"/>
      <c r="E21522" s="185" t="s">
        <v>470</v>
      </c>
      <c r="H21522" s="185"/>
    </row>
    <row r="21523">
      <c r="D21523" s="185"/>
      <c r="E21523" s="185" t="s">
        <v>470</v>
      </c>
      <c r="H21523" s="185"/>
    </row>
    <row r="21524">
      <c r="D21524" s="185"/>
      <c r="E21524" s="185" t="s">
        <v>470</v>
      </c>
      <c r="H21524" s="185"/>
    </row>
    <row r="21525">
      <c r="D21525" s="185"/>
      <c r="E21525" s="185" t="s">
        <v>470</v>
      </c>
      <c r="H21525" s="185"/>
    </row>
    <row r="21526">
      <c r="D21526" s="185"/>
      <c r="E21526" s="185" t="s">
        <v>470</v>
      </c>
      <c r="H21526" s="185"/>
    </row>
    <row r="21527">
      <c r="D21527" s="185"/>
      <c r="E21527" s="185" t="s">
        <v>470</v>
      </c>
      <c r="H21527" s="185"/>
    </row>
    <row r="21528">
      <c r="D21528" s="185"/>
      <c r="E21528" s="185" t="s">
        <v>470</v>
      </c>
      <c r="H21528" s="185"/>
    </row>
    <row r="21529">
      <c r="D21529" s="185"/>
      <c r="E21529" s="185" t="s">
        <v>470</v>
      </c>
      <c r="H21529" s="185"/>
    </row>
    <row r="21530">
      <c r="D21530" s="185"/>
      <c r="E21530" s="185" t="s">
        <v>470</v>
      </c>
      <c r="H21530" s="185"/>
    </row>
    <row r="21531">
      <c r="D21531" s="185"/>
      <c r="E21531" s="185" t="s">
        <v>470</v>
      </c>
      <c r="H21531" s="185"/>
    </row>
    <row r="21532">
      <c r="D21532" s="185"/>
      <c r="E21532" s="185" t="s">
        <v>470</v>
      </c>
      <c r="H21532" s="185"/>
    </row>
    <row r="21533">
      <c r="D21533" s="185"/>
      <c r="E21533" s="185" t="s">
        <v>470</v>
      </c>
      <c r="H21533" s="185"/>
    </row>
    <row r="21534">
      <c r="D21534" s="185"/>
      <c r="E21534" s="185" t="s">
        <v>470</v>
      </c>
      <c r="H21534" s="185"/>
    </row>
    <row r="21535">
      <c r="D21535" s="185"/>
      <c r="E21535" s="185" t="s">
        <v>470</v>
      </c>
      <c r="H21535" s="185"/>
    </row>
    <row r="21536">
      <c r="D21536" s="185"/>
      <c r="E21536" s="185" t="s">
        <v>470</v>
      </c>
      <c r="H21536" s="185"/>
    </row>
    <row r="21537">
      <c r="D21537" s="185"/>
      <c r="E21537" s="185" t="s">
        <v>470</v>
      </c>
      <c r="H21537" s="185"/>
    </row>
    <row r="21538">
      <c r="D21538" s="185"/>
      <c r="E21538" s="185" t="s">
        <v>470</v>
      </c>
      <c r="H21538" s="185"/>
    </row>
    <row r="21539">
      <c r="D21539" s="185"/>
      <c r="E21539" s="185" t="s">
        <v>470</v>
      </c>
      <c r="H21539" s="185"/>
    </row>
    <row r="21540">
      <c r="D21540" s="185"/>
      <c r="E21540" s="185" t="s">
        <v>470</v>
      </c>
      <c r="H21540" s="185"/>
    </row>
    <row r="21541">
      <c r="D21541" s="185"/>
      <c r="E21541" s="185" t="s">
        <v>470</v>
      </c>
      <c r="H21541" s="185"/>
    </row>
    <row r="21542">
      <c r="D21542" s="185"/>
      <c r="E21542" s="185" t="s">
        <v>470</v>
      </c>
      <c r="H21542" s="185"/>
    </row>
    <row r="21543">
      <c r="D21543" s="185"/>
      <c r="E21543" s="185" t="s">
        <v>470</v>
      </c>
      <c r="H21543" s="185"/>
    </row>
    <row r="21544">
      <c r="D21544" s="185"/>
      <c r="E21544" s="185" t="s">
        <v>470</v>
      </c>
      <c r="H21544" s="185"/>
    </row>
    <row r="21545">
      <c r="D21545" s="185"/>
      <c r="E21545" s="185" t="s">
        <v>470</v>
      </c>
      <c r="H21545" s="185"/>
    </row>
    <row r="21546">
      <c r="D21546" s="185"/>
      <c r="E21546" s="185" t="s">
        <v>470</v>
      </c>
      <c r="H21546" s="185"/>
    </row>
    <row r="21547">
      <c r="D21547" s="185"/>
      <c r="E21547" s="185" t="s">
        <v>470</v>
      </c>
      <c r="H21547" s="185"/>
    </row>
    <row r="21548">
      <c r="D21548" s="185"/>
      <c r="E21548" s="185" t="s">
        <v>470</v>
      </c>
      <c r="H21548" s="185"/>
    </row>
    <row r="21549">
      <c r="D21549" s="185"/>
      <c r="E21549" s="185" t="s">
        <v>470</v>
      </c>
      <c r="H21549" s="185"/>
    </row>
    <row r="21550">
      <c r="D21550" s="185"/>
      <c r="E21550" s="185" t="s">
        <v>470</v>
      </c>
      <c r="H21550" s="185"/>
    </row>
    <row r="21551">
      <c r="D21551" s="185"/>
      <c r="E21551" s="185" t="s">
        <v>470</v>
      </c>
      <c r="H21551" s="185"/>
    </row>
    <row r="21552">
      <c r="D21552" s="185"/>
      <c r="E21552" s="185" t="s">
        <v>470</v>
      </c>
      <c r="H21552" s="185"/>
    </row>
    <row r="21553">
      <c r="D21553" s="185"/>
      <c r="E21553" s="185" t="s">
        <v>470</v>
      </c>
      <c r="H21553" s="185"/>
    </row>
    <row r="21554">
      <c r="D21554" s="185"/>
      <c r="E21554" s="185" t="s">
        <v>470</v>
      </c>
      <c r="H21554" s="185"/>
    </row>
    <row r="21555">
      <c r="D21555" s="185"/>
      <c r="E21555" s="185" t="s">
        <v>470</v>
      </c>
      <c r="H21555" s="185"/>
    </row>
    <row r="21556">
      <c r="D21556" s="185"/>
      <c r="E21556" s="185" t="s">
        <v>470</v>
      </c>
      <c r="H21556" s="185"/>
    </row>
    <row r="21557">
      <c r="D21557" s="185"/>
      <c r="E21557" s="185" t="s">
        <v>470</v>
      </c>
      <c r="H21557" s="185"/>
    </row>
    <row r="21558">
      <c r="D21558" s="185"/>
      <c r="E21558" s="185" t="s">
        <v>470</v>
      </c>
      <c r="H21558" s="185"/>
    </row>
    <row r="21559">
      <c r="D21559" s="185"/>
      <c r="E21559" s="185" t="s">
        <v>470</v>
      </c>
      <c r="H21559" s="185"/>
    </row>
    <row r="21560">
      <c r="D21560" s="185"/>
      <c r="E21560" s="185" t="s">
        <v>470</v>
      </c>
      <c r="H21560" s="185"/>
    </row>
    <row r="21561">
      <c r="D21561" s="185"/>
      <c r="E21561" s="185" t="s">
        <v>470</v>
      </c>
      <c r="H21561" s="185"/>
    </row>
    <row r="21562">
      <c r="D21562" s="185"/>
      <c r="E21562" s="185" t="s">
        <v>470</v>
      </c>
      <c r="H21562" s="185"/>
    </row>
    <row r="21563">
      <c r="D21563" s="185"/>
      <c r="E21563" s="185" t="s">
        <v>470</v>
      </c>
      <c r="H21563" s="185"/>
    </row>
    <row r="21564">
      <c r="D21564" s="185"/>
      <c r="E21564" s="185" t="s">
        <v>470</v>
      </c>
      <c r="H21564" s="185"/>
    </row>
    <row r="21565">
      <c r="D21565" s="185"/>
      <c r="E21565" s="185" t="s">
        <v>470</v>
      </c>
      <c r="H21565" s="185"/>
    </row>
    <row r="21566">
      <c r="D21566" s="185"/>
      <c r="E21566" s="185" t="s">
        <v>470</v>
      </c>
      <c r="H21566" s="185"/>
    </row>
    <row r="21567">
      <c r="D21567" s="185"/>
      <c r="E21567" s="185" t="s">
        <v>470</v>
      </c>
      <c r="H21567" s="185"/>
    </row>
    <row r="21568">
      <c r="D21568" s="185"/>
      <c r="E21568" s="185" t="s">
        <v>470</v>
      </c>
      <c r="H21568" s="185"/>
    </row>
    <row r="21569">
      <c r="D21569" s="185"/>
      <c r="E21569" s="185" t="s">
        <v>470</v>
      </c>
      <c r="H21569" s="185"/>
    </row>
    <row r="21570">
      <c r="D21570" s="185"/>
      <c r="E21570" s="185" t="s">
        <v>470</v>
      </c>
      <c r="H21570" s="185"/>
    </row>
    <row r="21571">
      <c r="D21571" s="185"/>
      <c r="E21571" s="185" t="s">
        <v>470</v>
      </c>
      <c r="H21571" s="185"/>
    </row>
    <row r="21572">
      <c r="D21572" s="185"/>
      <c r="E21572" s="185" t="s">
        <v>470</v>
      </c>
      <c r="H21572" s="185"/>
    </row>
    <row r="21573">
      <c r="D21573" s="185"/>
      <c r="E21573" s="185" t="s">
        <v>470</v>
      </c>
      <c r="H21573" s="185"/>
    </row>
    <row r="21574">
      <c r="D21574" s="185"/>
      <c r="E21574" s="185" t="s">
        <v>470</v>
      </c>
      <c r="H21574" s="185"/>
    </row>
    <row r="21575">
      <c r="D21575" s="185"/>
      <c r="E21575" s="185" t="s">
        <v>470</v>
      </c>
      <c r="H21575" s="185"/>
    </row>
    <row r="21576">
      <c r="D21576" s="185"/>
      <c r="E21576" s="185" t="s">
        <v>470</v>
      </c>
      <c r="H21576" s="185"/>
    </row>
    <row r="21577">
      <c r="D21577" s="185"/>
      <c r="E21577" s="185" t="s">
        <v>470</v>
      </c>
      <c r="H21577" s="185"/>
    </row>
    <row r="21578">
      <c r="D21578" s="185"/>
      <c r="E21578" s="185" t="s">
        <v>470</v>
      </c>
      <c r="H21578" s="185"/>
    </row>
    <row r="21579">
      <c r="D21579" s="185"/>
      <c r="E21579" s="185" t="s">
        <v>470</v>
      </c>
      <c r="H21579" s="185"/>
    </row>
    <row r="21580">
      <c r="D21580" s="185"/>
      <c r="E21580" s="185" t="s">
        <v>470</v>
      </c>
      <c r="H21580" s="185"/>
    </row>
    <row r="21581">
      <c r="D21581" s="185"/>
      <c r="E21581" s="185" t="s">
        <v>470</v>
      </c>
      <c r="H21581" s="185"/>
    </row>
    <row r="21582">
      <c r="D21582" s="185"/>
      <c r="E21582" s="185" t="s">
        <v>470</v>
      </c>
      <c r="H21582" s="185"/>
    </row>
    <row r="21583">
      <c r="D21583" s="185"/>
      <c r="E21583" s="185" t="s">
        <v>470</v>
      </c>
      <c r="H21583" s="185"/>
    </row>
    <row r="21584">
      <c r="D21584" s="185"/>
      <c r="E21584" s="185" t="s">
        <v>470</v>
      </c>
      <c r="H21584" s="185"/>
    </row>
    <row r="21585">
      <c r="D21585" s="185"/>
      <c r="E21585" s="185" t="s">
        <v>470</v>
      </c>
      <c r="H21585" s="185"/>
    </row>
    <row r="21586">
      <c r="D21586" s="185"/>
      <c r="E21586" s="185" t="s">
        <v>470</v>
      </c>
      <c r="H21586" s="185"/>
    </row>
    <row r="21587">
      <c r="D21587" s="185"/>
      <c r="E21587" s="185" t="s">
        <v>470</v>
      </c>
      <c r="H21587" s="185"/>
    </row>
    <row r="21588">
      <c r="D21588" s="185"/>
      <c r="E21588" s="185" t="s">
        <v>470</v>
      </c>
      <c r="H21588" s="185"/>
    </row>
    <row r="21589">
      <c r="D21589" s="185"/>
      <c r="E21589" s="185" t="s">
        <v>470</v>
      </c>
      <c r="H21589" s="185"/>
    </row>
    <row r="21590">
      <c r="D21590" s="185"/>
      <c r="E21590" s="185" t="s">
        <v>470</v>
      </c>
      <c r="H21590" s="185"/>
    </row>
    <row r="21591">
      <c r="D21591" s="185"/>
      <c r="E21591" s="185" t="s">
        <v>470</v>
      </c>
      <c r="H21591" s="185"/>
    </row>
    <row r="21592">
      <c r="D21592" s="185"/>
      <c r="E21592" s="185" t="s">
        <v>470</v>
      </c>
      <c r="H21592" s="185"/>
    </row>
    <row r="21593">
      <c r="D21593" s="185"/>
      <c r="E21593" s="185" t="s">
        <v>470</v>
      </c>
      <c r="H21593" s="185"/>
    </row>
    <row r="21594">
      <c r="D21594" s="185"/>
      <c r="E21594" s="185" t="s">
        <v>470</v>
      </c>
      <c r="H21594" s="185"/>
    </row>
    <row r="21595">
      <c r="D21595" s="185"/>
      <c r="E21595" s="185" t="s">
        <v>470</v>
      </c>
      <c r="H21595" s="185"/>
    </row>
    <row r="21596">
      <c r="D21596" s="185"/>
      <c r="E21596" s="185" t="s">
        <v>470</v>
      </c>
      <c r="H21596" s="185"/>
    </row>
    <row r="21597">
      <c r="D21597" s="185"/>
      <c r="E21597" s="185" t="s">
        <v>470</v>
      </c>
      <c r="H21597" s="185"/>
    </row>
    <row r="21598">
      <c r="D21598" s="185"/>
      <c r="E21598" s="185" t="s">
        <v>470</v>
      </c>
      <c r="H21598" s="185"/>
    </row>
    <row r="21599">
      <c r="D21599" s="185"/>
      <c r="E21599" s="185" t="s">
        <v>470</v>
      </c>
      <c r="H21599" s="185"/>
    </row>
    <row r="21600">
      <c r="D21600" s="185"/>
      <c r="E21600" s="185" t="s">
        <v>470</v>
      </c>
      <c r="H21600" s="185"/>
    </row>
    <row r="21601">
      <c r="D21601" s="185"/>
      <c r="E21601" s="185" t="s">
        <v>470</v>
      </c>
      <c r="H21601" s="185"/>
    </row>
    <row r="21602">
      <c r="D21602" s="185"/>
      <c r="E21602" s="185" t="s">
        <v>470</v>
      </c>
      <c r="H21602" s="185"/>
    </row>
    <row r="21603">
      <c r="D21603" s="185"/>
      <c r="E21603" s="185" t="s">
        <v>470</v>
      </c>
      <c r="H21603" s="185"/>
    </row>
    <row r="21604">
      <c r="D21604" s="185"/>
      <c r="E21604" s="185" t="s">
        <v>470</v>
      </c>
      <c r="H21604" s="185"/>
    </row>
    <row r="21605">
      <c r="D21605" s="185"/>
      <c r="E21605" s="185" t="s">
        <v>470</v>
      </c>
      <c r="H21605" s="185"/>
    </row>
    <row r="21606">
      <c r="D21606" s="185"/>
      <c r="E21606" s="185" t="s">
        <v>470</v>
      </c>
      <c r="H21606" s="185"/>
    </row>
    <row r="21607">
      <c r="D21607" s="185"/>
      <c r="E21607" s="185" t="s">
        <v>470</v>
      </c>
      <c r="H21607" s="185"/>
    </row>
    <row r="21608">
      <c r="D21608" s="185"/>
      <c r="E21608" s="185" t="s">
        <v>470</v>
      </c>
      <c r="H21608" s="185"/>
    </row>
    <row r="21609">
      <c r="D21609" s="185"/>
      <c r="E21609" s="185" t="s">
        <v>470</v>
      </c>
      <c r="H21609" s="185"/>
    </row>
    <row r="21610">
      <c r="D21610" s="185"/>
      <c r="E21610" s="185" t="s">
        <v>470</v>
      </c>
      <c r="H21610" s="185"/>
    </row>
    <row r="21611">
      <c r="D21611" s="185"/>
      <c r="E21611" s="185" t="s">
        <v>470</v>
      </c>
      <c r="H21611" s="185"/>
    </row>
    <row r="21612">
      <c r="D21612" s="185"/>
      <c r="E21612" s="185" t="s">
        <v>470</v>
      </c>
      <c r="H21612" s="185"/>
    </row>
    <row r="21613">
      <c r="D21613" s="185"/>
      <c r="E21613" s="185" t="s">
        <v>470</v>
      </c>
      <c r="H21613" s="185"/>
    </row>
    <row r="21614">
      <c r="D21614" s="185"/>
      <c r="E21614" s="185" t="s">
        <v>470</v>
      </c>
      <c r="H21614" s="185"/>
    </row>
    <row r="21615">
      <c r="D21615" s="185"/>
      <c r="E21615" s="185" t="s">
        <v>470</v>
      </c>
      <c r="H21615" s="185"/>
    </row>
    <row r="21616">
      <c r="D21616" s="185"/>
      <c r="E21616" s="185" t="s">
        <v>470</v>
      </c>
      <c r="H21616" s="185"/>
    </row>
    <row r="21617">
      <c r="D21617" s="185"/>
      <c r="E21617" s="185" t="s">
        <v>470</v>
      </c>
      <c r="H21617" s="185"/>
    </row>
    <row r="21618">
      <c r="D21618" s="185"/>
      <c r="E21618" s="185" t="s">
        <v>470</v>
      </c>
      <c r="H21618" s="185"/>
    </row>
    <row r="21619">
      <c r="D21619" s="185"/>
      <c r="E21619" s="185" t="s">
        <v>470</v>
      </c>
      <c r="H21619" s="185"/>
    </row>
    <row r="21620">
      <c r="D21620" s="185"/>
      <c r="E21620" s="185" t="s">
        <v>470</v>
      </c>
      <c r="H21620" s="185"/>
    </row>
    <row r="21621">
      <c r="D21621" s="185"/>
      <c r="E21621" s="185" t="s">
        <v>470</v>
      </c>
      <c r="H21621" s="185"/>
    </row>
    <row r="21622">
      <c r="D21622" s="185"/>
      <c r="E21622" s="185" t="s">
        <v>470</v>
      </c>
      <c r="H21622" s="185"/>
    </row>
    <row r="21623">
      <c r="D21623" s="185"/>
      <c r="E21623" s="185" t="s">
        <v>470</v>
      </c>
      <c r="H21623" s="185"/>
    </row>
    <row r="21624">
      <c r="D21624" s="185"/>
      <c r="E21624" s="185" t="s">
        <v>470</v>
      </c>
      <c r="H21624" s="185"/>
    </row>
    <row r="21625">
      <c r="D21625" s="185"/>
      <c r="E21625" s="185" t="s">
        <v>470</v>
      </c>
      <c r="H21625" s="185"/>
    </row>
    <row r="21626">
      <c r="D21626" s="185"/>
      <c r="E21626" s="185" t="s">
        <v>470</v>
      </c>
      <c r="H21626" s="185"/>
    </row>
    <row r="21627">
      <c r="D21627" s="185"/>
      <c r="E21627" s="185" t="s">
        <v>470</v>
      </c>
      <c r="H21627" s="185"/>
    </row>
    <row r="21628">
      <c r="D21628" s="185"/>
      <c r="E21628" s="185" t="s">
        <v>470</v>
      </c>
      <c r="H21628" s="185"/>
    </row>
    <row r="21629">
      <c r="D21629" s="185"/>
      <c r="E21629" s="185" t="s">
        <v>470</v>
      </c>
      <c r="H21629" s="185"/>
    </row>
    <row r="21630">
      <c r="D21630" s="185"/>
      <c r="E21630" s="185" t="s">
        <v>470</v>
      </c>
      <c r="H21630" s="185"/>
    </row>
    <row r="21631">
      <c r="D21631" s="185"/>
      <c r="E21631" s="185" t="s">
        <v>470</v>
      </c>
      <c r="H21631" s="185"/>
    </row>
    <row r="21632">
      <c r="D21632" s="185"/>
      <c r="E21632" s="185" t="s">
        <v>470</v>
      </c>
      <c r="H21632" s="185"/>
    </row>
    <row r="21633">
      <c r="D21633" s="185"/>
      <c r="E21633" s="185" t="s">
        <v>470</v>
      </c>
      <c r="H21633" s="185"/>
    </row>
    <row r="21634">
      <c r="D21634" s="185"/>
      <c r="E21634" s="185" t="s">
        <v>470</v>
      </c>
      <c r="H21634" s="185"/>
    </row>
    <row r="21635">
      <c r="D21635" s="185"/>
      <c r="E21635" s="185" t="s">
        <v>470</v>
      </c>
      <c r="H21635" s="185"/>
    </row>
    <row r="21636">
      <c r="D21636" s="185"/>
      <c r="E21636" s="185" t="s">
        <v>470</v>
      </c>
      <c r="H21636" s="185"/>
    </row>
    <row r="21637">
      <c r="D21637" s="185"/>
      <c r="E21637" s="185" t="s">
        <v>470</v>
      </c>
      <c r="H21637" s="185"/>
    </row>
    <row r="21638">
      <c r="D21638" s="185"/>
      <c r="E21638" s="185" t="s">
        <v>470</v>
      </c>
      <c r="H21638" s="185"/>
    </row>
    <row r="21639">
      <c r="D21639" s="185"/>
      <c r="E21639" s="185" t="s">
        <v>470</v>
      </c>
      <c r="H21639" s="185"/>
    </row>
    <row r="21640">
      <c r="D21640" s="185"/>
      <c r="E21640" s="185" t="s">
        <v>470</v>
      </c>
      <c r="H21640" s="185"/>
    </row>
    <row r="21641">
      <c r="D21641" s="185"/>
      <c r="E21641" s="185" t="s">
        <v>470</v>
      </c>
      <c r="H21641" s="185"/>
    </row>
    <row r="21642">
      <c r="D21642" s="185"/>
      <c r="E21642" s="185" t="s">
        <v>470</v>
      </c>
      <c r="H21642" s="185"/>
    </row>
    <row r="21643">
      <c r="D21643" s="185"/>
      <c r="E21643" s="185" t="s">
        <v>470</v>
      </c>
      <c r="H21643" s="185"/>
    </row>
    <row r="21644">
      <c r="D21644" s="185"/>
      <c r="E21644" s="185" t="s">
        <v>470</v>
      </c>
      <c r="H21644" s="185"/>
    </row>
    <row r="21645">
      <c r="D21645" s="185"/>
      <c r="E21645" s="185" t="s">
        <v>470</v>
      </c>
      <c r="H21645" s="185"/>
    </row>
    <row r="21646">
      <c r="D21646" s="185"/>
      <c r="E21646" s="185" t="s">
        <v>470</v>
      </c>
      <c r="H21646" s="185"/>
    </row>
    <row r="21647">
      <c r="D21647" s="185"/>
      <c r="E21647" s="185" t="s">
        <v>470</v>
      </c>
      <c r="H21647" s="185"/>
    </row>
    <row r="21648">
      <c r="D21648" s="185"/>
      <c r="E21648" s="185" t="s">
        <v>470</v>
      </c>
      <c r="H21648" s="185"/>
    </row>
    <row r="21649">
      <c r="D21649" s="185"/>
      <c r="E21649" s="185" t="s">
        <v>470</v>
      </c>
      <c r="H21649" s="185"/>
    </row>
    <row r="21650">
      <c r="D21650" s="185"/>
      <c r="E21650" s="185" t="s">
        <v>470</v>
      </c>
      <c r="H21650" s="185"/>
    </row>
    <row r="21651">
      <c r="D21651" s="185"/>
      <c r="E21651" s="185" t="s">
        <v>470</v>
      </c>
      <c r="H21651" s="185"/>
    </row>
    <row r="21652">
      <c r="D21652" s="185"/>
      <c r="E21652" s="185" t="s">
        <v>470</v>
      </c>
      <c r="H21652" s="185"/>
    </row>
    <row r="21653">
      <c r="D21653" s="185"/>
      <c r="E21653" s="185" t="s">
        <v>470</v>
      </c>
      <c r="H21653" s="185"/>
    </row>
    <row r="21654">
      <c r="D21654" s="185"/>
      <c r="E21654" s="185" t="s">
        <v>470</v>
      </c>
      <c r="H21654" s="185"/>
    </row>
    <row r="21655">
      <c r="D21655" s="185"/>
      <c r="E21655" s="185" t="s">
        <v>470</v>
      </c>
      <c r="H21655" s="185"/>
    </row>
    <row r="21656">
      <c r="D21656" s="185"/>
      <c r="E21656" s="185" t="s">
        <v>470</v>
      </c>
      <c r="H21656" s="185"/>
    </row>
    <row r="21657">
      <c r="D21657" s="185"/>
      <c r="E21657" s="185" t="s">
        <v>470</v>
      </c>
      <c r="H21657" s="185"/>
    </row>
    <row r="21658">
      <c r="D21658" s="185"/>
      <c r="E21658" s="185" t="s">
        <v>470</v>
      </c>
      <c r="H21658" s="185"/>
    </row>
    <row r="21659">
      <c r="D21659" s="185"/>
      <c r="E21659" s="185" t="s">
        <v>470</v>
      </c>
      <c r="H21659" s="185"/>
    </row>
    <row r="21660">
      <c r="D21660" s="185"/>
      <c r="E21660" s="185" t="s">
        <v>470</v>
      </c>
      <c r="H21660" s="185"/>
    </row>
    <row r="21661">
      <c r="D21661" s="185"/>
      <c r="E21661" s="185" t="s">
        <v>470</v>
      </c>
      <c r="H21661" s="185"/>
    </row>
    <row r="21662">
      <c r="D21662" s="185"/>
      <c r="E21662" s="185" t="s">
        <v>470</v>
      </c>
      <c r="H21662" s="185"/>
    </row>
    <row r="21663">
      <c r="D21663" s="185"/>
      <c r="E21663" s="185" t="s">
        <v>470</v>
      </c>
      <c r="H21663" s="185"/>
    </row>
    <row r="21664">
      <c r="D21664" s="185"/>
      <c r="E21664" s="185" t="s">
        <v>470</v>
      </c>
      <c r="H21664" s="185"/>
    </row>
    <row r="21665">
      <c r="D21665" s="185"/>
      <c r="E21665" s="185" t="s">
        <v>470</v>
      </c>
      <c r="H21665" s="185"/>
    </row>
    <row r="21666">
      <c r="D21666" s="185"/>
      <c r="E21666" s="185" t="s">
        <v>470</v>
      </c>
      <c r="H21666" s="185"/>
    </row>
    <row r="21667">
      <c r="D21667" s="185"/>
      <c r="E21667" s="185" t="s">
        <v>470</v>
      </c>
      <c r="H21667" s="185"/>
    </row>
    <row r="21668">
      <c r="D21668" s="185"/>
      <c r="E21668" s="185" t="s">
        <v>470</v>
      </c>
      <c r="H21668" s="185"/>
    </row>
    <row r="21669">
      <c r="D21669" s="185"/>
      <c r="E21669" s="185" t="s">
        <v>470</v>
      </c>
      <c r="H21669" s="185"/>
    </row>
    <row r="21670">
      <c r="D21670" s="185"/>
      <c r="E21670" s="185" t="s">
        <v>470</v>
      </c>
      <c r="H21670" s="185"/>
    </row>
    <row r="21671">
      <c r="D21671" s="185"/>
      <c r="E21671" s="185" t="s">
        <v>470</v>
      </c>
      <c r="H21671" s="185"/>
    </row>
    <row r="21672">
      <c r="D21672" s="185"/>
      <c r="E21672" s="185" t="s">
        <v>470</v>
      </c>
      <c r="H21672" s="185"/>
    </row>
    <row r="21673">
      <c r="D21673" s="185"/>
      <c r="E21673" s="185" t="s">
        <v>470</v>
      </c>
      <c r="H21673" s="185"/>
    </row>
    <row r="21674">
      <c r="D21674" s="185"/>
      <c r="E21674" s="185" t="s">
        <v>470</v>
      </c>
      <c r="H21674" s="185"/>
    </row>
    <row r="21675">
      <c r="D21675" s="185"/>
      <c r="E21675" s="185" t="s">
        <v>470</v>
      </c>
      <c r="H21675" s="185"/>
    </row>
    <row r="21676">
      <c r="D21676" s="185"/>
      <c r="E21676" s="185" t="s">
        <v>470</v>
      </c>
      <c r="H21676" s="185"/>
    </row>
    <row r="21677">
      <c r="D21677" s="185"/>
      <c r="E21677" s="185" t="s">
        <v>470</v>
      </c>
      <c r="H21677" s="185"/>
    </row>
    <row r="21678">
      <c r="D21678" s="185"/>
      <c r="E21678" s="185" t="s">
        <v>470</v>
      </c>
      <c r="H21678" s="185"/>
    </row>
    <row r="21679">
      <c r="D21679" s="185"/>
      <c r="E21679" s="185" t="s">
        <v>470</v>
      </c>
      <c r="H21679" s="185"/>
    </row>
    <row r="21680">
      <c r="D21680" s="185"/>
      <c r="E21680" s="185" t="s">
        <v>470</v>
      </c>
      <c r="H21680" s="185"/>
    </row>
    <row r="21681">
      <c r="D21681" s="185"/>
      <c r="E21681" s="185" t="s">
        <v>470</v>
      </c>
      <c r="H21681" s="185"/>
    </row>
    <row r="21682">
      <c r="D21682" s="185"/>
      <c r="E21682" s="185" t="s">
        <v>470</v>
      </c>
      <c r="H21682" s="185"/>
    </row>
    <row r="21683">
      <c r="D21683" s="185"/>
      <c r="E21683" s="185" t="s">
        <v>470</v>
      </c>
      <c r="H21683" s="185"/>
    </row>
    <row r="21684">
      <c r="D21684" s="185"/>
      <c r="E21684" s="185" t="s">
        <v>470</v>
      </c>
      <c r="H21684" s="185"/>
    </row>
    <row r="21685">
      <c r="D21685" s="185"/>
      <c r="E21685" s="185" t="s">
        <v>470</v>
      </c>
      <c r="H21685" s="185"/>
    </row>
    <row r="21686">
      <c r="D21686" s="185"/>
      <c r="E21686" s="185" t="s">
        <v>470</v>
      </c>
      <c r="H21686" s="185"/>
    </row>
    <row r="21687">
      <c r="D21687" s="185"/>
      <c r="E21687" s="185" t="s">
        <v>470</v>
      </c>
      <c r="H21687" s="185"/>
    </row>
    <row r="21688">
      <c r="D21688" s="185"/>
      <c r="E21688" s="185" t="s">
        <v>470</v>
      </c>
      <c r="H21688" s="185"/>
    </row>
    <row r="21689">
      <c r="D21689" s="185"/>
      <c r="E21689" s="185" t="s">
        <v>470</v>
      </c>
      <c r="H21689" s="185"/>
    </row>
    <row r="21690">
      <c r="D21690" s="185"/>
      <c r="E21690" s="185" t="s">
        <v>470</v>
      </c>
      <c r="H21690" s="185"/>
    </row>
    <row r="21691">
      <c r="D21691" s="185"/>
      <c r="E21691" s="185" t="s">
        <v>470</v>
      </c>
      <c r="H21691" s="185"/>
    </row>
    <row r="21692">
      <c r="D21692" s="185"/>
      <c r="E21692" s="185" t="s">
        <v>470</v>
      </c>
      <c r="H21692" s="185"/>
    </row>
    <row r="21693">
      <c r="D21693" s="185"/>
      <c r="E21693" s="185" t="s">
        <v>470</v>
      </c>
      <c r="H21693" s="185"/>
    </row>
    <row r="21694">
      <c r="D21694" s="185"/>
      <c r="E21694" s="185" t="s">
        <v>470</v>
      </c>
      <c r="H21694" s="185"/>
    </row>
    <row r="21695">
      <c r="D21695" s="185"/>
      <c r="E21695" s="185" t="s">
        <v>470</v>
      </c>
      <c r="H21695" s="185"/>
    </row>
    <row r="21696">
      <c r="D21696" s="185"/>
      <c r="E21696" s="185" t="s">
        <v>470</v>
      </c>
      <c r="H21696" s="185"/>
    </row>
    <row r="21697">
      <c r="D21697" s="185"/>
      <c r="E21697" s="185" t="s">
        <v>470</v>
      </c>
      <c r="H21697" s="185"/>
    </row>
    <row r="21698">
      <c r="D21698" s="185"/>
      <c r="E21698" s="185" t="s">
        <v>470</v>
      </c>
      <c r="H21698" s="185"/>
    </row>
    <row r="21699">
      <c r="D21699" s="185"/>
      <c r="E21699" s="185" t="s">
        <v>470</v>
      </c>
      <c r="H21699" s="185"/>
    </row>
    <row r="21700">
      <c r="D21700" s="185"/>
      <c r="E21700" s="185" t="s">
        <v>470</v>
      </c>
      <c r="H21700" s="185"/>
    </row>
    <row r="21701">
      <c r="D21701" s="185"/>
      <c r="E21701" s="185" t="s">
        <v>470</v>
      </c>
      <c r="H21701" s="185"/>
    </row>
    <row r="21702">
      <c r="D21702" s="185"/>
      <c r="E21702" s="185" t="s">
        <v>470</v>
      </c>
      <c r="H21702" s="185"/>
    </row>
    <row r="21703">
      <c r="D21703" s="185"/>
      <c r="E21703" s="185" t="s">
        <v>470</v>
      </c>
      <c r="H21703" s="185"/>
    </row>
    <row r="21704">
      <c r="D21704" s="185"/>
      <c r="E21704" s="185" t="s">
        <v>470</v>
      </c>
      <c r="H21704" s="185"/>
    </row>
    <row r="21705">
      <c r="D21705" s="185"/>
      <c r="E21705" s="185" t="s">
        <v>470</v>
      </c>
      <c r="H21705" s="185"/>
    </row>
    <row r="21706">
      <c r="D21706" s="185"/>
      <c r="E21706" s="185" t="s">
        <v>470</v>
      </c>
      <c r="H21706" s="185"/>
    </row>
    <row r="21707">
      <c r="D21707" s="185"/>
      <c r="E21707" s="185" t="s">
        <v>470</v>
      </c>
      <c r="H21707" s="185"/>
    </row>
    <row r="21708">
      <c r="D21708" s="185"/>
      <c r="E21708" s="185" t="s">
        <v>470</v>
      </c>
      <c r="H21708" s="185"/>
    </row>
    <row r="21709">
      <c r="D21709" s="185"/>
      <c r="E21709" s="185" t="s">
        <v>470</v>
      </c>
      <c r="H21709" s="185"/>
    </row>
    <row r="21710">
      <c r="D21710" s="185"/>
      <c r="E21710" s="185" t="s">
        <v>470</v>
      </c>
      <c r="H21710" s="185"/>
    </row>
    <row r="21711">
      <c r="D21711" s="185"/>
      <c r="E21711" s="185" t="s">
        <v>470</v>
      </c>
      <c r="H21711" s="185"/>
    </row>
    <row r="21712">
      <c r="D21712" s="185"/>
      <c r="E21712" s="185" t="s">
        <v>470</v>
      </c>
      <c r="H21712" s="185"/>
    </row>
    <row r="21713">
      <c r="D21713" s="185"/>
      <c r="E21713" s="185" t="s">
        <v>470</v>
      </c>
      <c r="H21713" s="185"/>
    </row>
    <row r="21714">
      <c r="D21714" s="185"/>
      <c r="E21714" s="185" t="s">
        <v>470</v>
      </c>
      <c r="H21714" s="185"/>
    </row>
    <row r="21715">
      <c r="D21715" s="185"/>
      <c r="E21715" s="185" t="s">
        <v>470</v>
      </c>
      <c r="H21715" s="185"/>
    </row>
    <row r="21716">
      <c r="D21716" s="185"/>
      <c r="E21716" s="185" t="s">
        <v>470</v>
      </c>
      <c r="H21716" s="185"/>
    </row>
    <row r="21717">
      <c r="D21717" s="185"/>
      <c r="E21717" s="185" t="s">
        <v>470</v>
      </c>
      <c r="H21717" s="185"/>
    </row>
    <row r="21718">
      <c r="D21718" s="185"/>
      <c r="E21718" s="185" t="s">
        <v>470</v>
      </c>
      <c r="H21718" s="185"/>
    </row>
    <row r="21719">
      <c r="D21719" s="185"/>
      <c r="E21719" s="185" t="s">
        <v>470</v>
      </c>
      <c r="H21719" s="185"/>
    </row>
    <row r="21720">
      <c r="D21720" s="185"/>
      <c r="E21720" s="185" t="s">
        <v>470</v>
      </c>
      <c r="H21720" s="185"/>
    </row>
    <row r="21721">
      <c r="D21721" s="185"/>
      <c r="E21721" s="185" t="s">
        <v>470</v>
      </c>
      <c r="H21721" s="185"/>
    </row>
    <row r="21722">
      <c r="D21722" s="185"/>
      <c r="E21722" s="185" t="s">
        <v>470</v>
      </c>
      <c r="H21722" s="185"/>
    </row>
    <row r="21723">
      <c r="D21723" s="185"/>
      <c r="E21723" s="185" t="s">
        <v>470</v>
      </c>
      <c r="H21723" s="185"/>
    </row>
    <row r="21724">
      <c r="D21724" s="185"/>
      <c r="E21724" s="185" t="s">
        <v>470</v>
      </c>
      <c r="H21724" s="185"/>
    </row>
    <row r="21725">
      <c r="D21725" s="185"/>
      <c r="E21725" s="185" t="s">
        <v>470</v>
      </c>
      <c r="H21725" s="185"/>
    </row>
    <row r="21726">
      <c r="D21726" s="185"/>
      <c r="E21726" s="185" t="s">
        <v>470</v>
      </c>
      <c r="H21726" s="185"/>
    </row>
    <row r="21727">
      <c r="D21727" s="185"/>
      <c r="E21727" s="185" t="s">
        <v>470</v>
      </c>
      <c r="H21727" s="185"/>
    </row>
    <row r="21728">
      <c r="D21728" s="185"/>
      <c r="E21728" s="185" t="s">
        <v>470</v>
      </c>
      <c r="H21728" s="185"/>
    </row>
    <row r="21729">
      <c r="D21729" s="185"/>
      <c r="E21729" s="185" t="s">
        <v>470</v>
      </c>
      <c r="H21729" s="185"/>
    </row>
    <row r="21730">
      <c r="D21730" s="185"/>
      <c r="E21730" s="185" t="s">
        <v>470</v>
      </c>
      <c r="H21730" s="185"/>
    </row>
    <row r="21731">
      <c r="D21731" s="185"/>
      <c r="E21731" s="185" t="s">
        <v>470</v>
      </c>
      <c r="H21731" s="185"/>
    </row>
    <row r="21732">
      <c r="D21732" s="185"/>
      <c r="E21732" s="185" t="s">
        <v>470</v>
      </c>
      <c r="H21732" s="185"/>
    </row>
    <row r="21733">
      <c r="D21733" s="185"/>
      <c r="E21733" s="185" t="s">
        <v>470</v>
      </c>
      <c r="H21733" s="185"/>
    </row>
    <row r="21734">
      <c r="D21734" s="185"/>
      <c r="E21734" s="185" t="s">
        <v>470</v>
      </c>
      <c r="H21734" s="185"/>
    </row>
    <row r="21735">
      <c r="D21735" s="185"/>
      <c r="E21735" s="185" t="s">
        <v>470</v>
      </c>
      <c r="H21735" s="185"/>
    </row>
    <row r="21736">
      <c r="D21736" s="185"/>
      <c r="E21736" s="185" t="s">
        <v>470</v>
      </c>
      <c r="H21736" s="185"/>
    </row>
    <row r="21737">
      <c r="D21737" s="185"/>
      <c r="E21737" s="185" t="s">
        <v>470</v>
      </c>
      <c r="H21737" s="185"/>
    </row>
    <row r="21738">
      <c r="D21738" s="185"/>
      <c r="E21738" s="185" t="s">
        <v>470</v>
      </c>
      <c r="H21738" s="185"/>
    </row>
    <row r="21739">
      <c r="D21739" s="185"/>
      <c r="E21739" s="185" t="s">
        <v>470</v>
      </c>
      <c r="H21739" s="185"/>
    </row>
    <row r="21740">
      <c r="D21740" s="185"/>
      <c r="E21740" s="185" t="s">
        <v>470</v>
      </c>
      <c r="H21740" s="185"/>
    </row>
    <row r="21741">
      <c r="D21741" s="185"/>
      <c r="E21741" s="185" t="s">
        <v>470</v>
      </c>
      <c r="H21741" s="185"/>
    </row>
    <row r="21742">
      <c r="D21742" s="185"/>
      <c r="E21742" s="185" t="s">
        <v>470</v>
      </c>
      <c r="H21742" s="185"/>
    </row>
    <row r="21743">
      <c r="D21743" s="185"/>
      <c r="E21743" s="185" t="s">
        <v>470</v>
      </c>
      <c r="H21743" s="185"/>
    </row>
    <row r="21744">
      <c r="D21744" s="185"/>
      <c r="E21744" s="185" t="s">
        <v>470</v>
      </c>
      <c r="H21744" s="185"/>
    </row>
    <row r="21745">
      <c r="D21745" s="185"/>
      <c r="E21745" s="185" t="s">
        <v>470</v>
      </c>
      <c r="H21745" s="185"/>
    </row>
    <row r="21746">
      <c r="D21746" s="185"/>
      <c r="E21746" s="185" t="s">
        <v>470</v>
      </c>
      <c r="H21746" s="185"/>
    </row>
    <row r="21747">
      <c r="D21747" s="185"/>
      <c r="E21747" s="185" t="s">
        <v>470</v>
      </c>
      <c r="H21747" s="185"/>
    </row>
    <row r="21748">
      <c r="D21748" s="185"/>
      <c r="E21748" s="185" t="s">
        <v>470</v>
      </c>
      <c r="H21748" s="185"/>
    </row>
    <row r="21749">
      <c r="D21749" s="185"/>
      <c r="E21749" s="185" t="s">
        <v>470</v>
      </c>
      <c r="H21749" s="185"/>
    </row>
    <row r="21750">
      <c r="D21750" s="185"/>
      <c r="E21750" s="185" t="s">
        <v>470</v>
      </c>
      <c r="H21750" s="185"/>
    </row>
    <row r="21751">
      <c r="D21751" s="185"/>
      <c r="E21751" s="185" t="s">
        <v>470</v>
      </c>
      <c r="H21751" s="185"/>
    </row>
    <row r="21752">
      <c r="D21752" s="185"/>
      <c r="E21752" s="185" t="s">
        <v>470</v>
      </c>
      <c r="H21752" s="185"/>
    </row>
    <row r="21753">
      <c r="D21753" s="185"/>
      <c r="E21753" s="185" t="s">
        <v>470</v>
      </c>
      <c r="H21753" s="185"/>
    </row>
    <row r="21754">
      <c r="D21754" s="185"/>
      <c r="E21754" s="185" t="s">
        <v>470</v>
      </c>
      <c r="H21754" s="185"/>
    </row>
    <row r="21755">
      <c r="D21755" s="185"/>
      <c r="E21755" s="185" t="s">
        <v>470</v>
      </c>
      <c r="H21755" s="185"/>
    </row>
    <row r="21756">
      <c r="D21756" s="185"/>
      <c r="E21756" s="185" t="s">
        <v>470</v>
      </c>
      <c r="H21756" s="185"/>
    </row>
    <row r="21757">
      <c r="D21757" s="185"/>
      <c r="E21757" s="185" t="s">
        <v>470</v>
      </c>
      <c r="H21757" s="185"/>
    </row>
    <row r="21758">
      <c r="D21758" s="185"/>
      <c r="E21758" s="185" t="s">
        <v>470</v>
      </c>
      <c r="H21758" s="185"/>
    </row>
    <row r="21759">
      <c r="D21759" s="185"/>
      <c r="E21759" s="185" t="s">
        <v>470</v>
      </c>
      <c r="H21759" s="185"/>
    </row>
    <row r="21760">
      <c r="D21760" s="185"/>
      <c r="E21760" s="185" t="s">
        <v>470</v>
      </c>
      <c r="H21760" s="185"/>
    </row>
    <row r="21761">
      <c r="D21761" s="185"/>
      <c r="E21761" s="185" t="s">
        <v>470</v>
      </c>
      <c r="H21761" s="185"/>
    </row>
    <row r="21762">
      <c r="D21762" s="185"/>
      <c r="E21762" s="185" t="s">
        <v>470</v>
      </c>
      <c r="H21762" s="185"/>
    </row>
    <row r="21763">
      <c r="D21763" s="185"/>
      <c r="E21763" s="185" t="s">
        <v>470</v>
      </c>
      <c r="H21763" s="185"/>
    </row>
    <row r="21764">
      <c r="D21764" s="185"/>
      <c r="E21764" s="185" t="s">
        <v>470</v>
      </c>
      <c r="H21764" s="185"/>
    </row>
    <row r="21765">
      <c r="D21765" s="185"/>
      <c r="E21765" s="185" t="s">
        <v>470</v>
      </c>
      <c r="H21765" s="185"/>
    </row>
    <row r="21766">
      <c r="D21766" s="185"/>
      <c r="E21766" s="185" t="s">
        <v>470</v>
      </c>
      <c r="H21766" s="185"/>
    </row>
    <row r="21767">
      <c r="D21767" s="185"/>
      <c r="E21767" s="185" t="s">
        <v>470</v>
      </c>
      <c r="H21767" s="185"/>
    </row>
    <row r="21768">
      <c r="D21768" s="185"/>
      <c r="E21768" s="185" t="s">
        <v>470</v>
      </c>
      <c r="H21768" s="185"/>
    </row>
    <row r="21769">
      <c r="D21769" s="185"/>
      <c r="E21769" s="185" t="s">
        <v>470</v>
      </c>
      <c r="H21769" s="185"/>
    </row>
    <row r="21770">
      <c r="D21770" s="185"/>
      <c r="E21770" s="185" t="s">
        <v>470</v>
      </c>
      <c r="H21770" s="185"/>
    </row>
    <row r="21771">
      <c r="D21771" s="185"/>
      <c r="E21771" s="185" t="s">
        <v>470</v>
      </c>
      <c r="H21771" s="185"/>
    </row>
    <row r="21772">
      <c r="D21772" s="185"/>
      <c r="E21772" s="185" t="s">
        <v>470</v>
      </c>
      <c r="H21772" s="185"/>
    </row>
    <row r="21773">
      <c r="D21773" s="185"/>
      <c r="E21773" s="185" t="s">
        <v>470</v>
      </c>
      <c r="H21773" s="185"/>
    </row>
    <row r="21774">
      <c r="D21774" s="185"/>
      <c r="E21774" s="185" t="s">
        <v>470</v>
      </c>
      <c r="H21774" s="185"/>
    </row>
    <row r="21775">
      <c r="D21775" s="185"/>
      <c r="E21775" s="185" t="s">
        <v>470</v>
      </c>
      <c r="H21775" s="185"/>
    </row>
    <row r="21776">
      <c r="D21776" s="185"/>
      <c r="E21776" s="185" t="s">
        <v>470</v>
      </c>
      <c r="H21776" s="185"/>
    </row>
    <row r="21777">
      <c r="D21777" s="185"/>
      <c r="E21777" s="185" t="s">
        <v>470</v>
      </c>
      <c r="H21777" s="185"/>
    </row>
    <row r="21778">
      <c r="D21778" s="185"/>
      <c r="E21778" s="185" t="s">
        <v>470</v>
      </c>
      <c r="H21778" s="185"/>
    </row>
    <row r="21779">
      <c r="D21779" s="185"/>
      <c r="E21779" s="185" t="s">
        <v>470</v>
      </c>
      <c r="H21779" s="185"/>
    </row>
    <row r="21780">
      <c r="D21780" s="185"/>
      <c r="E21780" s="185" t="s">
        <v>470</v>
      </c>
      <c r="H21780" s="185"/>
    </row>
    <row r="21781">
      <c r="D21781" s="185"/>
      <c r="E21781" s="185" t="s">
        <v>470</v>
      </c>
      <c r="H21781" s="185"/>
    </row>
    <row r="21782">
      <c r="D21782" s="185"/>
      <c r="E21782" s="185" t="s">
        <v>470</v>
      </c>
      <c r="H21782" s="185"/>
    </row>
    <row r="21783">
      <c r="D21783" s="185"/>
      <c r="E21783" s="185" t="s">
        <v>470</v>
      </c>
      <c r="H21783" s="185"/>
    </row>
    <row r="21784">
      <c r="D21784" s="185"/>
      <c r="E21784" s="185" t="s">
        <v>470</v>
      </c>
      <c r="H21784" s="185"/>
    </row>
    <row r="21785">
      <c r="D21785" s="185"/>
      <c r="E21785" s="185" t="s">
        <v>470</v>
      </c>
      <c r="H21785" s="185"/>
    </row>
    <row r="21786">
      <c r="D21786" s="185"/>
      <c r="E21786" s="185" t="s">
        <v>470</v>
      </c>
      <c r="H21786" s="185"/>
    </row>
    <row r="21787">
      <c r="D21787" s="185"/>
      <c r="E21787" s="185" t="s">
        <v>470</v>
      </c>
      <c r="H21787" s="185"/>
    </row>
    <row r="21788">
      <c r="D21788" s="185"/>
      <c r="E21788" s="185" t="s">
        <v>470</v>
      </c>
      <c r="H21788" s="185"/>
    </row>
    <row r="21789">
      <c r="D21789" s="185"/>
      <c r="E21789" s="185" t="s">
        <v>470</v>
      </c>
      <c r="H21789" s="185"/>
    </row>
    <row r="21790">
      <c r="D21790" s="185"/>
      <c r="E21790" s="185" t="s">
        <v>470</v>
      </c>
      <c r="H21790" s="185"/>
    </row>
    <row r="21791">
      <c r="D21791" s="185"/>
      <c r="E21791" s="185" t="s">
        <v>470</v>
      </c>
      <c r="H21791" s="185"/>
    </row>
    <row r="21792">
      <c r="D21792" s="185"/>
      <c r="E21792" s="185" t="s">
        <v>470</v>
      </c>
      <c r="H21792" s="185"/>
    </row>
    <row r="21793">
      <c r="D21793" s="185"/>
      <c r="E21793" s="185" t="s">
        <v>470</v>
      </c>
      <c r="H21793" s="185"/>
    </row>
    <row r="21794">
      <c r="D21794" s="185"/>
      <c r="E21794" s="185" t="s">
        <v>470</v>
      </c>
      <c r="H21794" s="185"/>
    </row>
    <row r="21795">
      <c r="D21795" s="185"/>
      <c r="E21795" s="185" t="s">
        <v>470</v>
      </c>
      <c r="H21795" s="185"/>
    </row>
    <row r="21796">
      <c r="D21796" s="185"/>
      <c r="E21796" s="185" t="s">
        <v>470</v>
      </c>
      <c r="H21796" s="185"/>
    </row>
    <row r="21797">
      <c r="D21797" s="185"/>
      <c r="E21797" s="185" t="s">
        <v>470</v>
      </c>
      <c r="H21797" s="185"/>
    </row>
    <row r="21798">
      <c r="D21798" s="185"/>
      <c r="E21798" s="185" t="s">
        <v>470</v>
      </c>
      <c r="H21798" s="185"/>
    </row>
    <row r="21799">
      <c r="D21799" s="185"/>
      <c r="E21799" s="185" t="s">
        <v>470</v>
      </c>
      <c r="H21799" s="185"/>
    </row>
    <row r="21800">
      <c r="D21800" s="185"/>
      <c r="E21800" s="185" t="s">
        <v>470</v>
      </c>
      <c r="H21800" s="185"/>
    </row>
    <row r="21801">
      <c r="D21801" s="185"/>
      <c r="E21801" s="185" t="s">
        <v>470</v>
      </c>
      <c r="H21801" s="185"/>
    </row>
    <row r="21802">
      <c r="D21802" s="185"/>
      <c r="E21802" s="185" t="s">
        <v>470</v>
      </c>
      <c r="H21802" s="185"/>
    </row>
    <row r="21803">
      <c r="D21803" s="185"/>
      <c r="E21803" s="185" t="s">
        <v>470</v>
      </c>
      <c r="H21803" s="185"/>
    </row>
    <row r="21804">
      <c r="D21804" s="185"/>
      <c r="E21804" s="185" t="s">
        <v>470</v>
      </c>
      <c r="H21804" s="185"/>
    </row>
    <row r="21805">
      <c r="D21805" s="185"/>
      <c r="E21805" s="185" t="s">
        <v>470</v>
      </c>
      <c r="H21805" s="185"/>
    </row>
    <row r="21806">
      <c r="D21806" s="185"/>
      <c r="E21806" s="185" t="s">
        <v>470</v>
      </c>
      <c r="H21806" s="185"/>
    </row>
    <row r="21807">
      <c r="D21807" s="185"/>
      <c r="E21807" s="185" t="s">
        <v>470</v>
      </c>
      <c r="H21807" s="185"/>
    </row>
    <row r="21808">
      <c r="D21808" s="185"/>
      <c r="E21808" s="185" t="s">
        <v>470</v>
      </c>
      <c r="H21808" s="185"/>
    </row>
    <row r="21809">
      <c r="D21809" s="185"/>
      <c r="E21809" s="185" t="s">
        <v>470</v>
      </c>
      <c r="H21809" s="185"/>
    </row>
    <row r="21810">
      <c r="D21810" s="185"/>
      <c r="E21810" s="185" t="s">
        <v>470</v>
      </c>
      <c r="H21810" s="185"/>
    </row>
    <row r="21811">
      <c r="D21811" s="185"/>
      <c r="E21811" s="185" t="s">
        <v>470</v>
      </c>
      <c r="H21811" s="185"/>
    </row>
    <row r="21812">
      <c r="D21812" s="185"/>
      <c r="E21812" s="185" t="s">
        <v>470</v>
      </c>
      <c r="H21812" s="185"/>
    </row>
    <row r="21813">
      <c r="D21813" s="185"/>
      <c r="E21813" s="185" t="s">
        <v>470</v>
      </c>
      <c r="H21813" s="185"/>
    </row>
    <row r="21814">
      <c r="D21814" s="185"/>
      <c r="E21814" s="185" t="s">
        <v>470</v>
      </c>
      <c r="H21814" s="185"/>
    </row>
    <row r="21815">
      <c r="D21815" s="185"/>
      <c r="E21815" s="185" t="s">
        <v>470</v>
      </c>
      <c r="H21815" s="185"/>
    </row>
    <row r="21816">
      <c r="D21816" s="185"/>
      <c r="E21816" s="185" t="s">
        <v>470</v>
      </c>
      <c r="H21816" s="185"/>
    </row>
    <row r="21817">
      <c r="D21817" s="185"/>
      <c r="E21817" s="185" t="s">
        <v>470</v>
      </c>
      <c r="H21817" s="185"/>
    </row>
    <row r="21818">
      <c r="D21818" s="185"/>
      <c r="E21818" s="185" t="s">
        <v>470</v>
      </c>
      <c r="H21818" s="185"/>
    </row>
    <row r="21819">
      <c r="D21819" s="185"/>
      <c r="E21819" s="185" t="s">
        <v>470</v>
      </c>
      <c r="H21819" s="185"/>
    </row>
    <row r="21820">
      <c r="D21820" s="185"/>
      <c r="E21820" s="185" t="s">
        <v>470</v>
      </c>
      <c r="H21820" s="185"/>
    </row>
    <row r="21821">
      <c r="D21821" s="185"/>
      <c r="E21821" s="185" t="s">
        <v>470</v>
      </c>
      <c r="H21821" s="185"/>
    </row>
    <row r="21822">
      <c r="D21822" s="185"/>
      <c r="E21822" s="185" t="s">
        <v>470</v>
      </c>
      <c r="H21822" s="185"/>
    </row>
    <row r="21823">
      <c r="D21823" s="185"/>
      <c r="E21823" s="185" t="s">
        <v>470</v>
      </c>
      <c r="H21823" s="185"/>
    </row>
    <row r="21824">
      <c r="D21824" s="185"/>
      <c r="E21824" s="185" t="s">
        <v>470</v>
      </c>
      <c r="H21824" s="185"/>
    </row>
    <row r="21825">
      <c r="D21825" s="185"/>
      <c r="E21825" s="185" t="s">
        <v>470</v>
      </c>
      <c r="H21825" s="185"/>
    </row>
    <row r="21826">
      <c r="D21826" s="185"/>
      <c r="E21826" s="185" t="s">
        <v>470</v>
      </c>
      <c r="H21826" s="185"/>
    </row>
    <row r="21827">
      <c r="D21827" s="185"/>
      <c r="E21827" s="185" t="s">
        <v>470</v>
      </c>
      <c r="H21827" s="185"/>
    </row>
    <row r="21828">
      <c r="D21828" s="185"/>
      <c r="E21828" s="185" t="s">
        <v>470</v>
      </c>
      <c r="H21828" s="185"/>
    </row>
    <row r="21829">
      <c r="D21829" s="185"/>
      <c r="E21829" s="185" t="s">
        <v>470</v>
      </c>
      <c r="H21829" s="185"/>
    </row>
    <row r="21830">
      <c r="D21830" s="185"/>
      <c r="E21830" s="185" t="s">
        <v>470</v>
      </c>
      <c r="H21830" s="185"/>
    </row>
    <row r="21831">
      <c r="D21831" s="185"/>
      <c r="E21831" s="185" t="s">
        <v>470</v>
      </c>
      <c r="H21831" s="185"/>
    </row>
    <row r="21832">
      <c r="D21832" s="185"/>
      <c r="E21832" s="185" t="s">
        <v>470</v>
      </c>
      <c r="H21832" s="185"/>
    </row>
    <row r="21833">
      <c r="D21833" s="185"/>
      <c r="E21833" s="185" t="s">
        <v>470</v>
      </c>
      <c r="H21833" s="185"/>
    </row>
    <row r="21834">
      <c r="D21834" s="185"/>
      <c r="E21834" s="185" t="s">
        <v>470</v>
      </c>
      <c r="H21834" s="185"/>
    </row>
    <row r="21835">
      <c r="D21835" s="185"/>
      <c r="E21835" s="185" t="s">
        <v>470</v>
      </c>
      <c r="H21835" s="185"/>
    </row>
    <row r="21836">
      <c r="D21836" s="185"/>
      <c r="E21836" s="185" t="s">
        <v>470</v>
      </c>
      <c r="H21836" s="185"/>
    </row>
    <row r="21837">
      <c r="D21837" s="185"/>
      <c r="E21837" s="185" t="s">
        <v>470</v>
      </c>
      <c r="H21837" s="185"/>
    </row>
    <row r="21838">
      <c r="D21838" s="185"/>
      <c r="E21838" s="185" t="s">
        <v>470</v>
      </c>
      <c r="H21838" s="185"/>
    </row>
    <row r="21839">
      <c r="D21839" s="185"/>
      <c r="E21839" s="185" t="s">
        <v>470</v>
      </c>
      <c r="H21839" s="185"/>
    </row>
    <row r="21840">
      <c r="D21840" s="185"/>
      <c r="E21840" s="185" t="s">
        <v>470</v>
      </c>
      <c r="H21840" s="185"/>
    </row>
    <row r="21841">
      <c r="D21841" s="185"/>
      <c r="E21841" s="185" t="s">
        <v>470</v>
      </c>
      <c r="H21841" s="185"/>
    </row>
    <row r="21842">
      <c r="D21842" s="185"/>
      <c r="E21842" s="185" t="s">
        <v>470</v>
      </c>
      <c r="H21842" s="185"/>
    </row>
    <row r="21843">
      <c r="D21843" s="185"/>
      <c r="E21843" s="185" t="s">
        <v>470</v>
      </c>
      <c r="H21843" s="185"/>
    </row>
    <row r="21844">
      <c r="D21844" s="185"/>
      <c r="E21844" s="185" t="s">
        <v>470</v>
      </c>
      <c r="H21844" s="185"/>
    </row>
    <row r="21845">
      <c r="D21845" s="185"/>
      <c r="E21845" s="185" t="s">
        <v>470</v>
      </c>
      <c r="H21845" s="185"/>
    </row>
    <row r="21846">
      <c r="D21846" s="185"/>
      <c r="E21846" s="185" t="s">
        <v>470</v>
      </c>
      <c r="H21846" s="185"/>
    </row>
    <row r="21847">
      <c r="D21847" s="185"/>
      <c r="E21847" s="185" t="s">
        <v>470</v>
      </c>
      <c r="H21847" s="185"/>
    </row>
    <row r="21848">
      <c r="D21848" s="185"/>
      <c r="E21848" s="185" t="s">
        <v>470</v>
      </c>
      <c r="H21848" s="185"/>
    </row>
    <row r="21849">
      <c r="D21849" s="185"/>
      <c r="E21849" s="185" t="s">
        <v>470</v>
      </c>
      <c r="H21849" s="185"/>
    </row>
    <row r="21850">
      <c r="D21850" s="185"/>
      <c r="E21850" s="185" t="s">
        <v>470</v>
      </c>
      <c r="H21850" s="185"/>
    </row>
    <row r="21851">
      <c r="D21851" s="185"/>
      <c r="E21851" s="185" t="s">
        <v>470</v>
      </c>
      <c r="H21851" s="185"/>
    </row>
    <row r="21852">
      <c r="D21852" s="185"/>
      <c r="E21852" s="185" t="s">
        <v>470</v>
      </c>
      <c r="H21852" s="185"/>
    </row>
    <row r="21853">
      <c r="D21853" s="185"/>
      <c r="E21853" s="185" t="s">
        <v>470</v>
      </c>
      <c r="H21853" s="185"/>
    </row>
    <row r="21854">
      <c r="D21854" s="185"/>
      <c r="E21854" s="185" t="s">
        <v>470</v>
      </c>
      <c r="H21854" s="185"/>
    </row>
    <row r="21855">
      <c r="D21855" s="185"/>
      <c r="E21855" s="185" t="s">
        <v>470</v>
      </c>
      <c r="H21855" s="185"/>
    </row>
    <row r="21856">
      <c r="D21856" s="185"/>
      <c r="E21856" s="185" t="s">
        <v>470</v>
      </c>
      <c r="H21856" s="185"/>
    </row>
    <row r="21857">
      <c r="D21857" s="185"/>
      <c r="E21857" s="185" t="s">
        <v>470</v>
      </c>
      <c r="H21857" s="185"/>
    </row>
    <row r="21858">
      <c r="D21858" s="185"/>
      <c r="E21858" s="185" t="s">
        <v>470</v>
      </c>
      <c r="H21858" s="185"/>
    </row>
    <row r="21859">
      <c r="D21859" s="185"/>
      <c r="E21859" s="185" t="s">
        <v>470</v>
      </c>
      <c r="H21859" s="185"/>
    </row>
    <row r="21860">
      <c r="D21860" s="185"/>
      <c r="E21860" s="185" t="s">
        <v>470</v>
      </c>
      <c r="H21860" s="185"/>
    </row>
    <row r="21861">
      <c r="D21861" s="185"/>
      <c r="E21861" s="185" t="s">
        <v>470</v>
      </c>
      <c r="H21861" s="185"/>
    </row>
    <row r="21862">
      <c r="D21862" s="185"/>
      <c r="E21862" s="185" t="s">
        <v>470</v>
      </c>
      <c r="H21862" s="185"/>
    </row>
    <row r="21863">
      <c r="D21863" s="185"/>
      <c r="E21863" s="185" t="s">
        <v>470</v>
      </c>
      <c r="H21863" s="185"/>
    </row>
    <row r="21864">
      <c r="D21864" s="185"/>
      <c r="E21864" s="185" t="s">
        <v>470</v>
      </c>
      <c r="H21864" s="185"/>
    </row>
    <row r="21865">
      <c r="D21865" s="185"/>
      <c r="E21865" s="185" t="s">
        <v>470</v>
      </c>
      <c r="H21865" s="185"/>
    </row>
    <row r="21866">
      <c r="D21866" s="185"/>
      <c r="E21866" s="185" t="s">
        <v>470</v>
      </c>
      <c r="H21866" s="185"/>
    </row>
    <row r="21867">
      <c r="D21867" s="185"/>
      <c r="E21867" s="185" t="s">
        <v>470</v>
      </c>
      <c r="H21867" s="185"/>
    </row>
    <row r="21868">
      <c r="D21868" s="185"/>
      <c r="E21868" s="185" t="s">
        <v>470</v>
      </c>
      <c r="H21868" s="185"/>
    </row>
    <row r="21869">
      <c r="D21869" s="185"/>
      <c r="E21869" s="185" t="s">
        <v>470</v>
      </c>
      <c r="H21869" s="185"/>
    </row>
    <row r="21870">
      <c r="D21870" s="185"/>
      <c r="E21870" s="185" t="s">
        <v>470</v>
      </c>
      <c r="H21870" s="185"/>
    </row>
    <row r="21871">
      <c r="D21871" s="185"/>
      <c r="E21871" s="185" t="s">
        <v>470</v>
      </c>
      <c r="H21871" s="185"/>
    </row>
    <row r="21872">
      <c r="D21872" s="185"/>
      <c r="E21872" s="185" t="s">
        <v>470</v>
      </c>
      <c r="H21872" s="185"/>
    </row>
    <row r="21873">
      <c r="D21873" s="185"/>
      <c r="E21873" s="185" t="s">
        <v>470</v>
      </c>
      <c r="H21873" s="185"/>
    </row>
    <row r="21874">
      <c r="D21874" s="185"/>
      <c r="E21874" s="185" t="s">
        <v>470</v>
      </c>
      <c r="H21874" s="185"/>
    </row>
    <row r="21875">
      <c r="D21875" s="185"/>
      <c r="E21875" s="185" t="s">
        <v>470</v>
      </c>
      <c r="H21875" s="185"/>
    </row>
    <row r="21876">
      <c r="D21876" s="185"/>
      <c r="E21876" s="185" t="s">
        <v>470</v>
      </c>
      <c r="H21876" s="185"/>
    </row>
    <row r="21877">
      <c r="D21877" s="185"/>
      <c r="E21877" s="185" t="s">
        <v>470</v>
      </c>
      <c r="H21877" s="185"/>
    </row>
    <row r="21878">
      <c r="D21878" s="185"/>
      <c r="E21878" s="185" t="s">
        <v>470</v>
      </c>
      <c r="H21878" s="185"/>
    </row>
    <row r="21879">
      <c r="D21879" s="185"/>
      <c r="E21879" s="185" t="s">
        <v>470</v>
      </c>
      <c r="H21879" s="185"/>
    </row>
    <row r="21880">
      <c r="D21880" s="185"/>
      <c r="E21880" s="185" t="s">
        <v>470</v>
      </c>
      <c r="H21880" s="185"/>
    </row>
    <row r="21881">
      <c r="D21881" s="185"/>
      <c r="E21881" s="185" t="s">
        <v>470</v>
      </c>
      <c r="H21881" s="185"/>
    </row>
    <row r="21882">
      <c r="D21882" s="185"/>
      <c r="E21882" s="185" t="s">
        <v>470</v>
      </c>
      <c r="H21882" s="185"/>
    </row>
    <row r="21883">
      <c r="D21883" s="185"/>
      <c r="E21883" s="185" t="s">
        <v>470</v>
      </c>
      <c r="H21883" s="185"/>
    </row>
    <row r="21884">
      <c r="D21884" s="185"/>
      <c r="E21884" s="185" t="s">
        <v>470</v>
      </c>
      <c r="H21884" s="185"/>
    </row>
    <row r="21885">
      <c r="D21885" s="185"/>
      <c r="E21885" s="185" t="s">
        <v>470</v>
      </c>
      <c r="H21885" s="185"/>
    </row>
    <row r="21886">
      <c r="D21886" s="185"/>
      <c r="E21886" s="185" t="s">
        <v>470</v>
      </c>
      <c r="H21886" s="185"/>
    </row>
    <row r="21887">
      <c r="D21887" s="185"/>
      <c r="E21887" s="185" t="s">
        <v>470</v>
      </c>
      <c r="H21887" s="185"/>
    </row>
    <row r="21888">
      <c r="D21888" s="185"/>
      <c r="E21888" s="185" t="s">
        <v>470</v>
      </c>
      <c r="H21888" s="185"/>
    </row>
    <row r="21889">
      <c r="D21889" s="185"/>
      <c r="E21889" s="185" t="s">
        <v>470</v>
      </c>
      <c r="H21889" s="185"/>
    </row>
    <row r="21890">
      <c r="D21890" s="185"/>
      <c r="E21890" s="185" t="s">
        <v>470</v>
      </c>
      <c r="H21890" s="185"/>
    </row>
    <row r="21891">
      <c r="D21891" s="185"/>
      <c r="E21891" s="185" t="s">
        <v>470</v>
      </c>
      <c r="H21891" s="185"/>
    </row>
    <row r="21892">
      <c r="D21892" s="185"/>
      <c r="E21892" s="185" t="s">
        <v>470</v>
      </c>
      <c r="H21892" s="185"/>
    </row>
    <row r="21893">
      <c r="D21893" s="185"/>
      <c r="E21893" s="185" t="s">
        <v>470</v>
      </c>
      <c r="H21893" s="185"/>
    </row>
    <row r="21894">
      <c r="D21894" s="185"/>
      <c r="E21894" s="185" t="s">
        <v>470</v>
      </c>
      <c r="H21894" s="185"/>
    </row>
    <row r="21895">
      <c r="D21895" s="185"/>
      <c r="E21895" s="185" t="s">
        <v>470</v>
      </c>
      <c r="H21895" s="185"/>
    </row>
    <row r="21896">
      <c r="D21896" s="185"/>
      <c r="E21896" s="185" t="s">
        <v>470</v>
      </c>
      <c r="H21896" s="185"/>
    </row>
    <row r="21897">
      <c r="D21897" s="185"/>
      <c r="E21897" s="185" t="s">
        <v>470</v>
      </c>
      <c r="H21897" s="185"/>
    </row>
    <row r="21898">
      <c r="D21898" s="185"/>
      <c r="E21898" s="185" t="s">
        <v>470</v>
      </c>
      <c r="H21898" s="185"/>
    </row>
    <row r="21899">
      <c r="D21899" s="185"/>
      <c r="E21899" s="185" t="s">
        <v>470</v>
      </c>
      <c r="H21899" s="185"/>
    </row>
    <row r="21900">
      <c r="D21900" s="185"/>
      <c r="E21900" s="185" t="s">
        <v>470</v>
      </c>
      <c r="H21900" s="185"/>
    </row>
    <row r="21901">
      <c r="D21901" s="185"/>
      <c r="E21901" s="185" t="s">
        <v>470</v>
      </c>
      <c r="H21901" s="185"/>
    </row>
    <row r="21902">
      <c r="D21902" s="185"/>
      <c r="E21902" s="185" t="s">
        <v>470</v>
      </c>
      <c r="H21902" s="185"/>
    </row>
    <row r="21903">
      <c r="D21903" s="185"/>
      <c r="E21903" s="185" t="s">
        <v>470</v>
      </c>
      <c r="H21903" s="185"/>
    </row>
    <row r="21904">
      <c r="D21904" s="185"/>
      <c r="E21904" s="185" t="s">
        <v>470</v>
      </c>
      <c r="H21904" s="185"/>
    </row>
    <row r="21905">
      <c r="D21905" s="185"/>
      <c r="E21905" s="185" t="s">
        <v>470</v>
      </c>
      <c r="H21905" s="185"/>
    </row>
    <row r="21906">
      <c r="D21906" s="185"/>
      <c r="E21906" s="185" t="s">
        <v>470</v>
      </c>
      <c r="H21906" s="185"/>
    </row>
    <row r="21907">
      <c r="D21907" s="185"/>
      <c r="E21907" s="185" t="s">
        <v>470</v>
      </c>
      <c r="H21907" s="185"/>
    </row>
    <row r="21908">
      <c r="D21908" s="185"/>
      <c r="E21908" s="185" t="s">
        <v>470</v>
      </c>
      <c r="H21908" s="185"/>
    </row>
    <row r="21909">
      <c r="D21909" s="185"/>
      <c r="E21909" s="185" t="s">
        <v>470</v>
      </c>
      <c r="H21909" s="185"/>
    </row>
    <row r="21910">
      <c r="D21910" s="185"/>
      <c r="E21910" s="185" t="s">
        <v>470</v>
      </c>
      <c r="H21910" s="185"/>
    </row>
    <row r="21911">
      <c r="D21911" s="185"/>
      <c r="E21911" s="185" t="s">
        <v>470</v>
      </c>
      <c r="H21911" s="185"/>
    </row>
    <row r="21912">
      <c r="D21912" s="185"/>
      <c r="E21912" s="185" t="s">
        <v>470</v>
      </c>
      <c r="H21912" s="185"/>
    </row>
    <row r="21913">
      <c r="D21913" s="185"/>
      <c r="E21913" s="185" t="s">
        <v>470</v>
      </c>
      <c r="H21913" s="185"/>
    </row>
    <row r="21914">
      <c r="D21914" s="185"/>
      <c r="E21914" s="185" t="s">
        <v>470</v>
      </c>
      <c r="H21914" s="185"/>
    </row>
    <row r="21915">
      <c r="D21915" s="185"/>
      <c r="E21915" s="185" t="s">
        <v>470</v>
      </c>
      <c r="H21915" s="185"/>
    </row>
    <row r="21916">
      <c r="D21916" s="185"/>
      <c r="E21916" s="185" t="s">
        <v>470</v>
      </c>
      <c r="H21916" s="185"/>
    </row>
    <row r="21917">
      <c r="D21917" s="185"/>
      <c r="E21917" s="185" t="s">
        <v>470</v>
      </c>
      <c r="H21917" s="185"/>
    </row>
    <row r="21918">
      <c r="D21918" s="185"/>
      <c r="E21918" s="185" t="s">
        <v>470</v>
      </c>
      <c r="H21918" s="185"/>
    </row>
    <row r="21919">
      <c r="D21919" s="185"/>
      <c r="E21919" s="185" t="s">
        <v>470</v>
      </c>
      <c r="H21919" s="185"/>
    </row>
    <row r="21920">
      <c r="D21920" s="185"/>
      <c r="E21920" s="185" t="s">
        <v>470</v>
      </c>
      <c r="H21920" s="185"/>
    </row>
    <row r="21921">
      <c r="D21921" s="185"/>
      <c r="E21921" s="185" t="s">
        <v>470</v>
      </c>
      <c r="H21921" s="185"/>
    </row>
    <row r="21922">
      <c r="D21922" s="185"/>
      <c r="E21922" s="185" t="s">
        <v>470</v>
      </c>
      <c r="H21922" s="185"/>
    </row>
    <row r="21923">
      <c r="D21923" s="185"/>
      <c r="E21923" s="185" t="s">
        <v>470</v>
      </c>
      <c r="H21923" s="185"/>
    </row>
    <row r="21924">
      <c r="D21924" s="185"/>
      <c r="E21924" s="185" t="s">
        <v>470</v>
      </c>
      <c r="H21924" s="185"/>
    </row>
    <row r="21925">
      <c r="D21925" s="185"/>
      <c r="E21925" s="185" t="s">
        <v>470</v>
      </c>
      <c r="H21925" s="185"/>
    </row>
    <row r="21926">
      <c r="D21926" s="185"/>
      <c r="E21926" s="185" t="s">
        <v>470</v>
      </c>
      <c r="H21926" s="185"/>
    </row>
    <row r="21927">
      <c r="D21927" s="185"/>
      <c r="E21927" s="185" t="s">
        <v>470</v>
      </c>
      <c r="H21927" s="185"/>
    </row>
    <row r="21928">
      <c r="D21928" s="185"/>
      <c r="E21928" s="185" t="s">
        <v>470</v>
      </c>
      <c r="H21928" s="185"/>
    </row>
    <row r="21929">
      <c r="D21929" s="185"/>
      <c r="E21929" s="185" t="s">
        <v>470</v>
      </c>
      <c r="H21929" s="185"/>
    </row>
    <row r="21930">
      <c r="D21930" s="185"/>
      <c r="E21930" s="185" t="s">
        <v>470</v>
      </c>
      <c r="H21930" s="185"/>
    </row>
    <row r="21931">
      <c r="D21931" s="185"/>
      <c r="E21931" s="185" t="s">
        <v>470</v>
      </c>
      <c r="H21931" s="185"/>
    </row>
    <row r="21932">
      <c r="D21932" s="185"/>
      <c r="E21932" s="185" t="s">
        <v>470</v>
      </c>
      <c r="H21932" s="185"/>
    </row>
    <row r="21933">
      <c r="D21933" s="185"/>
      <c r="E21933" s="185" t="s">
        <v>470</v>
      </c>
      <c r="H21933" s="185"/>
    </row>
    <row r="21934">
      <c r="D21934" s="185"/>
      <c r="E21934" s="185" t="s">
        <v>470</v>
      </c>
      <c r="H21934" s="185"/>
    </row>
    <row r="21935">
      <c r="D21935" s="185"/>
      <c r="E21935" s="185" t="s">
        <v>470</v>
      </c>
      <c r="H21935" s="185"/>
    </row>
    <row r="21936">
      <c r="D21936" s="185"/>
      <c r="E21936" s="185" t="s">
        <v>470</v>
      </c>
      <c r="H21936" s="185"/>
    </row>
    <row r="21937">
      <c r="D21937" s="185"/>
      <c r="E21937" s="185" t="s">
        <v>470</v>
      </c>
      <c r="H21937" s="185"/>
    </row>
    <row r="21938">
      <c r="D21938" s="185"/>
      <c r="E21938" s="185" t="s">
        <v>470</v>
      </c>
      <c r="H21938" s="185"/>
    </row>
    <row r="21939">
      <c r="D21939" s="185"/>
      <c r="E21939" s="185" t="s">
        <v>470</v>
      </c>
      <c r="H21939" s="185"/>
    </row>
    <row r="21940">
      <c r="D21940" s="185"/>
      <c r="E21940" s="185" t="s">
        <v>470</v>
      </c>
      <c r="H21940" s="185"/>
    </row>
    <row r="21941">
      <c r="D21941" s="185"/>
      <c r="E21941" s="185" t="s">
        <v>470</v>
      </c>
      <c r="H21941" s="185"/>
    </row>
    <row r="21942">
      <c r="D21942" s="185"/>
      <c r="E21942" s="185" t="s">
        <v>470</v>
      </c>
      <c r="H21942" s="185"/>
    </row>
    <row r="21943">
      <c r="D21943" s="185"/>
      <c r="E21943" s="185" t="s">
        <v>470</v>
      </c>
      <c r="H21943" s="185"/>
    </row>
    <row r="21944">
      <c r="D21944" s="185"/>
      <c r="E21944" s="185" t="s">
        <v>470</v>
      </c>
      <c r="H21944" s="185"/>
    </row>
    <row r="21945">
      <c r="D21945" s="185"/>
      <c r="E21945" s="185" t="s">
        <v>470</v>
      </c>
      <c r="H21945" s="185"/>
    </row>
    <row r="21946">
      <c r="D21946" s="185"/>
      <c r="E21946" s="185" t="s">
        <v>470</v>
      </c>
      <c r="H21946" s="185"/>
    </row>
    <row r="21947">
      <c r="D21947" s="185"/>
      <c r="E21947" s="185" t="s">
        <v>470</v>
      </c>
      <c r="H21947" s="185"/>
    </row>
    <row r="21948">
      <c r="D21948" s="185"/>
      <c r="E21948" s="185" t="s">
        <v>470</v>
      </c>
      <c r="H21948" s="185"/>
    </row>
    <row r="21949">
      <c r="D21949" s="185"/>
      <c r="E21949" s="185" t="s">
        <v>470</v>
      </c>
      <c r="H21949" s="185"/>
    </row>
    <row r="21950">
      <c r="D21950" s="185"/>
      <c r="E21950" s="185" t="s">
        <v>470</v>
      </c>
      <c r="H21950" s="185"/>
    </row>
    <row r="21951">
      <c r="D21951" s="185"/>
      <c r="E21951" s="185" t="s">
        <v>470</v>
      </c>
      <c r="H21951" s="185"/>
    </row>
    <row r="21952">
      <c r="D21952" s="185"/>
      <c r="E21952" s="185" t="s">
        <v>470</v>
      </c>
      <c r="H21952" s="185"/>
    </row>
    <row r="21953">
      <c r="D21953" s="185"/>
      <c r="E21953" s="185" t="s">
        <v>470</v>
      </c>
      <c r="H21953" s="185"/>
    </row>
    <row r="21954">
      <c r="D21954" s="185"/>
      <c r="E21954" s="185" t="s">
        <v>470</v>
      </c>
      <c r="H21954" s="185"/>
    </row>
    <row r="21955">
      <c r="D21955" s="185"/>
      <c r="E21955" s="185" t="s">
        <v>470</v>
      </c>
      <c r="H21955" s="185"/>
    </row>
    <row r="21956">
      <c r="D21956" s="185"/>
      <c r="E21956" s="185" t="s">
        <v>470</v>
      </c>
      <c r="H21956" s="185"/>
    </row>
    <row r="21957">
      <c r="D21957" s="185"/>
      <c r="E21957" s="185" t="s">
        <v>470</v>
      </c>
      <c r="H21957" s="185"/>
    </row>
    <row r="21958">
      <c r="D21958" s="185"/>
      <c r="E21958" s="185" t="s">
        <v>470</v>
      </c>
      <c r="H21958" s="185"/>
    </row>
    <row r="21959">
      <c r="D21959" s="185"/>
      <c r="E21959" s="185" t="s">
        <v>470</v>
      </c>
      <c r="H21959" s="185"/>
    </row>
    <row r="21960">
      <c r="D21960" s="185"/>
      <c r="E21960" s="185" t="s">
        <v>470</v>
      </c>
      <c r="H21960" s="185"/>
    </row>
    <row r="21961">
      <c r="D21961" s="185"/>
      <c r="E21961" s="185" t="s">
        <v>470</v>
      </c>
      <c r="H21961" s="185"/>
    </row>
    <row r="21962">
      <c r="D21962" s="185"/>
      <c r="E21962" s="185" t="s">
        <v>470</v>
      </c>
      <c r="H21962" s="185"/>
    </row>
    <row r="21963">
      <c r="D21963" s="185"/>
      <c r="E21963" s="185" t="s">
        <v>470</v>
      </c>
      <c r="H21963" s="185"/>
    </row>
    <row r="21964">
      <c r="D21964" s="185"/>
      <c r="E21964" s="185" t="s">
        <v>470</v>
      </c>
      <c r="H21964" s="185"/>
    </row>
    <row r="21965">
      <c r="D21965" s="185"/>
      <c r="E21965" s="185" t="s">
        <v>470</v>
      </c>
      <c r="H21965" s="185"/>
    </row>
    <row r="21966">
      <c r="D21966" s="185"/>
      <c r="E21966" s="185" t="s">
        <v>470</v>
      </c>
      <c r="H21966" s="185"/>
    </row>
    <row r="21967">
      <c r="D21967" s="185"/>
      <c r="E21967" s="185" t="s">
        <v>470</v>
      </c>
      <c r="H21967" s="185"/>
    </row>
    <row r="21968">
      <c r="D21968" s="185"/>
      <c r="E21968" s="185" t="s">
        <v>470</v>
      </c>
      <c r="H21968" s="185"/>
    </row>
    <row r="21969">
      <c r="D21969" s="185"/>
      <c r="E21969" s="185" t="s">
        <v>470</v>
      </c>
      <c r="H21969" s="185"/>
    </row>
    <row r="21970">
      <c r="D21970" s="185"/>
      <c r="E21970" s="185" t="s">
        <v>470</v>
      </c>
      <c r="H21970" s="185"/>
    </row>
    <row r="21971">
      <c r="D21971" s="185"/>
      <c r="E21971" s="185" t="s">
        <v>470</v>
      </c>
      <c r="H21971" s="185"/>
    </row>
    <row r="21972">
      <c r="D21972" s="185"/>
      <c r="E21972" s="185" t="s">
        <v>470</v>
      </c>
      <c r="H21972" s="185"/>
    </row>
    <row r="21973">
      <c r="D21973" s="185"/>
      <c r="E21973" s="185" t="s">
        <v>470</v>
      </c>
      <c r="H21973" s="185"/>
    </row>
    <row r="21974">
      <c r="D21974" s="185"/>
      <c r="E21974" s="185" t="s">
        <v>470</v>
      </c>
      <c r="H21974" s="185"/>
    </row>
    <row r="21975">
      <c r="D21975" s="185"/>
      <c r="E21975" s="185" t="s">
        <v>470</v>
      </c>
      <c r="H21975" s="185"/>
    </row>
    <row r="21976">
      <c r="D21976" s="185"/>
      <c r="E21976" s="185" t="s">
        <v>470</v>
      </c>
      <c r="H21976" s="185"/>
    </row>
    <row r="21977">
      <c r="D21977" s="185"/>
      <c r="E21977" s="185" t="s">
        <v>470</v>
      </c>
      <c r="H21977" s="185"/>
    </row>
    <row r="21978">
      <c r="D21978" s="185"/>
      <c r="E21978" s="185" t="s">
        <v>470</v>
      </c>
      <c r="H21978" s="185"/>
    </row>
    <row r="21979">
      <c r="D21979" s="185"/>
      <c r="E21979" s="185" t="s">
        <v>470</v>
      </c>
      <c r="H21979" s="185"/>
    </row>
    <row r="21980">
      <c r="D21980" s="185"/>
      <c r="E21980" s="185" t="s">
        <v>470</v>
      </c>
      <c r="H21980" s="185"/>
    </row>
    <row r="21981">
      <c r="D21981" s="185"/>
      <c r="E21981" s="185" t="s">
        <v>470</v>
      </c>
      <c r="H21981" s="185"/>
    </row>
    <row r="21982">
      <c r="D21982" s="185"/>
      <c r="E21982" s="185" t="s">
        <v>470</v>
      </c>
      <c r="H21982" s="185"/>
    </row>
    <row r="21983">
      <c r="D21983" s="185"/>
      <c r="E21983" s="185" t="s">
        <v>470</v>
      </c>
      <c r="H21983" s="185"/>
    </row>
    <row r="21984">
      <c r="D21984" s="185"/>
      <c r="E21984" s="185" t="s">
        <v>470</v>
      </c>
      <c r="H21984" s="185"/>
    </row>
    <row r="21985">
      <c r="D21985" s="185"/>
      <c r="E21985" s="185" t="s">
        <v>470</v>
      </c>
      <c r="H21985" s="185"/>
    </row>
    <row r="21986">
      <c r="D21986" s="185"/>
      <c r="E21986" s="185" t="s">
        <v>470</v>
      </c>
      <c r="H21986" s="185"/>
    </row>
    <row r="21987">
      <c r="D21987" s="185"/>
      <c r="E21987" s="185" t="s">
        <v>470</v>
      </c>
      <c r="H21987" s="185"/>
    </row>
    <row r="21988">
      <c r="D21988" s="185"/>
      <c r="E21988" s="185" t="s">
        <v>470</v>
      </c>
      <c r="H21988" s="185"/>
    </row>
    <row r="21989">
      <c r="D21989" s="185"/>
      <c r="E21989" s="185" t="s">
        <v>470</v>
      </c>
      <c r="H21989" s="185"/>
    </row>
    <row r="21990">
      <c r="D21990" s="185"/>
      <c r="E21990" s="185" t="s">
        <v>470</v>
      </c>
      <c r="H21990" s="185"/>
    </row>
    <row r="21991">
      <c r="D21991" s="185"/>
      <c r="E21991" s="185" t="s">
        <v>470</v>
      </c>
      <c r="H21991" s="185"/>
    </row>
    <row r="21992">
      <c r="D21992" s="185"/>
      <c r="E21992" s="185" t="s">
        <v>470</v>
      </c>
      <c r="H21992" s="185"/>
    </row>
    <row r="21993">
      <c r="D21993" s="185"/>
      <c r="E21993" s="185" t="s">
        <v>470</v>
      </c>
      <c r="H21993" s="185"/>
    </row>
    <row r="21994">
      <c r="D21994" s="185"/>
      <c r="E21994" s="185" t="s">
        <v>470</v>
      </c>
      <c r="H21994" s="185"/>
    </row>
    <row r="21995">
      <c r="D21995" s="185"/>
      <c r="E21995" s="185" t="s">
        <v>470</v>
      </c>
      <c r="H21995" s="185"/>
    </row>
    <row r="21996">
      <c r="D21996" s="185"/>
      <c r="E21996" s="185" t="s">
        <v>470</v>
      </c>
      <c r="H21996" s="185"/>
    </row>
    <row r="21997">
      <c r="D21997" s="185"/>
      <c r="E21997" s="185" t="s">
        <v>470</v>
      </c>
      <c r="H21997" s="185"/>
    </row>
    <row r="21998">
      <c r="D21998" s="185"/>
      <c r="E21998" s="185" t="s">
        <v>470</v>
      </c>
      <c r="H21998" s="185"/>
    </row>
    <row r="21999">
      <c r="D21999" s="185"/>
      <c r="E21999" s="185" t="s">
        <v>470</v>
      </c>
      <c r="H21999" s="185"/>
    </row>
    <row r="22000">
      <c r="D22000" s="185"/>
      <c r="E22000" s="185" t="s">
        <v>470</v>
      </c>
      <c r="H22000" s="185"/>
    </row>
    <row r="22001">
      <c r="D22001" s="185"/>
      <c r="E22001" s="185" t="s">
        <v>470</v>
      </c>
      <c r="H22001" s="185"/>
    </row>
    <row r="22002">
      <c r="D22002" s="185"/>
      <c r="E22002" s="185" t="s">
        <v>470</v>
      </c>
      <c r="H22002" s="185"/>
    </row>
    <row r="22003">
      <c r="D22003" s="185"/>
      <c r="E22003" s="185" t="s">
        <v>470</v>
      </c>
      <c r="H22003" s="185"/>
    </row>
    <row r="22004">
      <c r="D22004" s="185"/>
      <c r="E22004" s="185" t="s">
        <v>470</v>
      </c>
      <c r="H22004" s="185"/>
    </row>
    <row r="22005">
      <c r="D22005" s="185"/>
      <c r="E22005" s="185" t="s">
        <v>470</v>
      </c>
      <c r="H22005" s="185"/>
    </row>
    <row r="22006">
      <c r="D22006" s="185"/>
      <c r="E22006" s="185" t="s">
        <v>470</v>
      </c>
      <c r="H22006" s="185"/>
    </row>
    <row r="22007">
      <c r="D22007" s="185"/>
      <c r="E22007" s="185" t="s">
        <v>470</v>
      </c>
      <c r="H22007" s="185"/>
    </row>
    <row r="22008">
      <c r="D22008" s="185"/>
      <c r="E22008" s="185" t="s">
        <v>470</v>
      </c>
      <c r="H22008" s="185"/>
    </row>
    <row r="22009">
      <c r="D22009" s="185"/>
      <c r="E22009" s="185" t="s">
        <v>470</v>
      </c>
      <c r="H22009" s="185"/>
    </row>
    <row r="22010">
      <c r="D22010" s="185"/>
      <c r="E22010" s="185" t="s">
        <v>470</v>
      </c>
      <c r="H22010" s="185"/>
    </row>
    <row r="22011">
      <c r="D22011" s="185"/>
      <c r="E22011" s="185" t="s">
        <v>470</v>
      </c>
      <c r="H22011" s="185"/>
    </row>
    <row r="22012">
      <c r="D22012" s="185"/>
      <c r="E22012" s="185" t="s">
        <v>470</v>
      </c>
      <c r="H22012" s="185"/>
    </row>
    <row r="22013">
      <c r="D22013" s="185"/>
      <c r="E22013" s="185" t="s">
        <v>470</v>
      </c>
      <c r="H22013" s="185"/>
    </row>
    <row r="22014">
      <c r="D22014" s="185"/>
      <c r="E22014" s="185" t="s">
        <v>470</v>
      </c>
      <c r="H22014" s="185"/>
    </row>
    <row r="22015">
      <c r="D22015" s="185"/>
      <c r="E22015" s="185" t="s">
        <v>470</v>
      </c>
      <c r="H22015" s="185"/>
    </row>
    <row r="22016">
      <c r="D22016" s="185"/>
      <c r="E22016" s="185" t="s">
        <v>470</v>
      </c>
      <c r="H22016" s="185"/>
    </row>
    <row r="22017">
      <c r="D22017" s="185"/>
      <c r="E22017" s="185" t="s">
        <v>470</v>
      </c>
      <c r="H22017" s="185"/>
    </row>
    <row r="22018">
      <c r="D22018" s="185"/>
      <c r="E22018" s="185" t="s">
        <v>470</v>
      </c>
      <c r="H22018" s="185"/>
    </row>
    <row r="22019">
      <c r="D22019" s="185"/>
      <c r="E22019" s="185" t="s">
        <v>470</v>
      </c>
      <c r="H22019" s="185"/>
    </row>
    <row r="22020">
      <c r="D22020" s="185"/>
      <c r="E22020" s="185" t="s">
        <v>470</v>
      </c>
      <c r="H22020" s="185"/>
    </row>
    <row r="22021">
      <c r="D22021" s="185"/>
      <c r="E22021" s="185" t="s">
        <v>470</v>
      </c>
      <c r="H22021" s="185"/>
    </row>
    <row r="22022">
      <c r="D22022" s="185"/>
      <c r="E22022" s="185" t="s">
        <v>470</v>
      </c>
      <c r="H22022" s="185"/>
    </row>
    <row r="22023">
      <c r="D22023" s="185"/>
      <c r="E22023" s="185" t="s">
        <v>470</v>
      </c>
      <c r="H22023" s="185"/>
    </row>
    <row r="22024">
      <c r="D22024" s="185"/>
      <c r="E22024" s="185" t="s">
        <v>470</v>
      </c>
      <c r="H22024" s="185"/>
    </row>
    <row r="22025">
      <c r="D22025" s="185"/>
      <c r="E22025" s="185" t="s">
        <v>470</v>
      </c>
      <c r="H22025" s="185"/>
    </row>
    <row r="22026">
      <c r="D22026" s="185"/>
      <c r="E22026" s="185" t="s">
        <v>470</v>
      </c>
      <c r="H22026" s="185"/>
    </row>
    <row r="22027">
      <c r="D22027" s="185"/>
      <c r="E22027" s="185" t="s">
        <v>470</v>
      </c>
      <c r="H22027" s="185"/>
    </row>
    <row r="22028">
      <c r="D22028" s="185"/>
      <c r="E22028" s="185" t="s">
        <v>470</v>
      </c>
      <c r="H22028" s="185"/>
    </row>
    <row r="22029">
      <c r="D22029" s="185"/>
      <c r="E22029" s="185" t="s">
        <v>470</v>
      </c>
      <c r="H22029" s="185"/>
    </row>
    <row r="22030">
      <c r="D22030" s="185"/>
      <c r="E22030" s="185" t="s">
        <v>470</v>
      </c>
      <c r="H22030" s="185"/>
    </row>
    <row r="22031">
      <c r="D22031" s="185"/>
      <c r="E22031" s="185" t="s">
        <v>470</v>
      </c>
      <c r="H22031" s="185"/>
    </row>
    <row r="22032">
      <c r="D22032" s="185"/>
      <c r="E22032" s="185" t="s">
        <v>470</v>
      </c>
      <c r="H22032" s="185"/>
    </row>
    <row r="22033">
      <c r="D22033" s="185"/>
      <c r="E22033" s="185" t="s">
        <v>470</v>
      </c>
      <c r="H22033" s="185"/>
    </row>
    <row r="22034">
      <c r="D22034" s="185"/>
      <c r="E22034" s="185" t="s">
        <v>470</v>
      </c>
      <c r="H22034" s="185"/>
    </row>
    <row r="22035">
      <c r="D22035" s="185"/>
      <c r="E22035" s="185" t="s">
        <v>470</v>
      </c>
      <c r="H22035" s="185"/>
    </row>
    <row r="22036">
      <c r="D22036" s="185"/>
      <c r="E22036" s="185" t="s">
        <v>470</v>
      </c>
      <c r="H22036" s="185"/>
    </row>
    <row r="22037">
      <c r="D22037" s="185"/>
      <c r="E22037" s="185" t="s">
        <v>470</v>
      </c>
      <c r="H22037" s="185"/>
    </row>
    <row r="22038">
      <c r="D22038" s="185"/>
      <c r="E22038" s="185" t="s">
        <v>470</v>
      </c>
      <c r="H22038" s="185"/>
    </row>
    <row r="22039">
      <c r="D22039" s="185"/>
      <c r="E22039" s="185" t="s">
        <v>470</v>
      </c>
      <c r="H22039" s="185"/>
    </row>
    <row r="22040">
      <c r="D22040" s="185"/>
      <c r="E22040" s="185" t="s">
        <v>470</v>
      </c>
      <c r="H22040" s="185"/>
    </row>
    <row r="22041">
      <c r="D22041" s="185"/>
      <c r="E22041" s="185" t="s">
        <v>470</v>
      </c>
      <c r="H22041" s="185"/>
    </row>
    <row r="22042">
      <c r="D22042" s="185"/>
      <c r="E22042" s="185" t="s">
        <v>470</v>
      </c>
      <c r="H22042" s="185"/>
    </row>
    <row r="22043">
      <c r="D22043" s="185"/>
      <c r="E22043" s="185" t="s">
        <v>470</v>
      </c>
      <c r="H22043" s="185"/>
    </row>
    <row r="22044">
      <c r="D22044" s="185"/>
      <c r="E22044" s="185" t="s">
        <v>470</v>
      </c>
      <c r="H22044" s="185"/>
    </row>
    <row r="22045">
      <c r="D22045" s="185"/>
      <c r="E22045" s="185" t="s">
        <v>470</v>
      </c>
      <c r="H22045" s="185"/>
    </row>
    <row r="22046">
      <c r="D22046" s="185"/>
      <c r="E22046" s="185" t="s">
        <v>470</v>
      </c>
      <c r="H22046" s="185"/>
    </row>
    <row r="22047">
      <c r="D22047" s="185"/>
      <c r="E22047" s="185" t="s">
        <v>470</v>
      </c>
      <c r="H22047" s="185"/>
    </row>
    <row r="22048">
      <c r="D22048" s="185"/>
      <c r="E22048" s="185" t="s">
        <v>470</v>
      </c>
      <c r="H22048" s="185"/>
    </row>
    <row r="22049">
      <c r="D22049" s="185"/>
      <c r="E22049" s="185" t="s">
        <v>470</v>
      </c>
      <c r="H22049" s="185"/>
    </row>
    <row r="22050">
      <c r="D22050" s="185"/>
      <c r="E22050" s="185" t="s">
        <v>470</v>
      </c>
      <c r="H22050" s="185"/>
    </row>
    <row r="22051">
      <c r="D22051" s="185"/>
      <c r="E22051" s="185" t="s">
        <v>470</v>
      </c>
      <c r="H22051" s="185"/>
    </row>
    <row r="22052">
      <c r="D22052" s="185"/>
      <c r="E22052" s="185" t="s">
        <v>470</v>
      </c>
      <c r="H22052" s="185"/>
    </row>
    <row r="22053">
      <c r="D22053" s="185"/>
      <c r="E22053" s="185" t="s">
        <v>470</v>
      </c>
      <c r="H22053" s="185"/>
    </row>
    <row r="22054">
      <c r="D22054" s="185"/>
      <c r="E22054" s="185" t="s">
        <v>470</v>
      </c>
      <c r="H22054" s="185"/>
    </row>
    <row r="22055">
      <c r="D22055" s="185"/>
      <c r="E22055" s="185" t="s">
        <v>470</v>
      </c>
      <c r="H22055" s="185"/>
    </row>
    <row r="22056">
      <c r="D22056" s="185"/>
      <c r="E22056" s="185" t="s">
        <v>470</v>
      </c>
      <c r="H22056" s="185"/>
    </row>
    <row r="22057">
      <c r="D22057" s="185"/>
      <c r="E22057" s="185" t="s">
        <v>470</v>
      </c>
      <c r="H22057" s="185"/>
    </row>
    <row r="22058">
      <c r="D22058" s="185"/>
      <c r="E22058" s="185" t="s">
        <v>470</v>
      </c>
      <c r="H22058" s="185"/>
    </row>
    <row r="22059">
      <c r="D22059" s="185"/>
      <c r="E22059" s="185" t="s">
        <v>470</v>
      </c>
      <c r="H22059" s="185"/>
    </row>
    <row r="22060">
      <c r="D22060" s="185"/>
      <c r="E22060" s="185" t="s">
        <v>470</v>
      </c>
      <c r="H22060" s="185"/>
    </row>
    <row r="22061">
      <c r="D22061" s="185"/>
      <c r="E22061" s="185" t="s">
        <v>470</v>
      </c>
      <c r="H22061" s="185"/>
    </row>
    <row r="22062">
      <c r="D22062" s="185"/>
      <c r="E22062" s="185" t="s">
        <v>470</v>
      </c>
      <c r="H22062" s="185"/>
    </row>
    <row r="22063">
      <c r="D22063" s="185"/>
      <c r="E22063" s="185" t="s">
        <v>470</v>
      </c>
      <c r="H22063" s="185"/>
    </row>
    <row r="22064">
      <c r="D22064" s="185"/>
      <c r="E22064" s="185" t="s">
        <v>470</v>
      </c>
      <c r="H22064" s="185"/>
    </row>
    <row r="22065">
      <c r="D22065" s="185"/>
      <c r="E22065" s="185" t="s">
        <v>470</v>
      </c>
      <c r="H22065" s="185"/>
    </row>
    <row r="22066">
      <c r="D22066" s="185"/>
      <c r="E22066" s="185" t="s">
        <v>470</v>
      </c>
      <c r="H22066" s="185"/>
    </row>
    <row r="22067">
      <c r="D22067" s="185"/>
      <c r="E22067" s="185" t="s">
        <v>470</v>
      </c>
      <c r="H22067" s="185"/>
    </row>
    <row r="22068">
      <c r="D22068" s="185"/>
      <c r="E22068" s="185" t="s">
        <v>470</v>
      </c>
      <c r="H22068" s="185"/>
    </row>
    <row r="22069">
      <c r="D22069" s="185"/>
      <c r="E22069" s="185" t="s">
        <v>470</v>
      </c>
      <c r="H22069" s="185"/>
    </row>
    <row r="22070">
      <c r="D22070" s="185"/>
      <c r="E22070" s="185" t="s">
        <v>470</v>
      </c>
      <c r="H22070" s="185"/>
    </row>
    <row r="22071">
      <c r="D22071" s="185"/>
      <c r="E22071" s="185" t="s">
        <v>470</v>
      </c>
      <c r="H22071" s="185"/>
    </row>
    <row r="22072">
      <c r="D22072" s="185"/>
      <c r="E22072" s="185" t="s">
        <v>470</v>
      </c>
      <c r="H22072" s="185"/>
    </row>
    <row r="22073">
      <c r="D22073" s="185"/>
      <c r="E22073" s="185" t="s">
        <v>470</v>
      </c>
      <c r="H22073" s="185"/>
    </row>
    <row r="22074">
      <c r="D22074" s="185"/>
      <c r="E22074" s="185" t="s">
        <v>470</v>
      </c>
      <c r="H22074" s="185"/>
    </row>
    <row r="22075">
      <c r="D22075" s="185"/>
      <c r="E22075" s="185" t="s">
        <v>470</v>
      </c>
      <c r="H22075" s="185"/>
    </row>
    <row r="22076">
      <c r="D22076" s="185"/>
      <c r="E22076" s="185" t="s">
        <v>470</v>
      </c>
      <c r="H22076" s="185"/>
    </row>
    <row r="22077">
      <c r="D22077" s="185"/>
      <c r="E22077" s="185" t="s">
        <v>470</v>
      </c>
      <c r="H22077" s="185"/>
    </row>
    <row r="22078">
      <c r="D22078" s="185"/>
      <c r="E22078" s="185" t="s">
        <v>470</v>
      </c>
      <c r="H22078" s="185"/>
    </row>
    <row r="22079">
      <c r="D22079" s="185"/>
      <c r="E22079" s="185" t="s">
        <v>470</v>
      </c>
      <c r="H22079" s="185"/>
    </row>
    <row r="22080">
      <c r="D22080" s="185"/>
      <c r="E22080" s="185" t="s">
        <v>470</v>
      </c>
      <c r="H22080" s="185"/>
    </row>
    <row r="22081">
      <c r="D22081" s="185"/>
      <c r="E22081" s="185" t="s">
        <v>470</v>
      </c>
      <c r="H22081" s="185"/>
    </row>
    <row r="22082">
      <c r="D22082" s="185"/>
      <c r="E22082" s="185" t="s">
        <v>470</v>
      </c>
      <c r="H22082" s="185"/>
    </row>
    <row r="22083">
      <c r="D22083" s="185"/>
      <c r="E22083" s="185" t="s">
        <v>470</v>
      </c>
      <c r="H22083" s="185"/>
    </row>
    <row r="22084">
      <c r="D22084" s="185"/>
      <c r="E22084" s="185" t="s">
        <v>470</v>
      </c>
      <c r="H22084" s="185"/>
    </row>
    <row r="22085">
      <c r="D22085" s="185"/>
      <c r="E22085" s="185" t="s">
        <v>470</v>
      </c>
      <c r="H22085" s="185"/>
    </row>
    <row r="22086">
      <c r="D22086" s="185"/>
      <c r="E22086" s="185" t="s">
        <v>470</v>
      </c>
      <c r="H22086" s="185"/>
    </row>
    <row r="22087">
      <c r="D22087" s="185"/>
      <c r="E22087" s="185" t="s">
        <v>470</v>
      </c>
      <c r="H22087" s="185"/>
    </row>
    <row r="22088">
      <c r="D22088" s="185"/>
      <c r="E22088" s="185" t="s">
        <v>470</v>
      </c>
      <c r="H22088" s="185"/>
    </row>
    <row r="22089">
      <c r="D22089" s="185"/>
      <c r="E22089" s="185" t="s">
        <v>470</v>
      </c>
      <c r="H22089" s="185"/>
    </row>
    <row r="22090">
      <c r="D22090" s="185"/>
      <c r="E22090" s="185" t="s">
        <v>470</v>
      </c>
      <c r="H22090" s="185"/>
    </row>
    <row r="22091">
      <c r="D22091" s="185"/>
      <c r="E22091" s="185" t="s">
        <v>470</v>
      </c>
      <c r="H22091" s="185"/>
    </row>
    <row r="22092">
      <c r="D22092" s="185"/>
      <c r="E22092" s="185" t="s">
        <v>470</v>
      </c>
      <c r="H22092" s="185"/>
    </row>
    <row r="22093">
      <c r="D22093" s="185"/>
      <c r="E22093" s="185" t="s">
        <v>470</v>
      </c>
      <c r="H22093" s="185"/>
    </row>
    <row r="22094">
      <c r="D22094" s="185"/>
      <c r="E22094" s="185" t="s">
        <v>470</v>
      </c>
      <c r="H22094" s="185"/>
    </row>
    <row r="22095">
      <c r="D22095" s="185"/>
      <c r="E22095" s="185" t="s">
        <v>470</v>
      </c>
      <c r="H22095" s="185"/>
    </row>
    <row r="22096">
      <c r="D22096" s="185"/>
      <c r="E22096" s="185" t="s">
        <v>470</v>
      </c>
      <c r="H22096" s="185"/>
    </row>
    <row r="22097">
      <c r="D22097" s="185"/>
      <c r="E22097" s="185" t="s">
        <v>470</v>
      </c>
      <c r="H22097" s="185"/>
    </row>
    <row r="22098">
      <c r="D22098" s="185"/>
      <c r="E22098" s="185" t="s">
        <v>470</v>
      </c>
      <c r="H22098" s="185"/>
    </row>
    <row r="22099">
      <c r="D22099" s="185"/>
      <c r="E22099" s="185" t="s">
        <v>470</v>
      </c>
      <c r="H22099" s="185"/>
    </row>
    <row r="22100">
      <c r="D22100" s="185"/>
      <c r="E22100" s="185" t="s">
        <v>470</v>
      </c>
      <c r="H22100" s="185"/>
    </row>
    <row r="22101">
      <c r="D22101" s="185"/>
      <c r="E22101" s="185" t="s">
        <v>470</v>
      </c>
      <c r="H22101" s="185"/>
    </row>
    <row r="22102">
      <c r="D22102" s="185"/>
      <c r="E22102" s="185" t="s">
        <v>470</v>
      </c>
      <c r="H22102" s="185"/>
    </row>
    <row r="22103">
      <c r="D22103" s="185"/>
      <c r="E22103" s="185" t="s">
        <v>470</v>
      </c>
      <c r="H22103" s="185"/>
    </row>
    <row r="22104">
      <c r="D22104" s="185"/>
      <c r="E22104" s="185" t="s">
        <v>470</v>
      </c>
      <c r="H22104" s="185"/>
    </row>
    <row r="22105">
      <c r="D22105" s="185"/>
      <c r="E22105" s="185" t="s">
        <v>470</v>
      </c>
      <c r="H22105" s="185"/>
    </row>
    <row r="22106">
      <c r="D22106" s="185"/>
      <c r="E22106" s="185" t="s">
        <v>470</v>
      </c>
      <c r="H22106" s="185"/>
    </row>
    <row r="22107">
      <c r="D22107" s="185"/>
      <c r="E22107" s="185" t="s">
        <v>470</v>
      </c>
      <c r="H22107" s="185"/>
    </row>
    <row r="22108">
      <c r="D22108" s="185"/>
      <c r="E22108" s="185" t="s">
        <v>470</v>
      </c>
      <c r="H22108" s="185"/>
    </row>
    <row r="22109">
      <c r="D22109" s="185"/>
      <c r="E22109" s="185" t="s">
        <v>470</v>
      </c>
      <c r="H22109" s="185"/>
    </row>
    <row r="22110">
      <c r="D22110" s="185"/>
      <c r="E22110" s="185" t="s">
        <v>470</v>
      </c>
      <c r="H22110" s="185"/>
    </row>
    <row r="22111">
      <c r="D22111" s="185"/>
      <c r="E22111" s="185" t="s">
        <v>470</v>
      </c>
      <c r="H22111" s="185"/>
    </row>
    <row r="22112">
      <c r="D22112" s="185"/>
      <c r="E22112" s="185" t="s">
        <v>470</v>
      </c>
      <c r="H22112" s="185"/>
    </row>
    <row r="22113">
      <c r="D22113" s="185"/>
      <c r="E22113" s="185" t="s">
        <v>470</v>
      </c>
      <c r="H22113" s="185"/>
    </row>
    <row r="22114">
      <c r="D22114" s="185"/>
      <c r="E22114" s="185" t="s">
        <v>470</v>
      </c>
      <c r="H22114" s="185"/>
    </row>
    <row r="22115">
      <c r="D22115" s="185"/>
      <c r="E22115" s="185" t="s">
        <v>470</v>
      </c>
      <c r="H22115" s="185"/>
    </row>
    <row r="22116">
      <c r="D22116" s="185"/>
      <c r="E22116" s="185" t="s">
        <v>470</v>
      </c>
      <c r="H22116" s="185"/>
    </row>
    <row r="22117">
      <c r="D22117" s="185"/>
      <c r="E22117" s="185" t="s">
        <v>470</v>
      </c>
      <c r="H22117" s="185"/>
    </row>
    <row r="22118">
      <c r="D22118" s="185"/>
      <c r="E22118" s="185" t="s">
        <v>470</v>
      </c>
      <c r="H22118" s="185"/>
    </row>
    <row r="22119">
      <c r="D22119" s="185"/>
      <c r="E22119" s="185" t="s">
        <v>470</v>
      </c>
      <c r="H22119" s="185"/>
    </row>
    <row r="22120">
      <c r="D22120" s="185"/>
      <c r="E22120" s="185" t="s">
        <v>470</v>
      </c>
      <c r="H22120" s="185"/>
    </row>
    <row r="22121">
      <c r="D22121" s="185"/>
      <c r="E22121" s="185" t="s">
        <v>470</v>
      </c>
      <c r="H22121" s="185"/>
    </row>
    <row r="22122">
      <c r="D22122" s="185"/>
      <c r="E22122" s="185" t="s">
        <v>470</v>
      </c>
      <c r="H22122" s="185"/>
    </row>
    <row r="22123">
      <c r="D22123" s="185"/>
      <c r="E22123" s="185" t="s">
        <v>470</v>
      </c>
      <c r="H22123" s="185"/>
    </row>
    <row r="22124">
      <c r="D22124" s="185"/>
      <c r="E22124" s="185" t="s">
        <v>470</v>
      </c>
      <c r="H22124" s="185"/>
    </row>
    <row r="22125">
      <c r="D22125" s="185"/>
      <c r="E22125" s="185" t="s">
        <v>470</v>
      </c>
      <c r="H22125" s="185"/>
    </row>
    <row r="22126">
      <c r="D22126" s="185"/>
      <c r="E22126" s="185" t="s">
        <v>470</v>
      </c>
      <c r="H22126" s="185"/>
    </row>
    <row r="22127">
      <c r="D22127" s="185"/>
      <c r="E22127" s="185" t="s">
        <v>470</v>
      </c>
      <c r="H22127" s="185"/>
    </row>
    <row r="22128">
      <c r="D22128" s="185"/>
      <c r="E22128" s="185" t="s">
        <v>470</v>
      </c>
      <c r="H22128" s="185"/>
    </row>
    <row r="22129">
      <c r="D22129" s="185"/>
      <c r="E22129" s="185" t="s">
        <v>470</v>
      </c>
      <c r="H22129" s="185"/>
    </row>
    <row r="22130">
      <c r="D22130" s="185"/>
      <c r="E22130" s="185" t="s">
        <v>470</v>
      </c>
      <c r="H22130" s="185"/>
    </row>
    <row r="22131">
      <c r="D22131" s="185"/>
      <c r="E22131" s="185" t="s">
        <v>470</v>
      </c>
      <c r="H22131" s="185"/>
    </row>
    <row r="22132">
      <c r="D22132" s="185"/>
      <c r="E22132" s="185" t="s">
        <v>470</v>
      </c>
      <c r="H22132" s="185"/>
    </row>
    <row r="22133">
      <c r="D22133" s="185"/>
      <c r="E22133" s="185" t="s">
        <v>470</v>
      </c>
      <c r="H22133" s="185"/>
    </row>
    <row r="22134">
      <c r="D22134" s="185"/>
      <c r="E22134" s="185" t="s">
        <v>470</v>
      </c>
      <c r="H22134" s="185"/>
    </row>
    <row r="22135">
      <c r="D22135" s="185"/>
      <c r="E22135" s="185" t="s">
        <v>470</v>
      </c>
      <c r="H22135" s="185"/>
    </row>
    <row r="22136">
      <c r="D22136" s="185"/>
      <c r="E22136" s="185" t="s">
        <v>470</v>
      </c>
      <c r="H22136" s="185"/>
    </row>
    <row r="22137">
      <c r="D22137" s="185"/>
      <c r="E22137" s="185" t="s">
        <v>470</v>
      </c>
      <c r="H22137" s="185"/>
    </row>
    <row r="22138">
      <c r="D22138" s="185"/>
      <c r="E22138" s="185" t="s">
        <v>470</v>
      </c>
      <c r="H22138" s="185"/>
    </row>
    <row r="22139">
      <c r="D22139" s="185"/>
      <c r="E22139" s="185" t="s">
        <v>470</v>
      </c>
      <c r="H22139" s="185"/>
    </row>
    <row r="22140">
      <c r="D22140" s="185"/>
      <c r="E22140" s="185" t="s">
        <v>470</v>
      </c>
      <c r="H22140" s="185"/>
    </row>
    <row r="22141">
      <c r="D22141" s="185"/>
      <c r="E22141" s="185" t="s">
        <v>470</v>
      </c>
      <c r="H22141" s="185"/>
    </row>
    <row r="22142">
      <c r="D22142" s="185"/>
      <c r="E22142" s="185" t="s">
        <v>470</v>
      </c>
      <c r="H22142" s="185"/>
    </row>
    <row r="22143">
      <c r="D22143" s="185"/>
      <c r="E22143" s="185" t="s">
        <v>470</v>
      </c>
      <c r="H22143" s="185"/>
    </row>
    <row r="22144">
      <c r="D22144" s="185"/>
      <c r="E22144" s="185" t="s">
        <v>470</v>
      </c>
      <c r="H22144" s="185"/>
    </row>
    <row r="22145">
      <c r="D22145" s="185"/>
      <c r="E22145" s="185" t="s">
        <v>470</v>
      </c>
      <c r="H22145" s="185"/>
    </row>
    <row r="22146">
      <c r="D22146" s="185"/>
      <c r="E22146" s="185" t="s">
        <v>470</v>
      </c>
      <c r="H22146" s="185"/>
    </row>
    <row r="22147">
      <c r="D22147" s="185"/>
      <c r="E22147" s="185" t="s">
        <v>470</v>
      </c>
      <c r="H22147" s="185"/>
    </row>
    <row r="22148">
      <c r="D22148" s="185"/>
      <c r="E22148" s="185" t="s">
        <v>470</v>
      </c>
      <c r="H22148" s="185"/>
    </row>
    <row r="22149">
      <c r="D22149" s="185"/>
      <c r="E22149" s="185" t="s">
        <v>470</v>
      </c>
      <c r="H22149" s="185"/>
    </row>
    <row r="22150">
      <c r="D22150" s="185"/>
      <c r="E22150" s="185" t="s">
        <v>470</v>
      </c>
      <c r="H22150" s="185"/>
    </row>
    <row r="22151">
      <c r="D22151" s="185"/>
      <c r="E22151" s="185" t="s">
        <v>470</v>
      </c>
      <c r="H22151" s="185"/>
    </row>
    <row r="22152">
      <c r="D22152" s="185"/>
      <c r="E22152" s="185" t="s">
        <v>470</v>
      </c>
      <c r="H22152" s="185"/>
    </row>
    <row r="22153">
      <c r="D22153" s="185"/>
      <c r="E22153" s="185" t="s">
        <v>470</v>
      </c>
      <c r="H22153" s="185"/>
    </row>
    <row r="22154">
      <c r="D22154" s="185"/>
      <c r="E22154" s="185" t="s">
        <v>470</v>
      </c>
      <c r="H22154" s="185"/>
    </row>
    <row r="22155">
      <c r="D22155" s="185"/>
      <c r="E22155" s="185" t="s">
        <v>470</v>
      </c>
      <c r="H22155" s="185"/>
    </row>
    <row r="22156">
      <c r="D22156" s="185"/>
      <c r="E22156" s="185" t="s">
        <v>470</v>
      </c>
      <c r="H22156" s="185"/>
    </row>
    <row r="22157">
      <c r="D22157" s="185"/>
      <c r="E22157" s="185" t="s">
        <v>470</v>
      </c>
      <c r="H22157" s="185"/>
    </row>
    <row r="22158">
      <c r="D22158" s="185"/>
      <c r="E22158" s="185" t="s">
        <v>470</v>
      </c>
      <c r="H22158" s="185"/>
    </row>
    <row r="22159">
      <c r="D22159" s="185"/>
      <c r="E22159" s="185" t="s">
        <v>470</v>
      </c>
      <c r="H22159" s="185"/>
    </row>
    <row r="22160">
      <c r="D22160" s="185"/>
      <c r="E22160" s="185" t="s">
        <v>470</v>
      </c>
      <c r="H22160" s="185"/>
    </row>
    <row r="22161">
      <c r="D22161" s="185"/>
      <c r="E22161" s="185" t="s">
        <v>470</v>
      </c>
      <c r="H22161" s="185"/>
    </row>
    <row r="22162">
      <c r="D22162" s="185"/>
      <c r="E22162" s="185" t="s">
        <v>470</v>
      </c>
      <c r="H22162" s="185"/>
    </row>
    <row r="22163">
      <c r="D22163" s="185"/>
      <c r="E22163" s="185" t="s">
        <v>470</v>
      </c>
      <c r="H22163" s="185"/>
    </row>
    <row r="22164">
      <c r="D22164" s="185"/>
      <c r="E22164" s="185" t="s">
        <v>470</v>
      </c>
      <c r="H22164" s="185"/>
    </row>
    <row r="22165">
      <c r="D22165" s="185"/>
      <c r="E22165" s="185" t="s">
        <v>470</v>
      </c>
      <c r="H22165" s="185"/>
    </row>
    <row r="22166">
      <c r="D22166" s="185"/>
      <c r="E22166" s="185" t="s">
        <v>470</v>
      </c>
      <c r="H22166" s="185"/>
    </row>
    <row r="22167">
      <c r="D22167" s="185"/>
      <c r="E22167" s="185" t="s">
        <v>470</v>
      </c>
      <c r="H22167" s="185"/>
    </row>
    <row r="22168">
      <c r="D22168" s="185"/>
      <c r="E22168" s="185" t="s">
        <v>470</v>
      </c>
      <c r="H22168" s="185"/>
    </row>
    <row r="22169">
      <c r="D22169" s="185"/>
      <c r="E22169" s="185" t="s">
        <v>470</v>
      </c>
      <c r="H22169" s="185"/>
    </row>
    <row r="22170">
      <c r="D22170" s="185"/>
      <c r="E22170" s="185" t="s">
        <v>470</v>
      </c>
      <c r="H22170" s="185"/>
    </row>
    <row r="22171">
      <c r="D22171" s="185"/>
      <c r="E22171" s="185" t="s">
        <v>470</v>
      </c>
      <c r="H22171" s="185"/>
    </row>
    <row r="22172">
      <c r="D22172" s="185"/>
      <c r="E22172" s="185" t="s">
        <v>470</v>
      </c>
      <c r="H22172" s="185"/>
    </row>
    <row r="22173">
      <c r="D22173" s="185"/>
      <c r="E22173" s="185" t="s">
        <v>470</v>
      </c>
      <c r="H22173" s="185"/>
    </row>
    <row r="22174">
      <c r="D22174" s="185"/>
      <c r="E22174" s="185" t="s">
        <v>470</v>
      </c>
      <c r="H22174" s="185"/>
    </row>
    <row r="22175">
      <c r="D22175" s="185"/>
      <c r="E22175" s="185" t="s">
        <v>470</v>
      </c>
      <c r="H22175" s="185"/>
    </row>
    <row r="22176">
      <c r="D22176" s="185"/>
      <c r="E22176" s="185" t="s">
        <v>470</v>
      </c>
      <c r="H22176" s="185"/>
    </row>
    <row r="22177">
      <c r="D22177" s="185"/>
      <c r="E22177" s="185" t="s">
        <v>470</v>
      </c>
      <c r="H22177" s="185"/>
    </row>
    <row r="22178">
      <c r="D22178" s="185"/>
      <c r="E22178" s="185" t="s">
        <v>470</v>
      </c>
      <c r="H22178" s="185"/>
    </row>
    <row r="22179">
      <c r="D22179" s="185"/>
      <c r="E22179" s="185" t="s">
        <v>470</v>
      </c>
      <c r="H22179" s="185"/>
    </row>
    <row r="22180">
      <c r="D22180" s="185"/>
      <c r="E22180" s="185" t="s">
        <v>470</v>
      </c>
      <c r="H22180" s="185"/>
    </row>
    <row r="22181">
      <c r="D22181" s="185"/>
      <c r="E22181" s="185" t="s">
        <v>470</v>
      </c>
      <c r="H22181" s="185"/>
    </row>
    <row r="22182">
      <c r="D22182" s="185"/>
      <c r="E22182" s="185" t="s">
        <v>470</v>
      </c>
      <c r="H22182" s="185"/>
    </row>
    <row r="22183">
      <c r="D22183" s="185"/>
      <c r="E22183" s="185" t="s">
        <v>470</v>
      </c>
      <c r="H22183" s="185"/>
    </row>
    <row r="22184">
      <c r="D22184" s="185"/>
      <c r="E22184" s="185" t="s">
        <v>470</v>
      </c>
      <c r="H22184" s="185"/>
    </row>
    <row r="22185">
      <c r="D22185" s="185"/>
      <c r="E22185" s="185" t="s">
        <v>470</v>
      </c>
      <c r="H22185" s="185"/>
    </row>
    <row r="22186">
      <c r="D22186" s="185"/>
      <c r="E22186" s="185" t="s">
        <v>470</v>
      </c>
      <c r="H22186" s="185"/>
    </row>
    <row r="22187">
      <c r="D22187" s="185"/>
      <c r="E22187" s="185" t="s">
        <v>470</v>
      </c>
      <c r="H22187" s="185"/>
    </row>
    <row r="22188">
      <c r="D22188" s="185"/>
      <c r="E22188" s="185" t="s">
        <v>470</v>
      </c>
      <c r="H22188" s="185"/>
    </row>
    <row r="22189">
      <c r="D22189" s="185"/>
      <c r="E22189" s="185" t="s">
        <v>470</v>
      </c>
      <c r="H22189" s="185"/>
    </row>
    <row r="22190">
      <c r="D22190" s="185"/>
      <c r="E22190" s="185" t="s">
        <v>470</v>
      </c>
      <c r="H22190" s="185"/>
    </row>
    <row r="22191">
      <c r="D22191" s="185"/>
      <c r="E22191" s="185" t="s">
        <v>470</v>
      </c>
      <c r="H22191" s="185"/>
    </row>
    <row r="22192">
      <c r="D22192" s="185"/>
      <c r="E22192" s="185" t="s">
        <v>470</v>
      </c>
      <c r="H22192" s="185"/>
    </row>
    <row r="22193">
      <c r="D22193" s="185"/>
      <c r="E22193" s="185" t="s">
        <v>470</v>
      </c>
      <c r="H22193" s="185"/>
    </row>
    <row r="22194">
      <c r="D22194" s="185"/>
      <c r="E22194" s="185" t="s">
        <v>470</v>
      </c>
      <c r="H22194" s="185"/>
    </row>
    <row r="22195">
      <c r="D22195" s="185"/>
      <c r="E22195" s="185" t="s">
        <v>470</v>
      </c>
      <c r="H22195" s="185"/>
    </row>
    <row r="22196">
      <c r="D22196" s="185"/>
      <c r="E22196" s="185" t="s">
        <v>470</v>
      </c>
      <c r="H22196" s="185"/>
    </row>
    <row r="22197">
      <c r="D22197" s="185"/>
      <c r="E22197" s="185" t="s">
        <v>470</v>
      </c>
      <c r="H22197" s="185"/>
    </row>
    <row r="22198">
      <c r="D22198" s="185"/>
      <c r="E22198" s="185" t="s">
        <v>470</v>
      </c>
      <c r="H22198" s="185"/>
    </row>
    <row r="22199">
      <c r="D22199" s="185"/>
      <c r="E22199" s="185" t="s">
        <v>470</v>
      </c>
      <c r="H22199" s="185"/>
    </row>
    <row r="22200">
      <c r="D22200" s="185"/>
      <c r="E22200" s="185" t="s">
        <v>470</v>
      </c>
      <c r="H22200" s="185"/>
    </row>
    <row r="22201">
      <c r="D22201" s="185"/>
      <c r="E22201" s="185" t="s">
        <v>470</v>
      </c>
      <c r="H22201" s="185"/>
    </row>
    <row r="22202">
      <c r="D22202" s="185"/>
      <c r="E22202" s="185" t="s">
        <v>470</v>
      </c>
      <c r="H22202" s="185"/>
    </row>
    <row r="22203">
      <c r="D22203" s="185"/>
      <c r="E22203" s="185" t="s">
        <v>470</v>
      </c>
      <c r="H22203" s="185"/>
    </row>
    <row r="22204">
      <c r="D22204" s="185"/>
      <c r="E22204" s="185" t="s">
        <v>470</v>
      </c>
      <c r="H22204" s="185"/>
    </row>
    <row r="22205">
      <c r="D22205" s="185"/>
      <c r="E22205" s="185" t="s">
        <v>470</v>
      </c>
      <c r="H22205" s="185"/>
    </row>
    <row r="22206">
      <c r="D22206" s="185"/>
      <c r="E22206" s="185" t="s">
        <v>470</v>
      </c>
      <c r="H22206" s="185"/>
    </row>
    <row r="22207">
      <c r="D22207" s="185"/>
      <c r="E22207" s="185" t="s">
        <v>470</v>
      </c>
      <c r="H22207" s="185"/>
    </row>
    <row r="22208">
      <c r="D22208" s="185"/>
      <c r="E22208" s="185" t="s">
        <v>470</v>
      </c>
      <c r="H22208" s="185"/>
    </row>
    <row r="22209">
      <c r="D22209" s="185"/>
      <c r="E22209" s="185" t="s">
        <v>470</v>
      </c>
      <c r="H22209" s="185"/>
    </row>
    <row r="22210">
      <c r="D22210" s="185"/>
      <c r="E22210" s="185" t="s">
        <v>470</v>
      </c>
      <c r="H22210" s="185"/>
    </row>
    <row r="22211">
      <c r="D22211" s="185"/>
      <c r="E22211" s="185" t="s">
        <v>470</v>
      </c>
      <c r="H22211" s="185"/>
    </row>
    <row r="22212">
      <c r="D22212" s="185"/>
      <c r="E22212" s="185" t="s">
        <v>470</v>
      </c>
      <c r="H22212" s="185"/>
    </row>
    <row r="22213">
      <c r="D22213" s="185"/>
      <c r="E22213" s="185" t="s">
        <v>470</v>
      </c>
      <c r="H22213" s="185"/>
    </row>
    <row r="22214">
      <c r="D22214" s="185"/>
      <c r="E22214" s="185" t="s">
        <v>470</v>
      </c>
      <c r="H22214" s="185"/>
    </row>
    <row r="22215">
      <c r="D22215" s="185"/>
      <c r="E22215" s="185" t="s">
        <v>470</v>
      </c>
      <c r="H22215" s="185"/>
    </row>
    <row r="22216">
      <c r="D22216" s="185"/>
      <c r="E22216" s="185" t="s">
        <v>470</v>
      </c>
      <c r="H22216" s="185"/>
    </row>
    <row r="22217">
      <c r="D22217" s="185"/>
      <c r="E22217" s="185" t="s">
        <v>470</v>
      </c>
      <c r="H22217" s="185"/>
    </row>
    <row r="22218">
      <c r="D22218" s="185"/>
      <c r="E22218" s="185" t="s">
        <v>470</v>
      </c>
      <c r="H22218" s="185"/>
    </row>
    <row r="22219">
      <c r="D22219" s="185"/>
      <c r="E22219" s="185" t="s">
        <v>470</v>
      </c>
      <c r="H22219" s="185"/>
    </row>
    <row r="22220">
      <c r="D22220" s="185"/>
      <c r="E22220" s="185" t="s">
        <v>470</v>
      </c>
      <c r="H22220" s="185"/>
    </row>
    <row r="22221">
      <c r="D22221" s="185"/>
      <c r="E22221" s="185" t="s">
        <v>470</v>
      </c>
      <c r="H22221" s="185"/>
    </row>
    <row r="22222">
      <c r="D22222" s="185"/>
      <c r="E22222" s="185" t="s">
        <v>470</v>
      </c>
      <c r="H22222" s="185"/>
    </row>
    <row r="22223">
      <c r="D22223" s="185"/>
      <c r="E22223" s="185" t="s">
        <v>470</v>
      </c>
      <c r="H22223" s="185"/>
    </row>
    <row r="22224">
      <c r="D22224" s="185"/>
      <c r="E22224" s="185" t="s">
        <v>470</v>
      </c>
      <c r="H22224" s="185"/>
    </row>
    <row r="22225">
      <c r="D22225" s="185"/>
      <c r="E22225" s="185" t="s">
        <v>470</v>
      </c>
      <c r="H22225" s="185"/>
    </row>
    <row r="22226">
      <c r="D22226" s="185"/>
      <c r="E22226" s="185" t="s">
        <v>470</v>
      </c>
      <c r="H22226" s="185"/>
    </row>
    <row r="22227">
      <c r="D22227" s="185"/>
      <c r="E22227" s="185" t="s">
        <v>470</v>
      </c>
      <c r="H22227" s="185"/>
    </row>
    <row r="22228">
      <c r="D22228" s="185"/>
      <c r="E22228" s="185" t="s">
        <v>470</v>
      </c>
      <c r="H22228" s="185"/>
    </row>
    <row r="22229">
      <c r="D22229" s="185"/>
      <c r="E22229" s="185" t="s">
        <v>470</v>
      </c>
      <c r="H22229" s="185"/>
    </row>
    <row r="22230">
      <c r="D22230" s="185"/>
      <c r="E22230" s="185" t="s">
        <v>470</v>
      </c>
      <c r="H22230" s="185"/>
    </row>
    <row r="22231">
      <c r="D22231" s="185"/>
      <c r="E22231" s="185" t="s">
        <v>470</v>
      </c>
      <c r="H22231" s="185"/>
    </row>
    <row r="22232">
      <c r="D22232" s="185"/>
      <c r="E22232" s="185" t="s">
        <v>470</v>
      </c>
      <c r="H22232" s="185"/>
    </row>
    <row r="22233">
      <c r="D22233" s="185"/>
      <c r="E22233" s="185" t="s">
        <v>470</v>
      </c>
      <c r="H22233" s="185"/>
    </row>
    <row r="22234">
      <c r="D22234" s="185"/>
      <c r="E22234" s="185" t="s">
        <v>470</v>
      </c>
      <c r="H22234" s="185"/>
    </row>
    <row r="22235">
      <c r="D22235" s="185"/>
      <c r="E22235" s="185" t="s">
        <v>470</v>
      </c>
      <c r="H22235" s="185"/>
    </row>
    <row r="22236">
      <c r="D22236" s="185"/>
      <c r="E22236" s="185" t="s">
        <v>470</v>
      </c>
      <c r="H22236" s="185"/>
    </row>
    <row r="22237">
      <c r="D22237" s="185"/>
      <c r="E22237" s="185" t="s">
        <v>470</v>
      </c>
      <c r="H22237" s="185"/>
    </row>
    <row r="22238">
      <c r="D22238" s="185"/>
      <c r="E22238" s="185" t="s">
        <v>470</v>
      </c>
      <c r="H22238" s="185"/>
    </row>
    <row r="22239">
      <c r="D22239" s="185"/>
      <c r="E22239" s="185" t="s">
        <v>470</v>
      </c>
      <c r="H22239" s="185"/>
    </row>
    <row r="22240">
      <c r="D22240" s="185"/>
      <c r="E22240" s="185" t="s">
        <v>470</v>
      </c>
      <c r="H22240" s="185"/>
    </row>
    <row r="22241">
      <c r="D22241" s="185"/>
      <c r="E22241" s="185" t="s">
        <v>470</v>
      </c>
      <c r="H22241" s="185"/>
    </row>
    <row r="22242">
      <c r="D22242" s="185"/>
      <c r="E22242" s="185" t="s">
        <v>470</v>
      </c>
      <c r="H22242" s="185"/>
    </row>
    <row r="22243">
      <c r="D22243" s="185"/>
      <c r="E22243" s="185" t="s">
        <v>470</v>
      </c>
      <c r="H22243" s="185"/>
    </row>
    <row r="22244">
      <c r="D22244" s="185"/>
      <c r="E22244" s="185" t="s">
        <v>470</v>
      </c>
      <c r="H22244" s="185"/>
    </row>
    <row r="22245">
      <c r="D22245" s="185"/>
      <c r="E22245" s="185" t="s">
        <v>470</v>
      </c>
      <c r="H22245" s="185"/>
    </row>
    <row r="22246">
      <c r="D22246" s="185"/>
      <c r="E22246" s="185" t="s">
        <v>470</v>
      </c>
      <c r="H22246" s="185"/>
    </row>
    <row r="22247">
      <c r="D22247" s="185"/>
      <c r="E22247" s="185" t="s">
        <v>470</v>
      </c>
      <c r="H22247" s="185"/>
    </row>
    <row r="22248">
      <c r="D22248" s="185"/>
      <c r="E22248" s="185" t="s">
        <v>470</v>
      </c>
      <c r="H22248" s="185"/>
    </row>
    <row r="22249">
      <c r="D22249" s="185"/>
      <c r="E22249" s="185" t="s">
        <v>470</v>
      </c>
      <c r="H22249" s="185"/>
    </row>
    <row r="22250">
      <c r="D22250" s="185"/>
      <c r="E22250" s="185" t="s">
        <v>470</v>
      </c>
      <c r="H22250" s="185"/>
    </row>
    <row r="22251">
      <c r="D22251" s="185"/>
      <c r="E22251" s="185" t="s">
        <v>470</v>
      </c>
      <c r="H22251" s="185"/>
    </row>
    <row r="22252">
      <c r="D22252" s="185"/>
      <c r="E22252" s="185" t="s">
        <v>470</v>
      </c>
      <c r="H22252" s="185"/>
    </row>
    <row r="22253">
      <c r="D22253" s="185"/>
      <c r="E22253" s="185" t="s">
        <v>470</v>
      </c>
      <c r="H22253" s="185"/>
    </row>
    <row r="22254">
      <c r="D22254" s="185"/>
      <c r="E22254" s="185" t="s">
        <v>470</v>
      </c>
      <c r="H22254" s="185"/>
    </row>
    <row r="22255">
      <c r="D22255" s="185"/>
      <c r="E22255" s="185" t="s">
        <v>470</v>
      </c>
      <c r="H22255" s="185"/>
    </row>
    <row r="22256">
      <c r="D22256" s="185"/>
      <c r="E22256" s="185" t="s">
        <v>470</v>
      </c>
      <c r="H22256" s="185"/>
    </row>
    <row r="22257">
      <c r="D22257" s="185"/>
      <c r="E22257" s="185" t="s">
        <v>470</v>
      </c>
      <c r="H22257" s="185"/>
    </row>
    <row r="22258">
      <c r="D22258" s="185"/>
      <c r="E22258" s="185" t="s">
        <v>470</v>
      </c>
      <c r="H22258" s="185"/>
    </row>
    <row r="22259">
      <c r="D22259" s="185"/>
      <c r="E22259" s="185" t="s">
        <v>470</v>
      </c>
      <c r="H22259" s="185"/>
    </row>
    <row r="22260">
      <c r="D22260" s="185"/>
      <c r="E22260" s="185" t="s">
        <v>470</v>
      </c>
      <c r="H22260" s="185"/>
    </row>
    <row r="22261">
      <c r="D22261" s="185"/>
      <c r="E22261" s="185" t="s">
        <v>470</v>
      </c>
      <c r="H22261" s="185"/>
    </row>
    <row r="22262">
      <c r="D22262" s="185"/>
      <c r="E22262" s="185" t="s">
        <v>470</v>
      </c>
      <c r="H22262" s="185"/>
    </row>
    <row r="22263">
      <c r="D22263" s="185"/>
      <c r="E22263" s="185" t="s">
        <v>470</v>
      </c>
      <c r="H22263" s="185"/>
    </row>
    <row r="22264">
      <c r="D22264" s="185"/>
      <c r="E22264" s="185" t="s">
        <v>470</v>
      </c>
      <c r="H22264" s="185"/>
    </row>
    <row r="22265">
      <c r="D22265" s="185"/>
      <c r="E22265" s="185" t="s">
        <v>470</v>
      </c>
      <c r="H22265" s="185"/>
    </row>
    <row r="22266">
      <c r="D22266" s="185"/>
      <c r="E22266" s="185" t="s">
        <v>470</v>
      </c>
      <c r="H22266" s="185"/>
    </row>
    <row r="22267">
      <c r="D22267" s="185"/>
      <c r="E22267" s="185" t="s">
        <v>470</v>
      </c>
      <c r="H22267" s="185"/>
    </row>
    <row r="22268">
      <c r="D22268" s="185"/>
      <c r="E22268" s="185" t="s">
        <v>470</v>
      </c>
      <c r="H22268" s="185"/>
    </row>
    <row r="22269">
      <c r="D22269" s="185"/>
      <c r="E22269" s="185" t="s">
        <v>470</v>
      </c>
      <c r="H22269" s="185"/>
    </row>
    <row r="22270">
      <c r="D22270" s="185"/>
      <c r="E22270" s="185" t="s">
        <v>470</v>
      </c>
      <c r="H22270" s="185"/>
    </row>
    <row r="22271">
      <c r="D22271" s="185"/>
      <c r="E22271" s="185" t="s">
        <v>470</v>
      </c>
      <c r="H22271" s="185"/>
    </row>
    <row r="22272">
      <c r="D22272" s="185"/>
      <c r="E22272" s="185" t="s">
        <v>470</v>
      </c>
      <c r="H22272" s="185"/>
    </row>
    <row r="22273">
      <c r="D22273" s="185"/>
      <c r="E22273" s="185" t="s">
        <v>470</v>
      </c>
      <c r="H22273" s="185"/>
    </row>
    <row r="22274">
      <c r="D22274" s="185"/>
      <c r="E22274" s="185" t="s">
        <v>470</v>
      </c>
      <c r="H22274" s="185"/>
    </row>
    <row r="22275">
      <c r="D22275" s="185"/>
      <c r="E22275" s="185" t="s">
        <v>470</v>
      </c>
      <c r="H22275" s="185"/>
    </row>
    <row r="22276">
      <c r="D22276" s="185"/>
      <c r="E22276" s="185" t="s">
        <v>470</v>
      </c>
      <c r="H22276" s="185"/>
    </row>
    <row r="22277">
      <c r="D22277" s="185"/>
      <c r="E22277" s="185" t="s">
        <v>470</v>
      </c>
      <c r="H22277" s="185"/>
    </row>
    <row r="22278">
      <c r="D22278" s="185"/>
      <c r="E22278" s="185" t="s">
        <v>470</v>
      </c>
      <c r="H22278" s="185"/>
    </row>
    <row r="22279">
      <c r="D22279" s="185"/>
      <c r="E22279" s="185" t="s">
        <v>470</v>
      </c>
      <c r="H22279" s="185"/>
    </row>
    <row r="22280">
      <c r="D22280" s="185"/>
      <c r="E22280" s="185" t="s">
        <v>470</v>
      </c>
      <c r="H22280" s="185"/>
    </row>
    <row r="22281">
      <c r="D22281" s="185"/>
      <c r="E22281" s="185" t="s">
        <v>470</v>
      </c>
      <c r="H22281" s="185"/>
    </row>
    <row r="22282">
      <c r="D22282" s="185"/>
      <c r="E22282" s="185" t="s">
        <v>470</v>
      </c>
      <c r="H22282" s="185"/>
    </row>
    <row r="22283">
      <c r="D22283" s="185"/>
      <c r="E22283" s="185" t="s">
        <v>470</v>
      </c>
      <c r="H22283" s="185"/>
    </row>
    <row r="22284">
      <c r="D22284" s="185"/>
      <c r="E22284" s="185" t="s">
        <v>470</v>
      </c>
      <c r="H22284" s="185"/>
    </row>
    <row r="22285">
      <c r="D22285" s="185"/>
      <c r="E22285" s="185" t="s">
        <v>470</v>
      </c>
      <c r="H22285" s="185"/>
    </row>
    <row r="22286">
      <c r="D22286" s="185"/>
      <c r="E22286" s="185" t="s">
        <v>470</v>
      </c>
      <c r="H22286" s="185"/>
    </row>
    <row r="22287">
      <c r="D22287" s="185"/>
      <c r="E22287" s="185" t="s">
        <v>470</v>
      </c>
      <c r="H22287" s="185"/>
    </row>
    <row r="22288">
      <c r="D22288" s="185"/>
      <c r="E22288" s="185" t="s">
        <v>470</v>
      </c>
      <c r="H22288" s="185"/>
    </row>
    <row r="22289">
      <c r="D22289" s="185"/>
      <c r="E22289" s="185" t="s">
        <v>470</v>
      </c>
      <c r="H22289" s="185"/>
    </row>
    <row r="22290">
      <c r="D22290" s="185"/>
      <c r="E22290" s="185" t="s">
        <v>470</v>
      </c>
      <c r="H22290" s="185"/>
    </row>
    <row r="22291">
      <c r="D22291" s="185"/>
      <c r="E22291" s="185" t="s">
        <v>470</v>
      </c>
      <c r="H22291" s="185"/>
    </row>
    <row r="22292">
      <c r="D22292" s="185"/>
      <c r="E22292" s="185" t="s">
        <v>470</v>
      </c>
      <c r="H22292" s="185"/>
    </row>
    <row r="22293">
      <c r="D22293" s="185"/>
      <c r="E22293" s="185" t="s">
        <v>470</v>
      </c>
      <c r="H22293" s="185"/>
    </row>
    <row r="22294">
      <c r="D22294" s="185"/>
      <c r="E22294" s="185" t="s">
        <v>470</v>
      </c>
      <c r="H22294" s="185"/>
    </row>
    <row r="22295">
      <c r="D22295" s="185"/>
      <c r="E22295" s="185" t="s">
        <v>470</v>
      </c>
      <c r="H22295" s="185"/>
    </row>
    <row r="22296">
      <c r="D22296" s="185"/>
      <c r="E22296" s="185" t="s">
        <v>470</v>
      </c>
      <c r="H22296" s="185"/>
    </row>
    <row r="22297">
      <c r="D22297" s="185"/>
      <c r="E22297" s="185" t="s">
        <v>470</v>
      </c>
      <c r="H22297" s="185"/>
    </row>
    <row r="22298">
      <c r="D22298" s="185"/>
      <c r="E22298" s="185" t="s">
        <v>470</v>
      </c>
      <c r="H22298" s="185"/>
    </row>
    <row r="22299">
      <c r="D22299" s="185"/>
      <c r="E22299" s="185" t="s">
        <v>470</v>
      </c>
      <c r="H22299" s="185"/>
    </row>
    <row r="22300">
      <c r="D22300" s="185"/>
      <c r="E22300" s="185" t="s">
        <v>470</v>
      </c>
      <c r="H22300" s="185"/>
    </row>
    <row r="22301">
      <c r="D22301" s="185"/>
      <c r="E22301" s="185" t="s">
        <v>470</v>
      </c>
      <c r="H22301" s="185"/>
    </row>
    <row r="22302">
      <c r="D22302" s="185"/>
      <c r="E22302" s="185" t="s">
        <v>470</v>
      </c>
      <c r="H22302" s="185"/>
    </row>
    <row r="22303">
      <c r="D22303" s="185"/>
      <c r="E22303" s="185" t="s">
        <v>470</v>
      </c>
      <c r="H22303" s="185"/>
    </row>
    <row r="22304">
      <c r="D22304" s="185"/>
      <c r="E22304" s="185" t="s">
        <v>470</v>
      </c>
      <c r="H22304" s="185"/>
    </row>
    <row r="22305">
      <c r="D22305" s="185"/>
      <c r="E22305" s="185" t="s">
        <v>470</v>
      </c>
      <c r="H22305" s="185"/>
    </row>
    <row r="22306">
      <c r="D22306" s="185"/>
      <c r="E22306" s="185" t="s">
        <v>470</v>
      </c>
      <c r="H22306" s="185"/>
    </row>
    <row r="22307">
      <c r="D22307" s="185"/>
      <c r="E22307" s="185" t="s">
        <v>470</v>
      </c>
      <c r="H22307" s="185"/>
    </row>
    <row r="22308">
      <c r="D22308" s="185"/>
      <c r="E22308" s="185" t="s">
        <v>470</v>
      </c>
      <c r="H22308" s="185"/>
    </row>
    <row r="22309">
      <c r="D22309" s="185"/>
      <c r="E22309" s="185" t="s">
        <v>470</v>
      </c>
      <c r="H22309" s="185"/>
    </row>
    <row r="22310">
      <c r="D22310" s="185"/>
      <c r="E22310" s="185" t="s">
        <v>470</v>
      </c>
      <c r="H22310" s="185"/>
    </row>
    <row r="22311">
      <c r="D22311" s="185"/>
      <c r="E22311" s="185" t="s">
        <v>470</v>
      </c>
      <c r="H22311" s="185"/>
    </row>
    <row r="22312">
      <c r="D22312" s="185"/>
      <c r="E22312" s="185" t="s">
        <v>470</v>
      </c>
      <c r="H22312" s="185"/>
    </row>
    <row r="22313">
      <c r="D22313" s="185"/>
      <c r="E22313" s="185" t="s">
        <v>470</v>
      </c>
      <c r="H22313" s="185"/>
    </row>
    <row r="22314">
      <c r="D22314" s="185"/>
      <c r="E22314" s="185" t="s">
        <v>470</v>
      </c>
      <c r="H22314" s="185"/>
    </row>
    <row r="22315">
      <c r="D22315" s="185"/>
      <c r="E22315" s="185" t="s">
        <v>470</v>
      </c>
      <c r="H22315" s="185"/>
    </row>
    <row r="22316">
      <c r="D22316" s="185"/>
      <c r="E22316" s="185" t="s">
        <v>470</v>
      </c>
      <c r="H22316" s="185"/>
    </row>
    <row r="22317">
      <c r="D22317" s="185"/>
      <c r="E22317" s="185" t="s">
        <v>470</v>
      </c>
      <c r="H22317" s="185"/>
    </row>
    <row r="22318">
      <c r="D22318" s="185"/>
      <c r="E22318" s="185" t="s">
        <v>470</v>
      </c>
      <c r="H22318" s="185"/>
    </row>
    <row r="22319">
      <c r="D22319" s="185"/>
      <c r="E22319" s="185" t="s">
        <v>470</v>
      </c>
      <c r="H22319" s="185"/>
    </row>
    <row r="22320">
      <c r="D22320" s="185"/>
      <c r="E22320" s="185" t="s">
        <v>470</v>
      </c>
      <c r="H22320" s="185"/>
    </row>
    <row r="22321">
      <c r="D22321" s="185"/>
      <c r="E22321" s="185" t="s">
        <v>470</v>
      </c>
      <c r="H22321" s="185"/>
    </row>
    <row r="22322">
      <c r="D22322" s="185"/>
      <c r="E22322" s="185" t="s">
        <v>470</v>
      </c>
      <c r="H22322" s="185"/>
    </row>
    <row r="22323">
      <c r="D22323" s="185"/>
      <c r="E22323" s="185" t="s">
        <v>470</v>
      </c>
      <c r="H22323" s="185"/>
    </row>
    <row r="22324">
      <c r="D22324" s="185"/>
      <c r="E22324" s="185" t="s">
        <v>470</v>
      </c>
      <c r="H22324" s="185"/>
    </row>
    <row r="22325">
      <c r="D22325" s="185"/>
      <c r="E22325" s="185" t="s">
        <v>470</v>
      </c>
      <c r="H22325" s="185"/>
    </row>
    <row r="22326">
      <c r="D22326" s="185"/>
      <c r="E22326" s="185" t="s">
        <v>470</v>
      </c>
      <c r="H22326" s="185"/>
    </row>
    <row r="22327">
      <c r="D22327" s="185"/>
      <c r="E22327" s="185" t="s">
        <v>470</v>
      </c>
      <c r="H22327" s="185"/>
    </row>
    <row r="22328">
      <c r="D22328" s="185"/>
      <c r="E22328" s="185" t="s">
        <v>470</v>
      </c>
      <c r="H22328" s="185"/>
    </row>
    <row r="22329">
      <c r="D22329" s="185"/>
      <c r="E22329" s="185" t="s">
        <v>470</v>
      </c>
      <c r="H22329" s="185"/>
    </row>
    <row r="22330">
      <c r="D22330" s="185"/>
      <c r="E22330" s="185" t="s">
        <v>470</v>
      </c>
      <c r="H22330" s="185"/>
    </row>
    <row r="22331">
      <c r="D22331" s="185"/>
      <c r="E22331" s="185" t="s">
        <v>470</v>
      </c>
      <c r="H22331" s="185"/>
    </row>
    <row r="22332">
      <c r="D22332" s="185"/>
      <c r="E22332" s="185" t="s">
        <v>470</v>
      </c>
      <c r="H22332" s="185"/>
    </row>
    <row r="22333">
      <c r="D22333" s="185"/>
      <c r="E22333" s="185" t="s">
        <v>470</v>
      </c>
      <c r="H22333" s="185"/>
    </row>
    <row r="22334">
      <c r="D22334" s="185"/>
      <c r="E22334" s="185" t="s">
        <v>470</v>
      </c>
      <c r="H22334" s="185"/>
    </row>
    <row r="22335">
      <c r="D22335" s="185"/>
      <c r="E22335" s="185" t="s">
        <v>470</v>
      </c>
      <c r="H22335" s="185"/>
    </row>
    <row r="22336">
      <c r="D22336" s="185"/>
      <c r="E22336" s="185" t="s">
        <v>470</v>
      </c>
      <c r="H22336" s="185"/>
    </row>
    <row r="22337">
      <c r="D22337" s="185"/>
      <c r="E22337" s="185" t="s">
        <v>470</v>
      </c>
      <c r="H22337" s="185"/>
    </row>
    <row r="22338">
      <c r="D22338" s="185"/>
      <c r="E22338" s="185" t="s">
        <v>470</v>
      </c>
      <c r="H22338" s="185"/>
    </row>
    <row r="22339">
      <c r="D22339" s="185"/>
      <c r="E22339" s="185" t="s">
        <v>470</v>
      </c>
      <c r="H22339" s="185"/>
    </row>
    <row r="22340">
      <c r="D22340" s="185"/>
      <c r="E22340" s="185" t="s">
        <v>470</v>
      </c>
      <c r="H22340" s="185"/>
    </row>
    <row r="22341">
      <c r="D22341" s="185"/>
      <c r="E22341" s="185" t="s">
        <v>470</v>
      </c>
      <c r="H22341" s="185"/>
    </row>
    <row r="22342">
      <c r="D22342" s="185"/>
      <c r="E22342" s="185" t="s">
        <v>470</v>
      </c>
      <c r="H22342" s="185"/>
    </row>
    <row r="22343">
      <c r="D22343" s="185"/>
      <c r="E22343" s="185" t="s">
        <v>470</v>
      </c>
      <c r="H22343" s="185"/>
    </row>
    <row r="22344">
      <c r="D22344" s="185"/>
      <c r="E22344" s="185" t="s">
        <v>470</v>
      </c>
      <c r="H22344" s="185"/>
    </row>
    <row r="22345">
      <c r="D22345" s="185"/>
      <c r="E22345" s="185" t="s">
        <v>470</v>
      </c>
      <c r="H22345" s="185"/>
    </row>
    <row r="22346">
      <c r="D22346" s="185"/>
      <c r="E22346" s="185" t="s">
        <v>470</v>
      </c>
      <c r="H22346" s="185"/>
    </row>
    <row r="22347">
      <c r="D22347" s="185"/>
      <c r="E22347" s="185" t="s">
        <v>470</v>
      </c>
      <c r="H22347" s="185"/>
    </row>
    <row r="22348">
      <c r="D22348" s="185"/>
      <c r="E22348" s="185" t="s">
        <v>470</v>
      </c>
      <c r="H22348" s="185"/>
    </row>
    <row r="22349">
      <c r="D22349" s="185"/>
      <c r="E22349" s="185" t="s">
        <v>470</v>
      </c>
      <c r="H22349" s="185"/>
    </row>
    <row r="22350">
      <c r="D22350" s="185"/>
      <c r="E22350" s="185" t="s">
        <v>470</v>
      </c>
      <c r="H22350" s="185"/>
    </row>
    <row r="22351">
      <c r="D22351" s="185"/>
      <c r="E22351" s="185" t="s">
        <v>470</v>
      </c>
      <c r="H22351" s="185"/>
    </row>
    <row r="22352">
      <c r="D22352" s="185"/>
      <c r="E22352" s="185" t="s">
        <v>470</v>
      </c>
      <c r="H22352" s="185"/>
    </row>
    <row r="22353">
      <c r="D22353" s="185"/>
      <c r="E22353" s="185" t="s">
        <v>470</v>
      </c>
      <c r="H22353" s="185"/>
    </row>
    <row r="22354">
      <c r="D22354" s="185"/>
      <c r="E22354" s="185" t="s">
        <v>470</v>
      </c>
      <c r="H22354" s="185"/>
    </row>
    <row r="22355">
      <c r="D22355" s="185"/>
      <c r="E22355" s="185" t="s">
        <v>470</v>
      </c>
      <c r="H22355" s="185"/>
    </row>
    <row r="22356">
      <c r="D22356" s="185"/>
      <c r="E22356" s="185" t="s">
        <v>470</v>
      </c>
      <c r="H22356" s="185"/>
    </row>
    <row r="22357">
      <c r="D22357" s="185"/>
      <c r="E22357" s="185" t="s">
        <v>470</v>
      </c>
      <c r="H22357" s="185"/>
    </row>
    <row r="22358">
      <c r="D22358" s="185"/>
      <c r="E22358" s="185" t="s">
        <v>470</v>
      </c>
      <c r="H22358" s="185"/>
    </row>
    <row r="22359">
      <c r="D22359" s="185"/>
      <c r="E22359" s="185" t="s">
        <v>470</v>
      </c>
      <c r="H22359" s="185"/>
    </row>
    <row r="22360">
      <c r="D22360" s="185"/>
      <c r="E22360" s="185" t="s">
        <v>470</v>
      </c>
      <c r="H22360" s="185"/>
    </row>
    <row r="22361">
      <c r="D22361" s="185"/>
      <c r="E22361" s="185" t="s">
        <v>470</v>
      </c>
      <c r="H22361" s="185"/>
    </row>
    <row r="22362">
      <c r="D22362" s="185"/>
      <c r="E22362" s="185" t="s">
        <v>470</v>
      </c>
      <c r="H22362" s="185"/>
    </row>
    <row r="22363">
      <c r="D22363" s="185"/>
      <c r="E22363" s="185" t="s">
        <v>470</v>
      </c>
      <c r="H22363" s="185"/>
    </row>
    <row r="22364">
      <c r="D22364" s="185"/>
      <c r="E22364" s="185" t="s">
        <v>470</v>
      </c>
      <c r="H22364" s="185"/>
    </row>
    <row r="22365">
      <c r="D22365" s="185"/>
      <c r="E22365" s="185" t="s">
        <v>470</v>
      </c>
      <c r="H22365" s="185"/>
    </row>
    <row r="22366">
      <c r="D22366" s="185"/>
      <c r="E22366" s="185" t="s">
        <v>470</v>
      </c>
      <c r="H22366" s="185"/>
    </row>
    <row r="22367">
      <c r="D22367" s="185"/>
      <c r="E22367" s="185" t="s">
        <v>470</v>
      </c>
      <c r="H22367" s="185"/>
    </row>
    <row r="22368">
      <c r="D22368" s="185"/>
      <c r="E22368" s="185" t="s">
        <v>470</v>
      </c>
      <c r="H22368" s="185"/>
    </row>
    <row r="22369">
      <c r="D22369" s="185"/>
      <c r="E22369" s="185" t="s">
        <v>470</v>
      </c>
      <c r="H22369" s="185"/>
    </row>
    <row r="22370">
      <c r="D22370" s="185"/>
      <c r="E22370" s="185" t="s">
        <v>470</v>
      </c>
      <c r="H22370" s="185"/>
    </row>
    <row r="22371">
      <c r="D22371" s="185"/>
      <c r="E22371" s="185" t="s">
        <v>470</v>
      </c>
      <c r="H22371" s="185"/>
    </row>
    <row r="22372">
      <c r="D22372" s="185"/>
      <c r="E22372" s="185" t="s">
        <v>470</v>
      </c>
      <c r="H22372" s="185"/>
    </row>
    <row r="22373">
      <c r="D22373" s="185"/>
      <c r="E22373" s="185" t="s">
        <v>470</v>
      </c>
      <c r="H22373" s="185"/>
    </row>
    <row r="22374">
      <c r="D22374" s="185"/>
      <c r="E22374" s="185" t="s">
        <v>470</v>
      </c>
      <c r="H22374" s="185"/>
    </row>
    <row r="22375">
      <c r="D22375" s="185"/>
      <c r="E22375" s="185" t="s">
        <v>470</v>
      </c>
      <c r="H22375" s="185"/>
    </row>
    <row r="22376">
      <c r="D22376" s="185"/>
      <c r="E22376" s="185" t="s">
        <v>470</v>
      </c>
      <c r="H22376" s="185"/>
    </row>
    <row r="22377">
      <c r="D22377" s="185"/>
      <c r="E22377" s="185" t="s">
        <v>470</v>
      </c>
      <c r="H22377" s="185"/>
    </row>
    <row r="22378">
      <c r="D22378" s="185"/>
      <c r="E22378" s="185" t="s">
        <v>470</v>
      </c>
      <c r="H22378" s="185"/>
    </row>
    <row r="22379">
      <c r="D22379" s="185"/>
      <c r="E22379" s="185" t="s">
        <v>470</v>
      </c>
      <c r="H22379" s="185"/>
    </row>
    <row r="22380">
      <c r="D22380" s="185"/>
      <c r="E22380" s="185" t="s">
        <v>470</v>
      </c>
      <c r="H22380" s="185"/>
    </row>
    <row r="22381">
      <c r="D22381" s="185"/>
      <c r="E22381" s="185" t="s">
        <v>470</v>
      </c>
      <c r="H22381" s="185"/>
    </row>
    <row r="22382">
      <c r="D22382" s="185"/>
      <c r="E22382" s="185" t="s">
        <v>470</v>
      </c>
      <c r="H22382" s="185"/>
    </row>
    <row r="22383">
      <c r="D22383" s="185"/>
      <c r="E22383" s="185" t="s">
        <v>470</v>
      </c>
      <c r="H22383" s="185"/>
    </row>
    <row r="22384">
      <c r="D22384" s="185"/>
      <c r="E22384" s="185" t="s">
        <v>470</v>
      </c>
      <c r="H22384" s="185"/>
    </row>
    <row r="22385">
      <c r="D22385" s="185"/>
      <c r="E22385" s="185" t="s">
        <v>470</v>
      </c>
      <c r="H22385" s="185"/>
    </row>
    <row r="22386">
      <c r="D22386" s="185"/>
      <c r="E22386" s="185" t="s">
        <v>470</v>
      </c>
      <c r="H22386" s="185"/>
    </row>
    <row r="22387">
      <c r="D22387" s="185"/>
      <c r="E22387" s="185" t="s">
        <v>470</v>
      </c>
      <c r="H22387" s="185"/>
    </row>
    <row r="22388">
      <c r="D22388" s="185"/>
      <c r="E22388" s="185" t="s">
        <v>470</v>
      </c>
      <c r="H22388" s="185"/>
    </row>
    <row r="22389">
      <c r="D22389" s="185"/>
      <c r="E22389" s="185" t="s">
        <v>470</v>
      </c>
      <c r="H22389" s="185"/>
    </row>
    <row r="22390">
      <c r="D22390" s="185"/>
      <c r="E22390" s="185" t="s">
        <v>470</v>
      </c>
      <c r="H22390" s="185"/>
    </row>
    <row r="22391">
      <c r="D22391" s="185"/>
      <c r="E22391" s="185" t="s">
        <v>470</v>
      </c>
      <c r="H22391" s="185"/>
    </row>
    <row r="22392">
      <c r="D22392" s="185"/>
      <c r="E22392" s="185" t="s">
        <v>470</v>
      </c>
      <c r="H22392" s="185"/>
    </row>
    <row r="22393">
      <c r="D22393" s="185"/>
      <c r="E22393" s="185" t="s">
        <v>470</v>
      </c>
      <c r="H22393" s="185"/>
    </row>
    <row r="22394">
      <c r="D22394" s="185"/>
      <c r="E22394" s="185" t="s">
        <v>470</v>
      </c>
      <c r="H22394" s="185"/>
    </row>
    <row r="22395">
      <c r="D22395" s="185"/>
      <c r="E22395" s="185" t="s">
        <v>470</v>
      </c>
      <c r="H22395" s="185"/>
    </row>
    <row r="22396">
      <c r="D22396" s="185"/>
      <c r="E22396" s="185" t="s">
        <v>470</v>
      </c>
      <c r="H22396" s="185"/>
    </row>
    <row r="22397">
      <c r="D22397" s="185"/>
      <c r="E22397" s="185" t="s">
        <v>470</v>
      </c>
      <c r="H22397" s="185"/>
    </row>
    <row r="22398">
      <c r="D22398" s="185"/>
      <c r="E22398" s="185" t="s">
        <v>470</v>
      </c>
      <c r="H22398" s="185"/>
    </row>
    <row r="22399">
      <c r="D22399" s="185"/>
      <c r="E22399" s="185" t="s">
        <v>470</v>
      </c>
      <c r="H22399" s="185"/>
    </row>
    <row r="22400">
      <c r="D22400" s="185"/>
      <c r="E22400" s="185" t="s">
        <v>470</v>
      </c>
      <c r="H22400" s="185"/>
    </row>
    <row r="22401">
      <c r="D22401" s="185"/>
      <c r="E22401" s="185" t="s">
        <v>470</v>
      </c>
      <c r="H22401" s="185"/>
    </row>
    <row r="22402">
      <c r="D22402" s="185"/>
      <c r="E22402" s="185" t="s">
        <v>470</v>
      </c>
      <c r="H22402" s="185"/>
    </row>
    <row r="22403">
      <c r="D22403" s="185"/>
      <c r="E22403" s="185" t="s">
        <v>470</v>
      </c>
      <c r="H22403" s="185"/>
    </row>
    <row r="22404">
      <c r="D22404" s="185"/>
      <c r="E22404" s="185" t="s">
        <v>470</v>
      </c>
      <c r="H22404" s="185"/>
    </row>
    <row r="22405">
      <c r="D22405" s="185"/>
      <c r="E22405" s="185" t="s">
        <v>470</v>
      </c>
      <c r="H22405" s="185"/>
    </row>
    <row r="22406">
      <c r="D22406" s="185"/>
      <c r="E22406" s="185" t="s">
        <v>470</v>
      </c>
      <c r="H22406" s="185"/>
    </row>
    <row r="22407">
      <c r="D22407" s="185"/>
      <c r="E22407" s="185" t="s">
        <v>470</v>
      </c>
      <c r="H22407" s="185"/>
    </row>
    <row r="22408">
      <c r="D22408" s="185"/>
      <c r="E22408" s="185" t="s">
        <v>470</v>
      </c>
      <c r="H22408" s="185"/>
    </row>
    <row r="22409">
      <c r="D22409" s="185"/>
      <c r="E22409" s="185" t="s">
        <v>470</v>
      </c>
      <c r="H22409" s="185"/>
    </row>
    <row r="22410">
      <c r="D22410" s="185"/>
      <c r="E22410" s="185" t="s">
        <v>470</v>
      </c>
      <c r="H22410" s="185"/>
    </row>
    <row r="22411">
      <c r="D22411" s="185"/>
      <c r="E22411" s="185" t="s">
        <v>470</v>
      </c>
      <c r="H22411" s="185"/>
    </row>
    <row r="22412">
      <c r="D22412" s="185"/>
      <c r="E22412" s="185" t="s">
        <v>470</v>
      </c>
      <c r="H22412" s="185"/>
    </row>
    <row r="22413">
      <c r="D22413" s="185"/>
      <c r="E22413" s="185" t="s">
        <v>470</v>
      </c>
      <c r="H22413" s="185"/>
    </row>
    <row r="22414">
      <c r="D22414" s="185"/>
      <c r="E22414" s="185" t="s">
        <v>470</v>
      </c>
      <c r="H22414" s="185"/>
    </row>
    <row r="22415">
      <c r="D22415" s="185"/>
      <c r="E22415" s="185" t="s">
        <v>470</v>
      </c>
      <c r="H22415" s="185"/>
    </row>
    <row r="22416">
      <c r="D22416" s="185"/>
      <c r="E22416" s="185" t="s">
        <v>470</v>
      </c>
      <c r="H22416" s="185"/>
    </row>
    <row r="22417">
      <c r="D22417" s="185"/>
      <c r="E22417" s="185" t="s">
        <v>470</v>
      </c>
      <c r="H22417" s="185"/>
    </row>
    <row r="22418">
      <c r="D22418" s="185"/>
      <c r="E22418" s="185" t="s">
        <v>470</v>
      </c>
      <c r="H22418" s="185"/>
    </row>
    <row r="22419">
      <c r="D22419" s="185"/>
      <c r="E22419" s="185" t="s">
        <v>470</v>
      </c>
      <c r="H22419" s="185"/>
    </row>
    <row r="22420">
      <c r="D22420" s="185"/>
      <c r="E22420" s="185" t="s">
        <v>470</v>
      </c>
      <c r="H22420" s="185"/>
    </row>
    <row r="22421">
      <c r="D22421" s="185"/>
      <c r="E22421" s="185" t="s">
        <v>470</v>
      </c>
      <c r="H22421" s="185"/>
    </row>
    <row r="22422">
      <c r="D22422" s="185"/>
      <c r="E22422" s="185" t="s">
        <v>470</v>
      </c>
      <c r="H22422" s="185"/>
    </row>
    <row r="22423">
      <c r="D22423" s="185"/>
      <c r="E22423" s="185" t="s">
        <v>470</v>
      </c>
      <c r="H22423" s="185"/>
    </row>
    <row r="22424">
      <c r="D22424" s="185"/>
      <c r="E22424" s="185" t="s">
        <v>470</v>
      </c>
      <c r="H22424" s="185"/>
    </row>
    <row r="22425">
      <c r="D22425" s="185"/>
      <c r="E22425" s="185" t="s">
        <v>470</v>
      </c>
      <c r="H22425" s="185"/>
    </row>
    <row r="22426">
      <c r="D22426" s="185"/>
      <c r="E22426" s="185" t="s">
        <v>470</v>
      </c>
      <c r="H22426" s="185"/>
    </row>
    <row r="22427">
      <c r="D22427" s="185"/>
      <c r="E22427" s="185" t="s">
        <v>470</v>
      </c>
      <c r="H22427" s="185"/>
    </row>
    <row r="22428">
      <c r="D22428" s="185"/>
      <c r="E22428" s="185" t="s">
        <v>470</v>
      </c>
      <c r="H22428" s="185"/>
    </row>
    <row r="22429">
      <c r="D22429" s="185"/>
      <c r="E22429" s="185" t="s">
        <v>470</v>
      </c>
      <c r="H22429" s="185"/>
    </row>
    <row r="22430">
      <c r="D22430" s="185"/>
      <c r="E22430" s="185" t="s">
        <v>470</v>
      </c>
      <c r="H22430" s="185"/>
    </row>
    <row r="22431">
      <c r="D22431" s="185"/>
      <c r="E22431" s="185" t="s">
        <v>470</v>
      </c>
      <c r="H22431" s="185"/>
    </row>
    <row r="22432">
      <c r="D22432" s="185"/>
      <c r="E22432" s="185" t="s">
        <v>470</v>
      </c>
      <c r="H22432" s="185"/>
    </row>
    <row r="22433">
      <c r="D22433" s="185"/>
      <c r="E22433" s="185" t="s">
        <v>470</v>
      </c>
      <c r="H22433" s="185"/>
    </row>
    <row r="22434">
      <c r="D22434" s="185"/>
      <c r="E22434" s="185" t="s">
        <v>470</v>
      </c>
      <c r="H22434" s="185"/>
    </row>
    <row r="22435">
      <c r="D22435" s="185"/>
      <c r="E22435" s="185" t="s">
        <v>470</v>
      </c>
      <c r="H22435" s="185"/>
    </row>
    <row r="22436">
      <c r="D22436" s="185"/>
      <c r="E22436" s="185" t="s">
        <v>470</v>
      </c>
      <c r="H22436" s="185"/>
    </row>
    <row r="22437">
      <c r="D22437" s="185"/>
      <c r="E22437" s="185" t="s">
        <v>470</v>
      </c>
      <c r="H22437" s="185"/>
    </row>
    <row r="22438">
      <c r="D22438" s="185"/>
      <c r="E22438" s="185" t="s">
        <v>470</v>
      </c>
      <c r="H22438" s="185"/>
    </row>
    <row r="22439">
      <c r="D22439" s="185"/>
      <c r="E22439" s="185" t="s">
        <v>470</v>
      </c>
      <c r="H22439" s="185"/>
    </row>
    <row r="22440">
      <c r="D22440" s="185"/>
      <c r="E22440" s="185" t="s">
        <v>470</v>
      </c>
      <c r="H22440" s="185"/>
    </row>
    <row r="22441">
      <c r="D22441" s="185"/>
      <c r="E22441" s="185" t="s">
        <v>470</v>
      </c>
      <c r="H22441" s="185"/>
    </row>
    <row r="22442">
      <c r="D22442" s="185"/>
      <c r="E22442" s="185" t="s">
        <v>470</v>
      </c>
      <c r="H22442" s="185"/>
    </row>
    <row r="22443">
      <c r="D22443" s="185"/>
      <c r="E22443" s="185" t="s">
        <v>470</v>
      </c>
      <c r="H22443" s="185"/>
    </row>
    <row r="22444">
      <c r="D22444" s="185"/>
      <c r="E22444" s="185" t="s">
        <v>470</v>
      </c>
      <c r="H22444" s="185"/>
    </row>
    <row r="22445">
      <c r="D22445" s="185"/>
      <c r="E22445" s="185" t="s">
        <v>470</v>
      </c>
      <c r="H22445" s="185"/>
    </row>
    <row r="22446">
      <c r="D22446" s="185"/>
      <c r="E22446" s="185" t="s">
        <v>470</v>
      </c>
      <c r="H22446" s="185"/>
    </row>
    <row r="22447">
      <c r="D22447" s="185"/>
      <c r="E22447" s="185" t="s">
        <v>470</v>
      </c>
      <c r="H22447" s="185"/>
    </row>
    <row r="22448">
      <c r="D22448" s="185"/>
      <c r="E22448" s="185" t="s">
        <v>470</v>
      </c>
      <c r="H22448" s="185"/>
    </row>
    <row r="22449">
      <c r="D22449" s="185"/>
      <c r="E22449" s="185" t="s">
        <v>470</v>
      </c>
      <c r="H22449" s="185"/>
    </row>
    <row r="22450">
      <c r="D22450" s="185"/>
      <c r="E22450" s="185" t="s">
        <v>470</v>
      </c>
      <c r="H22450" s="185"/>
    </row>
    <row r="22451">
      <c r="D22451" s="185"/>
      <c r="E22451" s="185" t="s">
        <v>470</v>
      </c>
      <c r="H22451" s="185"/>
    </row>
    <row r="22452">
      <c r="D22452" s="185"/>
      <c r="E22452" s="185" t="s">
        <v>470</v>
      </c>
      <c r="H22452" s="185"/>
    </row>
    <row r="22453">
      <c r="D22453" s="185"/>
      <c r="E22453" s="185" t="s">
        <v>470</v>
      </c>
      <c r="H22453" s="185"/>
    </row>
    <row r="22454">
      <c r="D22454" s="185"/>
      <c r="E22454" s="185" t="s">
        <v>470</v>
      </c>
      <c r="H22454" s="185"/>
    </row>
    <row r="22455">
      <c r="D22455" s="185"/>
      <c r="E22455" s="185" t="s">
        <v>470</v>
      </c>
      <c r="H22455" s="185"/>
    </row>
    <row r="22456">
      <c r="D22456" s="185"/>
      <c r="E22456" s="185" t="s">
        <v>470</v>
      </c>
      <c r="H22456" s="185"/>
    </row>
    <row r="22457">
      <c r="D22457" s="185"/>
      <c r="E22457" s="185" t="s">
        <v>470</v>
      </c>
      <c r="H22457" s="185"/>
    </row>
    <row r="22458">
      <c r="D22458" s="185"/>
      <c r="E22458" s="185" t="s">
        <v>470</v>
      </c>
      <c r="H22458" s="185"/>
    </row>
    <row r="22459">
      <c r="D22459" s="185"/>
      <c r="E22459" s="185" t="s">
        <v>470</v>
      </c>
      <c r="H22459" s="185"/>
    </row>
    <row r="22460">
      <c r="D22460" s="185"/>
      <c r="E22460" s="185" t="s">
        <v>470</v>
      </c>
      <c r="H22460" s="185"/>
    </row>
    <row r="22461">
      <c r="D22461" s="185"/>
      <c r="E22461" s="185" t="s">
        <v>470</v>
      </c>
      <c r="H22461" s="185"/>
    </row>
    <row r="22462">
      <c r="D22462" s="185"/>
      <c r="E22462" s="185" t="s">
        <v>470</v>
      </c>
      <c r="H22462" s="185"/>
    </row>
    <row r="22463">
      <c r="D22463" s="185"/>
      <c r="E22463" s="185" t="s">
        <v>470</v>
      </c>
      <c r="H22463" s="185"/>
    </row>
    <row r="22464">
      <c r="D22464" s="185"/>
      <c r="E22464" s="185" t="s">
        <v>470</v>
      </c>
      <c r="H22464" s="185"/>
    </row>
    <row r="22465">
      <c r="D22465" s="185"/>
      <c r="E22465" s="185" t="s">
        <v>470</v>
      </c>
      <c r="H22465" s="185"/>
    </row>
    <row r="22466">
      <c r="D22466" s="185"/>
      <c r="E22466" s="185" t="s">
        <v>470</v>
      </c>
      <c r="H22466" s="185"/>
    </row>
    <row r="22467">
      <c r="D22467" s="185"/>
      <c r="E22467" s="185" t="s">
        <v>470</v>
      </c>
      <c r="H22467" s="185"/>
    </row>
    <row r="22468">
      <c r="D22468" s="185"/>
      <c r="E22468" s="185" t="s">
        <v>470</v>
      </c>
      <c r="H22468" s="185"/>
    </row>
    <row r="22469">
      <c r="D22469" s="185"/>
      <c r="E22469" s="185" t="s">
        <v>470</v>
      </c>
      <c r="H22469" s="185"/>
    </row>
    <row r="22470">
      <c r="D22470" s="185"/>
      <c r="E22470" s="185" t="s">
        <v>470</v>
      </c>
      <c r="H22470" s="185"/>
    </row>
    <row r="22471">
      <c r="D22471" s="185"/>
      <c r="E22471" s="185" t="s">
        <v>470</v>
      </c>
      <c r="H22471" s="185"/>
    </row>
    <row r="22472">
      <c r="D22472" s="185"/>
      <c r="E22472" s="185" t="s">
        <v>470</v>
      </c>
      <c r="H22472" s="185"/>
    </row>
    <row r="22473">
      <c r="D22473" s="185"/>
      <c r="E22473" s="185" t="s">
        <v>470</v>
      </c>
      <c r="H22473" s="185"/>
    </row>
    <row r="22474">
      <c r="D22474" s="185"/>
      <c r="E22474" s="185" t="s">
        <v>470</v>
      </c>
      <c r="H22474" s="185"/>
    </row>
    <row r="22475">
      <c r="D22475" s="185"/>
      <c r="E22475" s="185" t="s">
        <v>470</v>
      </c>
      <c r="H22475" s="185"/>
    </row>
    <row r="22476">
      <c r="D22476" s="185"/>
      <c r="E22476" s="185" t="s">
        <v>470</v>
      </c>
      <c r="H22476" s="185"/>
    </row>
    <row r="22477">
      <c r="D22477" s="185"/>
      <c r="E22477" s="185" t="s">
        <v>470</v>
      </c>
      <c r="H22477" s="185"/>
    </row>
    <row r="22478">
      <c r="D22478" s="185"/>
      <c r="E22478" s="185" t="s">
        <v>470</v>
      </c>
      <c r="H22478" s="185"/>
    </row>
    <row r="22479">
      <c r="D22479" s="185"/>
      <c r="E22479" s="185" t="s">
        <v>470</v>
      </c>
      <c r="H22479" s="185"/>
    </row>
    <row r="22480">
      <c r="D22480" s="185"/>
      <c r="E22480" s="185" t="s">
        <v>470</v>
      </c>
      <c r="H22480" s="185"/>
    </row>
    <row r="22481">
      <c r="D22481" s="185"/>
      <c r="E22481" s="185" t="s">
        <v>470</v>
      </c>
      <c r="H22481" s="185"/>
    </row>
    <row r="22482">
      <c r="D22482" s="185"/>
      <c r="E22482" s="185" t="s">
        <v>470</v>
      </c>
      <c r="H22482" s="185"/>
    </row>
    <row r="22483">
      <c r="D22483" s="185"/>
      <c r="E22483" s="185" t="s">
        <v>470</v>
      </c>
      <c r="H22483" s="185"/>
    </row>
    <row r="22484">
      <c r="D22484" s="185"/>
      <c r="E22484" s="185" t="s">
        <v>470</v>
      </c>
      <c r="H22484" s="185"/>
    </row>
    <row r="22485">
      <c r="D22485" s="185"/>
      <c r="E22485" s="185" t="s">
        <v>470</v>
      </c>
      <c r="H22485" s="185"/>
    </row>
    <row r="22486">
      <c r="D22486" s="185"/>
      <c r="E22486" s="185" t="s">
        <v>470</v>
      </c>
      <c r="H22486" s="185"/>
    </row>
    <row r="22487">
      <c r="D22487" s="185"/>
      <c r="E22487" s="185" t="s">
        <v>470</v>
      </c>
      <c r="H22487" s="185"/>
    </row>
    <row r="22488">
      <c r="D22488" s="185"/>
      <c r="E22488" s="185" t="s">
        <v>470</v>
      </c>
      <c r="H22488" s="185"/>
    </row>
    <row r="22489">
      <c r="D22489" s="185"/>
      <c r="E22489" s="185" t="s">
        <v>470</v>
      </c>
      <c r="H22489" s="185"/>
    </row>
    <row r="22490">
      <c r="D22490" s="185"/>
      <c r="E22490" s="185" t="s">
        <v>470</v>
      </c>
      <c r="H22490" s="185"/>
    </row>
    <row r="22491">
      <c r="D22491" s="185"/>
      <c r="E22491" s="185" t="s">
        <v>470</v>
      </c>
      <c r="H22491" s="185"/>
    </row>
    <row r="22492">
      <c r="D22492" s="185"/>
      <c r="E22492" s="185" t="s">
        <v>470</v>
      </c>
      <c r="H22492" s="185"/>
    </row>
    <row r="22493">
      <c r="D22493" s="185"/>
      <c r="E22493" s="185" t="s">
        <v>470</v>
      </c>
      <c r="H22493" s="185"/>
    </row>
    <row r="22494">
      <c r="D22494" s="185"/>
      <c r="E22494" s="185" t="s">
        <v>470</v>
      </c>
      <c r="H22494" s="185"/>
    </row>
    <row r="22495">
      <c r="D22495" s="185"/>
      <c r="E22495" s="185" t="s">
        <v>470</v>
      </c>
      <c r="H22495" s="185"/>
    </row>
    <row r="22496">
      <c r="D22496" s="185"/>
      <c r="E22496" s="185" t="s">
        <v>470</v>
      </c>
      <c r="H22496" s="185"/>
    </row>
    <row r="22497">
      <c r="D22497" s="185"/>
      <c r="E22497" s="185" t="s">
        <v>470</v>
      </c>
      <c r="H22497" s="185"/>
    </row>
    <row r="22498">
      <c r="D22498" s="185"/>
      <c r="E22498" s="185" t="s">
        <v>470</v>
      </c>
      <c r="H22498" s="185"/>
    </row>
    <row r="22499">
      <c r="D22499" s="185"/>
      <c r="E22499" s="185" t="s">
        <v>470</v>
      </c>
      <c r="H22499" s="185"/>
    </row>
    <row r="22500">
      <c r="D22500" s="185"/>
      <c r="E22500" s="185" t="s">
        <v>470</v>
      </c>
      <c r="H22500" s="185"/>
    </row>
    <row r="22501">
      <c r="D22501" s="185"/>
      <c r="E22501" s="185" t="s">
        <v>470</v>
      </c>
      <c r="H22501" s="185"/>
    </row>
    <row r="22502">
      <c r="D22502" s="185"/>
      <c r="E22502" s="185" t="s">
        <v>470</v>
      </c>
      <c r="H22502" s="185"/>
    </row>
    <row r="22503">
      <c r="D22503" s="185"/>
      <c r="E22503" s="185" t="s">
        <v>470</v>
      </c>
      <c r="H22503" s="185"/>
    </row>
    <row r="22504">
      <c r="D22504" s="185"/>
      <c r="E22504" s="185" t="s">
        <v>470</v>
      </c>
      <c r="H22504" s="185"/>
    </row>
    <row r="22505">
      <c r="D22505" s="185"/>
      <c r="E22505" s="185" t="s">
        <v>470</v>
      </c>
      <c r="H22505" s="185"/>
    </row>
    <row r="22506">
      <c r="D22506" s="185"/>
      <c r="E22506" s="185" t="s">
        <v>470</v>
      </c>
      <c r="H22506" s="185"/>
    </row>
    <row r="22507">
      <c r="D22507" s="185"/>
      <c r="E22507" s="185" t="s">
        <v>470</v>
      </c>
      <c r="H22507" s="185"/>
    </row>
    <row r="22508">
      <c r="D22508" s="185"/>
      <c r="E22508" s="185" t="s">
        <v>470</v>
      </c>
      <c r="H22508" s="185"/>
    </row>
    <row r="22509">
      <c r="D22509" s="185"/>
      <c r="E22509" s="185" t="s">
        <v>470</v>
      </c>
      <c r="H22509" s="185"/>
    </row>
    <row r="22510">
      <c r="D22510" s="185"/>
      <c r="E22510" s="185" t="s">
        <v>470</v>
      </c>
      <c r="H22510" s="185"/>
    </row>
    <row r="22511">
      <c r="D22511" s="185"/>
      <c r="E22511" s="185" t="s">
        <v>470</v>
      </c>
      <c r="H22511" s="185"/>
    </row>
    <row r="22512">
      <c r="D22512" s="185"/>
      <c r="E22512" s="185" t="s">
        <v>470</v>
      </c>
      <c r="H22512" s="185"/>
    </row>
    <row r="22513">
      <c r="D22513" s="185"/>
      <c r="E22513" s="185" t="s">
        <v>470</v>
      </c>
      <c r="H22513" s="185"/>
    </row>
    <row r="22514">
      <c r="D22514" s="185"/>
      <c r="E22514" s="185" t="s">
        <v>470</v>
      </c>
      <c r="H22514" s="185"/>
    </row>
    <row r="22515">
      <c r="D22515" s="185"/>
      <c r="E22515" s="185" t="s">
        <v>470</v>
      </c>
      <c r="H22515" s="185"/>
    </row>
    <row r="22516">
      <c r="D22516" s="185"/>
      <c r="E22516" s="185" t="s">
        <v>470</v>
      </c>
      <c r="H22516" s="185"/>
    </row>
    <row r="22517">
      <c r="D22517" s="185"/>
      <c r="E22517" s="185" t="s">
        <v>470</v>
      </c>
      <c r="H22517" s="185"/>
    </row>
    <row r="22518">
      <c r="D22518" s="185"/>
      <c r="E22518" s="185" t="s">
        <v>470</v>
      </c>
      <c r="H22518" s="185"/>
    </row>
    <row r="22519">
      <c r="D22519" s="185"/>
      <c r="E22519" s="185" t="s">
        <v>470</v>
      </c>
      <c r="H22519" s="185"/>
    </row>
    <row r="22520">
      <c r="D22520" s="185"/>
      <c r="E22520" s="185" t="s">
        <v>470</v>
      </c>
      <c r="H22520" s="185"/>
    </row>
    <row r="22521">
      <c r="D22521" s="185"/>
      <c r="E22521" s="185" t="s">
        <v>470</v>
      </c>
      <c r="H22521" s="185"/>
    </row>
    <row r="22522">
      <c r="D22522" s="185"/>
      <c r="E22522" s="185" t="s">
        <v>470</v>
      </c>
      <c r="H22522" s="185"/>
    </row>
    <row r="22523">
      <c r="D22523" s="185"/>
      <c r="E22523" s="185" t="s">
        <v>470</v>
      </c>
      <c r="H22523" s="185"/>
    </row>
    <row r="22524">
      <c r="D22524" s="185"/>
      <c r="E22524" s="185" t="s">
        <v>470</v>
      </c>
      <c r="H22524" s="185"/>
    </row>
    <row r="22525">
      <c r="D22525" s="185"/>
      <c r="E22525" s="185" t="s">
        <v>470</v>
      </c>
      <c r="H22525" s="185"/>
    </row>
    <row r="22526">
      <c r="D22526" s="185"/>
      <c r="E22526" s="185" t="s">
        <v>470</v>
      </c>
      <c r="H22526" s="185"/>
    </row>
    <row r="22527">
      <c r="D22527" s="185"/>
      <c r="E22527" s="185" t="s">
        <v>470</v>
      </c>
      <c r="H22527" s="185"/>
    </row>
    <row r="22528">
      <c r="D22528" s="185"/>
      <c r="E22528" s="185" t="s">
        <v>470</v>
      </c>
      <c r="H22528" s="185"/>
    </row>
    <row r="22529">
      <c r="D22529" s="185"/>
      <c r="E22529" s="185" t="s">
        <v>470</v>
      </c>
      <c r="H22529" s="185"/>
    </row>
    <row r="22530">
      <c r="D22530" s="185"/>
      <c r="E22530" s="185" t="s">
        <v>470</v>
      </c>
      <c r="H22530" s="185"/>
    </row>
    <row r="22531">
      <c r="D22531" s="185"/>
      <c r="E22531" s="185" t="s">
        <v>470</v>
      </c>
      <c r="H22531" s="185"/>
    </row>
    <row r="22532">
      <c r="D22532" s="185"/>
      <c r="E22532" s="185" t="s">
        <v>470</v>
      </c>
      <c r="H22532" s="185"/>
    </row>
    <row r="22533">
      <c r="D22533" s="185"/>
      <c r="E22533" s="185" t="s">
        <v>470</v>
      </c>
      <c r="H22533" s="185"/>
    </row>
    <row r="22534">
      <c r="D22534" s="185"/>
      <c r="E22534" s="185" t="s">
        <v>470</v>
      </c>
      <c r="H22534" s="185"/>
    </row>
    <row r="22535">
      <c r="D22535" s="185"/>
      <c r="E22535" s="185" t="s">
        <v>470</v>
      </c>
      <c r="H22535" s="185"/>
    </row>
    <row r="22536">
      <c r="D22536" s="185"/>
      <c r="E22536" s="185" t="s">
        <v>470</v>
      </c>
      <c r="H22536" s="185"/>
    </row>
    <row r="22537">
      <c r="D22537" s="185"/>
      <c r="E22537" s="185" t="s">
        <v>470</v>
      </c>
      <c r="H22537" s="185"/>
    </row>
    <row r="22538">
      <c r="D22538" s="185"/>
      <c r="E22538" s="185" t="s">
        <v>470</v>
      </c>
      <c r="H22538" s="185"/>
    </row>
    <row r="22539">
      <c r="D22539" s="185"/>
      <c r="E22539" s="185" t="s">
        <v>470</v>
      </c>
      <c r="H22539" s="185"/>
    </row>
    <row r="22540">
      <c r="D22540" s="185"/>
      <c r="E22540" s="185" t="s">
        <v>470</v>
      </c>
      <c r="H22540" s="185"/>
    </row>
    <row r="22541">
      <c r="D22541" s="185"/>
      <c r="E22541" s="185" t="s">
        <v>470</v>
      </c>
      <c r="H22541" s="185"/>
    </row>
    <row r="22542">
      <c r="D22542" s="185"/>
      <c r="E22542" s="185" t="s">
        <v>470</v>
      </c>
      <c r="H22542" s="185"/>
    </row>
    <row r="22543">
      <c r="D22543" s="185"/>
      <c r="E22543" s="185" t="s">
        <v>470</v>
      </c>
      <c r="H22543" s="185"/>
    </row>
    <row r="22544">
      <c r="D22544" s="185"/>
      <c r="E22544" s="185" t="s">
        <v>470</v>
      </c>
      <c r="H22544" s="185"/>
    </row>
    <row r="22545">
      <c r="D22545" s="185"/>
      <c r="E22545" s="185" t="s">
        <v>470</v>
      </c>
      <c r="H22545" s="185"/>
    </row>
    <row r="22546">
      <c r="D22546" s="185"/>
      <c r="E22546" s="185" t="s">
        <v>470</v>
      </c>
      <c r="H22546" s="185"/>
    </row>
    <row r="22547">
      <c r="D22547" s="185"/>
      <c r="E22547" s="185" t="s">
        <v>470</v>
      </c>
      <c r="H22547" s="185"/>
    </row>
    <row r="22548">
      <c r="D22548" s="185"/>
      <c r="E22548" s="185" t="s">
        <v>470</v>
      </c>
      <c r="H22548" s="185"/>
    </row>
    <row r="22549">
      <c r="D22549" s="185"/>
      <c r="E22549" s="185" t="s">
        <v>470</v>
      </c>
      <c r="H22549" s="185"/>
    </row>
    <row r="22550">
      <c r="D22550" s="185"/>
      <c r="E22550" s="185" t="s">
        <v>470</v>
      </c>
      <c r="H22550" s="185"/>
    </row>
    <row r="22551">
      <c r="D22551" s="185"/>
      <c r="E22551" s="185" t="s">
        <v>470</v>
      </c>
      <c r="H22551" s="185"/>
    </row>
    <row r="22552">
      <c r="D22552" s="185"/>
      <c r="E22552" s="185" t="s">
        <v>470</v>
      </c>
      <c r="H22552" s="185"/>
    </row>
    <row r="22553">
      <c r="D22553" s="185"/>
      <c r="E22553" s="185" t="s">
        <v>470</v>
      </c>
      <c r="H22553" s="185"/>
    </row>
    <row r="22554">
      <c r="D22554" s="185"/>
      <c r="E22554" s="185" t="s">
        <v>470</v>
      </c>
      <c r="H22554" s="185"/>
    </row>
    <row r="22555">
      <c r="D22555" s="185"/>
      <c r="E22555" s="185" t="s">
        <v>470</v>
      </c>
      <c r="H22555" s="185"/>
    </row>
    <row r="22556">
      <c r="D22556" s="185"/>
      <c r="E22556" s="185" t="s">
        <v>470</v>
      </c>
      <c r="H22556" s="185"/>
    </row>
    <row r="22557">
      <c r="D22557" s="185"/>
      <c r="E22557" s="185" t="s">
        <v>470</v>
      </c>
      <c r="H22557" s="185"/>
    </row>
    <row r="22558">
      <c r="D22558" s="185"/>
      <c r="E22558" s="185" t="s">
        <v>470</v>
      </c>
      <c r="H22558" s="185"/>
    </row>
    <row r="22559">
      <c r="D22559" s="185"/>
      <c r="E22559" s="185" t="s">
        <v>470</v>
      </c>
      <c r="H22559" s="185"/>
    </row>
    <row r="22560">
      <c r="D22560" s="185"/>
      <c r="E22560" s="185" t="s">
        <v>470</v>
      </c>
      <c r="H22560" s="185"/>
    </row>
    <row r="22561">
      <c r="D22561" s="185"/>
      <c r="E22561" s="185" t="s">
        <v>470</v>
      </c>
      <c r="H22561" s="185"/>
    </row>
    <row r="22562">
      <c r="D22562" s="185"/>
      <c r="E22562" s="185" t="s">
        <v>470</v>
      </c>
      <c r="H22562" s="185"/>
    </row>
    <row r="22563">
      <c r="D22563" s="185"/>
      <c r="E22563" s="185" t="s">
        <v>470</v>
      </c>
      <c r="H22563" s="185"/>
    </row>
    <row r="22564">
      <c r="D22564" s="185"/>
      <c r="E22564" s="185" t="s">
        <v>470</v>
      </c>
      <c r="H22564" s="185"/>
    </row>
    <row r="22565">
      <c r="D22565" s="185"/>
      <c r="E22565" s="185" t="s">
        <v>470</v>
      </c>
      <c r="H22565" s="185"/>
    </row>
    <row r="22566">
      <c r="D22566" s="185"/>
      <c r="E22566" s="185" t="s">
        <v>470</v>
      </c>
      <c r="H22566" s="185"/>
    </row>
    <row r="22567">
      <c r="D22567" s="185"/>
      <c r="E22567" s="185" t="s">
        <v>470</v>
      </c>
      <c r="H22567" s="185"/>
    </row>
    <row r="22568">
      <c r="D22568" s="185"/>
      <c r="E22568" s="185" t="s">
        <v>470</v>
      </c>
      <c r="H22568" s="185"/>
    </row>
    <row r="22569">
      <c r="D22569" s="185"/>
      <c r="E22569" s="185" t="s">
        <v>470</v>
      </c>
      <c r="H22569" s="185"/>
    </row>
    <row r="22570">
      <c r="D22570" s="185"/>
      <c r="E22570" s="185" t="s">
        <v>470</v>
      </c>
      <c r="H22570" s="185"/>
    </row>
    <row r="22571">
      <c r="D22571" s="185"/>
      <c r="E22571" s="185" t="s">
        <v>470</v>
      </c>
      <c r="H22571" s="185"/>
    </row>
    <row r="22572">
      <c r="D22572" s="185"/>
      <c r="E22572" s="185" t="s">
        <v>470</v>
      </c>
      <c r="H22572" s="185"/>
    </row>
    <row r="22573">
      <c r="D22573" s="185"/>
      <c r="E22573" s="185" t="s">
        <v>470</v>
      </c>
      <c r="H22573" s="185"/>
    </row>
    <row r="22574">
      <c r="D22574" s="185"/>
      <c r="E22574" s="185" t="s">
        <v>470</v>
      </c>
      <c r="H22574" s="185"/>
    </row>
    <row r="22575">
      <c r="D22575" s="185"/>
      <c r="E22575" s="185" t="s">
        <v>470</v>
      </c>
      <c r="H22575" s="185"/>
    </row>
    <row r="22576">
      <c r="D22576" s="185"/>
      <c r="E22576" s="185" t="s">
        <v>470</v>
      </c>
      <c r="H22576" s="185"/>
    </row>
    <row r="22577">
      <c r="D22577" s="185"/>
      <c r="E22577" s="185" t="s">
        <v>470</v>
      </c>
      <c r="H22577" s="185"/>
    </row>
    <row r="22578">
      <c r="D22578" s="185"/>
      <c r="E22578" s="185" t="s">
        <v>470</v>
      </c>
      <c r="H22578" s="185"/>
    </row>
    <row r="22579">
      <c r="D22579" s="185"/>
      <c r="E22579" s="185" t="s">
        <v>470</v>
      </c>
      <c r="H22579" s="185"/>
    </row>
    <row r="22580">
      <c r="D22580" s="185"/>
      <c r="E22580" s="185" t="s">
        <v>470</v>
      </c>
      <c r="H22580" s="185"/>
    </row>
    <row r="22581">
      <c r="D22581" s="185"/>
      <c r="E22581" s="185" t="s">
        <v>470</v>
      </c>
      <c r="H22581" s="185"/>
    </row>
    <row r="22582">
      <c r="D22582" s="185"/>
      <c r="E22582" s="185" t="s">
        <v>470</v>
      </c>
      <c r="H22582" s="185"/>
    </row>
    <row r="22583">
      <c r="D22583" s="185"/>
      <c r="E22583" s="185" t="s">
        <v>470</v>
      </c>
      <c r="H22583" s="185"/>
    </row>
    <row r="22584">
      <c r="D22584" s="185"/>
      <c r="E22584" s="185" t="s">
        <v>470</v>
      </c>
      <c r="H22584" s="185"/>
    </row>
    <row r="22585">
      <c r="D22585" s="185"/>
      <c r="E22585" s="185" t="s">
        <v>470</v>
      </c>
      <c r="H22585" s="185"/>
    </row>
    <row r="22586">
      <c r="D22586" s="185"/>
      <c r="E22586" s="185" t="s">
        <v>470</v>
      </c>
      <c r="H22586" s="185"/>
    </row>
    <row r="22587">
      <c r="D22587" s="185"/>
      <c r="E22587" s="185" t="s">
        <v>470</v>
      </c>
      <c r="H22587" s="185"/>
    </row>
    <row r="22588">
      <c r="D22588" s="185"/>
      <c r="E22588" s="185" t="s">
        <v>470</v>
      </c>
      <c r="H22588" s="185"/>
    </row>
    <row r="22589">
      <c r="D22589" s="185"/>
      <c r="E22589" s="185" t="s">
        <v>470</v>
      </c>
      <c r="H22589" s="185"/>
    </row>
    <row r="22590">
      <c r="D22590" s="185"/>
      <c r="E22590" s="185" t="s">
        <v>470</v>
      </c>
      <c r="H22590" s="185"/>
    </row>
    <row r="22591">
      <c r="D22591" s="185"/>
      <c r="E22591" s="185" t="s">
        <v>470</v>
      </c>
      <c r="H22591" s="185"/>
    </row>
    <row r="22592">
      <c r="D22592" s="185"/>
      <c r="E22592" s="185" t="s">
        <v>470</v>
      </c>
      <c r="H22592" s="185"/>
    </row>
    <row r="22593">
      <c r="D22593" s="185"/>
      <c r="E22593" s="185" t="s">
        <v>470</v>
      </c>
      <c r="H22593" s="185"/>
    </row>
    <row r="22594">
      <c r="D22594" s="185"/>
      <c r="E22594" s="185" t="s">
        <v>470</v>
      </c>
      <c r="H22594" s="185"/>
    </row>
    <row r="22595">
      <c r="D22595" s="185"/>
      <c r="E22595" s="185" t="s">
        <v>470</v>
      </c>
      <c r="H22595" s="185"/>
    </row>
    <row r="22596">
      <c r="D22596" s="185"/>
      <c r="E22596" s="185" t="s">
        <v>470</v>
      </c>
      <c r="H22596" s="185"/>
    </row>
    <row r="22597">
      <c r="D22597" s="185"/>
      <c r="E22597" s="185" t="s">
        <v>470</v>
      </c>
      <c r="H22597" s="185"/>
    </row>
    <row r="22598">
      <c r="D22598" s="185"/>
      <c r="E22598" s="185" t="s">
        <v>470</v>
      </c>
      <c r="H22598" s="185"/>
    </row>
    <row r="22599">
      <c r="D22599" s="185"/>
      <c r="E22599" s="185" t="s">
        <v>470</v>
      </c>
      <c r="H22599" s="185"/>
    </row>
    <row r="22600">
      <c r="D22600" s="185"/>
      <c r="E22600" s="185" t="s">
        <v>470</v>
      </c>
      <c r="H22600" s="185"/>
    </row>
    <row r="22601">
      <c r="D22601" s="185"/>
      <c r="E22601" s="185" t="s">
        <v>470</v>
      </c>
      <c r="H22601" s="185"/>
    </row>
    <row r="22602">
      <c r="D22602" s="185"/>
      <c r="E22602" s="185" t="s">
        <v>470</v>
      </c>
      <c r="H22602" s="185"/>
    </row>
    <row r="22603">
      <c r="D22603" s="185"/>
      <c r="E22603" s="185" t="s">
        <v>470</v>
      </c>
      <c r="H22603" s="185"/>
    </row>
    <row r="22604">
      <c r="D22604" s="185"/>
      <c r="E22604" s="185" t="s">
        <v>470</v>
      </c>
      <c r="H22604" s="185"/>
    </row>
    <row r="22605">
      <c r="D22605" s="185"/>
      <c r="E22605" s="185" t="s">
        <v>470</v>
      </c>
      <c r="H22605" s="185"/>
    </row>
    <row r="22606">
      <c r="D22606" s="185"/>
      <c r="E22606" s="185" t="s">
        <v>470</v>
      </c>
      <c r="H22606" s="185"/>
    </row>
    <row r="22607">
      <c r="D22607" s="185"/>
      <c r="E22607" s="185" t="s">
        <v>470</v>
      </c>
      <c r="H22607" s="185"/>
    </row>
    <row r="22608">
      <c r="D22608" s="185"/>
      <c r="E22608" s="185" t="s">
        <v>470</v>
      </c>
      <c r="H22608" s="185"/>
    </row>
    <row r="22609">
      <c r="D22609" s="185"/>
      <c r="E22609" s="185" t="s">
        <v>470</v>
      </c>
      <c r="H22609" s="185"/>
    </row>
    <row r="22610">
      <c r="D22610" s="185"/>
      <c r="E22610" s="185" t="s">
        <v>470</v>
      </c>
      <c r="H22610" s="185"/>
    </row>
    <row r="22611">
      <c r="D22611" s="185"/>
      <c r="E22611" s="185" t="s">
        <v>470</v>
      </c>
      <c r="H22611" s="185"/>
    </row>
    <row r="22612">
      <c r="D22612" s="185"/>
      <c r="E22612" s="185" t="s">
        <v>470</v>
      </c>
      <c r="H22612" s="185"/>
    </row>
    <row r="22613">
      <c r="D22613" s="185"/>
      <c r="E22613" s="185" t="s">
        <v>470</v>
      </c>
      <c r="H22613" s="185"/>
    </row>
    <row r="22614">
      <c r="D22614" s="185"/>
      <c r="E22614" s="185" t="s">
        <v>470</v>
      </c>
      <c r="H22614" s="185"/>
    </row>
    <row r="22615">
      <c r="D22615" s="185"/>
      <c r="E22615" s="185" t="s">
        <v>470</v>
      </c>
      <c r="H22615" s="185"/>
    </row>
    <row r="22616">
      <c r="D22616" s="185"/>
      <c r="E22616" s="185" t="s">
        <v>470</v>
      </c>
      <c r="H22616" s="185"/>
    </row>
    <row r="22617">
      <c r="D22617" s="185"/>
      <c r="E22617" s="185" t="s">
        <v>470</v>
      </c>
      <c r="H22617" s="185"/>
    </row>
    <row r="22618">
      <c r="D22618" s="185"/>
      <c r="E22618" s="185" t="s">
        <v>470</v>
      </c>
      <c r="H22618" s="185"/>
    </row>
    <row r="22619">
      <c r="D22619" s="185"/>
      <c r="E22619" s="185" t="s">
        <v>470</v>
      </c>
      <c r="H22619" s="185"/>
    </row>
    <row r="22620">
      <c r="D22620" s="185"/>
      <c r="E22620" s="185" t="s">
        <v>470</v>
      </c>
      <c r="H22620" s="185"/>
    </row>
    <row r="22621">
      <c r="D22621" s="185"/>
      <c r="E22621" s="185" t="s">
        <v>470</v>
      </c>
      <c r="H22621" s="185"/>
    </row>
    <row r="22622">
      <c r="D22622" s="185"/>
      <c r="E22622" s="185" t="s">
        <v>470</v>
      </c>
      <c r="H22622" s="185"/>
    </row>
    <row r="22623">
      <c r="D22623" s="185"/>
      <c r="E22623" s="185" t="s">
        <v>470</v>
      </c>
      <c r="H22623" s="185"/>
    </row>
    <row r="22624">
      <c r="D22624" s="185"/>
      <c r="E22624" s="185" t="s">
        <v>470</v>
      </c>
      <c r="H22624" s="185"/>
    </row>
    <row r="22625">
      <c r="D22625" s="185"/>
      <c r="E22625" s="185" t="s">
        <v>470</v>
      </c>
      <c r="H22625" s="185"/>
    </row>
    <row r="22626">
      <c r="D22626" s="185"/>
      <c r="E22626" s="185" t="s">
        <v>470</v>
      </c>
      <c r="H22626" s="185"/>
    </row>
    <row r="22627">
      <c r="D22627" s="185"/>
      <c r="E22627" s="185" t="s">
        <v>470</v>
      </c>
      <c r="H22627" s="185"/>
    </row>
    <row r="22628">
      <c r="D22628" s="185"/>
      <c r="E22628" s="185" t="s">
        <v>470</v>
      </c>
      <c r="H22628" s="185"/>
    </row>
    <row r="22629">
      <c r="D22629" s="185"/>
      <c r="E22629" s="185" t="s">
        <v>470</v>
      </c>
      <c r="H22629" s="185"/>
    </row>
    <row r="22630">
      <c r="D22630" s="185"/>
      <c r="E22630" s="185" t="s">
        <v>470</v>
      </c>
      <c r="H22630" s="185"/>
    </row>
    <row r="22631">
      <c r="D22631" s="185"/>
      <c r="E22631" s="185" t="s">
        <v>470</v>
      </c>
      <c r="H22631" s="185"/>
    </row>
    <row r="22632">
      <c r="D22632" s="185"/>
      <c r="E22632" s="185" t="s">
        <v>470</v>
      </c>
      <c r="H22632" s="185"/>
    </row>
    <row r="22633">
      <c r="D22633" s="185"/>
      <c r="E22633" s="185" t="s">
        <v>470</v>
      </c>
      <c r="H22633" s="185"/>
    </row>
    <row r="22634">
      <c r="D22634" s="185"/>
      <c r="E22634" s="185" t="s">
        <v>470</v>
      </c>
      <c r="H22634" s="185"/>
    </row>
    <row r="22635">
      <c r="D22635" s="185"/>
      <c r="E22635" s="185" t="s">
        <v>470</v>
      </c>
      <c r="H22635" s="185"/>
    </row>
    <row r="22636">
      <c r="D22636" s="185"/>
      <c r="E22636" s="185" t="s">
        <v>470</v>
      </c>
      <c r="H22636" s="185"/>
    </row>
    <row r="22637">
      <c r="D22637" s="185"/>
      <c r="E22637" s="185" t="s">
        <v>470</v>
      </c>
      <c r="H22637" s="185"/>
    </row>
    <row r="22638">
      <c r="D22638" s="185"/>
      <c r="E22638" s="185" t="s">
        <v>470</v>
      </c>
      <c r="H22638" s="185"/>
    </row>
    <row r="22639">
      <c r="D22639" s="185"/>
      <c r="E22639" s="185" t="s">
        <v>470</v>
      </c>
      <c r="H22639" s="185"/>
    </row>
    <row r="22640">
      <c r="D22640" s="185"/>
      <c r="E22640" s="185" t="s">
        <v>470</v>
      </c>
      <c r="H22640" s="185"/>
    </row>
    <row r="22641">
      <c r="D22641" s="185"/>
      <c r="E22641" s="185" t="s">
        <v>470</v>
      </c>
      <c r="H22641" s="185"/>
    </row>
    <row r="22642">
      <c r="D22642" s="185"/>
      <c r="E22642" s="185" t="s">
        <v>470</v>
      </c>
      <c r="H22642" s="185"/>
    </row>
    <row r="22643">
      <c r="D22643" s="185"/>
      <c r="E22643" s="185" t="s">
        <v>470</v>
      </c>
      <c r="H22643" s="185"/>
    </row>
    <row r="22644">
      <c r="D22644" s="185"/>
      <c r="E22644" s="185" t="s">
        <v>470</v>
      </c>
      <c r="H22644" s="185"/>
    </row>
    <row r="22645">
      <c r="D22645" s="185"/>
      <c r="E22645" s="185" t="s">
        <v>470</v>
      </c>
      <c r="H22645" s="185"/>
    </row>
    <row r="22646">
      <c r="D22646" s="185"/>
      <c r="E22646" s="185" t="s">
        <v>470</v>
      </c>
      <c r="H22646" s="185"/>
    </row>
    <row r="22647">
      <c r="D22647" s="185"/>
      <c r="E22647" s="185" t="s">
        <v>470</v>
      </c>
      <c r="H22647" s="185"/>
    </row>
    <row r="22648">
      <c r="D22648" s="185"/>
      <c r="E22648" s="185" t="s">
        <v>470</v>
      </c>
      <c r="H22648" s="185"/>
    </row>
    <row r="22649">
      <c r="D22649" s="185"/>
      <c r="E22649" s="185" t="s">
        <v>470</v>
      </c>
      <c r="H22649" s="185"/>
    </row>
    <row r="22650">
      <c r="D22650" s="185"/>
      <c r="E22650" s="185" t="s">
        <v>470</v>
      </c>
      <c r="H22650" s="185"/>
    </row>
    <row r="22651">
      <c r="D22651" s="185"/>
      <c r="E22651" s="185" t="s">
        <v>470</v>
      </c>
      <c r="H22651" s="185"/>
    </row>
    <row r="22652">
      <c r="D22652" s="185"/>
      <c r="E22652" s="185" t="s">
        <v>470</v>
      </c>
      <c r="H22652" s="185"/>
    </row>
    <row r="22653">
      <c r="D22653" s="185"/>
      <c r="E22653" s="185" t="s">
        <v>470</v>
      </c>
      <c r="H22653" s="185"/>
    </row>
    <row r="22654">
      <c r="D22654" s="185"/>
      <c r="E22654" s="185" t="s">
        <v>470</v>
      </c>
      <c r="H22654" s="185"/>
    </row>
    <row r="22655">
      <c r="D22655" s="185"/>
      <c r="E22655" s="185" t="s">
        <v>470</v>
      </c>
      <c r="H22655" s="185"/>
    </row>
    <row r="22656">
      <c r="D22656" s="185"/>
      <c r="E22656" s="185" t="s">
        <v>470</v>
      </c>
      <c r="H22656" s="185"/>
    </row>
    <row r="22657">
      <c r="D22657" s="185"/>
      <c r="E22657" s="185" t="s">
        <v>470</v>
      </c>
      <c r="H22657" s="185"/>
    </row>
    <row r="22658">
      <c r="D22658" s="185"/>
      <c r="E22658" s="185" t="s">
        <v>470</v>
      </c>
      <c r="H22658" s="185"/>
    </row>
    <row r="22659">
      <c r="D22659" s="185"/>
      <c r="E22659" s="185" t="s">
        <v>470</v>
      </c>
      <c r="H22659" s="185"/>
    </row>
    <row r="22660">
      <c r="D22660" s="185"/>
      <c r="E22660" s="185" t="s">
        <v>470</v>
      </c>
      <c r="H22660" s="185"/>
    </row>
    <row r="22661">
      <c r="D22661" s="185"/>
      <c r="E22661" s="185" t="s">
        <v>470</v>
      </c>
      <c r="H22661" s="185"/>
    </row>
    <row r="22662">
      <c r="D22662" s="185"/>
      <c r="E22662" s="185" t="s">
        <v>470</v>
      </c>
      <c r="H22662" s="185"/>
    </row>
    <row r="22663">
      <c r="D22663" s="185"/>
      <c r="E22663" s="185" t="s">
        <v>470</v>
      </c>
      <c r="H22663" s="185"/>
    </row>
    <row r="22664">
      <c r="D22664" s="185"/>
      <c r="E22664" s="185" t="s">
        <v>470</v>
      </c>
      <c r="H22664" s="185"/>
    </row>
    <row r="22665">
      <c r="D22665" s="185"/>
      <c r="E22665" s="185" t="s">
        <v>470</v>
      </c>
      <c r="H22665" s="185"/>
    </row>
    <row r="22666">
      <c r="D22666" s="185"/>
      <c r="E22666" s="185" t="s">
        <v>470</v>
      </c>
      <c r="H22666" s="185"/>
    </row>
    <row r="22667">
      <c r="D22667" s="185"/>
      <c r="E22667" s="185" t="s">
        <v>470</v>
      </c>
      <c r="H22667" s="185"/>
    </row>
    <row r="22668">
      <c r="D22668" s="185"/>
      <c r="E22668" s="185" t="s">
        <v>470</v>
      </c>
      <c r="H22668" s="185"/>
    </row>
    <row r="22669">
      <c r="D22669" s="185"/>
      <c r="E22669" s="185" t="s">
        <v>470</v>
      </c>
      <c r="H22669" s="185"/>
    </row>
    <row r="22670">
      <c r="D22670" s="185"/>
      <c r="E22670" s="185" t="s">
        <v>470</v>
      </c>
      <c r="H22670" s="185"/>
    </row>
    <row r="22671">
      <c r="D22671" s="185"/>
      <c r="E22671" s="185" t="s">
        <v>470</v>
      </c>
      <c r="H22671" s="185"/>
    </row>
    <row r="22672">
      <c r="D22672" s="185"/>
      <c r="E22672" s="185" t="s">
        <v>470</v>
      </c>
      <c r="H22672" s="185"/>
    </row>
    <row r="22673">
      <c r="D22673" s="185"/>
      <c r="E22673" s="185" t="s">
        <v>470</v>
      </c>
      <c r="H22673" s="185"/>
    </row>
    <row r="22674">
      <c r="D22674" s="185"/>
      <c r="E22674" s="185" t="s">
        <v>470</v>
      </c>
      <c r="H22674" s="185"/>
    </row>
    <row r="22675">
      <c r="D22675" s="185"/>
      <c r="E22675" s="185" t="s">
        <v>470</v>
      </c>
      <c r="H22675" s="185"/>
    </row>
    <row r="22676">
      <c r="D22676" s="185"/>
      <c r="E22676" s="185" t="s">
        <v>470</v>
      </c>
      <c r="H22676" s="185"/>
    </row>
    <row r="22677">
      <c r="D22677" s="185"/>
      <c r="E22677" s="185" t="s">
        <v>470</v>
      </c>
      <c r="H22677" s="185"/>
    </row>
    <row r="22678">
      <c r="D22678" s="185"/>
      <c r="E22678" s="185" t="s">
        <v>470</v>
      </c>
      <c r="H22678" s="185"/>
    </row>
    <row r="22679">
      <c r="D22679" s="185"/>
      <c r="E22679" s="185" t="s">
        <v>470</v>
      </c>
      <c r="H22679" s="185"/>
    </row>
    <row r="22680">
      <c r="D22680" s="185"/>
      <c r="E22680" s="185" t="s">
        <v>470</v>
      </c>
      <c r="H22680" s="185"/>
    </row>
    <row r="22681">
      <c r="D22681" s="185"/>
      <c r="E22681" s="185" t="s">
        <v>470</v>
      </c>
      <c r="H22681" s="185"/>
    </row>
    <row r="22682">
      <c r="D22682" s="185"/>
      <c r="E22682" s="185" t="s">
        <v>470</v>
      </c>
      <c r="H22682" s="185"/>
    </row>
    <row r="22683">
      <c r="D22683" s="185"/>
      <c r="E22683" s="185" t="s">
        <v>470</v>
      </c>
      <c r="H22683" s="185"/>
    </row>
    <row r="22684">
      <c r="D22684" s="185"/>
      <c r="E22684" s="185" t="s">
        <v>470</v>
      </c>
      <c r="H22684" s="185"/>
    </row>
    <row r="22685">
      <c r="D22685" s="185"/>
      <c r="E22685" s="185" t="s">
        <v>470</v>
      </c>
      <c r="H22685" s="185"/>
    </row>
    <row r="22686">
      <c r="D22686" s="185"/>
      <c r="E22686" s="185" t="s">
        <v>470</v>
      </c>
      <c r="H22686" s="185"/>
    </row>
    <row r="22687">
      <c r="D22687" s="185"/>
      <c r="E22687" s="185" t="s">
        <v>470</v>
      </c>
      <c r="H22687" s="185"/>
    </row>
    <row r="22688">
      <c r="D22688" s="185"/>
      <c r="E22688" s="185" t="s">
        <v>470</v>
      </c>
      <c r="H22688" s="185"/>
    </row>
    <row r="22689">
      <c r="D22689" s="185"/>
      <c r="E22689" s="185" t="s">
        <v>470</v>
      </c>
      <c r="H22689" s="185"/>
    </row>
    <row r="22690">
      <c r="D22690" s="185"/>
      <c r="E22690" s="185" t="s">
        <v>470</v>
      </c>
      <c r="H22690" s="185"/>
    </row>
    <row r="22691">
      <c r="D22691" s="185"/>
      <c r="E22691" s="185" t="s">
        <v>470</v>
      </c>
      <c r="H22691" s="185"/>
    </row>
    <row r="22692">
      <c r="D22692" s="185"/>
      <c r="E22692" s="185" t="s">
        <v>470</v>
      </c>
      <c r="H22692" s="185"/>
    </row>
    <row r="22693">
      <c r="D22693" s="185"/>
      <c r="E22693" s="185" t="s">
        <v>470</v>
      </c>
      <c r="H22693" s="185"/>
    </row>
    <row r="22694">
      <c r="D22694" s="185"/>
      <c r="E22694" s="185" t="s">
        <v>470</v>
      </c>
      <c r="H22694" s="185"/>
    </row>
    <row r="22695">
      <c r="D22695" s="185"/>
      <c r="E22695" s="185" t="s">
        <v>470</v>
      </c>
      <c r="H22695" s="185"/>
    </row>
    <row r="22696">
      <c r="D22696" s="185"/>
      <c r="E22696" s="185" t="s">
        <v>470</v>
      </c>
      <c r="H22696" s="185"/>
    </row>
    <row r="22697">
      <c r="D22697" s="185"/>
      <c r="E22697" s="185" t="s">
        <v>470</v>
      </c>
      <c r="H22697" s="185"/>
    </row>
    <row r="22698">
      <c r="D22698" s="185"/>
      <c r="E22698" s="185" t="s">
        <v>470</v>
      </c>
      <c r="H22698" s="185"/>
    </row>
    <row r="22699">
      <c r="D22699" s="185"/>
      <c r="E22699" s="185" t="s">
        <v>470</v>
      </c>
      <c r="H22699" s="185"/>
    </row>
    <row r="22700">
      <c r="D22700" s="185"/>
      <c r="E22700" s="185" t="s">
        <v>470</v>
      </c>
      <c r="H22700" s="185"/>
    </row>
    <row r="22701">
      <c r="D22701" s="185"/>
      <c r="E22701" s="185" t="s">
        <v>470</v>
      </c>
      <c r="H22701" s="185"/>
    </row>
    <row r="22702">
      <c r="D22702" s="185"/>
      <c r="E22702" s="185" t="s">
        <v>470</v>
      </c>
      <c r="H22702" s="185"/>
    </row>
    <row r="22703">
      <c r="D22703" s="185"/>
      <c r="E22703" s="185" t="s">
        <v>470</v>
      </c>
      <c r="H22703" s="185"/>
    </row>
    <row r="22704">
      <c r="D22704" s="185"/>
      <c r="E22704" s="185" t="s">
        <v>470</v>
      </c>
      <c r="H22704" s="185"/>
    </row>
    <row r="22705">
      <c r="D22705" s="185"/>
      <c r="E22705" s="185" t="s">
        <v>470</v>
      </c>
      <c r="H22705" s="185"/>
    </row>
    <row r="22706">
      <c r="D22706" s="185"/>
      <c r="E22706" s="185" t="s">
        <v>470</v>
      </c>
      <c r="H22706" s="185"/>
    </row>
    <row r="22707">
      <c r="D22707" s="185"/>
      <c r="E22707" s="185" t="s">
        <v>470</v>
      </c>
      <c r="H22707" s="185"/>
    </row>
    <row r="22708">
      <c r="D22708" s="185"/>
      <c r="E22708" s="185" t="s">
        <v>470</v>
      </c>
      <c r="H22708" s="185"/>
    </row>
    <row r="22709">
      <c r="D22709" s="185"/>
      <c r="E22709" s="185" t="s">
        <v>470</v>
      </c>
      <c r="H22709" s="185"/>
    </row>
    <row r="22710">
      <c r="D22710" s="185"/>
      <c r="E22710" s="185" t="s">
        <v>470</v>
      </c>
      <c r="H22710" s="185"/>
    </row>
    <row r="22711">
      <c r="D22711" s="185"/>
      <c r="E22711" s="185" t="s">
        <v>470</v>
      </c>
      <c r="H22711" s="185"/>
    </row>
    <row r="22712">
      <c r="D22712" s="185"/>
      <c r="E22712" s="185" t="s">
        <v>470</v>
      </c>
      <c r="H22712" s="185"/>
    </row>
    <row r="22713">
      <c r="D22713" s="185"/>
      <c r="E22713" s="185" t="s">
        <v>470</v>
      </c>
      <c r="H22713" s="185"/>
    </row>
    <row r="22714">
      <c r="D22714" s="185"/>
      <c r="E22714" s="185" t="s">
        <v>470</v>
      </c>
      <c r="H22714" s="185"/>
    </row>
    <row r="22715">
      <c r="D22715" s="185"/>
      <c r="E22715" s="185" t="s">
        <v>470</v>
      </c>
      <c r="H22715" s="185"/>
    </row>
    <row r="22716">
      <c r="D22716" s="185"/>
      <c r="E22716" s="185" t="s">
        <v>470</v>
      </c>
      <c r="H22716" s="185"/>
    </row>
    <row r="22717">
      <c r="D22717" s="185"/>
      <c r="E22717" s="185" t="s">
        <v>470</v>
      </c>
      <c r="H22717" s="185"/>
    </row>
    <row r="22718">
      <c r="D22718" s="185"/>
      <c r="E22718" s="185" t="s">
        <v>470</v>
      </c>
      <c r="H22718" s="185"/>
    </row>
    <row r="22719">
      <c r="D22719" s="185"/>
      <c r="E22719" s="185" t="s">
        <v>470</v>
      </c>
      <c r="H22719" s="185"/>
    </row>
    <row r="22720">
      <c r="D22720" s="185"/>
      <c r="E22720" s="185" t="s">
        <v>470</v>
      </c>
      <c r="H22720" s="185"/>
    </row>
    <row r="22721">
      <c r="D22721" s="185"/>
      <c r="E22721" s="185" t="s">
        <v>470</v>
      </c>
      <c r="H22721" s="185"/>
    </row>
    <row r="22722">
      <c r="D22722" s="185"/>
      <c r="E22722" s="185" t="s">
        <v>470</v>
      </c>
      <c r="H22722" s="185"/>
    </row>
    <row r="22723">
      <c r="D22723" s="185"/>
      <c r="E22723" s="185" t="s">
        <v>470</v>
      </c>
      <c r="H22723" s="185"/>
    </row>
    <row r="22724">
      <c r="D22724" s="185"/>
      <c r="E22724" s="185" t="s">
        <v>470</v>
      </c>
      <c r="H22724" s="185"/>
    </row>
    <row r="22725">
      <c r="D22725" s="185"/>
      <c r="E22725" s="185" t="s">
        <v>470</v>
      </c>
      <c r="H22725" s="185"/>
    </row>
    <row r="22726">
      <c r="D22726" s="185"/>
      <c r="E22726" s="185" t="s">
        <v>470</v>
      </c>
      <c r="H22726" s="185"/>
    </row>
    <row r="22727">
      <c r="D22727" s="185"/>
      <c r="E22727" s="185" t="s">
        <v>470</v>
      </c>
      <c r="H22727" s="185"/>
    </row>
    <row r="22728">
      <c r="D22728" s="185"/>
      <c r="E22728" s="185" t="s">
        <v>470</v>
      </c>
      <c r="H22728" s="185"/>
    </row>
    <row r="22729">
      <c r="D22729" s="185"/>
      <c r="E22729" s="185" t="s">
        <v>470</v>
      </c>
      <c r="H22729" s="185"/>
    </row>
    <row r="22730">
      <c r="D22730" s="185"/>
      <c r="E22730" s="185" t="s">
        <v>470</v>
      </c>
      <c r="H22730" s="185"/>
    </row>
    <row r="22731">
      <c r="D22731" s="185"/>
      <c r="E22731" s="185" t="s">
        <v>470</v>
      </c>
      <c r="H22731" s="185"/>
    </row>
    <row r="22732">
      <c r="D22732" s="185"/>
      <c r="E22732" s="185" t="s">
        <v>470</v>
      </c>
      <c r="H22732" s="185"/>
    </row>
    <row r="22733">
      <c r="D22733" s="185"/>
      <c r="E22733" s="185" t="s">
        <v>470</v>
      </c>
      <c r="H22733" s="185"/>
    </row>
    <row r="22734">
      <c r="D22734" s="185"/>
      <c r="E22734" s="185" t="s">
        <v>470</v>
      </c>
      <c r="H22734" s="185"/>
    </row>
    <row r="22735">
      <c r="D22735" s="185"/>
      <c r="E22735" s="185" t="s">
        <v>470</v>
      </c>
      <c r="H22735" s="185"/>
    </row>
    <row r="22736">
      <c r="D22736" s="185"/>
      <c r="E22736" s="185" t="s">
        <v>470</v>
      </c>
      <c r="H22736" s="185"/>
    </row>
    <row r="22737">
      <c r="D22737" s="185"/>
      <c r="E22737" s="185" t="s">
        <v>470</v>
      </c>
      <c r="H22737" s="185"/>
    </row>
    <row r="22738">
      <c r="D22738" s="185"/>
      <c r="E22738" s="185" t="s">
        <v>470</v>
      </c>
      <c r="H22738" s="185"/>
    </row>
    <row r="22739">
      <c r="D22739" s="185"/>
      <c r="E22739" s="185" t="s">
        <v>470</v>
      </c>
      <c r="H22739" s="185"/>
    </row>
    <row r="22740">
      <c r="D22740" s="185"/>
      <c r="E22740" s="185" t="s">
        <v>470</v>
      </c>
      <c r="H22740" s="185"/>
    </row>
    <row r="22741">
      <c r="D22741" s="185"/>
      <c r="E22741" s="185" t="s">
        <v>470</v>
      </c>
      <c r="H22741" s="185"/>
    </row>
    <row r="22742">
      <c r="D22742" s="185"/>
      <c r="E22742" s="185" t="s">
        <v>470</v>
      </c>
      <c r="H22742" s="185"/>
    </row>
    <row r="22743">
      <c r="D22743" s="185"/>
      <c r="E22743" s="185" t="s">
        <v>470</v>
      </c>
      <c r="H22743" s="185"/>
    </row>
    <row r="22744">
      <c r="D22744" s="185"/>
      <c r="E22744" s="185" t="s">
        <v>470</v>
      </c>
      <c r="H22744" s="185"/>
    </row>
    <row r="22745">
      <c r="D22745" s="185"/>
      <c r="E22745" s="185" t="s">
        <v>470</v>
      </c>
      <c r="H22745" s="185"/>
    </row>
    <row r="22746">
      <c r="D22746" s="185"/>
      <c r="E22746" s="185" t="s">
        <v>470</v>
      </c>
      <c r="H22746" s="185"/>
    </row>
    <row r="22747">
      <c r="D22747" s="185"/>
      <c r="E22747" s="185" t="s">
        <v>470</v>
      </c>
      <c r="H22747" s="185"/>
    </row>
    <row r="22748">
      <c r="D22748" s="185"/>
      <c r="E22748" s="185" t="s">
        <v>470</v>
      </c>
      <c r="H22748" s="185"/>
    </row>
    <row r="22749">
      <c r="D22749" s="185"/>
      <c r="E22749" s="185" t="s">
        <v>470</v>
      </c>
      <c r="H22749" s="185"/>
    </row>
    <row r="22750">
      <c r="D22750" s="185"/>
      <c r="E22750" s="185" t="s">
        <v>470</v>
      </c>
      <c r="H22750" s="185"/>
    </row>
    <row r="22751">
      <c r="D22751" s="185"/>
      <c r="E22751" s="185" t="s">
        <v>470</v>
      </c>
      <c r="H22751" s="185"/>
    </row>
    <row r="22752">
      <c r="D22752" s="185"/>
      <c r="E22752" s="185" t="s">
        <v>470</v>
      </c>
      <c r="H22752" s="185"/>
    </row>
    <row r="22753">
      <c r="D22753" s="185"/>
      <c r="E22753" s="185" t="s">
        <v>470</v>
      </c>
      <c r="H22753" s="185"/>
    </row>
    <row r="22754">
      <c r="D22754" s="185"/>
      <c r="E22754" s="185" t="s">
        <v>470</v>
      </c>
      <c r="H22754" s="185"/>
    </row>
    <row r="22755">
      <c r="D22755" s="185"/>
      <c r="E22755" s="185" t="s">
        <v>470</v>
      </c>
      <c r="H22755" s="185"/>
    </row>
    <row r="22756">
      <c r="D22756" s="185"/>
      <c r="E22756" s="185" t="s">
        <v>470</v>
      </c>
      <c r="H22756" s="185"/>
    </row>
    <row r="22757">
      <c r="D22757" s="185"/>
      <c r="E22757" s="185" t="s">
        <v>470</v>
      </c>
      <c r="H22757" s="185"/>
    </row>
    <row r="22758">
      <c r="D22758" s="185"/>
      <c r="E22758" s="185" t="s">
        <v>470</v>
      </c>
      <c r="H22758" s="185"/>
    </row>
    <row r="22759">
      <c r="D22759" s="185"/>
      <c r="E22759" s="185" t="s">
        <v>470</v>
      </c>
      <c r="H22759" s="185"/>
    </row>
    <row r="22760">
      <c r="D22760" s="185"/>
      <c r="E22760" s="185" t="s">
        <v>470</v>
      </c>
      <c r="H22760" s="185"/>
    </row>
    <row r="22761">
      <c r="D22761" s="185"/>
      <c r="E22761" s="185" t="s">
        <v>470</v>
      </c>
      <c r="H22761" s="185"/>
    </row>
    <row r="22762">
      <c r="D22762" s="185"/>
      <c r="E22762" s="185" t="s">
        <v>470</v>
      </c>
      <c r="H22762" s="185"/>
    </row>
    <row r="22763">
      <c r="D22763" s="185"/>
      <c r="E22763" s="185" t="s">
        <v>470</v>
      </c>
      <c r="H22763" s="185"/>
    </row>
    <row r="22764">
      <c r="D22764" s="185"/>
      <c r="E22764" s="185" t="s">
        <v>470</v>
      </c>
      <c r="H22764" s="185"/>
    </row>
    <row r="22765">
      <c r="D22765" s="185"/>
      <c r="E22765" s="185" t="s">
        <v>470</v>
      </c>
      <c r="H22765" s="185"/>
    </row>
    <row r="22766">
      <c r="D22766" s="185"/>
      <c r="E22766" s="185" t="s">
        <v>470</v>
      </c>
      <c r="H22766" s="185"/>
    </row>
    <row r="22767">
      <c r="D22767" s="185"/>
      <c r="E22767" s="185" t="s">
        <v>470</v>
      </c>
      <c r="H22767" s="185"/>
    </row>
    <row r="22768">
      <c r="D22768" s="185"/>
      <c r="E22768" s="185" t="s">
        <v>470</v>
      </c>
      <c r="H22768" s="185"/>
    </row>
    <row r="22769">
      <c r="D22769" s="185"/>
      <c r="E22769" s="185" t="s">
        <v>470</v>
      </c>
      <c r="H22769" s="185"/>
    </row>
    <row r="22770">
      <c r="D22770" s="185"/>
      <c r="E22770" s="185" t="s">
        <v>470</v>
      </c>
      <c r="H22770" s="185"/>
    </row>
    <row r="22771">
      <c r="D22771" s="185"/>
      <c r="E22771" s="185" t="s">
        <v>470</v>
      </c>
      <c r="H22771" s="185"/>
    </row>
    <row r="22772">
      <c r="D22772" s="185"/>
      <c r="E22772" s="185" t="s">
        <v>470</v>
      </c>
      <c r="H22772" s="185"/>
    </row>
    <row r="22773">
      <c r="D22773" s="185"/>
      <c r="E22773" s="185" t="s">
        <v>470</v>
      </c>
      <c r="H22773" s="185"/>
    </row>
    <row r="22774">
      <c r="D22774" s="185"/>
      <c r="E22774" s="185" t="s">
        <v>470</v>
      </c>
      <c r="H22774" s="185"/>
    </row>
    <row r="22775">
      <c r="D22775" s="185"/>
      <c r="E22775" s="185" t="s">
        <v>470</v>
      </c>
      <c r="H22775" s="185"/>
    </row>
    <row r="22776">
      <c r="D22776" s="185"/>
      <c r="E22776" s="185" t="s">
        <v>470</v>
      </c>
      <c r="H22776" s="185"/>
    </row>
    <row r="22777">
      <c r="D22777" s="185"/>
      <c r="E22777" s="185" t="s">
        <v>470</v>
      </c>
      <c r="H22777" s="185"/>
    </row>
    <row r="22778">
      <c r="D22778" s="185"/>
      <c r="E22778" s="185" t="s">
        <v>470</v>
      </c>
      <c r="H22778" s="185"/>
    </row>
    <row r="22779">
      <c r="D22779" s="185"/>
      <c r="E22779" s="185" t="s">
        <v>470</v>
      </c>
      <c r="H22779" s="185"/>
    </row>
    <row r="22780">
      <c r="D22780" s="185"/>
      <c r="E22780" s="185" t="s">
        <v>470</v>
      </c>
      <c r="H22780" s="185"/>
    </row>
    <row r="22781">
      <c r="D22781" s="185"/>
      <c r="E22781" s="185" t="s">
        <v>470</v>
      </c>
      <c r="H22781" s="185"/>
    </row>
    <row r="22782">
      <c r="D22782" s="185"/>
      <c r="E22782" s="185" t="s">
        <v>470</v>
      </c>
      <c r="H22782" s="185"/>
    </row>
    <row r="22783">
      <c r="D22783" s="185"/>
      <c r="E22783" s="185" t="s">
        <v>470</v>
      </c>
      <c r="H22783" s="185"/>
    </row>
    <row r="22784">
      <c r="D22784" s="185"/>
      <c r="E22784" s="185" t="s">
        <v>470</v>
      </c>
      <c r="H22784" s="185"/>
    </row>
    <row r="22785">
      <c r="D22785" s="185"/>
      <c r="E22785" s="185" t="s">
        <v>470</v>
      </c>
      <c r="H22785" s="185"/>
    </row>
    <row r="22786">
      <c r="D22786" s="185"/>
      <c r="E22786" s="185" t="s">
        <v>470</v>
      </c>
      <c r="H22786" s="185"/>
    </row>
    <row r="22787">
      <c r="D22787" s="185"/>
      <c r="E22787" s="185" t="s">
        <v>470</v>
      </c>
      <c r="H22787" s="185"/>
    </row>
    <row r="22788">
      <c r="D22788" s="185"/>
      <c r="E22788" s="185" t="s">
        <v>470</v>
      </c>
      <c r="H22788" s="185"/>
    </row>
    <row r="22789">
      <c r="D22789" s="185"/>
      <c r="E22789" s="185" t="s">
        <v>470</v>
      </c>
      <c r="H22789" s="185"/>
    </row>
    <row r="22790">
      <c r="D22790" s="185"/>
      <c r="E22790" s="185" t="s">
        <v>470</v>
      </c>
      <c r="H22790" s="185"/>
    </row>
    <row r="22791">
      <c r="D22791" s="185"/>
      <c r="E22791" s="185" t="s">
        <v>470</v>
      </c>
      <c r="H22791" s="185"/>
    </row>
    <row r="22792">
      <c r="D22792" s="185"/>
      <c r="E22792" s="185" t="s">
        <v>470</v>
      </c>
      <c r="H22792" s="185"/>
    </row>
    <row r="22793">
      <c r="D22793" s="185"/>
      <c r="E22793" s="185" t="s">
        <v>470</v>
      </c>
      <c r="H22793" s="185"/>
    </row>
    <row r="22794">
      <c r="D22794" s="185"/>
      <c r="E22794" s="185" t="s">
        <v>470</v>
      </c>
      <c r="H22794" s="185"/>
    </row>
    <row r="22795">
      <c r="D22795" s="185"/>
      <c r="E22795" s="185" t="s">
        <v>470</v>
      </c>
      <c r="H22795" s="185"/>
    </row>
    <row r="22796">
      <c r="D22796" s="185"/>
      <c r="E22796" s="185" t="s">
        <v>470</v>
      </c>
      <c r="H22796" s="185"/>
    </row>
    <row r="22797">
      <c r="D22797" s="185"/>
      <c r="E22797" s="185" t="s">
        <v>470</v>
      </c>
      <c r="H22797" s="185"/>
    </row>
    <row r="22798">
      <c r="D22798" s="185"/>
      <c r="E22798" s="185" t="s">
        <v>470</v>
      </c>
      <c r="H22798" s="185"/>
    </row>
    <row r="22799">
      <c r="D22799" s="185"/>
      <c r="E22799" s="185" t="s">
        <v>470</v>
      </c>
      <c r="H22799" s="185"/>
    </row>
    <row r="22800">
      <c r="D22800" s="185"/>
      <c r="E22800" s="185" t="s">
        <v>470</v>
      </c>
      <c r="H22800" s="185"/>
    </row>
    <row r="22801">
      <c r="D22801" s="185"/>
      <c r="E22801" s="185" t="s">
        <v>470</v>
      </c>
      <c r="H22801" s="185"/>
    </row>
    <row r="22802">
      <c r="D22802" s="185"/>
      <c r="E22802" s="185" t="s">
        <v>470</v>
      </c>
      <c r="H22802" s="185"/>
    </row>
    <row r="22803">
      <c r="D22803" s="185"/>
      <c r="E22803" s="185" t="s">
        <v>470</v>
      </c>
      <c r="H22803" s="185"/>
    </row>
    <row r="22804">
      <c r="D22804" s="185"/>
      <c r="E22804" s="185" t="s">
        <v>470</v>
      </c>
      <c r="H22804" s="185"/>
    </row>
    <row r="22805">
      <c r="D22805" s="185"/>
      <c r="E22805" s="185" t="s">
        <v>470</v>
      </c>
      <c r="H22805" s="185"/>
    </row>
    <row r="22806">
      <c r="D22806" s="185"/>
      <c r="E22806" s="185" t="s">
        <v>470</v>
      </c>
      <c r="H22806" s="185"/>
    </row>
    <row r="22807">
      <c r="D22807" s="185"/>
      <c r="E22807" s="185" t="s">
        <v>470</v>
      </c>
      <c r="H22807" s="185"/>
    </row>
    <row r="22808">
      <c r="D22808" s="185"/>
      <c r="E22808" s="185" t="s">
        <v>470</v>
      </c>
      <c r="H22808" s="185"/>
    </row>
    <row r="22809">
      <c r="D22809" s="185"/>
      <c r="E22809" s="185" t="s">
        <v>470</v>
      </c>
      <c r="H22809" s="185"/>
    </row>
    <row r="22810">
      <c r="D22810" s="185"/>
      <c r="E22810" s="185" t="s">
        <v>470</v>
      </c>
      <c r="H22810" s="185"/>
    </row>
    <row r="22811">
      <c r="D22811" s="185"/>
      <c r="E22811" s="185" t="s">
        <v>470</v>
      </c>
      <c r="H22811" s="185"/>
    </row>
    <row r="22812">
      <c r="D22812" s="185"/>
      <c r="E22812" s="185" t="s">
        <v>470</v>
      </c>
      <c r="H22812" s="185"/>
    </row>
    <row r="22813">
      <c r="D22813" s="185"/>
      <c r="E22813" s="185" t="s">
        <v>470</v>
      </c>
      <c r="H22813" s="185"/>
    </row>
    <row r="22814">
      <c r="D22814" s="185"/>
      <c r="E22814" s="185" t="s">
        <v>470</v>
      </c>
      <c r="H22814" s="185"/>
    </row>
    <row r="22815">
      <c r="D22815" s="185"/>
      <c r="E22815" s="185" t="s">
        <v>470</v>
      </c>
      <c r="H22815" s="185"/>
    </row>
    <row r="22816">
      <c r="D22816" s="185"/>
      <c r="E22816" s="185" t="s">
        <v>470</v>
      </c>
      <c r="H22816" s="185"/>
    </row>
    <row r="22817">
      <c r="D22817" s="185"/>
      <c r="E22817" s="185" t="s">
        <v>470</v>
      </c>
      <c r="H22817" s="185"/>
    </row>
    <row r="22818">
      <c r="D22818" s="185"/>
      <c r="E22818" s="185" t="s">
        <v>470</v>
      </c>
      <c r="H22818" s="185"/>
    </row>
    <row r="22819">
      <c r="D22819" s="185"/>
      <c r="E22819" s="185" t="s">
        <v>470</v>
      </c>
      <c r="H22819" s="185"/>
    </row>
    <row r="22820">
      <c r="D22820" s="185"/>
      <c r="E22820" s="185" t="s">
        <v>470</v>
      </c>
      <c r="H22820" s="185"/>
    </row>
    <row r="22821">
      <c r="D22821" s="185"/>
      <c r="E22821" s="185" t="s">
        <v>470</v>
      </c>
      <c r="H22821" s="185"/>
    </row>
    <row r="22822">
      <c r="D22822" s="185"/>
      <c r="E22822" s="185" t="s">
        <v>470</v>
      </c>
      <c r="H22822" s="185"/>
    </row>
    <row r="22823">
      <c r="D22823" s="185"/>
      <c r="E22823" s="185" t="s">
        <v>470</v>
      </c>
      <c r="H22823" s="185"/>
    </row>
    <row r="22824">
      <c r="D22824" s="185"/>
      <c r="E22824" s="185" t="s">
        <v>470</v>
      </c>
      <c r="H22824" s="185"/>
    </row>
    <row r="22825">
      <c r="D22825" s="185"/>
      <c r="E22825" s="185" t="s">
        <v>470</v>
      </c>
      <c r="H22825" s="185"/>
    </row>
    <row r="22826">
      <c r="D22826" s="185"/>
      <c r="E22826" s="185" t="s">
        <v>470</v>
      </c>
      <c r="H22826" s="185"/>
    </row>
    <row r="22827">
      <c r="D22827" s="185"/>
      <c r="E22827" s="185" t="s">
        <v>470</v>
      </c>
      <c r="H22827" s="185"/>
    </row>
    <row r="22828">
      <c r="D22828" s="185"/>
      <c r="E22828" s="185" t="s">
        <v>470</v>
      </c>
      <c r="H22828" s="185"/>
    </row>
    <row r="22829">
      <c r="D22829" s="185"/>
      <c r="E22829" s="185" t="s">
        <v>470</v>
      </c>
      <c r="H22829" s="185"/>
    </row>
    <row r="22830">
      <c r="D22830" s="185"/>
      <c r="E22830" s="185" t="s">
        <v>470</v>
      </c>
      <c r="H22830" s="185"/>
    </row>
    <row r="22831">
      <c r="D22831" s="185"/>
      <c r="E22831" s="185" t="s">
        <v>470</v>
      </c>
      <c r="H22831" s="185"/>
    </row>
    <row r="22832">
      <c r="D22832" s="185"/>
      <c r="E22832" s="185" t="s">
        <v>470</v>
      </c>
      <c r="H22832" s="185"/>
    </row>
    <row r="22833">
      <c r="D22833" s="185"/>
      <c r="E22833" s="185" t="s">
        <v>470</v>
      </c>
      <c r="H22833" s="185"/>
    </row>
    <row r="22834">
      <c r="D22834" s="185"/>
      <c r="E22834" s="185" t="s">
        <v>470</v>
      </c>
      <c r="H22834" s="185"/>
    </row>
    <row r="22835">
      <c r="D22835" s="185"/>
      <c r="E22835" s="185" t="s">
        <v>470</v>
      </c>
      <c r="H22835" s="185"/>
    </row>
    <row r="22836">
      <c r="D22836" s="185"/>
      <c r="E22836" s="185" t="s">
        <v>470</v>
      </c>
      <c r="H22836" s="185"/>
    </row>
    <row r="22837">
      <c r="D22837" s="185"/>
      <c r="E22837" s="185" t="s">
        <v>470</v>
      </c>
      <c r="H22837" s="185"/>
    </row>
    <row r="22838">
      <c r="D22838" s="185"/>
      <c r="E22838" s="185" t="s">
        <v>470</v>
      </c>
      <c r="H22838" s="185"/>
    </row>
    <row r="22839">
      <c r="D22839" s="185"/>
      <c r="E22839" s="185" t="s">
        <v>470</v>
      </c>
      <c r="H22839" s="185"/>
    </row>
    <row r="22840">
      <c r="D22840" s="185"/>
      <c r="E22840" s="185" t="s">
        <v>470</v>
      </c>
      <c r="H22840" s="185"/>
    </row>
    <row r="22841">
      <c r="D22841" s="185"/>
      <c r="E22841" s="185" t="s">
        <v>470</v>
      </c>
      <c r="H22841" s="185"/>
    </row>
    <row r="22842">
      <c r="D22842" s="185"/>
      <c r="E22842" s="185" t="s">
        <v>470</v>
      </c>
      <c r="H22842" s="185"/>
    </row>
    <row r="22843">
      <c r="D22843" s="185"/>
      <c r="E22843" s="185" t="s">
        <v>470</v>
      </c>
      <c r="H22843" s="185"/>
    </row>
    <row r="22844">
      <c r="D22844" s="185"/>
      <c r="E22844" s="185" t="s">
        <v>470</v>
      </c>
      <c r="H22844" s="185"/>
    </row>
    <row r="22845">
      <c r="D22845" s="185"/>
      <c r="E22845" s="185" t="s">
        <v>470</v>
      </c>
      <c r="H22845" s="185"/>
    </row>
    <row r="22846">
      <c r="D22846" s="185"/>
      <c r="E22846" s="185" t="s">
        <v>470</v>
      </c>
      <c r="H22846" s="185"/>
    </row>
    <row r="22847">
      <c r="D22847" s="185"/>
      <c r="E22847" s="185" t="s">
        <v>470</v>
      </c>
      <c r="H22847" s="185"/>
    </row>
    <row r="22848">
      <c r="D22848" s="185"/>
      <c r="E22848" s="185" t="s">
        <v>470</v>
      </c>
      <c r="H22848" s="185"/>
    </row>
    <row r="22849">
      <c r="D22849" s="185"/>
      <c r="E22849" s="185" t="s">
        <v>470</v>
      </c>
      <c r="H22849" s="185"/>
    </row>
    <row r="22850">
      <c r="D22850" s="185"/>
      <c r="E22850" s="185" t="s">
        <v>470</v>
      </c>
      <c r="H22850" s="185"/>
    </row>
    <row r="22851">
      <c r="D22851" s="185"/>
      <c r="E22851" s="185" t="s">
        <v>470</v>
      </c>
      <c r="H22851" s="185"/>
    </row>
    <row r="22852">
      <c r="D22852" s="185"/>
      <c r="E22852" s="185" t="s">
        <v>470</v>
      </c>
      <c r="H22852" s="185"/>
    </row>
    <row r="22853">
      <c r="D22853" s="185"/>
      <c r="E22853" s="185" t="s">
        <v>470</v>
      </c>
      <c r="H22853" s="185"/>
    </row>
    <row r="22854">
      <c r="D22854" s="185"/>
      <c r="E22854" s="185" t="s">
        <v>470</v>
      </c>
      <c r="H22854" s="185"/>
    </row>
    <row r="22855">
      <c r="D22855" s="185"/>
      <c r="E22855" s="185" t="s">
        <v>470</v>
      </c>
      <c r="H22855" s="185"/>
    </row>
    <row r="22856">
      <c r="D22856" s="185"/>
      <c r="E22856" s="185" t="s">
        <v>470</v>
      </c>
      <c r="H22856" s="185"/>
    </row>
    <row r="22857">
      <c r="D22857" s="185"/>
      <c r="E22857" s="185" t="s">
        <v>470</v>
      </c>
      <c r="H22857" s="185"/>
    </row>
    <row r="22858">
      <c r="D22858" s="185"/>
      <c r="E22858" s="185" t="s">
        <v>470</v>
      </c>
      <c r="H22858" s="185"/>
    </row>
    <row r="22859">
      <c r="D22859" s="185"/>
      <c r="E22859" s="185" t="s">
        <v>470</v>
      </c>
      <c r="H22859" s="185"/>
    </row>
    <row r="22860">
      <c r="D22860" s="185"/>
      <c r="E22860" s="185" t="s">
        <v>470</v>
      </c>
      <c r="H22860" s="185"/>
    </row>
    <row r="22861">
      <c r="D22861" s="185"/>
      <c r="E22861" s="185" t="s">
        <v>470</v>
      </c>
      <c r="H22861" s="185"/>
    </row>
    <row r="22862">
      <c r="D22862" s="185"/>
      <c r="E22862" s="185" t="s">
        <v>470</v>
      </c>
      <c r="H22862" s="185"/>
    </row>
    <row r="22863">
      <c r="D22863" s="185"/>
      <c r="E22863" s="185" t="s">
        <v>470</v>
      </c>
      <c r="H22863" s="185"/>
    </row>
    <row r="22864">
      <c r="D22864" s="185"/>
      <c r="E22864" s="185" t="s">
        <v>470</v>
      </c>
      <c r="H22864" s="185"/>
    </row>
    <row r="22865">
      <c r="D22865" s="185"/>
      <c r="E22865" s="185" t="s">
        <v>470</v>
      </c>
      <c r="H22865" s="185"/>
    </row>
    <row r="22866">
      <c r="D22866" s="185"/>
      <c r="E22866" s="185" t="s">
        <v>470</v>
      </c>
      <c r="H22866" s="185"/>
    </row>
    <row r="22867">
      <c r="D22867" s="185"/>
      <c r="E22867" s="185" t="s">
        <v>470</v>
      </c>
      <c r="H22867" s="185"/>
    </row>
    <row r="22868">
      <c r="D22868" s="185"/>
      <c r="E22868" s="185" t="s">
        <v>470</v>
      </c>
      <c r="H22868" s="185"/>
    </row>
    <row r="22869">
      <c r="D22869" s="185"/>
      <c r="E22869" s="185" t="s">
        <v>470</v>
      </c>
      <c r="H22869" s="185"/>
    </row>
    <row r="22870">
      <c r="D22870" s="185"/>
      <c r="E22870" s="185" t="s">
        <v>470</v>
      </c>
      <c r="H22870" s="185"/>
    </row>
    <row r="22871">
      <c r="D22871" s="185"/>
      <c r="E22871" s="185" t="s">
        <v>470</v>
      </c>
      <c r="H22871" s="185"/>
    </row>
    <row r="22872">
      <c r="D22872" s="185"/>
      <c r="E22872" s="185" t="s">
        <v>470</v>
      </c>
      <c r="H22872" s="185"/>
    </row>
    <row r="22873">
      <c r="D22873" s="185"/>
      <c r="E22873" s="185" t="s">
        <v>470</v>
      </c>
      <c r="H22873" s="185"/>
    </row>
    <row r="22874">
      <c r="D22874" s="185"/>
      <c r="E22874" s="185" t="s">
        <v>470</v>
      </c>
      <c r="H22874" s="185"/>
    </row>
    <row r="22875">
      <c r="D22875" s="185"/>
      <c r="E22875" s="185" t="s">
        <v>470</v>
      </c>
      <c r="H22875" s="185"/>
    </row>
    <row r="22876">
      <c r="D22876" s="185"/>
      <c r="E22876" s="185" t="s">
        <v>470</v>
      </c>
      <c r="H22876" s="185"/>
    </row>
    <row r="22877">
      <c r="D22877" s="185"/>
      <c r="E22877" s="185" t="s">
        <v>470</v>
      </c>
      <c r="H22877" s="185"/>
    </row>
    <row r="22878">
      <c r="D22878" s="185"/>
      <c r="E22878" s="185" t="s">
        <v>470</v>
      </c>
      <c r="H22878" s="185"/>
    </row>
    <row r="22879">
      <c r="D22879" s="185"/>
      <c r="E22879" s="185" t="s">
        <v>470</v>
      </c>
      <c r="H22879" s="185"/>
    </row>
    <row r="22880">
      <c r="D22880" s="185"/>
      <c r="E22880" s="185" t="s">
        <v>470</v>
      </c>
      <c r="H22880" s="185"/>
    </row>
    <row r="22881">
      <c r="D22881" s="185"/>
      <c r="E22881" s="185" t="s">
        <v>470</v>
      </c>
      <c r="H22881" s="185"/>
    </row>
    <row r="22882">
      <c r="D22882" s="185"/>
      <c r="E22882" s="185" t="s">
        <v>470</v>
      </c>
      <c r="H22882" s="185"/>
    </row>
    <row r="22883">
      <c r="D22883" s="185"/>
      <c r="E22883" s="185" t="s">
        <v>470</v>
      </c>
      <c r="H22883" s="185"/>
    </row>
    <row r="22884">
      <c r="D22884" s="185"/>
      <c r="E22884" s="185" t="s">
        <v>470</v>
      </c>
      <c r="H22884" s="185"/>
    </row>
    <row r="22885">
      <c r="D22885" s="185"/>
      <c r="E22885" s="185" t="s">
        <v>470</v>
      </c>
      <c r="H22885" s="185"/>
    </row>
    <row r="22886">
      <c r="D22886" s="185"/>
      <c r="E22886" s="185" t="s">
        <v>470</v>
      </c>
      <c r="H22886" s="185"/>
    </row>
    <row r="22887">
      <c r="D22887" s="185"/>
      <c r="E22887" s="185" t="s">
        <v>470</v>
      </c>
      <c r="H22887" s="185"/>
    </row>
    <row r="22888">
      <c r="D22888" s="185"/>
      <c r="E22888" s="185" t="s">
        <v>470</v>
      </c>
      <c r="H22888" s="185"/>
    </row>
    <row r="22889">
      <c r="D22889" s="185"/>
      <c r="E22889" s="185" t="s">
        <v>470</v>
      </c>
      <c r="H22889" s="185"/>
    </row>
    <row r="22890">
      <c r="D22890" s="185"/>
      <c r="E22890" s="185" t="s">
        <v>470</v>
      </c>
      <c r="H22890" s="185"/>
    </row>
    <row r="22891">
      <c r="D22891" s="185"/>
      <c r="E22891" s="185" t="s">
        <v>470</v>
      </c>
      <c r="H22891" s="185"/>
    </row>
    <row r="22892">
      <c r="D22892" s="185"/>
      <c r="E22892" s="185" t="s">
        <v>470</v>
      </c>
      <c r="H22892" s="185"/>
    </row>
    <row r="22893">
      <c r="D22893" s="185"/>
      <c r="E22893" s="185" t="s">
        <v>470</v>
      </c>
      <c r="H22893" s="185"/>
    </row>
    <row r="22894">
      <c r="D22894" s="185"/>
      <c r="E22894" s="185" t="s">
        <v>470</v>
      </c>
      <c r="H22894" s="185"/>
    </row>
    <row r="22895">
      <c r="D22895" s="185"/>
      <c r="E22895" s="185" t="s">
        <v>470</v>
      </c>
      <c r="H22895" s="185"/>
    </row>
    <row r="22896">
      <c r="D22896" s="185"/>
      <c r="E22896" s="185" t="s">
        <v>470</v>
      </c>
      <c r="H22896" s="185"/>
    </row>
    <row r="22897">
      <c r="D22897" s="185"/>
      <c r="E22897" s="185" t="s">
        <v>470</v>
      </c>
      <c r="H22897" s="185"/>
    </row>
    <row r="22898">
      <c r="D22898" s="185"/>
      <c r="E22898" s="185" t="s">
        <v>470</v>
      </c>
      <c r="H22898" s="185"/>
    </row>
    <row r="22899">
      <c r="D22899" s="185"/>
      <c r="E22899" s="185" t="s">
        <v>470</v>
      </c>
      <c r="H22899" s="185"/>
    </row>
    <row r="22900">
      <c r="D22900" s="185"/>
      <c r="E22900" s="185" t="s">
        <v>470</v>
      </c>
      <c r="H22900" s="185"/>
    </row>
    <row r="22901">
      <c r="D22901" s="185"/>
      <c r="E22901" s="185" t="s">
        <v>470</v>
      </c>
      <c r="H22901" s="185"/>
    </row>
    <row r="22902">
      <c r="D22902" s="185"/>
      <c r="E22902" s="185" t="s">
        <v>470</v>
      </c>
      <c r="H22902" s="185"/>
    </row>
    <row r="22903">
      <c r="D22903" s="185"/>
      <c r="E22903" s="185" t="s">
        <v>470</v>
      </c>
      <c r="H22903" s="185"/>
    </row>
    <row r="22904">
      <c r="D22904" s="185"/>
      <c r="E22904" s="185" t="s">
        <v>470</v>
      </c>
      <c r="H22904" s="185"/>
    </row>
    <row r="22905">
      <c r="D22905" s="185"/>
      <c r="E22905" s="185" t="s">
        <v>470</v>
      </c>
      <c r="H22905" s="185"/>
    </row>
    <row r="22906">
      <c r="D22906" s="185"/>
      <c r="E22906" s="185" t="s">
        <v>470</v>
      </c>
      <c r="H22906" s="185"/>
    </row>
    <row r="22907">
      <c r="D22907" s="185"/>
      <c r="E22907" s="185" t="s">
        <v>470</v>
      </c>
      <c r="H22907" s="185"/>
    </row>
    <row r="22908">
      <c r="D22908" s="185"/>
      <c r="E22908" s="185" t="s">
        <v>470</v>
      </c>
      <c r="H22908" s="185"/>
    </row>
    <row r="22909">
      <c r="D22909" s="185"/>
      <c r="E22909" s="185" t="s">
        <v>470</v>
      </c>
      <c r="H22909" s="185"/>
    </row>
    <row r="22910">
      <c r="D22910" s="185"/>
      <c r="E22910" s="185" t="s">
        <v>470</v>
      </c>
      <c r="H22910" s="185"/>
    </row>
    <row r="22911">
      <c r="D22911" s="185"/>
      <c r="E22911" s="185" t="s">
        <v>470</v>
      </c>
      <c r="H22911" s="185"/>
    </row>
    <row r="22912">
      <c r="D22912" s="185"/>
      <c r="E22912" s="185" t="s">
        <v>470</v>
      </c>
      <c r="H22912" s="185"/>
    </row>
    <row r="22913">
      <c r="D22913" s="185"/>
      <c r="E22913" s="185" t="s">
        <v>470</v>
      </c>
      <c r="H22913" s="185"/>
    </row>
    <row r="22914">
      <c r="D22914" s="185"/>
      <c r="E22914" s="185" t="s">
        <v>470</v>
      </c>
      <c r="H22914" s="185"/>
    </row>
    <row r="22915">
      <c r="D22915" s="185"/>
      <c r="E22915" s="185" t="s">
        <v>470</v>
      </c>
      <c r="H22915" s="185"/>
    </row>
    <row r="22916">
      <c r="D22916" s="185"/>
      <c r="E22916" s="185" t="s">
        <v>470</v>
      </c>
      <c r="H22916" s="185"/>
    </row>
    <row r="22917">
      <c r="D22917" s="185"/>
      <c r="E22917" s="185" t="s">
        <v>470</v>
      </c>
      <c r="H22917" s="185"/>
    </row>
    <row r="22918">
      <c r="D22918" s="185"/>
      <c r="E22918" s="185" t="s">
        <v>470</v>
      </c>
      <c r="H22918" s="185"/>
    </row>
    <row r="22919">
      <c r="D22919" s="185"/>
      <c r="E22919" s="185" t="s">
        <v>470</v>
      </c>
      <c r="H22919" s="185"/>
    </row>
    <row r="22920">
      <c r="D22920" s="185"/>
      <c r="E22920" s="185" t="s">
        <v>470</v>
      </c>
      <c r="H22920" s="185"/>
    </row>
    <row r="22921">
      <c r="D22921" s="185"/>
      <c r="E22921" s="185" t="s">
        <v>470</v>
      </c>
      <c r="H22921" s="185"/>
    </row>
    <row r="22922">
      <c r="D22922" s="185"/>
      <c r="E22922" s="185" t="s">
        <v>470</v>
      </c>
      <c r="H22922" s="185"/>
    </row>
    <row r="22923">
      <c r="D22923" s="185"/>
      <c r="E22923" s="185" t="s">
        <v>470</v>
      </c>
      <c r="H22923" s="185"/>
    </row>
    <row r="22924">
      <c r="D22924" s="185"/>
      <c r="E22924" s="185" t="s">
        <v>470</v>
      </c>
      <c r="H22924" s="185"/>
    </row>
    <row r="22925">
      <c r="D22925" s="185"/>
      <c r="E22925" s="185" t="s">
        <v>470</v>
      </c>
      <c r="H22925" s="185"/>
    </row>
    <row r="22926">
      <c r="D22926" s="185"/>
      <c r="E22926" s="185" t="s">
        <v>470</v>
      </c>
      <c r="H22926" s="185"/>
    </row>
    <row r="22927">
      <c r="D22927" s="185"/>
      <c r="E22927" s="185" t="s">
        <v>470</v>
      </c>
      <c r="H22927" s="185"/>
    </row>
    <row r="22928">
      <c r="D22928" s="185"/>
      <c r="E22928" s="185" t="s">
        <v>470</v>
      </c>
      <c r="H22928" s="185"/>
    </row>
    <row r="22929">
      <c r="D22929" s="185"/>
      <c r="E22929" s="185" t="s">
        <v>470</v>
      </c>
      <c r="H22929" s="185"/>
    </row>
    <row r="22930">
      <c r="D22930" s="185"/>
      <c r="E22930" s="185" t="s">
        <v>470</v>
      </c>
      <c r="H22930" s="185"/>
    </row>
    <row r="22931">
      <c r="D22931" s="185"/>
      <c r="E22931" s="185" t="s">
        <v>470</v>
      </c>
      <c r="H22931" s="185"/>
    </row>
    <row r="22932">
      <c r="D22932" s="185"/>
      <c r="E22932" s="185" t="s">
        <v>470</v>
      </c>
      <c r="H22932" s="185"/>
    </row>
    <row r="22933">
      <c r="D22933" s="185"/>
      <c r="E22933" s="185" t="s">
        <v>470</v>
      </c>
      <c r="H22933" s="185"/>
    </row>
    <row r="22934">
      <c r="D22934" s="185"/>
      <c r="E22934" s="185" t="s">
        <v>470</v>
      </c>
      <c r="H22934" s="185"/>
    </row>
    <row r="22935">
      <c r="D22935" s="185"/>
      <c r="E22935" s="185" t="s">
        <v>470</v>
      </c>
      <c r="H22935" s="185"/>
    </row>
    <row r="22936">
      <c r="D22936" s="185"/>
      <c r="E22936" s="185" t="s">
        <v>470</v>
      </c>
      <c r="H22936" s="185"/>
    </row>
    <row r="22937">
      <c r="D22937" s="185"/>
      <c r="E22937" s="185" t="s">
        <v>470</v>
      </c>
      <c r="H22937" s="185"/>
    </row>
    <row r="22938">
      <c r="D22938" s="185"/>
      <c r="E22938" s="185" t="s">
        <v>470</v>
      </c>
      <c r="H22938" s="185"/>
    </row>
    <row r="22939">
      <c r="D22939" s="185"/>
      <c r="E22939" s="185" t="s">
        <v>470</v>
      </c>
      <c r="H22939" s="185"/>
    </row>
    <row r="22940">
      <c r="D22940" s="185"/>
      <c r="E22940" s="185" t="s">
        <v>470</v>
      </c>
      <c r="H22940" s="185"/>
    </row>
    <row r="22941">
      <c r="D22941" s="185"/>
      <c r="E22941" s="185" t="s">
        <v>470</v>
      </c>
      <c r="H22941" s="185"/>
    </row>
    <row r="22942">
      <c r="D22942" s="185"/>
      <c r="E22942" s="185" t="s">
        <v>470</v>
      </c>
      <c r="H22942" s="185"/>
    </row>
    <row r="22943">
      <c r="D22943" s="185"/>
      <c r="E22943" s="185" t="s">
        <v>470</v>
      </c>
      <c r="H22943" s="185"/>
    </row>
    <row r="22944">
      <c r="D22944" s="185"/>
      <c r="E22944" s="185" t="s">
        <v>470</v>
      </c>
      <c r="H22944" s="185"/>
    </row>
    <row r="22945">
      <c r="D22945" s="185"/>
      <c r="E22945" s="185" t="s">
        <v>470</v>
      </c>
      <c r="H22945" s="185"/>
    </row>
    <row r="22946">
      <c r="D22946" s="185"/>
      <c r="E22946" s="185" t="s">
        <v>470</v>
      </c>
      <c r="H22946" s="185"/>
    </row>
    <row r="22947">
      <c r="D22947" s="185"/>
      <c r="E22947" s="185" t="s">
        <v>470</v>
      </c>
      <c r="H22947" s="185"/>
    </row>
    <row r="22948">
      <c r="D22948" s="185"/>
      <c r="E22948" s="185" t="s">
        <v>470</v>
      </c>
      <c r="H22948" s="185"/>
    </row>
    <row r="22949">
      <c r="D22949" s="185"/>
      <c r="E22949" s="185" t="s">
        <v>470</v>
      </c>
      <c r="H22949" s="185"/>
    </row>
    <row r="22950">
      <c r="D22950" s="185"/>
      <c r="E22950" s="185" t="s">
        <v>470</v>
      </c>
      <c r="H22950" s="185"/>
    </row>
    <row r="22951">
      <c r="D22951" s="185"/>
      <c r="E22951" s="185" t="s">
        <v>470</v>
      </c>
      <c r="H22951" s="185"/>
    </row>
    <row r="22952">
      <c r="D22952" s="185"/>
      <c r="E22952" s="185" t="s">
        <v>470</v>
      </c>
      <c r="H22952" s="185"/>
    </row>
    <row r="22953">
      <c r="D22953" s="185"/>
      <c r="E22953" s="185" t="s">
        <v>470</v>
      </c>
      <c r="H22953" s="185"/>
    </row>
    <row r="22954">
      <c r="D22954" s="185"/>
      <c r="E22954" s="185" t="s">
        <v>470</v>
      </c>
      <c r="H22954" s="185"/>
    </row>
    <row r="22955">
      <c r="D22955" s="185"/>
      <c r="E22955" s="185" t="s">
        <v>470</v>
      </c>
      <c r="H22955" s="185"/>
    </row>
    <row r="22956">
      <c r="D22956" s="185"/>
      <c r="E22956" s="185" t="s">
        <v>470</v>
      </c>
      <c r="H22956" s="185"/>
    </row>
    <row r="22957">
      <c r="D22957" s="185"/>
      <c r="E22957" s="185" t="s">
        <v>470</v>
      </c>
      <c r="H22957" s="185"/>
    </row>
    <row r="22958">
      <c r="D22958" s="185"/>
      <c r="E22958" s="185" t="s">
        <v>470</v>
      </c>
      <c r="H22958" s="185"/>
    </row>
    <row r="22959">
      <c r="D22959" s="185"/>
      <c r="E22959" s="185" t="s">
        <v>470</v>
      </c>
      <c r="H22959" s="185"/>
    </row>
    <row r="22960">
      <c r="D22960" s="185"/>
      <c r="E22960" s="185" t="s">
        <v>470</v>
      </c>
      <c r="H22960" s="185"/>
    </row>
    <row r="22961">
      <c r="D22961" s="185"/>
      <c r="E22961" s="185" t="s">
        <v>470</v>
      </c>
      <c r="H22961" s="185"/>
    </row>
    <row r="22962">
      <c r="D22962" s="185"/>
      <c r="E22962" s="185" t="s">
        <v>470</v>
      </c>
      <c r="H22962" s="185"/>
    </row>
    <row r="22963">
      <c r="D22963" s="185"/>
      <c r="E22963" s="185" t="s">
        <v>470</v>
      </c>
      <c r="H22963" s="185"/>
    </row>
    <row r="22964">
      <c r="D22964" s="185"/>
      <c r="E22964" s="185" t="s">
        <v>470</v>
      </c>
      <c r="H22964" s="185"/>
    </row>
    <row r="22965">
      <c r="D22965" s="185"/>
      <c r="E22965" s="185" t="s">
        <v>470</v>
      </c>
      <c r="H22965" s="185"/>
    </row>
    <row r="22966">
      <c r="D22966" s="185"/>
      <c r="E22966" s="185" t="s">
        <v>470</v>
      </c>
      <c r="H22966" s="185"/>
    </row>
    <row r="22967">
      <c r="D22967" s="185"/>
      <c r="E22967" s="185" t="s">
        <v>470</v>
      </c>
      <c r="H22967" s="185"/>
    </row>
    <row r="22968">
      <c r="D22968" s="185"/>
      <c r="E22968" s="185" t="s">
        <v>470</v>
      </c>
      <c r="H22968" s="185"/>
    </row>
    <row r="22969">
      <c r="D22969" s="185"/>
      <c r="E22969" s="185" t="s">
        <v>470</v>
      </c>
      <c r="H22969" s="185"/>
    </row>
    <row r="22970">
      <c r="D22970" s="185"/>
      <c r="E22970" s="185" t="s">
        <v>470</v>
      </c>
      <c r="H22970" s="185"/>
    </row>
    <row r="22971">
      <c r="D22971" s="185"/>
      <c r="E22971" s="185" t="s">
        <v>470</v>
      </c>
      <c r="H22971" s="185"/>
    </row>
    <row r="22972">
      <c r="D22972" s="185"/>
      <c r="E22972" s="185" t="s">
        <v>470</v>
      </c>
      <c r="H22972" s="185"/>
    </row>
    <row r="22973">
      <c r="D22973" s="185"/>
      <c r="E22973" s="185" t="s">
        <v>470</v>
      </c>
      <c r="H22973" s="185"/>
    </row>
    <row r="22974">
      <c r="D22974" s="185"/>
      <c r="E22974" s="185" t="s">
        <v>470</v>
      </c>
      <c r="H22974" s="185"/>
    </row>
    <row r="22975">
      <c r="D22975" s="185"/>
      <c r="E22975" s="185" t="s">
        <v>470</v>
      </c>
      <c r="H22975" s="185"/>
    </row>
    <row r="22976">
      <c r="D22976" s="185"/>
      <c r="E22976" s="185" t="s">
        <v>470</v>
      </c>
      <c r="H22976" s="185"/>
    </row>
    <row r="22977">
      <c r="D22977" s="185"/>
      <c r="E22977" s="185" t="s">
        <v>470</v>
      </c>
      <c r="H22977" s="185"/>
    </row>
    <row r="22978">
      <c r="D22978" s="185"/>
      <c r="E22978" s="185" t="s">
        <v>470</v>
      </c>
      <c r="H22978" s="185"/>
    </row>
    <row r="22979">
      <c r="D22979" s="185"/>
      <c r="E22979" s="185" t="s">
        <v>470</v>
      </c>
      <c r="H22979" s="185"/>
    </row>
    <row r="22980">
      <c r="D22980" s="185"/>
      <c r="E22980" s="185" t="s">
        <v>470</v>
      </c>
      <c r="H22980" s="185"/>
    </row>
    <row r="22981">
      <c r="D22981" s="185"/>
      <c r="E22981" s="185" t="s">
        <v>470</v>
      </c>
      <c r="H22981" s="185"/>
    </row>
    <row r="22982">
      <c r="D22982" s="185"/>
      <c r="E22982" s="185" t="s">
        <v>470</v>
      </c>
      <c r="H22982" s="185"/>
    </row>
    <row r="22983">
      <c r="D22983" s="185"/>
      <c r="E22983" s="185" t="s">
        <v>470</v>
      </c>
      <c r="H22983" s="185"/>
    </row>
    <row r="22984">
      <c r="D22984" s="185"/>
      <c r="E22984" s="185" t="s">
        <v>470</v>
      </c>
      <c r="H22984" s="185"/>
    </row>
    <row r="22985">
      <c r="D22985" s="185"/>
      <c r="E22985" s="185" t="s">
        <v>470</v>
      </c>
      <c r="H22985" s="185"/>
    </row>
    <row r="22986">
      <c r="D22986" s="185"/>
      <c r="E22986" s="185" t="s">
        <v>470</v>
      </c>
      <c r="H22986" s="185"/>
    </row>
    <row r="22987">
      <c r="D22987" s="185"/>
      <c r="E22987" s="185" t="s">
        <v>470</v>
      </c>
      <c r="H22987" s="185"/>
    </row>
    <row r="22988">
      <c r="D22988" s="185"/>
      <c r="E22988" s="185" t="s">
        <v>470</v>
      </c>
      <c r="H22988" s="185"/>
    </row>
    <row r="22989">
      <c r="D22989" s="185"/>
      <c r="E22989" s="185" t="s">
        <v>470</v>
      </c>
      <c r="H22989" s="185"/>
    </row>
    <row r="22990">
      <c r="D22990" s="185"/>
      <c r="E22990" s="185" t="s">
        <v>470</v>
      </c>
      <c r="H22990" s="185"/>
    </row>
    <row r="22991">
      <c r="D22991" s="185"/>
      <c r="E22991" s="185" t="s">
        <v>470</v>
      </c>
      <c r="H22991" s="185"/>
    </row>
    <row r="22992">
      <c r="D22992" s="185"/>
      <c r="E22992" s="185" t="s">
        <v>470</v>
      </c>
      <c r="H22992" s="185"/>
    </row>
    <row r="22993">
      <c r="D22993" s="185"/>
      <c r="E22993" s="185" t="s">
        <v>470</v>
      </c>
      <c r="H22993" s="185"/>
    </row>
    <row r="22994">
      <c r="D22994" s="185"/>
      <c r="E22994" s="185" t="s">
        <v>470</v>
      </c>
      <c r="H22994" s="185"/>
    </row>
    <row r="22995">
      <c r="D22995" s="185"/>
      <c r="E22995" s="185" t="s">
        <v>470</v>
      </c>
      <c r="H22995" s="185"/>
    </row>
    <row r="22996">
      <c r="D22996" s="185"/>
      <c r="E22996" s="185" t="s">
        <v>470</v>
      </c>
      <c r="H22996" s="185"/>
    </row>
    <row r="22997">
      <c r="D22997" s="185"/>
      <c r="E22997" s="185" t="s">
        <v>470</v>
      </c>
      <c r="H22997" s="185"/>
    </row>
    <row r="22998">
      <c r="D22998" s="185"/>
      <c r="E22998" s="185" t="s">
        <v>470</v>
      </c>
      <c r="H22998" s="185"/>
    </row>
    <row r="22999">
      <c r="D22999" s="185"/>
      <c r="E22999" s="185" t="s">
        <v>470</v>
      </c>
      <c r="H22999" s="185"/>
    </row>
    <row r="23000">
      <c r="D23000" s="185"/>
      <c r="E23000" s="185" t="s">
        <v>470</v>
      </c>
      <c r="H23000" s="185"/>
    </row>
    <row r="23001">
      <c r="D23001" s="185"/>
      <c r="E23001" s="185" t="s">
        <v>470</v>
      </c>
      <c r="H23001" s="185"/>
    </row>
    <row r="23002">
      <c r="D23002" s="185"/>
      <c r="E23002" s="185" t="s">
        <v>470</v>
      </c>
      <c r="H23002" s="185"/>
    </row>
    <row r="23003">
      <c r="D23003" s="185"/>
      <c r="E23003" s="185" t="s">
        <v>470</v>
      </c>
      <c r="H23003" s="185"/>
    </row>
    <row r="23004">
      <c r="D23004" s="185"/>
      <c r="E23004" s="185" t="s">
        <v>470</v>
      </c>
      <c r="H23004" s="185"/>
    </row>
    <row r="23005">
      <c r="D23005" s="185"/>
      <c r="E23005" s="185" t="s">
        <v>470</v>
      </c>
      <c r="H23005" s="185"/>
    </row>
    <row r="23006">
      <c r="D23006" s="185"/>
      <c r="E23006" s="185" t="s">
        <v>470</v>
      </c>
      <c r="H23006" s="185"/>
    </row>
    <row r="23007">
      <c r="D23007" s="185"/>
      <c r="E23007" s="185" t="s">
        <v>470</v>
      </c>
      <c r="H23007" s="185"/>
    </row>
    <row r="23008">
      <c r="D23008" s="185"/>
      <c r="E23008" s="185" t="s">
        <v>470</v>
      </c>
      <c r="H23008" s="185"/>
    </row>
    <row r="23009">
      <c r="D23009" s="185"/>
      <c r="E23009" s="185" t="s">
        <v>470</v>
      </c>
      <c r="H23009" s="185"/>
    </row>
    <row r="23010">
      <c r="D23010" s="185"/>
      <c r="E23010" s="185" t="s">
        <v>470</v>
      </c>
      <c r="H23010" s="185"/>
    </row>
    <row r="23011">
      <c r="D23011" s="185"/>
      <c r="E23011" s="185" t="s">
        <v>470</v>
      </c>
      <c r="H23011" s="185"/>
    </row>
    <row r="23012">
      <c r="D23012" s="185"/>
      <c r="E23012" s="185" t="s">
        <v>470</v>
      </c>
      <c r="H23012" s="185"/>
    </row>
    <row r="23013">
      <c r="D23013" s="185"/>
      <c r="E23013" s="185" t="s">
        <v>470</v>
      </c>
      <c r="H23013" s="185"/>
    </row>
    <row r="23014">
      <c r="D23014" s="185"/>
      <c r="E23014" s="185" t="s">
        <v>470</v>
      </c>
      <c r="H23014" s="185"/>
    </row>
    <row r="23015">
      <c r="D23015" s="185"/>
      <c r="E23015" s="185" t="s">
        <v>470</v>
      </c>
      <c r="H23015" s="185"/>
    </row>
    <row r="23016">
      <c r="D23016" s="185"/>
      <c r="E23016" s="185" t="s">
        <v>470</v>
      </c>
      <c r="H23016" s="185"/>
    </row>
    <row r="23017">
      <c r="D23017" s="185"/>
      <c r="E23017" s="185" t="s">
        <v>470</v>
      </c>
      <c r="H23017" s="185"/>
    </row>
    <row r="23018">
      <c r="D23018" s="185"/>
      <c r="E23018" s="185" t="s">
        <v>470</v>
      </c>
      <c r="H23018" s="185"/>
    </row>
    <row r="23019">
      <c r="D23019" s="185"/>
      <c r="E23019" s="185" t="s">
        <v>470</v>
      </c>
      <c r="H23019" s="185"/>
    </row>
    <row r="23020">
      <c r="D23020" s="185"/>
      <c r="E23020" s="185" t="s">
        <v>470</v>
      </c>
      <c r="H23020" s="185"/>
    </row>
    <row r="23021">
      <c r="D23021" s="185"/>
      <c r="E23021" s="185" t="s">
        <v>470</v>
      </c>
      <c r="H23021" s="185"/>
    </row>
    <row r="23022">
      <c r="D23022" s="185"/>
      <c r="E23022" s="185" t="s">
        <v>470</v>
      </c>
      <c r="H23022" s="185"/>
    </row>
    <row r="23023">
      <c r="D23023" s="185"/>
      <c r="E23023" s="185" t="s">
        <v>470</v>
      </c>
      <c r="H23023" s="185"/>
    </row>
    <row r="23024">
      <c r="D23024" s="185"/>
      <c r="E23024" s="185" t="s">
        <v>470</v>
      </c>
      <c r="H23024" s="185"/>
    </row>
    <row r="23025">
      <c r="D23025" s="185"/>
      <c r="E23025" s="185" t="s">
        <v>470</v>
      </c>
      <c r="H23025" s="185"/>
    </row>
    <row r="23026">
      <c r="D23026" s="185"/>
      <c r="E23026" s="185" t="s">
        <v>470</v>
      </c>
      <c r="H23026" s="185"/>
    </row>
    <row r="23027">
      <c r="D23027" s="185"/>
      <c r="E23027" s="185" t="s">
        <v>470</v>
      </c>
      <c r="H23027" s="185"/>
    </row>
    <row r="23028">
      <c r="D23028" s="185"/>
      <c r="E23028" s="185" t="s">
        <v>470</v>
      </c>
      <c r="H23028" s="185"/>
    </row>
    <row r="23029">
      <c r="D23029" s="185"/>
      <c r="E23029" s="185" t="s">
        <v>470</v>
      </c>
      <c r="H23029" s="185"/>
    </row>
    <row r="23030">
      <c r="D23030" s="185"/>
      <c r="E23030" s="185" t="s">
        <v>470</v>
      </c>
      <c r="H23030" s="185"/>
    </row>
    <row r="23031">
      <c r="D23031" s="185"/>
      <c r="E23031" s="185" t="s">
        <v>470</v>
      </c>
      <c r="H23031" s="185"/>
    </row>
    <row r="23032">
      <c r="D23032" s="185"/>
      <c r="E23032" s="185" t="s">
        <v>470</v>
      </c>
      <c r="H23032" s="185"/>
    </row>
    <row r="23033">
      <c r="D23033" s="185"/>
      <c r="E23033" s="185" t="s">
        <v>470</v>
      </c>
      <c r="H23033" s="185"/>
    </row>
    <row r="23034">
      <c r="D23034" s="185"/>
      <c r="E23034" s="185" t="s">
        <v>470</v>
      </c>
      <c r="H23034" s="185"/>
    </row>
    <row r="23035">
      <c r="D23035" s="185"/>
      <c r="E23035" s="185" t="s">
        <v>470</v>
      </c>
      <c r="H23035" s="185"/>
    </row>
    <row r="23036">
      <c r="D23036" s="185"/>
      <c r="E23036" s="185" t="s">
        <v>470</v>
      </c>
      <c r="H23036" s="185"/>
    </row>
    <row r="23037">
      <c r="D23037" s="185"/>
      <c r="E23037" s="185" t="s">
        <v>470</v>
      </c>
      <c r="H23037" s="185"/>
    </row>
    <row r="23038">
      <c r="D23038" s="185"/>
      <c r="E23038" s="185" t="s">
        <v>470</v>
      </c>
      <c r="H23038" s="185"/>
    </row>
    <row r="23039">
      <c r="D23039" s="185"/>
      <c r="E23039" s="185" t="s">
        <v>470</v>
      </c>
      <c r="H23039" s="185"/>
    </row>
    <row r="23040">
      <c r="D23040" s="185"/>
      <c r="E23040" s="185" t="s">
        <v>470</v>
      </c>
      <c r="H23040" s="185"/>
    </row>
    <row r="23041">
      <c r="D23041" s="185"/>
      <c r="E23041" s="185" t="s">
        <v>470</v>
      </c>
      <c r="H23041" s="185"/>
    </row>
    <row r="23042">
      <c r="D23042" s="185"/>
      <c r="E23042" s="185" t="s">
        <v>470</v>
      </c>
      <c r="H23042" s="185"/>
    </row>
    <row r="23043">
      <c r="D23043" s="185"/>
      <c r="E23043" s="185" t="s">
        <v>470</v>
      </c>
      <c r="H23043" s="185"/>
    </row>
    <row r="23044">
      <c r="D23044" s="185"/>
      <c r="E23044" s="185" t="s">
        <v>470</v>
      </c>
      <c r="H23044" s="185"/>
    </row>
    <row r="23045">
      <c r="D23045" s="185"/>
      <c r="E23045" s="185" t="s">
        <v>470</v>
      </c>
      <c r="H23045" s="185"/>
    </row>
    <row r="23046">
      <c r="D23046" s="185"/>
      <c r="E23046" s="185" t="s">
        <v>470</v>
      </c>
      <c r="H23046" s="185"/>
    </row>
    <row r="23047">
      <c r="D23047" s="185"/>
      <c r="E23047" s="185" t="s">
        <v>470</v>
      </c>
      <c r="H23047" s="185"/>
    </row>
    <row r="23048">
      <c r="D23048" s="185"/>
      <c r="E23048" s="185" t="s">
        <v>470</v>
      </c>
      <c r="H23048" s="185"/>
    </row>
    <row r="23049">
      <c r="D23049" s="185"/>
      <c r="E23049" s="185" t="s">
        <v>470</v>
      </c>
      <c r="H23049" s="185"/>
    </row>
    <row r="23050">
      <c r="D23050" s="185"/>
      <c r="E23050" s="185" t="s">
        <v>470</v>
      </c>
      <c r="H23050" s="185"/>
    </row>
    <row r="23051">
      <c r="D23051" s="185"/>
      <c r="E23051" s="185" t="s">
        <v>470</v>
      </c>
      <c r="H23051" s="185"/>
    </row>
    <row r="23052">
      <c r="D23052" s="185"/>
      <c r="E23052" s="185" t="s">
        <v>470</v>
      </c>
      <c r="H23052" s="185"/>
    </row>
    <row r="23053">
      <c r="D23053" s="185"/>
      <c r="E23053" s="185" t="s">
        <v>470</v>
      </c>
      <c r="H23053" s="185"/>
    </row>
    <row r="23054">
      <c r="D23054" s="185"/>
      <c r="E23054" s="185" t="s">
        <v>470</v>
      </c>
      <c r="H23054" s="185"/>
    </row>
    <row r="23055">
      <c r="D23055" s="185"/>
      <c r="E23055" s="185" t="s">
        <v>470</v>
      </c>
      <c r="H23055" s="185"/>
    </row>
    <row r="23056">
      <c r="D23056" s="185"/>
      <c r="E23056" s="185" t="s">
        <v>470</v>
      </c>
      <c r="H23056" s="185"/>
    </row>
    <row r="23057">
      <c r="D23057" s="185"/>
      <c r="E23057" s="185" t="s">
        <v>470</v>
      </c>
      <c r="H23057" s="185"/>
    </row>
    <row r="23058">
      <c r="D23058" s="185"/>
      <c r="E23058" s="185" t="s">
        <v>470</v>
      </c>
      <c r="H23058" s="185"/>
    </row>
    <row r="23059">
      <c r="D23059" s="185"/>
      <c r="E23059" s="185" t="s">
        <v>470</v>
      </c>
      <c r="H23059" s="185"/>
    </row>
    <row r="23060">
      <c r="D23060" s="185"/>
      <c r="E23060" s="185" t="s">
        <v>470</v>
      </c>
      <c r="H23060" s="185"/>
    </row>
    <row r="23061">
      <c r="D23061" s="185"/>
      <c r="E23061" s="185" t="s">
        <v>470</v>
      </c>
      <c r="H23061" s="185"/>
    </row>
    <row r="23062">
      <c r="D23062" s="185"/>
      <c r="E23062" s="185" t="s">
        <v>470</v>
      </c>
      <c r="H23062" s="185"/>
    </row>
    <row r="23063">
      <c r="D23063" s="185"/>
      <c r="E23063" s="185" t="s">
        <v>470</v>
      </c>
      <c r="H23063" s="185"/>
    </row>
    <row r="23064">
      <c r="D23064" s="185"/>
      <c r="E23064" s="185" t="s">
        <v>470</v>
      </c>
      <c r="H23064" s="185"/>
    </row>
    <row r="23065">
      <c r="D23065" s="185"/>
      <c r="E23065" s="185" t="s">
        <v>470</v>
      </c>
      <c r="H23065" s="185"/>
    </row>
    <row r="23066">
      <c r="D23066" s="185"/>
      <c r="E23066" s="185" t="s">
        <v>470</v>
      </c>
      <c r="H23066" s="185"/>
    </row>
    <row r="23067">
      <c r="D23067" s="185"/>
      <c r="E23067" s="185" t="s">
        <v>470</v>
      </c>
      <c r="H23067" s="185"/>
    </row>
    <row r="23068">
      <c r="D23068" s="185"/>
      <c r="E23068" s="185" t="s">
        <v>470</v>
      </c>
      <c r="H23068" s="185"/>
    </row>
    <row r="23069">
      <c r="D23069" s="185"/>
      <c r="E23069" s="185" t="s">
        <v>470</v>
      </c>
      <c r="H23069" s="185"/>
    </row>
    <row r="23070">
      <c r="D23070" s="185"/>
      <c r="E23070" s="185" t="s">
        <v>470</v>
      </c>
      <c r="H23070" s="185"/>
    </row>
    <row r="23071">
      <c r="D23071" s="185"/>
      <c r="E23071" s="185" t="s">
        <v>470</v>
      </c>
      <c r="H23071" s="185"/>
    </row>
    <row r="23072">
      <c r="D23072" s="185"/>
      <c r="E23072" s="185" t="s">
        <v>470</v>
      </c>
      <c r="H23072" s="185"/>
    </row>
    <row r="23073">
      <c r="D23073" s="185"/>
      <c r="E23073" s="185" t="s">
        <v>470</v>
      </c>
      <c r="H23073" s="185"/>
    </row>
    <row r="23074">
      <c r="D23074" s="185"/>
      <c r="E23074" s="185" t="s">
        <v>470</v>
      </c>
      <c r="H23074" s="185"/>
    </row>
    <row r="23075">
      <c r="D23075" s="185"/>
      <c r="E23075" s="185" t="s">
        <v>470</v>
      </c>
      <c r="H23075" s="185"/>
    </row>
    <row r="23076">
      <c r="D23076" s="185"/>
      <c r="E23076" s="185" t="s">
        <v>470</v>
      </c>
      <c r="H23076" s="185"/>
    </row>
    <row r="23077">
      <c r="D23077" s="185"/>
      <c r="E23077" s="185" t="s">
        <v>470</v>
      </c>
      <c r="H23077" s="185"/>
    </row>
    <row r="23078">
      <c r="D23078" s="185"/>
      <c r="E23078" s="185" t="s">
        <v>470</v>
      </c>
      <c r="H23078" s="185"/>
    </row>
    <row r="23079">
      <c r="D23079" s="185"/>
      <c r="E23079" s="185" t="s">
        <v>470</v>
      </c>
      <c r="H23079" s="185"/>
    </row>
    <row r="23080">
      <c r="D23080" s="185"/>
      <c r="E23080" s="185" t="s">
        <v>470</v>
      </c>
      <c r="H23080" s="185"/>
    </row>
    <row r="23081">
      <c r="D23081" s="185"/>
      <c r="E23081" s="185" t="s">
        <v>470</v>
      </c>
      <c r="H23081" s="185"/>
    </row>
    <row r="23082">
      <c r="D23082" s="185"/>
      <c r="E23082" s="185" t="s">
        <v>470</v>
      </c>
      <c r="H23082" s="185"/>
    </row>
    <row r="23083">
      <c r="D23083" s="185"/>
      <c r="E23083" s="185" t="s">
        <v>470</v>
      </c>
      <c r="H23083" s="185"/>
    </row>
    <row r="23084">
      <c r="D23084" s="185"/>
      <c r="E23084" s="185" t="s">
        <v>470</v>
      </c>
      <c r="H23084" s="185"/>
    </row>
    <row r="23085">
      <c r="D23085" s="185"/>
      <c r="E23085" s="185" t="s">
        <v>470</v>
      </c>
      <c r="H23085" s="185"/>
    </row>
    <row r="23086">
      <c r="D23086" s="185"/>
      <c r="E23086" s="185" t="s">
        <v>470</v>
      </c>
      <c r="H23086" s="185"/>
    </row>
    <row r="23087">
      <c r="D23087" s="185"/>
      <c r="E23087" s="185" t="s">
        <v>470</v>
      </c>
      <c r="H23087" s="185"/>
    </row>
    <row r="23088">
      <c r="D23088" s="185"/>
      <c r="E23088" s="185" t="s">
        <v>470</v>
      </c>
      <c r="H23088" s="185"/>
    </row>
    <row r="23089">
      <c r="D23089" s="185"/>
      <c r="E23089" s="185" t="s">
        <v>470</v>
      </c>
      <c r="H23089" s="185"/>
    </row>
    <row r="23090">
      <c r="D23090" s="185"/>
      <c r="E23090" s="185" t="s">
        <v>470</v>
      </c>
      <c r="H23090" s="185"/>
    </row>
    <row r="23091">
      <c r="D23091" s="185"/>
      <c r="E23091" s="185" t="s">
        <v>470</v>
      </c>
      <c r="H23091" s="185"/>
    </row>
    <row r="23092">
      <c r="D23092" s="185"/>
      <c r="E23092" s="185" t="s">
        <v>470</v>
      </c>
      <c r="H23092" s="185"/>
    </row>
    <row r="23093">
      <c r="D23093" s="185"/>
      <c r="E23093" s="185" t="s">
        <v>470</v>
      </c>
      <c r="H23093" s="185"/>
    </row>
    <row r="23094">
      <c r="D23094" s="185"/>
      <c r="E23094" s="185" t="s">
        <v>470</v>
      </c>
      <c r="H23094" s="185"/>
    </row>
    <row r="23095">
      <c r="D23095" s="185"/>
      <c r="E23095" s="185" t="s">
        <v>470</v>
      </c>
      <c r="H23095" s="185"/>
    </row>
    <row r="23096">
      <c r="D23096" s="185"/>
      <c r="E23096" s="185" t="s">
        <v>470</v>
      </c>
      <c r="H23096" s="185"/>
    </row>
    <row r="23097">
      <c r="D23097" s="185"/>
      <c r="E23097" s="185" t="s">
        <v>470</v>
      </c>
      <c r="H23097" s="185"/>
    </row>
    <row r="23098">
      <c r="D23098" s="185"/>
      <c r="E23098" s="185" t="s">
        <v>470</v>
      </c>
      <c r="H23098" s="185"/>
    </row>
    <row r="23099">
      <c r="D23099" s="185"/>
      <c r="E23099" s="185" t="s">
        <v>470</v>
      </c>
      <c r="H23099" s="185"/>
    </row>
    <row r="23100">
      <c r="D23100" s="185"/>
      <c r="E23100" s="185" t="s">
        <v>470</v>
      </c>
      <c r="H23100" s="185"/>
    </row>
    <row r="23101">
      <c r="D23101" s="185"/>
      <c r="E23101" s="185" t="s">
        <v>470</v>
      </c>
      <c r="H23101" s="185"/>
    </row>
    <row r="23102">
      <c r="D23102" s="185"/>
      <c r="E23102" s="185" t="s">
        <v>470</v>
      </c>
      <c r="H23102" s="185"/>
    </row>
    <row r="23103">
      <c r="D23103" s="185"/>
      <c r="E23103" s="185" t="s">
        <v>470</v>
      </c>
      <c r="H23103" s="185"/>
    </row>
    <row r="23104">
      <c r="D23104" s="185"/>
      <c r="E23104" s="185" t="s">
        <v>470</v>
      </c>
      <c r="H23104" s="185"/>
    </row>
    <row r="23105">
      <c r="D23105" s="185"/>
      <c r="E23105" s="185" t="s">
        <v>470</v>
      </c>
      <c r="H23105" s="185"/>
    </row>
    <row r="23106">
      <c r="D23106" s="185"/>
      <c r="E23106" s="185" t="s">
        <v>470</v>
      </c>
      <c r="H23106" s="185"/>
    </row>
    <row r="23107">
      <c r="D23107" s="185"/>
      <c r="E23107" s="185" t="s">
        <v>470</v>
      </c>
      <c r="H23107" s="185"/>
    </row>
    <row r="23108">
      <c r="D23108" s="185"/>
      <c r="E23108" s="185" t="s">
        <v>470</v>
      </c>
      <c r="H23108" s="185"/>
    </row>
    <row r="23109">
      <c r="D23109" s="185"/>
      <c r="E23109" s="185" t="s">
        <v>470</v>
      </c>
      <c r="H23109" s="185"/>
    </row>
    <row r="23110">
      <c r="D23110" s="185"/>
      <c r="E23110" s="185" t="s">
        <v>470</v>
      </c>
      <c r="H23110" s="185"/>
    </row>
    <row r="23111">
      <c r="D23111" s="185"/>
      <c r="E23111" s="185" t="s">
        <v>470</v>
      </c>
      <c r="H23111" s="185"/>
    </row>
    <row r="23112">
      <c r="D23112" s="185"/>
      <c r="E23112" s="185" t="s">
        <v>470</v>
      </c>
      <c r="H23112" s="185"/>
    </row>
    <row r="23113">
      <c r="D23113" s="185"/>
      <c r="E23113" s="185" t="s">
        <v>470</v>
      </c>
      <c r="H23113" s="185"/>
    </row>
    <row r="23114">
      <c r="D23114" s="185"/>
      <c r="E23114" s="185" t="s">
        <v>470</v>
      </c>
      <c r="H23114" s="185"/>
    </row>
    <row r="23115">
      <c r="D23115" s="185"/>
      <c r="E23115" s="185" t="s">
        <v>470</v>
      </c>
      <c r="H23115" s="185"/>
    </row>
    <row r="23116">
      <c r="D23116" s="185"/>
      <c r="E23116" s="185" t="s">
        <v>470</v>
      </c>
      <c r="H23116" s="185"/>
    </row>
    <row r="23117">
      <c r="D23117" s="185"/>
      <c r="E23117" s="185" t="s">
        <v>470</v>
      </c>
      <c r="H23117" s="185"/>
    </row>
    <row r="23118">
      <c r="D23118" s="185"/>
      <c r="E23118" s="185" t="s">
        <v>470</v>
      </c>
      <c r="H23118" s="185"/>
    </row>
    <row r="23119">
      <c r="D23119" s="185"/>
      <c r="E23119" s="185" t="s">
        <v>470</v>
      </c>
      <c r="H23119" s="185"/>
    </row>
    <row r="23120">
      <c r="D23120" s="185"/>
      <c r="E23120" s="185" t="s">
        <v>470</v>
      </c>
      <c r="H23120" s="185"/>
    </row>
    <row r="23121">
      <c r="D23121" s="185"/>
      <c r="E23121" s="185" t="s">
        <v>470</v>
      </c>
      <c r="H23121" s="185"/>
    </row>
    <row r="23122">
      <c r="D23122" s="185"/>
      <c r="E23122" s="185" t="s">
        <v>470</v>
      </c>
      <c r="H23122" s="185"/>
    </row>
    <row r="23123">
      <c r="D23123" s="185"/>
      <c r="E23123" s="185" t="s">
        <v>470</v>
      </c>
      <c r="H23123" s="185"/>
    </row>
    <row r="23124">
      <c r="D23124" s="185"/>
      <c r="E23124" s="185" t="s">
        <v>470</v>
      </c>
      <c r="H23124" s="185"/>
    </row>
    <row r="23125">
      <c r="D23125" s="185"/>
      <c r="E23125" s="185" t="s">
        <v>470</v>
      </c>
      <c r="H23125" s="185"/>
    </row>
    <row r="23126">
      <c r="D23126" s="185"/>
      <c r="E23126" s="185" t="s">
        <v>470</v>
      </c>
      <c r="H23126" s="185"/>
    </row>
    <row r="23127">
      <c r="D23127" s="185"/>
      <c r="E23127" s="185" t="s">
        <v>470</v>
      </c>
      <c r="H23127" s="185"/>
    </row>
    <row r="23128">
      <c r="D23128" s="185"/>
      <c r="E23128" s="185" t="s">
        <v>470</v>
      </c>
      <c r="H23128" s="185"/>
    </row>
    <row r="23129">
      <c r="D23129" s="185"/>
      <c r="E23129" s="185" t="s">
        <v>470</v>
      </c>
      <c r="H23129" s="185"/>
    </row>
    <row r="23130">
      <c r="D23130" s="185"/>
      <c r="E23130" s="185" t="s">
        <v>470</v>
      </c>
      <c r="H23130" s="185"/>
    </row>
    <row r="23131">
      <c r="D23131" s="185"/>
      <c r="E23131" s="185" t="s">
        <v>470</v>
      </c>
      <c r="H23131" s="185"/>
    </row>
    <row r="23132">
      <c r="D23132" s="185"/>
      <c r="E23132" s="185" t="s">
        <v>470</v>
      </c>
      <c r="H23132" s="185"/>
    </row>
    <row r="23133">
      <c r="D23133" s="185"/>
      <c r="E23133" s="185" t="s">
        <v>470</v>
      </c>
      <c r="H23133" s="185"/>
    </row>
    <row r="23134">
      <c r="D23134" s="185"/>
      <c r="E23134" s="185" t="s">
        <v>470</v>
      </c>
      <c r="H23134" s="185"/>
    </row>
    <row r="23135">
      <c r="D23135" s="185"/>
      <c r="E23135" s="185" t="s">
        <v>470</v>
      </c>
      <c r="H23135" s="185"/>
    </row>
    <row r="23136">
      <c r="D23136" s="185"/>
      <c r="E23136" s="185" t="s">
        <v>470</v>
      </c>
      <c r="H23136" s="185"/>
    </row>
    <row r="23137">
      <c r="D23137" s="185"/>
      <c r="E23137" s="185" t="s">
        <v>470</v>
      </c>
      <c r="H23137" s="185"/>
    </row>
    <row r="23138">
      <c r="D23138" s="185"/>
      <c r="E23138" s="185" t="s">
        <v>470</v>
      </c>
      <c r="H23138" s="185"/>
    </row>
    <row r="23139">
      <c r="D23139" s="185"/>
      <c r="E23139" s="185" t="s">
        <v>470</v>
      </c>
      <c r="H23139" s="185"/>
    </row>
    <row r="23140">
      <c r="D23140" s="185"/>
      <c r="E23140" s="185" t="s">
        <v>470</v>
      </c>
      <c r="H23140" s="185"/>
    </row>
    <row r="23141">
      <c r="D23141" s="185"/>
      <c r="E23141" s="185" t="s">
        <v>470</v>
      </c>
      <c r="H23141" s="185"/>
    </row>
    <row r="23142">
      <c r="D23142" s="185"/>
      <c r="E23142" s="185" t="s">
        <v>470</v>
      </c>
      <c r="H23142" s="185"/>
    </row>
    <row r="23143">
      <c r="D23143" s="185"/>
      <c r="E23143" s="185" t="s">
        <v>470</v>
      </c>
      <c r="H23143" s="185"/>
    </row>
    <row r="23144">
      <c r="D23144" s="185"/>
      <c r="E23144" s="185" t="s">
        <v>470</v>
      </c>
      <c r="H23144" s="185"/>
    </row>
    <row r="23145">
      <c r="D23145" s="185"/>
      <c r="E23145" s="185" t="s">
        <v>470</v>
      </c>
      <c r="H23145" s="185"/>
    </row>
    <row r="23146">
      <c r="D23146" s="185"/>
      <c r="E23146" s="185" t="s">
        <v>470</v>
      </c>
      <c r="H23146" s="185"/>
    </row>
    <row r="23147">
      <c r="D23147" s="185"/>
      <c r="E23147" s="185" t="s">
        <v>470</v>
      </c>
      <c r="H23147" s="185"/>
    </row>
    <row r="23148">
      <c r="D23148" s="185"/>
      <c r="E23148" s="185" t="s">
        <v>470</v>
      </c>
      <c r="H23148" s="185"/>
    </row>
    <row r="23149">
      <c r="D23149" s="185"/>
      <c r="E23149" s="185" t="s">
        <v>470</v>
      </c>
      <c r="H23149" s="185"/>
    </row>
    <row r="23150">
      <c r="D23150" s="185"/>
      <c r="E23150" s="185" t="s">
        <v>470</v>
      </c>
      <c r="H23150" s="185"/>
    </row>
    <row r="23151">
      <c r="D23151" s="185"/>
      <c r="E23151" s="185" t="s">
        <v>470</v>
      </c>
      <c r="H23151" s="185"/>
    </row>
    <row r="23152">
      <c r="D23152" s="185"/>
      <c r="E23152" s="185" t="s">
        <v>470</v>
      </c>
      <c r="H23152" s="185"/>
    </row>
    <row r="23153">
      <c r="D23153" s="185"/>
      <c r="E23153" s="185" t="s">
        <v>470</v>
      </c>
      <c r="H23153" s="185"/>
    </row>
    <row r="23154">
      <c r="D23154" s="185"/>
      <c r="E23154" s="185" t="s">
        <v>470</v>
      </c>
      <c r="H23154" s="185"/>
    </row>
    <row r="23155">
      <c r="D23155" s="185"/>
      <c r="E23155" s="185" t="s">
        <v>470</v>
      </c>
      <c r="H23155" s="185"/>
    </row>
    <row r="23156">
      <c r="D23156" s="185"/>
      <c r="E23156" s="185" t="s">
        <v>470</v>
      </c>
      <c r="H23156" s="185"/>
    </row>
    <row r="23157">
      <c r="D23157" s="185"/>
      <c r="E23157" s="185" t="s">
        <v>470</v>
      </c>
      <c r="H23157" s="185"/>
    </row>
    <row r="23158">
      <c r="D23158" s="185"/>
      <c r="E23158" s="185" t="s">
        <v>470</v>
      </c>
      <c r="H23158" s="185"/>
    </row>
    <row r="23159">
      <c r="D23159" s="185"/>
      <c r="E23159" s="185" t="s">
        <v>470</v>
      </c>
      <c r="H23159" s="185"/>
    </row>
    <row r="23160">
      <c r="D23160" s="185"/>
      <c r="E23160" s="185" t="s">
        <v>470</v>
      </c>
      <c r="H23160" s="185"/>
    </row>
    <row r="23161">
      <c r="D23161" s="185"/>
      <c r="E23161" s="185" t="s">
        <v>470</v>
      </c>
      <c r="H23161" s="185"/>
    </row>
    <row r="23162">
      <c r="D23162" s="185"/>
      <c r="E23162" s="185" t="s">
        <v>470</v>
      </c>
      <c r="H23162" s="185"/>
    </row>
    <row r="23163">
      <c r="D23163" s="185"/>
      <c r="E23163" s="185" t="s">
        <v>470</v>
      </c>
      <c r="H23163" s="185"/>
    </row>
    <row r="23164">
      <c r="D23164" s="185"/>
      <c r="E23164" s="185" t="s">
        <v>470</v>
      </c>
      <c r="H23164" s="185"/>
    </row>
    <row r="23165">
      <c r="D23165" s="185"/>
      <c r="E23165" s="185" t="s">
        <v>470</v>
      </c>
      <c r="H23165" s="185"/>
    </row>
    <row r="23166">
      <c r="D23166" s="185"/>
      <c r="E23166" s="185" t="s">
        <v>470</v>
      </c>
      <c r="H23166" s="185"/>
    </row>
    <row r="23167">
      <c r="D23167" s="185"/>
      <c r="E23167" s="185" t="s">
        <v>470</v>
      </c>
      <c r="H23167" s="185"/>
    </row>
    <row r="23168">
      <c r="D23168" s="185"/>
      <c r="E23168" s="185" t="s">
        <v>470</v>
      </c>
      <c r="H23168" s="185"/>
    </row>
    <row r="23169">
      <c r="D23169" s="185"/>
      <c r="E23169" s="185" t="s">
        <v>470</v>
      </c>
      <c r="H23169" s="185"/>
    </row>
    <row r="23170">
      <c r="D23170" s="185"/>
      <c r="E23170" s="185" t="s">
        <v>470</v>
      </c>
      <c r="H23170" s="185"/>
    </row>
    <row r="23171">
      <c r="D23171" s="185"/>
      <c r="E23171" s="185" t="s">
        <v>470</v>
      </c>
      <c r="H23171" s="185"/>
    </row>
    <row r="23172">
      <c r="D23172" s="185"/>
      <c r="E23172" s="185" t="s">
        <v>470</v>
      </c>
      <c r="H23172" s="185"/>
    </row>
    <row r="23173">
      <c r="D23173" s="185"/>
      <c r="E23173" s="185" t="s">
        <v>470</v>
      </c>
      <c r="H23173" s="185"/>
    </row>
    <row r="23174">
      <c r="D23174" s="185"/>
      <c r="E23174" s="185" t="s">
        <v>470</v>
      </c>
      <c r="H23174" s="185"/>
    </row>
    <row r="23175">
      <c r="D23175" s="185"/>
      <c r="E23175" s="185" t="s">
        <v>470</v>
      </c>
      <c r="H23175" s="185"/>
    </row>
    <row r="23176">
      <c r="D23176" s="185"/>
      <c r="E23176" s="185" t="s">
        <v>470</v>
      </c>
      <c r="H23176" s="185"/>
    </row>
    <row r="23177">
      <c r="D23177" s="185"/>
      <c r="E23177" s="185" t="s">
        <v>470</v>
      </c>
      <c r="H23177" s="185"/>
    </row>
    <row r="23178">
      <c r="D23178" s="185"/>
      <c r="E23178" s="185" t="s">
        <v>470</v>
      </c>
      <c r="H23178" s="185"/>
    </row>
    <row r="23179">
      <c r="D23179" s="185"/>
      <c r="E23179" s="185" t="s">
        <v>470</v>
      </c>
      <c r="H23179" s="185"/>
    </row>
    <row r="23180">
      <c r="D23180" s="185"/>
      <c r="E23180" s="185" t="s">
        <v>470</v>
      </c>
      <c r="H23180" s="185"/>
    </row>
    <row r="23181">
      <c r="D23181" s="185"/>
      <c r="E23181" s="185" t="s">
        <v>470</v>
      </c>
      <c r="H23181" s="185"/>
    </row>
    <row r="23182">
      <c r="D23182" s="185"/>
      <c r="E23182" s="185" t="s">
        <v>470</v>
      </c>
      <c r="H23182" s="185"/>
    </row>
    <row r="23183">
      <c r="D23183" s="185"/>
      <c r="E23183" s="185" t="s">
        <v>470</v>
      </c>
      <c r="H23183" s="185"/>
    </row>
    <row r="23184">
      <c r="D23184" s="185"/>
      <c r="E23184" s="185" t="s">
        <v>470</v>
      </c>
      <c r="H23184" s="185"/>
    </row>
    <row r="23185">
      <c r="D23185" s="185"/>
      <c r="E23185" s="185" t="s">
        <v>470</v>
      </c>
      <c r="H23185" s="185"/>
    </row>
    <row r="23186">
      <c r="D23186" s="185"/>
      <c r="E23186" s="185" t="s">
        <v>470</v>
      </c>
      <c r="H23186" s="185"/>
    </row>
    <row r="23187">
      <c r="D23187" s="185"/>
      <c r="E23187" s="185" t="s">
        <v>470</v>
      </c>
      <c r="H23187" s="185"/>
    </row>
    <row r="23188">
      <c r="D23188" s="185"/>
      <c r="E23188" s="185" t="s">
        <v>470</v>
      </c>
      <c r="H23188" s="185"/>
    </row>
    <row r="23189">
      <c r="D23189" s="185"/>
      <c r="E23189" s="185" t="s">
        <v>470</v>
      </c>
      <c r="H23189" s="185"/>
    </row>
    <row r="23190">
      <c r="D23190" s="185"/>
      <c r="E23190" s="185" t="s">
        <v>470</v>
      </c>
      <c r="H23190" s="185"/>
    </row>
    <row r="23191">
      <c r="D23191" s="185"/>
      <c r="E23191" s="185" t="s">
        <v>470</v>
      </c>
      <c r="H23191" s="185"/>
    </row>
    <row r="23192">
      <c r="D23192" s="185"/>
      <c r="E23192" s="185" t="s">
        <v>470</v>
      </c>
      <c r="H23192" s="185"/>
    </row>
    <row r="23193">
      <c r="D23193" s="185"/>
      <c r="E23193" s="185" t="s">
        <v>470</v>
      </c>
      <c r="H23193" s="185"/>
    </row>
    <row r="23194">
      <c r="D23194" s="185"/>
      <c r="E23194" s="185" t="s">
        <v>470</v>
      </c>
      <c r="H23194" s="185"/>
    </row>
    <row r="23195">
      <c r="D23195" s="185"/>
      <c r="E23195" s="185" t="s">
        <v>470</v>
      </c>
      <c r="H23195" s="185"/>
    </row>
    <row r="23196">
      <c r="D23196" s="185"/>
      <c r="E23196" s="185" t="s">
        <v>470</v>
      </c>
      <c r="H23196" s="185"/>
    </row>
    <row r="23197">
      <c r="D23197" s="185"/>
      <c r="E23197" s="185" t="s">
        <v>470</v>
      </c>
      <c r="H23197" s="185"/>
    </row>
    <row r="23198">
      <c r="D23198" s="185"/>
      <c r="E23198" s="185" t="s">
        <v>470</v>
      </c>
      <c r="H23198" s="185"/>
    </row>
    <row r="23199">
      <c r="D23199" s="185"/>
      <c r="E23199" s="185" t="s">
        <v>470</v>
      </c>
      <c r="H23199" s="185"/>
    </row>
    <row r="23200">
      <c r="D23200" s="185"/>
      <c r="E23200" s="185" t="s">
        <v>470</v>
      </c>
      <c r="H23200" s="185"/>
    </row>
    <row r="23201">
      <c r="D23201" s="185"/>
      <c r="E23201" s="185" t="s">
        <v>470</v>
      </c>
      <c r="H23201" s="185"/>
    </row>
    <row r="23202">
      <c r="D23202" s="185"/>
      <c r="E23202" s="185" t="s">
        <v>470</v>
      </c>
      <c r="H23202" s="185"/>
    </row>
    <row r="23203">
      <c r="D23203" s="185"/>
      <c r="E23203" s="185" t="s">
        <v>470</v>
      </c>
      <c r="H23203" s="185"/>
    </row>
    <row r="23204">
      <c r="D23204" s="185"/>
      <c r="E23204" s="185" t="s">
        <v>470</v>
      </c>
      <c r="H23204" s="185"/>
    </row>
    <row r="23205">
      <c r="D23205" s="185"/>
      <c r="E23205" s="185" t="s">
        <v>470</v>
      </c>
      <c r="H23205" s="185"/>
    </row>
    <row r="23206">
      <c r="D23206" s="185"/>
      <c r="E23206" s="185" t="s">
        <v>470</v>
      </c>
      <c r="H23206" s="185"/>
    </row>
    <row r="23207">
      <c r="D23207" s="185"/>
      <c r="E23207" s="185" t="s">
        <v>470</v>
      </c>
      <c r="H23207" s="185"/>
    </row>
    <row r="23208">
      <c r="D23208" s="185"/>
      <c r="E23208" s="185" t="s">
        <v>470</v>
      </c>
      <c r="H23208" s="185"/>
    </row>
    <row r="23209">
      <c r="D23209" s="185"/>
      <c r="E23209" s="185" t="s">
        <v>470</v>
      </c>
      <c r="H23209" s="185"/>
    </row>
    <row r="23210">
      <c r="D23210" s="185"/>
      <c r="E23210" s="185" t="s">
        <v>470</v>
      </c>
      <c r="H23210" s="185"/>
    </row>
    <row r="23211">
      <c r="D23211" s="185"/>
      <c r="E23211" s="185" t="s">
        <v>470</v>
      </c>
      <c r="H23211" s="185"/>
    </row>
    <row r="23212">
      <c r="D23212" s="185"/>
      <c r="E23212" s="185" t="s">
        <v>470</v>
      </c>
      <c r="H23212" s="185"/>
    </row>
    <row r="23213">
      <c r="D23213" s="185"/>
      <c r="E23213" s="185" t="s">
        <v>470</v>
      </c>
      <c r="H23213" s="185"/>
    </row>
    <row r="23214">
      <c r="D23214" s="185"/>
      <c r="E23214" s="185" t="s">
        <v>470</v>
      </c>
      <c r="H23214" s="185"/>
    </row>
    <row r="23215">
      <c r="D23215" s="185"/>
      <c r="E23215" s="185" t="s">
        <v>470</v>
      </c>
      <c r="H23215" s="185"/>
    </row>
    <row r="23216">
      <c r="D23216" s="185"/>
      <c r="E23216" s="185" t="s">
        <v>470</v>
      </c>
      <c r="H23216" s="185"/>
    </row>
    <row r="23217">
      <c r="D23217" s="185"/>
      <c r="E23217" s="185" t="s">
        <v>470</v>
      </c>
      <c r="H23217" s="185"/>
    </row>
    <row r="23218">
      <c r="D23218" s="185"/>
      <c r="E23218" s="185" t="s">
        <v>470</v>
      </c>
      <c r="H23218" s="185"/>
    </row>
    <row r="23219">
      <c r="D23219" s="185"/>
      <c r="E23219" s="185" t="s">
        <v>470</v>
      </c>
      <c r="H23219" s="185"/>
    </row>
    <row r="23220">
      <c r="D23220" s="185"/>
      <c r="E23220" s="185" t="s">
        <v>470</v>
      </c>
      <c r="H23220" s="185"/>
    </row>
    <row r="23221">
      <c r="D23221" s="185"/>
      <c r="E23221" s="185" t="s">
        <v>470</v>
      </c>
      <c r="H23221" s="185"/>
    </row>
    <row r="23222">
      <c r="D23222" s="185"/>
      <c r="E23222" s="185" t="s">
        <v>470</v>
      </c>
      <c r="H23222" s="185"/>
    </row>
    <row r="23223">
      <c r="D23223" s="185"/>
      <c r="E23223" s="185" t="s">
        <v>470</v>
      </c>
      <c r="H23223" s="185"/>
    </row>
    <row r="23224">
      <c r="D23224" s="185"/>
      <c r="E23224" s="185" t="s">
        <v>470</v>
      </c>
      <c r="H23224" s="185"/>
    </row>
    <row r="23225">
      <c r="D23225" s="185"/>
      <c r="E23225" s="185" t="s">
        <v>470</v>
      </c>
      <c r="H23225" s="185"/>
    </row>
    <row r="23226">
      <c r="D23226" s="185"/>
      <c r="E23226" s="185" t="s">
        <v>470</v>
      </c>
      <c r="H23226" s="185"/>
    </row>
    <row r="23227">
      <c r="D23227" s="185"/>
      <c r="E23227" s="185" t="s">
        <v>470</v>
      </c>
      <c r="H23227" s="185"/>
    </row>
    <row r="23228">
      <c r="D23228" s="185"/>
      <c r="E23228" s="185" t="s">
        <v>470</v>
      </c>
      <c r="H23228" s="185"/>
    </row>
    <row r="23229">
      <c r="D23229" s="185"/>
      <c r="E23229" s="185" t="s">
        <v>470</v>
      </c>
      <c r="H23229" s="185"/>
    </row>
    <row r="23230">
      <c r="D23230" s="185"/>
      <c r="E23230" s="185" t="s">
        <v>470</v>
      </c>
      <c r="H23230" s="185"/>
    </row>
    <row r="23231">
      <c r="D23231" s="185"/>
      <c r="E23231" s="185" t="s">
        <v>470</v>
      </c>
      <c r="H23231" s="185"/>
    </row>
    <row r="23232">
      <c r="D23232" s="185"/>
      <c r="E23232" s="185" t="s">
        <v>470</v>
      </c>
      <c r="H23232" s="185"/>
    </row>
    <row r="23233">
      <c r="D23233" s="185"/>
      <c r="E23233" s="185" t="s">
        <v>470</v>
      </c>
      <c r="H23233" s="185"/>
    </row>
    <row r="23234">
      <c r="D23234" s="185"/>
      <c r="E23234" s="185" t="s">
        <v>470</v>
      </c>
      <c r="H23234" s="185"/>
    </row>
    <row r="23235">
      <c r="D23235" s="185"/>
      <c r="E23235" s="185" t="s">
        <v>470</v>
      </c>
      <c r="H23235" s="185"/>
    </row>
    <row r="23236">
      <c r="D23236" s="185"/>
      <c r="E23236" s="185" t="s">
        <v>470</v>
      </c>
      <c r="H23236" s="185"/>
    </row>
    <row r="23237">
      <c r="D23237" s="185"/>
      <c r="E23237" s="185" t="s">
        <v>470</v>
      </c>
      <c r="H23237" s="185"/>
    </row>
    <row r="23238">
      <c r="D23238" s="185"/>
      <c r="E23238" s="185" t="s">
        <v>470</v>
      </c>
      <c r="H23238" s="185"/>
    </row>
    <row r="23239">
      <c r="D23239" s="185"/>
      <c r="E23239" s="185" t="s">
        <v>470</v>
      </c>
      <c r="H23239" s="185"/>
    </row>
    <row r="23240">
      <c r="D23240" s="185"/>
      <c r="E23240" s="185" t="s">
        <v>470</v>
      </c>
      <c r="H23240" s="185"/>
    </row>
    <row r="23241">
      <c r="D23241" s="185"/>
      <c r="E23241" s="185" t="s">
        <v>470</v>
      </c>
      <c r="H23241" s="185"/>
    </row>
    <row r="23242">
      <c r="D23242" s="185"/>
      <c r="E23242" s="185" t="s">
        <v>470</v>
      </c>
      <c r="H23242" s="185"/>
    </row>
    <row r="23243">
      <c r="D23243" s="185"/>
      <c r="E23243" s="185" t="s">
        <v>470</v>
      </c>
      <c r="H23243" s="185"/>
    </row>
    <row r="23244">
      <c r="D23244" s="185"/>
      <c r="E23244" s="185" t="s">
        <v>470</v>
      </c>
      <c r="H23244" s="185"/>
    </row>
    <row r="23245">
      <c r="D23245" s="185"/>
      <c r="E23245" s="185" t="s">
        <v>470</v>
      </c>
      <c r="H23245" s="185"/>
    </row>
    <row r="23246">
      <c r="D23246" s="185"/>
      <c r="E23246" s="185" t="s">
        <v>470</v>
      </c>
      <c r="H23246" s="185"/>
    </row>
    <row r="23247">
      <c r="D23247" s="185"/>
      <c r="E23247" s="185" t="s">
        <v>470</v>
      </c>
      <c r="H23247" s="185"/>
    </row>
    <row r="23248">
      <c r="D23248" s="185"/>
      <c r="E23248" s="185" t="s">
        <v>470</v>
      </c>
      <c r="H23248" s="185"/>
    </row>
    <row r="23249">
      <c r="D23249" s="185"/>
      <c r="E23249" s="185" t="s">
        <v>470</v>
      </c>
      <c r="H23249" s="185"/>
    </row>
    <row r="23250">
      <c r="D23250" s="185"/>
      <c r="E23250" s="185" t="s">
        <v>470</v>
      </c>
      <c r="H23250" s="185"/>
    </row>
    <row r="23251">
      <c r="D23251" s="185"/>
      <c r="E23251" s="185" t="s">
        <v>470</v>
      </c>
      <c r="H23251" s="185"/>
    </row>
    <row r="23252">
      <c r="D23252" s="185"/>
      <c r="E23252" s="185" t="s">
        <v>470</v>
      </c>
      <c r="H23252" s="185"/>
    </row>
    <row r="23253">
      <c r="D23253" s="185"/>
      <c r="E23253" s="185" t="s">
        <v>470</v>
      </c>
      <c r="H23253" s="185"/>
    </row>
    <row r="23254">
      <c r="D23254" s="185"/>
      <c r="E23254" s="185" t="s">
        <v>470</v>
      </c>
      <c r="H23254" s="185"/>
    </row>
    <row r="23255">
      <c r="D23255" s="185"/>
      <c r="E23255" s="185" t="s">
        <v>470</v>
      </c>
      <c r="H23255" s="185"/>
    </row>
    <row r="23256">
      <c r="D23256" s="185"/>
      <c r="E23256" s="185" t="s">
        <v>470</v>
      </c>
      <c r="H23256" s="185"/>
    </row>
    <row r="23257">
      <c r="D23257" s="185"/>
      <c r="E23257" s="185" t="s">
        <v>470</v>
      </c>
      <c r="H23257" s="185"/>
    </row>
    <row r="23258">
      <c r="D23258" s="185"/>
      <c r="E23258" s="185" t="s">
        <v>470</v>
      </c>
      <c r="H23258" s="185"/>
    </row>
    <row r="23259">
      <c r="D23259" s="185"/>
      <c r="E23259" s="185" t="s">
        <v>470</v>
      </c>
      <c r="H23259" s="185"/>
    </row>
    <row r="23260">
      <c r="D23260" s="185"/>
      <c r="E23260" s="185" t="s">
        <v>470</v>
      </c>
      <c r="H23260" s="185"/>
    </row>
    <row r="23261">
      <c r="D23261" s="185"/>
      <c r="E23261" s="185" t="s">
        <v>470</v>
      </c>
      <c r="H23261" s="185"/>
    </row>
    <row r="23262">
      <c r="D23262" s="185"/>
      <c r="E23262" s="185" t="s">
        <v>470</v>
      </c>
      <c r="H23262" s="185"/>
    </row>
    <row r="23263">
      <c r="D23263" s="185"/>
      <c r="E23263" s="185" t="s">
        <v>470</v>
      </c>
      <c r="H23263" s="185"/>
    </row>
    <row r="23264">
      <c r="D23264" s="185"/>
      <c r="E23264" s="185" t="s">
        <v>470</v>
      </c>
      <c r="H23264" s="185"/>
    </row>
    <row r="23265">
      <c r="D23265" s="185"/>
      <c r="E23265" s="185" t="s">
        <v>470</v>
      </c>
      <c r="H23265" s="185"/>
    </row>
    <row r="23266">
      <c r="D23266" s="185"/>
      <c r="E23266" s="185" t="s">
        <v>470</v>
      </c>
      <c r="H23266" s="185"/>
    </row>
    <row r="23267">
      <c r="D23267" s="185"/>
      <c r="E23267" s="185" t="s">
        <v>470</v>
      </c>
      <c r="H23267" s="185"/>
    </row>
    <row r="23268">
      <c r="D23268" s="185"/>
      <c r="E23268" s="185" t="s">
        <v>470</v>
      </c>
      <c r="H23268" s="185"/>
    </row>
    <row r="23269">
      <c r="D23269" s="185"/>
      <c r="E23269" s="185" t="s">
        <v>470</v>
      </c>
      <c r="H23269" s="185"/>
    </row>
    <row r="23270">
      <c r="D23270" s="185"/>
      <c r="E23270" s="185" t="s">
        <v>470</v>
      </c>
      <c r="H23270" s="185"/>
    </row>
    <row r="23271">
      <c r="D23271" s="185"/>
      <c r="E23271" s="185" t="s">
        <v>470</v>
      </c>
      <c r="H23271" s="185"/>
    </row>
    <row r="23272">
      <c r="D23272" s="185"/>
      <c r="E23272" s="185" t="s">
        <v>470</v>
      </c>
      <c r="H23272" s="185"/>
    </row>
    <row r="23273">
      <c r="D23273" s="185"/>
      <c r="E23273" s="185" t="s">
        <v>470</v>
      </c>
      <c r="H23273" s="185"/>
    </row>
    <row r="23274">
      <c r="D23274" s="185"/>
      <c r="E23274" s="185" t="s">
        <v>470</v>
      </c>
      <c r="H23274" s="185"/>
    </row>
    <row r="23275">
      <c r="D23275" s="185"/>
      <c r="E23275" s="185" t="s">
        <v>470</v>
      </c>
      <c r="H23275" s="185"/>
    </row>
    <row r="23276">
      <c r="D23276" s="185"/>
      <c r="E23276" s="185" t="s">
        <v>470</v>
      </c>
      <c r="H23276" s="185"/>
    </row>
    <row r="23277">
      <c r="D23277" s="185"/>
      <c r="E23277" s="185" t="s">
        <v>470</v>
      </c>
      <c r="H23277" s="185"/>
    </row>
    <row r="23278">
      <c r="D23278" s="185"/>
      <c r="E23278" s="185" t="s">
        <v>470</v>
      </c>
      <c r="H23278" s="185"/>
    </row>
    <row r="23279">
      <c r="D23279" s="185"/>
      <c r="E23279" s="185" t="s">
        <v>470</v>
      </c>
      <c r="H23279" s="185"/>
    </row>
    <row r="23280">
      <c r="D23280" s="185"/>
      <c r="E23280" s="185" t="s">
        <v>470</v>
      </c>
      <c r="H23280" s="185"/>
    </row>
    <row r="23281">
      <c r="D23281" s="185"/>
      <c r="E23281" s="185" t="s">
        <v>470</v>
      </c>
      <c r="H23281" s="185"/>
    </row>
    <row r="23282">
      <c r="D23282" s="185"/>
      <c r="E23282" s="185" t="s">
        <v>470</v>
      </c>
      <c r="H23282" s="185"/>
    </row>
    <row r="23283">
      <c r="D23283" s="185"/>
      <c r="E23283" s="185" t="s">
        <v>470</v>
      </c>
      <c r="H23283" s="185"/>
    </row>
    <row r="23284">
      <c r="D23284" s="185"/>
      <c r="E23284" s="185" t="s">
        <v>470</v>
      </c>
      <c r="H23284" s="185"/>
    </row>
    <row r="23285">
      <c r="D23285" s="185"/>
      <c r="E23285" s="185" t="s">
        <v>470</v>
      </c>
      <c r="H23285" s="185"/>
    </row>
    <row r="23286">
      <c r="D23286" s="185"/>
      <c r="E23286" s="185" t="s">
        <v>470</v>
      </c>
      <c r="H23286" s="185"/>
    </row>
    <row r="23287">
      <c r="D23287" s="185"/>
      <c r="E23287" s="185" t="s">
        <v>470</v>
      </c>
      <c r="H23287" s="185"/>
    </row>
    <row r="23288">
      <c r="D23288" s="185"/>
      <c r="E23288" s="185" t="s">
        <v>470</v>
      </c>
      <c r="H23288" s="185"/>
    </row>
    <row r="23289">
      <c r="D23289" s="185"/>
      <c r="E23289" s="185" t="s">
        <v>470</v>
      </c>
      <c r="H23289" s="185"/>
    </row>
    <row r="23290">
      <c r="D23290" s="185"/>
      <c r="E23290" s="185" t="s">
        <v>470</v>
      </c>
      <c r="H23290" s="185"/>
    </row>
    <row r="23291">
      <c r="D23291" s="185"/>
      <c r="E23291" s="185" t="s">
        <v>470</v>
      </c>
      <c r="H23291" s="185"/>
    </row>
    <row r="23292">
      <c r="D23292" s="185"/>
      <c r="E23292" s="185" t="s">
        <v>470</v>
      </c>
      <c r="H23292" s="185"/>
    </row>
    <row r="23293">
      <c r="D23293" s="185"/>
      <c r="E23293" s="185" t="s">
        <v>470</v>
      </c>
      <c r="H23293" s="185"/>
    </row>
    <row r="23294">
      <c r="D23294" s="185"/>
      <c r="E23294" s="185" t="s">
        <v>470</v>
      </c>
      <c r="H23294" s="185"/>
    </row>
    <row r="23295">
      <c r="D23295" s="185"/>
      <c r="E23295" s="185" t="s">
        <v>470</v>
      </c>
      <c r="H23295" s="185"/>
    </row>
    <row r="23296">
      <c r="D23296" s="185"/>
      <c r="E23296" s="185" t="s">
        <v>470</v>
      </c>
      <c r="H23296" s="185"/>
    </row>
    <row r="23297">
      <c r="D23297" s="185"/>
      <c r="E23297" s="185" t="s">
        <v>470</v>
      </c>
      <c r="H23297" s="185"/>
    </row>
    <row r="23298">
      <c r="D23298" s="185"/>
      <c r="E23298" s="185" t="s">
        <v>470</v>
      </c>
      <c r="H23298" s="185"/>
    </row>
    <row r="23299">
      <c r="D23299" s="185"/>
      <c r="E23299" s="185" t="s">
        <v>470</v>
      </c>
      <c r="H23299" s="185"/>
    </row>
    <row r="23300">
      <c r="D23300" s="185"/>
      <c r="E23300" s="185" t="s">
        <v>470</v>
      </c>
      <c r="H23300" s="185"/>
    </row>
    <row r="23301">
      <c r="D23301" s="185"/>
      <c r="E23301" s="185" t="s">
        <v>470</v>
      </c>
      <c r="H23301" s="185"/>
    </row>
    <row r="23302">
      <c r="D23302" s="185"/>
      <c r="E23302" s="185" t="s">
        <v>470</v>
      </c>
      <c r="H23302" s="185"/>
    </row>
    <row r="23303">
      <c r="D23303" s="185"/>
      <c r="E23303" s="185" t="s">
        <v>470</v>
      </c>
      <c r="H23303" s="185"/>
    </row>
    <row r="23304">
      <c r="D23304" s="185"/>
      <c r="E23304" s="185" t="s">
        <v>470</v>
      </c>
      <c r="H23304" s="185"/>
    </row>
    <row r="23305">
      <c r="D23305" s="185"/>
      <c r="E23305" s="185" t="s">
        <v>470</v>
      </c>
      <c r="H23305" s="185"/>
    </row>
    <row r="23306">
      <c r="D23306" s="185"/>
      <c r="E23306" s="185" t="s">
        <v>470</v>
      </c>
      <c r="H23306" s="185"/>
    </row>
    <row r="23307">
      <c r="D23307" s="185"/>
      <c r="E23307" s="185" t="s">
        <v>470</v>
      </c>
      <c r="H23307" s="185"/>
    </row>
    <row r="23308">
      <c r="D23308" s="185"/>
      <c r="E23308" s="185" t="s">
        <v>470</v>
      </c>
      <c r="H23308" s="185"/>
    </row>
    <row r="23309">
      <c r="D23309" s="185"/>
      <c r="E23309" s="185" t="s">
        <v>470</v>
      </c>
      <c r="H23309" s="185"/>
    </row>
    <row r="23310">
      <c r="D23310" s="185"/>
      <c r="E23310" s="185" t="s">
        <v>470</v>
      </c>
      <c r="H23310" s="185"/>
    </row>
    <row r="23311">
      <c r="D23311" s="185"/>
      <c r="E23311" s="185" t="s">
        <v>470</v>
      </c>
      <c r="H23311" s="185"/>
    </row>
    <row r="23312">
      <c r="D23312" s="185"/>
      <c r="E23312" s="185" t="s">
        <v>470</v>
      </c>
      <c r="H23312" s="185"/>
    </row>
    <row r="23313">
      <c r="D23313" s="185"/>
      <c r="E23313" s="185" t="s">
        <v>470</v>
      </c>
      <c r="H23313" s="185"/>
    </row>
    <row r="23314">
      <c r="D23314" s="185"/>
      <c r="E23314" s="185" t="s">
        <v>470</v>
      </c>
      <c r="H23314" s="185"/>
    </row>
    <row r="23315">
      <c r="D23315" s="185"/>
      <c r="E23315" s="185" t="s">
        <v>470</v>
      </c>
      <c r="H23315" s="185"/>
    </row>
    <row r="23316">
      <c r="D23316" s="185"/>
      <c r="E23316" s="185" t="s">
        <v>470</v>
      </c>
      <c r="H23316" s="185"/>
    </row>
    <row r="23317">
      <c r="D23317" s="185"/>
      <c r="E23317" s="185" t="s">
        <v>470</v>
      </c>
      <c r="H23317" s="185"/>
    </row>
    <row r="23318">
      <c r="D23318" s="185"/>
      <c r="E23318" s="185" t="s">
        <v>470</v>
      </c>
      <c r="H23318" s="185"/>
    </row>
    <row r="23319">
      <c r="D23319" s="185"/>
      <c r="E23319" s="185" t="s">
        <v>470</v>
      </c>
      <c r="H23319" s="185"/>
    </row>
    <row r="23320">
      <c r="D23320" s="185"/>
      <c r="E23320" s="185" t="s">
        <v>470</v>
      </c>
      <c r="H23320" s="185"/>
    </row>
    <row r="23321">
      <c r="D23321" s="185"/>
      <c r="E23321" s="185" t="s">
        <v>470</v>
      </c>
      <c r="H23321" s="185"/>
    </row>
    <row r="23322">
      <c r="D23322" s="185"/>
      <c r="E23322" s="185" t="s">
        <v>470</v>
      </c>
      <c r="H23322" s="185"/>
    </row>
    <row r="23323">
      <c r="D23323" s="185"/>
      <c r="E23323" s="185" t="s">
        <v>470</v>
      </c>
      <c r="H23323" s="185"/>
    </row>
    <row r="23324">
      <c r="D23324" s="185"/>
      <c r="E23324" s="185" t="s">
        <v>470</v>
      </c>
      <c r="H23324" s="185"/>
    </row>
    <row r="23325">
      <c r="D23325" s="185"/>
      <c r="E23325" s="185" t="s">
        <v>470</v>
      </c>
      <c r="H23325" s="185"/>
    </row>
    <row r="23326">
      <c r="D23326" s="185"/>
      <c r="E23326" s="185" t="s">
        <v>470</v>
      </c>
      <c r="H23326" s="185"/>
    </row>
    <row r="23327">
      <c r="D23327" s="185"/>
      <c r="E23327" s="185" t="s">
        <v>470</v>
      </c>
      <c r="H23327" s="185"/>
    </row>
    <row r="23328">
      <c r="D23328" s="185"/>
      <c r="E23328" s="185" t="s">
        <v>470</v>
      </c>
      <c r="H23328" s="185"/>
    </row>
    <row r="23329">
      <c r="D23329" s="185"/>
      <c r="E23329" s="185" t="s">
        <v>470</v>
      </c>
      <c r="H23329" s="185"/>
    </row>
    <row r="23330">
      <c r="D23330" s="185"/>
      <c r="E23330" s="185" t="s">
        <v>470</v>
      </c>
      <c r="H23330" s="185"/>
    </row>
    <row r="23331">
      <c r="D23331" s="185"/>
      <c r="E23331" s="185" t="s">
        <v>470</v>
      </c>
      <c r="H23331" s="185"/>
    </row>
    <row r="23332">
      <c r="D23332" s="185"/>
      <c r="E23332" s="185" t="s">
        <v>470</v>
      </c>
      <c r="H23332" s="185"/>
    </row>
    <row r="23333">
      <c r="D23333" s="185"/>
      <c r="E23333" s="185" t="s">
        <v>470</v>
      </c>
      <c r="H23333" s="185"/>
    </row>
    <row r="23334">
      <c r="D23334" s="185"/>
      <c r="E23334" s="185" t="s">
        <v>470</v>
      </c>
      <c r="H23334" s="185"/>
    </row>
    <row r="23335">
      <c r="D23335" s="185"/>
      <c r="E23335" s="185" t="s">
        <v>470</v>
      </c>
      <c r="H23335" s="185"/>
    </row>
    <row r="23336">
      <c r="D23336" s="185"/>
      <c r="E23336" s="185" t="s">
        <v>470</v>
      </c>
      <c r="H23336" s="185"/>
    </row>
    <row r="23337">
      <c r="D23337" s="185"/>
      <c r="E23337" s="185" t="s">
        <v>470</v>
      </c>
      <c r="H23337" s="185"/>
    </row>
    <row r="23338">
      <c r="D23338" s="185"/>
      <c r="E23338" s="185" t="s">
        <v>470</v>
      </c>
      <c r="H23338" s="185"/>
    </row>
    <row r="23339">
      <c r="D23339" s="185"/>
      <c r="E23339" s="185" t="s">
        <v>470</v>
      </c>
      <c r="H23339" s="185"/>
    </row>
    <row r="23340">
      <c r="D23340" s="185"/>
      <c r="E23340" s="185" t="s">
        <v>470</v>
      </c>
      <c r="H23340" s="185"/>
    </row>
    <row r="23341">
      <c r="D23341" s="185"/>
      <c r="E23341" s="185" t="s">
        <v>470</v>
      </c>
      <c r="H23341" s="185"/>
    </row>
    <row r="23342">
      <c r="D23342" s="185"/>
      <c r="E23342" s="185" t="s">
        <v>470</v>
      </c>
      <c r="H23342" s="185"/>
    </row>
    <row r="23343">
      <c r="D23343" s="185"/>
      <c r="E23343" s="185" t="s">
        <v>470</v>
      </c>
      <c r="H23343" s="185"/>
    </row>
    <row r="23344">
      <c r="D23344" s="185"/>
      <c r="E23344" s="185" t="s">
        <v>470</v>
      </c>
      <c r="H23344" s="185"/>
    </row>
    <row r="23345">
      <c r="D23345" s="185"/>
      <c r="E23345" s="185" t="s">
        <v>470</v>
      </c>
      <c r="H23345" s="185"/>
    </row>
    <row r="23346">
      <c r="D23346" s="185"/>
      <c r="E23346" s="185" t="s">
        <v>470</v>
      </c>
      <c r="H23346" s="185"/>
    </row>
    <row r="23347">
      <c r="D23347" s="185"/>
      <c r="E23347" s="185" t="s">
        <v>470</v>
      </c>
      <c r="H23347" s="185"/>
    </row>
    <row r="23348">
      <c r="D23348" s="185"/>
      <c r="E23348" s="185" t="s">
        <v>470</v>
      </c>
      <c r="H23348" s="185"/>
    </row>
    <row r="23349">
      <c r="D23349" s="185"/>
      <c r="E23349" s="185" t="s">
        <v>470</v>
      </c>
      <c r="H23349" s="185"/>
    </row>
    <row r="23350">
      <c r="D23350" s="185"/>
      <c r="E23350" s="185" t="s">
        <v>470</v>
      </c>
      <c r="H23350" s="185"/>
    </row>
    <row r="23351">
      <c r="D23351" s="185"/>
      <c r="E23351" s="185" t="s">
        <v>470</v>
      </c>
      <c r="H23351" s="185"/>
    </row>
    <row r="23352">
      <c r="D23352" s="185"/>
      <c r="E23352" s="185" t="s">
        <v>470</v>
      </c>
      <c r="H23352" s="185"/>
    </row>
    <row r="23353">
      <c r="D23353" s="185"/>
      <c r="E23353" s="185" t="s">
        <v>470</v>
      </c>
      <c r="H23353" s="185"/>
    </row>
    <row r="23354">
      <c r="D23354" s="185"/>
      <c r="E23354" s="185" t="s">
        <v>470</v>
      </c>
      <c r="H23354" s="185"/>
    </row>
    <row r="23355">
      <c r="D23355" s="185"/>
      <c r="E23355" s="185" t="s">
        <v>470</v>
      </c>
      <c r="H23355" s="185"/>
    </row>
    <row r="23356">
      <c r="D23356" s="185"/>
      <c r="E23356" s="185" t="s">
        <v>470</v>
      </c>
      <c r="H23356" s="185"/>
    </row>
    <row r="23357">
      <c r="D23357" s="185"/>
      <c r="E23357" s="185" t="s">
        <v>470</v>
      </c>
      <c r="H23357" s="185"/>
    </row>
    <row r="23358">
      <c r="D23358" s="185"/>
      <c r="E23358" s="185" t="s">
        <v>470</v>
      </c>
      <c r="H23358" s="185"/>
    </row>
    <row r="23359">
      <c r="D23359" s="185"/>
      <c r="E23359" s="185" t="s">
        <v>470</v>
      </c>
      <c r="H23359" s="185"/>
    </row>
    <row r="23360">
      <c r="D23360" s="185"/>
      <c r="E23360" s="185" t="s">
        <v>470</v>
      </c>
      <c r="H23360" s="185"/>
    </row>
    <row r="23361">
      <c r="D23361" s="185"/>
      <c r="E23361" s="185" t="s">
        <v>470</v>
      </c>
      <c r="H23361" s="185"/>
    </row>
    <row r="23362">
      <c r="D23362" s="185"/>
      <c r="E23362" s="185" t="s">
        <v>470</v>
      </c>
      <c r="H23362" s="185"/>
    </row>
    <row r="23363">
      <c r="D23363" s="185"/>
      <c r="E23363" s="185" t="s">
        <v>470</v>
      </c>
      <c r="H23363" s="185"/>
    </row>
    <row r="23364">
      <c r="D23364" s="185"/>
      <c r="E23364" s="185" t="s">
        <v>470</v>
      </c>
      <c r="H23364" s="185"/>
    </row>
    <row r="23365">
      <c r="D23365" s="185"/>
      <c r="E23365" s="185" t="s">
        <v>470</v>
      </c>
      <c r="H23365" s="185"/>
    </row>
    <row r="23366">
      <c r="D23366" s="185"/>
      <c r="E23366" s="185" t="s">
        <v>470</v>
      </c>
      <c r="H23366" s="185"/>
    </row>
    <row r="23367">
      <c r="D23367" s="185"/>
      <c r="E23367" s="185" t="s">
        <v>470</v>
      </c>
      <c r="H23367" s="185"/>
    </row>
    <row r="23368">
      <c r="D23368" s="185"/>
      <c r="E23368" s="185" t="s">
        <v>470</v>
      </c>
      <c r="H23368" s="185"/>
    </row>
    <row r="23369">
      <c r="D23369" s="185"/>
      <c r="E23369" s="185" t="s">
        <v>470</v>
      </c>
      <c r="H23369" s="185"/>
    </row>
    <row r="23370">
      <c r="D23370" s="185"/>
      <c r="E23370" s="185" t="s">
        <v>470</v>
      </c>
      <c r="H23370" s="185"/>
    </row>
    <row r="23371">
      <c r="D23371" s="185"/>
      <c r="E23371" s="185" t="s">
        <v>470</v>
      </c>
      <c r="H23371" s="185"/>
    </row>
    <row r="23372">
      <c r="D23372" s="185"/>
      <c r="E23372" s="185" t="s">
        <v>470</v>
      </c>
      <c r="H23372" s="185"/>
    </row>
    <row r="23373">
      <c r="D23373" s="185"/>
      <c r="E23373" s="185" t="s">
        <v>470</v>
      </c>
      <c r="H23373" s="185"/>
    </row>
    <row r="23374">
      <c r="D23374" s="185"/>
      <c r="E23374" s="185" t="s">
        <v>470</v>
      </c>
      <c r="H23374" s="185"/>
    </row>
    <row r="23375">
      <c r="D23375" s="185"/>
      <c r="E23375" s="185" t="s">
        <v>470</v>
      </c>
      <c r="H23375" s="185"/>
    </row>
    <row r="23376">
      <c r="D23376" s="185"/>
      <c r="E23376" s="185" t="s">
        <v>470</v>
      </c>
      <c r="H23376" s="185"/>
    </row>
    <row r="23377">
      <c r="D23377" s="185"/>
      <c r="E23377" s="185" t="s">
        <v>470</v>
      </c>
      <c r="H23377" s="185"/>
    </row>
    <row r="23378">
      <c r="D23378" s="185"/>
      <c r="E23378" s="185" t="s">
        <v>470</v>
      </c>
      <c r="H23378" s="185"/>
    </row>
    <row r="23379">
      <c r="D23379" s="185"/>
      <c r="E23379" s="185" t="s">
        <v>470</v>
      </c>
      <c r="H23379" s="185"/>
    </row>
    <row r="23380">
      <c r="D23380" s="185"/>
      <c r="E23380" s="185" t="s">
        <v>470</v>
      </c>
      <c r="H23380" s="185"/>
    </row>
    <row r="23381">
      <c r="D23381" s="185"/>
      <c r="E23381" s="185" t="s">
        <v>470</v>
      </c>
      <c r="H23381" s="185"/>
    </row>
    <row r="23382">
      <c r="D23382" s="185"/>
      <c r="E23382" s="185" t="s">
        <v>470</v>
      </c>
      <c r="H23382" s="185"/>
    </row>
    <row r="23383">
      <c r="D23383" s="185"/>
      <c r="E23383" s="185" t="s">
        <v>470</v>
      </c>
      <c r="H23383" s="185"/>
    </row>
    <row r="23384">
      <c r="D23384" s="185"/>
      <c r="E23384" s="185" t="s">
        <v>470</v>
      </c>
      <c r="H23384" s="185"/>
    </row>
    <row r="23385">
      <c r="D23385" s="185"/>
      <c r="E23385" s="185" t="s">
        <v>470</v>
      </c>
      <c r="H23385" s="185"/>
    </row>
    <row r="23386">
      <c r="D23386" s="185"/>
      <c r="E23386" s="185" t="s">
        <v>470</v>
      </c>
      <c r="H23386" s="185"/>
    </row>
    <row r="23387">
      <c r="D23387" s="185"/>
      <c r="E23387" s="185" t="s">
        <v>470</v>
      </c>
      <c r="H23387" s="185"/>
    </row>
    <row r="23388">
      <c r="D23388" s="185"/>
      <c r="E23388" s="185" t="s">
        <v>470</v>
      </c>
      <c r="H23388" s="185"/>
    </row>
    <row r="23389">
      <c r="D23389" s="185"/>
      <c r="E23389" s="185" t="s">
        <v>470</v>
      </c>
      <c r="H23389" s="185"/>
    </row>
    <row r="23390">
      <c r="D23390" s="185"/>
      <c r="E23390" s="185" t="s">
        <v>470</v>
      </c>
      <c r="H23390" s="185"/>
    </row>
    <row r="23391">
      <c r="D23391" s="185"/>
      <c r="E23391" s="185" t="s">
        <v>470</v>
      </c>
      <c r="H23391" s="185"/>
    </row>
    <row r="23392">
      <c r="D23392" s="185"/>
      <c r="E23392" s="185" t="s">
        <v>470</v>
      </c>
      <c r="H23392" s="185"/>
    </row>
    <row r="23393">
      <c r="D23393" s="185"/>
      <c r="E23393" s="185" t="s">
        <v>470</v>
      </c>
      <c r="H23393" s="185"/>
    </row>
    <row r="23394">
      <c r="D23394" s="185"/>
      <c r="E23394" s="185" t="s">
        <v>470</v>
      </c>
      <c r="H23394" s="185"/>
    </row>
    <row r="23395">
      <c r="D23395" s="185"/>
      <c r="E23395" s="185" t="s">
        <v>470</v>
      </c>
      <c r="H23395" s="185"/>
    </row>
    <row r="23396">
      <c r="D23396" s="185"/>
      <c r="E23396" s="185" t="s">
        <v>470</v>
      </c>
      <c r="H23396" s="185"/>
    </row>
    <row r="23397">
      <c r="D23397" s="185"/>
      <c r="E23397" s="185" t="s">
        <v>470</v>
      </c>
      <c r="H23397" s="185"/>
    </row>
    <row r="23398">
      <c r="D23398" s="185"/>
      <c r="E23398" s="185" t="s">
        <v>470</v>
      </c>
      <c r="H23398" s="185"/>
    </row>
    <row r="23399">
      <c r="D23399" s="185"/>
      <c r="E23399" s="185" t="s">
        <v>470</v>
      </c>
      <c r="H23399" s="185"/>
    </row>
    <row r="23400">
      <c r="D23400" s="185"/>
      <c r="E23400" s="185" t="s">
        <v>470</v>
      </c>
      <c r="H23400" s="185"/>
    </row>
    <row r="23401">
      <c r="D23401" s="185"/>
      <c r="E23401" s="185" t="s">
        <v>470</v>
      </c>
      <c r="H23401" s="185"/>
    </row>
    <row r="23402">
      <c r="D23402" s="185"/>
      <c r="E23402" s="185" t="s">
        <v>470</v>
      </c>
      <c r="H23402" s="185"/>
    </row>
    <row r="23403">
      <c r="D23403" s="185"/>
      <c r="E23403" s="185" t="s">
        <v>470</v>
      </c>
      <c r="H23403" s="185"/>
    </row>
    <row r="23404">
      <c r="D23404" s="185"/>
      <c r="E23404" s="185" t="s">
        <v>470</v>
      </c>
      <c r="H23404" s="185"/>
    </row>
    <row r="23405">
      <c r="D23405" s="185"/>
      <c r="E23405" s="185" t="s">
        <v>470</v>
      </c>
      <c r="H23405" s="185"/>
    </row>
    <row r="23406">
      <c r="D23406" s="185"/>
      <c r="E23406" s="185" t="s">
        <v>470</v>
      </c>
      <c r="H23406" s="185"/>
    </row>
    <row r="23407">
      <c r="D23407" s="185"/>
      <c r="E23407" s="185" t="s">
        <v>470</v>
      </c>
      <c r="H23407" s="185"/>
    </row>
    <row r="23408">
      <c r="D23408" s="185"/>
      <c r="E23408" s="185" t="s">
        <v>470</v>
      </c>
      <c r="H23408" s="185"/>
    </row>
    <row r="23409">
      <c r="D23409" s="185"/>
      <c r="E23409" s="185" t="s">
        <v>470</v>
      </c>
      <c r="H23409" s="185"/>
    </row>
    <row r="23410">
      <c r="D23410" s="185"/>
      <c r="E23410" s="185" t="s">
        <v>470</v>
      </c>
      <c r="H23410" s="185"/>
    </row>
    <row r="23411">
      <c r="D23411" s="185"/>
      <c r="E23411" s="185" t="s">
        <v>470</v>
      </c>
      <c r="H23411" s="185"/>
    </row>
    <row r="23412">
      <c r="D23412" s="185"/>
      <c r="E23412" s="185" t="s">
        <v>470</v>
      </c>
      <c r="H23412" s="185"/>
    </row>
    <row r="23413">
      <c r="D23413" s="185"/>
      <c r="E23413" s="185" t="s">
        <v>470</v>
      </c>
      <c r="H23413" s="185"/>
    </row>
    <row r="23414">
      <c r="D23414" s="185"/>
      <c r="E23414" s="185" t="s">
        <v>470</v>
      </c>
      <c r="H23414" s="185"/>
    </row>
    <row r="23415">
      <c r="D23415" s="185"/>
      <c r="E23415" s="185" t="s">
        <v>470</v>
      </c>
      <c r="H23415" s="185"/>
    </row>
    <row r="23416">
      <c r="D23416" s="185"/>
      <c r="E23416" s="185" t="s">
        <v>470</v>
      </c>
      <c r="H23416" s="185"/>
    </row>
    <row r="23417">
      <c r="D23417" s="185"/>
      <c r="E23417" s="185" t="s">
        <v>470</v>
      </c>
      <c r="H23417" s="185"/>
    </row>
    <row r="23418">
      <c r="D23418" s="185"/>
      <c r="E23418" s="185" t="s">
        <v>470</v>
      </c>
      <c r="H23418" s="185"/>
    </row>
    <row r="23419">
      <c r="D23419" s="185"/>
      <c r="E23419" s="185" t="s">
        <v>470</v>
      </c>
      <c r="H23419" s="185"/>
    </row>
    <row r="23420">
      <c r="D23420" s="185"/>
      <c r="E23420" s="185" t="s">
        <v>470</v>
      </c>
      <c r="H23420" s="185"/>
    </row>
    <row r="23421">
      <c r="D23421" s="185"/>
      <c r="E23421" s="185" t="s">
        <v>470</v>
      </c>
      <c r="H23421" s="185"/>
    </row>
    <row r="23422">
      <c r="D23422" s="185"/>
      <c r="E23422" s="185" t="s">
        <v>470</v>
      </c>
      <c r="H23422" s="185"/>
    </row>
    <row r="23423">
      <c r="D23423" s="185"/>
      <c r="E23423" s="185" t="s">
        <v>470</v>
      </c>
      <c r="H23423" s="185"/>
    </row>
    <row r="23424">
      <c r="D23424" s="185"/>
      <c r="E23424" s="185" t="s">
        <v>470</v>
      </c>
      <c r="H23424" s="185"/>
    </row>
    <row r="23425">
      <c r="D23425" s="185"/>
      <c r="E23425" s="185" t="s">
        <v>470</v>
      </c>
      <c r="H23425" s="185"/>
    </row>
    <row r="23426">
      <c r="D23426" s="185"/>
      <c r="E23426" s="185" t="s">
        <v>470</v>
      </c>
      <c r="H23426" s="185"/>
    </row>
    <row r="23427">
      <c r="D23427" s="185"/>
      <c r="E23427" s="185" t="s">
        <v>470</v>
      </c>
      <c r="H23427" s="185"/>
    </row>
    <row r="23428">
      <c r="D23428" s="185"/>
      <c r="E23428" s="185" t="s">
        <v>470</v>
      </c>
      <c r="H23428" s="185"/>
    </row>
    <row r="23429">
      <c r="D23429" s="185"/>
      <c r="E23429" s="185" t="s">
        <v>470</v>
      </c>
      <c r="H23429" s="185"/>
    </row>
    <row r="23430">
      <c r="D23430" s="185"/>
      <c r="E23430" s="185" t="s">
        <v>470</v>
      </c>
      <c r="H23430" s="185"/>
    </row>
    <row r="23431">
      <c r="D23431" s="185"/>
      <c r="E23431" s="185" t="s">
        <v>470</v>
      </c>
      <c r="H23431" s="185"/>
    </row>
    <row r="23432">
      <c r="D23432" s="185"/>
      <c r="E23432" s="185" t="s">
        <v>470</v>
      </c>
      <c r="H23432" s="185"/>
    </row>
    <row r="23433">
      <c r="D23433" s="185"/>
      <c r="E23433" s="185" t="s">
        <v>470</v>
      </c>
      <c r="H23433" s="185"/>
    </row>
    <row r="23434">
      <c r="D23434" s="185"/>
      <c r="E23434" s="185" t="s">
        <v>470</v>
      </c>
      <c r="H23434" s="185"/>
    </row>
    <row r="23435">
      <c r="D23435" s="185"/>
      <c r="E23435" s="185" t="s">
        <v>470</v>
      </c>
      <c r="H23435" s="185"/>
    </row>
    <row r="23436">
      <c r="D23436" s="185"/>
      <c r="E23436" s="185" t="s">
        <v>470</v>
      </c>
      <c r="H23436" s="185"/>
    </row>
    <row r="23437">
      <c r="D23437" s="185"/>
      <c r="E23437" s="185" t="s">
        <v>470</v>
      </c>
      <c r="H23437" s="185"/>
    </row>
    <row r="23438">
      <c r="D23438" s="185"/>
      <c r="E23438" s="185" t="s">
        <v>470</v>
      </c>
      <c r="H23438" s="185"/>
    </row>
    <row r="23439">
      <c r="D23439" s="185"/>
      <c r="E23439" s="185" t="s">
        <v>470</v>
      </c>
      <c r="H23439" s="185"/>
    </row>
    <row r="23440">
      <c r="D23440" s="185"/>
      <c r="E23440" s="185" t="s">
        <v>470</v>
      </c>
      <c r="H23440" s="185"/>
    </row>
    <row r="23441">
      <c r="D23441" s="185"/>
      <c r="E23441" s="185" t="s">
        <v>470</v>
      </c>
      <c r="H23441" s="185"/>
    </row>
    <row r="23442">
      <c r="D23442" s="185"/>
      <c r="E23442" s="185" t="s">
        <v>470</v>
      </c>
      <c r="H23442" s="185"/>
    </row>
    <row r="23443">
      <c r="D23443" s="185"/>
      <c r="E23443" s="185" t="s">
        <v>470</v>
      </c>
      <c r="H23443" s="185"/>
    </row>
    <row r="23444">
      <c r="D23444" s="185"/>
      <c r="E23444" s="185" t="s">
        <v>470</v>
      </c>
      <c r="H23444" s="185"/>
    </row>
    <row r="23445">
      <c r="D23445" s="185"/>
      <c r="E23445" s="185" t="s">
        <v>470</v>
      </c>
      <c r="H23445" s="185"/>
    </row>
    <row r="23446">
      <c r="D23446" s="185"/>
      <c r="E23446" s="185" t="s">
        <v>470</v>
      </c>
      <c r="H23446" s="185"/>
    </row>
    <row r="23447">
      <c r="D23447" s="185"/>
      <c r="E23447" s="185" t="s">
        <v>470</v>
      </c>
      <c r="H23447" s="185"/>
    </row>
    <row r="23448">
      <c r="D23448" s="185"/>
      <c r="E23448" s="185" t="s">
        <v>470</v>
      </c>
      <c r="H23448" s="185"/>
    </row>
    <row r="23449">
      <c r="D23449" s="185"/>
      <c r="E23449" s="185" t="s">
        <v>470</v>
      </c>
      <c r="H23449" s="185"/>
    </row>
    <row r="23450">
      <c r="D23450" s="185"/>
      <c r="E23450" s="185" t="s">
        <v>470</v>
      </c>
      <c r="H23450" s="185"/>
    </row>
    <row r="23451">
      <c r="D23451" s="185"/>
      <c r="E23451" s="185" t="s">
        <v>470</v>
      </c>
      <c r="H23451" s="185"/>
    </row>
    <row r="23452">
      <c r="D23452" s="185"/>
      <c r="E23452" s="185" t="s">
        <v>470</v>
      </c>
      <c r="H23452" s="185"/>
    </row>
    <row r="23453">
      <c r="D23453" s="185"/>
      <c r="E23453" s="185" t="s">
        <v>470</v>
      </c>
      <c r="H23453" s="185"/>
    </row>
    <row r="23454">
      <c r="D23454" s="185"/>
      <c r="E23454" s="185" t="s">
        <v>470</v>
      </c>
      <c r="H23454" s="185"/>
    </row>
    <row r="23455">
      <c r="D23455" s="185"/>
      <c r="E23455" s="185" t="s">
        <v>470</v>
      </c>
      <c r="H23455" s="185"/>
    </row>
    <row r="23456">
      <c r="D23456" s="185"/>
      <c r="E23456" s="185" t="s">
        <v>470</v>
      </c>
      <c r="H23456" s="185"/>
    </row>
    <row r="23457">
      <c r="D23457" s="185"/>
      <c r="E23457" s="185" t="s">
        <v>470</v>
      </c>
      <c r="H23457" s="185"/>
    </row>
    <row r="23458">
      <c r="D23458" s="185"/>
      <c r="E23458" s="185" t="s">
        <v>470</v>
      </c>
      <c r="H23458" s="185"/>
    </row>
    <row r="23459">
      <c r="D23459" s="185"/>
      <c r="E23459" s="185" t="s">
        <v>470</v>
      </c>
      <c r="H23459" s="185"/>
    </row>
    <row r="23460">
      <c r="D23460" s="185"/>
      <c r="E23460" s="185" t="s">
        <v>470</v>
      </c>
      <c r="H23460" s="185"/>
    </row>
    <row r="23461">
      <c r="D23461" s="185"/>
      <c r="E23461" s="185" t="s">
        <v>470</v>
      </c>
      <c r="H23461" s="185"/>
    </row>
    <row r="23462">
      <c r="D23462" s="185"/>
      <c r="E23462" s="185" t="s">
        <v>470</v>
      </c>
      <c r="H23462" s="185"/>
    </row>
    <row r="23463">
      <c r="D23463" s="185"/>
      <c r="E23463" s="185" t="s">
        <v>470</v>
      </c>
      <c r="H23463" s="185"/>
    </row>
    <row r="23464">
      <c r="D23464" s="185"/>
      <c r="E23464" s="185" t="s">
        <v>470</v>
      </c>
      <c r="H23464" s="185"/>
    </row>
    <row r="23465">
      <c r="D23465" s="185"/>
      <c r="E23465" s="185" t="s">
        <v>470</v>
      </c>
      <c r="H23465" s="185"/>
    </row>
    <row r="23466">
      <c r="D23466" s="185"/>
      <c r="E23466" s="185" t="s">
        <v>470</v>
      </c>
      <c r="H23466" s="185"/>
    </row>
    <row r="23467">
      <c r="D23467" s="185"/>
      <c r="E23467" s="185" t="s">
        <v>470</v>
      </c>
      <c r="H23467" s="185"/>
    </row>
    <row r="23468">
      <c r="D23468" s="185"/>
      <c r="E23468" s="185" t="s">
        <v>470</v>
      </c>
      <c r="H23468" s="185"/>
    </row>
    <row r="23469">
      <c r="D23469" s="185"/>
      <c r="E23469" s="185" t="s">
        <v>470</v>
      </c>
      <c r="H23469" s="185"/>
    </row>
    <row r="23470">
      <c r="D23470" s="185"/>
      <c r="E23470" s="185" t="s">
        <v>470</v>
      </c>
      <c r="H23470" s="185"/>
    </row>
    <row r="23471">
      <c r="D23471" s="185"/>
      <c r="E23471" s="185" t="s">
        <v>470</v>
      </c>
      <c r="H23471" s="185"/>
    </row>
    <row r="23472">
      <c r="D23472" s="185"/>
      <c r="E23472" s="185" t="s">
        <v>470</v>
      </c>
      <c r="H23472" s="185"/>
    </row>
    <row r="23473">
      <c r="D23473" s="185"/>
      <c r="E23473" s="185" t="s">
        <v>470</v>
      </c>
      <c r="H23473" s="185"/>
    </row>
    <row r="23474">
      <c r="D23474" s="185"/>
      <c r="E23474" s="185" t="s">
        <v>470</v>
      </c>
      <c r="H23474" s="185"/>
    </row>
    <row r="23475">
      <c r="D23475" s="185"/>
      <c r="E23475" s="185" t="s">
        <v>470</v>
      </c>
      <c r="H23475" s="185"/>
    </row>
    <row r="23476">
      <c r="D23476" s="185"/>
      <c r="E23476" s="185" t="s">
        <v>470</v>
      </c>
      <c r="H23476" s="185"/>
    </row>
    <row r="23477">
      <c r="D23477" s="185"/>
      <c r="E23477" s="185" t="s">
        <v>470</v>
      </c>
      <c r="H23477" s="185"/>
    </row>
    <row r="23478">
      <c r="D23478" s="185"/>
      <c r="E23478" s="185" t="s">
        <v>470</v>
      </c>
      <c r="H23478" s="185"/>
    </row>
    <row r="23479">
      <c r="D23479" s="185"/>
      <c r="E23479" s="185" t="s">
        <v>470</v>
      </c>
      <c r="H23479" s="185"/>
    </row>
    <row r="23480">
      <c r="D23480" s="185"/>
      <c r="E23480" s="185" t="s">
        <v>470</v>
      </c>
      <c r="H23480" s="185"/>
    </row>
    <row r="23481">
      <c r="D23481" s="185"/>
      <c r="E23481" s="185" t="s">
        <v>470</v>
      </c>
      <c r="H23481" s="185"/>
    </row>
    <row r="23482">
      <c r="D23482" s="185"/>
      <c r="E23482" s="185" t="s">
        <v>470</v>
      </c>
      <c r="H23482" s="185"/>
    </row>
    <row r="23483">
      <c r="D23483" s="185"/>
      <c r="E23483" s="185" t="s">
        <v>470</v>
      </c>
      <c r="H23483" s="185"/>
    </row>
    <row r="23484">
      <c r="D23484" s="185"/>
      <c r="E23484" s="185" t="s">
        <v>470</v>
      </c>
      <c r="H23484" s="185"/>
    </row>
    <row r="23485">
      <c r="D23485" s="185"/>
      <c r="E23485" s="185" t="s">
        <v>470</v>
      </c>
      <c r="H23485" s="185"/>
    </row>
    <row r="23486">
      <c r="D23486" s="185"/>
      <c r="E23486" s="185" t="s">
        <v>470</v>
      </c>
      <c r="H23486" s="185"/>
    </row>
    <row r="23487">
      <c r="D23487" s="185"/>
      <c r="E23487" s="185" t="s">
        <v>470</v>
      </c>
      <c r="H23487" s="185"/>
    </row>
    <row r="23488">
      <c r="D23488" s="185"/>
      <c r="E23488" s="185" t="s">
        <v>470</v>
      </c>
      <c r="H23488" s="185"/>
    </row>
    <row r="23489">
      <c r="D23489" s="185"/>
      <c r="E23489" s="185" t="s">
        <v>470</v>
      </c>
      <c r="H23489" s="185"/>
    </row>
    <row r="23490">
      <c r="D23490" s="185"/>
      <c r="E23490" s="185" t="s">
        <v>470</v>
      </c>
      <c r="H23490" s="185"/>
    </row>
    <row r="23491">
      <c r="D23491" s="185"/>
      <c r="E23491" s="185" t="s">
        <v>470</v>
      </c>
      <c r="H23491" s="185"/>
    </row>
    <row r="23492">
      <c r="D23492" s="185"/>
      <c r="E23492" s="185" t="s">
        <v>470</v>
      </c>
      <c r="H23492" s="185"/>
    </row>
    <row r="23493">
      <c r="D23493" s="185"/>
      <c r="E23493" s="185" t="s">
        <v>470</v>
      </c>
      <c r="H23493" s="185"/>
    </row>
    <row r="23494">
      <c r="D23494" s="185"/>
      <c r="E23494" s="185" t="s">
        <v>470</v>
      </c>
      <c r="H23494" s="185"/>
    </row>
    <row r="23495">
      <c r="D23495" s="185"/>
      <c r="E23495" s="185" t="s">
        <v>470</v>
      </c>
      <c r="H23495" s="185"/>
    </row>
    <row r="23496">
      <c r="D23496" s="185"/>
      <c r="E23496" s="185" t="s">
        <v>470</v>
      </c>
      <c r="H23496" s="185"/>
    </row>
    <row r="23497">
      <c r="D23497" s="185"/>
      <c r="E23497" s="185" t="s">
        <v>470</v>
      </c>
      <c r="H23497" s="185"/>
    </row>
    <row r="23498">
      <c r="D23498" s="185"/>
      <c r="E23498" s="185" t="s">
        <v>470</v>
      </c>
      <c r="H23498" s="185"/>
    </row>
    <row r="23499">
      <c r="D23499" s="185"/>
      <c r="E23499" s="185" t="s">
        <v>470</v>
      </c>
      <c r="H23499" s="185"/>
    </row>
    <row r="23500">
      <c r="D23500" s="185"/>
      <c r="E23500" s="185" t="s">
        <v>470</v>
      </c>
      <c r="H23500" s="185"/>
    </row>
    <row r="23501">
      <c r="D23501" s="185"/>
      <c r="E23501" s="185" t="s">
        <v>470</v>
      </c>
      <c r="H23501" s="185"/>
    </row>
    <row r="23502">
      <c r="D23502" s="185"/>
      <c r="E23502" s="185" t="s">
        <v>470</v>
      </c>
      <c r="H23502" s="185"/>
    </row>
    <row r="23503">
      <c r="D23503" s="185"/>
      <c r="E23503" s="185" t="s">
        <v>470</v>
      </c>
      <c r="H23503" s="185"/>
    </row>
    <row r="23504">
      <c r="D23504" s="185"/>
      <c r="E23504" s="185" t="s">
        <v>470</v>
      </c>
      <c r="H23504" s="185"/>
    </row>
    <row r="23505">
      <c r="D23505" s="185"/>
      <c r="E23505" s="185" t="s">
        <v>470</v>
      </c>
      <c r="H23505" s="185"/>
    </row>
    <row r="23506">
      <c r="D23506" s="185"/>
      <c r="E23506" s="185" t="s">
        <v>470</v>
      </c>
      <c r="H23506" s="185"/>
    </row>
    <row r="23507">
      <c r="D23507" s="185"/>
      <c r="E23507" s="185" t="s">
        <v>470</v>
      </c>
      <c r="H23507" s="185"/>
    </row>
    <row r="23508">
      <c r="D23508" s="185"/>
      <c r="E23508" s="185" t="s">
        <v>470</v>
      </c>
      <c r="H23508" s="185"/>
    </row>
    <row r="23509">
      <c r="D23509" s="185"/>
      <c r="E23509" s="185" t="s">
        <v>470</v>
      </c>
      <c r="H23509" s="185"/>
    </row>
    <row r="23510">
      <c r="D23510" s="185"/>
      <c r="E23510" s="185" t="s">
        <v>470</v>
      </c>
      <c r="H23510" s="185"/>
    </row>
    <row r="23511">
      <c r="D23511" s="185"/>
      <c r="E23511" s="185" t="s">
        <v>470</v>
      </c>
      <c r="H23511" s="185"/>
    </row>
    <row r="23512">
      <c r="D23512" s="185"/>
      <c r="E23512" s="185" t="s">
        <v>470</v>
      </c>
      <c r="H23512" s="185"/>
    </row>
    <row r="23513">
      <c r="D23513" s="185"/>
      <c r="E23513" s="185" t="s">
        <v>470</v>
      </c>
      <c r="H23513" s="185"/>
    </row>
    <row r="23514">
      <c r="D23514" s="185"/>
      <c r="E23514" s="185" t="s">
        <v>470</v>
      </c>
      <c r="H23514" s="185"/>
    </row>
    <row r="23515">
      <c r="D23515" s="185"/>
      <c r="E23515" s="185" t="s">
        <v>470</v>
      </c>
      <c r="H23515" s="185"/>
    </row>
    <row r="23516">
      <c r="D23516" s="185"/>
      <c r="E23516" s="185" t="s">
        <v>470</v>
      </c>
      <c r="H23516" s="185"/>
    </row>
    <row r="23517">
      <c r="D23517" s="185"/>
      <c r="E23517" s="185" t="s">
        <v>470</v>
      </c>
      <c r="H23517" s="185"/>
    </row>
    <row r="23518">
      <c r="D23518" s="185"/>
      <c r="E23518" s="185" t="s">
        <v>470</v>
      </c>
      <c r="H23518" s="185"/>
    </row>
    <row r="23519">
      <c r="D23519" s="185"/>
      <c r="E23519" s="185" t="s">
        <v>470</v>
      </c>
      <c r="H23519" s="185"/>
    </row>
    <row r="23520">
      <c r="D23520" s="185"/>
      <c r="E23520" s="185" t="s">
        <v>470</v>
      </c>
      <c r="H23520" s="185"/>
    </row>
    <row r="23521">
      <c r="D23521" s="185"/>
      <c r="E23521" s="185" t="s">
        <v>470</v>
      </c>
      <c r="H23521" s="185"/>
    </row>
    <row r="23522">
      <c r="D23522" s="185"/>
      <c r="E23522" s="185" t="s">
        <v>470</v>
      </c>
      <c r="H23522" s="185"/>
    </row>
    <row r="23523">
      <c r="D23523" s="185"/>
      <c r="E23523" s="185" t="s">
        <v>470</v>
      </c>
      <c r="H23523" s="185"/>
    </row>
    <row r="23524">
      <c r="D23524" s="185"/>
      <c r="E23524" s="185" t="s">
        <v>470</v>
      </c>
      <c r="H23524" s="185"/>
    </row>
    <row r="23525">
      <c r="D23525" s="185"/>
      <c r="E23525" s="185" t="s">
        <v>470</v>
      </c>
      <c r="H23525" s="185"/>
    </row>
    <row r="23526">
      <c r="D23526" s="185"/>
      <c r="E23526" s="185" t="s">
        <v>470</v>
      </c>
      <c r="H23526" s="185"/>
    </row>
    <row r="23527">
      <c r="D23527" s="185"/>
      <c r="E23527" s="185" t="s">
        <v>470</v>
      </c>
      <c r="H23527" s="185"/>
    </row>
    <row r="23528">
      <c r="D23528" s="185"/>
      <c r="E23528" s="185" t="s">
        <v>470</v>
      </c>
      <c r="H23528" s="185"/>
    </row>
    <row r="23529">
      <c r="D23529" s="185"/>
      <c r="E23529" s="185" t="s">
        <v>470</v>
      </c>
      <c r="H23529" s="185"/>
    </row>
    <row r="23530">
      <c r="D23530" s="185"/>
      <c r="E23530" s="185" t="s">
        <v>470</v>
      </c>
      <c r="H23530" s="185"/>
    </row>
    <row r="23531">
      <c r="D23531" s="185"/>
      <c r="E23531" s="185" t="s">
        <v>470</v>
      </c>
      <c r="H23531" s="185"/>
    </row>
    <row r="23532">
      <c r="D23532" s="185"/>
      <c r="E23532" s="185" t="s">
        <v>470</v>
      </c>
      <c r="H23532" s="185"/>
    </row>
    <row r="23533">
      <c r="D23533" s="185"/>
      <c r="E23533" s="185" t="s">
        <v>470</v>
      </c>
      <c r="H23533" s="185"/>
    </row>
    <row r="23534">
      <c r="D23534" s="185"/>
      <c r="E23534" s="185" t="s">
        <v>470</v>
      </c>
      <c r="H23534" s="185"/>
    </row>
    <row r="23535">
      <c r="D23535" s="185"/>
      <c r="E23535" s="185" t="s">
        <v>470</v>
      </c>
      <c r="H23535" s="185"/>
    </row>
    <row r="23536">
      <c r="D23536" s="185"/>
      <c r="E23536" s="185" t="s">
        <v>470</v>
      </c>
      <c r="H23536" s="185"/>
    </row>
    <row r="23537">
      <c r="D23537" s="185"/>
      <c r="E23537" s="185" t="s">
        <v>470</v>
      </c>
      <c r="H23537" s="185"/>
    </row>
    <row r="23538">
      <c r="D23538" s="185"/>
      <c r="E23538" s="185" t="s">
        <v>470</v>
      </c>
      <c r="H23538" s="185"/>
    </row>
    <row r="23539">
      <c r="D23539" s="185"/>
      <c r="E23539" s="185" t="s">
        <v>470</v>
      </c>
      <c r="H23539" s="185"/>
    </row>
    <row r="23540">
      <c r="D23540" s="185"/>
      <c r="E23540" s="185" t="s">
        <v>470</v>
      </c>
      <c r="H23540" s="185"/>
    </row>
    <row r="23541">
      <c r="D23541" s="185"/>
      <c r="E23541" s="185" t="s">
        <v>470</v>
      </c>
      <c r="H23541" s="185"/>
    </row>
    <row r="23542">
      <c r="D23542" s="185"/>
      <c r="E23542" s="185" t="s">
        <v>470</v>
      </c>
      <c r="H23542" s="185"/>
    </row>
    <row r="23543">
      <c r="D23543" s="185"/>
      <c r="E23543" s="185" t="s">
        <v>470</v>
      </c>
      <c r="H23543" s="185"/>
    </row>
    <row r="23544">
      <c r="D23544" s="185"/>
      <c r="E23544" s="185" t="s">
        <v>470</v>
      </c>
      <c r="H23544" s="185"/>
    </row>
    <row r="23545">
      <c r="D23545" s="185"/>
      <c r="E23545" s="185" t="s">
        <v>470</v>
      </c>
      <c r="H23545" s="185"/>
    </row>
    <row r="23546">
      <c r="D23546" s="185"/>
      <c r="E23546" s="185" t="s">
        <v>470</v>
      </c>
      <c r="H23546" s="185"/>
    </row>
    <row r="23547">
      <c r="D23547" s="185"/>
      <c r="E23547" s="185" t="s">
        <v>470</v>
      </c>
      <c r="H23547" s="185"/>
    </row>
    <row r="23548">
      <c r="D23548" s="185"/>
      <c r="E23548" s="185" t="s">
        <v>470</v>
      </c>
      <c r="H23548" s="185"/>
    </row>
    <row r="23549">
      <c r="D23549" s="185"/>
      <c r="E23549" s="185" t="s">
        <v>470</v>
      </c>
      <c r="H23549" s="185"/>
    </row>
    <row r="23550">
      <c r="D23550" s="185"/>
      <c r="E23550" s="185" t="s">
        <v>470</v>
      </c>
      <c r="H23550" s="185"/>
    </row>
    <row r="23551">
      <c r="D23551" s="185"/>
      <c r="E23551" s="185" t="s">
        <v>470</v>
      </c>
      <c r="H23551" s="185"/>
    </row>
    <row r="23552">
      <c r="D23552" s="185"/>
      <c r="E23552" s="185" t="s">
        <v>470</v>
      </c>
      <c r="H23552" s="185"/>
    </row>
    <row r="23553">
      <c r="D23553" s="185"/>
      <c r="E23553" s="185" t="s">
        <v>470</v>
      </c>
      <c r="H23553" s="185"/>
    </row>
    <row r="23554">
      <c r="D23554" s="185"/>
      <c r="E23554" s="185" t="s">
        <v>470</v>
      </c>
      <c r="H23554" s="185"/>
    </row>
    <row r="23555">
      <c r="D23555" s="185"/>
      <c r="E23555" s="185" t="s">
        <v>470</v>
      </c>
      <c r="H23555" s="185"/>
    </row>
    <row r="23556">
      <c r="D23556" s="185"/>
      <c r="E23556" s="185" t="s">
        <v>470</v>
      </c>
      <c r="H23556" s="185"/>
    </row>
    <row r="23557">
      <c r="D23557" s="185"/>
      <c r="E23557" s="185" t="s">
        <v>470</v>
      </c>
      <c r="H23557" s="185"/>
    </row>
    <row r="23558">
      <c r="D23558" s="185"/>
      <c r="E23558" s="185" t="s">
        <v>470</v>
      </c>
      <c r="H23558" s="185"/>
    </row>
    <row r="23559">
      <c r="D23559" s="185"/>
      <c r="E23559" s="185" t="s">
        <v>470</v>
      </c>
      <c r="H23559" s="185"/>
    </row>
    <row r="23560">
      <c r="D23560" s="185"/>
      <c r="E23560" s="185" t="s">
        <v>470</v>
      </c>
      <c r="H23560" s="185"/>
    </row>
    <row r="23561">
      <c r="D23561" s="185"/>
      <c r="E23561" s="185" t="s">
        <v>470</v>
      </c>
      <c r="H23561" s="185"/>
    </row>
    <row r="23562">
      <c r="D23562" s="185"/>
      <c r="E23562" s="185" t="s">
        <v>470</v>
      </c>
      <c r="H23562" s="185"/>
    </row>
    <row r="23563">
      <c r="D23563" s="185"/>
      <c r="E23563" s="185" t="s">
        <v>470</v>
      </c>
      <c r="H23563" s="185"/>
    </row>
    <row r="23564">
      <c r="D23564" s="185"/>
      <c r="E23564" s="185" t="s">
        <v>470</v>
      </c>
      <c r="H23564" s="185"/>
    </row>
    <row r="23565">
      <c r="D23565" s="185"/>
      <c r="E23565" s="185" t="s">
        <v>470</v>
      </c>
      <c r="H23565" s="185"/>
    </row>
    <row r="23566">
      <c r="D23566" s="185"/>
      <c r="E23566" s="185" t="s">
        <v>470</v>
      </c>
      <c r="H23566" s="185"/>
    </row>
    <row r="23567">
      <c r="D23567" s="185"/>
      <c r="E23567" s="185" t="s">
        <v>470</v>
      </c>
      <c r="H23567" s="185"/>
    </row>
    <row r="23568">
      <c r="D23568" s="185"/>
      <c r="E23568" s="185" t="s">
        <v>470</v>
      </c>
      <c r="H23568" s="185"/>
    </row>
    <row r="23569">
      <c r="D23569" s="185"/>
      <c r="E23569" s="185" t="s">
        <v>470</v>
      </c>
      <c r="H23569" s="185"/>
    </row>
    <row r="23570">
      <c r="D23570" s="185"/>
      <c r="E23570" s="185" t="s">
        <v>470</v>
      </c>
      <c r="H23570" s="185"/>
    </row>
    <row r="23571">
      <c r="D23571" s="185"/>
      <c r="E23571" s="185" t="s">
        <v>470</v>
      </c>
      <c r="H23571" s="185"/>
    </row>
    <row r="23572">
      <c r="D23572" s="185"/>
      <c r="E23572" s="185" t="s">
        <v>470</v>
      </c>
      <c r="H23572" s="185"/>
    </row>
    <row r="23573">
      <c r="D23573" s="185"/>
      <c r="E23573" s="185" t="s">
        <v>470</v>
      </c>
      <c r="H23573" s="185"/>
    </row>
    <row r="23574">
      <c r="D23574" s="185"/>
      <c r="E23574" s="185" t="s">
        <v>470</v>
      </c>
      <c r="H23574" s="185"/>
    </row>
    <row r="23575">
      <c r="D23575" s="185"/>
      <c r="E23575" s="185" t="s">
        <v>470</v>
      </c>
      <c r="H23575" s="185"/>
    </row>
    <row r="23576">
      <c r="D23576" s="185"/>
      <c r="E23576" s="185" t="s">
        <v>470</v>
      </c>
      <c r="H23576" s="185"/>
    </row>
    <row r="23577">
      <c r="D23577" s="185"/>
      <c r="E23577" s="185" t="s">
        <v>470</v>
      </c>
      <c r="H23577" s="185"/>
    </row>
    <row r="23578">
      <c r="D23578" s="185"/>
      <c r="E23578" s="185" t="s">
        <v>470</v>
      </c>
      <c r="H23578" s="185"/>
    </row>
    <row r="23579">
      <c r="D23579" s="185"/>
      <c r="E23579" s="185" t="s">
        <v>470</v>
      </c>
      <c r="H23579" s="185"/>
    </row>
    <row r="23580">
      <c r="D23580" s="185"/>
      <c r="E23580" s="185" t="s">
        <v>470</v>
      </c>
      <c r="H23580" s="185"/>
    </row>
    <row r="23581">
      <c r="D23581" s="185"/>
      <c r="E23581" s="185" t="s">
        <v>470</v>
      </c>
      <c r="H23581" s="185"/>
    </row>
    <row r="23582">
      <c r="D23582" s="185"/>
      <c r="E23582" s="185" t="s">
        <v>470</v>
      </c>
      <c r="H23582" s="185"/>
    </row>
    <row r="23583">
      <c r="D23583" s="185"/>
      <c r="E23583" s="185" t="s">
        <v>470</v>
      </c>
      <c r="H23583" s="185"/>
    </row>
    <row r="23584">
      <c r="D23584" s="185"/>
      <c r="E23584" s="185" t="s">
        <v>470</v>
      </c>
      <c r="H23584" s="185"/>
    </row>
    <row r="23585">
      <c r="D23585" s="185"/>
      <c r="E23585" s="185" t="s">
        <v>470</v>
      </c>
      <c r="H23585" s="185"/>
    </row>
    <row r="23586">
      <c r="D23586" s="185"/>
      <c r="E23586" s="185" t="s">
        <v>470</v>
      </c>
      <c r="H23586" s="185"/>
    </row>
    <row r="23587">
      <c r="D23587" s="185"/>
      <c r="E23587" s="185" t="s">
        <v>470</v>
      </c>
      <c r="H23587" s="185"/>
    </row>
    <row r="23588">
      <c r="D23588" s="185"/>
      <c r="E23588" s="185" t="s">
        <v>470</v>
      </c>
      <c r="H23588" s="185"/>
    </row>
    <row r="23589">
      <c r="D23589" s="185"/>
      <c r="E23589" s="185" t="s">
        <v>470</v>
      </c>
      <c r="H23589" s="185"/>
    </row>
    <row r="23590">
      <c r="D23590" s="185"/>
      <c r="E23590" s="185" t="s">
        <v>470</v>
      </c>
      <c r="H23590" s="185"/>
    </row>
    <row r="23591">
      <c r="D23591" s="185"/>
      <c r="E23591" s="185" t="s">
        <v>470</v>
      </c>
      <c r="H23591" s="185"/>
    </row>
    <row r="23592">
      <c r="D23592" s="185"/>
      <c r="E23592" s="185" t="s">
        <v>470</v>
      </c>
      <c r="H23592" s="185"/>
    </row>
    <row r="23593">
      <c r="D23593" s="185"/>
      <c r="E23593" s="185" t="s">
        <v>470</v>
      </c>
      <c r="H23593" s="185"/>
    </row>
    <row r="23594">
      <c r="D23594" s="185"/>
      <c r="E23594" s="185" t="s">
        <v>470</v>
      </c>
      <c r="H23594" s="185"/>
    </row>
    <row r="23595">
      <c r="D23595" s="185"/>
      <c r="E23595" s="185" t="s">
        <v>470</v>
      </c>
      <c r="H23595" s="185"/>
    </row>
    <row r="23596">
      <c r="D23596" s="185"/>
      <c r="E23596" s="185" t="s">
        <v>470</v>
      </c>
      <c r="H23596" s="185"/>
    </row>
    <row r="23597">
      <c r="D23597" s="185"/>
      <c r="E23597" s="185" t="s">
        <v>470</v>
      </c>
      <c r="H23597" s="185"/>
    </row>
    <row r="23598">
      <c r="D23598" s="185"/>
      <c r="E23598" s="185" t="s">
        <v>470</v>
      </c>
      <c r="H23598" s="185"/>
    </row>
    <row r="23599">
      <c r="D23599" s="185"/>
      <c r="E23599" s="185" t="s">
        <v>470</v>
      </c>
      <c r="H23599" s="185"/>
    </row>
    <row r="23600">
      <c r="D23600" s="185"/>
      <c r="E23600" s="185" t="s">
        <v>470</v>
      </c>
      <c r="H23600" s="185"/>
    </row>
    <row r="23601">
      <c r="D23601" s="185"/>
      <c r="E23601" s="185" t="s">
        <v>470</v>
      </c>
      <c r="H23601" s="185"/>
    </row>
    <row r="23602">
      <c r="D23602" s="185"/>
      <c r="E23602" s="185" t="s">
        <v>470</v>
      </c>
      <c r="H23602" s="185"/>
    </row>
    <row r="23603">
      <c r="D23603" s="185"/>
      <c r="E23603" s="185" t="s">
        <v>470</v>
      </c>
      <c r="H23603" s="185"/>
    </row>
    <row r="23604">
      <c r="D23604" s="185"/>
      <c r="E23604" s="185" t="s">
        <v>470</v>
      </c>
      <c r="H23604" s="185"/>
    </row>
    <row r="23605">
      <c r="D23605" s="185"/>
      <c r="E23605" s="185" t="s">
        <v>470</v>
      </c>
      <c r="H23605" s="185"/>
    </row>
    <row r="23606">
      <c r="D23606" s="185"/>
      <c r="E23606" s="185" t="s">
        <v>470</v>
      </c>
      <c r="H23606" s="185"/>
    </row>
    <row r="23607">
      <c r="D23607" s="185"/>
      <c r="E23607" s="185" t="s">
        <v>470</v>
      </c>
      <c r="H23607" s="185"/>
    </row>
    <row r="23608">
      <c r="D23608" s="185"/>
      <c r="E23608" s="185" t="s">
        <v>470</v>
      </c>
      <c r="H23608" s="185"/>
    </row>
    <row r="23609">
      <c r="D23609" s="185"/>
      <c r="E23609" s="185" t="s">
        <v>470</v>
      </c>
      <c r="H23609" s="185"/>
    </row>
    <row r="23610">
      <c r="D23610" s="185"/>
      <c r="E23610" s="185" t="s">
        <v>470</v>
      </c>
      <c r="H23610" s="185"/>
    </row>
    <row r="23611">
      <c r="D23611" s="185"/>
      <c r="E23611" s="185" t="s">
        <v>470</v>
      </c>
      <c r="H23611" s="185"/>
    </row>
    <row r="23612">
      <c r="D23612" s="185"/>
      <c r="E23612" s="185" t="s">
        <v>470</v>
      </c>
      <c r="H23612" s="185"/>
    </row>
    <row r="23613">
      <c r="D23613" s="185"/>
      <c r="E23613" s="185" t="s">
        <v>470</v>
      </c>
      <c r="H23613" s="185"/>
    </row>
    <row r="23614">
      <c r="D23614" s="185"/>
      <c r="E23614" s="185" t="s">
        <v>470</v>
      </c>
      <c r="H23614" s="185"/>
    </row>
    <row r="23615">
      <c r="D23615" s="185"/>
      <c r="E23615" s="185" t="s">
        <v>470</v>
      </c>
      <c r="H23615" s="185"/>
    </row>
    <row r="23616">
      <c r="D23616" s="185"/>
      <c r="E23616" s="185" t="s">
        <v>470</v>
      </c>
      <c r="H23616" s="185"/>
    </row>
    <row r="23617">
      <c r="D23617" s="185"/>
      <c r="E23617" s="185" t="s">
        <v>470</v>
      </c>
      <c r="H23617" s="185"/>
    </row>
    <row r="23618">
      <c r="D23618" s="185"/>
      <c r="E23618" s="185" t="s">
        <v>470</v>
      </c>
      <c r="H23618" s="185"/>
    </row>
    <row r="23619">
      <c r="D23619" s="185"/>
      <c r="E23619" s="185" t="s">
        <v>470</v>
      </c>
      <c r="H23619" s="185"/>
    </row>
    <row r="23620">
      <c r="D23620" s="185"/>
      <c r="E23620" s="185" t="s">
        <v>470</v>
      </c>
      <c r="H23620" s="185"/>
    </row>
    <row r="23621">
      <c r="D23621" s="185"/>
      <c r="E23621" s="185" t="s">
        <v>470</v>
      </c>
      <c r="H23621" s="185"/>
    </row>
    <row r="23622">
      <c r="D23622" s="185"/>
      <c r="E23622" s="185" t="s">
        <v>470</v>
      </c>
      <c r="H23622" s="185"/>
    </row>
    <row r="23623">
      <c r="D23623" s="185"/>
      <c r="E23623" s="185" t="s">
        <v>470</v>
      </c>
      <c r="H23623" s="185"/>
    </row>
    <row r="23624">
      <c r="D23624" s="185"/>
      <c r="E23624" s="185" t="s">
        <v>470</v>
      </c>
      <c r="H23624" s="185"/>
    </row>
    <row r="23625">
      <c r="D23625" s="185"/>
      <c r="E23625" s="185" t="s">
        <v>470</v>
      </c>
      <c r="H23625" s="185"/>
    </row>
    <row r="23626">
      <c r="D23626" s="185"/>
      <c r="E23626" s="185" t="s">
        <v>470</v>
      </c>
      <c r="H23626" s="185"/>
    </row>
    <row r="23627">
      <c r="D23627" s="185"/>
      <c r="E23627" s="185" t="s">
        <v>470</v>
      </c>
      <c r="H23627" s="185"/>
    </row>
    <row r="23628">
      <c r="D23628" s="185"/>
      <c r="E23628" s="185" t="s">
        <v>470</v>
      </c>
      <c r="H23628" s="185"/>
    </row>
    <row r="23629">
      <c r="D23629" s="185"/>
      <c r="E23629" s="185" t="s">
        <v>470</v>
      </c>
      <c r="H23629" s="185"/>
    </row>
    <row r="23630">
      <c r="D23630" s="185"/>
      <c r="E23630" s="185" t="s">
        <v>470</v>
      </c>
      <c r="H23630" s="185"/>
    </row>
    <row r="23631">
      <c r="D23631" s="185"/>
      <c r="E23631" s="185" t="s">
        <v>470</v>
      </c>
      <c r="H23631" s="185"/>
    </row>
    <row r="23632">
      <c r="D23632" s="185"/>
      <c r="E23632" s="185" t="s">
        <v>470</v>
      </c>
      <c r="H23632" s="185"/>
    </row>
    <row r="23633">
      <c r="D23633" s="185"/>
      <c r="E23633" s="185" t="s">
        <v>470</v>
      </c>
      <c r="H23633" s="185"/>
    </row>
    <row r="23634">
      <c r="D23634" s="185"/>
      <c r="E23634" s="185" t="s">
        <v>470</v>
      </c>
      <c r="H23634" s="185"/>
    </row>
    <row r="23635">
      <c r="D23635" s="185"/>
      <c r="E23635" s="185" t="s">
        <v>470</v>
      </c>
      <c r="H23635" s="185"/>
    </row>
    <row r="23636">
      <c r="D23636" s="185"/>
      <c r="E23636" s="185" t="s">
        <v>470</v>
      </c>
      <c r="H23636" s="185"/>
    </row>
    <row r="23637">
      <c r="D23637" s="185"/>
      <c r="E23637" s="185" t="s">
        <v>470</v>
      </c>
      <c r="H23637" s="185"/>
    </row>
    <row r="23638">
      <c r="D23638" s="185"/>
      <c r="E23638" s="185" t="s">
        <v>470</v>
      </c>
      <c r="H23638" s="185"/>
    </row>
    <row r="23639">
      <c r="D23639" s="185"/>
      <c r="E23639" s="185" t="s">
        <v>470</v>
      </c>
      <c r="H23639" s="185"/>
    </row>
    <row r="23640">
      <c r="D23640" s="185"/>
      <c r="E23640" s="185" t="s">
        <v>470</v>
      </c>
      <c r="H23640" s="185"/>
    </row>
    <row r="23641">
      <c r="D23641" s="185"/>
      <c r="E23641" s="185" t="s">
        <v>470</v>
      </c>
      <c r="H23641" s="185"/>
    </row>
    <row r="23642">
      <c r="D23642" s="185"/>
      <c r="E23642" s="185" t="s">
        <v>470</v>
      </c>
      <c r="H23642" s="185"/>
    </row>
    <row r="23643">
      <c r="D23643" s="185"/>
      <c r="E23643" s="185" t="s">
        <v>470</v>
      </c>
      <c r="H23643" s="185"/>
    </row>
    <row r="23644">
      <c r="D23644" s="185"/>
      <c r="E23644" s="185" t="s">
        <v>470</v>
      </c>
      <c r="H23644" s="185"/>
    </row>
    <row r="23645">
      <c r="D23645" s="185"/>
      <c r="E23645" s="185" t="s">
        <v>470</v>
      </c>
      <c r="H23645" s="185"/>
    </row>
    <row r="23646">
      <c r="D23646" s="185"/>
      <c r="E23646" s="185" t="s">
        <v>470</v>
      </c>
      <c r="H23646" s="185"/>
    </row>
    <row r="23647">
      <c r="D23647" s="185"/>
      <c r="E23647" s="185" t="s">
        <v>470</v>
      </c>
      <c r="H23647" s="185"/>
    </row>
    <row r="23648">
      <c r="D23648" s="185"/>
      <c r="E23648" s="185" t="s">
        <v>470</v>
      </c>
      <c r="H23648" s="185"/>
    </row>
    <row r="23649">
      <c r="D23649" s="185"/>
      <c r="E23649" s="185" t="s">
        <v>470</v>
      </c>
      <c r="H23649" s="185"/>
    </row>
    <row r="23650">
      <c r="D23650" s="185"/>
      <c r="E23650" s="185" t="s">
        <v>470</v>
      </c>
      <c r="H23650" s="185"/>
    </row>
    <row r="23651">
      <c r="D23651" s="185"/>
      <c r="E23651" s="185" t="s">
        <v>470</v>
      </c>
      <c r="H23651" s="185"/>
    </row>
    <row r="23652">
      <c r="D23652" s="185"/>
      <c r="E23652" s="185" t="s">
        <v>470</v>
      </c>
      <c r="H23652" s="185"/>
    </row>
    <row r="23653">
      <c r="D23653" s="185"/>
      <c r="E23653" s="185" t="s">
        <v>470</v>
      </c>
      <c r="H23653" s="185"/>
    </row>
    <row r="23654">
      <c r="D23654" s="185"/>
      <c r="E23654" s="185" t="s">
        <v>470</v>
      </c>
      <c r="H23654" s="185"/>
    </row>
    <row r="23655">
      <c r="D23655" s="185"/>
      <c r="E23655" s="185" t="s">
        <v>470</v>
      </c>
      <c r="H23655" s="185"/>
    </row>
    <row r="23656">
      <c r="D23656" s="185"/>
      <c r="E23656" s="185" t="s">
        <v>470</v>
      </c>
      <c r="H23656" s="185"/>
    </row>
    <row r="23657">
      <c r="D23657" s="185"/>
      <c r="E23657" s="185" t="s">
        <v>470</v>
      </c>
      <c r="H23657" s="185"/>
    </row>
    <row r="23658">
      <c r="D23658" s="185"/>
      <c r="E23658" s="185" t="s">
        <v>470</v>
      </c>
      <c r="H23658" s="185"/>
    </row>
    <row r="23659">
      <c r="D23659" s="185"/>
      <c r="E23659" s="185" t="s">
        <v>470</v>
      </c>
      <c r="H23659" s="185"/>
    </row>
    <row r="23660">
      <c r="D23660" s="185"/>
      <c r="E23660" s="185" t="s">
        <v>470</v>
      </c>
      <c r="H23660" s="185"/>
    </row>
    <row r="23661">
      <c r="D23661" s="185"/>
      <c r="E23661" s="185" t="s">
        <v>470</v>
      </c>
      <c r="H23661" s="185"/>
    </row>
    <row r="23662">
      <c r="D23662" s="185"/>
      <c r="E23662" s="185" t="s">
        <v>470</v>
      </c>
      <c r="H23662" s="185"/>
    </row>
    <row r="23663">
      <c r="D23663" s="185"/>
      <c r="E23663" s="185" t="s">
        <v>470</v>
      </c>
      <c r="H23663" s="185"/>
    </row>
    <row r="23664">
      <c r="D23664" s="185"/>
      <c r="E23664" s="185" t="s">
        <v>470</v>
      </c>
      <c r="H23664" s="185"/>
    </row>
    <row r="23665">
      <c r="D23665" s="185"/>
      <c r="E23665" s="185" t="s">
        <v>470</v>
      </c>
      <c r="H23665" s="185"/>
    </row>
    <row r="23666">
      <c r="D23666" s="185"/>
      <c r="E23666" s="185" t="s">
        <v>470</v>
      </c>
      <c r="H23666" s="185"/>
    </row>
    <row r="23667">
      <c r="D23667" s="185"/>
      <c r="E23667" s="185" t="s">
        <v>470</v>
      </c>
      <c r="H23667" s="185"/>
    </row>
    <row r="23668">
      <c r="D23668" s="185"/>
      <c r="E23668" s="185" t="s">
        <v>470</v>
      </c>
      <c r="H23668" s="185"/>
    </row>
    <row r="23669">
      <c r="D23669" s="185"/>
      <c r="E23669" s="185" t="s">
        <v>470</v>
      </c>
      <c r="H23669" s="185"/>
    </row>
    <row r="23670">
      <c r="D23670" s="185"/>
      <c r="E23670" s="185" t="s">
        <v>470</v>
      </c>
      <c r="H23670" s="185"/>
    </row>
    <row r="23671">
      <c r="D23671" s="185"/>
      <c r="E23671" s="185" t="s">
        <v>470</v>
      </c>
      <c r="H23671" s="185"/>
    </row>
    <row r="23672">
      <c r="D23672" s="185"/>
      <c r="E23672" s="185" t="s">
        <v>470</v>
      </c>
      <c r="H23672" s="185"/>
    </row>
    <row r="23673">
      <c r="D23673" s="185"/>
      <c r="E23673" s="185" t="s">
        <v>470</v>
      </c>
      <c r="H23673" s="185"/>
    </row>
    <row r="23674">
      <c r="D23674" s="185"/>
      <c r="E23674" s="185" t="s">
        <v>470</v>
      </c>
      <c r="H23674" s="185"/>
    </row>
    <row r="23675">
      <c r="D23675" s="185"/>
      <c r="E23675" s="185" t="s">
        <v>470</v>
      </c>
      <c r="H23675" s="185"/>
    </row>
    <row r="23676">
      <c r="D23676" s="185"/>
      <c r="E23676" s="185" t="s">
        <v>470</v>
      </c>
      <c r="H23676" s="185"/>
    </row>
    <row r="23677">
      <c r="D23677" s="185"/>
      <c r="E23677" s="185" t="s">
        <v>470</v>
      </c>
      <c r="H23677" s="185"/>
    </row>
    <row r="23678">
      <c r="D23678" s="185"/>
      <c r="E23678" s="185" t="s">
        <v>470</v>
      </c>
      <c r="H23678" s="185"/>
    </row>
    <row r="23679">
      <c r="D23679" s="185"/>
      <c r="E23679" s="185" t="s">
        <v>470</v>
      </c>
      <c r="H23679" s="185"/>
    </row>
    <row r="23680">
      <c r="D23680" s="185"/>
      <c r="E23680" s="185" t="s">
        <v>470</v>
      </c>
      <c r="H23680" s="185"/>
    </row>
    <row r="23681">
      <c r="D23681" s="185"/>
      <c r="E23681" s="185" t="s">
        <v>470</v>
      </c>
      <c r="H23681" s="185"/>
    </row>
    <row r="23682">
      <c r="D23682" s="185"/>
      <c r="E23682" s="185" t="s">
        <v>470</v>
      </c>
      <c r="H23682" s="185"/>
    </row>
    <row r="23683">
      <c r="D23683" s="185"/>
      <c r="E23683" s="185" t="s">
        <v>470</v>
      </c>
      <c r="H23683" s="185"/>
    </row>
    <row r="23684">
      <c r="D23684" s="185"/>
      <c r="E23684" s="185" t="s">
        <v>470</v>
      </c>
      <c r="H23684" s="185"/>
    </row>
    <row r="23685">
      <c r="D23685" s="185"/>
      <c r="E23685" s="185" t="s">
        <v>470</v>
      </c>
      <c r="H23685" s="185"/>
    </row>
    <row r="23686">
      <c r="D23686" s="185"/>
      <c r="E23686" s="185" t="s">
        <v>470</v>
      </c>
      <c r="H23686" s="185"/>
    </row>
    <row r="23687">
      <c r="D23687" s="185"/>
      <c r="E23687" s="185" t="s">
        <v>470</v>
      </c>
      <c r="H23687" s="185"/>
    </row>
    <row r="23688">
      <c r="D23688" s="185"/>
      <c r="E23688" s="185" t="s">
        <v>470</v>
      </c>
      <c r="H23688" s="185"/>
    </row>
    <row r="23689">
      <c r="D23689" s="185"/>
      <c r="E23689" s="185" t="s">
        <v>470</v>
      </c>
      <c r="H23689" s="185"/>
    </row>
    <row r="23690">
      <c r="D23690" s="185"/>
      <c r="E23690" s="185" t="s">
        <v>470</v>
      </c>
      <c r="H23690" s="185"/>
    </row>
    <row r="23691">
      <c r="D23691" s="185"/>
      <c r="E23691" s="185" t="s">
        <v>470</v>
      </c>
      <c r="H23691" s="185"/>
    </row>
    <row r="23692">
      <c r="D23692" s="185"/>
      <c r="E23692" s="185" t="s">
        <v>470</v>
      </c>
      <c r="H23692" s="185"/>
    </row>
    <row r="23693">
      <c r="D23693" s="185"/>
      <c r="E23693" s="185" t="s">
        <v>470</v>
      </c>
      <c r="H23693" s="185"/>
    </row>
    <row r="23694">
      <c r="D23694" s="185"/>
      <c r="E23694" s="185" t="s">
        <v>470</v>
      </c>
      <c r="H23694" s="185"/>
    </row>
    <row r="23695">
      <c r="D23695" s="185"/>
      <c r="E23695" s="185" t="s">
        <v>470</v>
      </c>
      <c r="H23695" s="185"/>
    </row>
    <row r="23696">
      <c r="D23696" s="185"/>
      <c r="E23696" s="185" t="s">
        <v>470</v>
      </c>
      <c r="H23696" s="185"/>
    </row>
    <row r="23697">
      <c r="D23697" s="185"/>
      <c r="E23697" s="185" t="s">
        <v>470</v>
      </c>
      <c r="H23697" s="185"/>
    </row>
    <row r="23698">
      <c r="D23698" s="185"/>
      <c r="E23698" s="185" t="s">
        <v>470</v>
      </c>
      <c r="H23698" s="185"/>
    </row>
    <row r="23699">
      <c r="D23699" s="185"/>
      <c r="E23699" s="185" t="s">
        <v>470</v>
      </c>
      <c r="H23699" s="185"/>
    </row>
    <row r="23700">
      <c r="D23700" s="185"/>
      <c r="E23700" s="185" t="s">
        <v>470</v>
      </c>
      <c r="H23700" s="185"/>
    </row>
    <row r="23701">
      <c r="D23701" s="185"/>
      <c r="E23701" s="185" t="s">
        <v>470</v>
      </c>
      <c r="H23701" s="185"/>
    </row>
    <row r="23702">
      <c r="D23702" s="185"/>
      <c r="E23702" s="185" t="s">
        <v>470</v>
      </c>
      <c r="H23702" s="185"/>
    </row>
    <row r="23703">
      <c r="D23703" s="185"/>
      <c r="E23703" s="185" t="s">
        <v>470</v>
      </c>
      <c r="H23703" s="185"/>
    </row>
    <row r="23704">
      <c r="D23704" s="185"/>
      <c r="E23704" s="185" t="s">
        <v>470</v>
      </c>
      <c r="H23704" s="185"/>
    </row>
    <row r="23705">
      <c r="D23705" s="185"/>
      <c r="E23705" s="185" t="s">
        <v>470</v>
      </c>
      <c r="H23705" s="185"/>
    </row>
    <row r="23706">
      <c r="D23706" s="185"/>
      <c r="E23706" s="185" t="s">
        <v>470</v>
      </c>
      <c r="H23706" s="185"/>
    </row>
    <row r="23707">
      <c r="D23707" s="185"/>
      <c r="E23707" s="185" t="s">
        <v>470</v>
      </c>
      <c r="H23707" s="185"/>
    </row>
    <row r="23708">
      <c r="D23708" s="185"/>
      <c r="E23708" s="185" t="s">
        <v>470</v>
      </c>
      <c r="H23708" s="185"/>
    </row>
    <row r="23709">
      <c r="D23709" s="185"/>
      <c r="E23709" s="185" t="s">
        <v>470</v>
      </c>
      <c r="H23709" s="185"/>
    </row>
    <row r="23710">
      <c r="D23710" s="185"/>
      <c r="E23710" s="185" t="s">
        <v>470</v>
      </c>
      <c r="H23710" s="185"/>
    </row>
    <row r="23711">
      <c r="D23711" s="185"/>
      <c r="E23711" s="185" t="s">
        <v>470</v>
      </c>
      <c r="H23711" s="185"/>
    </row>
    <row r="23712">
      <c r="D23712" s="185"/>
      <c r="E23712" s="185" t="s">
        <v>470</v>
      </c>
      <c r="H23712" s="185"/>
    </row>
    <row r="23713">
      <c r="D23713" s="185"/>
      <c r="E23713" s="185" t="s">
        <v>470</v>
      </c>
      <c r="H23713" s="185"/>
    </row>
    <row r="23714">
      <c r="D23714" s="185"/>
      <c r="E23714" s="185" t="s">
        <v>470</v>
      </c>
      <c r="H23714" s="185"/>
    </row>
    <row r="23715">
      <c r="D23715" s="185"/>
      <c r="E23715" s="185" t="s">
        <v>470</v>
      </c>
      <c r="H23715" s="185"/>
    </row>
    <row r="23716">
      <c r="D23716" s="185"/>
      <c r="E23716" s="185" t="s">
        <v>470</v>
      </c>
      <c r="H23716" s="185"/>
    </row>
    <row r="23717">
      <c r="D23717" s="185"/>
      <c r="E23717" s="185" t="s">
        <v>470</v>
      </c>
      <c r="H23717" s="185"/>
    </row>
    <row r="23718">
      <c r="D23718" s="185"/>
      <c r="E23718" s="185" t="s">
        <v>470</v>
      </c>
      <c r="H23718" s="185"/>
    </row>
    <row r="23719">
      <c r="D23719" s="185"/>
      <c r="E23719" s="185" t="s">
        <v>470</v>
      </c>
      <c r="H23719" s="185"/>
    </row>
    <row r="23720">
      <c r="D23720" s="185"/>
      <c r="E23720" s="185" t="s">
        <v>470</v>
      </c>
      <c r="H23720" s="185"/>
    </row>
    <row r="23721">
      <c r="D23721" s="185"/>
      <c r="E23721" s="185" t="s">
        <v>470</v>
      </c>
      <c r="H23721" s="185"/>
    </row>
    <row r="23722">
      <c r="D23722" s="185"/>
      <c r="E23722" s="185" t="s">
        <v>470</v>
      </c>
      <c r="H23722" s="185"/>
    </row>
    <row r="23723">
      <c r="D23723" s="185"/>
      <c r="E23723" s="185" t="s">
        <v>470</v>
      </c>
      <c r="H23723" s="185"/>
    </row>
    <row r="23724">
      <c r="D23724" s="185"/>
      <c r="E23724" s="185" t="s">
        <v>470</v>
      </c>
      <c r="H23724" s="185"/>
    </row>
    <row r="23725">
      <c r="D23725" s="185"/>
      <c r="E23725" s="185" t="s">
        <v>470</v>
      </c>
      <c r="H23725" s="185"/>
    </row>
    <row r="23726">
      <c r="D23726" s="185"/>
      <c r="E23726" s="185" t="s">
        <v>470</v>
      </c>
      <c r="H23726" s="185"/>
    </row>
    <row r="23727">
      <c r="D23727" s="185"/>
      <c r="E23727" s="185" t="s">
        <v>470</v>
      </c>
      <c r="H23727" s="185"/>
    </row>
    <row r="23728">
      <c r="D23728" s="185"/>
      <c r="E23728" s="185" t="s">
        <v>470</v>
      </c>
      <c r="H23728" s="185"/>
    </row>
    <row r="23729">
      <c r="D23729" s="185"/>
      <c r="E23729" s="185" t="s">
        <v>470</v>
      </c>
      <c r="H23729" s="185"/>
    </row>
    <row r="23730">
      <c r="D23730" s="185"/>
      <c r="E23730" s="185" t="s">
        <v>470</v>
      </c>
      <c r="H23730" s="185"/>
    </row>
    <row r="23731">
      <c r="D23731" s="185"/>
      <c r="E23731" s="185" t="s">
        <v>470</v>
      </c>
      <c r="H23731" s="185"/>
    </row>
    <row r="23732">
      <c r="D23732" s="185"/>
      <c r="E23732" s="185" t="s">
        <v>470</v>
      </c>
      <c r="H23732" s="185"/>
    </row>
    <row r="23733">
      <c r="D23733" s="185"/>
      <c r="E23733" s="185" t="s">
        <v>470</v>
      </c>
      <c r="H23733" s="185"/>
    </row>
    <row r="23734">
      <c r="D23734" s="185"/>
      <c r="E23734" s="185" t="s">
        <v>470</v>
      </c>
      <c r="H23734" s="185"/>
    </row>
    <row r="23735">
      <c r="D23735" s="185"/>
      <c r="E23735" s="185" t="s">
        <v>470</v>
      </c>
      <c r="H23735" s="185"/>
    </row>
    <row r="23736">
      <c r="D23736" s="185"/>
      <c r="E23736" s="185" t="s">
        <v>470</v>
      </c>
      <c r="H23736" s="185"/>
    </row>
    <row r="23737">
      <c r="D23737" s="185"/>
      <c r="E23737" s="185" t="s">
        <v>470</v>
      </c>
      <c r="H23737" s="185"/>
    </row>
    <row r="23738">
      <c r="D23738" s="185"/>
      <c r="E23738" s="185" t="s">
        <v>470</v>
      </c>
      <c r="H23738" s="185"/>
    </row>
    <row r="23739">
      <c r="D23739" s="185"/>
      <c r="E23739" s="185" t="s">
        <v>470</v>
      </c>
      <c r="H23739" s="185"/>
    </row>
    <row r="23740">
      <c r="D23740" s="185"/>
      <c r="E23740" s="185" t="s">
        <v>470</v>
      </c>
      <c r="H23740" s="185"/>
    </row>
    <row r="23741">
      <c r="D23741" s="185"/>
      <c r="E23741" s="185" t="s">
        <v>470</v>
      </c>
      <c r="H23741" s="185"/>
    </row>
    <row r="23742">
      <c r="D23742" s="185"/>
      <c r="E23742" s="185" t="s">
        <v>470</v>
      </c>
      <c r="H23742" s="185"/>
    </row>
    <row r="23743">
      <c r="D23743" s="185"/>
      <c r="E23743" s="185" t="s">
        <v>470</v>
      </c>
      <c r="H23743" s="185"/>
    </row>
    <row r="23744">
      <c r="D23744" s="185"/>
      <c r="E23744" s="185" t="s">
        <v>470</v>
      </c>
      <c r="H23744" s="185"/>
    </row>
    <row r="23745">
      <c r="D23745" s="185"/>
      <c r="E23745" s="185" t="s">
        <v>470</v>
      </c>
      <c r="H23745" s="185"/>
    </row>
    <row r="23746">
      <c r="D23746" s="185"/>
      <c r="E23746" s="185" t="s">
        <v>470</v>
      </c>
      <c r="H23746" s="185"/>
    </row>
    <row r="23747">
      <c r="D23747" s="185"/>
      <c r="E23747" s="185" t="s">
        <v>470</v>
      </c>
      <c r="H23747" s="185"/>
    </row>
    <row r="23748">
      <c r="D23748" s="185"/>
      <c r="E23748" s="185" t="s">
        <v>470</v>
      </c>
      <c r="H23748" s="185"/>
    </row>
    <row r="23749">
      <c r="D23749" s="185"/>
      <c r="E23749" s="185" t="s">
        <v>470</v>
      </c>
      <c r="H23749" s="185"/>
    </row>
    <row r="23750">
      <c r="D23750" s="185"/>
      <c r="E23750" s="185" t="s">
        <v>470</v>
      </c>
      <c r="H23750" s="185"/>
    </row>
    <row r="23751">
      <c r="D23751" s="185"/>
      <c r="E23751" s="185" t="s">
        <v>470</v>
      </c>
      <c r="H23751" s="185"/>
    </row>
    <row r="23752">
      <c r="D23752" s="185"/>
      <c r="E23752" s="185" t="s">
        <v>470</v>
      </c>
      <c r="H23752" s="185"/>
    </row>
    <row r="23753">
      <c r="D23753" s="185"/>
      <c r="E23753" s="185" t="s">
        <v>470</v>
      </c>
      <c r="H23753" s="185"/>
    </row>
    <row r="23754">
      <c r="D23754" s="185"/>
      <c r="E23754" s="185" t="s">
        <v>470</v>
      </c>
      <c r="H23754" s="185"/>
    </row>
    <row r="23755">
      <c r="D23755" s="185"/>
      <c r="E23755" s="185" t="s">
        <v>470</v>
      </c>
      <c r="H23755" s="185"/>
    </row>
    <row r="23756">
      <c r="D23756" s="185"/>
      <c r="E23756" s="185" t="s">
        <v>470</v>
      </c>
      <c r="H23756" s="185"/>
    </row>
    <row r="23757">
      <c r="D23757" s="185"/>
      <c r="E23757" s="185" t="s">
        <v>470</v>
      </c>
      <c r="H23757" s="185"/>
    </row>
    <row r="23758">
      <c r="D23758" s="185"/>
      <c r="E23758" s="185" t="s">
        <v>470</v>
      </c>
      <c r="H23758" s="185"/>
    </row>
    <row r="23759">
      <c r="D23759" s="185"/>
      <c r="E23759" s="185" t="s">
        <v>470</v>
      </c>
      <c r="H23759" s="185"/>
    </row>
    <row r="23760">
      <c r="D23760" s="185"/>
      <c r="E23760" s="185" t="s">
        <v>470</v>
      </c>
      <c r="H23760" s="185"/>
    </row>
    <row r="23761">
      <c r="D23761" s="185"/>
      <c r="E23761" s="185" t="s">
        <v>470</v>
      </c>
      <c r="H23761" s="185"/>
    </row>
    <row r="23762">
      <c r="D23762" s="185"/>
      <c r="E23762" s="185" t="s">
        <v>470</v>
      </c>
      <c r="H23762" s="185"/>
    </row>
    <row r="23763">
      <c r="D23763" s="185"/>
      <c r="E23763" s="185" t="s">
        <v>470</v>
      </c>
      <c r="H23763" s="185"/>
    </row>
    <row r="23764">
      <c r="D23764" s="185"/>
      <c r="E23764" s="185" t="s">
        <v>470</v>
      </c>
      <c r="H23764" s="185"/>
    </row>
    <row r="23765">
      <c r="D23765" s="185"/>
      <c r="E23765" s="185" t="s">
        <v>470</v>
      </c>
      <c r="H23765" s="185"/>
    </row>
    <row r="23766">
      <c r="D23766" s="185"/>
      <c r="E23766" s="185" t="s">
        <v>470</v>
      </c>
      <c r="H23766" s="185"/>
    </row>
    <row r="23767">
      <c r="D23767" s="185"/>
      <c r="E23767" s="185" t="s">
        <v>470</v>
      </c>
      <c r="H23767" s="185"/>
    </row>
    <row r="23768">
      <c r="D23768" s="185"/>
      <c r="E23768" s="185" t="s">
        <v>470</v>
      </c>
      <c r="H23768" s="185"/>
    </row>
    <row r="23769">
      <c r="D23769" s="185"/>
      <c r="E23769" s="185" t="s">
        <v>470</v>
      </c>
      <c r="H23769" s="185"/>
    </row>
    <row r="23770">
      <c r="D23770" s="185"/>
      <c r="E23770" s="185" t="s">
        <v>470</v>
      </c>
      <c r="H23770" s="185"/>
    </row>
    <row r="23771">
      <c r="D23771" s="185"/>
      <c r="E23771" s="185" t="s">
        <v>470</v>
      </c>
      <c r="H23771" s="185"/>
    </row>
    <row r="23772">
      <c r="D23772" s="185"/>
      <c r="E23772" s="185" t="s">
        <v>470</v>
      </c>
      <c r="H23772" s="185"/>
    </row>
    <row r="23773">
      <c r="D23773" s="185"/>
      <c r="E23773" s="185" t="s">
        <v>470</v>
      </c>
      <c r="H23773" s="185"/>
    </row>
    <row r="23774">
      <c r="D23774" s="185"/>
      <c r="E23774" s="185" t="s">
        <v>470</v>
      </c>
      <c r="H23774" s="185"/>
    </row>
    <row r="23775">
      <c r="D23775" s="185"/>
      <c r="E23775" s="185" t="s">
        <v>470</v>
      </c>
      <c r="H23775" s="185"/>
    </row>
    <row r="23776">
      <c r="D23776" s="185"/>
      <c r="E23776" s="185" t="s">
        <v>470</v>
      </c>
      <c r="H23776" s="185"/>
    </row>
    <row r="23777">
      <c r="D23777" s="185"/>
      <c r="E23777" s="185" t="s">
        <v>470</v>
      </c>
      <c r="H23777" s="185"/>
    </row>
    <row r="23778">
      <c r="D23778" s="185"/>
      <c r="E23778" s="185" t="s">
        <v>470</v>
      </c>
      <c r="H23778" s="185"/>
    </row>
    <row r="23779">
      <c r="D23779" s="185"/>
      <c r="E23779" s="185" t="s">
        <v>470</v>
      </c>
      <c r="H23779" s="185"/>
    </row>
    <row r="23780">
      <c r="D23780" s="185"/>
      <c r="E23780" s="185" t="s">
        <v>470</v>
      </c>
      <c r="H23780" s="185"/>
    </row>
    <row r="23781">
      <c r="D23781" s="185"/>
      <c r="E23781" s="185" t="s">
        <v>470</v>
      </c>
      <c r="H23781" s="185"/>
    </row>
    <row r="23782">
      <c r="D23782" s="185"/>
      <c r="E23782" s="185" t="s">
        <v>470</v>
      </c>
      <c r="H23782" s="185"/>
    </row>
    <row r="23783">
      <c r="D23783" s="185"/>
      <c r="E23783" s="185" t="s">
        <v>470</v>
      </c>
      <c r="H23783" s="185"/>
    </row>
    <row r="23784">
      <c r="D23784" s="185"/>
      <c r="E23784" s="185" t="s">
        <v>470</v>
      </c>
      <c r="H23784" s="185"/>
    </row>
    <row r="23785">
      <c r="D23785" s="185"/>
      <c r="E23785" s="185" t="s">
        <v>470</v>
      </c>
      <c r="H23785" s="185"/>
    </row>
    <row r="23786">
      <c r="D23786" s="185"/>
      <c r="E23786" s="185" t="s">
        <v>470</v>
      </c>
      <c r="H23786" s="185"/>
    </row>
    <row r="23787">
      <c r="D23787" s="185"/>
      <c r="E23787" s="185" t="s">
        <v>470</v>
      </c>
      <c r="H23787" s="185"/>
    </row>
    <row r="23788">
      <c r="D23788" s="185"/>
      <c r="E23788" s="185" t="s">
        <v>470</v>
      </c>
      <c r="H23788" s="185"/>
    </row>
    <row r="23789">
      <c r="D23789" s="185"/>
      <c r="E23789" s="185" t="s">
        <v>470</v>
      </c>
      <c r="H23789" s="185"/>
    </row>
    <row r="23790">
      <c r="D23790" s="185"/>
      <c r="E23790" s="185" t="s">
        <v>470</v>
      </c>
      <c r="H23790" s="185"/>
    </row>
    <row r="23791">
      <c r="D23791" s="185"/>
      <c r="E23791" s="185" t="s">
        <v>470</v>
      </c>
      <c r="H23791" s="185"/>
    </row>
    <row r="23792">
      <c r="D23792" s="185"/>
      <c r="E23792" s="185" t="s">
        <v>470</v>
      </c>
      <c r="H23792" s="185"/>
    </row>
    <row r="23793">
      <c r="D23793" s="185"/>
      <c r="E23793" s="185" t="s">
        <v>470</v>
      </c>
      <c r="H23793" s="185"/>
    </row>
    <row r="23794">
      <c r="D23794" s="185"/>
      <c r="E23794" s="185" t="s">
        <v>470</v>
      </c>
      <c r="H23794" s="185"/>
    </row>
    <row r="23795">
      <c r="D23795" s="185"/>
      <c r="E23795" s="185" t="s">
        <v>470</v>
      </c>
      <c r="H23795" s="185"/>
    </row>
    <row r="23796">
      <c r="D23796" s="185"/>
      <c r="E23796" s="185" t="s">
        <v>470</v>
      </c>
      <c r="H23796" s="185"/>
    </row>
    <row r="23797">
      <c r="D23797" s="185"/>
      <c r="E23797" s="185" t="s">
        <v>470</v>
      </c>
      <c r="H23797" s="185"/>
    </row>
    <row r="23798">
      <c r="D23798" s="185"/>
      <c r="E23798" s="185" t="s">
        <v>470</v>
      </c>
      <c r="H23798" s="185"/>
    </row>
    <row r="23799">
      <c r="D23799" s="185"/>
      <c r="E23799" s="185" t="s">
        <v>470</v>
      </c>
      <c r="H23799" s="185"/>
    </row>
    <row r="23800">
      <c r="D23800" s="185"/>
      <c r="E23800" s="185" t="s">
        <v>470</v>
      </c>
      <c r="H23800" s="185"/>
    </row>
    <row r="23801">
      <c r="D23801" s="185"/>
      <c r="E23801" s="185" t="s">
        <v>470</v>
      </c>
      <c r="H23801" s="185"/>
    </row>
    <row r="23802">
      <c r="D23802" s="185"/>
      <c r="E23802" s="185" t="s">
        <v>470</v>
      </c>
      <c r="H23802" s="185"/>
    </row>
    <row r="23803">
      <c r="D23803" s="185"/>
      <c r="E23803" s="185" t="s">
        <v>470</v>
      </c>
      <c r="H23803" s="185"/>
    </row>
    <row r="23804">
      <c r="D23804" s="185"/>
      <c r="E23804" s="185" t="s">
        <v>470</v>
      </c>
      <c r="H23804" s="185"/>
    </row>
    <row r="23805">
      <c r="D23805" s="185"/>
      <c r="E23805" s="185" t="s">
        <v>470</v>
      </c>
      <c r="H23805" s="185"/>
    </row>
    <row r="23806">
      <c r="D23806" s="185"/>
      <c r="E23806" s="185" t="s">
        <v>470</v>
      </c>
      <c r="H23806" s="185"/>
    </row>
    <row r="23807">
      <c r="D23807" s="185"/>
      <c r="E23807" s="185" t="s">
        <v>470</v>
      </c>
      <c r="H23807" s="185"/>
    </row>
    <row r="23808">
      <c r="D23808" s="185"/>
      <c r="E23808" s="185" t="s">
        <v>470</v>
      </c>
      <c r="H23808" s="185"/>
    </row>
    <row r="23809">
      <c r="D23809" s="185"/>
      <c r="E23809" s="185" t="s">
        <v>470</v>
      </c>
      <c r="H23809" s="185"/>
    </row>
    <row r="23810">
      <c r="D23810" s="185"/>
      <c r="E23810" s="185" t="s">
        <v>470</v>
      </c>
      <c r="H23810" s="185"/>
    </row>
    <row r="23811">
      <c r="D23811" s="185"/>
      <c r="E23811" s="185" t="s">
        <v>470</v>
      </c>
      <c r="H23811" s="185"/>
    </row>
    <row r="23812">
      <c r="D23812" s="185"/>
      <c r="E23812" s="185" t="s">
        <v>470</v>
      </c>
      <c r="H23812" s="185"/>
    </row>
    <row r="23813">
      <c r="D23813" s="185"/>
      <c r="E23813" s="185" t="s">
        <v>470</v>
      </c>
      <c r="H23813" s="185"/>
    </row>
    <row r="23814">
      <c r="D23814" s="185"/>
      <c r="E23814" s="185" t="s">
        <v>470</v>
      </c>
      <c r="H23814" s="185"/>
    </row>
    <row r="23815">
      <c r="D23815" s="185"/>
      <c r="E23815" s="185" t="s">
        <v>470</v>
      </c>
      <c r="H23815" s="185"/>
    </row>
    <row r="23816">
      <c r="D23816" s="185"/>
      <c r="E23816" s="185" t="s">
        <v>470</v>
      </c>
      <c r="H23816" s="185"/>
    </row>
    <row r="23817">
      <c r="D23817" s="185"/>
      <c r="E23817" s="185" t="s">
        <v>470</v>
      </c>
      <c r="H23817" s="185"/>
    </row>
    <row r="23818">
      <c r="D23818" s="185"/>
      <c r="E23818" s="185" t="s">
        <v>470</v>
      </c>
      <c r="H23818" s="185"/>
    </row>
    <row r="23819">
      <c r="D23819" s="185"/>
      <c r="E23819" s="185" t="s">
        <v>470</v>
      </c>
      <c r="H23819" s="185"/>
    </row>
    <row r="23820">
      <c r="D23820" s="185"/>
      <c r="E23820" s="185" t="s">
        <v>470</v>
      </c>
      <c r="H23820" s="185"/>
    </row>
    <row r="23821">
      <c r="D23821" s="185"/>
      <c r="E23821" s="185" t="s">
        <v>470</v>
      </c>
      <c r="H23821" s="185"/>
    </row>
    <row r="23822">
      <c r="D23822" s="185"/>
      <c r="E23822" s="185" t="s">
        <v>470</v>
      </c>
      <c r="H23822" s="185"/>
    </row>
    <row r="23823">
      <c r="D23823" s="185"/>
      <c r="E23823" s="185" t="s">
        <v>470</v>
      </c>
      <c r="H23823" s="185"/>
    </row>
    <row r="23824">
      <c r="D23824" s="185"/>
      <c r="E23824" s="185" t="s">
        <v>470</v>
      </c>
      <c r="H23824" s="185"/>
    </row>
    <row r="23825">
      <c r="D23825" s="185"/>
      <c r="E23825" s="185" t="s">
        <v>470</v>
      </c>
      <c r="H23825" s="185"/>
    </row>
    <row r="23826">
      <c r="D23826" s="185"/>
      <c r="E23826" s="185" t="s">
        <v>470</v>
      </c>
      <c r="H23826" s="185"/>
    </row>
    <row r="23827">
      <c r="D23827" s="185"/>
      <c r="E23827" s="185" t="s">
        <v>470</v>
      </c>
      <c r="H23827" s="185"/>
    </row>
    <row r="23828">
      <c r="D23828" s="185"/>
      <c r="E23828" s="185" t="s">
        <v>470</v>
      </c>
      <c r="H23828" s="185"/>
    </row>
    <row r="23829">
      <c r="D23829" s="185"/>
      <c r="E23829" s="185" t="s">
        <v>470</v>
      </c>
      <c r="H23829" s="185"/>
    </row>
    <row r="23830">
      <c r="D23830" s="185"/>
      <c r="E23830" s="185" t="s">
        <v>470</v>
      </c>
      <c r="H23830" s="185"/>
    </row>
    <row r="23831">
      <c r="D23831" s="185"/>
      <c r="E23831" s="185" t="s">
        <v>470</v>
      </c>
      <c r="H23831" s="185"/>
    </row>
    <row r="23832">
      <c r="D23832" s="185"/>
      <c r="E23832" s="185" t="s">
        <v>470</v>
      </c>
      <c r="H23832" s="185"/>
    </row>
    <row r="23833">
      <c r="D23833" s="185"/>
      <c r="E23833" s="185" t="s">
        <v>470</v>
      </c>
      <c r="H23833" s="185"/>
    </row>
    <row r="23834">
      <c r="D23834" s="185"/>
      <c r="E23834" s="185" t="s">
        <v>470</v>
      </c>
      <c r="H23834" s="185"/>
    </row>
    <row r="23835">
      <c r="D23835" s="185"/>
      <c r="E23835" s="185" t="s">
        <v>470</v>
      </c>
      <c r="H23835" s="185"/>
    </row>
    <row r="23836">
      <c r="D23836" s="185"/>
      <c r="E23836" s="185" t="s">
        <v>470</v>
      </c>
      <c r="H23836" s="185"/>
    </row>
    <row r="23837">
      <c r="D23837" s="185"/>
      <c r="E23837" s="185" t="s">
        <v>470</v>
      </c>
      <c r="H23837" s="185"/>
    </row>
    <row r="23838">
      <c r="D23838" s="185"/>
      <c r="E23838" s="185" t="s">
        <v>470</v>
      </c>
      <c r="H23838" s="185"/>
    </row>
    <row r="23839">
      <c r="D23839" s="185"/>
      <c r="E23839" s="185" t="s">
        <v>470</v>
      </c>
      <c r="H23839" s="185"/>
    </row>
    <row r="23840">
      <c r="D23840" s="185"/>
      <c r="E23840" s="185" t="s">
        <v>470</v>
      </c>
      <c r="H23840" s="185"/>
    </row>
    <row r="23841">
      <c r="D23841" s="185"/>
      <c r="E23841" s="185" t="s">
        <v>470</v>
      </c>
      <c r="H23841" s="185"/>
    </row>
    <row r="23842">
      <c r="D23842" s="185"/>
      <c r="E23842" s="185" t="s">
        <v>470</v>
      </c>
      <c r="H23842" s="185"/>
    </row>
    <row r="23843">
      <c r="D23843" s="185"/>
      <c r="E23843" s="185" t="s">
        <v>470</v>
      </c>
      <c r="H23843" s="185"/>
    </row>
    <row r="23844">
      <c r="D23844" s="185"/>
      <c r="E23844" s="185" t="s">
        <v>470</v>
      </c>
      <c r="H23844" s="185"/>
    </row>
    <row r="23845">
      <c r="D23845" s="185"/>
      <c r="E23845" s="185" t="s">
        <v>470</v>
      </c>
      <c r="H23845" s="185"/>
    </row>
    <row r="23846">
      <c r="D23846" s="185"/>
      <c r="E23846" s="185" t="s">
        <v>470</v>
      </c>
      <c r="H23846" s="185"/>
    </row>
    <row r="23847">
      <c r="D23847" s="185"/>
      <c r="E23847" s="185" t="s">
        <v>470</v>
      </c>
      <c r="H23847" s="185"/>
    </row>
    <row r="23848">
      <c r="D23848" s="185"/>
      <c r="E23848" s="185" t="s">
        <v>470</v>
      </c>
      <c r="H23848" s="185"/>
    </row>
    <row r="23849">
      <c r="D23849" s="185"/>
      <c r="E23849" s="185" t="s">
        <v>470</v>
      </c>
      <c r="H23849" s="185"/>
    </row>
    <row r="23850">
      <c r="D23850" s="185"/>
      <c r="E23850" s="185" t="s">
        <v>470</v>
      </c>
      <c r="H23850" s="185"/>
    </row>
    <row r="23851">
      <c r="D23851" s="185"/>
      <c r="E23851" s="185" t="s">
        <v>470</v>
      </c>
      <c r="H23851" s="185"/>
    </row>
    <row r="23852">
      <c r="D23852" s="185"/>
      <c r="E23852" s="185" t="s">
        <v>470</v>
      </c>
      <c r="H23852" s="185"/>
    </row>
    <row r="23853">
      <c r="D23853" s="185"/>
      <c r="E23853" s="185" t="s">
        <v>470</v>
      </c>
      <c r="H23853" s="185"/>
    </row>
    <row r="23854">
      <c r="D23854" s="185"/>
      <c r="E23854" s="185" t="s">
        <v>470</v>
      </c>
      <c r="H23854" s="185"/>
    </row>
    <row r="23855">
      <c r="D23855" s="185"/>
      <c r="E23855" s="185" t="s">
        <v>470</v>
      </c>
      <c r="H23855" s="185"/>
    </row>
    <row r="23856">
      <c r="D23856" s="185"/>
      <c r="E23856" s="185" t="s">
        <v>470</v>
      </c>
      <c r="H23856" s="185"/>
    </row>
    <row r="23857">
      <c r="D23857" s="185"/>
      <c r="E23857" s="185" t="s">
        <v>470</v>
      </c>
      <c r="H23857" s="185"/>
    </row>
    <row r="23858">
      <c r="D23858" s="185"/>
      <c r="E23858" s="185" t="s">
        <v>470</v>
      </c>
      <c r="H23858" s="185"/>
    </row>
    <row r="23859">
      <c r="D23859" s="185"/>
      <c r="E23859" s="185" t="s">
        <v>470</v>
      </c>
      <c r="H23859" s="185"/>
    </row>
    <row r="23860">
      <c r="D23860" s="185"/>
      <c r="E23860" s="185" t="s">
        <v>470</v>
      </c>
      <c r="H23860" s="185"/>
    </row>
    <row r="23861">
      <c r="D23861" s="185"/>
      <c r="E23861" s="185" t="s">
        <v>470</v>
      </c>
      <c r="H23861" s="185"/>
    </row>
    <row r="23862">
      <c r="D23862" s="185"/>
      <c r="E23862" s="185" t="s">
        <v>470</v>
      </c>
      <c r="H23862" s="185"/>
    </row>
    <row r="23863">
      <c r="D23863" s="185"/>
      <c r="E23863" s="185" t="s">
        <v>470</v>
      </c>
      <c r="H23863" s="185"/>
    </row>
    <row r="23864">
      <c r="D23864" s="185"/>
      <c r="E23864" s="185" t="s">
        <v>470</v>
      </c>
      <c r="H23864" s="185"/>
    </row>
    <row r="23865">
      <c r="D23865" s="185"/>
      <c r="E23865" s="185" t="s">
        <v>470</v>
      </c>
      <c r="H23865" s="185"/>
    </row>
    <row r="23866">
      <c r="D23866" s="185"/>
      <c r="E23866" s="185" t="s">
        <v>470</v>
      </c>
      <c r="H23866" s="185"/>
    </row>
    <row r="23867">
      <c r="D23867" s="185"/>
      <c r="E23867" s="185" t="s">
        <v>470</v>
      </c>
      <c r="H23867" s="185"/>
    </row>
    <row r="23868">
      <c r="D23868" s="185"/>
      <c r="E23868" s="185" t="s">
        <v>470</v>
      </c>
      <c r="H23868" s="185"/>
    </row>
    <row r="23869">
      <c r="D23869" s="185"/>
      <c r="E23869" s="185" t="s">
        <v>470</v>
      </c>
      <c r="H23869" s="185"/>
    </row>
    <row r="23870">
      <c r="D23870" s="185"/>
      <c r="E23870" s="185" t="s">
        <v>470</v>
      </c>
      <c r="H23870" s="185"/>
    </row>
    <row r="23871">
      <c r="D23871" s="185"/>
      <c r="E23871" s="185" t="s">
        <v>470</v>
      </c>
      <c r="H23871" s="185"/>
    </row>
    <row r="23872">
      <c r="D23872" s="185"/>
      <c r="E23872" s="185" t="s">
        <v>470</v>
      </c>
      <c r="H23872" s="185"/>
    </row>
    <row r="23873">
      <c r="D23873" s="185"/>
      <c r="E23873" s="185" t="s">
        <v>470</v>
      </c>
      <c r="H23873" s="185"/>
    </row>
    <row r="23874">
      <c r="D23874" s="185"/>
      <c r="E23874" s="185" t="s">
        <v>470</v>
      </c>
      <c r="H23874" s="185"/>
    </row>
    <row r="23875">
      <c r="D23875" s="185"/>
      <c r="E23875" s="185" t="s">
        <v>470</v>
      </c>
      <c r="H23875" s="185"/>
    </row>
    <row r="23876">
      <c r="D23876" s="185"/>
      <c r="E23876" s="185" t="s">
        <v>470</v>
      </c>
      <c r="H23876" s="185"/>
    </row>
    <row r="23877">
      <c r="D23877" s="185"/>
      <c r="E23877" s="185" t="s">
        <v>470</v>
      </c>
      <c r="H23877" s="185"/>
    </row>
    <row r="23878">
      <c r="D23878" s="185"/>
      <c r="E23878" s="185" t="s">
        <v>470</v>
      </c>
      <c r="H23878" s="185"/>
    </row>
    <row r="23879">
      <c r="D23879" s="185"/>
      <c r="E23879" s="185" t="s">
        <v>470</v>
      </c>
      <c r="H23879" s="185"/>
    </row>
    <row r="23880">
      <c r="D23880" s="185"/>
      <c r="E23880" s="185" t="s">
        <v>470</v>
      </c>
      <c r="H23880" s="185"/>
    </row>
    <row r="23881">
      <c r="D23881" s="185"/>
      <c r="E23881" s="185" t="s">
        <v>470</v>
      </c>
      <c r="H23881" s="185"/>
    </row>
    <row r="23882">
      <c r="D23882" s="185"/>
      <c r="E23882" s="185" t="s">
        <v>470</v>
      </c>
      <c r="H23882" s="185"/>
    </row>
    <row r="23883">
      <c r="D23883" s="185"/>
      <c r="E23883" s="185" t="s">
        <v>470</v>
      </c>
      <c r="H23883" s="185"/>
    </row>
    <row r="23884">
      <c r="D23884" s="185"/>
      <c r="E23884" s="185" t="s">
        <v>470</v>
      </c>
      <c r="H23884" s="185"/>
    </row>
    <row r="23885">
      <c r="D23885" s="185"/>
      <c r="E23885" s="185" t="s">
        <v>470</v>
      </c>
      <c r="H23885" s="185"/>
    </row>
    <row r="23886">
      <c r="D23886" s="185"/>
      <c r="E23886" s="185" t="s">
        <v>470</v>
      </c>
      <c r="H23886" s="185"/>
    </row>
    <row r="23887">
      <c r="D23887" s="185"/>
      <c r="E23887" s="185" t="s">
        <v>470</v>
      </c>
      <c r="H23887" s="185"/>
    </row>
    <row r="23888">
      <c r="D23888" s="185"/>
      <c r="E23888" s="185" t="s">
        <v>470</v>
      </c>
      <c r="H23888" s="185"/>
    </row>
    <row r="23889">
      <c r="D23889" s="185"/>
      <c r="E23889" s="185" t="s">
        <v>470</v>
      </c>
      <c r="H23889" s="185"/>
    </row>
    <row r="23890">
      <c r="D23890" s="185"/>
      <c r="E23890" s="185" t="s">
        <v>470</v>
      </c>
      <c r="H23890" s="185"/>
    </row>
    <row r="23891">
      <c r="D23891" s="185"/>
      <c r="E23891" s="185" t="s">
        <v>470</v>
      </c>
      <c r="H23891" s="185"/>
    </row>
    <row r="23892">
      <c r="D23892" s="185"/>
      <c r="E23892" s="185" t="s">
        <v>470</v>
      </c>
      <c r="H23892" s="185"/>
    </row>
    <row r="23893">
      <c r="D23893" s="185"/>
      <c r="E23893" s="185" t="s">
        <v>470</v>
      </c>
      <c r="H23893" s="185"/>
    </row>
    <row r="23894">
      <c r="D23894" s="185"/>
      <c r="E23894" s="185" t="s">
        <v>470</v>
      </c>
      <c r="H23894" s="185"/>
    </row>
    <row r="23895">
      <c r="D23895" s="185"/>
      <c r="E23895" s="185" t="s">
        <v>470</v>
      </c>
      <c r="H23895" s="185"/>
    </row>
    <row r="23896">
      <c r="D23896" s="185"/>
      <c r="E23896" s="185" t="s">
        <v>470</v>
      </c>
      <c r="H23896" s="185"/>
    </row>
    <row r="23897">
      <c r="D23897" s="185"/>
      <c r="E23897" s="185" t="s">
        <v>470</v>
      </c>
      <c r="H23897" s="185"/>
    </row>
    <row r="23898">
      <c r="D23898" s="185"/>
      <c r="E23898" s="185" t="s">
        <v>470</v>
      </c>
      <c r="H23898" s="185"/>
    </row>
    <row r="23899">
      <c r="D23899" s="185"/>
      <c r="E23899" s="185" t="s">
        <v>470</v>
      </c>
      <c r="H23899" s="185"/>
    </row>
    <row r="23900">
      <c r="D23900" s="185"/>
      <c r="E23900" s="185" t="s">
        <v>470</v>
      </c>
      <c r="H23900" s="185"/>
    </row>
    <row r="23901">
      <c r="D23901" s="185"/>
      <c r="E23901" s="185" t="s">
        <v>470</v>
      </c>
      <c r="H23901" s="185"/>
    </row>
    <row r="23902">
      <c r="D23902" s="185"/>
      <c r="E23902" s="185" t="s">
        <v>470</v>
      </c>
      <c r="H23902" s="185"/>
    </row>
    <row r="23903">
      <c r="D23903" s="185"/>
      <c r="E23903" s="185" t="s">
        <v>470</v>
      </c>
      <c r="H23903" s="185"/>
    </row>
    <row r="23904">
      <c r="D23904" s="185"/>
      <c r="E23904" s="185" t="s">
        <v>470</v>
      </c>
      <c r="H23904" s="185"/>
    </row>
    <row r="23905">
      <c r="D23905" s="185"/>
      <c r="E23905" s="185" t="s">
        <v>470</v>
      </c>
      <c r="H23905" s="185"/>
    </row>
    <row r="23906">
      <c r="D23906" s="185"/>
      <c r="E23906" s="185" t="s">
        <v>470</v>
      </c>
      <c r="H23906" s="185"/>
    </row>
    <row r="23907">
      <c r="D23907" s="185"/>
      <c r="E23907" s="185" t="s">
        <v>470</v>
      </c>
      <c r="H23907" s="185"/>
    </row>
    <row r="23908">
      <c r="D23908" s="185"/>
      <c r="E23908" s="185" t="s">
        <v>470</v>
      </c>
      <c r="H23908" s="185"/>
    </row>
    <row r="23909">
      <c r="D23909" s="185"/>
      <c r="E23909" s="185" t="s">
        <v>470</v>
      </c>
      <c r="H23909" s="185"/>
    </row>
    <row r="23910">
      <c r="D23910" s="185"/>
      <c r="E23910" s="185" t="s">
        <v>470</v>
      </c>
      <c r="H23910" s="185"/>
    </row>
    <row r="23911">
      <c r="D23911" s="185"/>
      <c r="E23911" s="185" t="s">
        <v>470</v>
      </c>
      <c r="H23911" s="185"/>
    </row>
    <row r="23912">
      <c r="D23912" s="185"/>
      <c r="E23912" s="185" t="s">
        <v>470</v>
      </c>
      <c r="H23912" s="185"/>
    </row>
    <row r="23913">
      <c r="D23913" s="185"/>
      <c r="E23913" s="185" t="s">
        <v>470</v>
      </c>
      <c r="H23913" s="185"/>
    </row>
    <row r="23914">
      <c r="D23914" s="185"/>
      <c r="E23914" s="185" t="s">
        <v>470</v>
      </c>
      <c r="H23914" s="185"/>
    </row>
    <row r="23915">
      <c r="D23915" s="185"/>
      <c r="E23915" s="185" t="s">
        <v>470</v>
      </c>
      <c r="H23915" s="185"/>
    </row>
    <row r="23916">
      <c r="D23916" s="185"/>
      <c r="E23916" s="185" t="s">
        <v>470</v>
      </c>
      <c r="H23916" s="185"/>
    </row>
    <row r="23917">
      <c r="D23917" s="185"/>
      <c r="E23917" s="185" t="s">
        <v>470</v>
      </c>
      <c r="H23917" s="185"/>
    </row>
    <row r="23918">
      <c r="D23918" s="185"/>
      <c r="E23918" s="185" t="s">
        <v>470</v>
      </c>
      <c r="H23918" s="185"/>
    </row>
    <row r="23919">
      <c r="D23919" s="185"/>
      <c r="E23919" s="185" t="s">
        <v>470</v>
      </c>
      <c r="H23919" s="185"/>
    </row>
    <row r="23920">
      <c r="D23920" s="185"/>
      <c r="E23920" s="185" t="s">
        <v>470</v>
      </c>
      <c r="H23920" s="185"/>
    </row>
    <row r="23921">
      <c r="D23921" s="185"/>
      <c r="E23921" s="185" t="s">
        <v>470</v>
      </c>
      <c r="H23921" s="185"/>
    </row>
    <row r="23922">
      <c r="D23922" s="185"/>
      <c r="E23922" s="185" t="s">
        <v>470</v>
      </c>
      <c r="H23922" s="185"/>
    </row>
    <row r="23923">
      <c r="D23923" s="185"/>
      <c r="E23923" s="185" t="s">
        <v>470</v>
      </c>
      <c r="H23923" s="185"/>
    </row>
    <row r="23924">
      <c r="D23924" s="185"/>
      <c r="E23924" s="185" t="s">
        <v>470</v>
      </c>
      <c r="H23924" s="185"/>
    </row>
    <row r="23925">
      <c r="D23925" s="185"/>
      <c r="E23925" s="185" t="s">
        <v>470</v>
      </c>
      <c r="H23925" s="185"/>
    </row>
    <row r="23926">
      <c r="D23926" s="185"/>
      <c r="E23926" s="185" t="s">
        <v>470</v>
      </c>
      <c r="H23926" s="185"/>
    </row>
    <row r="23927">
      <c r="D23927" s="185"/>
      <c r="E23927" s="185" t="s">
        <v>470</v>
      </c>
      <c r="H23927" s="185"/>
    </row>
    <row r="23928">
      <c r="D23928" s="185"/>
      <c r="E23928" s="185" t="s">
        <v>470</v>
      </c>
      <c r="H23928" s="185"/>
    </row>
    <row r="23929">
      <c r="D23929" s="185"/>
      <c r="E23929" s="185" t="s">
        <v>470</v>
      </c>
      <c r="H23929" s="185"/>
    </row>
    <row r="23930">
      <c r="D23930" s="185"/>
      <c r="E23930" s="185" t="s">
        <v>470</v>
      </c>
      <c r="H23930" s="185"/>
    </row>
    <row r="23931">
      <c r="D23931" s="185"/>
      <c r="E23931" s="185" t="s">
        <v>470</v>
      </c>
      <c r="H23931" s="185"/>
    </row>
    <row r="23932">
      <c r="D23932" s="185"/>
      <c r="E23932" s="185" t="s">
        <v>470</v>
      </c>
      <c r="H23932" s="185"/>
    </row>
    <row r="23933">
      <c r="D23933" s="185"/>
      <c r="E23933" s="185" t="s">
        <v>470</v>
      </c>
      <c r="H23933" s="185"/>
    </row>
    <row r="23934">
      <c r="D23934" s="185"/>
      <c r="E23934" s="185" t="s">
        <v>470</v>
      </c>
      <c r="H23934" s="185"/>
    </row>
    <row r="23935">
      <c r="D23935" s="185"/>
      <c r="E23935" s="185" t="s">
        <v>470</v>
      </c>
      <c r="H23935" s="185"/>
    </row>
    <row r="23936">
      <c r="D23936" s="185"/>
      <c r="E23936" s="185" t="s">
        <v>470</v>
      </c>
      <c r="H23936" s="185"/>
    </row>
    <row r="23937">
      <c r="D23937" s="185"/>
      <c r="E23937" s="185" t="s">
        <v>470</v>
      </c>
      <c r="H23937" s="185"/>
    </row>
    <row r="23938">
      <c r="D23938" s="185"/>
      <c r="E23938" s="185" t="s">
        <v>470</v>
      </c>
      <c r="H23938" s="185"/>
    </row>
    <row r="23939">
      <c r="D23939" s="185"/>
      <c r="E23939" s="185" t="s">
        <v>470</v>
      </c>
      <c r="H23939" s="185"/>
    </row>
    <row r="23940">
      <c r="D23940" s="185"/>
      <c r="E23940" s="185" t="s">
        <v>470</v>
      </c>
      <c r="H23940" s="185"/>
    </row>
    <row r="23941">
      <c r="D23941" s="185"/>
      <c r="E23941" s="185" t="s">
        <v>470</v>
      </c>
      <c r="H23941" s="185"/>
    </row>
    <row r="23942">
      <c r="D23942" s="185"/>
      <c r="E23942" s="185" t="s">
        <v>470</v>
      </c>
      <c r="H23942" s="185"/>
    </row>
    <row r="23943">
      <c r="D23943" s="185"/>
      <c r="E23943" s="185" t="s">
        <v>470</v>
      </c>
      <c r="H23943" s="185"/>
    </row>
    <row r="23944">
      <c r="D23944" s="185"/>
      <c r="E23944" s="185" t="s">
        <v>470</v>
      </c>
      <c r="H23944" s="185"/>
    </row>
    <row r="23945">
      <c r="D23945" s="185"/>
      <c r="E23945" s="185" t="s">
        <v>470</v>
      </c>
      <c r="H23945" s="185"/>
    </row>
    <row r="23946">
      <c r="D23946" s="185"/>
      <c r="E23946" s="185" t="s">
        <v>470</v>
      </c>
      <c r="H23946" s="185"/>
    </row>
    <row r="23947">
      <c r="D23947" s="185"/>
      <c r="E23947" s="185" t="s">
        <v>470</v>
      </c>
      <c r="H23947" s="185"/>
    </row>
    <row r="23948">
      <c r="D23948" s="185"/>
      <c r="E23948" s="185" t="s">
        <v>470</v>
      </c>
      <c r="H23948" s="185"/>
    </row>
    <row r="23949">
      <c r="D23949" s="185"/>
      <c r="E23949" s="185" t="s">
        <v>470</v>
      </c>
      <c r="H23949" s="185"/>
    </row>
    <row r="23950">
      <c r="D23950" s="185"/>
      <c r="E23950" s="185" t="s">
        <v>470</v>
      </c>
      <c r="H23950" s="185"/>
    </row>
    <row r="23951">
      <c r="D23951" s="185"/>
      <c r="E23951" s="185" t="s">
        <v>470</v>
      </c>
      <c r="H23951" s="185"/>
    </row>
    <row r="23952">
      <c r="D23952" s="185"/>
      <c r="E23952" s="185" t="s">
        <v>470</v>
      </c>
      <c r="H23952" s="185"/>
    </row>
    <row r="23953">
      <c r="D23953" s="185"/>
      <c r="E23953" s="185" t="s">
        <v>470</v>
      </c>
      <c r="H23953" s="185"/>
    </row>
    <row r="23954">
      <c r="D23954" s="185"/>
      <c r="E23954" s="185" t="s">
        <v>470</v>
      </c>
      <c r="H23954" s="185"/>
    </row>
    <row r="23955">
      <c r="D23955" s="185"/>
      <c r="E23955" s="185" t="s">
        <v>470</v>
      </c>
      <c r="H23955" s="185"/>
    </row>
    <row r="23956">
      <c r="D23956" s="185"/>
      <c r="E23956" s="185" t="s">
        <v>470</v>
      </c>
      <c r="H23956" s="185"/>
    </row>
    <row r="23957">
      <c r="D23957" s="185"/>
      <c r="E23957" s="185" t="s">
        <v>470</v>
      </c>
      <c r="H23957" s="185"/>
    </row>
    <row r="23958">
      <c r="D23958" s="185"/>
      <c r="E23958" s="185" t="s">
        <v>470</v>
      </c>
      <c r="H23958" s="185"/>
    </row>
    <row r="23959">
      <c r="D23959" s="185"/>
      <c r="E23959" s="185" t="s">
        <v>470</v>
      </c>
      <c r="H23959" s="185"/>
    </row>
    <row r="23960">
      <c r="D23960" s="185"/>
      <c r="E23960" s="185" t="s">
        <v>470</v>
      </c>
      <c r="H23960" s="185"/>
    </row>
    <row r="23961">
      <c r="D23961" s="185"/>
      <c r="E23961" s="185" t="s">
        <v>470</v>
      </c>
      <c r="H23961" s="185"/>
    </row>
    <row r="23962">
      <c r="D23962" s="185"/>
      <c r="E23962" s="185" t="s">
        <v>470</v>
      </c>
      <c r="H23962" s="185"/>
    </row>
    <row r="23963">
      <c r="D23963" s="185"/>
      <c r="E23963" s="185" t="s">
        <v>470</v>
      </c>
      <c r="H23963" s="185"/>
    </row>
    <row r="23964">
      <c r="D23964" s="185"/>
      <c r="E23964" s="185" t="s">
        <v>470</v>
      </c>
      <c r="H23964" s="185"/>
    </row>
    <row r="23965">
      <c r="D23965" s="185"/>
      <c r="E23965" s="185" t="s">
        <v>470</v>
      </c>
      <c r="H23965" s="185"/>
    </row>
    <row r="23966">
      <c r="D23966" s="185"/>
      <c r="E23966" s="185" t="s">
        <v>470</v>
      </c>
      <c r="H23966" s="185"/>
    </row>
    <row r="23967">
      <c r="D23967" s="185"/>
      <c r="E23967" s="185" t="s">
        <v>470</v>
      </c>
      <c r="H23967" s="185"/>
    </row>
    <row r="23968">
      <c r="D23968" s="185"/>
      <c r="E23968" s="185" t="s">
        <v>470</v>
      </c>
      <c r="H23968" s="185"/>
    </row>
    <row r="23969">
      <c r="D23969" s="185"/>
      <c r="E23969" s="185" t="s">
        <v>470</v>
      </c>
      <c r="H23969" s="185"/>
    </row>
    <row r="23970">
      <c r="D23970" s="185"/>
      <c r="E23970" s="185" t="s">
        <v>470</v>
      </c>
      <c r="H23970" s="185"/>
    </row>
    <row r="23971">
      <c r="D23971" s="185"/>
      <c r="E23971" s="185" t="s">
        <v>470</v>
      </c>
      <c r="H23971" s="185"/>
    </row>
    <row r="23972">
      <c r="D23972" s="185"/>
      <c r="E23972" s="185" t="s">
        <v>470</v>
      </c>
      <c r="H23972" s="185"/>
    </row>
    <row r="23973">
      <c r="D23973" s="185"/>
      <c r="E23973" s="185" t="s">
        <v>470</v>
      </c>
      <c r="H23973" s="185"/>
    </row>
    <row r="23974">
      <c r="D23974" s="185"/>
      <c r="E23974" s="185" t="s">
        <v>470</v>
      </c>
      <c r="H23974" s="185"/>
    </row>
    <row r="23975">
      <c r="D23975" s="185"/>
      <c r="E23975" s="185" t="s">
        <v>470</v>
      </c>
      <c r="H23975" s="185"/>
    </row>
    <row r="23976">
      <c r="D23976" s="185"/>
      <c r="E23976" s="185" t="s">
        <v>470</v>
      </c>
      <c r="H23976" s="185"/>
    </row>
    <row r="23977">
      <c r="D23977" s="185"/>
      <c r="E23977" s="185" t="s">
        <v>470</v>
      </c>
      <c r="H23977" s="185"/>
    </row>
    <row r="23978">
      <c r="D23978" s="185"/>
      <c r="E23978" s="185" t="s">
        <v>470</v>
      </c>
      <c r="H23978" s="185"/>
    </row>
    <row r="23979">
      <c r="D23979" s="185"/>
      <c r="E23979" s="185" t="s">
        <v>470</v>
      </c>
      <c r="H23979" s="185"/>
    </row>
    <row r="23980">
      <c r="D23980" s="185"/>
      <c r="E23980" s="185" t="s">
        <v>470</v>
      </c>
      <c r="H23980" s="185"/>
    </row>
    <row r="23981">
      <c r="D23981" s="185"/>
      <c r="E23981" s="185" t="s">
        <v>470</v>
      </c>
      <c r="H23981" s="185"/>
    </row>
    <row r="23982">
      <c r="D23982" s="185"/>
      <c r="E23982" s="185" t="s">
        <v>470</v>
      </c>
      <c r="H23982" s="185"/>
    </row>
    <row r="23983">
      <c r="D23983" s="185"/>
      <c r="E23983" s="185" t="s">
        <v>470</v>
      </c>
      <c r="H23983" s="185"/>
    </row>
    <row r="23984">
      <c r="D23984" s="185"/>
      <c r="E23984" s="185" t="s">
        <v>470</v>
      </c>
      <c r="H23984" s="185"/>
    </row>
    <row r="23985">
      <c r="D23985" s="185"/>
      <c r="E23985" s="185" t="s">
        <v>470</v>
      </c>
      <c r="H23985" s="185"/>
    </row>
    <row r="23986">
      <c r="D23986" s="185"/>
      <c r="E23986" s="185" t="s">
        <v>470</v>
      </c>
      <c r="H23986" s="185"/>
    </row>
    <row r="23987">
      <c r="D23987" s="185"/>
      <c r="E23987" s="185" t="s">
        <v>470</v>
      </c>
      <c r="H23987" s="185"/>
    </row>
    <row r="23988">
      <c r="D23988" s="185"/>
      <c r="E23988" s="185" t="s">
        <v>470</v>
      </c>
      <c r="H23988" s="185"/>
    </row>
    <row r="23989">
      <c r="D23989" s="185"/>
      <c r="E23989" s="185" t="s">
        <v>470</v>
      </c>
      <c r="H23989" s="185"/>
    </row>
    <row r="23990">
      <c r="D23990" s="185"/>
      <c r="E23990" s="185" t="s">
        <v>470</v>
      </c>
      <c r="H23990" s="185"/>
    </row>
    <row r="23991">
      <c r="D23991" s="185"/>
      <c r="E23991" s="185" t="s">
        <v>470</v>
      </c>
      <c r="H23991" s="185"/>
    </row>
    <row r="23992">
      <c r="D23992" s="185"/>
      <c r="E23992" s="185" t="s">
        <v>470</v>
      </c>
      <c r="H23992" s="185"/>
    </row>
    <row r="23993">
      <c r="D23993" s="185"/>
      <c r="E23993" s="185" t="s">
        <v>470</v>
      </c>
      <c r="H23993" s="185"/>
    </row>
    <row r="23994">
      <c r="D23994" s="185"/>
      <c r="E23994" s="185" t="s">
        <v>470</v>
      </c>
      <c r="H23994" s="185"/>
    </row>
    <row r="23995">
      <c r="D23995" s="185"/>
      <c r="E23995" s="185" t="s">
        <v>470</v>
      </c>
      <c r="H23995" s="185"/>
    </row>
    <row r="23996">
      <c r="D23996" s="185"/>
      <c r="E23996" s="185" t="s">
        <v>470</v>
      </c>
      <c r="H23996" s="185"/>
    </row>
    <row r="23997">
      <c r="D23997" s="185"/>
      <c r="E23997" s="185" t="s">
        <v>470</v>
      </c>
      <c r="H23997" s="185"/>
    </row>
    <row r="23998">
      <c r="D23998" s="185"/>
      <c r="E23998" s="185" t="s">
        <v>470</v>
      </c>
      <c r="H23998" s="185"/>
    </row>
    <row r="23999">
      <c r="D23999" s="185"/>
      <c r="E23999" s="185" t="s">
        <v>470</v>
      </c>
      <c r="H23999" s="185"/>
    </row>
    <row r="24000">
      <c r="D24000" s="185"/>
      <c r="E24000" s="185" t="s">
        <v>470</v>
      </c>
      <c r="H24000" s="185"/>
    </row>
    <row r="24001">
      <c r="D24001" s="185"/>
      <c r="E24001" s="185" t="s">
        <v>470</v>
      </c>
      <c r="H24001" s="185"/>
    </row>
    <row r="24002">
      <c r="D24002" s="185"/>
      <c r="E24002" s="185" t="s">
        <v>470</v>
      </c>
      <c r="H24002" s="185"/>
    </row>
    <row r="24003">
      <c r="D24003" s="185"/>
      <c r="E24003" s="185" t="s">
        <v>470</v>
      </c>
      <c r="H24003" s="185"/>
    </row>
    <row r="24004">
      <c r="D24004" s="185"/>
      <c r="E24004" s="185" t="s">
        <v>470</v>
      </c>
      <c r="H24004" s="185"/>
    </row>
    <row r="24005">
      <c r="D24005" s="185"/>
      <c r="E24005" s="185" t="s">
        <v>470</v>
      </c>
      <c r="H24005" s="185"/>
    </row>
    <row r="24006">
      <c r="D24006" s="185"/>
      <c r="E24006" s="185" t="s">
        <v>470</v>
      </c>
      <c r="H24006" s="185"/>
    </row>
    <row r="24007">
      <c r="D24007" s="185"/>
      <c r="E24007" s="185" t="s">
        <v>470</v>
      </c>
      <c r="H24007" s="185"/>
    </row>
    <row r="24008">
      <c r="D24008" s="185"/>
      <c r="E24008" s="185" t="s">
        <v>470</v>
      </c>
      <c r="H24008" s="185"/>
    </row>
    <row r="24009">
      <c r="D24009" s="185"/>
      <c r="E24009" s="185" t="s">
        <v>470</v>
      </c>
      <c r="H24009" s="185"/>
    </row>
    <row r="24010">
      <c r="D24010" s="185"/>
      <c r="E24010" s="185" t="s">
        <v>470</v>
      </c>
      <c r="H24010" s="185"/>
    </row>
    <row r="24011">
      <c r="D24011" s="185"/>
      <c r="E24011" s="185" t="s">
        <v>470</v>
      </c>
      <c r="H24011" s="185"/>
    </row>
    <row r="24012">
      <c r="D24012" s="185"/>
      <c r="E24012" s="185" t="s">
        <v>470</v>
      </c>
      <c r="H24012" s="185"/>
    </row>
    <row r="24013">
      <c r="D24013" s="185"/>
      <c r="E24013" s="185" t="s">
        <v>470</v>
      </c>
      <c r="H24013" s="185"/>
    </row>
    <row r="24014">
      <c r="D24014" s="185"/>
      <c r="E24014" s="185" t="s">
        <v>470</v>
      </c>
      <c r="H24014" s="185"/>
    </row>
    <row r="24015">
      <c r="D24015" s="185"/>
      <c r="E24015" s="185" t="s">
        <v>470</v>
      </c>
      <c r="H24015" s="185"/>
    </row>
    <row r="24016">
      <c r="D24016" s="185"/>
      <c r="E24016" s="185" t="s">
        <v>470</v>
      </c>
      <c r="H24016" s="185"/>
    </row>
    <row r="24017">
      <c r="D24017" s="185"/>
      <c r="E24017" s="185" t="s">
        <v>470</v>
      </c>
      <c r="H24017" s="185"/>
    </row>
    <row r="24018">
      <c r="D24018" s="185"/>
      <c r="E24018" s="185" t="s">
        <v>470</v>
      </c>
      <c r="H24018" s="185"/>
    </row>
    <row r="24019">
      <c r="D24019" s="185"/>
      <c r="E24019" s="185" t="s">
        <v>470</v>
      </c>
      <c r="H24019" s="185"/>
    </row>
    <row r="24020">
      <c r="D24020" s="185"/>
      <c r="E24020" s="185" t="s">
        <v>470</v>
      </c>
      <c r="H24020" s="185"/>
    </row>
    <row r="24021">
      <c r="D24021" s="185"/>
      <c r="E24021" s="185" t="s">
        <v>470</v>
      </c>
      <c r="H24021" s="185"/>
    </row>
    <row r="24022">
      <c r="D24022" s="185"/>
      <c r="E24022" s="185" t="s">
        <v>470</v>
      </c>
      <c r="H24022" s="185"/>
    </row>
    <row r="24023">
      <c r="D24023" s="185"/>
      <c r="E24023" s="185" t="s">
        <v>470</v>
      </c>
      <c r="H24023" s="185"/>
    </row>
    <row r="24024">
      <c r="D24024" s="185"/>
      <c r="E24024" s="185" t="s">
        <v>470</v>
      </c>
      <c r="H24024" s="185"/>
    </row>
    <row r="24025">
      <c r="D24025" s="185"/>
      <c r="E24025" s="185" t="s">
        <v>470</v>
      </c>
      <c r="H24025" s="185"/>
    </row>
    <row r="24026">
      <c r="D24026" s="185"/>
      <c r="E24026" s="185" t="s">
        <v>470</v>
      </c>
      <c r="H24026" s="185"/>
    </row>
    <row r="24027">
      <c r="D24027" s="185"/>
      <c r="E24027" s="185" t="s">
        <v>470</v>
      </c>
      <c r="H24027" s="185"/>
    </row>
    <row r="24028">
      <c r="D24028" s="185"/>
      <c r="E24028" s="185" t="s">
        <v>470</v>
      </c>
      <c r="H24028" s="185"/>
    </row>
    <row r="24029">
      <c r="D24029" s="185"/>
      <c r="E24029" s="185" t="s">
        <v>470</v>
      </c>
      <c r="H24029" s="185"/>
    </row>
    <row r="24030">
      <c r="D24030" s="185"/>
      <c r="E24030" s="185" t="s">
        <v>470</v>
      </c>
      <c r="H24030" s="185"/>
    </row>
    <row r="24031">
      <c r="D24031" s="185"/>
      <c r="E24031" s="185" t="s">
        <v>470</v>
      </c>
      <c r="H24031" s="185"/>
    </row>
    <row r="24032">
      <c r="D24032" s="185"/>
      <c r="E24032" s="185" t="s">
        <v>470</v>
      </c>
      <c r="H24032" s="185"/>
    </row>
    <row r="24033">
      <c r="D24033" s="185"/>
      <c r="E24033" s="185" t="s">
        <v>470</v>
      </c>
      <c r="H24033" s="185"/>
    </row>
    <row r="24034">
      <c r="D24034" s="185"/>
      <c r="E24034" s="185" t="s">
        <v>470</v>
      </c>
      <c r="H24034" s="185"/>
    </row>
    <row r="24035">
      <c r="D24035" s="185"/>
      <c r="E24035" s="185" t="s">
        <v>470</v>
      </c>
      <c r="H24035" s="185"/>
    </row>
    <row r="24036">
      <c r="D24036" s="185"/>
      <c r="E24036" s="185" t="s">
        <v>470</v>
      </c>
      <c r="H24036" s="185"/>
    </row>
    <row r="24037">
      <c r="D24037" s="185"/>
      <c r="E24037" s="185" t="s">
        <v>470</v>
      </c>
      <c r="H24037" s="185"/>
    </row>
    <row r="24038">
      <c r="D24038" s="185"/>
      <c r="E24038" s="185" t="s">
        <v>470</v>
      </c>
      <c r="H24038" s="185"/>
    </row>
    <row r="24039">
      <c r="D24039" s="185"/>
      <c r="E24039" s="185" t="s">
        <v>470</v>
      </c>
      <c r="H24039" s="185"/>
    </row>
    <row r="24040">
      <c r="D24040" s="185"/>
      <c r="E24040" s="185" t="s">
        <v>470</v>
      </c>
      <c r="H24040" s="185"/>
    </row>
    <row r="24041">
      <c r="D24041" s="185"/>
      <c r="E24041" s="185" t="s">
        <v>470</v>
      </c>
      <c r="H24041" s="185"/>
    </row>
    <row r="24042">
      <c r="D24042" s="185"/>
      <c r="E24042" s="185" t="s">
        <v>470</v>
      </c>
      <c r="H24042" s="185"/>
    </row>
    <row r="24043">
      <c r="D24043" s="185"/>
      <c r="E24043" s="185" t="s">
        <v>470</v>
      </c>
      <c r="H24043" s="185"/>
    </row>
    <row r="24044">
      <c r="D24044" s="185"/>
      <c r="E24044" s="185" t="s">
        <v>470</v>
      </c>
      <c r="H24044" s="185"/>
    </row>
    <row r="24045">
      <c r="D24045" s="185"/>
      <c r="E24045" s="185" t="s">
        <v>470</v>
      </c>
      <c r="H24045" s="185"/>
    </row>
    <row r="24046">
      <c r="D24046" s="185"/>
      <c r="E24046" s="185" t="s">
        <v>470</v>
      </c>
      <c r="H24046" s="185"/>
    </row>
    <row r="24047">
      <c r="D24047" s="185"/>
      <c r="E24047" s="185" t="s">
        <v>470</v>
      </c>
      <c r="H24047" s="185"/>
    </row>
    <row r="24048">
      <c r="D24048" s="185"/>
      <c r="E24048" s="185" t="s">
        <v>470</v>
      </c>
      <c r="H24048" s="185"/>
    </row>
    <row r="24049">
      <c r="D24049" s="185"/>
      <c r="E24049" s="185" t="s">
        <v>470</v>
      </c>
      <c r="H24049" s="185"/>
    </row>
    <row r="24050">
      <c r="D24050" s="185"/>
      <c r="E24050" s="185" t="s">
        <v>470</v>
      </c>
      <c r="H24050" s="185"/>
    </row>
    <row r="24051">
      <c r="D24051" s="185"/>
      <c r="E24051" s="185" t="s">
        <v>470</v>
      </c>
      <c r="H24051" s="185"/>
    </row>
    <row r="24052">
      <c r="D24052" s="185"/>
      <c r="E24052" s="185" t="s">
        <v>470</v>
      </c>
      <c r="H24052" s="185"/>
    </row>
    <row r="24053">
      <c r="D24053" s="185"/>
      <c r="E24053" s="185" t="s">
        <v>470</v>
      </c>
      <c r="H24053" s="185"/>
    </row>
    <row r="24054">
      <c r="D24054" s="185"/>
      <c r="E24054" s="185" t="s">
        <v>470</v>
      </c>
      <c r="H24054" s="185"/>
    </row>
    <row r="24055">
      <c r="D24055" s="185"/>
      <c r="E24055" s="185" t="s">
        <v>470</v>
      </c>
      <c r="H24055" s="185"/>
    </row>
    <row r="24056">
      <c r="D24056" s="185"/>
      <c r="E24056" s="185" t="s">
        <v>470</v>
      </c>
      <c r="H24056" s="185"/>
    </row>
    <row r="24057">
      <c r="D24057" s="185"/>
      <c r="E24057" s="185" t="s">
        <v>470</v>
      </c>
      <c r="H24057" s="185"/>
    </row>
    <row r="24058">
      <c r="D24058" s="185"/>
      <c r="E24058" s="185" t="s">
        <v>470</v>
      </c>
      <c r="H24058" s="185"/>
    </row>
    <row r="24059">
      <c r="D24059" s="185"/>
      <c r="E24059" s="185" t="s">
        <v>470</v>
      </c>
      <c r="H24059" s="185"/>
    </row>
    <row r="24060">
      <c r="D24060" s="185"/>
      <c r="E24060" s="185" t="s">
        <v>470</v>
      </c>
      <c r="H24060" s="185"/>
    </row>
    <row r="24061">
      <c r="D24061" s="185"/>
      <c r="E24061" s="185" t="s">
        <v>470</v>
      </c>
      <c r="H24061" s="185"/>
    </row>
    <row r="24062">
      <c r="D24062" s="185"/>
      <c r="E24062" s="185" t="s">
        <v>470</v>
      </c>
      <c r="H24062" s="185"/>
    </row>
    <row r="24063">
      <c r="D24063" s="185"/>
      <c r="E24063" s="185" t="s">
        <v>470</v>
      </c>
      <c r="H24063" s="185"/>
    </row>
    <row r="24064">
      <c r="D24064" s="185"/>
      <c r="E24064" s="185" t="s">
        <v>470</v>
      </c>
      <c r="H24064" s="185"/>
    </row>
    <row r="24065">
      <c r="D24065" s="185"/>
      <c r="E24065" s="185" t="s">
        <v>470</v>
      </c>
      <c r="H24065" s="185"/>
    </row>
    <row r="24066">
      <c r="D24066" s="185"/>
      <c r="E24066" s="185" t="s">
        <v>470</v>
      </c>
      <c r="H24066" s="185"/>
    </row>
    <row r="24067">
      <c r="D24067" s="185"/>
      <c r="E24067" s="185" t="s">
        <v>470</v>
      </c>
      <c r="H24067" s="185"/>
    </row>
    <row r="24068">
      <c r="D24068" s="185"/>
      <c r="E24068" s="185" t="s">
        <v>470</v>
      </c>
      <c r="H24068" s="185"/>
    </row>
    <row r="24069">
      <c r="D24069" s="185"/>
      <c r="E24069" s="185" t="s">
        <v>470</v>
      </c>
      <c r="H24069" s="185"/>
    </row>
    <row r="24070">
      <c r="D24070" s="185"/>
      <c r="E24070" s="185" t="s">
        <v>470</v>
      </c>
      <c r="H24070" s="185"/>
    </row>
    <row r="24071">
      <c r="D24071" s="185"/>
      <c r="E24071" s="185" t="s">
        <v>470</v>
      </c>
      <c r="H24071" s="185"/>
    </row>
    <row r="24072">
      <c r="D24072" s="185"/>
      <c r="E24072" s="185" t="s">
        <v>470</v>
      </c>
      <c r="H24072" s="185"/>
    </row>
    <row r="24073">
      <c r="D24073" s="185"/>
      <c r="E24073" s="185" t="s">
        <v>470</v>
      </c>
      <c r="H24073" s="185"/>
    </row>
    <row r="24074">
      <c r="D24074" s="185"/>
      <c r="E24074" s="185" t="s">
        <v>470</v>
      </c>
      <c r="H24074" s="185"/>
    </row>
    <row r="24075">
      <c r="D24075" s="185"/>
      <c r="E24075" s="185" t="s">
        <v>470</v>
      </c>
      <c r="H24075" s="185"/>
    </row>
    <row r="24076">
      <c r="D24076" s="185"/>
      <c r="E24076" s="185" t="s">
        <v>470</v>
      </c>
      <c r="H24076" s="185"/>
    </row>
    <row r="24077">
      <c r="D24077" s="185"/>
      <c r="E24077" s="185" t="s">
        <v>470</v>
      </c>
      <c r="H24077" s="185"/>
    </row>
    <row r="24078">
      <c r="D24078" s="185"/>
      <c r="E24078" s="185" t="s">
        <v>470</v>
      </c>
      <c r="H24078" s="185"/>
    </row>
    <row r="24079">
      <c r="D24079" s="185"/>
      <c r="E24079" s="185" t="s">
        <v>470</v>
      </c>
      <c r="H24079" s="185"/>
    </row>
    <row r="24080">
      <c r="D24080" s="185"/>
      <c r="E24080" s="185" t="s">
        <v>470</v>
      </c>
      <c r="H24080" s="185"/>
    </row>
    <row r="24081">
      <c r="D24081" s="185"/>
      <c r="E24081" s="185" t="s">
        <v>470</v>
      </c>
      <c r="H24081" s="185"/>
    </row>
    <row r="24082">
      <c r="D24082" s="185"/>
      <c r="E24082" s="185" t="s">
        <v>470</v>
      </c>
      <c r="H24082" s="185"/>
    </row>
    <row r="24083">
      <c r="D24083" s="185"/>
      <c r="E24083" s="185" t="s">
        <v>470</v>
      </c>
      <c r="H24083" s="185"/>
    </row>
    <row r="24084">
      <c r="D24084" s="185"/>
      <c r="E24084" s="185" t="s">
        <v>470</v>
      </c>
      <c r="H24084" s="185"/>
    </row>
    <row r="24085">
      <c r="D24085" s="185"/>
      <c r="E24085" s="185" t="s">
        <v>470</v>
      </c>
      <c r="H24085" s="185"/>
    </row>
    <row r="24086">
      <c r="D24086" s="185"/>
      <c r="E24086" s="185" t="s">
        <v>470</v>
      </c>
      <c r="H24086" s="185"/>
    </row>
    <row r="24087">
      <c r="D24087" s="185"/>
      <c r="E24087" s="185" t="s">
        <v>470</v>
      </c>
      <c r="H24087" s="185"/>
    </row>
    <row r="24088">
      <c r="D24088" s="185"/>
      <c r="E24088" s="185" t="s">
        <v>470</v>
      </c>
      <c r="H24088" s="185"/>
    </row>
    <row r="24089">
      <c r="D24089" s="185"/>
      <c r="E24089" s="185" t="s">
        <v>470</v>
      </c>
      <c r="H24089" s="185"/>
    </row>
    <row r="24090">
      <c r="D24090" s="185"/>
      <c r="E24090" s="185" t="s">
        <v>470</v>
      </c>
      <c r="H24090" s="185"/>
    </row>
    <row r="24091">
      <c r="D24091" s="185"/>
      <c r="E24091" s="185" t="s">
        <v>470</v>
      </c>
      <c r="H24091" s="185"/>
    </row>
    <row r="24092">
      <c r="D24092" s="185"/>
      <c r="E24092" s="185" t="s">
        <v>470</v>
      </c>
      <c r="H24092" s="185"/>
    </row>
    <row r="24093">
      <c r="D24093" s="185"/>
      <c r="E24093" s="185" t="s">
        <v>470</v>
      </c>
      <c r="H24093" s="185"/>
    </row>
    <row r="24094">
      <c r="D24094" s="185"/>
      <c r="E24094" s="185" t="s">
        <v>470</v>
      </c>
      <c r="H24094" s="185"/>
    </row>
    <row r="24095">
      <c r="D24095" s="185"/>
      <c r="E24095" s="185" t="s">
        <v>470</v>
      </c>
      <c r="H24095" s="185"/>
    </row>
    <row r="24096">
      <c r="D24096" s="185"/>
      <c r="E24096" s="185" t="s">
        <v>470</v>
      </c>
      <c r="H24096" s="185"/>
    </row>
    <row r="24097">
      <c r="D24097" s="185"/>
      <c r="E24097" s="185" t="s">
        <v>470</v>
      </c>
      <c r="H24097" s="185"/>
    </row>
    <row r="24098">
      <c r="D24098" s="185"/>
      <c r="E24098" s="185" t="s">
        <v>470</v>
      </c>
      <c r="H24098" s="185"/>
    </row>
    <row r="24099">
      <c r="D24099" s="185"/>
      <c r="E24099" s="185" t="s">
        <v>470</v>
      </c>
      <c r="H24099" s="185"/>
    </row>
    <row r="24100">
      <c r="D24100" s="185"/>
      <c r="E24100" s="185" t="s">
        <v>470</v>
      </c>
      <c r="H24100" s="185"/>
    </row>
    <row r="24101">
      <c r="D24101" s="185"/>
      <c r="E24101" s="185" t="s">
        <v>470</v>
      </c>
      <c r="H24101" s="185"/>
    </row>
    <row r="24102">
      <c r="D24102" s="185"/>
      <c r="E24102" s="185" t="s">
        <v>470</v>
      </c>
      <c r="H24102" s="185"/>
    </row>
    <row r="24103">
      <c r="D24103" s="185"/>
      <c r="E24103" s="185" t="s">
        <v>470</v>
      </c>
      <c r="H24103" s="185"/>
    </row>
    <row r="24104">
      <c r="D24104" s="185"/>
      <c r="E24104" s="185" t="s">
        <v>470</v>
      </c>
      <c r="H24104" s="185"/>
    </row>
    <row r="24105">
      <c r="D24105" s="185"/>
      <c r="E24105" s="185" t="s">
        <v>470</v>
      </c>
      <c r="H24105" s="185"/>
    </row>
    <row r="24106">
      <c r="D24106" s="185"/>
      <c r="E24106" s="185" t="s">
        <v>470</v>
      </c>
      <c r="H24106" s="185"/>
    </row>
    <row r="24107">
      <c r="D24107" s="185"/>
      <c r="E24107" s="185" t="s">
        <v>470</v>
      </c>
      <c r="H24107" s="185"/>
    </row>
    <row r="24108">
      <c r="D24108" s="185"/>
      <c r="E24108" s="185" t="s">
        <v>470</v>
      </c>
      <c r="H24108" s="185"/>
    </row>
    <row r="24109">
      <c r="D24109" s="185"/>
      <c r="E24109" s="185" t="s">
        <v>470</v>
      </c>
      <c r="H24109" s="185"/>
    </row>
    <row r="24110">
      <c r="D24110" s="185"/>
      <c r="E24110" s="185" t="s">
        <v>470</v>
      </c>
      <c r="H24110" s="185"/>
    </row>
    <row r="24111">
      <c r="D24111" s="185"/>
      <c r="E24111" s="185" t="s">
        <v>470</v>
      </c>
      <c r="H24111" s="185"/>
    </row>
    <row r="24112">
      <c r="D24112" s="185"/>
      <c r="E24112" s="185" t="s">
        <v>470</v>
      </c>
      <c r="H24112" s="185"/>
    </row>
    <row r="24113">
      <c r="D24113" s="185"/>
      <c r="E24113" s="185" t="s">
        <v>470</v>
      </c>
      <c r="H24113" s="185"/>
    </row>
    <row r="24114">
      <c r="D24114" s="185"/>
      <c r="E24114" s="185" t="s">
        <v>470</v>
      </c>
      <c r="H24114" s="185"/>
    </row>
    <row r="24115">
      <c r="D24115" s="185"/>
      <c r="E24115" s="185" t="s">
        <v>470</v>
      </c>
      <c r="H24115" s="185"/>
    </row>
    <row r="24116">
      <c r="D24116" s="185"/>
      <c r="E24116" s="185" t="s">
        <v>470</v>
      </c>
      <c r="H24116" s="185"/>
    </row>
    <row r="24117">
      <c r="D24117" s="185"/>
      <c r="E24117" s="185" t="s">
        <v>470</v>
      </c>
      <c r="H24117" s="185"/>
    </row>
    <row r="24118">
      <c r="D24118" s="185"/>
      <c r="E24118" s="185" t="s">
        <v>470</v>
      </c>
      <c r="H24118" s="185"/>
    </row>
    <row r="24119">
      <c r="D24119" s="185"/>
      <c r="E24119" s="185" t="s">
        <v>470</v>
      </c>
      <c r="H24119" s="185"/>
    </row>
    <row r="24120">
      <c r="D24120" s="185"/>
      <c r="E24120" s="185" t="s">
        <v>470</v>
      </c>
      <c r="H24120" s="185"/>
    </row>
    <row r="24121">
      <c r="D24121" s="185"/>
      <c r="E24121" s="185" t="s">
        <v>470</v>
      </c>
      <c r="H24121" s="185"/>
    </row>
    <row r="24122">
      <c r="D24122" s="185"/>
      <c r="E24122" s="185" t="s">
        <v>470</v>
      </c>
      <c r="H24122" s="185"/>
    </row>
    <row r="24123">
      <c r="D24123" s="185"/>
      <c r="E24123" s="185" t="s">
        <v>470</v>
      </c>
      <c r="H24123" s="185"/>
    </row>
    <row r="24124">
      <c r="D24124" s="185"/>
      <c r="E24124" s="185" t="s">
        <v>470</v>
      </c>
      <c r="H24124" s="185"/>
    </row>
    <row r="24125">
      <c r="D24125" s="185"/>
      <c r="E24125" s="185" t="s">
        <v>470</v>
      </c>
      <c r="H24125" s="185"/>
    </row>
    <row r="24126">
      <c r="D24126" s="185"/>
      <c r="E24126" s="185" t="s">
        <v>470</v>
      </c>
      <c r="H24126" s="185"/>
    </row>
    <row r="24127">
      <c r="D24127" s="185"/>
      <c r="E24127" s="185" t="s">
        <v>470</v>
      </c>
      <c r="H24127" s="185"/>
    </row>
    <row r="24128">
      <c r="D24128" s="185"/>
      <c r="E24128" s="185" t="s">
        <v>470</v>
      </c>
      <c r="H24128" s="185"/>
    </row>
    <row r="24129">
      <c r="D24129" s="185"/>
      <c r="E24129" s="185" t="s">
        <v>470</v>
      </c>
      <c r="H24129" s="185"/>
    </row>
    <row r="24130">
      <c r="D24130" s="185"/>
      <c r="E24130" s="185" t="s">
        <v>470</v>
      </c>
      <c r="H24130" s="185"/>
    </row>
    <row r="24131">
      <c r="D24131" s="185"/>
      <c r="E24131" s="185" t="s">
        <v>470</v>
      </c>
      <c r="H24131" s="185"/>
    </row>
    <row r="24132">
      <c r="D24132" s="185"/>
      <c r="E24132" s="185" t="s">
        <v>470</v>
      </c>
      <c r="H24132" s="185"/>
    </row>
    <row r="24133">
      <c r="D24133" s="185"/>
      <c r="E24133" s="185" t="s">
        <v>470</v>
      </c>
      <c r="H24133" s="185"/>
    </row>
    <row r="24134">
      <c r="D24134" s="185"/>
      <c r="E24134" s="185" t="s">
        <v>470</v>
      </c>
      <c r="H24134" s="185"/>
    </row>
    <row r="24135">
      <c r="D24135" s="185"/>
      <c r="E24135" s="185" t="s">
        <v>470</v>
      </c>
      <c r="H24135" s="185"/>
    </row>
    <row r="24136">
      <c r="D24136" s="185"/>
      <c r="E24136" s="185" t="s">
        <v>470</v>
      </c>
      <c r="H24136" s="185"/>
    </row>
    <row r="24137">
      <c r="D24137" s="185"/>
      <c r="E24137" s="185" t="s">
        <v>470</v>
      </c>
      <c r="H24137" s="185"/>
    </row>
    <row r="24138">
      <c r="D24138" s="185"/>
      <c r="E24138" s="185" t="s">
        <v>470</v>
      </c>
      <c r="H24138" s="185"/>
    </row>
    <row r="24139">
      <c r="D24139" s="185"/>
      <c r="E24139" s="185" t="s">
        <v>470</v>
      </c>
      <c r="H24139" s="185"/>
    </row>
    <row r="24140">
      <c r="D24140" s="185"/>
      <c r="E24140" s="185" t="s">
        <v>470</v>
      </c>
      <c r="H24140" s="185"/>
    </row>
    <row r="24141">
      <c r="D24141" s="185"/>
      <c r="E24141" s="185" t="s">
        <v>470</v>
      </c>
      <c r="H24141" s="185"/>
    </row>
    <row r="24142">
      <c r="D24142" s="185"/>
      <c r="E24142" s="185" t="s">
        <v>470</v>
      </c>
      <c r="H24142" s="185"/>
    </row>
    <row r="24143">
      <c r="D24143" s="185"/>
      <c r="E24143" s="185" t="s">
        <v>470</v>
      </c>
      <c r="H24143" s="185"/>
    </row>
    <row r="24144">
      <c r="D24144" s="185"/>
      <c r="E24144" s="185" t="s">
        <v>470</v>
      </c>
      <c r="H24144" s="185"/>
    </row>
    <row r="24145">
      <c r="D24145" s="185"/>
      <c r="E24145" s="185" t="s">
        <v>470</v>
      </c>
      <c r="H24145" s="185"/>
    </row>
    <row r="24146">
      <c r="D24146" s="185"/>
      <c r="E24146" s="185" t="s">
        <v>470</v>
      </c>
      <c r="H24146" s="185"/>
    </row>
    <row r="24147">
      <c r="D24147" s="185"/>
      <c r="E24147" s="185" t="s">
        <v>470</v>
      </c>
      <c r="H24147" s="185"/>
    </row>
    <row r="24148">
      <c r="D24148" s="185"/>
      <c r="E24148" s="185" t="s">
        <v>470</v>
      </c>
      <c r="H24148" s="185"/>
    </row>
    <row r="24149">
      <c r="D24149" s="185"/>
      <c r="E24149" s="185" t="s">
        <v>470</v>
      </c>
      <c r="H24149" s="185"/>
    </row>
    <row r="24150">
      <c r="D24150" s="185"/>
      <c r="E24150" s="185" t="s">
        <v>470</v>
      </c>
      <c r="H24150" s="185"/>
    </row>
    <row r="24151">
      <c r="D24151" s="185"/>
      <c r="E24151" s="185" t="s">
        <v>470</v>
      </c>
      <c r="H24151" s="185"/>
    </row>
    <row r="24152">
      <c r="D24152" s="185"/>
      <c r="E24152" s="185" t="s">
        <v>470</v>
      </c>
      <c r="H24152" s="185"/>
    </row>
    <row r="24153">
      <c r="D24153" s="185"/>
      <c r="E24153" s="185" t="s">
        <v>470</v>
      </c>
      <c r="H24153" s="185"/>
    </row>
    <row r="24154">
      <c r="D24154" s="185"/>
      <c r="E24154" s="185" t="s">
        <v>470</v>
      </c>
      <c r="H24154" s="185"/>
    </row>
    <row r="24155">
      <c r="D24155" s="185"/>
      <c r="E24155" s="185" t="s">
        <v>470</v>
      </c>
      <c r="H24155" s="185"/>
    </row>
    <row r="24156">
      <c r="D24156" s="185"/>
      <c r="E24156" s="185" t="s">
        <v>470</v>
      </c>
      <c r="H24156" s="185"/>
    </row>
    <row r="24157">
      <c r="D24157" s="185"/>
      <c r="E24157" s="185" t="s">
        <v>470</v>
      </c>
      <c r="H24157" s="185"/>
    </row>
    <row r="24158">
      <c r="D24158" s="185"/>
      <c r="E24158" s="185" t="s">
        <v>470</v>
      </c>
      <c r="H24158" s="185"/>
    </row>
    <row r="24159">
      <c r="D24159" s="185"/>
      <c r="E24159" s="185" t="s">
        <v>470</v>
      </c>
      <c r="H24159" s="185"/>
    </row>
    <row r="24160">
      <c r="D24160" s="185"/>
      <c r="E24160" s="185" t="s">
        <v>470</v>
      </c>
      <c r="H24160" s="185"/>
    </row>
    <row r="24161">
      <c r="D24161" s="185"/>
      <c r="E24161" s="185" t="s">
        <v>470</v>
      </c>
      <c r="H24161" s="185"/>
    </row>
    <row r="24162">
      <c r="D24162" s="185"/>
      <c r="E24162" s="185" t="s">
        <v>470</v>
      </c>
      <c r="H24162" s="185"/>
    </row>
    <row r="24163">
      <c r="D24163" s="185"/>
      <c r="E24163" s="185" t="s">
        <v>470</v>
      </c>
      <c r="H24163" s="185"/>
    </row>
    <row r="24164">
      <c r="D24164" s="185"/>
      <c r="E24164" s="185" t="s">
        <v>470</v>
      </c>
      <c r="H24164" s="185"/>
    </row>
    <row r="24165">
      <c r="D24165" s="185"/>
      <c r="E24165" s="185" t="s">
        <v>470</v>
      </c>
      <c r="H24165" s="185"/>
    </row>
    <row r="24166">
      <c r="D24166" s="185"/>
      <c r="E24166" s="185" t="s">
        <v>470</v>
      </c>
      <c r="H24166" s="185"/>
    </row>
    <row r="24167">
      <c r="D24167" s="185"/>
      <c r="E24167" s="185" t="s">
        <v>470</v>
      </c>
      <c r="H24167" s="185"/>
    </row>
    <row r="24168">
      <c r="D24168" s="185"/>
      <c r="E24168" s="185" t="s">
        <v>470</v>
      </c>
      <c r="H24168" s="185"/>
    </row>
    <row r="24169">
      <c r="D24169" s="185"/>
      <c r="E24169" s="185" t="s">
        <v>470</v>
      </c>
      <c r="H24169" s="185"/>
    </row>
    <row r="24170">
      <c r="D24170" s="185"/>
      <c r="E24170" s="185" t="s">
        <v>470</v>
      </c>
      <c r="H24170" s="185"/>
    </row>
    <row r="24171">
      <c r="D24171" s="185"/>
      <c r="E24171" s="185" t="s">
        <v>470</v>
      </c>
      <c r="H24171" s="185"/>
    </row>
    <row r="24172">
      <c r="D24172" s="185"/>
      <c r="E24172" s="185" t="s">
        <v>470</v>
      </c>
      <c r="H24172" s="185"/>
    </row>
    <row r="24173">
      <c r="D24173" s="185"/>
      <c r="E24173" s="185" t="s">
        <v>470</v>
      </c>
      <c r="H24173" s="185"/>
    </row>
    <row r="24174">
      <c r="D24174" s="185"/>
      <c r="E24174" s="185" t="s">
        <v>470</v>
      </c>
      <c r="H24174" s="185"/>
    </row>
    <row r="24175">
      <c r="D24175" s="185"/>
      <c r="E24175" s="185" t="s">
        <v>470</v>
      </c>
      <c r="H24175" s="185"/>
    </row>
    <row r="24176">
      <c r="D24176" s="185"/>
      <c r="E24176" s="185" t="s">
        <v>470</v>
      </c>
      <c r="H24176" s="185"/>
    </row>
    <row r="24177">
      <c r="D24177" s="185"/>
      <c r="E24177" s="185" t="s">
        <v>470</v>
      </c>
      <c r="H24177" s="185"/>
    </row>
    <row r="24178">
      <c r="D24178" s="185"/>
      <c r="E24178" s="185" t="s">
        <v>470</v>
      </c>
      <c r="H24178" s="185"/>
    </row>
    <row r="24179">
      <c r="D24179" s="185"/>
      <c r="E24179" s="185" t="s">
        <v>470</v>
      </c>
      <c r="H24179" s="185"/>
    </row>
    <row r="24180">
      <c r="D24180" s="185"/>
      <c r="E24180" s="185" t="s">
        <v>470</v>
      </c>
      <c r="H24180" s="185"/>
    </row>
    <row r="24181">
      <c r="D24181" s="185"/>
      <c r="E24181" s="185" t="s">
        <v>470</v>
      </c>
      <c r="H24181" s="185"/>
    </row>
    <row r="24182">
      <c r="D24182" s="185"/>
      <c r="E24182" s="185" t="s">
        <v>470</v>
      </c>
      <c r="H24182" s="185"/>
    </row>
    <row r="24183">
      <c r="D24183" s="185"/>
      <c r="E24183" s="185" t="s">
        <v>470</v>
      </c>
      <c r="H24183" s="185"/>
    </row>
    <row r="24184">
      <c r="D24184" s="185"/>
      <c r="E24184" s="185" t="s">
        <v>470</v>
      </c>
      <c r="H24184" s="185"/>
    </row>
    <row r="24185">
      <c r="D24185" s="185"/>
      <c r="E24185" s="185" t="s">
        <v>470</v>
      </c>
      <c r="H24185" s="185"/>
    </row>
    <row r="24186">
      <c r="D24186" s="185"/>
      <c r="E24186" s="185" t="s">
        <v>470</v>
      </c>
      <c r="H24186" s="185"/>
    </row>
    <row r="24187">
      <c r="D24187" s="185"/>
      <c r="E24187" s="185" t="s">
        <v>470</v>
      </c>
      <c r="H24187" s="185"/>
    </row>
    <row r="24188">
      <c r="D24188" s="185"/>
      <c r="E24188" s="185" t="s">
        <v>470</v>
      </c>
      <c r="H24188" s="185"/>
    </row>
    <row r="24189">
      <c r="D24189" s="185"/>
      <c r="E24189" s="185" t="s">
        <v>470</v>
      </c>
      <c r="H24189" s="185"/>
    </row>
    <row r="24190">
      <c r="D24190" s="185"/>
      <c r="E24190" s="185" t="s">
        <v>470</v>
      </c>
      <c r="H24190" s="185"/>
    </row>
    <row r="24191">
      <c r="D24191" s="185"/>
      <c r="E24191" s="185" t="s">
        <v>470</v>
      </c>
      <c r="H24191" s="185"/>
    </row>
    <row r="24192">
      <c r="D24192" s="185"/>
      <c r="E24192" s="185" t="s">
        <v>470</v>
      </c>
      <c r="H24192" s="185"/>
    </row>
    <row r="24193">
      <c r="D24193" s="185"/>
      <c r="E24193" s="185" t="s">
        <v>470</v>
      </c>
      <c r="H24193" s="185"/>
    </row>
    <row r="24194">
      <c r="D24194" s="185"/>
      <c r="E24194" s="185" t="s">
        <v>470</v>
      </c>
      <c r="H24194" s="185"/>
    </row>
    <row r="24195">
      <c r="D24195" s="185"/>
      <c r="E24195" s="185" t="s">
        <v>470</v>
      </c>
      <c r="H24195" s="185"/>
    </row>
    <row r="24196">
      <c r="D24196" s="185"/>
      <c r="E24196" s="185" t="s">
        <v>470</v>
      </c>
      <c r="H24196" s="185"/>
    </row>
    <row r="24197">
      <c r="D24197" s="185"/>
      <c r="E24197" s="185" t="s">
        <v>470</v>
      </c>
      <c r="H24197" s="185"/>
    </row>
    <row r="24198">
      <c r="D24198" s="185"/>
      <c r="E24198" s="185" t="s">
        <v>470</v>
      </c>
      <c r="H24198" s="185"/>
    </row>
    <row r="24199">
      <c r="D24199" s="185"/>
      <c r="E24199" s="185" t="s">
        <v>470</v>
      </c>
      <c r="H24199" s="185"/>
    </row>
    <row r="24200">
      <c r="D24200" s="185"/>
      <c r="E24200" s="185" t="s">
        <v>470</v>
      </c>
      <c r="H24200" s="185"/>
    </row>
    <row r="24201">
      <c r="D24201" s="185"/>
      <c r="E24201" s="185" t="s">
        <v>470</v>
      </c>
      <c r="H24201" s="185"/>
    </row>
    <row r="24202">
      <c r="D24202" s="185"/>
      <c r="E24202" s="185" t="s">
        <v>470</v>
      </c>
      <c r="H24202" s="185"/>
    </row>
    <row r="24203">
      <c r="D24203" s="185"/>
      <c r="E24203" s="185" t="s">
        <v>470</v>
      </c>
      <c r="H24203" s="185"/>
    </row>
    <row r="24204">
      <c r="D24204" s="185"/>
      <c r="E24204" s="185" t="s">
        <v>470</v>
      </c>
      <c r="H24204" s="185"/>
    </row>
    <row r="24205">
      <c r="D24205" s="185"/>
      <c r="E24205" s="185" t="s">
        <v>470</v>
      </c>
      <c r="H24205" s="185"/>
    </row>
    <row r="24206">
      <c r="D24206" s="185"/>
      <c r="E24206" s="185" t="s">
        <v>470</v>
      </c>
      <c r="H24206" s="185"/>
    </row>
    <row r="24207">
      <c r="D24207" s="185"/>
      <c r="E24207" s="185" t="s">
        <v>470</v>
      </c>
      <c r="H24207" s="185"/>
    </row>
    <row r="24208">
      <c r="D24208" s="185"/>
      <c r="E24208" s="185" t="s">
        <v>470</v>
      </c>
      <c r="H24208" s="185"/>
    </row>
    <row r="24209">
      <c r="D24209" s="185"/>
      <c r="E24209" s="185" t="s">
        <v>470</v>
      </c>
      <c r="H24209" s="185"/>
    </row>
    <row r="24210">
      <c r="D24210" s="185"/>
      <c r="E24210" s="185" t="s">
        <v>470</v>
      </c>
      <c r="H24210" s="185"/>
    </row>
    <row r="24211">
      <c r="D24211" s="185"/>
      <c r="E24211" s="185" t="s">
        <v>470</v>
      </c>
      <c r="H24211" s="185"/>
    </row>
    <row r="24212">
      <c r="D24212" s="185"/>
      <c r="E24212" s="185" t="s">
        <v>470</v>
      </c>
      <c r="H24212" s="185"/>
    </row>
    <row r="24213">
      <c r="D24213" s="185"/>
      <c r="E24213" s="185" t="s">
        <v>470</v>
      </c>
      <c r="H24213" s="185"/>
    </row>
    <row r="24214">
      <c r="D24214" s="185"/>
      <c r="E24214" s="185" t="s">
        <v>470</v>
      </c>
      <c r="H24214" s="185"/>
    </row>
    <row r="24215">
      <c r="D24215" s="185"/>
      <c r="E24215" s="185" t="s">
        <v>470</v>
      </c>
      <c r="H24215" s="185"/>
    </row>
    <row r="24216">
      <c r="D24216" s="185"/>
      <c r="E24216" s="185" t="s">
        <v>470</v>
      </c>
      <c r="H24216" s="185"/>
    </row>
    <row r="24217">
      <c r="D24217" s="185"/>
      <c r="E24217" s="185" t="s">
        <v>470</v>
      </c>
      <c r="H24217" s="185"/>
    </row>
    <row r="24218">
      <c r="D24218" s="185"/>
      <c r="E24218" s="185" t="s">
        <v>470</v>
      </c>
      <c r="H24218" s="185"/>
    </row>
    <row r="24219">
      <c r="D24219" s="185"/>
      <c r="E24219" s="185" t="s">
        <v>470</v>
      </c>
      <c r="H24219" s="185"/>
    </row>
    <row r="24220">
      <c r="D24220" s="185"/>
      <c r="E24220" s="185" t="s">
        <v>470</v>
      </c>
      <c r="H24220" s="185"/>
    </row>
    <row r="24221">
      <c r="D24221" s="185"/>
      <c r="E24221" s="185" t="s">
        <v>470</v>
      </c>
      <c r="H24221" s="185"/>
    </row>
    <row r="24222">
      <c r="D24222" s="185"/>
      <c r="E24222" s="185" t="s">
        <v>470</v>
      </c>
      <c r="H24222" s="185"/>
    </row>
    <row r="24223">
      <c r="D24223" s="185"/>
      <c r="E24223" s="185" t="s">
        <v>470</v>
      </c>
      <c r="H24223" s="185"/>
    </row>
    <row r="24224">
      <c r="D24224" s="185"/>
      <c r="E24224" s="185" t="s">
        <v>470</v>
      </c>
      <c r="H24224" s="185"/>
    </row>
    <row r="24225">
      <c r="D24225" s="185"/>
      <c r="E24225" s="185" t="s">
        <v>470</v>
      </c>
      <c r="H24225" s="185"/>
    </row>
    <row r="24226">
      <c r="D24226" s="185"/>
      <c r="E24226" s="185" t="s">
        <v>470</v>
      </c>
      <c r="H24226" s="185"/>
    </row>
    <row r="24227">
      <c r="D24227" s="185"/>
      <c r="E24227" s="185" t="s">
        <v>470</v>
      </c>
      <c r="H24227" s="185"/>
    </row>
    <row r="24228">
      <c r="D24228" s="185"/>
      <c r="E24228" s="185" t="s">
        <v>470</v>
      </c>
      <c r="H24228" s="185"/>
    </row>
    <row r="24229">
      <c r="D24229" s="185"/>
      <c r="E24229" s="185" t="s">
        <v>470</v>
      </c>
      <c r="H24229" s="185"/>
    </row>
    <row r="24230">
      <c r="D24230" s="185"/>
      <c r="E24230" s="185" t="s">
        <v>470</v>
      </c>
      <c r="H24230" s="185"/>
    </row>
    <row r="24231">
      <c r="D24231" s="185"/>
      <c r="E24231" s="185" t="s">
        <v>470</v>
      </c>
      <c r="H24231" s="185"/>
    </row>
    <row r="24232">
      <c r="D24232" s="185"/>
      <c r="E24232" s="185" t="s">
        <v>470</v>
      </c>
      <c r="H24232" s="185"/>
    </row>
    <row r="24233">
      <c r="D24233" s="185"/>
      <c r="E24233" s="185" t="s">
        <v>470</v>
      </c>
      <c r="H24233" s="185"/>
    </row>
    <row r="24234">
      <c r="D24234" s="185"/>
      <c r="E24234" s="185" t="s">
        <v>470</v>
      </c>
      <c r="H24234" s="185"/>
    </row>
    <row r="24235">
      <c r="D24235" s="185"/>
      <c r="E24235" s="185" t="s">
        <v>470</v>
      </c>
      <c r="H24235" s="185"/>
    </row>
    <row r="24236">
      <c r="D24236" s="185"/>
      <c r="E24236" s="185" t="s">
        <v>470</v>
      </c>
      <c r="H24236" s="185"/>
    </row>
    <row r="24237">
      <c r="D24237" s="185"/>
      <c r="E24237" s="185" t="s">
        <v>470</v>
      </c>
      <c r="H24237" s="185"/>
    </row>
    <row r="24238">
      <c r="D24238" s="185"/>
      <c r="E24238" s="185" t="s">
        <v>470</v>
      </c>
      <c r="H24238" s="185"/>
    </row>
    <row r="24239">
      <c r="D24239" s="185"/>
      <c r="E24239" s="185" t="s">
        <v>470</v>
      </c>
      <c r="H24239" s="185"/>
    </row>
    <row r="24240">
      <c r="D24240" s="185"/>
      <c r="E24240" s="185" t="s">
        <v>470</v>
      </c>
      <c r="H24240" s="185"/>
    </row>
    <row r="24241">
      <c r="D24241" s="185"/>
      <c r="E24241" s="185" t="s">
        <v>470</v>
      </c>
      <c r="H24241" s="185"/>
    </row>
    <row r="24242">
      <c r="D24242" s="185"/>
      <c r="E24242" s="185" t="s">
        <v>470</v>
      </c>
      <c r="H24242" s="185"/>
    </row>
    <row r="24243">
      <c r="D24243" s="185"/>
      <c r="E24243" s="185" t="s">
        <v>470</v>
      </c>
      <c r="H24243" s="185"/>
    </row>
    <row r="24244">
      <c r="D24244" s="185"/>
      <c r="E24244" s="185" t="s">
        <v>470</v>
      </c>
      <c r="H24244" s="185"/>
    </row>
    <row r="24245">
      <c r="D24245" s="185"/>
      <c r="E24245" s="185" t="s">
        <v>470</v>
      </c>
      <c r="H24245" s="185"/>
    </row>
    <row r="24246">
      <c r="D24246" s="185"/>
      <c r="E24246" s="185" t="s">
        <v>470</v>
      </c>
      <c r="H24246" s="185"/>
    </row>
    <row r="24247">
      <c r="D24247" s="185"/>
      <c r="E24247" s="185" t="s">
        <v>470</v>
      </c>
      <c r="H24247" s="185"/>
    </row>
    <row r="24248">
      <c r="D24248" s="185"/>
      <c r="E24248" s="185" t="s">
        <v>470</v>
      </c>
      <c r="H24248" s="185"/>
    </row>
    <row r="24249">
      <c r="D24249" s="185"/>
      <c r="E24249" s="185" t="s">
        <v>470</v>
      </c>
      <c r="H24249" s="185"/>
    </row>
    <row r="24250">
      <c r="D24250" s="185"/>
      <c r="E24250" s="185" t="s">
        <v>470</v>
      </c>
      <c r="H24250" s="185"/>
    </row>
    <row r="24251">
      <c r="D24251" s="185"/>
      <c r="E24251" s="185" t="s">
        <v>470</v>
      </c>
      <c r="H24251" s="185"/>
    </row>
    <row r="24252">
      <c r="D24252" s="185"/>
      <c r="E24252" s="185" t="s">
        <v>470</v>
      </c>
      <c r="H24252" s="185"/>
    </row>
    <row r="24253">
      <c r="D24253" s="185"/>
      <c r="E24253" s="185" t="s">
        <v>470</v>
      </c>
      <c r="H24253" s="185"/>
    </row>
    <row r="24254">
      <c r="D24254" s="185"/>
      <c r="E24254" s="185" t="s">
        <v>470</v>
      </c>
      <c r="H24254" s="185"/>
    </row>
    <row r="24255">
      <c r="D24255" s="185"/>
      <c r="E24255" s="185" t="s">
        <v>470</v>
      </c>
      <c r="H24255" s="185"/>
    </row>
    <row r="24256">
      <c r="D24256" s="185"/>
      <c r="E24256" s="185" t="s">
        <v>470</v>
      </c>
      <c r="H24256" s="185"/>
    </row>
    <row r="24257">
      <c r="D24257" s="185"/>
      <c r="E24257" s="185" t="s">
        <v>470</v>
      </c>
      <c r="H24257" s="185"/>
    </row>
    <row r="24258">
      <c r="D24258" s="185"/>
      <c r="E24258" s="185" t="s">
        <v>470</v>
      </c>
      <c r="H24258" s="185"/>
    </row>
    <row r="24259">
      <c r="D24259" s="185"/>
      <c r="E24259" s="185" t="s">
        <v>470</v>
      </c>
      <c r="H24259" s="185"/>
    </row>
    <row r="24260">
      <c r="D24260" s="185"/>
      <c r="E24260" s="185" t="s">
        <v>470</v>
      </c>
      <c r="H24260" s="185"/>
    </row>
    <row r="24261">
      <c r="D24261" s="185"/>
      <c r="E24261" s="185" t="s">
        <v>470</v>
      </c>
      <c r="H24261" s="185"/>
    </row>
    <row r="24262">
      <c r="D24262" s="185"/>
      <c r="E24262" s="185" t="s">
        <v>470</v>
      </c>
      <c r="H24262" s="185"/>
    </row>
    <row r="24263">
      <c r="D24263" s="185"/>
      <c r="E24263" s="185" t="s">
        <v>470</v>
      </c>
      <c r="H24263" s="185"/>
    </row>
    <row r="24264">
      <c r="D24264" s="185"/>
      <c r="E24264" s="185" t="s">
        <v>470</v>
      </c>
      <c r="H24264" s="185"/>
    </row>
    <row r="24265">
      <c r="D24265" s="185"/>
      <c r="E24265" s="185" t="s">
        <v>470</v>
      </c>
      <c r="H24265" s="185"/>
    </row>
    <row r="24266">
      <c r="D24266" s="185"/>
      <c r="E24266" s="185" t="s">
        <v>470</v>
      </c>
      <c r="H24266" s="185"/>
    </row>
    <row r="24267">
      <c r="D24267" s="185"/>
      <c r="E24267" s="185" t="s">
        <v>470</v>
      </c>
      <c r="H24267" s="185"/>
    </row>
    <row r="24268">
      <c r="D24268" s="185"/>
      <c r="E24268" s="185" t="s">
        <v>470</v>
      </c>
      <c r="H24268" s="185"/>
    </row>
    <row r="24269">
      <c r="D24269" s="185"/>
      <c r="E24269" s="185" t="s">
        <v>470</v>
      </c>
      <c r="H24269" s="185"/>
    </row>
    <row r="24270">
      <c r="D24270" s="185"/>
      <c r="E24270" s="185" t="s">
        <v>470</v>
      </c>
      <c r="H24270" s="185"/>
    </row>
    <row r="24271">
      <c r="D24271" s="185"/>
      <c r="E24271" s="185" t="s">
        <v>470</v>
      </c>
      <c r="H24271" s="185"/>
    </row>
    <row r="24272">
      <c r="D24272" s="185"/>
      <c r="E24272" s="185" t="s">
        <v>470</v>
      </c>
      <c r="H24272" s="185"/>
    </row>
    <row r="24273">
      <c r="D24273" s="185"/>
      <c r="E24273" s="185" t="s">
        <v>470</v>
      </c>
      <c r="H24273" s="185"/>
    </row>
    <row r="24274">
      <c r="D24274" s="185"/>
      <c r="E24274" s="185" t="s">
        <v>470</v>
      </c>
      <c r="H24274" s="185"/>
    </row>
    <row r="24275">
      <c r="D24275" s="185"/>
      <c r="E24275" s="185" t="s">
        <v>470</v>
      </c>
      <c r="H24275" s="185"/>
    </row>
    <row r="24276">
      <c r="D24276" s="185"/>
      <c r="E24276" s="185" t="s">
        <v>470</v>
      </c>
      <c r="H24276" s="185"/>
    </row>
    <row r="24277">
      <c r="D24277" s="185"/>
      <c r="E24277" s="185" t="s">
        <v>470</v>
      </c>
      <c r="H24277" s="185"/>
    </row>
    <row r="24278">
      <c r="D24278" s="185"/>
      <c r="E24278" s="185" t="s">
        <v>470</v>
      </c>
      <c r="H24278" s="185"/>
    </row>
    <row r="24279">
      <c r="D24279" s="185"/>
      <c r="E24279" s="185" t="s">
        <v>470</v>
      </c>
      <c r="H24279" s="185"/>
    </row>
    <row r="24280">
      <c r="D24280" s="185"/>
      <c r="E24280" s="185" t="s">
        <v>470</v>
      </c>
      <c r="H24280" s="185"/>
    </row>
    <row r="24281">
      <c r="D24281" s="185"/>
      <c r="E24281" s="185" t="s">
        <v>470</v>
      </c>
      <c r="H24281" s="185"/>
    </row>
    <row r="24282">
      <c r="D24282" s="185"/>
      <c r="E24282" s="185" t="s">
        <v>470</v>
      </c>
      <c r="H24282" s="185"/>
    </row>
    <row r="24283">
      <c r="D24283" s="185"/>
      <c r="E24283" s="185" t="s">
        <v>470</v>
      </c>
      <c r="H24283" s="185"/>
    </row>
    <row r="24284">
      <c r="D24284" s="185"/>
      <c r="E24284" s="185" t="s">
        <v>470</v>
      </c>
      <c r="H24284" s="185"/>
    </row>
    <row r="24285">
      <c r="D24285" s="185"/>
      <c r="E24285" s="185" t="s">
        <v>470</v>
      </c>
      <c r="H24285" s="185"/>
    </row>
    <row r="24286">
      <c r="D24286" s="185"/>
      <c r="E24286" s="185" t="s">
        <v>470</v>
      </c>
      <c r="H24286" s="185"/>
    </row>
    <row r="24287">
      <c r="D24287" s="185"/>
      <c r="E24287" s="185" t="s">
        <v>470</v>
      </c>
      <c r="H24287" s="185"/>
    </row>
    <row r="24288">
      <c r="D24288" s="185"/>
      <c r="E24288" s="185" t="s">
        <v>470</v>
      </c>
      <c r="H24288" s="185"/>
    </row>
    <row r="24289">
      <c r="D24289" s="185"/>
      <c r="E24289" s="185" t="s">
        <v>470</v>
      </c>
      <c r="H24289" s="185"/>
    </row>
    <row r="24290">
      <c r="D24290" s="185"/>
      <c r="E24290" s="185" t="s">
        <v>470</v>
      </c>
      <c r="H24290" s="185"/>
    </row>
    <row r="24291">
      <c r="D24291" s="185"/>
      <c r="E24291" s="185" t="s">
        <v>470</v>
      </c>
      <c r="H24291" s="185"/>
    </row>
    <row r="24292">
      <c r="D24292" s="185"/>
      <c r="E24292" s="185" t="s">
        <v>470</v>
      </c>
      <c r="H24292" s="185"/>
    </row>
    <row r="24293">
      <c r="D24293" s="185"/>
      <c r="E24293" s="185" t="s">
        <v>470</v>
      </c>
      <c r="H24293" s="185"/>
    </row>
    <row r="24294">
      <c r="D24294" s="185"/>
      <c r="E24294" s="185" t="s">
        <v>470</v>
      </c>
      <c r="H24294" s="185"/>
    </row>
    <row r="24295">
      <c r="D24295" s="185"/>
      <c r="E24295" s="185" t="s">
        <v>470</v>
      </c>
      <c r="H24295" s="185"/>
    </row>
    <row r="24296">
      <c r="D24296" s="185"/>
      <c r="E24296" s="185" t="s">
        <v>470</v>
      </c>
      <c r="H24296" s="185"/>
    </row>
    <row r="24297">
      <c r="D24297" s="185"/>
      <c r="E24297" s="185" t="s">
        <v>470</v>
      </c>
      <c r="H24297" s="185"/>
    </row>
    <row r="24298">
      <c r="D24298" s="185"/>
      <c r="E24298" s="185" t="s">
        <v>470</v>
      </c>
      <c r="H24298" s="185"/>
    </row>
    <row r="24299">
      <c r="D24299" s="185"/>
      <c r="E24299" s="185" t="s">
        <v>470</v>
      </c>
      <c r="H24299" s="185"/>
    </row>
    <row r="24300">
      <c r="D24300" s="185"/>
      <c r="E24300" s="185" t="s">
        <v>470</v>
      </c>
      <c r="H24300" s="185"/>
    </row>
    <row r="24301">
      <c r="D24301" s="185"/>
      <c r="E24301" s="185" t="s">
        <v>470</v>
      </c>
      <c r="H24301" s="185"/>
    </row>
    <row r="24302">
      <c r="D24302" s="185"/>
      <c r="E24302" s="185" t="s">
        <v>470</v>
      </c>
      <c r="H24302" s="185"/>
    </row>
    <row r="24303">
      <c r="D24303" s="185"/>
      <c r="E24303" s="185" t="s">
        <v>470</v>
      </c>
      <c r="H24303" s="185"/>
    </row>
    <row r="24304">
      <c r="D24304" s="185"/>
      <c r="E24304" s="185" t="s">
        <v>470</v>
      </c>
      <c r="H24304" s="185"/>
    </row>
    <row r="24305">
      <c r="D24305" s="185"/>
      <c r="E24305" s="185" t="s">
        <v>470</v>
      </c>
      <c r="H24305" s="185"/>
    </row>
    <row r="24306">
      <c r="D24306" s="185"/>
      <c r="E24306" s="185" t="s">
        <v>470</v>
      </c>
      <c r="H24306" s="185"/>
    </row>
    <row r="24307">
      <c r="D24307" s="185"/>
      <c r="E24307" s="185" t="s">
        <v>470</v>
      </c>
      <c r="H24307" s="185"/>
    </row>
    <row r="24308">
      <c r="D24308" s="185"/>
      <c r="E24308" s="185" t="s">
        <v>470</v>
      </c>
      <c r="H24308" s="185"/>
    </row>
    <row r="24309">
      <c r="D24309" s="185"/>
      <c r="E24309" s="185" t="s">
        <v>470</v>
      </c>
      <c r="H24309" s="185"/>
    </row>
    <row r="24310">
      <c r="D24310" s="185"/>
      <c r="E24310" s="185" t="s">
        <v>470</v>
      </c>
      <c r="H24310" s="185"/>
    </row>
    <row r="24311">
      <c r="D24311" s="185"/>
      <c r="E24311" s="185" t="s">
        <v>470</v>
      </c>
      <c r="H24311" s="185"/>
    </row>
    <row r="24312">
      <c r="D24312" s="185"/>
      <c r="E24312" s="185" t="s">
        <v>470</v>
      </c>
      <c r="H24312" s="185"/>
    </row>
    <row r="24313">
      <c r="D24313" s="185"/>
      <c r="E24313" s="185" t="s">
        <v>470</v>
      </c>
      <c r="H24313" s="185"/>
    </row>
    <row r="24314">
      <c r="D24314" s="185"/>
      <c r="E24314" s="185" t="s">
        <v>470</v>
      </c>
      <c r="H24314" s="185"/>
    </row>
    <row r="24315">
      <c r="D24315" s="185"/>
      <c r="E24315" s="185" t="s">
        <v>470</v>
      </c>
      <c r="H24315" s="185"/>
    </row>
    <row r="24316">
      <c r="D24316" s="185"/>
      <c r="E24316" s="185" t="s">
        <v>470</v>
      </c>
      <c r="H24316" s="185"/>
    </row>
    <row r="24317">
      <c r="D24317" s="185"/>
      <c r="E24317" s="185" t="s">
        <v>470</v>
      </c>
      <c r="H24317" s="185"/>
    </row>
    <row r="24318">
      <c r="D24318" s="185"/>
      <c r="E24318" s="185" t="s">
        <v>470</v>
      </c>
      <c r="H24318" s="185"/>
    </row>
    <row r="24319">
      <c r="D24319" s="185"/>
      <c r="E24319" s="185" t="s">
        <v>470</v>
      </c>
      <c r="H24319" s="185"/>
    </row>
    <row r="24320">
      <c r="D24320" s="185"/>
      <c r="E24320" s="185" t="s">
        <v>470</v>
      </c>
      <c r="H24320" s="185"/>
    </row>
    <row r="24321">
      <c r="D24321" s="185"/>
      <c r="E24321" s="185" t="s">
        <v>470</v>
      </c>
      <c r="H24321" s="185"/>
    </row>
    <row r="24322">
      <c r="D24322" s="185"/>
      <c r="E24322" s="185" t="s">
        <v>470</v>
      </c>
      <c r="H24322" s="185"/>
    </row>
    <row r="24323">
      <c r="D24323" s="185"/>
      <c r="E24323" s="185" t="s">
        <v>470</v>
      </c>
      <c r="H24323" s="185"/>
    </row>
    <row r="24324">
      <c r="D24324" s="185"/>
      <c r="E24324" s="185" t="s">
        <v>470</v>
      </c>
      <c r="H24324" s="185"/>
    </row>
    <row r="24325">
      <c r="D24325" s="185"/>
      <c r="E24325" s="185" t="s">
        <v>470</v>
      </c>
      <c r="H24325" s="185"/>
    </row>
    <row r="24326">
      <c r="D24326" s="185"/>
      <c r="E24326" s="185" t="s">
        <v>470</v>
      </c>
      <c r="H24326" s="185"/>
    </row>
    <row r="24327">
      <c r="D24327" s="185"/>
      <c r="E24327" s="185" t="s">
        <v>470</v>
      </c>
      <c r="H24327" s="185"/>
    </row>
    <row r="24328">
      <c r="D24328" s="185"/>
      <c r="E24328" s="185" t="s">
        <v>470</v>
      </c>
      <c r="H24328" s="185"/>
    </row>
    <row r="24329">
      <c r="D24329" s="185"/>
      <c r="E24329" s="185" t="s">
        <v>470</v>
      </c>
      <c r="H24329" s="185"/>
    </row>
    <row r="24330">
      <c r="D24330" s="185"/>
      <c r="E24330" s="185" t="s">
        <v>470</v>
      </c>
      <c r="H24330" s="185"/>
    </row>
    <row r="24331">
      <c r="D24331" s="185"/>
      <c r="E24331" s="185" t="s">
        <v>470</v>
      </c>
      <c r="H24331" s="185"/>
    </row>
    <row r="24332">
      <c r="D24332" s="185"/>
      <c r="E24332" s="185" t="s">
        <v>470</v>
      </c>
      <c r="H24332" s="185"/>
    </row>
    <row r="24333">
      <c r="D24333" s="185"/>
      <c r="E24333" s="185" t="s">
        <v>470</v>
      </c>
      <c r="H24333" s="185"/>
    </row>
    <row r="24334">
      <c r="D24334" s="185"/>
      <c r="E24334" s="185" t="s">
        <v>470</v>
      </c>
      <c r="H24334" s="185"/>
    </row>
    <row r="24335">
      <c r="D24335" s="185"/>
      <c r="E24335" s="185" t="s">
        <v>470</v>
      </c>
      <c r="H24335" s="185"/>
    </row>
    <row r="24336">
      <c r="D24336" s="185"/>
      <c r="E24336" s="185" t="s">
        <v>470</v>
      </c>
      <c r="H24336" s="185"/>
    </row>
    <row r="24337">
      <c r="D24337" s="185"/>
      <c r="E24337" s="185" t="s">
        <v>470</v>
      </c>
      <c r="H24337" s="185"/>
    </row>
    <row r="24338">
      <c r="D24338" s="185"/>
      <c r="E24338" s="185" t="s">
        <v>470</v>
      </c>
      <c r="H24338" s="185"/>
    </row>
    <row r="24339">
      <c r="D24339" s="185"/>
      <c r="E24339" s="185" t="s">
        <v>470</v>
      </c>
      <c r="H24339" s="185"/>
    </row>
    <row r="24340">
      <c r="D24340" s="185"/>
      <c r="E24340" s="185" t="s">
        <v>470</v>
      </c>
      <c r="H24340" s="185"/>
    </row>
    <row r="24341">
      <c r="D24341" s="185"/>
      <c r="E24341" s="185" t="s">
        <v>470</v>
      </c>
      <c r="H24341" s="185"/>
    </row>
    <row r="24342">
      <c r="D24342" s="185"/>
      <c r="E24342" s="185" t="s">
        <v>470</v>
      </c>
      <c r="H24342" s="185"/>
    </row>
    <row r="24343">
      <c r="D24343" s="185"/>
      <c r="E24343" s="185" t="s">
        <v>470</v>
      </c>
      <c r="H24343" s="185"/>
    </row>
    <row r="24344">
      <c r="D24344" s="185"/>
      <c r="E24344" s="185" t="s">
        <v>470</v>
      </c>
      <c r="H24344" s="185"/>
    </row>
    <row r="24345">
      <c r="D24345" s="185"/>
      <c r="E24345" s="185" t="s">
        <v>470</v>
      </c>
      <c r="H24345" s="185"/>
    </row>
    <row r="24346">
      <c r="D24346" s="185"/>
      <c r="E24346" s="185" t="s">
        <v>470</v>
      </c>
      <c r="H24346" s="185"/>
    </row>
    <row r="24347">
      <c r="D24347" s="185"/>
      <c r="E24347" s="185" t="s">
        <v>470</v>
      </c>
      <c r="H24347" s="185"/>
    </row>
    <row r="24348">
      <c r="D24348" s="185"/>
      <c r="E24348" s="185" t="s">
        <v>470</v>
      </c>
      <c r="H24348" s="185"/>
    </row>
    <row r="24349">
      <c r="D24349" s="185"/>
      <c r="E24349" s="185" t="s">
        <v>470</v>
      </c>
      <c r="H24349" s="185"/>
    </row>
    <row r="24350">
      <c r="D24350" s="185"/>
      <c r="E24350" s="185" t="s">
        <v>470</v>
      </c>
      <c r="H24350" s="185"/>
    </row>
    <row r="24351">
      <c r="D24351" s="185"/>
      <c r="E24351" s="185" t="s">
        <v>470</v>
      </c>
      <c r="H24351" s="185"/>
    </row>
    <row r="24352">
      <c r="D24352" s="185"/>
      <c r="E24352" s="185" t="s">
        <v>470</v>
      </c>
      <c r="H24352" s="185"/>
    </row>
    <row r="24353">
      <c r="D24353" s="185"/>
      <c r="E24353" s="185" t="s">
        <v>470</v>
      </c>
      <c r="H24353" s="185"/>
    </row>
    <row r="24354">
      <c r="D24354" s="185"/>
      <c r="E24354" s="185" t="s">
        <v>470</v>
      </c>
      <c r="H24354" s="185"/>
    </row>
    <row r="24355">
      <c r="D24355" s="185"/>
      <c r="E24355" s="185" t="s">
        <v>470</v>
      </c>
      <c r="H24355" s="185"/>
    </row>
    <row r="24356">
      <c r="D24356" s="185"/>
      <c r="E24356" s="185" t="s">
        <v>470</v>
      </c>
      <c r="H24356" s="185"/>
    </row>
    <row r="24357">
      <c r="D24357" s="185"/>
      <c r="E24357" s="185" t="s">
        <v>470</v>
      </c>
      <c r="H24357" s="185"/>
    </row>
    <row r="24358">
      <c r="D24358" s="185"/>
      <c r="E24358" s="185" t="s">
        <v>470</v>
      </c>
      <c r="H24358" s="185"/>
    </row>
    <row r="24359">
      <c r="D24359" s="185"/>
      <c r="E24359" s="185" t="s">
        <v>470</v>
      </c>
      <c r="H24359" s="185"/>
    </row>
    <row r="24360">
      <c r="D24360" s="185"/>
      <c r="E24360" s="185" t="s">
        <v>470</v>
      </c>
      <c r="H24360" s="185"/>
    </row>
    <row r="24361">
      <c r="D24361" s="185"/>
      <c r="E24361" s="185" t="s">
        <v>470</v>
      </c>
      <c r="H24361" s="185"/>
    </row>
    <row r="24362">
      <c r="D24362" s="185"/>
      <c r="E24362" s="185" t="s">
        <v>470</v>
      </c>
      <c r="H24362" s="185"/>
    </row>
    <row r="24363">
      <c r="D24363" s="185"/>
      <c r="E24363" s="185" t="s">
        <v>470</v>
      </c>
      <c r="H24363" s="185"/>
    </row>
    <row r="24364">
      <c r="D24364" s="185"/>
      <c r="E24364" s="185" t="s">
        <v>470</v>
      </c>
      <c r="H24364" s="185"/>
    </row>
    <row r="24365">
      <c r="D24365" s="185"/>
      <c r="E24365" s="185" t="s">
        <v>470</v>
      </c>
      <c r="H24365" s="185"/>
    </row>
    <row r="24366">
      <c r="D24366" s="185"/>
      <c r="E24366" s="185" t="s">
        <v>470</v>
      </c>
      <c r="H24366" s="185"/>
    </row>
    <row r="24367">
      <c r="D24367" s="185"/>
      <c r="E24367" s="185" t="s">
        <v>470</v>
      </c>
      <c r="H24367" s="185"/>
    </row>
    <row r="24368">
      <c r="D24368" s="185"/>
      <c r="E24368" s="185" t="s">
        <v>470</v>
      </c>
      <c r="H24368" s="185"/>
    </row>
    <row r="24369">
      <c r="D24369" s="185"/>
      <c r="E24369" s="185" t="s">
        <v>470</v>
      </c>
      <c r="H24369" s="185"/>
    </row>
    <row r="24370">
      <c r="D24370" s="185"/>
      <c r="E24370" s="185" t="s">
        <v>470</v>
      </c>
      <c r="H24370" s="185"/>
    </row>
    <row r="24371">
      <c r="D24371" s="185"/>
      <c r="E24371" s="185" t="s">
        <v>470</v>
      </c>
      <c r="H24371" s="185"/>
    </row>
    <row r="24372">
      <c r="D24372" s="185"/>
      <c r="E24372" s="185" t="s">
        <v>470</v>
      </c>
      <c r="H24372" s="185"/>
    </row>
    <row r="24373">
      <c r="D24373" s="185"/>
      <c r="E24373" s="185" t="s">
        <v>470</v>
      </c>
      <c r="H24373" s="185"/>
    </row>
    <row r="24374">
      <c r="D24374" s="185"/>
      <c r="E24374" s="185" t="s">
        <v>470</v>
      </c>
      <c r="H24374" s="185"/>
    </row>
    <row r="24375">
      <c r="D24375" s="185"/>
      <c r="E24375" s="185" t="s">
        <v>470</v>
      </c>
      <c r="H24375" s="185"/>
    </row>
    <row r="24376">
      <c r="D24376" s="185"/>
      <c r="E24376" s="185" t="s">
        <v>470</v>
      </c>
      <c r="H24376" s="185"/>
    </row>
    <row r="24377">
      <c r="D24377" s="185"/>
      <c r="E24377" s="185" t="s">
        <v>470</v>
      </c>
      <c r="H24377" s="185"/>
    </row>
    <row r="24378">
      <c r="D24378" s="185"/>
      <c r="E24378" s="185" t="s">
        <v>470</v>
      </c>
      <c r="H24378" s="185"/>
    </row>
    <row r="24379">
      <c r="D24379" s="185"/>
      <c r="E24379" s="185" t="s">
        <v>470</v>
      </c>
      <c r="H24379" s="185"/>
    </row>
    <row r="24380">
      <c r="D24380" s="185"/>
      <c r="E24380" s="185" t="s">
        <v>470</v>
      </c>
      <c r="H24380" s="185"/>
    </row>
    <row r="24381">
      <c r="D24381" s="185"/>
      <c r="E24381" s="185" t="s">
        <v>470</v>
      </c>
      <c r="H24381" s="185"/>
    </row>
    <row r="24382">
      <c r="D24382" s="185"/>
      <c r="E24382" s="185" t="s">
        <v>470</v>
      </c>
      <c r="H24382" s="185"/>
    </row>
    <row r="24383">
      <c r="D24383" s="185"/>
      <c r="E24383" s="185" t="s">
        <v>470</v>
      </c>
      <c r="H24383" s="185"/>
    </row>
    <row r="24384">
      <c r="D24384" s="185"/>
      <c r="E24384" s="185" t="s">
        <v>470</v>
      </c>
      <c r="H24384" s="185"/>
    </row>
    <row r="24385">
      <c r="D24385" s="185"/>
      <c r="E24385" s="185" t="s">
        <v>470</v>
      </c>
      <c r="H24385" s="185"/>
    </row>
    <row r="24386">
      <c r="D24386" s="185"/>
      <c r="E24386" s="185" t="s">
        <v>470</v>
      </c>
      <c r="H24386" s="185"/>
    </row>
    <row r="24387">
      <c r="D24387" s="185"/>
      <c r="E24387" s="185" t="s">
        <v>470</v>
      </c>
      <c r="H24387" s="185"/>
    </row>
    <row r="24388">
      <c r="D24388" s="185"/>
      <c r="E24388" s="185" t="s">
        <v>470</v>
      </c>
      <c r="H24388" s="185"/>
    </row>
    <row r="24389">
      <c r="D24389" s="185"/>
      <c r="E24389" s="185" t="s">
        <v>470</v>
      </c>
      <c r="H24389" s="185"/>
    </row>
    <row r="24390">
      <c r="D24390" s="185"/>
      <c r="E24390" s="185" t="s">
        <v>470</v>
      </c>
      <c r="H24390" s="185"/>
    </row>
    <row r="24391">
      <c r="D24391" s="185"/>
      <c r="E24391" s="185" t="s">
        <v>470</v>
      </c>
      <c r="H24391" s="185"/>
    </row>
    <row r="24392">
      <c r="D24392" s="185"/>
      <c r="E24392" s="185" t="s">
        <v>470</v>
      </c>
      <c r="H24392" s="185"/>
    </row>
    <row r="24393">
      <c r="D24393" s="185"/>
      <c r="E24393" s="185" t="s">
        <v>470</v>
      </c>
      <c r="H24393" s="185"/>
    </row>
    <row r="24394">
      <c r="D24394" s="185"/>
      <c r="E24394" s="185" t="s">
        <v>470</v>
      </c>
      <c r="H24394" s="185"/>
    </row>
    <row r="24395">
      <c r="D24395" s="185"/>
      <c r="E24395" s="185" t="s">
        <v>470</v>
      </c>
      <c r="H24395" s="185"/>
    </row>
    <row r="24396">
      <c r="D24396" s="185"/>
      <c r="E24396" s="185" t="s">
        <v>470</v>
      </c>
      <c r="H24396" s="185"/>
    </row>
    <row r="24397">
      <c r="D24397" s="185"/>
      <c r="E24397" s="185" t="s">
        <v>470</v>
      </c>
      <c r="H24397" s="185"/>
    </row>
    <row r="24398">
      <c r="D24398" s="185"/>
      <c r="E24398" s="185" t="s">
        <v>470</v>
      </c>
      <c r="H24398" s="185"/>
    </row>
    <row r="24399">
      <c r="D24399" s="185"/>
      <c r="E24399" s="185" t="s">
        <v>470</v>
      </c>
      <c r="H24399" s="185"/>
    </row>
    <row r="24400">
      <c r="D24400" s="185"/>
      <c r="E24400" s="185" t="s">
        <v>470</v>
      </c>
      <c r="H24400" s="185"/>
    </row>
    <row r="24401">
      <c r="D24401" s="185"/>
      <c r="E24401" s="185" t="s">
        <v>470</v>
      </c>
      <c r="H24401" s="185"/>
    </row>
    <row r="24402">
      <c r="D24402" s="185"/>
      <c r="E24402" s="185" t="s">
        <v>470</v>
      </c>
      <c r="H24402" s="185"/>
    </row>
    <row r="24403">
      <c r="D24403" s="185"/>
      <c r="E24403" s="185" t="s">
        <v>470</v>
      </c>
      <c r="H24403" s="185"/>
    </row>
    <row r="24404">
      <c r="D24404" s="185"/>
      <c r="E24404" s="185" t="s">
        <v>470</v>
      </c>
      <c r="H24404" s="185"/>
    </row>
    <row r="24405">
      <c r="D24405" s="185"/>
      <c r="E24405" s="185" t="s">
        <v>470</v>
      </c>
      <c r="H24405" s="185"/>
    </row>
    <row r="24406">
      <c r="D24406" s="185"/>
      <c r="E24406" s="185" t="s">
        <v>470</v>
      </c>
      <c r="H24406" s="185"/>
    </row>
    <row r="24407">
      <c r="D24407" s="185"/>
      <c r="E24407" s="185" t="s">
        <v>470</v>
      </c>
      <c r="H24407" s="185"/>
    </row>
    <row r="24408">
      <c r="D24408" s="185"/>
      <c r="E24408" s="185" t="s">
        <v>470</v>
      </c>
      <c r="H24408" s="185"/>
    </row>
    <row r="24409">
      <c r="D24409" s="185"/>
      <c r="E24409" s="185" t="s">
        <v>470</v>
      </c>
      <c r="H24409" s="185"/>
    </row>
    <row r="24410">
      <c r="D24410" s="185"/>
      <c r="E24410" s="185" t="s">
        <v>470</v>
      </c>
      <c r="H24410" s="185"/>
    </row>
    <row r="24411">
      <c r="D24411" s="185"/>
      <c r="E24411" s="185" t="s">
        <v>470</v>
      </c>
      <c r="H24411" s="185"/>
    </row>
    <row r="24412">
      <c r="D24412" s="185"/>
      <c r="E24412" s="185" t="s">
        <v>470</v>
      </c>
      <c r="H24412" s="185"/>
    </row>
    <row r="24413">
      <c r="D24413" s="185"/>
      <c r="E24413" s="185" t="s">
        <v>470</v>
      </c>
      <c r="H24413" s="185"/>
    </row>
    <row r="24414">
      <c r="D24414" s="185"/>
      <c r="E24414" s="185" t="s">
        <v>470</v>
      </c>
      <c r="H24414" s="185"/>
    </row>
    <row r="24415">
      <c r="D24415" s="185"/>
      <c r="E24415" s="185" t="s">
        <v>470</v>
      </c>
      <c r="H24415" s="185"/>
    </row>
    <row r="24416">
      <c r="D24416" s="185"/>
      <c r="E24416" s="185" t="s">
        <v>470</v>
      </c>
      <c r="H24416" s="185"/>
    </row>
    <row r="24417">
      <c r="D24417" s="185"/>
      <c r="E24417" s="185" t="s">
        <v>470</v>
      </c>
      <c r="H24417" s="185"/>
    </row>
    <row r="24418">
      <c r="D24418" s="185"/>
      <c r="E24418" s="185" t="s">
        <v>470</v>
      </c>
      <c r="H24418" s="185"/>
    </row>
    <row r="24419">
      <c r="D24419" s="185"/>
      <c r="E24419" s="185" t="s">
        <v>470</v>
      </c>
      <c r="H24419" s="185"/>
    </row>
    <row r="24420">
      <c r="D24420" s="185"/>
      <c r="E24420" s="185" t="s">
        <v>470</v>
      </c>
      <c r="H24420" s="185"/>
    </row>
    <row r="24421">
      <c r="D24421" s="185"/>
      <c r="E24421" s="185" t="s">
        <v>470</v>
      </c>
      <c r="H24421" s="185"/>
    </row>
    <row r="24422">
      <c r="D24422" s="185"/>
      <c r="E24422" s="185" t="s">
        <v>470</v>
      </c>
      <c r="H24422" s="185"/>
    </row>
    <row r="24423">
      <c r="D24423" s="185"/>
      <c r="E24423" s="185" t="s">
        <v>470</v>
      </c>
      <c r="H24423" s="185"/>
    </row>
    <row r="24424">
      <c r="D24424" s="185"/>
      <c r="E24424" s="185" t="s">
        <v>470</v>
      </c>
      <c r="H24424" s="185"/>
    </row>
    <row r="24425">
      <c r="D24425" s="185"/>
      <c r="E24425" s="185" t="s">
        <v>470</v>
      </c>
      <c r="H24425" s="185"/>
    </row>
    <row r="24426">
      <c r="D24426" s="185"/>
      <c r="E24426" s="185" t="s">
        <v>470</v>
      </c>
      <c r="H24426" s="185"/>
    </row>
    <row r="24427">
      <c r="D24427" s="185"/>
      <c r="E24427" s="185" t="s">
        <v>470</v>
      </c>
      <c r="H24427" s="185"/>
    </row>
    <row r="24428">
      <c r="D24428" s="185"/>
      <c r="E24428" s="185" t="s">
        <v>470</v>
      </c>
      <c r="H24428" s="185"/>
    </row>
    <row r="24429">
      <c r="D24429" s="185"/>
      <c r="E24429" s="185" t="s">
        <v>470</v>
      </c>
      <c r="H24429" s="185"/>
    </row>
    <row r="24430">
      <c r="D24430" s="185"/>
      <c r="E24430" s="185" t="s">
        <v>470</v>
      </c>
      <c r="H24430" s="185"/>
    </row>
    <row r="24431">
      <c r="D24431" s="185"/>
      <c r="E24431" s="185" t="s">
        <v>470</v>
      </c>
      <c r="H24431" s="185"/>
    </row>
    <row r="24432">
      <c r="D24432" s="185"/>
      <c r="E24432" s="185" t="s">
        <v>470</v>
      </c>
      <c r="H24432" s="185"/>
    </row>
    <row r="24433">
      <c r="D24433" s="185"/>
      <c r="E24433" s="185" t="s">
        <v>470</v>
      </c>
      <c r="H24433" s="185"/>
    </row>
    <row r="24434">
      <c r="D24434" s="185"/>
      <c r="E24434" s="185" t="s">
        <v>470</v>
      </c>
      <c r="H24434" s="185"/>
    </row>
    <row r="24435">
      <c r="D24435" s="185"/>
      <c r="E24435" s="185" t="s">
        <v>470</v>
      </c>
      <c r="H24435" s="185"/>
    </row>
    <row r="24436">
      <c r="D24436" s="185"/>
      <c r="E24436" s="185" t="s">
        <v>470</v>
      </c>
      <c r="H24436" s="185"/>
    </row>
    <row r="24437">
      <c r="D24437" s="185"/>
      <c r="E24437" s="185" t="s">
        <v>470</v>
      </c>
      <c r="H24437" s="185"/>
    </row>
    <row r="24438">
      <c r="D24438" s="185"/>
      <c r="E24438" s="185" t="s">
        <v>470</v>
      </c>
      <c r="H24438" s="185"/>
    </row>
    <row r="24439">
      <c r="D24439" s="185"/>
      <c r="E24439" s="185" t="s">
        <v>470</v>
      </c>
      <c r="H24439" s="185"/>
    </row>
    <row r="24440">
      <c r="D24440" s="185"/>
      <c r="E24440" s="185" t="s">
        <v>470</v>
      </c>
      <c r="H24440" s="185"/>
    </row>
    <row r="24441">
      <c r="D24441" s="185"/>
      <c r="E24441" s="185" t="s">
        <v>470</v>
      </c>
      <c r="H24441" s="185"/>
    </row>
    <row r="24442">
      <c r="D24442" s="185"/>
      <c r="E24442" s="185" t="s">
        <v>470</v>
      </c>
      <c r="H24442" s="185"/>
    </row>
    <row r="24443">
      <c r="D24443" s="185"/>
      <c r="E24443" s="185" t="s">
        <v>470</v>
      </c>
      <c r="H24443" s="185"/>
    </row>
    <row r="24444">
      <c r="D24444" s="185"/>
      <c r="E24444" s="185" t="s">
        <v>470</v>
      </c>
      <c r="H24444" s="185"/>
    </row>
    <row r="24445">
      <c r="D24445" s="185"/>
      <c r="E24445" s="185" t="s">
        <v>470</v>
      </c>
      <c r="H24445" s="185"/>
    </row>
    <row r="24446">
      <c r="D24446" s="185"/>
      <c r="E24446" s="185" t="s">
        <v>470</v>
      </c>
      <c r="H24446" s="185"/>
    </row>
    <row r="24447">
      <c r="D24447" s="185"/>
      <c r="E24447" s="185" t="s">
        <v>470</v>
      </c>
      <c r="H24447" s="185"/>
    </row>
    <row r="24448">
      <c r="D24448" s="185"/>
      <c r="E24448" s="185" t="s">
        <v>470</v>
      </c>
      <c r="H24448" s="185"/>
    </row>
    <row r="24449">
      <c r="D24449" s="185"/>
      <c r="E24449" s="185" t="s">
        <v>470</v>
      </c>
      <c r="H24449" s="185"/>
    </row>
    <row r="24450">
      <c r="D24450" s="185"/>
      <c r="E24450" s="185" t="s">
        <v>470</v>
      </c>
      <c r="H24450" s="185"/>
    </row>
    <row r="24451">
      <c r="D24451" s="185"/>
      <c r="E24451" s="185" t="s">
        <v>470</v>
      </c>
      <c r="H24451" s="185"/>
    </row>
    <row r="24452">
      <c r="D24452" s="185"/>
      <c r="E24452" s="185" t="s">
        <v>470</v>
      </c>
      <c r="H24452" s="185"/>
    </row>
    <row r="24453">
      <c r="D24453" s="185"/>
      <c r="E24453" s="185" t="s">
        <v>470</v>
      </c>
      <c r="H24453" s="185"/>
    </row>
    <row r="24454">
      <c r="D24454" s="185"/>
      <c r="E24454" s="185" t="s">
        <v>470</v>
      </c>
      <c r="H24454" s="185"/>
    </row>
    <row r="24455">
      <c r="D24455" s="185"/>
      <c r="E24455" s="185" t="s">
        <v>470</v>
      </c>
      <c r="H24455" s="185"/>
    </row>
    <row r="24456">
      <c r="D24456" s="185"/>
      <c r="E24456" s="185" t="s">
        <v>470</v>
      </c>
      <c r="H24456" s="185"/>
    </row>
    <row r="24457">
      <c r="D24457" s="185"/>
      <c r="E24457" s="185" t="s">
        <v>470</v>
      </c>
      <c r="H24457" s="185"/>
    </row>
    <row r="24458">
      <c r="D24458" s="185"/>
      <c r="E24458" s="185" t="s">
        <v>470</v>
      </c>
      <c r="H24458" s="185"/>
    </row>
    <row r="24459">
      <c r="D24459" s="185"/>
      <c r="E24459" s="185" t="s">
        <v>470</v>
      </c>
      <c r="H24459" s="185"/>
    </row>
    <row r="24460">
      <c r="D24460" s="185"/>
      <c r="E24460" s="185" t="s">
        <v>470</v>
      </c>
      <c r="H24460" s="185"/>
    </row>
    <row r="24461">
      <c r="D24461" s="185"/>
      <c r="E24461" s="185" t="s">
        <v>470</v>
      </c>
      <c r="H24461" s="185"/>
    </row>
    <row r="24462">
      <c r="D24462" s="185"/>
      <c r="E24462" s="185" t="s">
        <v>470</v>
      </c>
      <c r="H24462" s="185"/>
    </row>
    <row r="24463">
      <c r="D24463" s="185"/>
      <c r="E24463" s="185" t="s">
        <v>470</v>
      </c>
      <c r="H24463" s="185"/>
    </row>
    <row r="24464">
      <c r="D24464" s="185"/>
      <c r="E24464" s="185" t="s">
        <v>470</v>
      </c>
      <c r="H24464" s="185"/>
    </row>
    <row r="24465">
      <c r="D24465" s="185"/>
      <c r="E24465" s="185" t="s">
        <v>470</v>
      </c>
      <c r="H24465" s="185"/>
    </row>
    <row r="24466">
      <c r="D24466" s="185"/>
      <c r="E24466" s="185" t="s">
        <v>470</v>
      </c>
      <c r="H24466" s="185"/>
    </row>
    <row r="24467">
      <c r="D24467" s="185"/>
      <c r="E24467" s="185" t="s">
        <v>470</v>
      </c>
      <c r="H24467" s="185"/>
    </row>
    <row r="24468">
      <c r="D24468" s="185"/>
      <c r="E24468" s="185" t="s">
        <v>470</v>
      </c>
      <c r="H24468" s="185"/>
    </row>
    <row r="24469">
      <c r="D24469" s="185"/>
      <c r="E24469" s="185" t="s">
        <v>470</v>
      </c>
      <c r="H24469" s="185"/>
    </row>
    <row r="24470">
      <c r="D24470" s="185"/>
      <c r="E24470" s="185" t="s">
        <v>470</v>
      </c>
      <c r="H24470" s="185"/>
    </row>
    <row r="24471">
      <c r="D24471" s="185"/>
      <c r="E24471" s="185" t="s">
        <v>470</v>
      </c>
      <c r="H24471" s="185"/>
    </row>
    <row r="24472">
      <c r="D24472" s="185"/>
      <c r="E24472" s="185" t="s">
        <v>470</v>
      </c>
      <c r="H24472" s="185"/>
    </row>
    <row r="24473">
      <c r="D24473" s="185"/>
      <c r="E24473" s="185" t="s">
        <v>470</v>
      </c>
      <c r="H24473" s="185"/>
    </row>
    <row r="24474">
      <c r="D24474" s="185"/>
      <c r="E24474" s="185" t="s">
        <v>470</v>
      </c>
      <c r="H24474" s="185"/>
    </row>
    <row r="24475">
      <c r="D24475" s="185"/>
      <c r="E24475" s="185" t="s">
        <v>470</v>
      </c>
      <c r="H24475" s="185"/>
    </row>
    <row r="24476">
      <c r="D24476" s="185"/>
      <c r="E24476" s="185" t="s">
        <v>470</v>
      </c>
      <c r="H24476" s="185"/>
    </row>
    <row r="24477">
      <c r="D24477" s="185"/>
      <c r="E24477" s="185" t="s">
        <v>470</v>
      </c>
      <c r="H24477" s="185"/>
    </row>
    <row r="24478">
      <c r="D24478" s="185"/>
      <c r="E24478" s="185" t="s">
        <v>470</v>
      </c>
      <c r="H24478" s="185"/>
    </row>
    <row r="24479">
      <c r="D24479" s="185"/>
      <c r="E24479" s="185" t="s">
        <v>470</v>
      </c>
      <c r="H24479" s="185"/>
    </row>
    <row r="24480">
      <c r="D24480" s="185"/>
      <c r="E24480" s="185" t="s">
        <v>470</v>
      </c>
      <c r="H24480" s="185"/>
    </row>
    <row r="24481">
      <c r="D24481" s="185"/>
      <c r="E24481" s="185" t="s">
        <v>470</v>
      </c>
      <c r="H24481" s="185"/>
    </row>
    <row r="24482">
      <c r="D24482" s="185"/>
      <c r="E24482" s="185" t="s">
        <v>470</v>
      </c>
      <c r="H24482" s="185"/>
    </row>
    <row r="24483">
      <c r="D24483" s="185"/>
      <c r="E24483" s="185" t="s">
        <v>470</v>
      </c>
      <c r="H24483" s="185"/>
    </row>
    <row r="24484">
      <c r="D24484" s="185"/>
      <c r="E24484" s="185" t="s">
        <v>470</v>
      </c>
      <c r="H24484" s="185"/>
    </row>
    <row r="24485">
      <c r="D24485" s="185"/>
      <c r="E24485" s="185" t="s">
        <v>470</v>
      </c>
      <c r="H24485" s="185"/>
    </row>
    <row r="24486">
      <c r="D24486" s="185"/>
      <c r="E24486" s="185" t="s">
        <v>470</v>
      </c>
      <c r="H24486" s="185"/>
    </row>
    <row r="24487">
      <c r="D24487" s="185"/>
      <c r="E24487" s="185" t="s">
        <v>470</v>
      </c>
      <c r="H24487" s="185"/>
    </row>
    <row r="24488">
      <c r="D24488" s="185"/>
      <c r="E24488" s="185" t="s">
        <v>470</v>
      </c>
      <c r="H24488" s="185"/>
    </row>
    <row r="24489">
      <c r="D24489" s="185"/>
      <c r="E24489" s="185" t="s">
        <v>470</v>
      </c>
      <c r="H24489" s="185"/>
    </row>
    <row r="24490">
      <c r="D24490" s="185"/>
      <c r="E24490" s="185" t="s">
        <v>470</v>
      </c>
      <c r="H24490" s="185"/>
    </row>
    <row r="24491">
      <c r="D24491" s="185"/>
      <c r="E24491" s="185" t="s">
        <v>470</v>
      </c>
      <c r="H24491" s="185"/>
    </row>
    <row r="24492">
      <c r="D24492" s="185"/>
      <c r="E24492" s="185" t="s">
        <v>470</v>
      </c>
      <c r="H24492" s="185"/>
    </row>
    <row r="24493">
      <c r="D24493" s="185"/>
      <c r="E24493" s="185" t="s">
        <v>470</v>
      </c>
      <c r="H24493" s="185"/>
    </row>
    <row r="24494">
      <c r="D24494" s="185"/>
      <c r="E24494" s="185" t="s">
        <v>470</v>
      </c>
      <c r="H24494" s="185"/>
    </row>
    <row r="24495">
      <c r="D24495" s="185"/>
      <c r="E24495" s="185" t="s">
        <v>470</v>
      </c>
      <c r="H24495" s="185"/>
    </row>
    <row r="24496">
      <c r="D24496" s="185"/>
      <c r="E24496" s="185" t="s">
        <v>470</v>
      </c>
      <c r="H24496" s="185"/>
    </row>
    <row r="24497">
      <c r="D24497" s="185"/>
      <c r="E24497" s="185" t="s">
        <v>470</v>
      </c>
      <c r="H24497" s="185"/>
    </row>
    <row r="24498">
      <c r="D24498" s="185"/>
      <c r="E24498" s="185" t="s">
        <v>470</v>
      </c>
      <c r="H24498" s="185"/>
    </row>
    <row r="24499">
      <c r="D24499" s="185"/>
      <c r="E24499" s="185" t="s">
        <v>470</v>
      </c>
      <c r="H24499" s="185"/>
    </row>
    <row r="24500">
      <c r="D24500" s="185"/>
      <c r="E24500" s="185" t="s">
        <v>470</v>
      </c>
      <c r="H24500" s="185"/>
    </row>
    <row r="24501">
      <c r="D24501" s="185"/>
      <c r="E24501" s="185" t="s">
        <v>470</v>
      </c>
      <c r="H24501" s="185"/>
    </row>
    <row r="24502">
      <c r="D24502" s="185"/>
      <c r="E24502" s="185" t="s">
        <v>470</v>
      </c>
      <c r="H24502" s="185"/>
    </row>
    <row r="24503">
      <c r="D24503" s="185"/>
      <c r="E24503" s="185" t="s">
        <v>470</v>
      </c>
      <c r="H24503" s="185"/>
    </row>
    <row r="24504">
      <c r="D24504" s="185"/>
      <c r="E24504" s="185" t="s">
        <v>470</v>
      </c>
      <c r="H24504" s="185"/>
    </row>
    <row r="24505">
      <c r="D24505" s="185"/>
      <c r="E24505" s="185" t="s">
        <v>470</v>
      </c>
      <c r="H24505" s="185"/>
    </row>
    <row r="24506">
      <c r="D24506" s="185"/>
      <c r="E24506" s="185" t="s">
        <v>470</v>
      </c>
      <c r="H24506" s="185"/>
    </row>
    <row r="24507">
      <c r="D24507" s="185"/>
      <c r="E24507" s="185" t="s">
        <v>470</v>
      </c>
      <c r="H24507" s="185"/>
    </row>
    <row r="24508">
      <c r="D24508" s="185"/>
      <c r="E24508" s="185" t="s">
        <v>470</v>
      </c>
      <c r="H24508" s="185"/>
    </row>
    <row r="24509">
      <c r="D24509" s="185"/>
      <c r="E24509" s="185" t="s">
        <v>470</v>
      </c>
      <c r="H24509" s="185"/>
    </row>
    <row r="24510">
      <c r="D24510" s="185"/>
      <c r="E24510" s="185" t="s">
        <v>470</v>
      </c>
      <c r="H24510" s="185"/>
    </row>
    <row r="24511">
      <c r="D24511" s="185"/>
      <c r="E24511" s="185" t="s">
        <v>470</v>
      </c>
      <c r="H24511" s="185"/>
    </row>
    <row r="24512">
      <c r="D24512" s="185"/>
      <c r="E24512" s="185" t="s">
        <v>470</v>
      </c>
      <c r="H24512" s="185"/>
    </row>
    <row r="24513">
      <c r="D24513" s="185"/>
      <c r="E24513" s="185" t="s">
        <v>470</v>
      </c>
      <c r="H24513" s="185"/>
    </row>
    <row r="24514">
      <c r="D24514" s="185"/>
      <c r="E24514" s="185" t="s">
        <v>470</v>
      </c>
      <c r="H24514" s="185"/>
    </row>
    <row r="24515">
      <c r="D24515" s="185"/>
      <c r="E24515" s="185" t="s">
        <v>470</v>
      </c>
      <c r="H24515" s="185"/>
    </row>
    <row r="24516">
      <c r="D24516" s="185"/>
      <c r="E24516" s="185" t="s">
        <v>470</v>
      </c>
      <c r="H24516" s="185"/>
    </row>
    <row r="24517">
      <c r="D24517" s="185"/>
      <c r="E24517" s="185" t="s">
        <v>470</v>
      </c>
      <c r="H24517" s="185"/>
    </row>
    <row r="24518">
      <c r="D24518" s="185"/>
      <c r="E24518" s="185" t="s">
        <v>470</v>
      </c>
      <c r="H24518" s="185"/>
    </row>
    <row r="24519">
      <c r="D24519" s="185"/>
      <c r="E24519" s="185" t="s">
        <v>470</v>
      </c>
      <c r="H24519" s="185"/>
    </row>
    <row r="24520">
      <c r="D24520" s="185"/>
      <c r="E24520" s="185" t="s">
        <v>470</v>
      </c>
      <c r="H24520" s="185"/>
    </row>
    <row r="24521">
      <c r="D24521" s="185"/>
      <c r="E24521" s="185" t="s">
        <v>470</v>
      </c>
      <c r="H24521" s="185"/>
    </row>
    <row r="24522">
      <c r="D24522" s="185"/>
      <c r="E24522" s="185" t="s">
        <v>470</v>
      </c>
      <c r="H24522" s="185"/>
    </row>
    <row r="24523">
      <c r="D24523" s="185"/>
      <c r="E24523" s="185" t="s">
        <v>470</v>
      </c>
      <c r="H24523" s="185"/>
    </row>
    <row r="24524">
      <c r="D24524" s="185"/>
      <c r="E24524" s="185" t="s">
        <v>470</v>
      </c>
      <c r="H24524" s="185"/>
    </row>
    <row r="24525">
      <c r="D24525" s="185"/>
      <c r="E24525" s="185" t="s">
        <v>470</v>
      </c>
      <c r="H24525" s="185"/>
    </row>
    <row r="24526">
      <c r="D24526" s="185"/>
      <c r="E24526" s="185" t="s">
        <v>470</v>
      </c>
      <c r="H24526" s="185"/>
    </row>
    <row r="24527">
      <c r="D24527" s="185"/>
      <c r="E24527" s="185" t="s">
        <v>470</v>
      </c>
      <c r="H24527" s="185"/>
    </row>
    <row r="24528">
      <c r="D24528" s="185"/>
      <c r="E24528" s="185" t="s">
        <v>470</v>
      </c>
      <c r="H24528" s="185"/>
    </row>
    <row r="24529">
      <c r="D24529" s="185"/>
      <c r="E24529" s="185" t="s">
        <v>470</v>
      </c>
      <c r="H24529" s="185"/>
    </row>
    <row r="24530">
      <c r="D24530" s="185"/>
      <c r="E24530" s="185" t="s">
        <v>470</v>
      </c>
      <c r="H24530" s="185"/>
    </row>
    <row r="24531">
      <c r="D24531" s="185"/>
      <c r="E24531" s="185" t="s">
        <v>470</v>
      </c>
      <c r="H24531" s="185"/>
    </row>
    <row r="24532">
      <c r="D24532" s="185"/>
      <c r="E24532" s="185" t="s">
        <v>470</v>
      </c>
      <c r="H24532" s="185"/>
    </row>
    <row r="24533">
      <c r="D24533" s="185"/>
      <c r="E24533" s="185" t="s">
        <v>470</v>
      </c>
      <c r="H24533" s="185"/>
    </row>
    <row r="24534">
      <c r="D24534" s="185"/>
      <c r="E24534" s="185" t="s">
        <v>470</v>
      </c>
      <c r="H24534" s="185"/>
    </row>
    <row r="24535">
      <c r="D24535" s="185"/>
      <c r="E24535" s="185" t="s">
        <v>470</v>
      </c>
      <c r="H24535" s="185"/>
    </row>
    <row r="24536">
      <c r="D24536" s="185"/>
      <c r="E24536" s="185" t="s">
        <v>470</v>
      </c>
      <c r="H24536" s="185"/>
    </row>
    <row r="24537">
      <c r="D24537" s="185"/>
      <c r="E24537" s="185" t="s">
        <v>470</v>
      </c>
      <c r="H24537" s="185"/>
    </row>
    <row r="24538">
      <c r="D24538" s="185"/>
      <c r="E24538" s="185" t="s">
        <v>470</v>
      </c>
      <c r="H24538" s="185"/>
    </row>
    <row r="24539">
      <c r="D24539" s="185"/>
      <c r="E24539" s="185" t="s">
        <v>470</v>
      </c>
      <c r="H24539" s="185"/>
    </row>
    <row r="24540">
      <c r="D24540" s="185"/>
      <c r="E24540" s="185" t="s">
        <v>470</v>
      </c>
      <c r="H24540" s="185"/>
    </row>
    <row r="24541">
      <c r="D24541" s="185"/>
      <c r="E24541" s="185" t="s">
        <v>470</v>
      </c>
      <c r="H24541" s="185"/>
    </row>
    <row r="24542">
      <c r="D24542" s="185"/>
      <c r="E24542" s="185" t="s">
        <v>470</v>
      </c>
      <c r="H24542" s="185"/>
    </row>
    <row r="24543">
      <c r="D24543" s="185"/>
      <c r="E24543" s="185" t="s">
        <v>470</v>
      </c>
      <c r="H24543" s="185"/>
    </row>
    <row r="24544">
      <c r="D24544" s="185"/>
      <c r="E24544" s="185" t="s">
        <v>470</v>
      </c>
      <c r="H24544" s="185"/>
    </row>
    <row r="24545">
      <c r="D24545" s="185"/>
      <c r="E24545" s="185" t="s">
        <v>470</v>
      </c>
      <c r="H24545" s="185"/>
    </row>
    <row r="24546">
      <c r="D24546" s="185"/>
      <c r="E24546" s="185" t="s">
        <v>470</v>
      </c>
      <c r="H24546" s="185"/>
    </row>
    <row r="24547">
      <c r="D24547" s="185"/>
      <c r="E24547" s="185" t="s">
        <v>470</v>
      </c>
      <c r="H24547" s="185"/>
    </row>
    <row r="24548">
      <c r="D24548" s="185"/>
      <c r="E24548" s="185" t="s">
        <v>470</v>
      </c>
      <c r="H24548" s="185"/>
    </row>
    <row r="24549">
      <c r="D24549" s="185"/>
      <c r="E24549" s="185" t="s">
        <v>470</v>
      </c>
      <c r="H24549" s="185"/>
    </row>
    <row r="24550">
      <c r="D24550" s="185"/>
      <c r="E24550" s="185" t="s">
        <v>470</v>
      </c>
      <c r="H24550" s="185"/>
    </row>
    <row r="24551">
      <c r="D24551" s="185"/>
      <c r="E24551" s="185" t="s">
        <v>470</v>
      </c>
      <c r="H24551" s="185"/>
    </row>
    <row r="24552">
      <c r="D24552" s="185"/>
      <c r="E24552" s="185" t="s">
        <v>470</v>
      </c>
      <c r="H24552" s="185"/>
    </row>
    <row r="24553">
      <c r="D24553" s="185"/>
      <c r="E24553" s="185" t="s">
        <v>470</v>
      </c>
      <c r="H24553" s="185"/>
    </row>
    <row r="24554">
      <c r="D24554" s="185"/>
      <c r="E24554" s="185" t="s">
        <v>470</v>
      </c>
      <c r="H24554" s="185"/>
    </row>
    <row r="24555">
      <c r="D24555" s="185"/>
      <c r="E24555" s="185" t="s">
        <v>470</v>
      </c>
      <c r="H24555" s="185"/>
    </row>
    <row r="24556">
      <c r="D24556" s="185"/>
      <c r="E24556" s="185" t="s">
        <v>470</v>
      </c>
      <c r="H24556" s="185"/>
    </row>
    <row r="24557">
      <c r="D24557" s="185"/>
      <c r="E24557" s="185" t="s">
        <v>470</v>
      </c>
      <c r="H24557" s="185"/>
    </row>
    <row r="24558">
      <c r="D24558" s="185"/>
      <c r="E24558" s="185" t="s">
        <v>470</v>
      </c>
      <c r="H24558" s="185"/>
    </row>
    <row r="24559">
      <c r="D24559" s="185"/>
      <c r="E24559" s="185" t="s">
        <v>470</v>
      </c>
      <c r="H24559" s="185"/>
    </row>
    <row r="24560">
      <c r="D24560" s="185"/>
      <c r="E24560" s="185" t="s">
        <v>470</v>
      </c>
      <c r="H24560" s="185"/>
    </row>
    <row r="24561">
      <c r="D24561" s="185"/>
      <c r="E24561" s="185" t="s">
        <v>470</v>
      </c>
      <c r="H24561" s="185"/>
    </row>
    <row r="24562">
      <c r="D24562" s="185"/>
      <c r="E24562" s="185" t="s">
        <v>470</v>
      </c>
      <c r="H24562" s="185"/>
    </row>
    <row r="24563">
      <c r="D24563" s="185"/>
      <c r="E24563" s="185" t="s">
        <v>470</v>
      </c>
      <c r="H24563" s="185"/>
    </row>
    <row r="24564">
      <c r="D24564" s="185"/>
      <c r="E24564" s="185" t="s">
        <v>470</v>
      </c>
      <c r="H24564" s="185"/>
    </row>
    <row r="24565">
      <c r="D24565" s="185"/>
      <c r="E24565" s="185" t="s">
        <v>470</v>
      </c>
      <c r="H24565" s="185"/>
    </row>
    <row r="24566">
      <c r="D24566" s="185"/>
      <c r="E24566" s="185" t="s">
        <v>470</v>
      </c>
      <c r="H24566" s="185"/>
    </row>
    <row r="24567">
      <c r="D24567" s="185"/>
      <c r="E24567" s="185" t="s">
        <v>470</v>
      </c>
      <c r="H24567" s="185"/>
    </row>
    <row r="24568">
      <c r="D24568" s="185"/>
      <c r="E24568" s="185" t="s">
        <v>470</v>
      </c>
      <c r="H24568" s="185"/>
    </row>
    <row r="24569">
      <c r="D24569" s="185"/>
      <c r="E24569" s="185" t="s">
        <v>470</v>
      </c>
      <c r="H24569" s="185"/>
    </row>
    <row r="24570">
      <c r="D24570" s="185"/>
      <c r="E24570" s="185" t="s">
        <v>470</v>
      </c>
      <c r="H24570" s="185"/>
    </row>
    <row r="24571">
      <c r="D24571" s="185"/>
      <c r="E24571" s="185" t="s">
        <v>470</v>
      </c>
      <c r="H24571" s="185"/>
    </row>
    <row r="24572">
      <c r="D24572" s="185"/>
      <c r="E24572" s="185" t="s">
        <v>470</v>
      </c>
      <c r="H24572" s="185"/>
    </row>
    <row r="24573">
      <c r="D24573" s="185"/>
      <c r="E24573" s="185" t="s">
        <v>470</v>
      </c>
      <c r="H24573" s="185"/>
    </row>
    <row r="24574">
      <c r="D24574" s="185"/>
      <c r="E24574" s="185" t="s">
        <v>470</v>
      </c>
      <c r="H24574" s="185"/>
    </row>
    <row r="24575">
      <c r="D24575" s="185"/>
      <c r="E24575" s="185" t="s">
        <v>470</v>
      </c>
      <c r="H24575" s="185"/>
    </row>
    <row r="24576">
      <c r="D24576" s="185"/>
      <c r="E24576" s="185" t="s">
        <v>470</v>
      </c>
      <c r="H24576" s="185"/>
    </row>
    <row r="24577">
      <c r="D24577" s="185"/>
      <c r="E24577" s="185" t="s">
        <v>470</v>
      </c>
      <c r="H24577" s="185"/>
    </row>
    <row r="24578">
      <c r="D24578" s="185"/>
      <c r="E24578" s="185" t="s">
        <v>470</v>
      </c>
      <c r="H24578" s="185"/>
    </row>
    <row r="24579">
      <c r="D24579" s="185"/>
      <c r="E24579" s="185" t="s">
        <v>470</v>
      </c>
      <c r="H24579" s="185"/>
    </row>
    <row r="24580">
      <c r="D24580" s="185"/>
      <c r="E24580" s="185" t="s">
        <v>470</v>
      </c>
      <c r="H24580" s="185"/>
    </row>
    <row r="24581">
      <c r="D24581" s="185"/>
      <c r="E24581" s="185" t="s">
        <v>470</v>
      </c>
      <c r="H24581" s="185"/>
    </row>
    <row r="24582">
      <c r="D24582" s="185"/>
      <c r="E24582" s="185" t="s">
        <v>470</v>
      </c>
      <c r="H24582" s="185"/>
    </row>
    <row r="24583">
      <c r="D24583" s="185"/>
      <c r="E24583" s="185" t="s">
        <v>470</v>
      </c>
      <c r="H24583" s="185"/>
    </row>
    <row r="24584">
      <c r="D24584" s="185"/>
      <c r="E24584" s="185" t="s">
        <v>470</v>
      </c>
      <c r="H24584" s="185"/>
    </row>
    <row r="24585">
      <c r="D24585" s="185"/>
      <c r="E24585" s="185" t="s">
        <v>470</v>
      </c>
      <c r="H24585" s="185"/>
    </row>
    <row r="24586">
      <c r="D24586" s="185"/>
      <c r="E24586" s="185" t="s">
        <v>470</v>
      </c>
      <c r="H24586" s="185"/>
    </row>
    <row r="24587">
      <c r="D24587" s="185"/>
      <c r="E24587" s="185" t="s">
        <v>470</v>
      </c>
      <c r="H24587" s="185"/>
    </row>
    <row r="24588">
      <c r="D24588" s="185"/>
      <c r="E24588" s="185" t="s">
        <v>470</v>
      </c>
      <c r="H24588" s="185"/>
    </row>
    <row r="24589">
      <c r="D24589" s="185"/>
      <c r="E24589" s="185" t="s">
        <v>470</v>
      </c>
      <c r="H24589" s="185"/>
    </row>
    <row r="24590">
      <c r="D24590" s="185"/>
      <c r="E24590" s="185" t="s">
        <v>470</v>
      </c>
      <c r="H24590" s="185"/>
    </row>
    <row r="24591">
      <c r="D24591" s="185"/>
      <c r="E24591" s="185" t="s">
        <v>470</v>
      </c>
      <c r="H24591" s="185"/>
    </row>
    <row r="24592">
      <c r="D24592" s="185"/>
      <c r="E24592" s="185" t="s">
        <v>470</v>
      </c>
      <c r="H24592" s="185"/>
    </row>
    <row r="24593">
      <c r="D24593" s="185"/>
      <c r="E24593" s="185" t="s">
        <v>470</v>
      </c>
      <c r="H24593" s="185"/>
    </row>
    <row r="24594">
      <c r="D24594" s="185"/>
      <c r="E24594" s="185" t="s">
        <v>470</v>
      </c>
      <c r="H24594" s="185"/>
    </row>
    <row r="24595">
      <c r="D24595" s="185"/>
      <c r="E24595" s="185" t="s">
        <v>470</v>
      </c>
      <c r="H24595" s="185"/>
    </row>
    <row r="24596">
      <c r="D24596" s="185"/>
      <c r="E24596" s="185" t="s">
        <v>470</v>
      </c>
      <c r="H24596" s="185"/>
    </row>
    <row r="24597">
      <c r="D24597" s="185"/>
      <c r="E24597" s="185" t="s">
        <v>470</v>
      </c>
      <c r="H24597" s="185"/>
    </row>
    <row r="24598">
      <c r="D24598" s="185"/>
      <c r="E24598" s="185" t="s">
        <v>470</v>
      </c>
      <c r="H24598" s="185"/>
    </row>
    <row r="24599">
      <c r="D24599" s="185"/>
      <c r="E24599" s="185" t="s">
        <v>470</v>
      </c>
      <c r="H24599" s="185"/>
    </row>
    <row r="24600">
      <c r="D24600" s="185"/>
      <c r="E24600" s="185" t="s">
        <v>470</v>
      </c>
      <c r="H24600" s="185"/>
    </row>
    <row r="24601">
      <c r="D24601" s="185"/>
      <c r="E24601" s="185" t="s">
        <v>470</v>
      </c>
      <c r="H24601" s="185"/>
    </row>
    <row r="24602">
      <c r="D24602" s="185"/>
      <c r="E24602" s="185" t="s">
        <v>470</v>
      </c>
      <c r="H24602" s="185"/>
    </row>
    <row r="24603">
      <c r="D24603" s="185"/>
      <c r="E24603" s="185" t="s">
        <v>470</v>
      </c>
      <c r="H24603" s="185"/>
    </row>
    <row r="24604">
      <c r="D24604" s="185"/>
      <c r="E24604" s="185" t="s">
        <v>470</v>
      </c>
      <c r="H24604" s="185"/>
    </row>
    <row r="24605">
      <c r="D24605" s="185"/>
      <c r="E24605" s="185" t="s">
        <v>470</v>
      </c>
      <c r="H24605" s="185"/>
    </row>
    <row r="24606">
      <c r="D24606" s="185"/>
      <c r="E24606" s="185" t="s">
        <v>470</v>
      </c>
      <c r="H24606" s="185"/>
    </row>
    <row r="24607">
      <c r="D24607" s="185"/>
      <c r="E24607" s="185" t="s">
        <v>470</v>
      </c>
      <c r="H24607" s="185"/>
    </row>
    <row r="24608">
      <c r="D24608" s="185"/>
      <c r="E24608" s="185" t="s">
        <v>470</v>
      </c>
      <c r="H24608" s="185"/>
    </row>
    <row r="24609">
      <c r="D24609" s="185"/>
      <c r="E24609" s="185" t="s">
        <v>470</v>
      </c>
      <c r="H24609" s="185"/>
    </row>
    <row r="24610">
      <c r="D24610" s="185"/>
      <c r="E24610" s="185" t="s">
        <v>470</v>
      </c>
      <c r="H24610" s="185"/>
    </row>
    <row r="24611">
      <c r="D24611" s="185"/>
      <c r="E24611" s="185" t="s">
        <v>470</v>
      </c>
      <c r="H24611" s="185"/>
    </row>
    <row r="24612">
      <c r="D24612" s="185"/>
      <c r="E24612" s="185" t="s">
        <v>470</v>
      </c>
      <c r="H24612" s="185"/>
    </row>
    <row r="24613">
      <c r="D24613" s="185"/>
      <c r="E24613" s="185" t="s">
        <v>470</v>
      </c>
      <c r="H24613" s="185"/>
    </row>
    <row r="24614">
      <c r="D24614" s="185"/>
      <c r="E24614" s="185" t="s">
        <v>470</v>
      </c>
      <c r="H24614" s="185"/>
    </row>
    <row r="24615">
      <c r="D24615" s="185"/>
      <c r="E24615" s="185" t="s">
        <v>470</v>
      </c>
      <c r="H24615" s="185"/>
    </row>
    <row r="24616">
      <c r="D24616" s="185"/>
      <c r="E24616" s="185" t="s">
        <v>470</v>
      </c>
      <c r="H24616" s="185"/>
    </row>
    <row r="24617">
      <c r="D24617" s="185"/>
      <c r="E24617" s="185" t="s">
        <v>470</v>
      </c>
      <c r="H24617" s="185"/>
    </row>
    <row r="24618">
      <c r="D24618" s="185"/>
      <c r="E24618" s="185" t="s">
        <v>470</v>
      </c>
      <c r="H24618" s="185"/>
    </row>
    <row r="24619">
      <c r="D24619" s="185"/>
      <c r="E24619" s="185" t="s">
        <v>470</v>
      </c>
      <c r="H24619" s="185"/>
    </row>
    <row r="24620">
      <c r="D24620" s="185"/>
      <c r="E24620" s="185" t="s">
        <v>470</v>
      </c>
      <c r="H24620" s="185"/>
    </row>
    <row r="24621">
      <c r="D24621" s="185"/>
      <c r="E24621" s="185" t="s">
        <v>470</v>
      </c>
      <c r="H24621" s="185"/>
    </row>
    <row r="24622">
      <c r="D24622" s="185"/>
      <c r="E24622" s="185" t="s">
        <v>470</v>
      </c>
      <c r="H24622" s="185"/>
    </row>
    <row r="24623">
      <c r="D24623" s="185"/>
      <c r="E24623" s="185" t="s">
        <v>470</v>
      </c>
      <c r="H24623" s="185"/>
    </row>
    <row r="24624">
      <c r="D24624" s="185"/>
      <c r="E24624" s="185" t="s">
        <v>470</v>
      </c>
      <c r="H24624" s="185"/>
    </row>
    <row r="24625">
      <c r="D24625" s="185"/>
      <c r="E24625" s="185" t="s">
        <v>470</v>
      </c>
      <c r="H24625" s="185"/>
    </row>
    <row r="24626">
      <c r="D24626" s="185"/>
      <c r="E24626" s="185" t="s">
        <v>470</v>
      </c>
      <c r="H24626" s="185"/>
    </row>
    <row r="24627">
      <c r="D24627" s="185"/>
      <c r="E24627" s="185" t="s">
        <v>470</v>
      </c>
      <c r="H24627" s="185"/>
    </row>
    <row r="24628">
      <c r="D24628" s="185"/>
      <c r="E24628" s="185" t="s">
        <v>470</v>
      </c>
      <c r="H24628" s="185"/>
    </row>
    <row r="24629">
      <c r="D24629" s="185"/>
      <c r="E24629" s="185" t="s">
        <v>470</v>
      </c>
      <c r="H24629" s="185"/>
    </row>
    <row r="24630">
      <c r="D24630" s="185"/>
      <c r="E24630" s="185" t="s">
        <v>470</v>
      </c>
      <c r="H24630" s="185"/>
    </row>
    <row r="24631">
      <c r="D24631" s="185"/>
      <c r="E24631" s="185" t="s">
        <v>470</v>
      </c>
      <c r="H24631" s="185"/>
    </row>
    <row r="24632">
      <c r="D24632" s="185"/>
      <c r="E24632" s="185" t="s">
        <v>470</v>
      </c>
      <c r="H24632" s="185"/>
    </row>
    <row r="24633">
      <c r="D24633" s="185"/>
      <c r="E24633" s="185" t="s">
        <v>470</v>
      </c>
      <c r="H24633" s="185"/>
    </row>
    <row r="24634">
      <c r="D24634" s="185"/>
      <c r="E24634" s="185" t="s">
        <v>470</v>
      </c>
      <c r="H24634" s="185"/>
    </row>
    <row r="24635">
      <c r="D24635" s="185"/>
      <c r="E24635" s="185" t="s">
        <v>470</v>
      </c>
      <c r="H24635" s="185"/>
    </row>
    <row r="24636">
      <c r="D24636" s="185"/>
      <c r="E24636" s="185" t="s">
        <v>470</v>
      </c>
      <c r="H24636" s="185"/>
    </row>
    <row r="24637">
      <c r="D24637" s="185"/>
      <c r="E24637" s="185" t="s">
        <v>470</v>
      </c>
      <c r="H24637" s="185"/>
    </row>
    <row r="24638">
      <c r="D24638" s="185"/>
      <c r="E24638" s="185" t="s">
        <v>470</v>
      </c>
      <c r="H24638" s="185"/>
    </row>
    <row r="24639">
      <c r="D24639" s="185"/>
      <c r="E24639" s="185" t="s">
        <v>470</v>
      </c>
      <c r="H24639" s="185"/>
    </row>
    <row r="24640">
      <c r="D24640" s="185"/>
      <c r="E24640" s="185" t="s">
        <v>470</v>
      </c>
      <c r="H24640" s="185"/>
    </row>
    <row r="24641">
      <c r="D24641" s="185"/>
      <c r="E24641" s="185" t="s">
        <v>470</v>
      </c>
      <c r="H24641" s="185"/>
    </row>
    <row r="24642">
      <c r="D24642" s="185"/>
      <c r="E24642" s="185" t="s">
        <v>470</v>
      </c>
      <c r="H24642" s="185"/>
    </row>
    <row r="24643">
      <c r="D24643" s="185"/>
      <c r="E24643" s="185" t="s">
        <v>470</v>
      </c>
      <c r="H24643" s="185"/>
    </row>
    <row r="24644">
      <c r="D24644" s="185"/>
      <c r="E24644" s="185" t="s">
        <v>470</v>
      </c>
      <c r="H24644" s="185"/>
    </row>
    <row r="24645">
      <c r="D24645" s="185"/>
      <c r="E24645" s="185" t="s">
        <v>470</v>
      </c>
      <c r="H24645" s="185"/>
    </row>
    <row r="24646">
      <c r="D24646" s="185"/>
      <c r="E24646" s="185" t="s">
        <v>470</v>
      </c>
      <c r="H24646" s="185"/>
    </row>
    <row r="24647">
      <c r="D24647" s="185"/>
      <c r="E24647" s="185" t="s">
        <v>470</v>
      </c>
      <c r="H24647" s="185"/>
    </row>
    <row r="24648">
      <c r="D24648" s="185"/>
      <c r="E24648" s="185" t="s">
        <v>470</v>
      </c>
      <c r="H24648" s="185"/>
    </row>
    <row r="24649">
      <c r="D24649" s="185"/>
      <c r="E24649" s="185" t="s">
        <v>470</v>
      </c>
      <c r="H24649" s="185"/>
    </row>
    <row r="24650">
      <c r="D24650" s="185"/>
      <c r="E24650" s="185" t="s">
        <v>470</v>
      </c>
      <c r="H24650" s="185"/>
    </row>
    <row r="24651">
      <c r="D24651" s="185"/>
      <c r="E24651" s="185" t="s">
        <v>470</v>
      </c>
      <c r="H24651" s="185"/>
    </row>
    <row r="24652">
      <c r="D24652" s="185"/>
      <c r="E24652" s="185" t="s">
        <v>470</v>
      </c>
      <c r="H24652" s="185"/>
    </row>
    <row r="24653">
      <c r="D24653" s="185"/>
      <c r="E24653" s="185" t="s">
        <v>470</v>
      </c>
      <c r="H24653" s="185"/>
    </row>
    <row r="24654">
      <c r="D24654" s="185"/>
      <c r="E24654" s="185" t="s">
        <v>470</v>
      </c>
      <c r="H24654" s="185"/>
    </row>
    <row r="24655">
      <c r="D24655" s="185"/>
      <c r="E24655" s="185" t="s">
        <v>470</v>
      </c>
      <c r="H24655" s="185"/>
    </row>
    <row r="24656">
      <c r="D24656" s="185"/>
      <c r="E24656" s="185" t="s">
        <v>470</v>
      </c>
      <c r="H24656" s="185"/>
    </row>
    <row r="24657">
      <c r="D24657" s="185"/>
      <c r="E24657" s="185" t="s">
        <v>470</v>
      </c>
      <c r="H24657" s="185"/>
    </row>
    <row r="24658">
      <c r="D24658" s="185"/>
      <c r="E24658" s="185" t="s">
        <v>470</v>
      </c>
      <c r="H24658" s="185"/>
    </row>
    <row r="24659">
      <c r="D24659" s="185"/>
      <c r="E24659" s="185" t="s">
        <v>470</v>
      </c>
      <c r="H24659" s="185"/>
    </row>
    <row r="24660">
      <c r="D24660" s="185"/>
      <c r="E24660" s="185" t="s">
        <v>470</v>
      </c>
      <c r="H24660" s="185"/>
    </row>
    <row r="24661">
      <c r="D24661" s="185"/>
      <c r="E24661" s="185" t="s">
        <v>470</v>
      </c>
      <c r="H24661" s="185"/>
    </row>
    <row r="24662">
      <c r="D24662" s="185"/>
      <c r="E24662" s="185" t="s">
        <v>470</v>
      </c>
      <c r="H24662" s="185"/>
    </row>
    <row r="24663">
      <c r="D24663" s="185"/>
      <c r="E24663" s="185" t="s">
        <v>470</v>
      </c>
      <c r="H24663" s="185"/>
    </row>
    <row r="24664">
      <c r="D24664" s="185"/>
      <c r="E24664" s="185" t="s">
        <v>470</v>
      </c>
      <c r="H24664" s="185"/>
    </row>
    <row r="24665">
      <c r="D24665" s="185"/>
      <c r="E24665" s="185" t="s">
        <v>470</v>
      </c>
      <c r="H24665" s="185"/>
    </row>
    <row r="24666">
      <c r="D24666" s="185"/>
      <c r="E24666" s="185" t="s">
        <v>470</v>
      </c>
      <c r="H24666" s="185"/>
    </row>
    <row r="24667">
      <c r="D24667" s="185"/>
      <c r="E24667" s="185" t="s">
        <v>470</v>
      </c>
      <c r="H24667" s="185"/>
    </row>
    <row r="24668">
      <c r="D24668" s="185"/>
      <c r="E24668" s="185" t="s">
        <v>470</v>
      </c>
      <c r="H24668" s="185"/>
    </row>
    <row r="24669">
      <c r="D24669" s="185"/>
      <c r="E24669" s="185" t="s">
        <v>470</v>
      </c>
      <c r="H24669" s="185"/>
    </row>
    <row r="24670">
      <c r="D24670" s="185"/>
      <c r="E24670" s="185" t="s">
        <v>470</v>
      </c>
      <c r="H24670" s="185"/>
    </row>
    <row r="24671">
      <c r="D24671" s="185"/>
      <c r="E24671" s="185" t="s">
        <v>470</v>
      </c>
      <c r="H24671" s="185"/>
    </row>
    <row r="24672">
      <c r="D24672" s="185"/>
      <c r="E24672" s="185" t="s">
        <v>470</v>
      </c>
      <c r="H24672" s="185"/>
    </row>
    <row r="24673">
      <c r="D24673" s="185"/>
      <c r="E24673" s="185" t="s">
        <v>470</v>
      </c>
      <c r="H24673" s="185"/>
    </row>
    <row r="24674">
      <c r="D24674" s="185"/>
      <c r="E24674" s="185" t="s">
        <v>470</v>
      </c>
      <c r="H24674" s="185"/>
    </row>
    <row r="24675">
      <c r="D24675" s="185"/>
      <c r="E24675" s="185" t="s">
        <v>470</v>
      </c>
      <c r="H24675" s="185"/>
    </row>
    <row r="24676">
      <c r="D24676" s="185"/>
      <c r="E24676" s="185" t="s">
        <v>470</v>
      </c>
      <c r="H24676" s="185"/>
    </row>
    <row r="24677">
      <c r="D24677" s="185"/>
      <c r="E24677" s="185" t="s">
        <v>470</v>
      </c>
      <c r="H24677" s="185"/>
    </row>
    <row r="24678">
      <c r="D24678" s="185"/>
      <c r="E24678" s="185" t="s">
        <v>470</v>
      </c>
      <c r="H24678" s="185"/>
    </row>
    <row r="24679">
      <c r="D24679" s="185"/>
      <c r="E24679" s="185" t="s">
        <v>470</v>
      </c>
      <c r="H24679" s="185"/>
    </row>
    <row r="24680">
      <c r="D24680" s="185"/>
      <c r="E24680" s="185" t="s">
        <v>470</v>
      </c>
      <c r="H24680" s="185"/>
    </row>
    <row r="24681">
      <c r="D24681" s="185"/>
      <c r="E24681" s="185" t="s">
        <v>470</v>
      </c>
      <c r="H24681" s="185"/>
    </row>
    <row r="24682">
      <c r="D24682" s="185"/>
      <c r="E24682" s="185" t="s">
        <v>470</v>
      </c>
      <c r="H24682" s="185"/>
    </row>
    <row r="24683">
      <c r="D24683" s="185"/>
      <c r="E24683" s="185" t="s">
        <v>470</v>
      </c>
      <c r="H24683" s="185"/>
    </row>
    <row r="24684">
      <c r="D24684" s="185"/>
      <c r="E24684" s="185" t="s">
        <v>470</v>
      </c>
      <c r="H24684" s="185"/>
    </row>
    <row r="24685">
      <c r="D24685" s="185"/>
      <c r="E24685" s="185" t="s">
        <v>470</v>
      </c>
      <c r="H24685" s="185"/>
    </row>
    <row r="24686">
      <c r="D24686" s="185"/>
      <c r="E24686" s="185" t="s">
        <v>470</v>
      </c>
      <c r="H24686" s="185"/>
    </row>
    <row r="24687">
      <c r="D24687" s="185"/>
      <c r="E24687" s="185" t="s">
        <v>470</v>
      </c>
      <c r="H24687" s="185"/>
    </row>
    <row r="24688">
      <c r="D24688" s="185"/>
      <c r="E24688" s="185" t="s">
        <v>470</v>
      </c>
      <c r="H24688" s="185"/>
    </row>
    <row r="24689">
      <c r="D24689" s="185"/>
      <c r="E24689" s="185" t="s">
        <v>470</v>
      </c>
      <c r="H24689" s="185"/>
    </row>
    <row r="24690">
      <c r="D24690" s="185"/>
      <c r="E24690" s="185" t="s">
        <v>470</v>
      </c>
      <c r="H24690" s="185"/>
    </row>
    <row r="24691">
      <c r="D24691" s="185"/>
      <c r="E24691" s="185" t="s">
        <v>470</v>
      </c>
      <c r="H24691" s="185"/>
    </row>
    <row r="24692">
      <c r="D24692" s="185"/>
      <c r="E24692" s="185" t="s">
        <v>470</v>
      </c>
      <c r="H24692" s="185"/>
    </row>
    <row r="24693">
      <c r="D24693" s="185"/>
      <c r="E24693" s="185" t="s">
        <v>470</v>
      </c>
      <c r="H24693" s="185"/>
    </row>
    <row r="24694">
      <c r="D24694" s="185"/>
      <c r="E24694" s="185" t="s">
        <v>470</v>
      </c>
      <c r="H24694" s="185"/>
    </row>
    <row r="24695">
      <c r="D24695" s="185"/>
      <c r="E24695" s="185" t="s">
        <v>470</v>
      </c>
      <c r="H24695" s="185"/>
    </row>
    <row r="24696">
      <c r="D24696" s="185"/>
      <c r="E24696" s="185" t="s">
        <v>470</v>
      </c>
      <c r="H24696" s="185"/>
    </row>
    <row r="24697">
      <c r="D24697" s="185"/>
      <c r="E24697" s="185" t="s">
        <v>470</v>
      </c>
      <c r="H24697" s="185"/>
    </row>
    <row r="24698">
      <c r="D24698" s="185"/>
      <c r="E24698" s="185" t="s">
        <v>470</v>
      </c>
      <c r="H24698" s="185"/>
    </row>
    <row r="24699">
      <c r="D24699" s="185"/>
      <c r="E24699" s="185" t="s">
        <v>470</v>
      </c>
      <c r="H24699" s="185"/>
    </row>
    <row r="24700">
      <c r="D24700" s="185"/>
      <c r="E24700" s="185" t="s">
        <v>470</v>
      </c>
      <c r="H24700" s="185"/>
    </row>
    <row r="24701">
      <c r="D24701" s="185"/>
      <c r="E24701" s="185" t="s">
        <v>470</v>
      </c>
      <c r="H24701" s="185"/>
    </row>
    <row r="24702">
      <c r="D24702" s="185"/>
      <c r="E24702" s="185" t="s">
        <v>470</v>
      </c>
      <c r="H24702" s="185"/>
    </row>
    <row r="24703">
      <c r="D24703" s="185"/>
      <c r="E24703" s="185" t="s">
        <v>470</v>
      </c>
      <c r="H24703" s="185"/>
    </row>
    <row r="24704">
      <c r="D24704" s="185"/>
      <c r="E24704" s="185" t="s">
        <v>470</v>
      </c>
      <c r="H24704" s="185"/>
    </row>
    <row r="24705">
      <c r="D24705" s="185"/>
      <c r="E24705" s="185" t="s">
        <v>470</v>
      </c>
      <c r="H24705" s="185"/>
    </row>
    <row r="24706">
      <c r="D24706" s="185"/>
      <c r="E24706" s="185" t="s">
        <v>470</v>
      </c>
      <c r="H24706" s="185"/>
    </row>
    <row r="24707">
      <c r="D24707" s="185"/>
      <c r="E24707" s="185" t="s">
        <v>470</v>
      </c>
      <c r="H24707" s="185"/>
    </row>
    <row r="24708">
      <c r="D24708" s="185"/>
      <c r="E24708" s="185" t="s">
        <v>470</v>
      </c>
      <c r="H24708" s="185"/>
    </row>
    <row r="24709">
      <c r="D24709" s="185"/>
      <c r="E24709" s="185" t="s">
        <v>470</v>
      </c>
      <c r="H24709" s="185"/>
    </row>
    <row r="24710">
      <c r="D24710" s="185"/>
      <c r="E24710" s="185" t="s">
        <v>470</v>
      </c>
      <c r="H24710" s="185"/>
    </row>
    <row r="24711">
      <c r="D24711" s="185"/>
      <c r="E24711" s="185" t="s">
        <v>470</v>
      </c>
      <c r="H24711" s="185"/>
    </row>
    <row r="24712">
      <c r="D24712" s="185"/>
      <c r="E24712" s="185" t="s">
        <v>470</v>
      </c>
      <c r="H24712" s="185"/>
    </row>
    <row r="24713">
      <c r="D24713" s="185"/>
      <c r="E24713" s="185" t="s">
        <v>470</v>
      </c>
      <c r="H24713" s="185"/>
    </row>
    <row r="24714">
      <c r="D24714" s="185"/>
      <c r="E24714" s="185" t="s">
        <v>470</v>
      </c>
      <c r="H24714" s="185"/>
    </row>
    <row r="24715">
      <c r="D24715" s="185"/>
      <c r="E24715" s="185" t="s">
        <v>470</v>
      </c>
      <c r="H24715" s="185"/>
    </row>
    <row r="24716">
      <c r="D24716" s="185"/>
      <c r="E24716" s="185" t="s">
        <v>470</v>
      </c>
      <c r="H24716" s="185"/>
    </row>
    <row r="24717">
      <c r="D24717" s="185"/>
      <c r="E24717" s="185" t="s">
        <v>470</v>
      </c>
      <c r="H24717" s="185"/>
    </row>
    <row r="24718">
      <c r="D24718" s="185"/>
      <c r="E24718" s="185" t="s">
        <v>470</v>
      </c>
      <c r="H24718" s="185"/>
    </row>
    <row r="24719">
      <c r="D24719" s="185"/>
      <c r="E24719" s="185" t="s">
        <v>470</v>
      </c>
      <c r="H24719" s="185"/>
    </row>
    <row r="24720">
      <c r="D24720" s="185"/>
      <c r="E24720" s="185" t="s">
        <v>470</v>
      </c>
      <c r="H24720" s="185"/>
    </row>
    <row r="24721">
      <c r="D24721" s="185"/>
      <c r="E24721" s="185" t="s">
        <v>470</v>
      </c>
      <c r="H24721" s="185"/>
    </row>
    <row r="24722">
      <c r="D24722" s="185"/>
      <c r="E24722" s="185" t="s">
        <v>470</v>
      </c>
      <c r="H24722" s="185"/>
    </row>
    <row r="24723">
      <c r="D24723" s="185"/>
      <c r="E24723" s="185" t="s">
        <v>470</v>
      </c>
      <c r="H24723" s="185"/>
    </row>
    <row r="24724">
      <c r="D24724" s="185"/>
      <c r="E24724" s="185" t="s">
        <v>470</v>
      </c>
      <c r="H24724" s="185"/>
    </row>
    <row r="24725">
      <c r="D24725" s="185"/>
      <c r="E24725" s="185" t="s">
        <v>470</v>
      </c>
      <c r="H24725" s="185"/>
    </row>
    <row r="24726">
      <c r="D24726" s="185"/>
      <c r="E24726" s="185" t="s">
        <v>470</v>
      </c>
      <c r="H24726" s="185"/>
    </row>
    <row r="24727">
      <c r="D24727" s="185"/>
      <c r="E24727" s="185" t="s">
        <v>470</v>
      </c>
      <c r="H24727" s="185"/>
    </row>
    <row r="24728">
      <c r="D24728" s="185"/>
      <c r="E24728" s="185" t="s">
        <v>470</v>
      </c>
      <c r="H24728" s="185"/>
    </row>
    <row r="24729">
      <c r="D24729" s="185"/>
      <c r="E24729" s="185" t="s">
        <v>470</v>
      </c>
      <c r="H24729" s="185"/>
    </row>
    <row r="24730">
      <c r="D24730" s="185"/>
      <c r="E24730" s="185" t="s">
        <v>470</v>
      </c>
      <c r="H24730" s="185"/>
    </row>
    <row r="24731">
      <c r="D24731" s="185"/>
      <c r="E24731" s="185" t="s">
        <v>470</v>
      </c>
      <c r="H24731" s="185"/>
    </row>
    <row r="24732">
      <c r="D24732" s="185"/>
      <c r="E24732" s="185" t="s">
        <v>470</v>
      </c>
      <c r="H24732" s="185"/>
    </row>
    <row r="24733">
      <c r="D24733" s="185"/>
      <c r="E24733" s="185" t="s">
        <v>470</v>
      </c>
      <c r="H24733" s="185"/>
    </row>
    <row r="24734">
      <c r="D24734" s="185"/>
      <c r="E24734" s="185" t="s">
        <v>470</v>
      </c>
      <c r="H24734" s="185"/>
    </row>
    <row r="24735">
      <c r="D24735" s="185"/>
      <c r="E24735" s="185" t="s">
        <v>470</v>
      </c>
      <c r="H24735" s="185"/>
    </row>
    <row r="24736">
      <c r="D24736" s="185"/>
      <c r="E24736" s="185" t="s">
        <v>470</v>
      </c>
      <c r="H24736" s="185"/>
    </row>
    <row r="24737">
      <c r="D24737" s="185"/>
      <c r="E24737" s="185" t="s">
        <v>470</v>
      </c>
      <c r="H24737" s="185"/>
    </row>
    <row r="24738">
      <c r="D24738" s="185"/>
      <c r="E24738" s="185" t="s">
        <v>470</v>
      </c>
      <c r="H24738" s="185"/>
    </row>
    <row r="24739">
      <c r="D24739" s="185"/>
      <c r="E24739" s="185" t="s">
        <v>470</v>
      </c>
      <c r="H24739" s="185"/>
    </row>
    <row r="24740">
      <c r="D24740" s="185"/>
      <c r="E24740" s="185" t="s">
        <v>470</v>
      </c>
      <c r="H24740" s="185"/>
    </row>
    <row r="24741">
      <c r="D24741" s="185"/>
      <c r="E24741" s="185" t="s">
        <v>470</v>
      </c>
      <c r="H24741" s="185"/>
    </row>
    <row r="24742">
      <c r="D24742" s="185"/>
      <c r="E24742" s="185" t="s">
        <v>470</v>
      </c>
      <c r="H24742" s="185"/>
    </row>
    <row r="24743">
      <c r="D24743" s="185"/>
      <c r="E24743" s="185" t="s">
        <v>470</v>
      </c>
      <c r="H24743" s="185"/>
    </row>
    <row r="24744">
      <c r="D24744" s="185"/>
      <c r="E24744" s="185" t="s">
        <v>470</v>
      </c>
      <c r="H24744" s="185"/>
    </row>
    <row r="24745">
      <c r="D24745" s="185"/>
      <c r="E24745" s="185" t="s">
        <v>470</v>
      </c>
      <c r="H24745" s="185"/>
    </row>
    <row r="24746">
      <c r="D24746" s="185"/>
      <c r="E24746" s="185" t="s">
        <v>470</v>
      </c>
      <c r="H24746" s="185"/>
    </row>
    <row r="24747">
      <c r="D24747" s="185"/>
      <c r="E24747" s="185" t="s">
        <v>470</v>
      </c>
      <c r="H24747" s="185"/>
    </row>
    <row r="24748">
      <c r="D24748" s="185"/>
      <c r="E24748" s="185" t="s">
        <v>470</v>
      </c>
      <c r="H24748" s="185"/>
    </row>
    <row r="24749">
      <c r="D24749" s="185"/>
      <c r="E24749" s="185" t="s">
        <v>470</v>
      </c>
      <c r="H24749" s="185"/>
    </row>
    <row r="24750">
      <c r="D24750" s="185"/>
      <c r="E24750" s="185" t="s">
        <v>470</v>
      </c>
      <c r="H24750" s="185"/>
    </row>
    <row r="24751">
      <c r="D24751" s="185"/>
      <c r="E24751" s="185" t="s">
        <v>470</v>
      </c>
      <c r="H24751" s="185"/>
    </row>
    <row r="24752">
      <c r="D24752" s="185"/>
      <c r="E24752" s="185" t="s">
        <v>470</v>
      </c>
      <c r="H24752" s="185"/>
    </row>
    <row r="24753">
      <c r="D24753" s="185"/>
      <c r="E24753" s="185" t="s">
        <v>470</v>
      </c>
      <c r="H24753" s="185"/>
    </row>
    <row r="24754">
      <c r="D24754" s="185"/>
      <c r="E24754" s="185" t="s">
        <v>470</v>
      </c>
      <c r="H24754" s="185"/>
    </row>
    <row r="24755">
      <c r="D24755" s="185"/>
      <c r="E24755" s="185" t="s">
        <v>470</v>
      </c>
      <c r="H24755" s="185"/>
    </row>
    <row r="24756">
      <c r="D24756" s="185"/>
      <c r="E24756" s="185" t="s">
        <v>470</v>
      </c>
      <c r="H24756" s="185"/>
    </row>
    <row r="24757">
      <c r="D24757" s="185"/>
      <c r="E24757" s="185" t="s">
        <v>470</v>
      </c>
      <c r="H24757" s="185"/>
    </row>
    <row r="24758">
      <c r="D24758" s="185"/>
      <c r="E24758" s="185" t="s">
        <v>470</v>
      </c>
      <c r="H24758" s="185"/>
    </row>
    <row r="24759">
      <c r="D24759" s="185"/>
      <c r="E24759" s="185" t="s">
        <v>470</v>
      </c>
      <c r="H24759" s="185"/>
    </row>
    <row r="24760">
      <c r="D24760" s="185"/>
      <c r="E24760" s="185" t="s">
        <v>470</v>
      </c>
      <c r="H24760" s="185"/>
    </row>
    <row r="24761">
      <c r="D24761" s="185"/>
      <c r="E24761" s="185" t="s">
        <v>470</v>
      </c>
      <c r="H24761" s="185"/>
    </row>
    <row r="24762">
      <c r="D24762" s="185"/>
      <c r="E24762" s="185" t="s">
        <v>470</v>
      </c>
      <c r="H24762" s="185"/>
    </row>
    <row r="24763">
      <c r="D24763" s="185"/>
      <c r="E24763" s="185" t="s">
        <v>470</v>
      </c>
      <c r="H24763" s="185"/>
    </row>
    <row r="24764">
      <c r="D24764" s="185"/>
      <c r="E24764" s="185" t="s">
        <v>470</v>
      </c>
      <c r="H24764" s="185"/>
    </row>
    <row r="24765">
      <c r="D24765" s="185"/>
      <c r="E24765" s="185" t="s">
        <v>470</v>
      </c>
      <c r="H24765" s="185"/>
    </row>
    <row r="24766">
      <c r="D24766" s="185"/>
      <c r="E24766" s="185" t="s">
        <v>470</v>
      </c>
      <c r="H24766" s="185"/>
    </row>
    <row r="24767">
      <c r="D24767" s="185"/>
      <c r="E24767" s="185" t="s">
        <v>470</v>
      </c>
      <c r="H24767" s="185"/>
    </row>
    <row r="24768">
      <c r="D24768" s="185"/>
      <c r="E24768" s="185" t="s">
        <v>470</v>
      </c>
      <c r="H24768" s="185"/>
    </row>
    <row r="24769">
      <c r="D24769" s="185"/>
      <c r="E24769" s="185" t="s">
        <v>470</v>
      </c>
      <c r="H24769" s="185"/>
    </row>
    <row r="24770">
      <c r="D24770" s="185"/>
      <c r="E24770" s="185" t="s">
        <v>470</v>
      </c>
      <c r="H24770" s="185"/>
    </row>
    <row r="24771">
      <c r="D24771" s="185"/>
      <c r="E24771" s="185" t="s">
        <v>470</v>
      </c>
      <c r="H24771" s="185"/>
    </row>
    <row r="24772">
      <c r="D24772" s="185"/>
      <c r="E24772" s="185" t="s">
        <v>470</v>
      </c>
      <c r="H24772" s="185"/>
    </row>
    <row r="24773">
      <c r="D24773" s="185"/>
      <c r="E24773" s="185" t="s">
        <v>470</v>
      </c>
      <c r="H24773" s="185"/>
    </row>
    <row r="24774">
      <c r="D24774" s="185"/>
      <c r="E24774" s="185" t="s">
        <v>470</v>
      </c>
      <c r="H24774" s="185"/>
    </row>
    <row r="24775">
      <c r="D24775" s="185"/>
      <c r="E24775" s="185" t="s">
        <v>470</v>
      </c>
      <c r="H24775" s="185"/>
    </row>
    <row r="24776">
      <c r="D24776" s="185"/>
      <c r="E24776" s="185" t="s">
        <v>470</v>
      </c>
      <c r="H24776" s="185"/>
    </row>
    <row r="24777">
      <c r="D24777" s="185"/>
      <c r="E24777" s="185" t="s">
        <v>470</v>
      </c>
      <c r="H24777" s="185"/>
    </row>
    <row r="24778">
      <c r="D24778" s="185"/>
      <c r="E24778" s="185" t="s">
        <v>470</v>
      </c>
      <c r="H24778" s="185"/>
    </row>
    <row r="24779">
      <c r="D24779" s="185"/>
      <c r="E24779" s="185" t="s">
        <v>470</v>
      </c>
      <c r="H24779" s="185"/>
    </row>
    <row r="24780">
      <c r="D24780" s="185"/>
      <c r="E24780" s="185" t="s">
        <v>470</v>
      </c>
      <c r="H24780" s="185"/>
    </row>
    <row r="24781">
      <c r="D24781" s="185"/>
      <c r="E24781" s="185" t="s">
        <v>470</v>
      </c>
      <c r="H24781" s="185"/>
    </row>
    <row r="24782">
      <c r="D24782" s="185"/>
      <c r="E24782" s="185" t="s">
        <v>470</v>
      </c>
      <c r="H24782" s="185"/>
    </row>
    <row r="24783">
      <c r="D24783" s="185"/>
      <c r="E24783" s="185" t="s">
        <v>470</v>
      </c>
      <c r="H24783" s="185"/>
    </row>
    <row r="24784">
      <c r="D24784" s="185"/>
      <c r="E24784" s="185" t="s">
        <v>470</v>
      </c>
      <c r="H24784" s="185"/>
    </row>
    <row r="24785">
      <c r="D24785" s="185"/>
      <c r="E24785" s="185" t="s">
        <v>470</v>
      </c>
      <c r="H24785" s="185"/>
    </row>
    <row r="24786">
      <c r="D24786" s="185"/>
      <c r="E24786" s="185" t="s">
        <v>470</v>
      </c>
      <c r="H24786" s="185"/>
    </row>
    <row r="24787">
      <c r="D24787" s="185"/>
      <c r="E24787" s="185" t="s">
        <v>470</v>
      </c>
      <c r="H24787" s="185"/>
    </row>
    <row r="24788">
      <c r="D24788" s="185"/>
      <c r="E24788" s="185" t="s">
        <v>470</v>
      </c>
      <c r="H24788" s="185"/>
    </row>
    <row r="24789">
      <c r="D24789" s="185"/>
      <c r="E24789" s="185" t="s">
        <v>470</v>
      </c>
      <c r="H24789" s="185"/>
    </row>
    <row r="24790">
      <c r="D24790" s="185"/>
      <c r="E24790" s="185" t="s">
        <v>470</v>
      </c>
      <c r="H24790" s="185"/>
    </row>
    <row r="24791">
      <c r="D24791" s="185"/>
      <c r="E24791" s="185" t="s">
        <v>470</v>
      </c>
      <c r="H24791" s="185"/>
    </row>
    <row r="24792">
      <c r="D24792" s="185"/>
      <c r="E24792" s="185" t="s">
        <v>470</v>
      </c>
      <c r="H24792" s="185"/>
    </row>
    <row r="24793">
      <c r="D24793" s="185"/>
      <c r="E24793" s="185" t="s">
        <v>470</v>
      </c>
      <c r="H24793" s="185"/>
    </row>
    <row r="24794">
      <c r="D24794" s="185"/>
      <c r="E24794" s="185" t="s">
        <v>470</v>
      </c>
      <c r="H24794" s="185"/>
    </row>
    <row r="24795">
      <c r="D24795" s="185"/>
      <c r="E24795" s="185" t="s">
        <v>470</v>
      </c>
      <c r="H24795" s="185"/>
    </row>
    <row r="24796">
      <c r="D24796" s="185"/>
      <c r="E24796" s="185" t="s">
        <v>470</v>
      </c>
      <c r="H24796" s="185"/>
    </row>
    <row r="24797">
      <c r="D24797" s="185"/>
      <c r="E24797" s="185" t="s">
        <v>470</v>
      </c>
      <c r="H24797" s="185"/>
    </row>
    <row r="24798">
      <c r="D24798" s="185"/>
      <c r="E24798" s="185" t="s">
        <v>470</v>
      </c>
      <c r="H24798" s="185"/>
    </row>
    <row r="24799">
      <c r="D24799" s="185"/>
      <c r="E24799" s="185" t="s">
        <v>470</v>
      </c>
      <c r="H24799" s="185"/>
    </row>
    <row r="24800">
      <c r="D24800" s="185"/>
      <c r="E24800" s="185" t="s">
        <v>470</v>
      </c>
      <c r="H24800" s="185"/>
    </row>
    <row r="24801">
      <c r="D24801" s="185"/>
      <c r="E24801" s="185" t="s">
        <v>470</v>
      </c>
      <c r="H24801" s="185"/>
    </row>
    <row r="24802">
      <c r="D24802" s="185"/>
      <c r="E24802" s="185" t="s">
        <v>470</v>
      </c>
      <c r="H24802" s="185"/>
    </row>
    <row r="24803">
      <c r="D24803" s="185"/>
      <c r="E24803" s="185" t="s">
        <v>470</v>
      </c>
      <c r="H24803" s="185"/>
    </row>
    <row r="24804">
      <c r="D24804" s="185"/>
      <c r="E24804" s="185" t="s">
        <v>470</v>
      </c>
      <c r="H24804" s="185"/>
    </row>
    <row r="24805">
      <c r="D24805" s="185"/>
      <c r="E24805" s="185" t="s">
        <v>470</v>
      </c>
      <c r="H24805" s="185"/>
    </row>
    <row r="24806">
      <c r="D24806" s="185"/>
      <c r="E24806" s="185" t="s">
        <v>470</v>
      </c>
      <c r="H24806" s="185"/>
    </row>
    <row r="24807">
      <c r="D24807" s="185"/>
      <c r="E24807" s="185" t="s">
        <v>470</v>
      </c>
      <c r="H24807" s="185"/>
    </row>
    <row r="24808">
      <c r="D24808" s="185"/>
      <c r="E24808" s="185" t="s">
        <v>470</v>
      </c>
      <c r="H24808" s="185"/>
    </row>
    <row r="24809">
      <c r="D24809" s="185"/>
      <c r="E24809" s="185" t="s">
        <v>470</v>
      </c>
      <c r="H24809" s="185"/>
    </row>
    <row r="24810">
      <c r="D24810" s="185"/>
      <c r="E24810" s="185" t="s">
        <v>470</v>
      </c>
      <c r="H24810" s="185"/>
    </row>
    <row r="24811">
      <c r="D24811" s="185"/>
      <c r="E24811" s="185" t="s">
        <v>470</v>
      </c>
      <c r="H24811" s="185"/>
    </row>
    <row r="24812">
      <c r="D24812" s="185"/>
      <c r="E24812" s="185" t="s">
        <v>470</v>
      </c>
      <c r="H24812" s="185"/>
    </row>
    <row r="24813">
      <c r="D24813" s="185"/>
      <c r="E24813" s="185" t="s">
        <v>470</v>
      </c>
      <c r="H24813" s="185"/>
    </row>
    <row r="24814">
      <c r="D24814" s="185"/>
      <c r="E24814" s="185" t="s">
        <v>470</v>
      </c>
      <c r="H24814" s="185"/>
    </row>
    <row r="24815">
      <c r="D24815" s="185"/>
      <c r="E24815" s="185" t="s">
        <v>470</v>
      </c>
      <c r="H24815" s="185"/>
    </row>
    <row r="24816">
      <c r="D24816" s="185"/>
      <c r="E24816" s="185" t="s">
        <v>470</v>
      </c>
      <c r="H24816" s="185"/>
    </row>
    <row r="24817">
      <c r="D24817" s="185"/>
      <c r="E24817" s="185" t="s">
        <v>470</v>
      </c>
      <c r="H24817" s="185"/>
    </row>
    <row r="24818">
      <c r="D24818" s="185"/>
      <c r="E24818" s="185" t="s">
        <v>470</v>
      </c>
      <c r="H24818" s="185"/>
    </row>
    <row r="24819">
      <c r="D24819" s="185"/>
      <c r="E24819" s="185" t="s">
        <v>470</v>
      </c>
      <c r="H24819" s="185"/>
    </row>
    <row r="24820">
      <c r="D24820" s="185"/>
      <c r="E24820" s="185" t="s">
        <v>470</v>
      </c>
      <c r="H24820" s="185"/>
    </row>
    <row r="24821">
      <c r="D24821" s="185"/>
      <c r="E24821" s="185" t="s">
        <v>470</v>
      </c>
      <c r="H24821" s="185"/>
    </row>
    <row r="24822">
      <c r="D24822" s="185"/>
      <c r="E24822" s="185" t="s">
        <v>470</v>
      </c>
      <c r="H24822" s="185"/>
    </row>
    <row r="24823">
      <c r="D24823" s="185"/>
      <c r="E24823" s="185" t="s">
        <v>470</v>
      </c>
      <c r="H24823" s="185"/>
    </row>
    <row r="24824">
      <c r="D24824" s="185"/>
      <c r="E24824" s="185" t="s">
        <v>470</v>
      </c>
      <c r="H24824" s="185"/>
    </row>
    <row r="24825">
      <c r="D24825" s="185"/>
      <c r="E24825" s="185" t="s">
        <v>470</v>
      </c>
      <c r="H24825" s="185"/>
    </row>
    <row r="24826">
      <c r="D24826" s="185"/>
      <c r="E24826" s="185" t="s">
        <v>470</v>
      </c>
      <c r="H24826" s="185"/>
    </row>
    <row r="24827">
      <c r="D24827" s="185"/>
      <c r="E24827" s="185" t="s">
        <v>470</v>
      </c>
      <c r="H24827" s="185"/>
    </row>
    <row r="24828">
      <c r="D24828" s="185"/>
      <c r="E24828" s="185" t="s">
        <v>470</v>
      </c>
      <c r="H24828" s="185"/>
    </row>
    <row r="24829">
      <c r="D24829" s="185"/>
      <c r="E24829" s="185" t="s">
        <v>470</v>
      </c>
      <c r="H24829" s="185"/>
    </row>
    <row r="24830">
      <c r="D24830" s="185"/>
      <c r="E24830" s="185" t="s">
        <v>470</v>
      </c>
      <c r="H24830" s="185"/>
    </row>
    <row r="24831">
      <c r="D24831" s="185"/>
      <c r="E24831" s="185" t="s">
        <v>470</v>
      </c>
      <c r="H24831" s="185"/>
    </row>
    <row r="24832">
      <c r="D24832" s="185"/>
      <c r="E24832" s="185" t="s">
        <v>470</v>
      </c>
      <c r="H24832" s="185"/>
    </row>
    <row r="24833">
      <c r="D24833" s="185"/>
      <c r="E24833" s="185" t="s">
        <v>470</v>
      </c>
      <c r="H24833" s="185"/>
    </row>
    <row r="24834">
      <c r="D24834" s="185"/>
      <c r="E24834" s="185" t="s">
        <v>470</v>
      </c>
      <c r="H24834" s="185"/>
    </row>
    <row r="24835">
      <c r="D24835" s="185"/>
      <c r="E24835" s="185" t="s">
        <v>470</v>
      </c>
      <c r="H24835" s="185"/>
    </row>
    <row r="24836">
      <c r="D24836" s="185"/>
      <c r="E24836" s="185" t="s">
        <v>470</v>
      </c>
      <c r="H24836" s="185"/>
    </row>
    <row r="24837">
      <c r="D24837" s="185"/>
      <c r="E24837" s="185" t="s">
        <v>470</v>
      </c>
      <c r="H24837" s="185"/>
    </row>
    <row r="24838">
      <c r="D24838" s="185"/>
      <c r="E24838" s="185" t="s">
        <v>470</v>
      </c>
      <c r="H24838" s="185"/>
    </row>
    <row r="24839">
      <c r="D24839" s="185"/>
      <c r="E24839" s="185" t="s">
        <v>470</v>
      </c>
      <c r="H24839" s="185"/>
    </row>
    <row r="24840">
      <c r="D24840" s="185"/>
      <c r="E24840" s="185" t="s">
        <v>470</v>
      </c>
      <c r="H24840" s="185"/>
    </row>
    <row r="24841">
      <c r="D24841" s="185"/>
      <c r="E24841" s="185" t="s">
        <v>470</v>
      </c>
      <c r="H24841" s="185"/>
    </row>
    <row r="24842">
      <c r="D24842" s="185"/>
      <c r="E24842" s="185" t="s">
        <v>470</v>
      </c>
      <c r="H24842" s="185"/>
    </row>
    <row r="24843">
      <c r="D24843" s="185"/>
      <c r="E24843" s="185" t="s">
        <v>470</v>
      </c>
      <c r="H24843" s="185"/>
    </row>
    <row r="24844">
      <c r="D24844" s="185"/>
      <c r="E24844" s="185" t="s">
        <v>470</v>
      </c>
      <c r="H24844" s="185"/>
    </row>
    <row r="24845">
      <c r="D24845" s="185"/>
      <c r="E24845" s="185" t="s">
        <v>470</v>
      </c>
      <c r="H24845" s="185"/>
    </row>
    <row r="24846">
      <c r="D24846" s="185"/>
      <c r="E24846" s="185" t="s">
        <v>470</v>
      </c>
      <c r="H24846" s="185"/>
    </row>
    <row r="24847">
      <c r="D24847" s="185"/>
      <c r="E24847" s="185" t="s">
        <v>470</v>
      </c>
      <c r="H24847" s="185"/>
    </row>
    <row r="24848">
      <c r="D24848" s="185"/>
      <c r="E24848" s="185" t="s">
        <v>470</v>
      </c>
      <c r="H24848" s="185"/>
    </row>
    <row r="24849">
      <c r="D24849" s="185"/>
      <c r="E24849" s="185" t="s">
        <v>470</v>
      </c>
      <c r="H24849" s="185"/>
    </row>
    <row r="24850">
      <c r="D24850" s="185"/>
      <c r="E24850" s="185" t="s">
        <v>470</v>
      </c>
      <c r="H24850" s="185"/>
    </row>
    <row r="24851">
      <c r="D24851" s="185"/>
      <c r="E24851" s="185" t="s">
        <v>470</v>
      </c>
      <c r="H24851" s="185"/>
    </row>
    <row r="24852">
      <c r="D24852" s="185"/>
      <c r="E24852" s="185" t="s">
        <v>470</v>
      </c>
      <c r="H24852" s="185"/>
    </row>
    <row r="24853">
      <c r="D24853" s="185"/>
      <c r="E24853" s="185" t="s">
        <v>470</v>
      </c>
      <c r="H24853" s="185"/>
    </row>
    <row r="24854">
      <c r="D24854" s="185"/>
      <c r="E24854" s="185" t="s">
        <v>470</v>
      </c>
      <c r="H24854" s="185"/>
    </row>
    <row r="24855">
      <c r="D24855" s="185"/>
      <c r="E24855" s="185" t="s">
        <v>470</v>
      </c>
      <c r="H24855" s="185"/>
    </row>
    <row r="24856">
      <c r="D24856" s="185"/>
      <c r="E24856" s="185" t="s">
        <v>470</v>
      </c>
      <c r="H24856" s="185"/>
    </row>
    <row r="24857">
      <c r="D24857" s="185"/>
      <c r="E24857" s="185" t="s">
        <v>470</v>
      </c>
      <c r="H24857" s="185"/>
    </row>
    <row r="24858">
      <c r="D24858" s="185"/>
      <c r="E24858" s="185" t="s">
        <v>470</v>
      </c>
      <c r="H24858" s="185"/>
    </row>
    <row r="24859">
      <c r="D24859" s="185"/>
      <c r="E24859" s="185" t="s">
        <v>470</v>
      </c>
      <c r="H24859" s="185"/>
    </row>
    <row r="24860">
      <c r="D24860" s="185"/>
      <c r="E24860" s="185" t="s">
        <v>470</v>
      </c>
      <c r="H24860" s="185"/>
    </row>
    <row r="24861">
      <c r="D24861" s="185"/>
      <c r="E24861" s="185" t="s">
        <v>470</v>
      </c>
      <c r="H24861" s="185"/>
    </row>
    <row r="24862">
      <c r="D24862" s="185"/>
      <c r="E24862" s="185" t="s">
        <v>470</v>
      </c>
      <c r="H24862" s="185"/>
    </row>
    <row r="24863">
      <c r="D24863" s="185"/>
      <c r="E24863" s="185" t="s">
        <v>470</v>
      </c>
      <c r="H24863" s="185"/>
    </row>
    <row r="24864">
      <c r="D24864" s="185"/>
      <c r="E24864" s="185" t="s">
        <v>470</v>
      </c>
      <c r="H24864" s="185"/>
    </row>
    <row r="24865">
      <c r="D24865" s="185"/>
      <c r="E24865" s="185" t="s">
        <v>470</v>
      </c>
      <c r="H24865" s="185"/>
    </row>
    <row r="24866">
      <c r="D24866" s="185"/>
      <c r="E24866" s="185" t="s">
        <v>470</v>
      </c>
      <c r="H24866" s="185"/>
    </row>
    <row r="24867">
      <c r="D24867" s="185"/>
      <c r="E24867" s="185" t="s">
        <v>470</v>
      </c>
      <c r="H24867" s="185"/>
    </row>
    <row r="24868">
      <c r="D24868" s="185"/>
      <c r="E24868" s="185" t="s">
        <v>470</v>
      </c>
      <c r="H24868" s="185"/>
    </row>
    <row r="24869">
      <c r="D24869" s="185"/>
      <c r="E24869" s="185" t="s">
        <v>470</v>
      </c>
      <c r="H24869" s="185"/>
    </row>
    <row r="24870">
      <c r="D24870" s="185"/>
      <c r="E24870" s="185" t="s">
        <v>470</v>
      </c>
      <c r="H24870" s="185"/>
    </row>
    <row r="24871">
      <c r="D24871" s="185"/>
      <c r="E24871" s="185" t="s">
        <v>470</v>
      </c>
      <c r="H24871" s="185"/>
    </row>
    <row r="24872">
      <c r="D24872" s="185"/>
      <c r="E24872" s="185" t="s">
        <v>470</v>
      </c>
      <c r="H24872" s="185"/>
    </row>
    <row r="24873">
      <c r="D24873" s="185"/>
      <c r="E24873" s="185" t="s">
        <v>470</v>
      </c>
      <c r="H24873" s="185"/>
    </row>
    <row r="24874">
      <c r="D24874" s="185"/>
      <c r="E24874" s="185" t="s">
        <v>470</v>
      </c>
      <c r="H24874" s="185"/>
    </row>
    <row r="24875">
      <c r="D24875" s="185"/>
      <c r="E24875" s="185" t="s">
        <v>470</v>
      </c>
      <c r="H24875" s="185"/>
    </row>
    <row r="24876">
      <c r="D24876" s="185"/>
      <c r="E24876" s="185" t="s">
        <v>470</v>
      </c>
      <c r="H24876" s="185"/>
    </row>
    <row r="24877">
      <c r="D24877" s="185"/>
      <c r="E24877" s="185" t="s">
        <v>470</v>
      </c>
      <c r="H24877" s="185"/>
    </row>
    <row r="24878">
      <c r="D24878" s="185"/>
      <c r="E24878" s="185" t="s">
        <v>470</v>
      </c>
      <c r="H24878" s="185"/>
    </row>
    <row r="24879">
      <c r="D24879" s="185"/>
      <c r="E24879" s="185" t="s">
        <v>470</v>
      </c>
      <c r="H24879" s="185"/>
    </row>
    <row r="24880">
      <c r="D24880" s="185"/>
      <c r="E24880" s="185" t="s">
        <v>470</v>
      </c>
      <c r="H24880" s="185"/>
    </row>
    <row r="24881">
      <c r="D24881" s="185"/>
      <c r="E24881" s="185" t="s">
        <v>470</v>
      </c>
      <c r="H24881" s="185"/>
    </row>
    <row r="24882">
      <c r="D24882" s="185"/>
      <c r="E24882" s="185" t="s">
        <v>470</v>
      </c>
      <c r="H24882" s="185"/>
    </row>
    <row r="24883">
      <c r="D24883" s="185"/>
      <c r="E24883" s="185" t="s">
        <v>470</v>
      </c>
      <c r="H24883" s="185"/>
    </row>
    <row r="24884">
      <c r="D24884" s="185"/>
      <c r="E24884" s="185" t="s">
        <v>470</v>
      </c>
      <c r="H24884" s="185"/>
    </row>
    <row r="24885">
      <c r="D24885" s="185"/>
      <c r="E24885" s="185" t="s">
        <v>470</v>
      </c>
      <c r="H24885" s="185"/>
    </row>
    <row r="24886">
      <c r="D24886" s="185"/>
      <c r="E24886" s="185" t="s">
        <v>470</v>
      </c>
      <c r="H24886" s="185"/>
    </row>
    <row r="24887">
      <c r="D24887" s="185"/>
      <c r="E24887" s="185" t="s">
        <v>470</v>
      </c>
      <c r="H24887" s="185"/>
    </row>
    <row r="24888">
      <c r="D24888" s="185"/>
      <c r="E24888" s="185" t="s">
        <v>470</v>
      </c>
      <c r="H24888" s="185"/>
    </row>
    <row r="24889">
      <c r="D24889" s="185"/>
      <c r="E24889" s="185" t="s">
        <v>470</v>
      </c>
      <c r="H24889" s="185"/>
    </row>
    <row r="24890">
      <c r="D24890" s="185"/>
      <c r="E24890" s="185" t="s">
        <v>470</v>
      </c>
      <c r="H24890" s="185"/>
    </row>
    <row r="24891">
      <c r="D24891" s="185"/>
      <c r="E24891" s="185" t="s">
        <v>470</v>
      </c>
      <c r="H24891" s="185"/>
    </row>
    <row r="24892">
      <c r="D24892" s="185"/>
      <c r="E24892" s="185" t="s">
        <v>470</v>
      </c>
      <c r="H24892" s="185"/>
    </row>
    <row r="24893">
      <c r="D24893" s="185"/>
      <c r="E24893" s="185" t="s">
        <v>470</v>
      </c>
      <c r="H24893" s="185"/>
    </row>
    <row r="24894">
      <c r="D24894" s="185"/>
      <c r="E24894" s="185" t="s">
        <v>470</v>
      </c>
      <c r="H24894" s="185"/>
    </row>
    <row r="24895">
      <c r="D24895" s="185"/>
      <c r="E24895" s="185" t="s">
        <v>470</v>
      </c>
      <c r="H24895" s="185"/>
    </row>
    <row r="24896">
      <c r="D24896" s="185"/>
      <c r="E24896" s="185" t="s">
        <v>470</v>
      </c>
      <c r="H24896" s="185"/>
    </row>
    <row r="24897">
      <c r="D24897" s="185"/>
      <c r="E24897" s="185" t="s">
        <v>470</v>
      </c>
      <c r="H24897" s="185"/>
    </row>
    <row r="24898">
      <c r="D24898" s="185"/>
      <c r="E24898" s="185" t="s">
        <v>470</v>
      </c>
      <c r="H24898" s="185"/>
    </row>
    <row r="24899">
      <c r="D24899" s="185"/>
      <c r="E24899" s="185" t="s">
        <v>470</v>
      </c>
      <c r="H24899" s="185"/>
    </row>
    <row r="24900">
      <c r="D24900" s="185"/>
      <c r="E24900" s="185" t="s">
        <v>470</v>
      </c>
      <c r="H24900" s="185"/>
    </row>
    <row r="24901">
      <c r="D24901" s="185"/>
      <c r="E24901" s="185" t="s">
        <v>470</v>
      </c>
      <c r="H24901" s="185"/>
    </row>
    <row r="24902">
      <c r="D24902" s="185"/>
      <c r="E24902" s="185" t="s">
        <v>470</v>
      </c>
      <c r="H24902" s="185"/>
    </row>
    <row r="24903">
      <c r="D24903" s="185"/>
      <c r="E24903" s="185" t="s">
        <v>470</v>
      </c>
      <c r="H24903" s="185"/>
    </row>
    <row r="24904">
      <c r="D24904" s="185"/>
      <c r="E24904" s="185" t="s">
        <v>470</v>
      </c>
      <c r="H24904" s="185"/>
    </row>
    <row r="24905">
      <c r="D24905" s="185"/>
      <c r="E24905" s="185" t="s">
        <v>470</v>
      </c>
      <c r="H24905" s="185"/>
    </row>
    <row r="24906">
      <c r="D24906" s="185"/>
      <c r="E24906" s="185" t="s">
        <v>470</v>
      </c>
      <c r="H24906" s="185"/>
    </row>
    <row r="24907">
      <c r="D24907" s="185"/>
      <c r="E24907" s="185" t="s">
        <v>470</v>
      </c>
      <c r="H24907" s="185"/>
    </row>
    <row r="24908">
      <c r="D24908" s="185"/>
      <c r="E24908" s="185" t="s">
        <v>470</v>
      </c>
      <c r="H24908" s="185"/>
    </row>
    <row r="24909">
      <c r="D24909" s="185"/>
      <c r="E24909" s="185" t="s">
        <v>470</v>
      </c>
      <c r="H24909" s="185"/>
    </row>
    <row r="24910">
      <c r="D24910" s="185"/>
      <c r="E24910" s="185" t="s">
        <v>470</v>
      </c>
      <c r="H24910" s="185"/>
    </row>
    <row r="24911">
      <c r="D24911" s="185"/>
      <c r="E24911" s="185" t="s">
        <v>470</v>
      </c>
      <c r="H24911" s="185"/>
    </row>
    <row r="24912">
      <c r="D24912" s="185"/>
      <c r="E24912" s="185" t="s">
        <v>470</v>
      </c>
      <c r="H24912" s="185"/>
    </row>
    <row r="24913">
      <c r="D24913" s="185"/>
      <c r="E24913" s="185" t="s">
        <v>470</v>
      </c>
      <c r="H24913" s="185"/>
    </row>
    <row r="24914">
      <c r="D24914" s="185"/>
      <c r="E24914" s="185" t="s">
        <v>470</v>
      </c>
      <c r="H24914" s="185"/>
    </row>
    <row r="24915">
      <c r="D24915" s="185"/>
      <c r="E24915" s="185" t="s">
        <v>470</v>
      </c>
      <c r="H24915" s="185"/>
    </row>
    <row r="24916">
      <c r="D24916" s="185"/>
      <c r="E24916" s="185" t="s">
        <v>470</v>
      </c>
      <c r="H24916" s="185"/>
    </row>
    <row r="24917">
      <c r="D24917" s="185"/>
      <c r="E24917" s="185" t="s">
        <v>470</v>
      </c>
      <c r="H24917" s="185"/>
    </row>
    <row r="24918">
      <c r="D24918" s="185"/>
      <c r="E24918" s="185" t="s">
        <v>470</v>
      </c>
      <c r="H24918" s="185"/>
    </row>
    <row r="24919">
      <c r="D24919" s="185"/>
      <c r="E24919" s="185" t="s">
        <v>470</v>
      </c>
      <c r="H24919" s="185"/>
    </row>
    <row r="24920">
      <c r="D24920" s="185"/>
      <c r="E24920" s="185" t="s">
        <v>470</v>
      </c>
      <c r="H24920" s="185"/>
    </row>
    <row r="24921">
      <c r="D24921" s="185"/>
      <c r="E24921" s="185" t="s">
        <v>470</v>
      </c>
      <c r="H24921" s="185"/>
    </row>
    <row r="24922">
      <c r="D24922" s="185"/>
      <c r="E24922" s="185" t="s">
        <v>470</v>
      </c>
      <c r="H24922" s="185"/>
    </row>
    <row r="24923">
      <c r="D24923" s="185"/>
      <c r="E24923" s="185" t="s">
        <v>470</v>
      </c>
      <c r="H24923" s="185"/>
    </row>
    <row r="24924">
      <c r="D24924" s="185"/>
      <c r="E24924" s="185" t="s">
        <v>470</v>
      </c>
      <c r="H24924" s="185"/>
    </row>
    <row r="24925">
      <c r="D24925" s="185"/>
      <c r="E24925" s="185" t="s">
        <v>470</v>
      </c>
      <c r="H24925" s="185"/>
    </row>
    <row r="24926">
      <c r="D24926" s="185"/>
      <c r="E24926" s="185" t="s">
        <v>470</v>
      </c>
      <c r="H24926" s="185"/>
    </row>
    <row r="24927">
      <c r="D24927" s="185"/>
      <c r="E24927" s="185" t="s">
        <v>470</v>
      </c>
      <c r="H24927" s="185"/>
    </row>
    <row r="24928">
      <c r="D24928" s="185"/>
      <c r="E24928" s="185" t="s">
        <v>470</v>
      </c>
      <c r="H24928" s="185"/>
    </row>
    <row r="24929">
      <c r="D24929" s="185"/>
      <c r="E24929" s="185" t="s">
        <v>470</v>
      </c>
      <c r="H24929" s="185"/>
    </row>
    <row r="24930">
      <c r="D24930" s="185"/>
      <c r="E24930" s="185" t="s">
        <v>470</v>
      </c>
      <c r="H24930" s="185"/>
    </row>
    <row r="24931">
      <c r="D24931" s="185"/>
      <c r="E24931" s="185" t="s">
        <v>470</v>
      </c>
      <c r="H24931" s="185"/>
    </row>
    <row r="24932">
      <c r="D24932" s="185"/>
      <c r="E24932" s="185" t="s">
        <v>470</v>
      </c>
      <c r="H24932" s="185"/>
    </row>
    <row r="24933">
      <c r="D24933" s="185"/>
      <c r="E24933" s="185" t="s">
        <v>470</v>
      </c>
      <c r="H24933" s="185"/>
    </row>
    <row r="24934">
      <c r="D24934" s="185"/>
      <c r="E24934" s="185" t="s">
        <v>470</v>
      </c>
      <c r="H24934" s="185"/>
    </row>
    <row r="24935">
      <c r="D24935" s="185"/>
      <c r="E24935" s="185" t="s">
        <v>470</v>
      </c>
      <c r="H24935" s="185"/>
    </row>
    <row r="24936">
      <c r="D24936" s="185"/>
      <c r="E24936" s="185" t="s">
        <v>470</v>
      </c>
      <c r="H24936" s="185"/>
    </row>
    <row r="24937">
      <c r="D24937" s="185"/>
      <c r="E24937" s="185" t="s">
        <v>470</v>
      </c>
      <c r="H24937" s="185"/>
    </row>
    <row r="24938">
      <c r="D24938" s="185"/>
      <c r="E24938" s="185" t="s">
        <v>470</v>
      </c>
      <c r="H24938" s="185"/>
    </row>
    <row r="24939">
      <c r="D24939" s="185"/>
      <c r="E24939" s="185" t="s">
        <v>470</v>
      </c>
      <c r="H24939" s="185"/>
    </row>
    <row r="24940">
      <c r="D24940" s="185"/>
      <c r="E24940" s="185" t="s">
        <v>470</v>
      </c>
      <c r="H24940" s="185"/>
    </row>
    <row r="24941">
      <c r="D24941" s="185"/>
      <c r="E24941" s="185" t="s">
        <v>470</v>
      </c>
      <c r="H24941" s="185"/>
    </row>
    <row r="24942">
      <c r="D24942" s="185"/>
      <c r="E24942" s="185" t="s">
        <v>470</v>
      </c>
      <c r="H24942" s="185"/>
    </row>
    <row r="24943">
      <c r="D24943" s="185"/>
      <c r="E24943" s="185" t="s">
        <v>470</v>
      </c>
      <c r="H24943" s="185"/>
    </row>
    <row r="24944">
      <c r="D24944" s="185"/>
      <c r="E24944" s="185" t="s">
        <v>470</v>
      </c>
      <c r="H24944" s="185"/>
    </row>
    <row r="24945">
      <c r="D24945" s="185"/>
      <c r="E24945" s="185" t="s">
        <v>470</v>
      </c>
      <c r="H24945" s="185"/>
    </row>
    <row r="24946">
      <c r="D24946" s="185"/>
      <c r="E24946" s="185" t="s">
        <v>470</v>
      </c>
      <c r="H24946" s="185"/>
    </row>
    <row r="24947">
      <c r="D24947" s="185"/>
      <c r="E24947" s="185" t="s">
        <v>470</v>
      </c>
      <c r="H24947" s="185"/>
    </row>
    <row r="24948">
      <c r="D24948" s="185"/>
      <c r="E24948" s="185" t="s">
        <v>470</v>
      </c>
      <c r="H24948" s="185"/>
    </row>
    <row r="24949">
      <c r="D24949" s="185"/>
      <c r="E24949" s="185" t="s">
        <v>470</v>
      </c>
      <c r="H24949" s="185"/>
    </row>
    <row r="24950">
      <c r="D24950" s="185"/>
      <c r="E24950" s="185" t="s">
        <v>470</v>
      </c>
      <c r="H24950" s="185"/>
    </row>
    <row r="24951">
      <c r="D24951" s="185"/>
      <c r="E24951" s="185" t="s">
        <v>470</v>
      </c>
      <c r="H24951" s="185"/>
    </row>
    <row r="24952">
      <c r="D24952" s="185"/>
      <c r="E24952" s="185" t="s">
        <v>470</v>
      </c>
      <c r="H24952" s="185"/>
    </row>
    <row r="24953">
      <c r="D24953" s="185"/>
      <c r="E24953" s="185" t="s">
        <v>470</v>
      </c>
      <c r="H24953" s="185"/>
    </row>
    <row r="24954">
      <c r="D24954" s="185"/>
      <c r="E24954" s="185" t="s">
        <v>470</v>
      </c>
      <c r="H24954" s="185"/>
    </row>
    <row r="24955">
      <c r="D24955" s="185"/>
      <c r="E24955" s="185" t="s">
        <v>470</v>
      </c>
      <c r="H24955" s="185"/>
    </row>
    <row r="24956">
      <c r="D24956" s="185"/>
      <c r="E24956" s="185" t="s">
        <v>470</v>
      </c>
      <c r="H24956" s="185"/>
    </row>
    <row r="24957">
      <c r="D24957" s="185"/>
      <c r="E24957" s="185" t="s">
        <v>470</v>
      </c>
      <c r="H24957" s="185"/>
    </row>
    <row r="24958">
      <c r="D24958" s="185"/>
      <c r="E24958" s="185" t="s">
        <v>470</v>
      </c>
      <c r="H24958" s="185"/>
    </row>
    <row r="24959">
      <c r="D24959" s="185"/>
      <c r="E24959" s="185" t="s">
        <v>470</v>
      </c>
      <c r="H24959" s="185"/>
    </row>
    <row r="24960">
      <c r="D24960" s="185"/>
      <c r="E24960" s="185" t="s">
        <v>470</v>
      </c>
      <c r="H24960" s="185"/>
    </row>
    <row r="24961">
      <c r="D24961" s="185"/>
      <c r="E24961" s="185" t="s">
        <v>470</v>
      </c>
      <c r="H24961" s="185"/>
    </row>
    <row r="24962">
      <c r="D24962" s="185"/>
      <c r="E24962" s="185" t="s">
        <v>470</v>
      </c>
      <c r="H24962" s="185"/>
    </row>
    <row r="24963">
      <c r="D24963" s="185"/>
      <c r="E24963" s="185" t="s">
        <v>470</v>
      </c>
      <c r="H24963" s="185"/>
    </row>
    <row r="24964">
      <c r="D24964" s="185"/>
      <c r="E24964" s="185" t="s">
        <v>470</v>
      </c>
      <c r="H24964" s="185"/>
    </row>
    <row r="24965">
      <c r="D24965" s="185"/>
      <c r="E24965" s="185" t="s">
        <v>470</v>
      </c>
      <c r="H24965" s="185"/>
    </row>
    <row r="24966">
      <c r="D24966" s="185"/>
      <c r="E24966" s="185" t="s">
        <v>470</v>
      </c>
      <c r="H24966" s="185"/>
    </row>
    <row r="24967">
      <c r="D24967" s="185"/>
      <c r="E24967" s="185" t="s">
        <v>470</v>
      </c>
      <c r="H24967" s="185"/>
    </row>
    <row r="24968">
      <c r="D24968" s="185"/>
      <c r="E24968" s="185" t="s">
        <v>470</v>
      </c>
      <c r="H24968" s="185"/>
    </row>
    <row r="24969">
      <c r="D24969" s="185"/>
      <c r="E24969" s="185" t="s">
        <v>470</v>
      </c>
      <c r="H24969" s="185"/>
    </row>
    <row r="24970">
      <c r="D24970" s="185"/>
      <c r="E24970" s="185" t="s">
        <v>470</v>
      </c>
      <c r="H24970" s="185"/>
    </row>
    <row r="24971">
      <c r="D24971" s="185"/>
      <c r="E24971" s="185" t="s">
        <v>470</v>
      </c>
      <c r="H24971" s="185"/>
    </row>
    <row r="24972">
      <c r="D24972" s="185"/>
      <c r="E24972" s="185" t="s">
        <v>470</v>
      </c>
      <c r="H24972" s="185"/>
    </row>
    <row r="24973">
      <c r="D24973" s="185"/>
      <c r="E24973" s="185" t="s">
        <v>470</v>
      </c>
      <c r="H24973" s="185"/>
    </row>
    <row r="24974">
      <c r="D24974" s="185"/>
      <c r="E24974" s="185" t="s">
        <v>470</v>
      </c>
      <c r="H24974" s="185"/>
    </row>
    <row r="24975">
      <c r="D24975" s="185"/>
      <c r="E24975" s="185" t="s">
        <v>470</v>
      </c>
      <c r="H24975" s="185"/>
    </row>
    <row r="24976">
      <c r="D24976" s="185"/>
      <c r="E24976" s="185" t="s">
        <v>470</v>
      </c>
      <c r="H24976" s="185"/>
    </row>
    <row r="24977">
      <c r="D24977" s="185"/>
      <c r="E24977" s="185" t="s">
        <v>470</v>
      </c>
      <c r="H24977" s="185"/>
    </row>
    <row r="24978">
      <c r="D24978" s="185"/>
      <c r="E24978" s="185" t="s">
        <v>470</v>
      </c>
      <c r="H24978" s="185"/>
    </row>
    <row r="24979">
      <c r="D24979" s="185"/>
      <c r="E24979" s="185" t="s">
        <v>470</v>
      </c>
      <c r="H24979" s="185"/>
    </row>
    <row r="24980">
      <c r="D24980" s="185"/>
      <c r="E24980" s="185" t="s">
        <v>470</v>
      </c>
      <c r="H24980" s="185"/>
    </row>
    <row r="24981">
      <c r="D24981" s="185"/>
      <c r="E24981" s="185" t="s">
        <v>470</v>
      </c>
      <c r="H24981" s="185"/>
    </row>
    <row r="24982">
      <c r="D24982" s="185"/>
      <c r="E24982" s="185" t="s">
        <v>470</v>
      </c>
      <c r="H24982" s="185"/>
    </row>
    <row r="24983">
      <c r="D24983" s="185"/>
      <c r="E24983" s="185" t="s">
        <v>470</v>
      </c>
      <c r="H24983" s="185"/>
    </row>
    <row r="24984">
      <c r="D24984" s="185"/>
      <c r="E24984" s="185" t="s">
        <v>470</v>
      </c>
      <c r="H24984" s="185"/>
    </row>
    <row r="24985">
      <c r="D24985" s="185"/>
      <c r="E24985" s="185" t="s">
        <v>470</v>
      </c>
      <c r="H24985" s="185"/>
    </row>
    <row r="24986">
      <c r="D24986" s="185"/>
      <c r="E24986" s="185" t="s">
        <v>470</v>
      </c>
      <c r="H24986" s="185"/>
    </row>
    <row r="24987">
      <c r="D24987" s="185"/>
      <c r="E24987" s="185" t="s">
        <v>470</v>
      </c>
      <c r="H24987" s="185"/>
    </row>
    <row r="24988">
      <c r="D24988" s="185"/>
      <c r="E24988" s="185" t="s">
        <v>470</v>
      </c>
      <c r="H24988" s="185"/>
    </row>
    <row r="24989">
      <c r="D24989" s="185"/>
      <c r="E24989" s="185" t="s">
        <v>470</v>
      </c>
      <c r="H24989" s="185"/>
    </row>
    <row r="24990">
      <c r="D24990" s="185"/>
      <c r="E24990" s="185" t="s">
        <v>470</v>
      </c>
      <c r="H24990" s="185"/>
    </row>
    <row r="24991">
      <c r="D24991" s="185"/>
      <c r="E24991" s="185" t="s">
        <v>470</v>
      </c>
      <c r="H24991" s="185"/>
    </row>
    <row r="24992">
      <c r="D24992" s="185"/>
      <c r="E24992" s="185" t="s">
        <v>470</v>
      </c>
      <c r="H24992" s="185"/>
    </row>
    <row r="24993">
      <c r="D24993" s="185"/>
      <c r="E24993" s="185" t="s">
        <v>470</v>
      </c>
      <c r="H24993" s="185"/>
    </row>
    <row r="24994">
      <c r="D24994" s="185"/>
      <c r="E24994" s="185" t="s">
        <v>470</v>
      </c>
      <c r="H24994" s="185"/>
    </row>
    <row r="24995">
      <c r="D24995" s="185"/>
      <c r="E24995" s="185" t="s">
        <v>470</v>
      </c>
      <c r="H24995" s="185"/>
    </row>
    <row r="24996">
      <c r="D24996" s="185"/>
      <c r="E24996" s="185" t="s">
        <v>470</v>
      </c>
      <c r="H24996" s="185"/>
    </row>
    <row r="24997">
      <c r="D24997" s="185"/>
      <c r="E24997" s="185" t="s">
        <v>470</v>
      </c>
      <c r="H24997" s="185"/>
    </row>
    <row r="24998">
      <c r="D24998" s="185"/>
      <c r="E24998" s="185" t="s">
        <v>470</v>
      </c>
      <c r="H24998" s="185"/>
    </row>
    <row r="24999">
      <c r="D24999" s="185"/>
      <c r="E24999" s="185" t="s">
        <v>470</v>
      </c>
      <c r="H24999" s="185"/>
    </row>
    <row r="25000">
      <c r="D25000" s="185"/>
      <c r="E25000" s="185" t="s">
        <v>470</v>
      </c>
      <c r="H25000" s="185"/>
    </row>
    <row r="25001">
      <c r="D25001" s="185"/>
      <c r="E25001" s="185" t="s">
        <v>470</v>
      </c>
      <c r="H25001" s="185"/>
    </row>
    <row r="25002">
      <c r="D25002" s="185"/>
      <c r="E25002" s="185" t="s">
        <v>470</v>
      </c>
      <c r="H25002" s="185"/>
    </row>
    <row r="25003">
      <c r="D25003" s="185"/>
      <c r="E25003" s="185" t="s">
        <v>470</v>
      </c>
      <c r="H25003" s="185"/>
    </row>
    <row r="25004">
      <c r="D25004" s="185"/>
      <c r="E25004" s="185" t="s">
        <v>470</v>
      </c>
      <c r="H25004" s="185"/>
    </row>
    <row r="25005">
      <c r="D25005" s="185"/>
      <c r="E25005" s="185" t="s">
        <v>470</v>
      </c>
      <c r="H25005" s="185"/>
    </row>
    <row r="25006">
      <c r="D25006" s="185"/>
      <c r="E25006" s="185" t="s">
        <v>470</v>
      </c>
      <c r="H25006" s="185"/>
    </row>
    <row r="25007">
      <c r="D25007" s="185"/>
      <c r="E25007" s="185" t="s">
        <v>470</v>
      </c>
      <c r="H25007" s="185"/>
    </row>
    <row r="25008">
      <c r="D25008" s="185"/>
      <c r="E25008" s="185" t="s">
        <v>470</v>
      </c>
      <c r="H25008" s="185"/>
    </row>
    <row r="25009">
      <c r="D25009" s="185"/>
      <c r="E25009" s="185" t="s">
        <v>470</v>
      </c>
      <c r="H25009" s="185"/>
    </row>
    <row r="25010">
      <c r="D25010" s="185"/>
      <c r="E25010" s="185" t="s">
        <v>470</v>
      </c>
      <c r="H25010" s="185"/>
    </row>
    <row r="25011">
      <c r="D25011" s="185"/>
      <c r="E25011" s="185" t="s">
        <v>470</v>
      </c>
      <c r="H25011" s="185"/>
    </row>
    <row r="25012">
      <c r="D25012" s="185"/>
      <c r="E25012" s="185" t="s">
        <v>470</v>
      </c>
      <c r="H25012" s="185"/>
    </row>
    <row r="25013">
      <c r="D25013" s="185"/>
      <c r="E25013" s="185" t="s">
        <v>470</v>
      </c>
      <c r="H25013" s="185"/>
    </row>
    <row r="25014">
      <c r="D25014" s="185"/>
      <c r="E25014" s="185" t="s">
        <v>470</v>
      </c>
      <c r="H25014" s="185"/>
    </row>
    <row r="25015">
      <c r="D25015" s="185"/>
      <c r="E25015" s="185" t="s">
        <v>470</v>
      </c>
      <c r="H25015" s="185"/>
    </row>
    <row r="25016">
      <c r="D25016" s="185"/>
      <c r="E25016" s="185" t="s">
        <v>470</v>
      </c>
      <c r="H25016" s="185"/>
    </row>
    <row r="25017">
      <c r="D25017" s="185"/>
      <c r="E25017" s="185" t="s">
        <v>470</v>
      </c>
      <c r="H25017" s="185"/>
    </row>
    <row r="25018">
      <c r="D25018" s="185"/>
      <c r="E25018" s="185" t="s">
        <v>470</v>
      </c>
      <c r="H25018" s="185"/>
    </row>
    <row r="25019">
      <c r="D25019" s="185"/>
      <c r="E25019" s="185" t="s">
        <v>470</v>
      </c>
      <c r="H25019" s="185"/>
    </row>
    <row r="25020">
      <c r="D25020" s="185"/>
      <c r="E25020" s="185" t="s">
        <v>470</v>
      </c>
      <c r="H25020" s="185"/>
    </row>
    <row r="25021">
      <c r="D25021" s="185"/>
      <c r="E25021" s="185" t="s">
        <v>470</v>
      </c>
      <c r="H25021" s="185"/>
    </row>
    <row r="25022">
      <c r="D25022" s="185"/>
      <c r="E25022" s="185" t="s">
        <v>470</v>
      </c>
      <c r="H25022" s="185"/>
    </row>
    <row r="25023">
      <c r="D25023" s="185"/>
      <c r="E25023" s="185" t="s">
        <v>470</v>
      </c>
      <c r="H25023" s="185"/>
    </row>
    <row r="25024">
      <c r="D25024" s="185"/>
      <c r="E25024" s="185" t="s">
        <v>470</v>
      </c>
      <c r="H25024" s="185"/>
    </row>
    <row r="25025">
      <c r="D25025" s="185"/>
      <c r="E25025" s="185" t="s">
        <v>470</v>
      </c>
      <c r="H25025" s="185"/>
    </row>
    <row r="25026">
      <c r="D25026" s="185"/>
      <c r="E25026" s="185" t="s">
        <v>470</v>
      </c>
      <c r="H25026" s="185"/>
    </row>
    <row r="25027">
      <c r="D25027" s="185"/>
      <c r="E25027" s="185" t="s">
        <v>470</v>
      </c>
      <c r="H25027" s="185"/>
    </row>
    <row r="25028">
      <c r="D25028" s="185"/>
      <c r="E25028" s="185" t="s">
        <v>470</v>
      </c>
      <c r="H25028" s="185"/>
    </row>
    <row r="25029">
      <c r="D25029" s="185"/>
      <c r="E25029" s="185" t="s">
        <v>470</v>
      </c>
      <c r="H25029" s="185"/>
    </row>
    <row r="25030">
      <c r="D25030" s="185"/>
      <c r="E25030" s="185" t="s">
        <v>470</v>
      </c>
      <c r="H25030" s="185"/>
    </row>
    <row r="25031">
      <c r="D25031" s="185"/>
      <c r="E25031" s="185" t="s">
        <v>470</v>
      </c>
      <c r="H25031" s="185"/>
    </row>
    <row r="25032">
      <c r="D25032" s="185"/>
      <c r="E25032" s="185" t="s">
        <v>470</v>
      </c>
      <c r="H25032" s="185"/>
    </row>
    <row r="25033">
      <c r="D25033" s="185"/>
      <c r="E25033" s="185" t="s">
        <v>470</v>
      </c>
      <c r="H25033" s="185"/>
    </row>
    <row r="25034">
      <c r="D25034" s="185"/>
      <c r="E25034" s="185" t="s">
        <v>470</v>
      </c>
      <c r="H25034" s="185"/>
    </row>
    <row r="25035">
      <c r="D25035" s="185"/>
      <c r="E25035" s="185" t="s">
        <v>470</v>
      </c>
      <c r="H25035" s="185"/>
    </row>
    <row r="25036">
      <c r="D25036" s="185"/>
      <c r="E25036" s="185" t="s">
        <v>470</v>
      </c>
      <c r="H25036" s="185"/>
    </row>
    <row r="25037">
      <c r="D25037" s="185"/>
      <c r="E25037" s="185" t="s">
        <v>470</v>
      </c>
      <c r="H25037" s="185"/>
    </row>
    <row r="25038">
      <c r="D25038" s="185"/>
      <c r="E25038" s="185" t="s">
        <v>470</v>
      </c>
      <c r="H25038" s="185"/>
    </row>
    <row r="25039">
      <c r="D25039" s="185"/>
      <c r="E25039" s="185" t="s">
        <v>470</v>
      </c>
      <c r="H25039" s="185"/>
    </row>
    <row r="25040">
      <c r="D25040" s="185"/>
      <c r="E25040" s="185" t="s">
        <v>470</v>
      </c>
      <c r="H25040" s="185"/>
    </row>
    <row r="25041">
      <c r="D25041" s="185"/>
      <c r="E25041" s="185" t="s">
        <v>470</v>
      </c>
      <c r="H25041" s="185"/>
    </row>
    <row r="25042">
      <c r="D25042" s="185"/>
      <c r="E25042" s="185" t="s">
        <v>470</v>
      </c>
      <c r="H25042" s="185"/>
    </row>
    <row r="25043">
      <c r="D25043" s="185"/>
      <c r="E25043" s="185" t="s">
        <v>470</v>
      </c>
      <c r="H25043" s="185"/>
    </row>
    <row r="25044">
      <c r="D25044" s="185"/>
      <c r="E25044" s="185" t="s">
        <v>470</v>
      </c>
      <c r="H25044" s="185"/>
    </row>
    <row r="25045">
      <c r="D25045" s="185"/>
      <c r="E25045" s="185" t="s">
        <v>470</v>
      </c>
      <c r="H25045" s="185"/>
    </row>
    <row r="25046">
      <c r="D25046" s="185"/>
      <c r="E25046" s="185" t="s">
        <v>470</v>
      </c>
      <c r="H25046" s="185"/>
    </row>
    <row r="25047">
      <c r="D25047" s="185"/>
      <c r="E25047" s="185" t="s">
        <v>470</v>
      </c>
      <c r="H25047" s="185"/>
    </row>
    <row r="25048">
      <c r="D25048" s="185"/>
      <c r="E25048" s="185" t="s">
        <v>470</v>
      </c>
      <c r="H25048" s="185"/>
    </row>
    <row r="25049">
      <c r="D25049" s="185"/>
      <c r="E25049" s="185" t="s">
        <v>470</v>
      </c>
      <c r="H25049" s="185"/>
    </row>
    <row r="25050">
      <c r="D25050" s="185"/>
      <c r="E25050" s="185" t="s">
        <v>470</v>
      </c>
      <c r="H25050" s="185"/>
    </row>
    <row r="25051">
      <c r="D25051" s="185"/>
      <c r="E25051" s="185" t="s">
        <v>470</v>
      </c>
      <c r="H25051" s="185"/>
    </row>
    <row r="25052">
      <c r="D25052" s="185"/>
      <c r="E25052" s="185" t="s">
        <v>470</v>
      </c>
      <c r="H25052" s="185"/>
    </row>
    <row r="25053">
      <c r="D25053" s="185"/>
      <c r="E25053" s="185" t="s">
        <v>470</v>
      </c>
      <c r="H25053" s="185"/>
    </row>
    <row r="25054">
      <c r="D25054" s="185"/>
      <c r="E25054" s="185" t="s">
        <v>470</v>
      </c>
      <c r="H25054" s="185"/>
    </row>
    <row r="25055">
      <c r="D25055" s="185"/>
      <c r="E25055" s="185" t="s">
        <v>470</v>
      </c>
      <c r="H25055" s="185"/>
    </row>
    <row r="25056">
      <c r="D25056" s="185"/>
      <c r="E25056" s="185" t="s">
        <v>470</v>
      </c>
      <c r="H25056" s="185"/>
    </row>
    <row r="25057">
      <c r="D25057" s="185"/>
      <c r="E25057" s="185" t="s">
        <v>470</v>
      </c>
      <c r="H25057" s="185"/>
    </row>
    <row r="25058">
      <c r="D25058" s="185"/>
      <c r="E25058" s="185" t="s">
        <v>470</v>
      </c>
      <c r="H25058" s="185"/>
    </row>
    <row r="25059">
      <c r="D25059" s="185"/>
      <c r="E25059" s="185" t="s">
        <v>470</v>
      </c>
      <c r="H25059" s="185"/>
    </row>
    <row r="25060">
      <c r="D25060" s="185"/>
      <c r="E25060" s="185" t="s">
        <v>470</v>
      </c>
      <c r="H25060" s="185"/>
    </row>
    <row r="25061">
      <c r="D25061" s="185"/>
      <c r="E25061" s="185" t="s">
        <v>470</v>
      </c>
      <c r="H25061" s="185"/>
    </row>
    <row r="25062">
      <c r="D25062" s="185"/>
      <c r="E25062" s="185" t="s">
        <v>470</v>
      </c>
      <c r="H25062" s="185"/>
    </row>
    <row r="25063">
      <c r="D25063" s="185"/>
      <c r="E25063" s="185" t="s">
        <v>470</v>
      </c>
      <c r="H25063" s="185"/>
    </row>
    <row r="25064">
      <c r="D25064" s="185"/>
      <c r="E25064" s="185" t="s">
        <v>470</v>
      </c>
      <c r="H25064" s="185"/>
    </row>
    <row r="25065">
      <c r="D25065" s="185"/>
      <c r="E25065" s="185" t="s">
        <v>470</v>
      </c>
      <c r="H25065" s="185"/>
    </row>
    <row r="25066">
      <c r="D25066" s="185"/>
      <c r="E25066" s="185" t="s">
        <v>470</v>
      </c>
      <c r="H25066" s="185"/>
    </row>
    <row r="25067">
      <c r="D25067" s="185"/>
      <c r="E25067" s="185" t="s">
        <v>470</v>
      </c>
      <c r="H25067" s="185"/>
    </row>
    <row r="25068">
      <c r="D25068" s="185"/>
      <c r="E25068" s="185" t="s">
        <v>470</v>
      </c>
      <c r="H25068" s="185"/>
    </row>
    <row r="25069">
      <c r="D25069" s="185"/>
      <c r="E25069" s="185" t="s">
        <v>470</v>
      </c>
      <c r="H25069" s="185"/>
    </row>
    <row r="25070">
      <c r="D25070" s="185"/>
      <c r="E25070" s="185" t="s">
        <v>470</v>
      </c>
      <c r="H25070" s="185"/>
    </row>
    <row r="25071">
      <c r="D25071" s="185"/>
      <c r="E25071" s="185" t="s">
        <v>470</v>
      </c>
      <c r="H25071" s="185"/>
    </row>
    <row r="25072">
      <c r="D25072" s="185"/>
      <c r="E25072" s="185" t="s">
        <v>470</v>
      </c>
      <c r="H25072" s="185"/>
    </row>
    <row r="25073">
      <c r="D25073" s="185"/>
      <c r="E25073" s="185" t="s">
        <v>470</v>
      </c>
      <c r="H25073" s="185"/>
    </row>
    <row r="25074">
      <c r="D25074" s="185"/>
      <c r="E25074" s="185" t="s">
        <v>470</v>
      </c>
      <c r="H25074" s="185"/>
    </row>
    <row r="25075">
      <c r="D25075" s="185"/>
      <c r="E25075" s="185" t="s">
        <v>470</v>
      </c>
      <c r="H25075" s="185"/>
    </row>
    <row r="25076">
      <c r="D25076" s="185"/>
      <c r="E25076" s="185" t="s">
        <v>470</v>
      </c>
      <c r="H25076" s="185"/>
    </row>
    <row r="25077">
      <c r="D25077" s="185"/>
      <c r="E25077" s="185" t="s">
        <v>470</v>
      </c>
      <c r="H25077" s="185"/>
    </row>
    <row r="25078">
      <c r="D25078" s="185"/>
      <c r="E25078" s="185" t="s">
        <v>470</v>
      </c>
      <c r="H25078" s="185"/>
    </row>
    <row r="25079">
      <c r="D25079" s="185"/>
      <c r="E25079" s="185" t="s">
        <v>470</v>
      </c>
      <c r="H25079" s="185"/>
    </row>
    <row r="25080">
      <c r="D25080" s="185"/>
      <c r="E25080" s="185" t="s">
        <v>470</v>
      </c>
      <c r="H25080" s="185"/>
    </row>
    <row r="25081">
      <c r="D25081" s="185"/>
      <c r="E25081" s="185" t="s">
        <v>470</v>
      </c>
      <c r="H25081" s="185"/>
    </row>
    <row r="25082">
      <c r="D25082" s="185"/>
      <c r="E25082" s="185" t="s">
        <v>470</v>
      </c>
      <c r="H25082" s="185"/>
    </row>
    <row r="25083">
      <c r="D25083" s="185"/>
      <c r="E25083" s="185" t="s">
        <v>470</v>
      </c>
      <c r="H25083" s="185"/>
    </row>
    <row r="25084">
      <c r="D25084" s="185"/>
      <c r="E25084" s="185" t="s">
        <v>470</v>
      </c>
      <c r="H25084" s="185"/>
    </row>
    <row r="25085">
      <c r="D25085" s="185"/>
      <c r="E25085" s="185" t="s">
        <v>470</v>
      </c>
      <c r="H25085" s="185"/>
    </row>
    <row r="25086">
      <c r="D25086" s="185"/>
      <c r="E25086" s="185" t="s">
        <v>470</v>
      </c>
      <c r="H25086" s="185"/>
    </row>
    <row r="25087">
      <c r="D25087" s="185"/>
      <c r="E25087" s="185" t="s">
        <v>470</v>
      </c>
      <c r="H25087" s="185"/>
    </row>
    <row r="25088">
      <c r="D25088" s="185"/>
      <c r="E25088" s="185" t="s">
        <v>470</v>
      </c>
      <c r="H25088" s="185"/>
    </row>
    <row r="25089">
      <c r="D25089" s="185"/>
      <c r="E25089" s="185" t="s">
        <v>470</v>
      </c>
      <c r="H25089" s="185"/>
    </row>
    <row r="25090">
      <c r="D25090" s="185"/>
      <c r="E25090" s="185" t="s">
        <v>470</v>
      </c>
      <c r="H25090" s="185"/>
    </row>
    <row r="25091">
      <c r="D25091" s="185"/>
      <c r="E25091" s="185" t="s">
        <v>470</v>
      </c>
      <c r="H25091" s="185"/>
    </row>
    <row r="25092">
      <c r="D25092" s="185"/>
      <c r="E25092" s="185" t="s">
        <v>470</v>
      </c>
      <c r="H25092" s="185"/>
    </row>
    <row r="25093">
      <c r="D25093" s="185"/>
      <c r="E25093" s="185" t="s">
        <v>470</v>
      </c>
      <c r="H25093" s="185"/>
    </row>
    <row r="25094">
      <c r="D25094" s="185"/>
      <c r="E25094" s="185" t="s">
        <v>470</v>
      </c>
      <c r="H25094" s="185"/>
    </row>
    <row r="25095">
      <c r="D25095" s="185"/>
      <c r="E25095" s="185" t="s">
        <v>470</v>
      </c>
      <c r="H25095" s="185"/>
    </row>
    <row r="25096">
      <c r="D25096" s="185"/>
      <c r="E25096" s="185" t="s">
        <v>470</v>
      </c>
      <c r="H25096" s="185"/>
    </row>
    <row r="25097">
      <c r="D25097" s="185"/>
      <c r="E25097" s="185" t="s">
        <v>470</v>
      </c>
      <c r="H25097" s="185"/>
    </row>
    <row r="25098">
      <c r="D25098" s="185"/>
      <c r="E25098" s="185" t="s">
        <v>470</v>
      </c>
      <c r="H25098" s="185"/>
    </row>
    <row r="25099">
      <c r="D25099" s="185"/>
      <c r="E25099" s="185" t="s">
        <v>470</v>
      </c>
      <c r="H25099" s="185"/>
    </row>
    <row r="25100">
      <c r="D25100" s="185"/>
      <c r="E25100" s="185" t="s">
        <v>470</v>
      </c>
      <c r="H25100" s="185"/>
    </row>
    <row r="25101">
      <c r="D25101" s="185"/>
      <c r="E25101" s="185" t="s">
        <v>470</v>
      </c>
      <c r="H25101" s="185"/>
    </row>
    <row r="25102">
      <c r="D25102" s="185"/>
      <c r="E25102" s="185" t="s">
        <v>470</v>
      </c>
      <c r="H25102" s="185"/>
    </row>
    <row r="25103">
      <c r="D25103" s="185"/>
      <c r="E25103" s="185" t="s">
        <v>470</v>
      </c>
      <c r="H25103" s="185"/>
    </row>
    <row r="25104">
      <c r="D25104" s="185"/>
      <c r="E25104" s="185" t="s">
        <v>470</v>
      </c>
      <c r="H25104" s="185"/>
    </row>
    <row r="25105">
      <c r="D25105" s="185"/>
      <c r="E25105" s="185" t="s">
        <v>470</v>
      </c>
      <c r="H25105" s="185"/>
    </row>
    <row r="25106">
      <c r="D25106" s="185"/>
      <c r="E25106" s="185" t="s">
        <v>470</v>
      </c>
      <c r="H25106" s="185"/>
    </row>
    <row r="25107">
      <c r="D25107" s="185"/>
      <c r="E25107" s="185" t="s">
        <v>470</v>
      </c>
      <c r="H25107" s="185"/>
    </row>
    <row r="25108">
      <c r="D25108" s="185"/>
      <c r="E25108" s="185" t="s">
        <v>470</v>
      </c>
      <c r="H25108" s="185"/>
    </row>
    <row r="25109">
      <c r="D25109" s="185"/>
      <c r="E25109" s="185" t="s">
        <v>470</v>
      </c>
      <c r="H25109" s="185"/>
    </row>
    <row r="25110">
      <c r="D25110" s="185"/>
      <c r="E25110" s="185" t="s">
        <v>470</v>
      </c>
      <c r="H25110" s="185"/>
    </row>
    <row r="25111">
      <c r="D25111" s="185"/>
      <c r="E25111" s="185" t="s">
        <v>470</v>
      </c>
      <c r="H25111" s="185"/>
    </row>
    <row r="25112">
      <c r="D25112" s="185"/>
      <c r="E25112" s="185" t="s">
        <v>470</v>
      </c>
      <c r="H25112" s="185"/>
    </row>
    <row r="25113">
      <c r="D25113" s="185"/>
      <c r="E25113" s="185" t="s">
        <v>470</v>
      </c>
      <c r="H25113" s="185"/>
    </row>
    <row r="25114">
      <c r="D25114" s="185"/>
      <c r="E25114" s="185" t="s">
        <v>470</v>
      </c>
      <c r="H25114" s="185"/>
    </row>
    <row r="25115">
      <c r="D25115" s="185"/>
      <c r="E25115" s="185" t="s">
        <v>470</v>
      </c>
      <c r="H25115" s="185"/>
    </row>
    <row r="25116">
      <c r="D25116" s="185"/>
      <c r="E25116" s="185" t="s">
        <v>470</v>
      </c>
      <c r="H25116" s="185"/>
    </row>
    <row r="25117">
      <c r="D25117" s="185"/>
      <c r="E25117" s="185" t="s">
        <v>470</v>
      </c>
      <c r="H25117" s="185"/>
    </row>
    <row r="25118">
      <c r="D25118" s="185"/>
      <c r="E25118" s="185" t="s">
        <v>470</v>
      </c>
      <c r="H25118" s="185"/>
    </row>
    <row r="25119">
      <c r="D25119" s="185"/>
      <c r="E25119" s="185" t="s">
        <v>470</v>
      </c>
      <c r="H25119" s="185"/>
    </row>
    <row r="25120">
      <c r="D25120" s="185"/>
      <c r="E25120" s="185" t="s">
        <v>470</v>
      </c>
      <c r="H25120" s="185"/>
    </row>
    <row r="25121">
      <c r="D25121" s="185"/>
      <c r="E25121" s="185" t="s">
        <v>470</v>
      </c>
      <c r="H25121" s="185"/>
    </row>
    <row r="25122">
      <c r="D25122" s="185"/>
      <c r="E25122" s="185" t="s">
        <v>470</v>
      </c>
      <c r="H25122" s="185"/>
    </row>
    <row r="25123">
      <c r="D25123" s="185"/>
      <c r="E25123" s="185" t="s">
        <v>470</v>
      </c>
      <c r="H25123" s="185"/>
    </row>
    <row r="25124">
      <c r="D25124" s="185"/>
      <c r="E25124" s="185" t="s">
        <v>470</v>
      </c>
      <c r="H25124" s="185"/>
    </row>
    <row r="25125">
      <c r="D25125" s="185"/>
      <c r="E25125" s="185" t="s">
        <v>470</v>
      </c>
      <c r="H25125" s="185"/>
    </row>
    <row r="25126">
      <c r="D25126" s="185"/>
      <c r="E25126" s="185" t="s">
        <v>470</v>
      </c>
      <c r="H25126" s="185"/>
    </row>
    <row r="25127">
      <c r="D25127" s="185"/>
      <c r="E25127" s="185" t="s">
        <v>470</v>
      </c>
      <c r="H25127" s="185"/>
    </row>
    <row r="25128">
      <c r="D25128" s="185"/>
      <c r="E25128" s="185" t="s">
        <v>470</v>
      </c>
      <c r="H25128" s="185"/>
    </row>
    <row r="25129">
      <c r="D25129" s="185"/>
      <c r="E25129" s="185" t="s">
        <v>470</v>
      </c>
      <c r="H25129" s="185"/>
    </row>
    <row r="25130">
      <c r="D25130" s="185"/>
      <c r="E25130" s="185" t="s">
        <v>470</v>
      </c>
      <c r="H25130" s="185"/>
    </row>
    <row r="25131">
      <c r="D25131" s="185"/>
      <c r="E25131" s="185" t="s">
        <v>470</v>
      </c>
      <c r="H25131" s="185"/>
    </row>
    <row r="25132">
      <c r="D25132" s="185"/>
      <c r="E25132" s="185" t="s">
        <v>470</v>
      </c>
      <c r="H25132" s="185"/>
    </row>
    <row r="25133">
      <c r="D25133" s="185"/>
      <c r="E25133" s="185" t="s">
        <v>470</v>
      </c>
      <c r="H25133" s="185"/>
    </row>
    <row r="25134">
      <c r="D25134" s="185"/>
      <c r="E25134" s="185" t="s">
        <v>470</v>
      </c>
      <c r="H25134" s="185"/>
    </row>
    <row r="25135">
      <c r="D25135" s="185"/>
      <c r="E25135" s="185" t="s">
        <v>470</v>
      </c>
      <c r="H25135" s="185"/>
    </row>
    <row r="25136">
      <c r="D25136" s="185"/>
      <c r="E25136" s="185" t="s">
        <v>470</v>
      </c>
      <c r="H25136" s="185"/>
    </row>
    <row r="25137">
      <c r="D25137" s="185"/>
      <c r="E25137" s="185" t="s">
        <v>470</v>
      </c>
      <c r="H25137" s="185"/>
    </row>
    <row r="25138">
      <c r="D25138" s="185"/>
      <c r="E25138" s="185" t="s">
        <v>470</v>
      </c>
      <c r="H25138" s="185"/>
    </row>
    <row r="25139">
      <c r="D25139" s="185"/>
      <c r="E25139" s="185" t="s">
        <v>470</v>
      </c>
      <c r="H25139" s="185"/>
    </row>
    <row r="25140">
      <c r="D25140" s="185"/>
      <c r="E25140" s="185" t="s">
        <v>470</v>
      </c>
      <c r="H25140" s="185"/>
    </row>
    <row r="25141">
      <c r="D25141" s="185"/>
      <c r="E25141" s="185" t="s">
        <v>470</v>
      </c>
      <c r="H25141" s="185"/>
    </row>
    <row r="25142">
      <c r="D25142" s="185"/>
      <c r="E25142" s="185" t="s">
        <v>470</v>
      </c>
      <c r="H25142" s="185"/>
    </row>
    <row r="25143">
      <c r="D25143" s="185"/>
      <c r="E25143" s="185" t="s">
        <v>470</v>
      </c>
      <c r="H25143" s="185"/>
    </row>
    <row r="25144">
      <c r="D25144" s="185"/>
      <c r="E25144" s="185" t="s">
        <v>470</v>
      </c>
      <c r="H25144" s="185"/>
    </row>
    <row r="25145">
      <c r="D25145" s="185"/>
      <c r="E25145" s="185" t="s">
        <v>470</v>
      </c>
      <c r="H25145" s="185"/>
    </row>
    <row r="25146">
      <c r="D25146" s="185"/>
      <c r="E25146" s="185" t="s">
        <v>470</v>
      </c>
      <c r="H25146" s="185"/>
    </row>
    <row r="25147">
      <c r="D25147" s="185"/>
      <c r="E25147" s="185" t="s">
        <v>470</v>
      </c>
      <c r="H25147" s="185"/>
    </row>
    <row r="25148">
      <c r="D25148" s="185"/>
      <c r="E25148" s="185" t="s">
        <v>470</v>
      </c>
      <c r="H25148" s="185"/>
    </row>
    <row r="25149">
      <c r="D25149" s="185"/>
      <c r="E25149" s="185" t="s">
        <v>470</v>
      </c>
      <c r="H25149" s="185"/>
    </row>
    <row r="25150">
      <c r="D25150" s="185"/>
      <c r="E25150" s="185" t="s">
        <v>470</v>
      </c>
      <c r="H25150" s="185"/>
    </row>
    <row r="25151">
      <c r="D25151" s="185"/>
      <c r="E25151" s="185" t="s">
        <v>470</v>
      </c>
      <c r="H25151" s="185"/>
    </row>
    <row r="25152">
      <c r="D25152" s="185"/>
      <c r="E25152" s="185" t="s">
        <v>470</v>
      </c>
      <c r="H25152" s="185"/>
    </row>
    <row r="25153">
      <c r="D25153" s="185"/>
      <c r="E25153" s="185" t="s">
        <v>470</v>
      </c>
      <c r="H25153" s="185"/>
    </row>
    <row r="25154">
      <c r="D25154" s="185"/>
      <c r="E25154" s="185" t="s">
        <v>470</v>
      </c>
      <c r="H25154" s="185"/>
    </row>
    <row r="25155">
      <c r="D25155" s="185"/>
      <c r="E25155" s="185" t="s">
        <v>470</v>
      </c>
      <c r="H25155" s="185"/>
    </row>
    <row r="25156">
      <c r="D25156" s="185"/>
      <c r="E25156" s="185" t="s">
        <v>470</v>
      </c>
      <c r="H25156" s="185"/>
    </row>
    <row r="25157">
      <c r="D25157" s="185"/>
      <c r="E25157" s="185" t="s">
        <v>470</v>
      </c>
      <c r="H25157" s="185"/>
    </row>
    <row r="25158">
      <c r="D25158" s="185"/>
      <c r="E25158" s="185" t="s">
        <v>470</v>
      </c>
      <c r="H25158" s="185"/>
    </row>
    <row r="25159">
      <c r="D25159" s="185"/>
      <c r="E25159" s="185" t="s">
        <v>470</v>
      </c>
      <c r="H25159" s="185"/>
    </row>
    <row r="25160">
      <c r="D25160" s="185"/>
      <c r="E25160" s="185" t="s">
        <v>470</v>
      </c>
      <c r="H25160" s="185"/>
    </row>
    <row r="25161">
      <c r="D25161" s="185"/>
      <c r="E25161" s="185" t="s">
        <v>470</v>
      </c>
      <c r="H25161" s="185"/>
    </row>
    <row r="25162">
      <c r="D25162" s="185"/>
      <c r="E25162" s="185" t="s">
        <v>470</v>
      </c>
      <c r="H25162" s="185"/>
    </row>
    <row r="25163">
      <c r="D25163" s="185"/>
      <c r="E25163" s="185" t="s">
        <v>470</v>
      </c>
      <c r="H25163" s="185"/>
    </row>
    <row r="25164">
      <c r="D25164" s="185"/>
      <c r="E25164" s="185" t="s">
        <v>470</v>
      </c>
      <c r="H25164" s="185"/>
    </row>
    <row r="25165">
      <c r="D25165" s="185"/>
      <c r="E25165" s="185" t="s">
        <v>470</v>
      </c>
      <c r="H25165" s="185"/>
    </row>
    <row r="25166">
      <c r="D25166" s="185"/>
      <c r="E25166" s="185" t="s">
        <v>470</v>
      </c>
      <c r="H25166" s="185"/>
    </row>
    <row r="25167">
      <c r="D25167" s="185"/>
      <c r="E25167" s="185" t="s">
        <v>470</v>
      </c>
      <c r="H25167" s="185"/>
    </row>
    <row r="25168">
      <c r="D25168" s="185"/>
      <c r="E25168" s="185" t="s">
        <v>470</v>
      </c>
      <c r="H25168" s="185"/>
    </row>
    <row r="25169">
      <c r="D25169" s="185"/>
      <c r="E25169" s="185" t="s">
        <v>470</v>
      </c>
      <c r="H25169" s="185"/>
    </row>
    <row r="25170">
      <c r="D25170" s="185"/>
      <c r="E25170" s="185" t="s">
        <v>470</v>
      </c>
      <c r="H25170" s="185"/>
    </row>
    <row r="25171">
      <c r="D25171" s="185"/>
      <c r="E25171" s="185" t="s">
        <v>470</v>
      </c>
      <c r="H25171" s="185"/>
    </row>
    <row r="25172">
      <c r="D25172" s="185"/>
      <c r="E25172" s="185" t="s">
        <v>470</v>
      </c>
      <c r="H25172" s="185"/>
    </row>
    <row r="25173">
      <c r="D25173" s="185"/>
      <c r="E25173" s="185" t="s">
        <v>470</v>
      </c>
      <c r="H25173" s="185"/>
    </row>
    <row r="25174">
      <c r="D25174" s="185"/>
      <c r="E25174" s="185" t="s">
        <v>470</v>
      </c>
      <c r="H25174" s="185"/>
    </row>
    <row r="25175">
      <c r="D25175" s="185"/>
      <c r="E25175" s="185" t="s">
        <v>470</v>
      </c>
      <c r="H25175" s="185"/>
    </row>
    <row r="25176">
      <c r="D25176" s="185"/>
      <c r="E25176" s="185" t="s">
        <v>470</v>
      </c>
      <c r="H25176" s="185"/>
    </row>
    <row r="25177">
      <c r="D25177" s="185"/>
      <c r="E25177" s="185" t="s">
        <v>470</v>
      </c>
      <c r="H25177" s="185"/>
    </row>
    <row r="25178">
      <c r="D25178" s="185"/>
      <c r="E25178" s="185" t="s">
        <v>470</v>
      </c>
      <c r="H25178" s="185"/>
    </row>
    <row r="25179">
      <c r="D25179" s="185"/>
      <c r="E25179" s="185" t="s">
        <v>470</v>
      </c>
      <c r="H25179" s="185"/>
    </row>
    <row r="25180">
      <c r="D25180" s="185"/>
      <c r="E25180" s="185" t="s">
        <v>470</v>
      </c>
      <c r="H25180" s="185"/>
    </row>
    <row r="25181">
      <c r="D25181" s="185"/>
      <c r="E25181" s="185" t="s">
        <v>470</v>
      </c>
      <c r="H25181" s="185"/>
    </row>
    <row r="25182">
      <c r="D25182" s="185"/>
      <c r="E25182" s="185" t="s">
        <v>470</v>
      </c>
      <c r="H25182" s="185"/>
    </row>
    <row r="25183">
      <c r="D25183" s="185"/>
      <c r="E25183" s="185" t="s">
        <v>470</v>
      </c>
      <c r="H25183" s="185"/>
    </row>
    <row r="25184">
      <c r="D25184" s="185"/>
      <c r="E25184" s="185" t="s">
        <v>470</v>
      </c>
      <c r="H25184" s="185"/>
    </row>
    <row r="25185">
      <c r="D25185" s="185"/>
      <c r="E25185" s="185" t="s">
        <v>470</v>
      </c>
      <c r="H25185" s="185"/>
    </row>
    <row r="25186">
      <c r="D25186" s="185"/>
      <c r="E25186" s="185" t="s">
        <v>470</v>
      </c>
      <c r="H25186" s="185"/>
    </row>
    <row r="25187">
      <c r="D25187" s="185"/>
      <c r="E25187" s="185" t="s">
        <v>470</v>
      </c>
      <c r="H25187" s="185"/>
    </row>
    <row r="25188">
      <c r="D25188" s="185"/>
      <c r="E25188" s="185" t="s">
        <v>470</v>
      </c>
      <c r="H25188" s="185"/>
    </row>
    <row r="25189">
      <c r="D25189" s="185"/>
      <c r="E25189" s="185" t="s">
        <v>470</v>
      </c>
      <c r="H25189" s="185"/>
    </row>
    <row r="25190">
      <c r="D25190" s="185"/>
      <c r="E25190" s="185" t="s">
        <v>470</v>
      </c>
      <c r="H25190" s="185"/>
    </row>
    <row r="25191">
      <c r="D25191" s="185"/>
      <c r="E25191" s="185" t="s">
        <v>470</v>
      </c>
      <c r="H25191" s="185"/>
    </row>
    <row r="25192">
      <c r="D25192" s="185"/>
      <c r="E25192" s="185" t="s">
        <v>470</v>
      </c>
      <c r="H25192" s="185"/>
    </row>
    <row r="25193">
      <c r="D25193" s="185"/>
      <c r="E25193" s="185" t="s">
        <v>470</v>
      </c>
      <c r="H25193" s="185"/>
    </row>
    <row r="25194">
      <c r="D25194" s="185"/>
      <c r="E25194" s="185" t="s">
        <v>470</v>
      </c>
      <c r="H25194" s="185"/>
    </row>
    <row r="25195">
      <c r="D25195" s="185"/>
      <c r="E25195" s="185" t="s">
        <v>470</v>
      </c>
      <c r="H25195" s="185"/>
    </row>
    <row r="25196">
      <c r="D25196" s="185"/>
      <c r="E25196" s="185" t="s">
        <v>470</v>
      </c>
      <c r="H25196" s="185"/>
    </row>
    <row r="25197">
      <c r="D25197" s="185"/>
      <c r="E25197" s="185" t="s">
        <v>470</v>
      </c>
      <c r="H25197" s="185"/>
    </row>
    <row r="25198">
      <c r="D25198" s="185"/>
      <c r="E25198" s="185" t="s">
        <v>470</v>
      </c>
      <c r="H25198" s="185"/>
    </row>
    <row r="25199">
      <c r="D25199" s="185"/>
      <c r="E25199" s="185" t="s">
        <v>470</v>
      </c>
      <c r="H25199" s="185"/>
    </row>
    <row r="25200">
      <c r="D25200" s="185"/>
      <c r="E25200" s="185" t="s">
        <v>470</v>
      </c>
      <c r="H25200" s="185"/>
    </row>
    <row r="25201">
      <c r="D25201" s="185"/>
      <c r="E25201" s="185" t="s">
        <v>470</v>
      </c>
      <c r="H25201" s="185"/>
    </row>
    <row r="25202">
      <c r="D25202" s="185"/>
      <c r="E25202" s="185" t="s">
        <v>470</v>
      </c>
      <c r="H25202" s="185"/>
    </row>
    <row r="25203">
      <c r="D25203" s="185"/>
      <c r="E25203" s="185" t="s">
        <v>470</v>
      </c>
      <c r="H25203" s="185"/>
    </row>
    <row r="25204">
      <c r="D25204" s="185"/>
      <c r="E25204" s="185" t="s">
        <v>470</v>
      </c>
      <c r="H25204" s="185"/>
    </row>
    <row r="25205">
      <c r="D25205" s="185"/>
      <c r="E25205" s="185" t="s">
        <v>470</v>
      </c>
      <c r="H25205" s="185"/>
    </row>
    <row r="25206">
      <c r="D25206" s="185"/>
      <c r="E25206" s="185" t="s">
        <v>470</v>
      </c>
      <c r="H25206" s="185"/>
    </row>
    <row r="25207">
      <c r="D25207" s="185"/>
      <c r="E25207" s="185" t="s">
        <v>470</v>
      </c>
      <c r="H25207" s="185"/>
    </row>
    <row r="25208">
      <c r="D25208" s="185"/>
      <c r="E25208" s="185" t="s">
        <v>470</v>
      </c>
      <c r="H25208" s="185"/>
    </row>
    <row r="25209">
      <c r="D25209" s="185"/>
      <c r="E25209" s="185" t="s">
        <v>470</v>
      </c>
      <c r="H25209" s="185"/>
    </row>
    <row r="25210">
      <c r="D25210" s="185"/>
      <c r="E25210" s="185" t="s">
        <v>470</v>
      </c>
      <c r="H25210" s="185"/>
    </row>
    <row r="25211">
      <c r="D25211" s="185"/>
      <c r="E25211" s="185" t="s">
        <v>470</v>
      </c>
      <c r="H25211" s="185"/>
    </row>
    <row r="25212">
      <c r="D25212" s="185"/>
      <c r="E25212" s="185" t="s">
        <v>470</v>
      </c>
      <c r="H25212" s="185"/>
    </row>
    <row r="25213">
      <c r="D25213" s="185"/>
      <c r="E25213" s="185" t="s">
        <v>470</v>
      </c>
      <c r="H25213" s="185"/>
    </row>
    <row r="25214">
      <c r="D25214" s="185"/>
      <c r="E25214" s="185" t="s">
        <v>470</v>
      </c>
      <c r="H25214" s="185"/>
    </row>
    <row r="25215">
      <c r="D25215" s="185"/>
      <c r="E25215" s="185" t="s">
        <v>470</v>
      </c>
      <c r="H25215" s="185"/>
    </row>
    <row r="25216">
      <c r="D25216" s="185"/>
      <c r="E25216" s="185" t="s">
        <v>470</v>
      </c>
      <c r="H25216" s="185"/>
    </row>
    <row r="25217">
      <c r="D25217" s="185"/>
      <c r="E25217" s="185" t="s">
        <v>470</v>
      </c>
      <c r="H25217" s="185"/>
    </row>
    <row r="25218">
      <c r="D25218" s="185"/>
      <c r="E25218" s="185" t="s">
        <v>470</v>
      </c>
      <c r="H25218" s="185"/>
    </row>
    <row r="25219">
      <c r="D25219" s="185"/>
      <c r="E25219" s="185" t="s">
        <v>470</v>
      </c>
      <c r="H25219" s="185"/>
    </row>
    <row r="25220">
      <c r="D25220" s="185"/>
      <c r="E25220" s="185" t="s">
        <v>470</v>
      </c>
      <c r="H25220" s="185"/>
    </row>
    <row r="25221">
      <c r="D25221" s="185"/>
      <c r="E25221" s="185" t="s">
        <v>470</v>
      </c>
      <c r="H25221" s="185"/>
    </row>
    <row r="25222">
      <c r="D25222" s="185"/>
      <c r="E25222" s="185" t="s">
        <v>470</v>
      </c>
      <c r="H25222" s="185"/>
    </row>
    <row r="25223">
      <c r="D25223" s="185"/>
      <c r="E25223" s="185" t="s">
        <v>470</v>
      </c>
      <c r="H25223" s="185"/>
    </row>
    <row r="25224">
      <c r="D25224" s="185"/>
      <c r="E25224" s="185" t="s">
        <v>470</v>
      </c>
      <c r="H25224" s="185"/>
    </row>
    <row r="25225">
      <c r="D25225" s="185"/>
      <c r="E25225" s="185" t="s">
        <v>470</v>
      </c>
      <c r="H25225" s="185"/>
    </row>
    <row r="25226">
      <c r="D25226" s="185"/>
      <c r="E25226" s="185" t="s">
        <v>470</v>
      </c>
      <c r="H25226" s="185"/>
    </row>
    <row r="25227">
      <c r="D25227" s="185"/>
      <c r="E25227" s="185" t="s">
        <v>470</v>
      </c>
      <c r="H25227" s="185"/>
    </row>
    <row r="25228">
      <c r="D25228" s="185"/>
      <c r="E25228" s="185" t="s">
        <v>470</v>
      </c>
      <c r="H25228" s="185"/>
    </row>
    <row r="25229">
      <c r="D25229" s="185"/>
      <c r="E25229" s="185" t="s">
        <v>470</v>
      </c>
      <c r="H25229" s="185"/>
    </row>
    <row r="25230">
      <c r="D25230" s="185"/>
      <c r="E25230" s="185" t="s">
        <v>470</v>
      </c>
      <c r="H25230" s="185"/>
    </row>
    <row r="25231">
      <c r="D25231" s="185"/>
      <c r="E25231" s="185" t="s">
        <v>470</v>
      </c>
      <c r="H25231" s="185"/>
    </row>
    <row r="25232">
      <c r="D25232" s="185"/>
      <c r="E25232" s="185" t="s">
        <v>470</v>
      </c>
      <c r="H25232" s="185"/>
    </row>
    <row r="25233">
      <c r="D25233" s="185"/>
      <c r="E25233" s="185" t="s">
        <v>470</v>
      </c>
      <c r="H25233" s="185"/>
    </row>
    <row r="25234">
      <c r="D25234" s="185"/>
      <c r="E25234" s="185" t="s">
        <v>470</v>
      </c>
      <c r="H25234" s="185"/>
    </row>
    <row r="25235">
      <c r="D25235" s="185"/>
      <c r="E25235" s="185" t="s">
        <v>470</v>
      </c>
      <c r="H25235" s="185"/>
    </row>
    <row r="25236">
      <c r="D25236" s="185"/>
      <c r="E25236" s="185" t="s">
        <v>470</v>
      </c>
      <c r="H25236" s="185"/>
    </row>
    <row r="25237">
      <c r="D25237" s="185"/>
      <c r="E25237" s="185" t="s">
        <v>470</v>
      </c>
      <c r="H25237" s="185"/>
    </row>
    <row r="25238">
      <c r="D25238" s="185"/>
      <c r="E25238" s="185" t="s">
        <v>470</v>
      </c>
      <c r="H25238" s="185"/>
    </row>
    <row r="25239">
      <c r="D25239" s="185"/>
      <c r="E25239" s="185" t="s">
        <v>470</v>
      </c>
      <c r="H25239" s="185"/>
    </row>
    <row r="25240">
      <c r="D25240" s="185"/>
      <c r="E25240" s="185" t="s">
        <v>470</v>
      </c>
      <c r="H25240" s="185"/>
    </row>
    <row r="25241">
      <c r="D25241" s="185"/>
      <c r="E25241" s="185" t="s">
        <v>470</v>
      </c>
      <c r="H25241" s="185"/>
    </row>
    <row r="25242">
      <c r="D25242" s="185"/>
      <c r="E25242" s="185" t="s">
        <v>470</v>
      </c>
      <c r="H25242" s="185"/>
    </row>
    <row r="25243">
      <c r="D25243" s="185"/>
      <c r="E25243" s="185" t="s">
        <v>470</v>
      </c>
      <c r="H25243" s="185"/>
    </row>
    <row r="25244">
      <c r="D25244" s="185"/>
      <c r="E25244" s="185" t="s">
        <v>470</v>
      </c>
      <c r="H25244" s="185"/>
    </row>
    <row r="25245">
      <c r="D25245" s="185"/>
      <c r="E25245" s="185" t="s">
        <v>470</v>
      </c>
      <c r="H25245" s="185"/>
    </row>
    <row r="25246">
      <c r="D25246" s="185"/>
      <c r="E25246" s="185" t="s">
        <v>470</v>
      </c>
      <c r="H25246" s="185"/>
    </row>
    <row r="25247">
      <c r="D25247" s="185"/>
      <c r="E25247" s="185" t="s">
        <v>470</v>
      </c>
      <c r="H25247" s="185"/>
    </row>
    <row r="25248">
      <c r="D25248" s="185"/>
      <c r="E25248" s="185" t="s">
        <v>470</v>
      </c>
      <c r="H25248" s="185"/>
    </row>
    <row r="25249">
      <c r="D25249" s="185"/>
      <c r="E25249" s="185" t="s">
        <v>470</v>
      </c>
      <c r="H25249" s="185"/>
    </row>
    <row r="25250">
      <c r="D25250" s="185"/>
      <c r="E25250" s="185" t="s">
        <v>470</v>
      </c>
      <c r="H25250" s="185"/>
    </row>
    <row r="25251">
      <c r="D25251" s="185"/>
      <c r="E25251" s="185" t="s">
        <v>470</v>
      </c>
      <c r="H25251" s="185"/>
    </row>
    <row r="25252">
      <c r="D25252" s="185"/>
      <c r="E25252" s="185" t="s">
        <v>470</v>
      </c>
      <c r="H25252" s="185"/>
    </row>
    <row r="25253">
      <c r="D25253" s="185"/>
      <c r="E25253" s="185" t="s">
        <v>470</v>
      </c>
      <c r="H25253" s="185"/>
    </row>
    <row r="25254">
      <c r="D25254" s="185"/>
      <c r="E25254" s="185" t="s">
        <v>470</v>
      </c>
      <c r="H25254" s="185"/>
    </row>
    <row r="25255">
      <c r="D25255" s="185"/>
      <c r="E25255" s="185" t="s">
        <v>470</v>
      </c>
      <c r="H25255" s="185"/>
    </row>
    <row r="25256">
      <c r="D25256" s="185"/>
      <c r="E25256" s="185" t="s">
        <v>470</v>
      </c>
      <c r="H25256" s="185"/>
    </row>
    <row r="25257">
      <c r="D25257" s="185"/>
      <c r="E25257" s="185" t="s">
        <v>470</v>
      </c>
      <c r="H25257" s="185"/>
    </row>
    <row r="25258">
      <c r="D25258" s="185"/>
      <c r="E25258" s="185" t="s">
        <v>470</v>
      </c>
      <c r="H25258" s="185"/>
    </row>
    <row r="25259">
      <c r="D25259" s="185"/>
      <c r="E25259" s="185" t="s">
        <v>470</v>
      </c>
      <c r="H25259" s="185"/>
    </row>
    <row r="25260">
      <c r="D25260" s="185"/>
      <c r="E25260" s="185" t="s">
        <v>470</v>
      </c>
      <c r="H25260" s="185"/>
    </row>
    <row r="25261">
      <c r="D25261" s="185"/>
      <c r="E25261" s="185" t="s">
        <v>470</v>
      </c>
      <c r="H25261" s="185"/>
    </row>
    <row r="25262">
      <c r="D25262" s="185"/>
      <c r="E25262" s="185" t="s">
        <v>470</v>
      </c>
      <c r="H25262" s="185"/>
    </row>
    <row r="25263">
      <c r="D25263" s="185"/>
      <c r="E25263" s="185" t="s">
        <v>470</v>
      </c>
      <c r="H25263" s="185"/>
    </row>
    <row r="25264">
      <c r="D25264" s="185"/>
      <c r="E25264" s="185" t="s">
        <v>470</v>
      </c>
      <c r="H25264" s="185"/>
    </row>
    <row r="25265">
      <c r="D25265" s="185"/>
      <c r="E25265" s="185" t="s">
        <v>470</v>
      </c>
      <c r="H25265" s="185"/>
    </row>
    <row r="25266">
      <c r="D25266" s="185"/>
      <c r="E25266" s="185" t="s">
        <v>470</v>
      </c>
      <c r="H25266" s="185"/>
    </row>
    <row r="25267">
      <c r="D25267" s="185"/>
      <c r="E25267" s="185" t="s">
        <v>470</v>
      </c>
      <c r="H25267" s="185"/>
    </row>
    <row r="25268">
      <c r="D25268" s="185"/>
      <c r="E25268" s="185" t="s">
        <v>470</v>
      </c>
      <c r="H25268" s="185"/>
    </row>
    <row r="25269">
      <c r="D25269" s="185"/>
      <c r="E25269" s="185" t="s">
        <v>470</v>
      </c>
      <c r="H25269" s="185"/>
    </row>
    <row r="25270">
      <c r="D25270" s="185"/>
      <c r="E25270" s="185" t="s">
        <v>470</v>
      </c>
      <c r="H25270" s="185"/>
    </row>
    <row r="25271">
      <c r="D25271" s="185"/>
      <c r="E25271" s="185" t="s">
        <v>470</v>
      </c>
      <c r="H25271" s="185"/>
    </row>
    <row r="25272">
      <c r="D25272" s="185"/>
      <c r="E25272" s="185" t="s">
        <v>470</v>
      </c>
      <c r="H25272" s="185"/>
    </row>
    <row r="25273">
      <c r="D25273" s="185"/>
      <c r="E25273" s="185" t="s">
        <v>470</v>
      </c>
      <c r="H25273" s="185"/>
    </row>
    <row r="25274">
      <c r="D25274" s="185"/>
      <c r="E25274" s="185" t="s">
        <v>470</v>
      </c>
      <c r="H25274" s="185"/>
    </row>
    <row r="25275">
      <c r="D25275" s="185"/>
      <c r="E25275" s="185" t="s">
        <v>470</v>
      </c>
      <c r="H25275" s="185"/>
    </row>
    <row r="25276">
      <c r="D25276" s="185"/>
      <c r="E25276" s="185" t="s">
        <v>470</v>
      </c>
      <c r="H25276" s="185"/>
    </row>
    <row r="25277">
      <c r="D25277" s="185"/>
      <c r="E25277" s="185" t="s">
        <v>470</v>
      </c>
      <c r="H25277" s="185"/>
    </row>
    <row r="25278">
      <c r="D25278" s="185"/>
      <c r="E25278" s="185" t="s">
        <v>470</v>
      </c>
      <c r="H25278" s="185"/>
    </row>
    <row r="25279">
      <c r="D25279" s="185"/>
      <c r="E25279" s="185" t="s">
        <v>470</v>
      </c>
      <c r="H25279" s="185"/>
    </row>
    <row r="25280">
      <c r="D25280" s="185"/>
      <c r="E25280" s="185" t="s">
        <v>470</v>
      </c>
      <c r="H25280" s="185"/>
    </row>
    <row r="25281">
      <c r="D25281" s="185"/>
      <c r="E25281" s="185" t="s">
        <v>470</v>
      </c>
      <c r="H25281" s="185"/>
    </row>
    <row r="25282">
      <c r="D25282" s="185"/>
      <c r="E25282" s="185" t="s">
        <v>470</v>
      </c>
      <c r="H25282" s="185"/>
    </row>
    <row r="25283">
      <c r="D25283" s="185"/>
      <c r="E25283" s="185" t="s">
        <v>470</v>
      </c>
      <c r="H25283" s="185"/>
    </row>
    <row r="25284">
      <c r="D25284" s="185"/>
      <c r="E25284" s="185" t="s">
        <v>470</v>
      </c>
      <c r="H25284" s="185"/>
    </row>
    <row r="25285">
      <c r="D25285" s="185"/>
      <c r="E25285" s="185" t="s">
        <v>470</v>
      </c>
      <c r="H25285" s="185"/>
    </row>
    <row r="25286">
      <c r="D25286" s="185"/>
      <c r="E25286" s="185" t="s">
        <v>470</v>
      </c>
      <c r="H25286" s="185"/>
    </row>
    <row r="25287">
      <c r="D25287" s="185"/>
      <c r="E25287" s="185" t="s">
        <v>470</v>
      </c>
      <c r="H25287" s="185"/>
    </row>
    <row r="25288">
      <c r="D25288" s="185"/>
      <c r="E25288" s="185" t="s">
        <v>470</v>
      </c>
      <c r="H25288" s="185"/>
    </row>
    <row r="25289">
      <c r="D25289" s="185"/>
      <c r="E25289" s="185" t="s">
        <v>470</v>
      </c>
      <c r="H25289" s="185"/>
    </row>
    <row r="25290">
      <c r="D25290" s="185"/>
      <c r="E25290" s="185" t="s">
        <v>470</v>
      </c>
      <c r="H25290" s="185"/>
    </row>
    <row r="25291">
      <c r="D25291" s="185"/>
      <c r="E25291" s="185" t="s">
        <v>470</v>
      </c>
      <c r="H25291" s="185"/>
    </row>
    <row r="25292">
      <c r="D25292" s="185"/>
      <c r="E25292" s="185" t="s">
        <v>470</v>
      </c>
      <c r="H25292" s="185"/>
    </row>
    <row r="25293">
      <c r="D25293" s="185"/>
      <c r="E25293" s="185" t="s">
        <v>470</v>
      </c>
      <c r="H25293" s="185"/>
    </row>
    <row r="25294">
      <c r="D25294" s="185"/>
      <c r="E25294" s="185" t="s">
        <v>470</v>
      </c>
      <c r="H25294" s="185"/>
    </row>
    <row r="25295">
      <c r="D25295" s="185"/>
      <c r="E25295" s="185" t="s">
        <v>470</v>
      </c>
      <c r="H25295" s="185"/>
    </row>
    <row r="25296">
      <c r="D25296" s="185"/>
      <c r="E25296" s="185" t="s">
        <v>470</v>
      </c>
      <c r="H25296" s="185"/>
    </row>
    <row r="25297">
      <c r="D25297" s="185"/>
      <c r="E25297" s="185" t="s">
        <v>470</v>
      </c>
      <c r="H25297" s="185"/>
    </row>
    <row r="25298">
      <c r="D25298" s="185"/>
      <c r="E25298" s="185" t="s">
        <v>470</v>
      </c>
      <c r="H25298" s="185"/>
    </row>
    <row r="25299">
      <c r="D25299" s="185"/>
      <c r="E25299" s="185" t="s">
        <v>470</v>
      </c>
      <c r="H25299" s="185"/>
    </row>
    <row r="25300">
      <c r="D25300" s="185"/>
      <c r="E25300" s="185" t="s">
        <v>470</v>
      </c>
      <c r="H25300" s="185"/>
    </row>
    <row r="25301">
      <c r="D25301" s="185"/>
      <c r="E25301" s="185" t="s">
        <v>470</v>
      </c>
      <c r="H25301" s="185"/>
    </row>
    <row r="25302">
      <c r="D25302" s="185"/>
      <c r="E25302" s="185" t="s">
        <v>470</v>
      </c>
      <c r="H25302" s="185"/>
    </row>
    <row r="25303">
      <c r="D25303" s="185"/>
      <c r="E25303" s="185" t="s">
        <v>470</v>
      </c>
      <c r="H25303" s="185"/>
    </row>
    <row r="25304">
      <c r="D25304" s="185"/>
      <c r="E25304" s="185" t="s">
        <v>470</v>
      </c>
      <c r="H25304" s="185"/>
    </row>
    <row r="25305">
      <c r="D25305" s="185"/>
      <c r="E25305" s="185" t="s">
        <v>470</v>
      </c>
      <c r="H25305" s="185"/>
    </row>
    <row r="25306">
      <c r="D25306" s="185"/>
      <c r="E25306" s="185" t="s">
        <v>470</v>
      </c>
      <c r="H25306" s="185"/>
    </row>
    <row r="25307">
      <c r="D25307" s="185"/>
      <c r="E25307" s="185" t="s">
        <v>470</v>
      </c>
      <c r="H25307" s="185"/>
    </row>
    <row r="25308">
      <c r="D25308" s="185"/>
      <c r="E25308" s="185" t="s">
        <v>470</v>
      </c>
      <c r="H25308" s="185"/>
    </row>
    <row r="25309">
      <c r="D25309" s="185"/>
      <c r="E25309" s="185" t="s">
        <v>470</v>
      </c>
      <c r="H25309" s="185"/>
    </row>
    <row r="25310">
      <c r="D25310" s="185"/>
      <c r="E25310" s="185" t="s">
        <v>470</v>
      </c>
      <c r="H25310" s="185"/>
    </row>
    <row r="25311">
      <c r="D25311" s="185"/>
      <c r="E25311" s="185" t="s">
        <v>470</v>
      </c>
      <c r="H25311" s="185"/>
    </row>
    <row r="25312">
      <c r="D25312" s="185"/>
      <c r="E25312" s="185" t="s">
        <v>470</v>
      </c>
      <c r="H25312" s="185"/>
    </row>
    <row r="25313">
      <c r="D25313" s="185"/>
      <c r="E25313" s="185" t="s">
        <v>470</v>
      </c>
      <c r="H25313" s="185"/>
    </row>
    <row r="25314">
      <c r="D25314" s="185"/>
      <c r="E25314" s="185" t="s">
        <v>470</v>
      </c>
      <c r="H25314" s="185"/>
    </row>
    <row r="25315">
      <c r="D25315" s="185"/>
      <c r="E25315" s="185" t="s">
        <v>470</v>
      </c>
      <c r="H25315" s="185"/>
    </row>
    <row r="25316">
      <c r="D25316" s="185"/>
      <c r="E25316" s="185" t="s">
        <v>470</v>
      </c>
      <c r="H25316" s="185"/>
    </row>
    <row r="25317">
      <c r="D25317" s="185"/>
      <c r="E25317" s="185" t="s">
        <v>470</v>
      </c>
      <c r="H25317" s="185"/>
    </row>
    <row r="25318">
      <c r="D25318" s="185"/>
      <c r="E25318" s="185" t="s">
        <v>470</v>
      </c>
      <c r="H25318" s="185"/>
    </row>
    <row r="25319">
      <c r="D25319" s="185"/>
      <c r="E25319" s="185" t="s">
        <v>470</v>
      </c>
      <c r="H25319" s="185"/>
    </row>
    <row r="25320">
      <c r="D25320" s="185"/>
      <c r="E25320" s="185" t="s">
        <v>470</v>
      </c>
      <c r="H25320" s="185"/>
    </row>
    <row r="25321">
      <c r="D25321" s="185"/>
      <c r="E25321" s="185" t="s">
        <v>470</v>
      </c>
      <c r="H25321" s="185"/>
    </row>
    <row r="25322">
      <c r="D25322" s="185"/>
      <c r="E25322" s="185" t="s">
        <v>470</v>
      </c>
      <c r="H25322" s="185"/>
    </row>
    <row r="25323">
      <c r="D25323" s="185"/>
      <c r="E25323" s="185" t="s">
        <v>470</v>
      </c>
      <c r="H25323" s="185"/>
    </row>
    <row r="25324">
      <c r="D25324" s="185"/>
      <c r="E25324" s="185" t="s">
        <v>470</v>
      </c>
      <c r="H25324" s="185"/>
    </row>
    <row r="25325">
      <c r="D25325" s="185"/>
      <c r="E25325" s="185" t="s">
        <v>470</v>
      </c>
      <c r="H25325" s="185"/>
    </row>
    <row r="25326">
      <c r="D25326" s="185"/>
      <c r="E25326" s="185" t="s">
        <v>470</v>
      </c>
      <c r="H25326" s="185"/>
    </row>
    <row r="25327">
      <c r="D25327" s="185"/>
      <c r="E25327" s="185" t="s">
        <v>470</v>
      </c>
      <c r="H25327" s="185"/>
    </row>
    <row r="25328">
      <c r="D25328" s="185"/>
      <c r="E25328" s="185" t="s">
        <v>470</v>
      </c>
      <c r="H25328" s="185"/>
    </row>
    <row r="25329">
      <c r="D25329" s="185"/>
      <c r="E25329" s="185" t="s">
        <v>470</v>
      </c>
      <c r="H25329" s="185"/>
    </row>
    <row r="25330">
      <c r="D25330" s="185"/>
      <c r="E25330" s="185" t="s">
        <v>470</v>
      </c>
      <c r="H25330" s="185"/>
    </row>
    <row r="25331">
      <c r="D25331" s="185"/>
      <c r="E25331" s="185" t="s">
        <v>470</v>
      </c>
      <c r="H25331" s="185"/>
    </row>
    <row r="25332">
      <c r="D25332" s="185"/>
      <c r="E25332" s="185" t="s">
        <v>470</v>
      </c>
      <c r="H25332" s="185"/>
    </row>
    <row r="25333">
      <c r="D25333" s="185"/>
      <c r="E25333" s="185" t="s">
        <v>470</v>
      </c>
      <c r="H25333" s="185"/>
    </row>
    <row r="25334">
      <c r="D25334" s="185"/>
      <c r="E25334" s="185" t="s">
        <v>470</v>
      </c>
      <c r="H25334" s="185"/>
    </row>
    <row r="25335">
      <c r="D25335" s="185"/>
      <c r="E25335" s="185" t="s">
        <v>470</v>
      </c>
      <c r="H25335" s="185"/>
    </row>
    <row r="25336">
      <c r="D25336" s="185"/>
      <c r="E25336" s="185" t="s">
        <v>470</v>
      </c>
      <c r="H25336" s="185"/>
    </row>
    <row r="25337">
      <c r="D25337" s="185"/>
      <c r="E25337" s="185" t="s">
        <v>470</v>
      </c>
      <c r="H25337" s="185"/>
    </row>
    <row r="25338">
      <c r="D25338" s="185"/>
      <c r="E25338" s="185" t="s">
        <v>470</v>
      </c>
      <c r="H25338" s="185"/>
    </row>
    <row r="25339">
      <c r="D25339" s="185"/>
      <c r="E25339" s="185" t="s">
        <v>470</v>
      </c>
      <c r="H25339" s="185"/>
    </row>
    <row r="25340">
      <c r="D25340" s="185"/>
      <c r="E25340" s="185" t="s">
        <v>470</v>
      </c>
      <c r="H25340" s="185"/>
    </row>
    <row r="25341">
      <c r="D25341" s="185"/>
      <c r="E25341" s="185" t="s">
        <v>470</v>
      </c>
      <c r="H25341" s="185"/>
    </row>
    <row r="25342">
      <c r="D25342" s="185"/>
      <c r="E25342" s="185" t="s">
        <v>470</v>
      </c>
      <c r="H25342" s="185"/>
    </row>
    <row r="25343">
      <c r="D25343" s="185"/>
      <c r="E25343" s="185" t="s">
        <v>470</v>
      </c>
      <c r="H25343" s="185"/>
    </row>
    <row r="25344">
      <c r="D25344" s="185"/>
      <c r="E25344" s="185" t="s">
        <v>470</v>
      </c>
      <c r="H25344" s="185"/>
    </row>
    <row r="25345">
      <c r="D25345" s="185"/>
      <c r="E25345" s="185" t="s">
        <v>470</v>
      </c>
      <c r="H25345" s="185"/>
    </row>
    <row r="25346">
      <c r="D25346" s="185"/>
      <c r="E25346" s="185" t="s">
        <v>470</v>
      </c>
      <c r="H25346" s="185"/>
    </row>
    <row r="25347">
      <c r="D25347" s="185"/>
      <c r="E25347" s="185" t="s">
        <v>470</v>
      </c>
      <c r="H25347" s="185"/>
    </row>
    <row r="25348">
      <c r="D25348" s="185"/>
      <c r="E25348" s="185" t="s">
        <v>470</v>
      </c>
      <c r="H25348" s="185"/>
    </row>
    <row r="25349">
      <c r="D25349" s="185"/>
      <c r="E25349" s="185" t="s">
        <v>470</v>
      </c>
      <c r="H25349" s="185"/>
    </row>
    <row r="25350">
      <c r="D25350" s="185"/>
      <c r="E25350" s="185" t="s">
        <v>470</v>
      </c>
      <c r="H25350" s="185"/>
    </row>
    <row r="25351">
      <c r="D25351" s="185"/>
      <c r="E25351" s="185" t="s">
        <v>470</v>
      </c>
      <c r="H25351" s="185"/>
    </row>
    <row r="25352">
      <c r="D25352" s="185"/>
      <c r="E25352" s="185" t="s">
        <v>470</v>
      </c>
      <c r="H25352" s="185"/>
    </row>
    <row r="25353">
      <c r="D25353" s="185"/>
      <c r="E25353" s="185" t="s">
        <v>470</v>
      </c>
      <c r="H25353" s="185"/>
    </row>
    <row r="25354">
      <c r="D25354" s="185"/>
      <c r="E25354" s="185" t="s">
        <v>470</v>
      </c>
      <c r="H25354" s="185"/>
    </row>
    <row r="25355">
      <c r="D25355" s="185"/>
      <c r="E25355" s="185" t="s">
        <v>470</v>
      </c>
      <c r="H25355" s="185"/>
    </row>
    <row r="25356">
      <c r="D25356" s="185"/>
      <c r="E25356" s="185" t="s">
        <v>470</v>
      </c>
      <c r="H25356" s="185"/>
    </row>
    <row r="25357">
      <c r="D25357" s="185"/>
      <c r="E25357" s="185" t="s">
        <v>470</v>
      </c>
      <c r="H25357" s="185"/>
    </row>
    <row r="25358">
      <c r="D25358" s="185"/>
      <c r="E25358" s="185" t="s">
        <v>470</v>
      </c>
      <c r="H25358" s="185"/>
    </row>
    <row r="25359">
      <c r="D25359" s="185"/>
      <c r="E25359" s="185" t="s">
        <v>470</v>
      </c>
      <c r="H25359" s="185"/>
    </row>
    <row r="25360">
      <c r="D25360" s="185"/>
      <c r="E25360" s="185" t="s">
        <v>470</v>
      </c>
      <c r="H25360" s="185"/>
    </row>
    <row r="25361">
      <c r="D25361" s="185"/>
      <c r="E25361" s="185" t="s">
        <v>470</v>
      </c>
      <c r="H25361" s="185"/>
    </row>
    <row r="25362">
      <c r="D25362" s="185"/>
      <c r="E25362" s="185" t="s">
        <v>470</v>
      </c>
      <c r="H25362" s="185"/>
    </row>
    <row r="25363">
      <c r="D25363" s="185"/>
      <c r="E25363" s="185" t="s">
        <v>470</v>
      </c>
      <c r="H25363" s="185"/>
    </row>
    <row r="25364">
      <c r="D25364" s="185"/>
      <c r="E25364" s="185" t="s">
        <v>470</v>
      </c>
      <c r="H25364" s="185"/>
    </row>
    <row r="25365">
      <c r="D25365" s="185"/>
      <c r="E25365" s="185" t="s">
        <v>470</v>
      </c>
      <c r="H25365" s="185"/>
    </row>
    <row r="25366">
      <c r="D25366" s="185"/>
      <c r="E25366" s="185" t="s">
        <v>470</v>
      </c>
      <c r="H25366" s="185"/>
    </row>
    <row r="25367">
      <c r="D25367" s="185"/>
      <c r="E25367" s="185" t="s">
        <v>470</v>
      </c>
      <c r="H25367" s="185"/>
    </row>
    <row r="25368">
      <c r="D25368" s="185"/>
      <c r="E25368" s="185" t="s">
        <v>470</v>
      </c>
      <c r="H25368" s="185"/>
    </row>
    <row r="25369">
      <c r="D25369" s="185"/>
      <c r="E25369" s="185" t="s">
        <v>470</v>
      </c>
      <c r="H25369" s="185"/>
    </row>
    <row r="25370">
      <c r="D25370" s="185"/>
      <c r="E25370" s="185" t="s">
        <v>470</v>
      </c>
      <c r="H25370" s="185"/>
    </row>
    <row r="25371">
      <c r="D25371" s="185"/>
      <c r="E25371" s="185" t="s">
        <v>470</v>
      </c>
      <c r="H25371" s="185"/>
    </row>
    <row r="25372">
      <c r="D25372" s="185"/>
      <c r="E25372" s="185" t="s">
        <v>470</v>
      </c>
      <c r="H25372" s="185"/>
    </row>
    <row r="25373">
      <c r="D25373" s="185"/>
      <c r="E25373" s="185" t="s">
        <v>470</v>
      </c>
      <c r="H25373" s="185"/>
    </row>
    <row r="25374">
      <c r="D25374" s="185"/>
      <c r="E25374" s="185" t="s">
        <v>470</v>
      </c>
      <c r="H25374" s="185"/>
    </row>
    <row r="25375">
      <c r="D25375" s="185"/>
      <c r="E25375" s="185" t="s">
        <v>470</v>
      </c>
      <c r="H25375" s="185"/>
    </row>
    <row r="25376">
      <c r="D25376" s="185"/>
      <c r="E25376" s="185" t="s">
        <v>470</v>
      </c>
      <c r="H25376" s="185"/>
    </row>
    <row r="25377">
      <c r="D25377" s="185"/>
      <c r="E25377" s="185" t="s">
        <v>470</v>
      </c>
      <c r="H25377" s="185"/>
    </row>
    <row r="25378">
      <c r="D25378" s="185"/>
      <c r="E25378" s="185" t="s">
        <v>470</v>
      </c>
      <c r="H25378" s="185"/>
    </row>
    <row r="25379">
      <c r="D25379" s="185"/>
      <c r="E25379" s="185" t="s">
        <v>470</v>
      </c>
      <c r="H25379" s="185"/>
    </row>
    <row r="25380">
      <c r="D25380" s="185"/>
      <c r="E25380" s="185" t="s">
        <v>470</v>
      </c>
      <c r="H25380" s="185"/>
    </row>
    <row r="25381">
      <c r="D25381" s="185"/>
      <c r="E25381" s="185" t="s">
        <v>470</v>
      </c>
      <c r="H25381" s="185"/>
    </row>
    <row r="25382">
      <c r="D25382" s="185"/>
      <c r="E25382" s="185" t="s">
        <v>470</v>
      </c>
      <c r="H25382" s="185"/>
    </row>
    <row r="25383">
      <c r="D25383" s="185"/>
      <c r="E25383" s="185" t="s">
        <v>470</v>
      </c>
      <c r="H25383" s="185"/>
    </row>
    <row r="25384">
      <c r="D25384" s="185"/>
      <c r="E25384" s="185" t="s">
        <v>470</v>
      </c>
      <c r="H25384" s="185"/>
    </row>
    <row r="25385">
      <c r="D25385" s="185"/>
      <c r="E25385" s="185" t="s">
        <v>470</v>
      </c>
      <c r="H25385" s="185"/>
    </row>
    <row r="25386">
      <c r="D25386" s="185"/>
      <c r="E25386" s="185" t="s">
        <v>470</v>
      </c>
      <c r="H25386" s="185"/>
    </row>
    <row r="25387">
      <c r="D25387" s="185"/>
      <c r="E25387" s="185" t="s">
        <v>470</v>
      </c>
      <c r="H25387" s="185"/>
    </row>
    <row r="25388">
      <c r="D25388" s="185"/>
      <c r="E25388" s="185" t="s">
        <v>470</v>
      </c>
      <c r="H25388" s="185"/>
    </row>
    <row r="25389">
      <c r="D25389" s="185"/>
      <c r="E25389" s="185" t="s">
        <v>470</v>
      </c>
      <c r="H25389" s="185"/>
    </row>
    <row r="25390">
      <c r="D25390" s="185"/>
      <c r="E25390" s="185" t="s">
        <v>470</v>
      </c>
      <c r="H25390" s="185"/>
    </row>
    <row r="25391">
      <c r="D25391" s="185"/>
      <c r="E25391" s="185" t="s">
        <v>470</v>
      </c>
      <c r="H25391" s="185"/>
    </row>
    <row r="25392">
      <c r="D25392" s="185"/>
      <c r="E25392" s="185" t="s">
        <v>470</v>
      </c>
      <c r="H25392" s="185"/>
    </row>
    <row r="25393">
      <c r="D25393" s="185"/>
      <c r="E25393" s="185" t="s">
        <v>470</v>
      </c>
      <c r="H25393" s="185"/>
    </row>
    <row r="25394">
      <c r="D25394" s="185"/>
      <c r="E25394" s="185" t="s">
        <v>470</v>
      </c>
      <c r="H25394" s="185"/>
    </row>
    <row r="25395">
      <c r="D25395" s="185"/>
      <c r="E25395" s="185" t="s">
        <v>470</v>
      </c>
      <c r="H25395" s="185"/>
    </row>
    <row r="25396">
      <c r="D25396" s="185"/>
      <c r="E25396" s="185" t="s">
        <v>470</v>
      </c>
      <c r="H25396" s="185"/>
    </row>
    <row r="25397">
      <c r="D25397" s="185"/>
      <c r="E25397" s="185" t="s">
        <v>470</v>
      </c>
      <c r="H25397" s="185"/>
    </row>
    <row r="25398">
      <c r="D25398" s="185"/>
      <c r="E25398" s="185" t="s">
        <v>470</v>
      </c>
      <c r="H25398" s="185"/>
    </row>
    <row r="25399">
      <c r="D25399" s="185"/>
      <c r="E25399" s="185" t="s">
        <v>470</v>
      </c>
      <c r="H25399" s="185"/>
    </row>
    <row r="25400">
      <c r="D25400" s="185"/>
      <c r="E25400" s="185" t="s">
        <v>470</v>
      </c>
      <c r="H25400" s="185"/>
    </row>
    <row r="25401">
      <c r="D25401" s="185"/>
      <c r="E25401" s="185" t="s">
        <v>470</v>
      </c>
      <c r="H25401" s="185"/>
    </row>
    <row r="25402">
      <c r="D25402" s="185"/>
      <c r="E25402" s="185" t="s">
        <v>470</v>
      </c>
      <c r="H25402" s="185"/>
    </row>
    <row r="25403">
      <c r="D25403" s="185"/>
      <c r="E25403" s="185" t="s">
        <v>470</v>
      </c>
      <c r="H25403" s="185"/>
    </row>
    <row r="25404">
      <c r="D25404" s="185"/>
      <c r="E25404" s="185" t="s">
        <v>470</v>
      </c>
      <c r="H25404" s="185"/>
    </row>
    <row r="25405">
      <c r="D25405" s="185"/>
      <c r="E25405" s="185" t="s">
        <v>470</v>
      </c>
      <c r="H25405" s="185"/>
    </row>
    <row r="25406">
      <c r="D25406" s="185"/>
      <c r="E25406" s="185" t="s">
        <v>470</v>
      </c>
      <c r="H25406" s="185"/>
    </row>
    <row r="25407">
      <c r="D25407" s="185"/>
      <c r="E25407" s="185" t="s">
        <v>470</v>
      </c>
      <c r="H25407" s="185"/>
    </row>
    <row r="25408">
      <c r="D25408" s="185"/>
      <c r="E25408" s="185" t="s">
        <v>470</v>
      </c>
      <c r="H25408" s="185"/>
    </row>
    <row r="25409">
      <c r="D25409" s="185"/>
      <c r="E25409" s="185" t="s">
        <v>470</v>
      </c>
      <c r="H25409" s="185"/>
    </row>
    <row r="25410">
      <c r="D25410" s="185"/>
      <c r="E25410" s="185" t="s">
        <v>470</v>
      </c>
      <c r="H25410" s="185"/>
    </row>
    <row r="25411">
      <c r="D25411" s="185"/>
      <c r="E25411" s="185" t="s">
        <v>470</v>
      </c>
      <c r="H25411" s="185"/>
    </row>
    <row r="25412">
      <c r="D25412" s="185"/>
      <c r="E25412" s="185" t="s">
        <v>470</v>
      </c>
      <c r="H25412" s="185"/>
    </row>
    <row r="25413">
      <c r="D25413" s="185"/>
      <c r="E25413" s="185" t="s">
        <v>470</v>
      </c>
      <c r="H25413" s="185"/>
    </row>
    <row r="25414">
      <c r="D25414" s="185"/>
      <c r="E25414" s="185" t="s">
        <v>470</v>
      </c>
      <c r="H25414" s="185"/>
    </row>
    <row r="25415">
      <c r="D25415" s="185"/>
      <c r="E25415" s="185" t="s">
        <v>470</v>
      </c>
      <c r="H25415" s="185"/>
    </row>
    <row r="25416">
      <c r="D25416" s="185"/>
      <c r="E25416" s="185" t="s">
        <v>470</v>
      </c>
      <c r="H25416" s="185"/>
    </row>
    <row r="25417">
      <c r="D25417" s="185"/>
      <c r="E25417" s="185" t="s">
        <v>470</v>
      </c>
      <c r="H25417" s="185"/>
    </row>
    <row r="25418">
      <c r="D25418" s="185"/>
      <c r="E25418" s="185" t="s">
        <v>470</v>
      </c>
      <c r="H25418" s="185"/>
    </row>
    <row r="25419">
      <c r="D25419" s="185"/>
      <c r="E25419" s="185" t="s">
        <v>470</v>
      </c>
      <c r="H25419" s="185"/>
    </row>
    <row r="25420">
      <c r="D25420" s="185"/>
      <c r="E25420" s="185" t="s">
        <v>470</v>
      </c>
      <c r="H25420" s="185"/>
    </row>
    <row r="25421">
      <c r="D25421" s="185"/>
      <c r="E25421" s="185" t="s">
        <v>470</v>
      </c>
      <c r="H25421" s="185"/>
    </row>
    <row r="25422">
      <c r="D25422" s="185"/>
      <c r="E25422" s="185" t="s">
        <v>470</v>
      </c>
      <c r="H25422" s="185"/>
    </row>
    <row r="25423">
      <c r="D25423" s="185"/>
      <c r="E25423" s="185" t="s">
        <v>470</v>
      </c>
      <c r="H25423" s="185"/>
    </row>
    <row r="25424">
      <c r="D25424" s="185"/>
      <c r="E25424" s="185" t="s">
        <v>470</v>
      </c>
      <c r="H25424" s="185"/>
    </row>
    <row r="25425">
      <c r="D25425" s="185"/>
      <c r="E25425" s="185" t="s">
        <v>470</v>
      </c>
      <c r="H25425" s="185"/>
    </row>
    <row r="25426">
      <c r="D25426" s="185"/>
      <c r="E25426" s="185" t="s">
        <v>470</v>
      </c>
      <c r="H25426" s="185"/>
    </row>
    <row r="25427">
      <c r="D25427" s="185"/>
      <c r="E25427" s="185" t="s">
        <v>470</v>
      </c>
      <c r="H25427" s="185"/>
    </row>
    <row r="25428">
      <c r="D25428" s="185"/>
      <c r="E25428" s="185" t="s">
        <v>470</v>
      </c>
      <c r="H25428" s="185"/>
    </row>
    <row r="25429">
      <c r="D25429" s="185"/>
      <c r="E25429" s="185" t="s">
        <v>470</v>
      </c>
      <c r="H25429" s="185"/>
    </row>
    <row r="25430">
      <c r="D25430" s="185"/>
      <c r="E25430" s="185" t="s">
        <v>470</v>
      </c>
      <c r="H25430" s="185"/>
    </row>
    <row r="25431">
      <c r="D25431" s="185"/>
      <c r="E25431" s="185" t="s">
        <v>470</v>
      </c>
      <c r="H25431" s="185"/>
    </row>
    <row r="25432">
      <c r="D25432" s="185"/>
      <c r="E25432" s="185" t="s">
        <v>470</v>
      </c>
      <c r="H25432" s="185"/>
    </row>
    <row r="25433">
      <c r="D25433" s="185"/>
      <c r="E25433" s="185" t="s">
        <v>470</v>
      </c>
      <c r="H25433" s="185"/>
    </row>
    <row r="25434">
      <c r="D25434" s="185"/>
      <c r="E25434" s="185" t="s">
        <v>470</v>
      </c>
      <c r="H25434" s="185"/>
    </row>
    <row r="25435">
      <c r="D25435" s="185"/>
      <c r="E25435" s="185" t="s">
        <v>470</v>
      </c>
      <c r="H25435" s="185"/>
    </row>
    <row r="25436">
      <c r="D25436" s="185"/>
      <c r="E25436" s="185" t="s">
        <v>470</v>
      </c>
      <c r="H25436" s="185"/>
    </row>
    <row r="25437">
      <c r="D25437" s="185"/>
      <c r="E25437" s="185" t="s">
        <v>470</v>
      </c>
      <c r="H25437" s="185"/>
    </row>
    <row r="25438">
      <c r="D25438" s="185"/>
      <c r="E25438" s="185" t="s">
        <v>470</v>
      </c>
      <c r="H25438" s="185"/>
    </row>
    <row r="25439">
      <c r="D25439" s="185"/>
      <c r="E25439" s="185" t="s">
        <v>470</v>
      </c>
      <c r="H25439" s="185"/>
    </row>
    <row r="25440">
      <c r="D25440" s="185"/>
      <c r="E25440" s="185" t="s">
        <v>470</v>
      </c>
      <c r="H25440" s="185"/>
    </row>
    <row r="25441">
      <c r="D25441" s="185"/>
      <c r="E25441" s="185" t="s">
        <v>470</v>
      </c>
      <c r="H25441" s="185"/>
    </row>
    <row r="25442">
      <c r="D25442" s="185"/>
      <c r="E25442" s="185" t="s">
        <v>470</v>
      </c>
      <c r="H25442" s="185"/>
    </row>
    <row r="25443">
      <c r="D25443" s="185"/>
      <c r="E25443" s="185" t="s">
        <v>470</v>
      </c>
      <c r="H25443" s="185"/>
    </row>
    <row r="25444">
      <c r="D25444" s="185"/>
      <c r="E25444" s="185" t="s">
        <v>470</v>
      </c>
      <c r="H25444" s="185"/>
    </row>
    <row r="25445">
      <c r="D25445" s="185"/>
      <c r="E25445" s="185" t="s">
        <v>470</v>
      </c>
      <c r="H25445" s="185"/>
    </row>
    <row r="25446">
      <c r="D25446" s="185"/>
      <c r="E25446" s="185" t="s">
        <v>470</v>
      </c>
      <c r="H25446" s="185"/>
    </row>
    <row r="25447">
      <c r="D25447" s="185"/>
      <c r="E25447" s="185" t="s">
        <v>470</v>
      </c>
      <c r="H25447" s="185"/>
    </row>
    <row r="25448">
      <c r="D25448" s="185"/>
      <c r="E25448" s="185" t="s">
        <v>470</v>
      </c>
      <c r="H25448" s="185"/>
    </row>
    <row r="25449">
      <c r="D25449" s="185"/>
      <c r="E25449" s="185" t="s">
        <v>470</v>
      </c>
      <c r="H25449" s="185"/>
    </row>
    <row r="25450">
      <c r="D25450" s="185"/>
      <c r="E25450" s="185" t="s">
        <v>470</v>
      </c>
      <c r="H25450" s="185"/>
    </row>
    <row r="25451">
      <c r="D25451" s="185"/>
      <c r="E25451" s="185" t="s">
        <v>470</v>
      </c>
      <c r="H25451" s="185"/>
    </row>
    <row r="25452">
      <c r="D25452" s="185"/>
      <c r="E25452" s="185" t="s">
        <v>470</v>
      </c>
      <c r="H25452" s="185"/>
    </row>
    <row r="25453">
      <c r="D25453" s="185"/>
      <c r="E25453" s="185" t="s">
        <v>470</v>
      </c>
      <c r="H25453" s="185"/>
    </row>
    <row r="25454">
      <c r="D25454" s="185"/>
      <c r="E25454" s="185" t="s">
        <v>470</v>
      </c>
      <c r="H25454" s="185"/>
    </row>
    <row r="25455">
      <c r="D25455" s="185"/>
      <c r="E25455" s="185" t="s">
        <v>470</v>
      </c>
      <c r="H25455" s="185"/>
    </row>
    <row r="25456">
      <c r="D25456" s="185"/>
      <c r="E25456" s="185" t="s">
        <v>470</v>
      </c>
      <c r="H25456" s="185"/>
    </row>
    <row r="25457">
      <c r="D25457" s="185"/>
      <c r="E25457" s="185" t="s">
        <v>470</v>
      </c>
      <c r="H25457" s="185"/>
    </row>
    <row r="25458">
      <c r="D25458" s="185"/>
      <c r="E25458" s="185" t="s">
        <v>470</v>
      </c>
      <c r="H25458" s="185"/>
    </row>
    <row r="25459">
      <c r="D25459" s="185"/>
      <c r="E25459" s="185" t="s">
        <v>470</v>
      </c>
      <c r="H25459" s="185"/>
    </row>
    <row r="25460">
      <c r="D25460" s="185"/>
      <c r="E25460" s="185" t="s">
        <v>470</v>
      </c>
      <c r="H25460" s="185"/>
    </row>
    <row r="25461">
      <c r="D25461" s="185"/>
      <c r="E25461" s="185" t="s">
        <v>470</v>
      </c>
      <c r="H25461" s="185"/>
    </row>
    <row r="25462">
      <c r="D25462" s="185"/>
      <c r="E25462" s="185" t="s">
        <v>470</v>
      </c>
      <c r="H25462" s="185"/>
    </row>
    <row r="25463">
      <c r="D25463" s="185"/>
      <c r="E25463" s="185" t="s">
        <v>470</v>
      </c>
      <c r="H25463" s="185"/>
    </row>
    <row r="25464">
      <c r="D25464" s="185"/>
      <c r="E25464" s="185" t="s">
        <v>470</v>
      </c>
      <c r="H25464" s="185"/>
    </row>
    <row r="25465">
      <c r="D25465" s="185"/>
      <c r="E25465" s="185" t="s">
        <v>470</v>
      </c>
      <c r="H25465" s="185"/>
    </row>
    <row r="25466">
      <c r="D25466" s="185"/>
      <c r="E25466" s="185" t="s">
        <v>470</v>
      </c>
      <c r="H25466" s="185"/>
    </row>
    <row r="25467">
      <c r="D25467" s="185"/>
      <c r="E25467" s="185" t="s">
        <v>470</v>
      </c>
      <c r="H25467" s="185"/>
    </row>
    <row r="25468">
      <c r="D25468" s="185"/>
      <c r="E25468" s="185" t="s">
        <v>470</v>
      </c>
      <c r="H25468" s="185"/>
    </row>
    <row r="25469">
      <c r="D25469" s="185"/>
      <c r="E25469" s="185" t="s">
        <v>470</v>
      </c>
      <c r="H25469" s="185"/>
    </row>
    <row r="25470">
      <c r="D25470" s="185"/>
      <c r="E25470" s="185" t="s">
        <v>470</v>
      </c>
      <c r="H25470" s="185"/>
    </row>
    <row r="25471">
      <c r="D25471" s="185"/>
      <c r="E25471" s="185" t="s">
        <v>470</v>
      </c>
      <c r="H25471" s="185"/>
    </row>
    <row r="25472">
      <c r="D25472" s="185"/>
      <c r="E25472" s="185" t="s">
        <v>470</v>
      </c>
      <c r="H25472" s="185"/>
    </row>
    <row r="25473">
      <c r="D25473" s="185"/>
      <c r="E25473" s="185" t="s">
        <v>470</v>
      </c>
      <c r="H25473" s="185"/>
    </row>
    <row r="25474">
      <c r="D25474" s="185"/>
      <c r="E25474" s="185" t="s">
        <v>470</v>
      </c>
      <c r="H25474" s="185"/>
    </row>
    <row r="25475">
      <c r="D25475" s="185"/>
      <c r="E25475" s="185" t="s">
        <v>470</v>
      </c>
      <c r="H25475" s="185"/>
    </row>
    <row r="25476">
      <c r="D25476" s="185"/>
      <c r="E25476" s="185" t="s">
        <v>470</v>
      </c>
      <c r="H25476" s="185"/>
    </row>
    <row r="25477">
      <c r="D25477" s="185"/>
      <c r="E25477" s="185" t="s">
        <v>470</v>
      </c>
      <c r="H25477" s="185"/>
    </row>
    <row r="25478">
      <c r="D25478" s="185"/>
      <c r="E25478" s="185" t="s">
        <v>470</v>
      </c>
      <c r="H25478" s="185"/>
    </row>
    <row r="25479">
      <c r="D25479" s="185"/>
      <c r="E25479" s="185" t="s">
        <v>470</v>
      </c>
      <c r="H25479" s="185"/>
    </row>
    <row r="25480">
      <c r="D25480" s="185"/>
      <c r="E25480" s="185" t="s">
        <v>470</v>
      </c>
      <c r="H25480" s="185"/>
    </row>
    <row r="25481">
      <c r="D25481" s="185"/>
      <c r="E25481" s="185" t="s">
        <v>470</v>
      </c>
      <c r="H25481" s="185"/>
    </row>
    <row r="25482">
      <c r="D25482" s="185"/>
      <c r="E25482" s="185" t="s">
        <v>470</v>
      </c>
      <c r="H25482" s="185"/>
    </row>
    <row r="25483">
      <c r="D25483" s="185"/>
      <c r="E25483" s="185" t="s">
        <v>470</v>
      </c>
      <c r="H25483" s="185"/>
    </row>
    <row r="25484">
      <c r="D25484" s="185"/>
      <c r="E25484" s="185" t="s">
        <v>470</v>
      </c>
      <c r="H25484" s="185"/>
    </row>
    <row r="25485">
      <c r="D25485" s="185"/>
      <c r="E25485" s="185" t="s">
        <v>470</v>
      </c>
      <c r="H25485" s="185"/>
    </row>
    <row r="25486">
      <c r="D25486" s="185"/>
      <c r="E25486" s="185" t="s">
        <v>470</v>
      </c>
      <c r="H25486" s="185"/>
    </row>
    <row r="25487">
      <c r="D25487" s="185"/>
      <c r="E25487" s="185" t="s">
        <v>470</v>
      </c>
      <c r="H25487" s="185"/>
    </row>
    <row r="25488">
      <c r="D25488" s="185"/>
      <c r="E25488" s="185" t="s">
        <v>470</v>
      </c>
      <c r="H25488" s="185"/>
    </row>
    <row r="25489">
      <c r="D25489" s="185"/>
      <c r="E25489" s="185" t="s">
        <v>470</v>
      </c>
      <c r="H25489" s="185"/>
    </row>
    <row r="25490">
      <c r="D25490" s="185"/>
      <c r="E25490" s="185" t="s">
        <v>470</v>
      </c>
      <c r="H25490" s="185"/>
    </row>
    <row r="25491">
      <c r="D25491" s="185"/>
      <c r="E25491" s="185" t="s">
        <v>470</v>
      </c>
      <c r="H25491" s="185"/>
    </row>
    <row r="25492">
      <c r="D25492" s="185"/>
      <c r="E25492" s="185" t="s">
        <v>470</v>
      </c>
      <c r="H25492" s="185"/>
    </row>
    <row r="25493">
      <c r="D25493" s="185"/>
      <c r="E25493" s="185" t="s">
        <v>470</v>
      </c>
      <c r="H25493" s="185"/>
    </row>
    <row r="25494">
      <c r="D25494" s="185"/>
      <c r="E25494" s="185" t="s">
        <v>470</v>
      </c>
      <c r="H25494" s="185"/>
    </row>
    <row r="25495">
      <c r="D25495" s="185"/>
      <c r="E25495" s="185" t="s">
        <v>470</v>
      </c>
      <c r="H25495" s="185"/>
    </row>
    <row r="25496">
      <c r="D25496" s="185"/>
      <c r="E25496" s="185" t="s">
        <v>470</v>
      </c>
      <c r="H25496" s="185"/>
    </row>
    <row r="25497">
      <c r="D25497" s="185"/>
      <c r="E25497" s="185" t="s">
        <v>470</v>
      </c>
      <c r="H25497" s="185"/>
    </row>
    <row r="25498">
      <c r="D25498" s="185"/>
      <c r="E25498" s="185" t="s">
        <v>470</v>
      </c>
      <c r="H25498" s="185"/>
    </row>
    <row r="25499">
      <c r="D25499" s="185"/>
      <c r="E25499" s="185" t="s">
        <v>470</v>
      </c>
      <c r="H25499" s="185"/>
    </row>
    <row r="25500">
      <c r="D25500" s="185"/>
      <c r="E25500" s="185" t="s">
        <v>470</v>
      </c>
      <c r="H25500" s="185"/>
    </row>
    <row r="25501">
      <c r="D25501" s="185"/>
      <c r="E25501" s="185" t="s">
        <v>470</v>
      </c>
      <c r="H25501" s="185"/>
    </row>
    <row r="25502">
      <c r="D25502" s="185"/>
      <c r="E25502" s="185" t="s">
        <v>470</v>
      </c>
      <c r="H25502" s="185"/>
    </row>
    <row r="25503">
      <c r="D25503" s="185"/>
      <c r="E25503" s="185" t="s">
        <v>470</v>
      </c>
      <c r="H25503" s="185"/>
    </row>
    <row r="25504">
      <c r="D25504" s="185"/>
      <c r="E25504" s="185" t="s">
        <v>470</v>
      </c>
      <c r="H25504" s="185"/>
    </row>
    <row r="25505">
      <c r="D25505" s="185"/>
      <c r="E25505" s="185" t="s">
        <v>470</v>
      </c>
      <c r="H25505" s="185"/>
    </row>
    <row r="25506">
      <c r="D25506" s="185"/>
      <c r="E25506" s="185" t="s">
        <v>470</v>
      </c>
      <c r="H25506" s="185"/>
    </row>
    <row r="25507">
      <c r="D25507" s="185"/>
      <c r="E25507" s="185" t="s">
        <v>470</v>
      </c>
      <c r="H25507" s="185"/>
    </row>
    <row r="25508">
      <c r="D25508" s="185"/>
      <c r="E25508" s="185" t="s">
        <v>470</v>
      </c>
      <c r="H25508" s="185"/>
    </row>
    <row r="25509">
      <c r="D25509" s="185"/>
      <c r="E25509" s="185" t="s">
        <v>470</v>
      </c>
      <c r="H25509" s="185"/>
    </row>
    <row r="25510">
      <c r="D25510" s="185"/>
      <c r="E25510" s="185" t="s">
        <v>470</v>
      </c>
      <c r="H25510" s="185"/>
    </row>
    <row r="25511">
      <c r="D25511" s="185"/>
      <c r="E25511" s="185" t="s">
        <v>470</v>
      </c>
      <c r="H25511" s="185"/>
    </row>
    <row r="25512">
      <c r="D25512" s="185"/>
      <c r="E25512" s="185" t="s">
        <v>470</v>
      </c>
      <c r="H25512" s="185"/>
    </row>
    <row r="25513">
      <c r="D25513" s="185"/>
      <c r="E25513" s="185" t="s">
        <v>470</v>
      </c>
      <c r="H25513" s="185"/>
    </row>
    <row r="25514">
      <c r="D25514" s="185"/>
      <c r="E25514" s="185" t="s">
        <v>470</v>
      </c>
      <c r="H25514" s="185"/>
    </row>
    <row r="25515">
      <c r="D25515" s="185"/>
      <c r="E25515" s="185" t="s">
        <v>470</v>
      </c>
      <c r="H25515" s="185"/>
    </row>
    <row r="25516">
      <c r="D25516" s="185"/>
      <c r="E25516" s="185" t="s">
        <v>470</v>
      </c>
      <c r="H25516" s="185"/>
    </row>
    <row r="25517">
      <c r="D25517" s="185"/>
      <c r="E25517" s="185" t="s">
        <v>470</v>
      </c>
      <c r="H25517" s="185"/>
    </row>
    <row r="25518">
      <c r="D25518" s="185"/>
      <c r="E25518" s="185" t="s">
        <v>470</v>
      </c>
      <c r="H25518" s="185"/>
    </row>
    <row r="25519">
      <c r="D25519" s="185"/>
      <c r="E25519" s="185" t="s">
        <v>470</v>
      </c>
      <c r="H25519" s="185"/>
    </row>
    <row r="25520">
      <c r="D25520" s="185"/>
      <c r="E25520" s="185" t="s">
        <v>470</v>
      </c>
      <c r="H25520" s="185"/>
    </row>
    <row r="25521">
      <c r="D25521" s="185"/>
      <c r="E25521" s="185" t="s">
        <v>470</v>
      </c>
      <c r="H25521" s="185"/>
    </row>
    <row r="25522">
      <c r="D25522" s="185"/>
      <c r="E25522" s="185" t="s">
        <v>470</v>
      </c>
      <c r="H25522" s="185"/>
    </row>
    <row r="25523">
      <c r="D25523" s="185"/>
      <c r="E25523" s="185" t="s">
        <v>470</v>
      </c>
      <c r="H25523" s="185"/>
    </row>
    <row r="25524">
      <c r="D25524" s="185"/>
      <c r="E25524" s="185" t="s">
        <v>470</v>
      </c>
      <c r="H25524" s="185"/>
    </row>
    <row r="25525">
      <c r="D25525" s="185"/>
      <c r="E25525" s="185" t="s">
        <v>470</v>
      </c>
      <c r="H25525" s="185"/>
    </row>
    <row r="25526">
      <c r="D25526" s="185"/>
      <c r="E25526" s="185" t="s">
        <v>470</v>
      </c>
      <c r="H25526" s="185"/>
    </row>
    <row r="25527">
      <c r="D25527" s="185"/>
      <c r="E25527" s="185" t="s">
        <v>470</v>
      </c>
      <c r="H25527" s="185"/>
    </row>
    <row r="25528">
      <c r="D25528" s="185"/>
      <c r="E25528" s="185" t="s">
        <v>470</v>
      </c>
      <c r="H25528" s="185"/>
    </row>
    <row r="25529">
      <c r="D25529" s="185"/>
      <c r="E25529" s="185" t="s">
        <v>470</v>
      </c>
      <c r="H25529" s="185"/>
    </row>
    <row r="25530">
      <c r="D25530" s="185"/>
      <c r="E25530" s="185" t="s">
        <v>470</v>
      </c>
      <c r="H25530" s="185"/>
    </row>
    <row r="25531">
      <c r="D25531" s="185"/>
      <c r="E25531" s="185" t="s">
        <v>470</v>
      </c>
      <c r="H25531" s="185"/>
    </row>
    <row r="25532">
      <c r="D25532" s="185"/>
      <c r="E25532" s="185" t="s">
        <v>470</v>
      </c>
      <c r="H25532" s="185"/>
    </row>
    <row r="25533">
      <c r="D25533" s="185"/>
      <c r="E25533" s="185" t="s">
        <v>470</v>
      </c>
      <c r="H25533" s="185"/>
    </row>
    <row r="25534">
      <c r="D25534" s="185"/>
      <c r="E25534" s="185" t="s">
        <v>470</v>
      </c>
      <c r="H25534" s="185"/>
    </row>
    <row r="25535">
      <c r="D25535" s="185"/>
      <c r="E25535" s="185" t="s">
        <v>470</v>
      </c>
      <c r="H25535" s="185"/>
    </row>
    <row r="25536">
      <c r="D25536" s="185"/>
      <c r="E25536" s="185" t="s">
        <v>470</v>
      </c>
      <c r="H25536" s="185"/>
    </row>
    <row r="25537">
      <c r="D25537" s="185"/>
      <c r="E25537" s="185" t="s">
        <v>470</v>
      </c>
      <c r="H25537" s="185"/>
    </row>
    <row r="25538">
      <c r="D25538" s="185"/>
      <c r="E25538" s="185" t="s">
        <v>470</v>
      </c>
      <c r="H25538" s="185"/>
    </row>
    <row r="25539">
      <c r="D25539" s="185"/>
      <c r="E25539" s="185" t="s">
        <v>470</v>
      </c>
      <c r="H25539" s="185"/>
    </row>
    <row r="25540">
      <c r="D25540" s="185"/>
      <c r="E25540" s="185" t="s">
        <v>470</v>
      </c>
      <c r="H25540" s="185"/>
    </row>
    <row r="25541">
      <c r="D25541" s="185"/>
      <c r="E25541" s="185" t="s">
        <v>470</v>
      </c>
      <c r="H25541" s="185"/>
    </row>
    <row r="25542">
      <c r="D25542" s="185"/>
      <c r="E25542" s="185" t="s">
        <v>470</v>
      </c>
      <c r="H25542" s="185"/>
    </row>
    <row r="25543">
      <c r="D25543" s="185"/>
      <c r="E25543" s="185" t="s">
        <v>470</v>
      </c>
      <c r="H25543" s="185"/>
    </row>
    <row r="25544">
      <c r="D25544" s="185"/>
      <c r="E25544" s="185" t="s">
        <v>470</v>
      </c>
      <c r="H25544" s="185"/>
    </row>
    <row r="25545">
      <c r="D25545" s="185"/>
      <c r="E25545" s="185" t="s">
        <v>470</v>
      </c>
      <c r="H25545" s="185"/>
    </row>
    <row r="25546">
      <c r="D25546" s="185"/>
      <c r="E25546" s="185" t="s">
        <v>470</v>
      </c>
      <c r="H25546" s="185"/>
    </row>
    <row r="25547">
      <c r="D25547" s="185"/>
      <c r="E25547" s="185" t="s">
        <v>470</v>
      </c>
      <c r="H25547" s="185"/>
    </row>
    <row r="25548">
      <c r="D25548" s="185"/>
      <c r="E25548" s="185" t="s">
        <v>470</v>
      </c>
      <c r="H25548" s="185"/>
    </row>
    <row r="25549">
      <c r="D25549" s="185"/>
      <c r="E25549" s="185" t="s">
        <v>470</v>
      </c>
      <c r="H25549" s="185"/>
    </row>
    <row r="25550">
      <c r="D25550" s="185"/>
      <c r="E25550" s="185" t="s">
        <v>470</v>
      </c>
      <c r="H25550" s="185"/>
    </row>
    <row r="25551">
      <c r="D25551" s="185"/>
      <c r="E25551" s="185" t="s">
        <v>470</v>
      </c>
      <c r="H25551" s="185"/>
    </row>
    <row r="25552">
      <c r="D25552" s="185"/>
      <c r="E25552" s="185" t="s">
        <v>470</v>
      </c>
      <c r="H25552" s="185"/>
    </row>
    <row r="25553">
      <c r="D25553" s="185"/>
      <c r="E25553" s="185" t="s">
        <v>470</v>
      </c>
      <c r="H25553" s="185"/>
    </row>
    <row r="25554">
      <c r="D25554" s="185"/>
      <c r="E25554" s="185" t="s">
        <v>470</v>
      </c>
      <c r="H25554" s="185"/>
    </row>
    <row r="25555">
      <c r="D25555" s="185"/>
      <c r="E25555" s="185" t="s">
        <v>470</v>
      </c>
      <c r="H25555" s="185"/>
    </row>
    <row r="25556">
      <c r="D25556" s="185"/>
      <c r="E25556" s="185" t="s">
        <v>470</v>
      </c>
      <c r="H25556" s="185"/>
    </row>
    <row r="25557">
      <c r="D25557" s="185"/>
      <c r="E25557" s="185" t="s">
        <v>470</v>
      </c>
      <c r="H25557" s="185"/>
    </row>
    <row r="25558">
      <c r="D25558" s="185"/>
      <c r="E25558" s="185" t="s">
        <v>470</v>
      </c>
      <c r="H25558" s="185"/>
    </row>
    <row r="25559">
      <c r="D25559" s="185"/>
      <c r="E25559" s="185" t="s">
        <v>470</v>
      </c>
      <c r="H25559" s="185"/>
    </row>
    <row r="25560">
      <c r="D25560" s="185"/>
      <c r="E25560" s="185" t="s">
        <v>470</v>
      </c>
      <c r="H25560" s="185"/>
    </row>
    <row r="25561">
      <c r="D25561" s="185"/>
      <c r="E25561" s="185" t="s">
        <v>470</v>
      </c>
      <c r="H25561" s="185"/>
    </row>
    <row r="25562">
      <c r="D25562" s="185"/>
      <c r="E25562" s="185" t="s">
        <v>470</v>
      </c>
      <c r="H25562" s="185"/>
    </row>
    <row r="25563">
      <c r="D25563" s="185"/>
      <c r="E25563" s="185" t="s">
        <v>470</v>
      </c>
      <c r="H25563" s="185"/>
    </row>
    <row r="25564">
      <c r="D25564" s="185"/>
      <c r="E25564" s="185" t="s">
        <v>470</v>
      </c>
      <c r="H25564" s="185"/>
    </row>
    <row r="25565">
      <c r="D25565" s="185"/>
      <c r="E25565" s="185" t="s">
        <v>470</v>
      </c>
      <c r="H25565" s="185"/>
    </row>
    <row r="25566">
      <c r="D25566" s="185"/>
      <c r="E25566" s="185" t="s">
        <v>470</v>
      </c>
      <c r="H25566" s="185"/>
    </row>
    <row r="25567">
      <c r="D25567" s="185"/>
      <c r="E25567" s="185" t="s">
        <v>470</v>
      </c>
      <c r="H25567" s="185"/>
    </row>
    <row r="25568">
      <c r="D25568" s="185"/>
      <c r="E25568" s="185" t="s">
        <v>470</v>
      </c>
      <c r="H25568" s="185"/>
    </row>
    <row r="25569">
      <c r="D25569" s="185"/>
      <c r="E25569" s="185" t="s">
        <v>470</v>
      </c>
      <c r="H25569" s="185"/>
    </row>
    <row r="25570">
      <c r="D25570" s="185"/>
      <c r="E25570" s="185" t="s">
        <v>470</v>
      </c>
      <c r="H25570" s="185"/>
    </row>
    <row r="25571">
      <c r="D25571" s="185"/>
      <c r="E25571" s="185" t="s">
        <v>470</v>
      </c>
      <c r="H25571" s="185"/>
    </row>
    <row r="25572">
      <c r="D25572" s="185"/>
      <c r="E25572" s="185" t="s">
        <v>470</v>
      </c>
      <c r="H25572" s="185"/>
    </row>
    <row r="25573">
      <c r="D25573" s="185"/>
      <c r="E25573" s="185" t="s">
        <v>470</v>
      </c>
      <c r="H25573" s="185"/>
    </row>
    <row r="25574">
      <c r="D25574" s="185"/>
      <c r="E25574" s="185" t="s">
        <v>470</v>
      </c>
      <c r="H25574" s="185"/>
    </row>
    <row r="25575">
      <c r="D25575" s="185"/>
      <c r="E25575" s="185" t="s">
        <v>470</v>
      </c>
      <c r="H25575" s="185"/>
    </row>
    <row r="25576">
      <c r="D25576" s="185"/>
      <c r="E25576" s="185" t="s">
        <v>470</v>
      </c>
      <c r="H25576" s="185"/>
    </row>
    <row r="25577">
      <c r="D25577" s="185"/>
      <c r="E25577" s="185" t="s">
        <v>470</v>
      </c>
      <c r="H25577" s="185"/>
    </row>
    <row r="25578">
      <c r="D25578" s="185"/>
      <c r="E25578" s="185" t="s">
        <v>470</v>
      </c>
      <c r="H25578" s="185"/>
    </row>
    <row r="25579">
      <c r="D25579" s="185"/>
      <c r="E25579" s="185" t="s">
        <v>470</v>
      </c>
      <c r="H25579" s="185"/>
    </row>
    <row r="25580">
      <c r="D25580" s="185"/>
      <c r="E25580" s="185" t="s">
        <v>470</v>
      </c>
      <c r="H25580" s="185"/>
    </row>
    <row r="25581">
      <c r="D25581" s="185"/>
      <c r="E25581" s="185" t="s">
        <v>470</v>
      </c>
      <c r="H25581" s="185"/>
    </row>
    <row r="25582">
      <c r="D25582" s="185"/>
      <c r="E25582" s="185" t="s">
        <v>470</v>
      </c>
      <c r="H25582" s="185"/>
    </row>
    <row r="25583">
      <c r="D25583" s="185"/>
      <c r="E25583" s="185" t="s">
        <v>470</v>
      </c>
      <c r="H25583" s="185"/>
    </row>
    <row r="25584">
      <c r="D25584" s="185"/>
      <c r="E25584" s="185" t="s">
        <v>470</v>
      </c>
      <c r="H25584" s="185"/>
    </row>
    <row r="25585">
      <c r="D25585" s="185"/>
      <c r="E25585" s="185" t="s">
        <v>470</v>
      </c>
      <c r="H25585" s="185"/>
    </row>
    <row r="25586">
      <c r="D25586" s="185"/>
      <c r="E25586" s="185" t="s">
        <v>470</v>
      </c>
      <c r="H25586" s="185"/>
    </row>
    <row r="25587">
      <c r="D25587" s="185"/>
      <c r="E25587" s="185" t="s">
        <v>470</v>
      </c>
      <c r="H25587" s="185"/>
    </row>
    <row r="25588">
      <c r="D25588" s="185"/>
      <c r="E25588" s="185" t="s">
        <v>470</v>
      </c>
      <c r="H25588" s="185"/>
    </row>
    <row r="25589">
      <c r="D25589" s="185"/>
      <c r="E25589" s="185" t="s">
        <v>470</v>
      </c>
      <c r="H25589" s="185"/>
    </row>
    <row r="25590">
      <c r="D25590" s="185"/>
      <c r="E25590" s="185" t="s">
        <v>470</v>
      </c>
      <c r="H25590" s="185"/>
    </row>
    <row r="25591">
      <c r="D25591" s="185"/>
      <c r="E25591" s="185" t="s">
        <v>470</v>
      </c>
      <c r="H25591" s="185"/>
    </row>
    <row r="25592">
      <c r="D25592" s="185"/>
      <c r="E25592" s="185" t="s">
        <v>470</v>
      </c>
      <c r="H25592" s="185"/>
    </row>
    <row r="25593">
      <c r="D25593" s="185"/>
      <c r="E25593" s="185" t="s">
        <v>470</v>
      </c>
      <c r="H25593" s="185"/>
    </row>
    <row r="25594">
      <c r="D25594" s="185"/>
      <c r="E25594" s="185" t="s">
        <v>470</v>
      </c>
      <c r="H25594" s="185"/>
    </row>
    <row r="25595">
      <c r="D25595" s="185"/>
      <c r="E25595" s="185" t="s">
        <v>470</v>
      </c>
      <c r="H25595" s="185"/>
    </row>
    <row r="25596">
      <c r="D25596" s="185"/>
      <c r="E25596" s="185" t="s">
        <v>470</v>
      </c>
      <c r="H25596" s="185"/>
    </row>
    <row r="25597">
      <c r="D25597" s="185"/>
      <c r="E25597" s="185" t="s">
        <v>470</v>
      </c>
      <c r="H25597" s="185"/>
    </row>
    <row r="25598">
      <c r="D25598" s="185"/>
      <c r="E25598" s="185" t="s">
        <v>470</v>
      </c>
      <c r="H25598" s="185"/>
    </row>
    <row r="25599">
      <c r="D25599" s="185"/>
      <c r="E25599" s="185" t="s">
        <v>470</v>
      </c>
      <c r="H25599" s="185"/>
    </row>
    <row r="25600">
      <c r="D25600" s="185"/>
      <c r="E25600" s="185" t="s">
        <v>470</v>
      </c>
      <c r="H25600" s="185"/>
    </row>
    <row r="25601">
      <c r="D25601" s="185"/>
      <c r="E25601" s="185" t="s">
        <v>470</v>
      </c>
      <c r="H25601" s="185"/>
    </row>
    <row r="25602">
      <c r="D25602" s="185"/>
      <c r="E25602" s="185" t="s">
        <v>470</v>
      </c>
      <c r="H25602" s="185"/>
    </row>
    <row r="25603">
      <c r="D25603" s="185"/>
      <c r="E25603" s="185" t="s">
        <v>470</v>
      </c>
      <c r="H25603" s="185"/>
    </row>
    <row r="25604">
      <c r="D25604" s="185"/>
      <c r="E25604" s="185" t="s">
        <v>470</v>
      </c>
      <c r="H25604" s="185"/>
    </row>
    <row r="25605">
      <c r="D25605" s="185"/>
      <c r="E25605" s="185" t="s">
        <v>470</v>
      </c>
      <c r="H25605" s="185"/>
    </row>
    <row r="25606">
      <c r="D25606" s="185"/>
      <c r="E25606" s="185" t="s">
        <v>470</v>
      </c>
      <c r="H25606" s="185"/>
    </row>
    <row r="25607">
      <c r="D25607" s="185"/>
      <c r="E25607" s="185" t="s">
        <v>470</v>
      </c>
      <c r="H25607" s="185"/>
    </row>
    <row r="25608">
      <c r="D25608" s="185"/>
      <c r="E25608" s="185" t="s">
        <v>470</v>
      </c>
      <c r="H25608" s="185"/>
    </row>
    <row r="25609">
      <c r="D25609" s="185"/>
      <c r="E25609" s="185" t="s">
        <v>470</v>
      </c>
      <c r="H25609" s="185"/>
    </row>
    <row r="25610">
      <c r="D25610" s="185"/>
      <c r="E25610" s="185" t="s">
        <v>470</v>
      </c>
      <c r="H25610" s="185"/>
    </row>
    <row r="25611">
      <c r="D25611" s="185"/>
      <c r="E25611" s="185" t="s">
        <v>470</v>
      </c>
      <c r="H25611" s="185"/>
    </row>
    <row r="25612">
      <c r="D25612" s="185"/>
      <c r="E25612" s="185" t="s">
        <v>470</v>
      </c>
      <c r="H25612" s="185"/>
    </row>
    <row r="25613">
      <c r="D25613" s="185"/>
      <c r="E25613" s="185" t="s">
        <v>470</v>
      </c>
      <c r="H25613" s="185"/>
    </row>
    <row r="25614">
      <c r="D25614" s="185"/>
      <c r="E25614" s="185" t="s">
        <v>470</v>
      </c>
      <c r="H25614" s="185"/>
    </row>
    <row r="25615">
      <c r="D25615" s="185"/>
      <c r="E25615" s="185" t="s">
        <v>470</v>
      </c>
      <c r="H25615" s="185"/>
    </row>
    <row r="25616">
      <c r="D25616" s="185"/>
      <c r="E25616" s="185" t="s">
        <v>470</v>
      </c>
      <c r="H25616" s="185"/>
    </row>
    <row r="25617">
      <c r="D25617" s="185"/>
      <c r="E25617" s="185" t="s">
        <v>470</v>
      </c>
      <c r="H25617" s="185"/>
    </row>
    <row r="25618">
      <c r="D25618" s="185"/>
      <c r="E25618" s="185" t="s">
        <v>470</v>
      </c>
      <c r="H25618" s="185"/>
    </row>
    <row r="25619">
      <c r="D25619" s="185"/>
      <c r="E25619" s="185" t="s">
        <v>470</v>
      </c>
      <c r="H25619" s="185"/>
    </row>
    <row r="25620">
      <c r="D25620" s="185"/>
      <c r="E25620" s="185" t="s">
        <v>470</v>
      </c>
      <c r="H25620" s="185"/>
    </row>
    <row r="25621">
      <c r="D25621" s="185"/>
      <c r="E25621" s="185" t="s">
        <v>470</v>
      </c>
      <c r="H25621" s="185"/>
    </row>
    <row r="25622">
      <c r="D25622" s="185"/>
      <c r="E25622" s="185" t="s">
        <v>470</v>
      </c>
      <c r="H25622" s="185"/>
    </row>
    <row r="25623">
      <c r="D25623" s="185"/>
      <c r="E25623" s="185" t="s">
        <v>470</v>
      </c>
      <c r="H25623" s="185"/>
    </row>
    <row r="25624">
      <c r="D25624" s="185"/>
      <c r="E25624" s="185" t="s">
        <v>470</v>
      </c>
      <c r="H25624" s="185"/>
    </row>
    <row r="25625">
      <c r="D25625" s="185"/>
      <c r="E25625" s="185" t="s">
        <v>470</v>
      </c>
      <c r="H25625" s="185"/>
    </row>
    <row r="25626">
      <c r="D25626" s="185"/>
      <c r="E25626" s="185" t="s">
        <v>470</v>
      </c>
      <c r="H25626" s="185"/>
    </row>
    <row r="25627">
      <c r="D25627" s="185"/>
      <c r="E25627" s="185" t="s">
        <v>470</v>
      </c>
      <c r="H25627" s="185"/>
    </row>
    <row r="25628">
      <c r="D25628" s="185"/>
      <c r="E25628" s="185" t="s">
        <v>470</v>
      </c>
      <c r="H25628" s="185"/>
    </row>
    <row r="25629">
      <c r="D25629" s="185"/>
      <c r="E25629" s="185" t="s">
        <v>470</v>
      </c>
      <c r="H25629" s="185"/>
    </row>
    <row r="25630">
      <c r="D25630" s="185"/>
      <c r="E25630" s="185" t="s">
        <v>470</v>
      </c>
      <c r="H25630" s="185"/>
    </row>
    <row r="25631">
      <c r="D25631" s="185"/>
      <c r="E25631" s="185" t="s">
        <v>470</v>
      </c>
      <c r="H25631" s="185"/>
    </row>
    <row r="25632">
      <c r="D25632" s="185"/>
      <c r="E25632" s="185" t="s">
        <v>470</v>
      </c>
      <c r="H25632" s="185"/>
    </row>
    <row r="25633">
      <c r="D25633" s="185"/>
      <c r="E25633" s="185" t="s">
        <v>470</v>
      </c>
      <c r="H25633" s="185"/>
    </row>
    <row r="25634">
      <c r="D25634" s="185"/>
      <c r="E25634" s="185" t="s">
        <v>470</v>
      </c>
      <c r="H25634" s="185"/>
    </row>
    <row r="25635">
      <c r="D25635" s="185"/>
      <c r="E25635" s="185" t="s">
        <v>470</v>
      </c>
      <c r="H25635" s="185"/>
    </row>
    <row r="25636">
      <c r="D25636" s="185"/>
      <c r="E25636" s="185" t="s">
        <v>470</v>
      </c>
      <c r="H25636" s="185"/>
    </row>
    <row r="25637">
      <c r="D25637" s="185"/>
      <c r="E25637" s="185" t="s">
        <v>470</v>
      </c>
      <c r="H25637" s="185"/>
    </row>
    <row r="25638">
      <c r="D25638" s="185"/>
      <c r="E25638" s="185" t="s">
        <v>470</v>
      </c>
      <c r="H25638" s="185"/>
    </row>
    <row r="25639">
      <c r="D25639" s="185"/>
      <c r="E25639" s="185" t="s">
        <v>470</v>
      </c>
      <c r="H25639" s="185"/>
    </row>
    <row r="25640">
      <c r="D25640" s="185"/>
      <c r="E25640" s="185" t="s">
        <v>470</v>
      </c>
      <c r="H25640" s="185"/>
    </row>
    <row r="25641">
      <c r="D25641" s="185"/>
      <c r="E25641" s="185" t="s">
        <v>470</v>
      </c>
      <c r="H25641" s="185"/>
    </row>
    <row r="25642">
      <c r="D25642" s="185"/>
      <c r="E25642" s="185" t="s">
        <v>470</v>
      </c>
      <c r="H25642" s="185"/>
    </row>
    <row r="25643">
      <c r="D25643" s="185"/>
      <c r="E25643" s="185" t="s">
        <v>470</v>
      </c>
      <c r="H25643" s="185"/>
    </row>
    <row r="25644">
      <c r="D25644" s="185"/>
      <c r="E25644" s="185" t="s">
        <v>470</v>
      </c>
      <c r="H25644" s="185"/>
    </row>
    <row r="25645">
      <c r="D25645" s="185"/>
      <c r="E25645" s="185" t="s">
        <v>470</v>
      </c>
      <c r="H25645" s="185"/>
    </row>
    <row r="25646">
      <c r="D25646" s="185"/>
      <c r="E25646" s="185" t="s">
        <v>470</v>
      </c>
      <c r="H25646" s="185"/>
    </row>
    <row r="25647">
      <c r="D25647" s="185"/>
      <c r="E25647" s="185" t="s">
        <v>470</v>
      </c>
      <c r="H25647" s="185"/>
    </row>
    <row r="25648">
      <c r="D25648" s="185"/>
      <c r="E25648" s="185" t="s">
        <v>470</v>
      </c>
      <c r="H25648" s="185"/>
    </row>
    <row r="25649">
      <c r="D25649" s="185"/>
      <c r="E25649" s="185" t="s">
        <v>470</v>
      </c>
      <c r="H25649" s="185"/>
    </row>
    <row r="25650">
      <c r="D25650" s="185"/>
      <c r="E25650" s="185" t="s">
        <v>470</v>
      </c>
      <c r="H25650" s="185"/>
    </row>
    <row r="25651">
      <c r="D25651" s="185"/>
      <c r="E25651" s="185" t="s">
        <v>470</v>
      </c>
      <c r="H25651" s="185"/>
    </row>
    <row r="25652">
      <c r="D25652" s="185"/>
      <c r="E25652" s="185" t="s">
        <v>470</v>
      </c>
      <c r="H25652" s="185"/>
    </row>
    <row r="25653">
      <c r="D25653" s="185"/>
      <c r="E25653" s="185" t="s">
        <v>470</v>
      </c>
      <c r="H25653" s="185"/>
    </row>
    <row r="25654">
      <c r="D25654" s="185"/>
      <c r="E25654" s="185" t="s">
        <v>470</v>
      </c>
      <c r="H25654" s="185"/>
    </row>
    <row r="25655">
      <c r="D25655" s="185"/>
      <c r="E25655" s="185" t="s">
        <v>470</v>
      </c>
      <c r="H25655" s="185"/>
    </row>
    <row r="25656">
      <c r="D25656" s="185"/>
      <c r="E25656" s="185" t="s">
        <v>470</v>
      </c>
      <c r="H25656" s="185"/>
    </row>
    <row r="25657">
      <c r="D25657" s="185"/>
      <c r="E25657" s="185" t="s">
        <v>470</v>
      </c>
      <c r="H25657" s="185"/>
    </row>
    <row r="25658">
      <c r="D25658" s="185"/>
      <c r="E25658" s="185" t="s">
        <v>470</v>
      </c>
      <c r="H25658" s="185"/>
    </row>
    <row r="25659">
      <c r="D25659" s="185"/>
      <c r="E25659" s="185" t="s">
        <v>470</v>
      </c>
      <c r="H25659" s="185"/>
    </row>
    <row r="25660">
      <c r="D25660" s="185"/>
      <c r="E25660" s="185" t="s">
        <v>470</v>
      </c>
      <c r="H25660" s="185"/>
    </row>
    <row r="25661">
      <c r="D25661" s="185"/>
      <c r="E25661" s="185" t="s">
        <v>470</v>
      </c>
      <c r="H25661" s="185"/>
    </row>
    <row r="25662">
      <c r="D25662" s="185"/>
      <c r="E25662" s="185" t="s">
        <v>470</v>
      </c>
      <c r="H25662" s="185"/>
    </row>
    <row r="25663">
      <c r="D25663" s="185"/>
      <c r="E25663" s="185" t="s">
        <v>470</v>
      </c>
      <c r="H25663" s="185"/>
    </row>
    <row r="25664">
      <c r="D25664" s="185"/>
      <c r="E25664" s="185" t="s">
        <v>470</v>
      </c>
      <c r="H25664" s="185"/>
    </row>
    <row r="25665">
      <c r="D25665" s="185"/>
      <c r="E25665" s="185" t="s">
        <v>470</v>
      </c>
      <c r="H25665" s="185"/>
    </row>
    <row r="25666">
      <c r="D25666" s="185"/>
      <c r="E25666" s="185" t="s">
        <v>470</v>
      </c>
      <c r="H25666" s="185"/>
    </row>
    <row r="25667">
      <c r="D25667" s="185"/>
      <c r="E25667" s="185" t="s">
        <v>470</v>
      </c>
      <c r="H25667" s="185"/>
    </row>
    <row r="25668">
      <c r="D25668" s="185"/>
      <c r="E25668" s="185" t="s">
        <v>470</v>
      </c>
      <c r="H25668" s="185"/>
    </row>
    <row r="25669">
      <c r="D25669" s="185"/>
      <c r="E25669" s="185" t="s">
        <v>470</v>
      </c>
      <c r="H25669" s="185"/>
    </row>
    <row r="25670">
      <c r="D25670" s="185"/>
      <c r="E25670" s="185" t="s">
        <v>470</v>
      </c>
      <c r="H25670" s="185"/>
    </row>
    <row r="25671">
      <c r="D25671" s="185"/>
      <c r="E25671" s="185" t="s">
        <v>470</v>
      </c>
      <c r="H25671" s="185"/>
    </row>
    <row r="25672">
      <c r="D25672" s="185"/>
      <c r="E25672" s="185" t="s">
        <v>470</v>
      </c>
      <c r="H25672" s="185"/>
    </row>
    <row r="25673">
      <c r="D25673" s="185"/>
      <c r="E25673" s="185" t="s">
        <v>470</v>
      </c>
      <c r="H25673" s="185"/>
    </row>
    <row r="25674">
      <c r="D25674" s="185"/>
      <c r="E25674" s="185" t="s">
        <v>470</v>
      </c>
      <c r="H25674" s="185"/>
    </row>
    <row r="25675">
      <c r="D25675" s="185"/>
      <c r="E25675" s="185" t="s">
        <v>470</v>
      </c>
      <c r="H25675" s="185"/>
    </row>
    <row r="25676">
      <c r="D25676" s="185"/>
      <c r="E25676" s="185" t="s">
        <v>470</v>
      </c>
      <c r="H25676" s="185"/>
    </row>
    <row r="25677">
      <c r="D25677" s="185"/>
      <c r="E25677" s="185" t="s">
        <v>470</v>
      </c>
      <c r="H25677" s="185"/>
    </row>
    <row r="25678">
      <c r="D25678" s="185"/>
      <c r="E25678" s="185" t="s">
        <v>470</v>
      </c>
      <c r="H25678" s="185"/>
    </row>
    <row r="25679">
      <c r="D25679" s="185"/>
      <c r="E25679" s="185" t="s">
        <v>470</v>
      </c>
      <c r="H25679" s="185"/>
    </row>
    <row r="25680">
      <c r="D25680" s="185"/>
      <c r="E25680" s="185" t="s">
        <v>470</v>
      </c>
      <c r="H25680" s="185"/>
    </row>
    <row r="25681">
      <c r="D25681" s="185"/>
      <c r="E25681" s="185" t="s">
        <v>470</v>
      </c>
      <c r="H25681" s="185"/>
    </row>
    <row r="25682">
      <c r="D25682" s="185"/>
      <c r="E25682" s="185" t="s">
        <v>470</v>
      </c>
      <c r="H25682" s="185"/>
    </row>
    <row r="25683">
      <c r="D25683" s="185"/>
      <c r="E25683" s="185" t="s">
        <v>470</v>
      </c>
      <c r="H25683" s="185"/>
    </row>
    <row r="25684">
      <c r="D25684" s="185"/>
      <c r="E25684" s="185" t="s">
        <v>470</v>
      </c>
      <c r="H25684" s="185"/>
    </row>
    <row r="25685">
      <c r="D25685" s="185"/>
      <c r="E25685" s="185" t="s">
        <v>470</v>
      </c>
      <c r="H25685" s="185"/>
    </row>
    <row r="25686">
      <c r="D25686" s="185"/>
      <c r="E25686" s="185" t="s">
        <v>470</v>
      </c>
      <c r="H25686" s="185"/>
    </row>
    <row r="25687">
      <c r="D25687" s="185"/>
      <c r="E25687" s="185" t="s">
        <v>470</v>
      </c>
      <c r="H25687" s="185"/>
    </row>
    <row r="25688">
      <c r="D25688" s="185"/>
      <c r="E25688" s="185" t="s">
        <v>470</v>
      </c>
      <c r="H25688" s="185"/>
    </row>
    <row r="25689">
      <c r="D25689" s="185"/>
      <c r="E25689" s="185" t="s">
        <v>470</v>
      </c>
      <c r="H25689" s="185"/>
    </row>
    <row r="25690">
      <c r="D25690" s="185"/>
      <c r="E25690" s="185" t="s">
        <v>470</v>
      </c>
      <c r="H25690" s="185"/>
    </row>
    <row r="25691">
      <c r="D25691" s="185"/>
      <c r="E25691" s="185" t="s">
        <v>470</v>
      </c>
      <c r="H25691" s="185"/>
    </row>
    <row r="25692">
      <c r="D25692" s="185"/>
      <c r="E25692" s="185" t="s">
        <v>470</v>
      </c>
      <c r="H25692" s="185"/>
    </row>
    <row r="25693">
      <c r="D25693" s="185"/>
      <c r="E25693" s="185" t="s">
        <v>470</v>
      </c>
      <c r="H25693" s="185"/>
    </row>
    <row r="25694">
      <c r="D25694" s="185"/>
      <c r="E25694" s="185" t="s">
        <v>470</v>
      </c>
      <c r="H25694" s="185"/>
    </row>
    <row r="25695">
      <c r="D25695" s="185"/>
      <c r="E25695" s="185" t="s">
        <v>470</v>
      </c>
      <c r="H25695" s="185"/>
    </row>
    <row r="25696">
      <c r="D25696" s="185"/>
      <c r="E25696" s="185" t="s">
        <v>470</v>
      </c>
      <c r="H25696" s="185"/>
    </row>
    <row r="25697">
      <c r="D25697" s="185"/>
      <c r="E25697" s="185" t="s">
        <v>470</v>
      </c>
      <c r="H25697" s="185"/>
    </row>
    <row r="25698">
      <c r="D25698" s="185"/>
      <c r="E25698" s="185" t="s">
        <v>470</v>
      </c>
      <c r="H25698" s="185"/>
    </row>
    <row r="25699">
      <c r="D25699" s="185"/>
      <c r="E25699" s="185" t="s">
        <v>470</v>
      </c>
      <c r="H25699" s="185"/>
    </row>
    <row r="25700">
      <c r="D25700" s="185"/>
      <c r="E25700" s="185" t="s">
        <v>470</v>
      </c>
      <c r="H25700" s="185"/>
    </row>
    <row r="25701">
      <c r="D25701" s="185"/>
      <c r="E25701" s="185" t="s">
        <v>470</v>
      </c>
      <c r="H25701" s="185"/>
    </row>
    <row r="25702">
      <c r="D25702" s="185"/>
      <c r="E25702" s="185" t="s">
        <v>470</v>
      </c>
      <c r="H25702" s="185"/>
    </row>
    <row r="25703">
      <c r="D25703" s="185"/>
      <c r="E25703" s="185" t="s">
        <v>470</v>
      </c>
      <c r="H25703" s="185"/>
    </row>
    <row r="25704">
      <c r="D25704" s="185"/>
      <c r="E25704" s="185" t="s">
        <v>470</v>
      </c>
      <c r="H25704" s="185"/>
    </row>
    <row r="25705">
      <c r="D25705" s="185"/>
      <c r="E25705" s="185" t="s">
        <v>470</v>
      </c>
      <c r="H25705" s="185"/>
    </row>
    <row r="25706">
      <c r="D25706" s="185"/>
      <c r="E25706" s="185" t="s">
        <v>470</v>
      </c>
      <c r="H25706" s="185"/>
    </row>
    <row r="25707">
      <c r="D25707" s="185"/>
      <c r="E25707" s="185" t="s">
        <v>470</v>
      </c>
      <c r="H25707" s="185"/>
    </row>
    <row r="25708">
      <c r="D25708" s="185"/>
      <c r="E25708" s="185" t="s">
        <v>470</v>
      </c>
      <c r="H25708" s="185"/>
    </row>
    <row r="25709">
      <c r="D25709" s="185"/>
      <c r="E25709" s="185" t="s">
        <v>470</v>
      </c>
      <c r="H25709" s="185"/>
    </row>
    <row r="25710">
      <c r="D25710" s="185"/>
      <c r="E25710" s="185" t="s">
        <v>470</v>
      </c>
      <c r="H25710" s="185"/>
    </row>
    <row r="25711">
      <c r="D25711" s="185"/>
      <c r="E25711" s="185" t="s">
        <v>470</v>
      </c>
      <c r="H25711" s="185"/>
    </row>
    <row r="25712">
      <c r="D25712" s="185"/>
      <c r="E25712" s="185" t="s">
        <v>470</v>
      </c>
      <c r="H25712" s="185"/>
    </row>
    <row r="25713">
      <c r="D25713" s="185"/>
      <c r="E25713" s="185" t="s">
        <v>470</v>
      </c>
      <c r="H25713" s="185"/>
    </row>
    <row r="25714">
      <c r="D25714" s="185"/>
      <c r="E25714" s="185" t="s">
        <v>470</v>
      </c>
      <c r="H25714" s="185"/>
    </row>
    <row r="25715">
      <c r="D25715" s="185"/>
      <c r="E25715" s="185" t="s">
        <v>470</v>
      </c>
      <c r="H25715" s="185"/>
    </row>
    <row r="25716">
      <c r="D25716" s="185"/>
      <c r="E25716" s="185" t="s">
        <v>470</v>
      </c>
      <c r="H25716" s="185"/>
    </row>
    <row r="25717">
      <c r="D25717" s="185"/>
      <c r="E25717" s="185" t="s">
        <v>470</v>
      </c>
      <c r="H25717" s="185"/>
    </row>
    <row r="25718">
      <c r="D25718" s="185"/>
      <c r="E25718" s="185" t="s">
        <v>470</v>
      </c>
      <c r="H25718" s="185"/>
    </row>
    <row r="25719">
      <c r="D25719" s="185"/>
      <c r="E25719" s="185" t="s">
        <v>470</v>
      </c>
      <c r="H25719" s="185"/>
    </row>
    <row r="25720">
      <c r="D25720" s="185"/>
      <c r="E25720" s="185" t="s">
        <v>470</v>
      </c>
      <c r="H25720" s="185"/>
    </row>
    <row r="25721">
      <c r="D25721" s="185"/>
      <c r="E25721" s="185" t="s">
        <v>470</v>
      </c>
      <c r="H25721" s="185"/>
    </row>
    <row r="25722">
      <c r="D25722" s="185"/>
      <c r="E25722" s="185" t="s">
        <v>470</v>
      </c>
      <c r="H25722" s="185"/>
    </row>
    <row r="25723">
      <c r="D25723" s="185"/>
      <c r="E25723" s="185" t="s">
        <v>470</v>
      </c>
      <c r="H25723" s="185"/>
    </row>
    <row r="25724">
      <c r="D25724" s="185"/>
      <c r="E25724" s="185" t="s">
        <v>470</v>
      </c>
      <c r="H25724" s="185"/>
    </row>
    <row r="25725">
      <c r="D25725" s="185"/>
      <c r="E25725" s="185" t="s">
        <v>470</v>
      </c>
      <c r="H25725" s="185"/>
    </row>
    <row r="25726">
      <c r="D25726" s="185"/>
      <c r="E25726" s="185" t="s">
        <v>470</v>
      </c>
      <c r="H25726" s="185"/>
    </row>
    <row r="25727">
      <c r="D25727" s="185"/>
      <c r="E25727" s="185" t="s">
        <v>470</v>
      </c>
      <c r="H25727" s="185"/>
    </row>
    <row r="25728">
      <c r="D25728" s="185"/>
      <c r="E25728" s="185" t="s">
        <v>470</v>
      </c>
      <c r="H25728" s="185"/>
    </row>
    <row r="25729">
      <c r="D25729" s="185"/>
      <c r="E25729" s="185" t="s">
        <v>470</v>
      </c>
      <c r="H25729" s="185"/>
    </row>
    <row r="25730">
      <c r="D25730" s="185"/>
      <c r="E25730" s="185" t="s">
        <v>470</v>
      </c>
      <c r="H25730" s="185"/>
    </row>
    <row r="25731">
      <c r="D25731" s="185"/>
      <c r="E25731" s="185" t="s">
        <v>470</v>
      </c>
      <c r="H25731" s="185"/>
    </row>
    <row r="25732">
      <c r="D25732" s="185"/>
      <c r="E25732" s="185" t="s">
        <v>470</v>
      </c>
      <c r="H25732" s="185"/>
    </row>
    <row r="25733">
      <c r="D25733" s="185"/>
      <c r="E25733" s="185" t="s">
        <v>470</v>
      </c>
      <c r="H25733" s="185"/>
    </row>
    <row r="25734">
      <c r="D25734" s="185"/>
      <c r="E25734" s="185" t="s">
        <v>470</v>
      </c>
      <c r="H25734" s="185"/>
    </row>
    <row r="25735">
      <c r="D25735" s="185"/>
      <c r="E25735" s="185" t="s">
        <v>470</v>
      </c>
      <c r="H25735" s="185"/>
    </row>
    <row r="25736">
      <c r="D25736" s="185"/>
      <c r="E25736" s="185" t="s">
        <v>470</v>
      </c>
      <c r="H25736" s="185"/>
    </row>
    <row r="25737">
      <c r="D25737" s="185"/>
      <c r="E25737" s="185" t="s">
        <v>470</v>
      </c>
      <c r="H25737" s="185"/>
    </row>
    <row r="25738">
      <c r="D25738" s="185"/>
      <c r="E25738" s="185" t="s">
        <v>470</v>
      </c>
      <c r="H25738" s="185"/>
    </row>
    <row r="25739">
      <c r="D25739" s="185"/>
      <c r="E25739" s="185" t="s">
        <v>470</v>
      </c>
      <c r="H25739" s="185"/>
    </row>
    <row r="25740">
      <c r="D25740" s="185"/>
      <c r="E25740" s="185" t="s">
        <v>470</v>
      </c>
      <c r="H25740" s="185"/>
    </row>
    <row r="25741">
      <c r="D25741" s="185"/>
      <c r="E25741" s="185" t="s">
        <v>470</v>
      </c>
      <c r="H25741" s="185"/>
    </row>
    <row r="25742">
      <c r="D25742" s="185"/>
      <c r="E25742" s="185" t="s">
        <v>470</v>
      </c>
      <c r="H25742" s="185"/>
    </row>
    <row r="25743">
      <c r="D25743" s="185"/>
      <c r="E25743" s="185" t="s">
        <v>470</v>
      </c>
      <c r="H25743" s="185"/>
    </row>
    <row r="25744">
      <c r="D25744" s="185"/>
      <c r="E25744" s="185" t="s">
        <v>470</v>
      </c>
      <c r="H25744" s="185"/>
    </row>
    <row r="25745">
      <c r="D25745" s="185"/>
      <c r="E25745" s="185" t="s">
        <v>470</v>
      </c>
      <c r="H25745" s="185"/>
    </row>
    <row r="25746">
      <c r="D25746" s="185"/>
      <c r="E25746" s="185" t="s">
        <v>470</v>
      </c>
      <c r="H25746" s="185"/>
    </row>
    <row r="25747">
      <c r="D25747" s="185"/>
      <c r="E25747" s="185" t="s">
        <v>470</v>
      </c>
      <c r="H25747" s="185"/>
    </row>
    <row r="25748">
      <c r="D25748" s="185"/>
      <c r="E25748" s="185" t="s">
        <v>470</v>
      </c>
      <c r="H25748" s="185"/>
    </row>
    <row r="25749">
      <c r="D25749" s="185"/>
      <c r="E25749" s="185" t="s">
        <v>470</v>
      </c>
      <c r="H25749" s="185"/>
    </row>
    <row r="25750">
      <c r="D25750" s="185"/>
      <c r="E25750" s="185" t="s">
        <v>470</v>
      </c>
      <c r="H25750" s="185"/>
    </row>
    <row r="25751">
      <c r="D25751" s="185"/>
      <c r="E25751" s="185" t="s">
        <v>470</v>
      </c>
      <c r="H25751" s="185"/>
    </row>
    <row r="25752">
      <c r="D25752" s="185"/>
      <c r="E25752" s="185" t="s">
        <v>470</v>
      </c>
      <c r="H25752" s="185"/>
    </row>
    <row r="25753">
      <c r="D25753" s="185"/>
      <c r="E25753" s="185" t="s">
        <v>470</v>
      </c>
      <c r="H25753" s="185"/>
    </row>
    <row r="25754">
      <c r="D25754" s="185"/>
      <c r="E25754" s="185" t="s">
        <v>470</v>
      </c>
      <c r="H25754" s="185"/>
    </row>
    <row r="25755">
      <c r="D25755" s="185"/>
      <c r="E25755" s="185" t="s">
        <v>470</v>
      </c>
      <c r="H25755" s="185"/>
    </row>
    <row r="25756">
      <c r="D25756" s="185"/>
      <c r="E25756" s="185" t="s">
        <v>470</v>
      </c>
      <c r="H25756" s="185"/>
    </row>
    <row r="25757">
      <c r="D25757" s="185"/>
      <c r="E25757" s="185" t="s">
        <v>470</v>
      </c>
      <c r="H25757" s="185"/>
    </row>
    <row r="25758">
      <c r="D25758" s="185"/>
      <c r="E25758" s="185" t="s">
        <v>470</v>
      </c>
      <c r="H25758" s="185"/>
    </row>
    <row r="25759">
      <c r="D25759" s="185"/>
      <c r="E25759" s="185" t="s">
        <v>470</v>
      </c>
      <c r="H25759" s="185"/>
    </row>
    <row r="25760">
      <c r="D25760" s="185"/>
      <c r="E25760" s="185" t="s">
        <v>470</v>
      </c>
      <c r="H25760" s="185"/>
    </row>
    <row r="25761">
      <c r="D25761" s="185"/>
      <c r="E25761" s="185" t="s">
        <v>470</v>
      </c>
      <c r="H25761" s="185"/>
    </row>
    <row r="25762">
      <c r="D25762" s="185"/>
      <c r="E25762" s="185" t="s">
        <v>470</v>
      </c>
      <c r="H25762" s="185"/>
    </row>
    <row r="25763">
      <c r="D25763" s="185"/>
      <c r="E25763" s="185" t="s">
        <v>470</v>
      </c>
      <c r="H25763" s="185"/>
    </row>
    <row r="25764">
      <c r="D25764" s="185"/>
      <c r="E25764" s="185" t="s">
        <v>470</v>
      </c>
      <c r="H25764" s="185"/>
    </row>
    <row r="25765">
      <c r="D25765" s="185"/>
      <c r="E25765" s="185" t="s">
        <v>470</v>
      </c>
      <c r="H25765" s="185"/>
    </row>
    <row r="25766">
      <c r="D25766" s="185"/>
      <c r="E25766" s="185" t="s">
        <v>470</v>
      </c>
      <c r="H25766" s="185"/>
    </row>
    <row r="25767">
      <c r="D25767" s="185"/>
      <c r="E25767" s="185" t="s">
        <v>470</v>
      </c>
      <c r="H25767" s="185"/>
    </row>
    <row r="25768">
      <c r="D25768" s="185"/>
      <c r="E25768" s="185" t="s">
        <v>470</v>
      </c>
      <c r="H25768" s="185"/>
    </row>
    <row r="25769">
      <c r="D25769" s="185"/>
      <c r="E25769" s="185" t="s">
        <v>470</v>
      </c>
      <c r="H25769" s="185"/>
    </row>
    <row r="25770">
      <c r="D25770" s="185"/>
      <c r="E25770" s="185" t="s">
        <v>470</v>
      </c>
      <c r="H25770" s="185"/>
    </row>
    <row r="25771">
      <c r="D25771" s="185"/>
      <c r="E25771" s="185" t="s">
        <v>470</v>
      </c>
      <c r="H25771" s="185"/>
    </row>
    <row r="25772">
      <c r="D25772" s="185"/>
      <c r="E25772" s="185" t="s">
        <v>470</v>
      </c>
      <c r="H25772" s="185"/>
    </row>
    <row r="25773">
      <c r="D25773" s="185"/>
      <c r="E25773" s="185" t="s">
        <v>470</v>
      </c>
      <c r="H25773" s="185"/>
    </row>
    <row r="25774">
      <c r="D25774" s="185"/>
      <c r="E25774" s="185" t="s">
        <v>470</v>
      </c>
      <c r="H25774" s="185"/>
    </row>
    <row r="25775">
      <c r="D25775" s="185"/>
      <c r="E25775" s="185" t="s">
        <v>470</v>
      </c>
      <c r="H25775" s="185"/>
    </row>
    <row r="25776">
      <c r="D25776" s="185"/>
      <c r="E25776" s="185" t="s">
        <v>470</v>
      </c>
      <c r="H25776" s="185"/>
    </row>
    <row r="25777">
      <c r="D25777" s="185"/>
      <c r="E25777" s="185" t="s">
        <v>470</v>
      </c>
      <c r="H25777" s="185"/>
    </row>
    <row r="25778">
      <c r="D25778" s="185"/>
      <c r="E25778" s="185" t="s">
        <v>470</v>
      </c>
      <c r="H25778" s="185"/>
    </row>
    <row r="25779">
      <c r="D25779" s="185"/>
      <c r="E25779" s="185" t="s">
        <v>470</v>
      </c>
      <c r="H25779" s="185"/>
    </row>
    <row r="25780">
      <c r="D25780" s="185"/>
      <c r="E25780" s="185" t="s">
        <v>470</v>
      </c>
      <c r="H25780" s="185"/>
    </row>
    <row r="25781">
      <c r="D25781" s="185"/>
      <c r="E25781" s="185" t="s">
        <v>470</v>
      </c>
      <c r="H25781" s="185"/>
    </row>
    <row r="25782">
      <c r="D25782" s="185"/>
      <c r="E25782" s="185" t="s">
        <v>470</v>
      </c>
      <c r="H25782" s="185"/>
    </row>
    <row r="25783">
      <c r="D25783" s="185"/>
      <c r="E25783" s="185" t="s">
        <v>470</v>
      </c>
      <c r="H25783" s="185"/>
    </row>
    <row r="25784">
      <c r="D25784" s="185"/>
      <c r="E25784" s="185" t="s">
        <v>470</v>
      </c>
      <c r="H25784" s="185"/>
    </row>
    <row r="25785">
      <c r="D25785" s="185"/>
      <c r="E25785" s="185" t="s">
        <v>470</v>
      </c>
      <c r="H25785" s="185"/>
    </row>
    <row r="25786">
      <c r="D25786" s="185"/>
      <c r="E25786" s="185" t="s">
        <v>470</v>
      </c>
      <c r="H25786" s="185"/>
    </row>
    <row r="25787">
      <c r="D25787" s="185"/>
      <c r="E25787" s="185" t="s">
        <v>470</v>
      </c>
      <c r="H25787" s="185"/>
    </row>
    <row r="25788">
      <c r="D25788" s="185"/>
      <c r="E25788" s="185" t="s">
        <v>470</v>
      </c>
      <c r="H25788" s="185"/>
    </row>
    <row r="25789">
      <c r="D25789" s="185"/>
      <c r="E25789" s="185" t="s">
        <v>470</v>
      </c>
      <c r="H25789" s="185"/>
    </row>
    <row r="25790">
      <c r="D25790" s="185"/>
      <c r="E25790" s="185" t="s">
        <v>470</v>
      </c>
      <c r="H25790" s="185"/>
    </row>
    <row r="25791">
      <c r="D25791" s="185"/>
      <c r="E25791" s="185" t="s">
        <v>470</v>
      </c>
      <c r="H25791" s="185"/>
    </row>
    <row r="25792">
      <c r="D25792" s="185"/>
      <c r="E25792" s="185" t="s">
        <v>470</v>
      </c>
      <c r="H25792" s="185"/>
    </row>
    <row r="25793">
      <c r="D25793" s="185"/>
      <c r="E25793" s="185" t="s">
        <v>470</v>
      </c>
      <c r="H25793" s="185"/>
    </row>
    <row r="25794">
      <c r="D25794" s="185"/>
      <c r="E25794" s="185" t="s">
        <v>470</v>
      </c>
      <c r="H25794" s="185"/>
    </row>
    <row r="25795">
      <c r="D25795" s="185"/>
      <c r="E25795" s="185" t="s">
        <v>470</v>
      </c>
      <c r="H25795" s="185"/>
    </row>
    <row r="25796">
      <c r="D25796" s="185"/>
      <c r="E25796" s="185" t="s">
        <v>470</v>
      </c>
      <c r="H25796" s="185"/>
    </row>
    <row r="25797">
      <c r="D25797" s="185"/>
      <c r="E25797" s="185" t="s">
        <v>470</v>
      </c>
      <c r="H25797" s="185"/>
    </row>
    <row r="25798">
      <c r="D25798" s="185"/>
      <c r="E25798" s="185" t="s">
        <v>470</v>
      </c>
      <c r="H25798" s="185"/>
    </row>
    <row r="25799">
      <c r="D25799" s="185"/>
      <c r="E25799" s="185" t="s">
        <v>470</v>
      </c>
      <c r="H25799" s="185"/>
    </row>
    <row r="25800">
      <c r="D25800" s="185"/>
      <c r="E25800" s="185" t="s">
        <v>470</v>
      </c>
      <c r="H25800" s="185"/>
    </row>
    <row r="25801">
      <c r="D25801" s="185"/>
      <c r="E25801" s="185" t="s">
        <v>470</v>
      </c>
      <c r="H25801" s="185"/>
    </row>
    <row r="25802">
      <c r="D25802" s="185"/>
      <c r="E25802" s="185" t="s">
        <v>470</v>
      </c>
      <c r="H25802" s="185"/>
    </row>
    <row r="25803">
      <c r="D25803" s="185"/>
      <c r="E25803" s="185" t="s">
        <v>470</v>
      </c>
      <c r="H25803" s="185"/>
    </row>
    <row r="25804">
      <c r="D25804" s="185"/>
      <c r="E25804" s="185" t="s">
        <v>470</v>
      </c>
      <c r="H25804" s="185"/>
    </row>
    <row r="25805">
      <c r="D25805" s="185"/>
      <c r="E25805" s="185" t="s">
        <v>470</v>
      </c>
      <c r="H25805" s="185"/>
    </row>
    <row r="25806">
      <c r="D25806" s="185"/>
      <c r="E25806" s="185" t="s">
        <v>470</v>
      </c>
      <c r="H25806" s="185"/>
    </row>
    <row r="25807">
      <c r="D25807" s="185"/>
      <c r="E25807" s="185" t="s">
        <v>470</v>
      </c>
      <c r="H25807" s="185"/>
    </row>
    <row r="25808">
      <c r="D25808" s="185"/>
      <c r="E25808" s="185" t="s">
        <v>470</v>
      </c>
      <c r="H25808" s="185"/>
    </row>
    <row r="25809">
      <c r="D25809" s="185"/>
      <c r="E25809" s="185" t="s">
        <v>470</v>
      </c>
      <c r="H25809" s="185"/>
    </row>
    <row r="25810">
      <c r="D25810" s="185"/>
      <c r="E25810" s="185" t="s">
        <v>470</v>
      </c>
      <c r="H25810" s="185"/>
    </row>
    <row r="25811">
      <c r="D25811" s="185"/>
      <c r="E25811" s="185" t="s">
        <v>470</v>
      </c>
      <c r="H25811" s="185"/>
    </row>
    <row r="25812">
      <c r="D25812" s="185"/>
      <c r="E25812" s="185" t="s">
        <v>470</v>
      </c>
      <c r="H25812" s="185"/>
    </row>
    <row r="25813">
      <c r="D25813" s="185"/>
      <c r="E25813" s="185" t="s">
        <v>470</v>
      </c>
      <c r="H25813" s="185"/>
    </row>
    <row r="25814">
      <c r="D25814" s="185"/>
      <c r="E25814" s="185" t="s">
        <v>470</v>
      </c>
      <c r="H25814" s="185"/>
    </row>
    <row r="25815">
      <c r="D25815" s="185"/>
      <c r="E25815" s="185" t="s">
        <v>470</v>
      </c>
      <c r="H25815" s="185"/>
    </row>
    <row r="25816">
      <c r="D25816" s="185"/>
      <c r="E25816" s="185" t="s">
        <v>470</v>
      </c>
      <c r="H25816" s="185"/>
    </row>
    <row r="25817">
      <c r="D25817" s="185"/>
      <c r="E25817" s="185" t="s">
        <v>470</v>
      </c>
      <c r="H25817" s="185"/>
    </row>
    <row r="25818">
      <c r="D25818" s="185"/>
      <c r="E25818" s="185" t="s">
        <v>470</v>
      </c>
      <c r="H25818" s="185"/>
    </row>
    <row r="25819">
      <c r="D25819" s="185"/>
      <c r="E25819" s="185" t="s">
        <v>470</v>
      </c>
      <c r="H25819" s="185"/>
    </row>
    <row r="25820">
      <c r="D25820" s="185"/>
      <c r="E25820" s="185" t="s">
        <v>470</v>
      </c>
      <c r="H25820" s="185"/>
    </row>
    <row r="25821">
      <c r="D25821" s="185"/>
      <c r="E25821" s="185" t="s">
        <v>470</v>
      </c>
      <c r="H25821" s="185"/>
    </row>
    <row r="25822">
      <c r="D25822" s="185"/>
      <c r="E25822" s="185" t="s">
        <v>470</v>
      </c>
      <c r="H25822" s="185"/>
    </row>
    <row r="25823">
      <c r="D25823" s="185"/>
      <c r="E25823" s="185" t="s">
        <v>470</v>
      </c>
      <c r="H25823" s="185"/>
    </row>
    <row r="25824">
      <c r="D25824" s="185"/>
      <c r="E25824" s="185" t="s">
        <v>470</v>
      </c>
      <c r="H25824" s="185"/>
    </row>
    <row r="25825">
      <c r="D25825" s="185"/>
      <c r="E25825" s="185" t="s">
        <v>470</v>
      </c>
      <c r="H25825" s="185"/>
    </row>
    <row r="25826">
      <c r="D25826" s="185"/>
      <c r="E25826" s="185" t="s">
        <v>470</v>
      </c>
      <c r="H25826" s="185"/>
    </row>
    <row r="25827">
      <c r="D25827" s="185"/>
      <c r="E25827" s="185" t="s">
        <v>470</v>
      </c>
      <c r="H25827" s="185"/>
    </row>
    <row r="25828">
      <c r="D25828" s="185"/>
      <c r="E25828" s="185" t="s">
        <v>470</v>
      </c>
      <c r="H25828" s="185"/>
    </row>
    <row r="25829">
      <c r="D25829" s="185"/>
      <c r="E25829" s="185" t="s">
        <v>470</v>
      </c>
      <c r="H25829" s="185"/>
    </row>
    <row r="25830">
      <c r="D25830" s="185"/>
      <c r="E25830" s="185" t="s">
        <v>470</v>
      </c>
      <c r="H25830" s="185"/>
    </row>
    <row r="25831">
      <c r="D25831" s="185"/>
      <c r="E25831" s="185" t="s">
        <v>470</v>
      </c>
      <c r="H25831" s="185"/>
    </row>
    <row r="25832">
      <c r="D25832" s="185"/>
      <c r="E25832" s="185" t="s">
        <v>470</v>
      </c>
      <c r="H25832" s="185"/>
    </row>
    <row r="25833">
      <c r="D25833" s="185"/>
      <c r="E25833" s="185" t="s">
        <v>470</v>
      </c>
      <c r="H25833" s="185"/>
    </row>
    <row r="25834">
      <c r="D25834" s="185"/>
      <c r="E25834" s="185" t="s">
        <v>470</v>
      </c>
      <c r="H25834" s="185"/>
    </row>
    <row r="25835">
      <c r="D25835" s="185"/>
      <c r="E25835" s="185" t="s">
        <v>470</v>
      </c>
      <c r="H25835" s="185"/>
    </row>
    <row r="25836">
      <c r="D25836" s="185"/>
      <c r="E25836" s="185" t="s">
        <v>470</v>
      </c>
      <c r="H25836" s="185"/>
    </row>
    <row r="25837">
      <c r="D25837" s="185"/>
      <c r="E25837" s="185" t="s">
        <v>470</v>
      </c>
      <c r="H25837" s="185"/>
    </row>
    <row r="25838">
      <c r="D25838" s="185"/>
      <c r="E25838" s="185" t="s">
        <v>470</v>
      </c>
      <c r="H25838" s="185"/>
    </row>
    <row r="25839">
      <c r="D25839" s="185"/>
      <c r="E25839" s="185" t="s">
        <v>470</v>
      </c>
      <c r="H25839" s="185"/>
    </row>
    <row r="25840">
      <c r="D25840" s="185"/>
      <c r="E25840" s="185" t="s">
        <v>470</v>
      </c>
      <c r="H25840" s="185"/>
    </row>
    <row r="25841">
      <c r="D25841" s="185"/>
      <c r="E25841" s="185" t="s">
        <v>470</v>
      </c>
      <c r="H25841" s="185"/>
    </row>
    <row r="25842">
      <c r="D25842" s="185"/>
      <c r="E25842" s="185" t="s">
        <v>470</v>
      </c>
      <c r="H25842" s="185"/>
    </row>
    <row r="25843">
      <c r="D25843" s="185"/>
      <c r="E25843" s="185" t="s">
        <v>470</v>
      </c>
      <c r="H25843" s="185"/>
    </row>
    <row r="25844">
      <c r="D25844" s="185"/>
      <c r="E25844" s="185" t="s">
        <v>470</v>
      </c>
      <c r="H25844" s="185"/>
    </row>
    <row r="25845">
      <c r="D25845" s="185"/>
      <c r="E25845" s="185" t="s">
        <v>470</v>
      </c>
      <c r="H25845" s="185"/>
    </row>
    <row r="25846">
      <c r="D25846" s="185"/>
      <c r="E25846" s="185" t="s">
        <v>470</v>
      </c>
      <c r="H25846" s="185"/>
    </row>
    <row r="25847">
      <c r="D25847" s="185"/>
      <c r="E25847" s="185" t="s">
        <v>470</v>
      </c>
      <c r="H25847" s="185"/>
    </row>
    <row r="25848">
      <c r="D25848" s="185"/>
      <c r="E25848" s="185" t="s">
        <v>470</v>
      </c>
      <c r="H25848" s="185"/>
    </row>
    <row r="25849">
      <c r="D25849" s="185"/>
      <c r="E25849" s="185" t="s">
        <v>470</v>
      </c>
      <c r="H25849" s="185"/>
    </row>
    <row r="25850">
      <c r="D25850" s="185"/>
      <c r="E25850" s="185" t="s">
        <v>470</v>
      </c>
      <c r="H25850" s="185"/>
    </row>
    <row r="25851">
      <c r="D25851" s="185"/>
      <c r="E25851" s="185" t="s">
        <v>470</v>
      </c>
      <c r="H25851" s="185"/>
    </row>
    <row r="25852">
      <c r="D25852" s="185"/>
      <c r="E25852" s="185" t="s">
        <v>470</v>
      </c>
      <c r="H25852" s="185"/>
    </row>
    <row r="25853">
      <c r="D25853" s="185"/>
      <c r="E25853" s="185" t="s">
        <v>470</v>
      </c>
      <c r="H25853" s="185"/>
    </row>
    <row r="25854">
      <c r="D25854" s="185"/>
      <c r="E25854" s="185" t="s">
        <v>470</v>
      </c>
      <c r="H25854" s="185"/>
    </row>
    <row r="25855">
      <c r="D25855" s="185"/>
      <c r="E25855" s="185" t="s">
        <v>470</v>
      </c>
      <c r="H25855" s="185"/>
    </row>
    <row r="25856">
      <c r="D25856" s="185"/>
      <c r="E25856" s="185" t="s">
        <v>470</v>
      </c>
      <c r="H25856" s="185"/>
    </row>
    <row r="25857">
      <c r="D25857" s="185"/>
      <c r="E25857" s="185" t="s">
        <v>470</v>
      </c>
      <c r="H25857" s="185"/>
    </row>
    <row r="25858">
      <c r="D25858" s="185"/>
      <c r="E25858" s="185" t="s">
        <v>470</v>
      </c>
      <c r="H25858" s="185"/>
    </row>
    <row r="25859">
      <c r="D25859" s="185"/>
      <c r="E25859" s="185" t="s">
        <v>470</v>
      </c>
      <c r="H25859" s="185"/>
    </row>
    <row r="25860">
      <c r="D25860" s="185"/>
      <c r="E25860" s="185" t="s">
        <v>470</v>
      </c>
      <c r="H25860" s="185"/>
    </row>
    <row r="25861">
      <c r="D25861" s="185"/>
      <c r="E25861" s="185" t="s">
        <v>470</v>
      </c>
      <c r="H25861" s="185"/>
    </row>
    <row r="25862">
      <c r="D25862" s="185"/>
      <c r="E25862" s="185" t="s">
        <v>470</v>
      </c>
      <c r="H25862" s="185"/>
    </row>
    <row r="25863">
      <c r="D25863" s="185"/>
      <c r="E25863" s="185" t="s">
        <v>470</v>
      </c>
      <c r="H25863" s="185"/>
    </row>
    <row r="25864">
      <c r="D25864" s="185"/>
      <c r="E25864" s="185" t="s">
        <v>470</v>
      </c>
      <c r="H25864" s="185"/>
    </row>
    <row r="25865">
      <c r="D25865" s="185"/>
      <c r="E25865" s="185" t="s">
        <v>470</v>
      </c>
      <c r="H25865" s="185"/>
    </row>
    <row r="25866">
      <c r="D25866" s="185"/>
      <c r="E25866" s="185" t="s">
        <v>470</v>
      </c>
      <c r="H25866" s="185"/>
    </row>
    <row r="25867">
      <c r="D25867" s="185"/>
      <c r="E25867" s="185" t="s">
        <v>470</v>
      </c>
      <c r="H25867" s="185"/>
    </row>
    <row r="25868">
      <c r="D25868" s="185"/>
      <c r="E25868" s="185" t="s">
        <v>470</v>
      </c>
      <c r="H25868" s="185"/>
    </row>
    <row r="25869">
      <c r="D25869" s="185"/>
      <c r="E25869" s="185" t="s">
        <v>470</v>
      </c>
      <c r="H25869" s="185"/>
    </row>
    <row r="25870">
      <c r="D25870" s="185"/>
      <c r="E25870" s="185" t="s">
        <v>470</v>
      </c>
      <c r="H25870" s="185"/>
    </row>
    <row r="25871">
      <c r="D25871" s="185"/>
      <c r="E25871" s="185" t="s">
        <v>470</v>
      </c>
      <c r="H25871" s="185"/>
    </row>
    <row r="25872">
      <c r="D25872" s="185"/>
      <c r="E25872" s="185" t="s">
        <v>470</v>
      </c>
      <c r="H25872" s="185"/>
    </row>
    <row r="25873">
      <c r="D25873" s="185"/>
      <c r="E25873" s="185" t="s">
        <v>470</v>
      </c>
      <c r="H25873" s="185"/>
    </row>
    <row r="25874">
      <c r="D25874" s="185"/>
      <c r="E25874" s="185" t="s">
        <v>470</v>
      </c>
      <c r="H25874" s="185"/>
    </row>
    <row r="25875">
      <c r="D25875" s="185"/>
      <c r="E25875" s="185" t="s">
        <v>470</v>
      </c>
      <c r="H25875" s="185"/>
    </row>
    <row r="25876">
      <c r="D25876" s="185"/>
      <c r="E25876" s="185" t="s">
        <v>470</v>
      </c>
      <c r="H25876" s="185"/>
    </row>
    <row r="25877">
      <c r="D25877" s="185"/>
      <c r="E25877" s="185" t="s">
        <v>470</v>
      </c>
      <c r="H25877" s="185"/>
    </row>
    <row r="25878">
      <c r="D25878" s="185"/>
      <c r="E25878" s="185" t="s">
        <v>470</v>
      </c>
      <c r="H25878" s="185"/>
    </row>
    <row r="25879">
      <c r="D25879" s="185"/>
      <c r="E25879" s="185" t="s">
        <v>470</v>
      </c>
      <c r="H25879" s="185"/>
    </row>
    <row r="25880">
      <c r="D25880" s="185"/>
      <c r="E25880" s="185" t="s">
        <v>470</v>
      </c>
      <c r="H25880" s="185"/>
    </row>
    <row r="25881">
      <c r="D25881" s="185"/>
      <c r="E25881" s="185" t="s">
        <v>470</v>
      </c>
      <c r="H25881" s="185"/>
    </row>
    <row r="25882">
      <c r="D25882" s="185"/>
      <c r="E25882" s="185" t="s">
        <v>470</v>
      </c>
      <c r="H25882" s="185"/>
    </row>
    <row r="25883">
      <c r="D25883" s="185"/>
      <c r="E25883" s="185" t="s">
        <v>470</v>
      </c>
      <c r="H25883" s="185"/>
    </row>
    <row r="25884">
      <c r="D25884" s="185"/>
      <c r="E25884" s="185" t="s">
        <v>470</v>
      </c>
      <c r="H25884" s="185"/>
    </row>
    <row r="25885">
      <c r="D25885" s="185"/>
      <c r="E25885" s="185" t="s">
        <v>470</v>
      </c>
      <c r="H25885" s="185"/>
    </row>
    <row r="25886">
      <c r="D25886" s="185"/>
      <c r="E25886" s="185" t="s">
        <v>470</v>
      </c>
      <c r="H25886" s="185"/>
    </row>
    <row r="25887">
      <c r="D25887" s="185"/>
      <c r="E25887" s="185" t="s">
        <v>470</v>
      </c>
      <c r="H25887" s="185"/>
    </row>
    <row r="25888">
      <c r="D25888" s="185"/>
      <c r="E25888" s="185" t="s">
        <v>470</v>
      </c>
      <c r="H25888" s="185"/>
    </row>
    <row r="25889">
      <c r="D25889" s="185"/>
      <c r="E25889" s="185" t="s">
        <v>470</v>
      </c>
      <c r="H25889" s="185"/>
    </row>
    <row r="25890">
      <c r="D25890" s="185"/>
      <c r="E25890" s="185" t="s">
        <v>470</v>
      </c>
      <c r="H25890" s="185"/>
    </row>
    <row r="25891">
      <c r="D25891" s="185"/>
      <c r="E25891" s="185" t="s">
        <v>470</v>
      </c>
      <c r="H25891" s="185"/>
    </row>
    <row r="25892">
      <c r="D25892" s="185"/>
      <c r="E25892" s="185" t="s">
        <v>470</v>
      </c>
      <c r="H25892" s="185"/>
    </row>
    <row r="25893">
      <c r="D25893" s="185"/>
      <c r="E25893" s="185" t="s">
        <v>470</v>
      </c>
      <c r="H25893" s="185"/>
    </row>
    <row r="25894">
      <c r="D25894" s="185"/>
      <c r="E25894" s="185" t="s">
        <v>470</v>
      </c>
      <c r="H25894" s="185"/>
    </row>
    <row r="25895">
      <c r="D25895" s="185"/>
      <c r="E25895" s="185" t="s">
        <v>470</v>
      </c>
      <c r="H25895" s="185"/>
    </row>
    <row r="25896">
      <c r="D25896" s="185"/>
      <c r="E25896" s="185" t="s">
        <v>470</v>
      </c>
      <c r="H25896" s="185"/>
    </row>
    <row r="25897">
      <c r="D25897" s="185"/>
      <c r="E25897" s="185" t="s">
        <v>470</v>
      </c>
      <c r="H25897" s="185"/>
    </row>
    <row r="25898">
      <c r="D25898" s="185"/>
      <c r="E25898" s="185" t="s">
        <v>470</v>
      </c>
      <c r="H25898" s="185"/>
    </row>
    <row r="25899">
      <c r="D25899" s="185"/>
      <c r="E25899" s="185" t="s">
        <v>470</v>
      </c>
      <c r="H25899" s="185"/>
    </row>
    <row r="25900">
      <c r="D25900" s="185"/>
      <c r="E25900" s="185" t="s">
        <v>470</v>
      </c>
      <c r="H25900" s="185"/>
    </row>
    <row r="25901">
      <c r="D25901" s="185"/>
      <c r="E25901" s="185" t="s">
        <v>470</v>
      </c>
      <c r="H25901" s="185"/>
    </row>
    <row r="25902">
      <c r="D25902" s="185"/>
      <c r="E25902" s="185" t="s">
        <v>470</v>
      </c>
      <c r="H25902" s="185"/>
    </row>
    <row r="25903">
      <c r="D25903" s="185"/>
      <c r="E25903" s="185" t="s">
        <v>470</v>
      </c>
      <c r="H25903" s="185"/>
    </row>
    <row r="25904">
      <c r="D25904" s="185"/>
      <c r="E25904" s="185" t="s">
        <v>470</v>
      </c>
      <c r="H25904" s="185"/>
    </row>
    <row r="25905">
      <c r="D25905" s="185"/>
      <c r="E25905" s="185" t="s">
        <v>470</v>
      </c>
      <c r="H25905" s="185"/>
    </row>
    <row r="25906">
      <c r="D25906" s="185"/>
      <c r="E25906" s="185" t="s">
        <v>470</v>
      </c>
      <c r="H25906" s="185"/>
    </row>
    <row r="25907">
      <c r="D25907" s="185"/>
      <c r="E25907" s="185" t="s">
        <v>470</v>
      </c>
      <c r="H25907" s="185"/>
    </row>
    <row r="25908">
      <c r="D25908" s="185"/>
      <c r="E25908" s="185" t="s">
        <v>470</v>
      </c>
      <c r="H25908" s="185"/>
    </row>
    <row r="25909">
      <c r="D25909" s="185"/>
      <c r="E25909" s="185" t="s">
        <v>470</v>
      </c>
      <c r="H25909" s="185"/>
    </row>
    <row r="25910">
      <c r="D25910" s="185"/>
      <c r="E25910" s="185" t="s">
        <v>470</v>
      </c>
      <c r="H25910" s="185"/>
    </row>
    <row r="25911">
      <c r="D25911" s="185"/>
      <c r="E25911" s="185" t="s">
        <v>470</v>
      </c>
      <c r="H25911" s="185"/>
    </row>
    <row r="25912">
      <c r="D25912" s="185"/>
      <c r="E25912" s="185" t="s">
        <v>470</v>
      </c>
      <c r="H25912" s="185"/>
    </row>
    <row r="25913">
      <c r="D25913" s="185"/>
      <c r="E25913" s="185" t="s">
        <v>470</v>
      </c>
      <c r="H25913" s="185"/>
    </row>
    <row r="25914">
      <c r="D25914" s="185"/>
      <c r="E25914" s="185" t="s">
        <v>470</v>
      </c>
      <c r="H25914" s="185"/>
    </row>
    <row r="25915">
      <c r="D25915" s="185"/>
      <c r="E25915" s="185" t="s">
        <v>470</v>
      </c>
      <c r="H25915" s="185"/>
    </row>
    <row r="25916">
      <c r="D25916" s="185"/>
      <c r="E25916" s="185" t="s">
        <v>470</v>
      </c>
      <c r="H25916" s="185"/>
    </row>
    <row r="25917">
      <c r="D25917" s="185"/>
      <c r="E25917" s="185" t="s">
        <v>470</v>
      </c>
      <c r="H25917" s="185"/>
    </row>
    <row r="25918">
      <c r="D25918" s="185"/>
      <c r="E25918" s="185" t="s">
        <v>470</v>
      </c>
      <c r="H25918" s="185"/>
    </row>
    <row r="25919">
      <c r="D25919" s="185"/>
      <c r="E25919" s="185" t="s">
        <v>470</v>
      </c>
      <c r="H25919" s="185"/>
    </row>
    <row r="25920">
      <c r="D25920" s="185"/>
      <c r="E25920" s="185" t="s">
        <v>470</v>
      </c>
      <c r="H25920" s="185"/>
    </row>
    <row r="25921">
      <c r="D25921" s="185"/>
      <c r="E25921" s="185" t="s">
        <v>470</v>
      </c>
      <c r="H25921" s="185"/>
    </row>
    <row r="25922">
      <c r="D25922" s="185"/>
      <c r="E25922" s="185" t="s">
        <v>470</v>
      </c>
      <c r="H25922" s="185"/>
    </row>
    <row r="25923">
      <c r="D25923" s="185"/>
      <c r="E25923" s="185" t="s">
        <v>470</v>
      </c>
      <c r="H25923" s="185"/>
    </row>
    <row r="25924">
      <c r="D25924" s="185"/>
      <c r="E25924" s="185" t="s">
        <v>470</v>
      </c>
      <c r="H25924" s="185"/>
    </row>
    <row r="25925">
      <c r="D25925" s="185"/>
      <c r="E25925" s="185" t="s">
        <v>470</v>
      </c>
      <c r="H25925" s="185"/>
    </row>
    <row r="25926">
      <c r="D25926" s="185"/>
      <c r="E25926" s="185" t="s">
        <v>470</v>
      </c>
      <c r="H25926" s="185"/>
    </row>
    <row r="25927">
      <c r="D25927" s="185"/>
      <c r="E25927" s="185" t="s">
        <v>470</v>
      </c>
      <c r="H25927" s="185"/>
    </row>
    <row r="25928">
      <c r="D25928" s="185"/>
      <c r="E25928" s="185" t="s">
        <v>470</v>
      </c>
      <c r="H25928" s="185"/>
    </row>
    <row r="25929">
      <c r="D25929" s="185"/>
      <c r="E25929" s="185" t="s">
        <v>470</v>
      </c>
      <c r="H25929" s="185"/>
    </row>
    <row r="25930">
      <c r="D25930" s="185"/>
      <c r="E25930" s="185" t="s">
        <v>470</v>
      </c>
      <c r="H25930" s="185"/>
    </row>
    <row r="25931">
      <c r="D25931" s="185"/>
      <c r="E25931" s="185" t="s">
        <v>470</v>
      </c>
      <c r="H25931" s="185"/>
    </row>
    <row r="25932">
      <c r="D25932" s="185"/>
      <c r="E25932" s="185" t="s">
        <v>470</v>
      </c>
      <c r="H25932" s="185"/>
    </row>
    <row r="25933">
      <c r="D25933" s="185"/>
      <c r="E25933" s="185" t="s">
        <v>470</v>
      </c>
      <c r="H25933" s="185"/>
    </row>
    <row r="25934">
      <c r="D25934" s="185"/>
      <c r="E25934" s="185" t="s">
        <v>470</v>
      </c>
      <c r="H25934" s="185"/>
    </row>
    <row r="25935">
      <c r="D25935" s="185"/>
      <c r="E25935" s="185" t="s">
        <v>470</v>
      </c>
      <c r="H25935" s="185"/>
    </row>
    <row r="25936">
      <c r="D25936" s="185"/>
      <c r="E25936" s="185" t="s">
        <v>470</v>
      </c>
      <c r="H25936" s="185"/>
    </row>
    <row r="25937">
      <c r="D25937" s="185"/>
      <c r="E25937" s="185" t="s">
        <v>470</v>
      </c>
      <c r="H25937" s="185"/>
    </row>
    <row r="25938">
      <c r="D25938" s="185"/>
      <c r="E25938" s="185" t="s">
        <v>470</v>
      </c>
      <c r="H25938" s="185"/>
    </row>
    <row r="25939">
      <c r="D25939" s="185"/>
      <c r="E25939" s="185" t="s">
        <v>470</v>
      </c>
      <c r="H25939" s="185"/>
    </row>
    <row r="25940">
      <c r="D25940" s="185"/>
      <c r="E25940" s="185" t="s">
        <v>470</v>
      </c>
      <c r="H25940" s="185"/>
    </row>
    <row r="25941">
      <c r="D25941" s="185"/>
      <c r="E25941" s="185" t="s">
        <v>470</v>
      </c>
      <c r="H25941" s="185"/>
    </row>
    <row r="25942">
      <c r="D25942" s="185"/>
      <c r="E25942" s="185" t="s">
        <v>470</v>
      </c>
      <c r="H25942" s="185"/>
    </row>
    <row r="25943">
      <c r="D25943" s="185"/>
      <c r="E25943" s="185" t="s">
        <v>470</v>
      </c>
      <c r="H25943" s="185"/>
    </row>
    <row r="25944">
      <c r="D25944" s="185"/>
      <c r="E25944" s="185" t="s">
        <v>470</v>
      </c>
      <c r="H25944" s="185"/>
    </row>
    <row r="25945">
      <c r="D25945" s="185"/>
      <c r="E25945" s="185" t="s">
        <v>470</v>
      </c>
      <c r="H25945" s="185"/>
    </row>
    <row r="25946">
      <c r="D25946" s="185"/>
      <c r="E25946" s="185" t="s">
        <v>470</v>
      </c>
      <c r="H25946" s="185"/>
    </row>
    <row r="25947">
      <c r="D25947" s="185"/>
      <c r="E25947" s="185" t="s">
        <v>470</v>
      </c>
      <c r="H25947" s="185"/>
    </row>
    <row r="25948">
      <c r="D25948" s="185"/>
      <c r="E25948" s="185" t="s">
        <v>470</v>
      </c>
      <c r="H25948" s="185"/>
    </row>
    <row r="25949">
      <c r="D25949" s="185"/>
      <c r="E25949" s="185" t="s">
        <v>470</v>
      </c>
      <c r="H25949" s="185"/>
    </row>
    <row r="25950">
      <c r="D25950" s="185"/>
      <c r="E25950" s="185" t="s">
        <v>470</v>
      </c>
      <c r="H25950" s="185"/>
    </row>
    <row r="25951">
      <c r="D25951" s="185"/>
      <c r="E25951" s="185" t="s">
        <v>470</v>
      </c>
      <c r="H25951" s="185"/>
    </row>
    <row r="25952">
      <c r="D25952" s="185"/>
      <c r="E25952" s="185" t="s">
        <v>470</v>
      </c>
      <c r="H25952" s="185"/>
    </row>
    <row r="25953">
      <c r="D25953" s="185"/>
      <c r="E25953" s="185" t="s">
        <v>470</v>
      </c>
      <c r="H25953" s="185"/>
    </row>
    <row r="25954">
      <c r="D25954" s="185"/>
      <c r="E25954" s="185" t="s">
        <v>470</v>
      </c>
      <c r="H25954" s="185"/>
    </row>
    <row r="25955">
      <c r="D25955" s="185"/>
      <c r="E25955" s="185" t="s">
        <v>470</v>
      </c>
      <c r="H25955" s="185"/>
    </row>
    <row r="25956">
      <c r="D25956" s="185"/>
      <c r="E25956" s="185" t="s">
        <v>470</v>
      </c>
      <c r="H25956" s="185"/>
    </row>
    <row r="25957">
      <c r="D25957" s="185"/>
      <c r="E25957" s="185" t="s">
        <v>470</v>
      </c>
      <c r="H25957" s="185"/>
    </row>
    <row r="25958">
      <c r="D25958" s="185"/>
      <c r="E25958" s="185" t="s">
        <v>470</v>
      </c>
      <c r="H25958" s="185"/>
    </row>
    <row r="25959">
      <c r="D25959" s="185"/>
      <c r="E25959" s="185" t="s">
        <v>470</v>
      </c>
      <c r="H25959" s="185"/>
    </row>
    <row r="25960">
      <c r="D25960" s="185"/>
      <c r="E25960" s="185" t="s">
        <v>470</v>
      </c>
      <c r="H25960" s="185"/>
    </row>
    <row r="25961">
      <c r="D25961" s="185"/>
      <c r="E25961" s="185" t="s">
        <v>470</v>
      </c>
      <c r="H25961" s="185"/>
    </row>
    <row r="25962">
      <c r="D25962" s="185"/>
      <c r="E25962" s="185" t="s">
        <v>470</v>
      </c>
      <c r="H25962" s="185"/>
    </row>
    <row r="25963">
      <c r="D25963" s="185"/>
      <c r="E25963" s="185" t="s">
        <v>470</v>
      </c>
      <c r="H25963" s="185"/>
    </row>
    <row r="25964">
      <c r="D25964" s="185"/>
      <c r="E25964" s="185" t="s">
        <v>470</v>
      </c>
      <c r="H25964" s="185"/>
    </row>
    <row r="25965">
      <c r="D25965" s="185"/>
      <c r="E25965" s="185" t="s">
        <v>470</v>
      </c>
      <c r="H25965" s="185"/>
    </row>
    <row r="25966">
      <c r="D25966" s="185"/>
      <c r="E25966" s="185" t="s">
        <v>470</v>
      </c>
      <c r="H25966" s="185"/>
    </row>
    <row r="25967">
      <c r="D25967" s="185"/>
      <c r="E25967" s="185" t="s">
        <v>470</v>
      </c>
      <c r="H25967" s="185"/>
    </row>
    <row r="25968">
      <c r="D25968" s="185"/>
      <c r="E25968" s="185" t="s">
        <v>470</v>
      </c>
      <c r="H25968" s="185"/>
    </row>
    <row r="25969">
      <c r="D25969" s="185"/>
      <c r="E25969" s="185" t="s">
        <v>470</v>
      </c>
      <c r="H25969" s="185"/>
    </row>
    <row r="25970">
      <c r="D25970" s="185"/>
      <c r="E25970" s="185" t="s">
        <v>470</v>
      </c>
      <c r="H25970" s="185"/>
    </row>
    <row r="25971">
      <c r="D25971" s="185"/>
      <c r="E25971" s="185" t="s">
        <v>470</v>
      </c>
      <c r="H25971" s="185"/>
    </row>
    <row r="25972">
      <c r="D25972" s="185"/>
      <c r="E25972" s="185" t="s">
        <v>470</v>
      </c>
      <c r="H25972" s="185"/>
    </row>
    <row r="25973">
      <c r="D25973" s="185"/>
      <c r="E25973" s="185" t="s">
        <v>470</v>
      </c>
      <c r="H25973" s="185"/>
    </row>
    <row r="25974">
      <c r="D25974" s="185"/>
      <c r="E25974" s="185" t="s">
        <v>470</v>
      </c>
      <c r="H25974" s="185"/>
    </row>
    <row r="25975">
      <c r="D25975" s="185"/>
      <c r="E25975" s="185" t="s">
        <v>470</v>
      </c>
      <c r="H25975" s="185"/>
    </row>
    <row r="25976">
      <c r="D25976" s="185"/>
      <c r="E25976" s="185" t="s">
        <v>470</v>
      </c>
      <c r="H25976" s="185"/>
    </row>
    <row r="25977">
      <c r="D25977" s="185"/>
      <c r="E25977" s="185" t="s">
        <v>470</v>
      </c>
      <c r="H25977" s="185"/>
    </row>
    <row r="25978">
      <c r="D25978" s="185"/>
      <c r="E25978" s="185" t="s">
        <v>470</v>
      </c>
      <c r="H25978" s="185"/>
    </row>
    <row r="25979">
      <c r="D25979" s="185"/>
      <c r="E25979" s="185" t="s">
        <v>470</v>
      </c>
      <c r="H25979" s="185"/>
    </row>
    <row r="25980">
      <c r="D25980" s="185"/>
      <c r="E25980" s="185" t="s">
        <v>470</v>
      </c>
      <c r="H25980" s="185"/>
    </row>
    <row r="25981">
      <c r="D25981" s="185"/>
      <c r="E25981" s="185" t="s">
        <v>470</v>
      </c>
      <c r="H25981" s="185"/>
    </row>
    <row r="25982">
      <c r="D25982" s="185"/>
      <c r="E25982" s="185" t="s">
        <v>470</v>
      </c>
      <c r="H25982" s="185"/>
    </row>
    <row r="25983">
      <c r="D25983" s="185"/>
      <c r="E25983" s="185" t="s">
        <v>470</v>
      </c>
      <c r="H25983" s="185"/>
    </row>
    <row r="25984">
      <c r="D25984" s="185"/>
      <c r="E25984" s="185" t="s">
        <v>470</v>
      </c>
      <c r="H25984" s="185"/>
    </row>
    <row r="25985">
      <c r="D25985" s="185"/>
      <c r="E25985" s="185" t="s">
        <v>470</v>
      </c>
      <c r="H25985" s="185"/>
    </row>
    <row r="25986">
      <c r="D25986" s="185"/>
      <c r="E25986" s="185" t="s">
        <v>470</v>
      </c>
      <c r="H25986" s="185"/>
    </row>
    <row r="25987">
      <c r="D25987" s="185"/>
      <c r="E25987" s="185" t="s">
        <v>470</v>
      </c>
      <c r="H25987" s="185"/>
    </row>
    <row r="25988">
      <c r="D25988" s="185"/>
      <c r="E25988" s="185" t="s">
        <v>470</v>
      </c>
      <c r="H25988" s="185"/>
    </row>
    <row r="25989">
      <c r="D25989" s="185"/>
      <c r="E25989" s="185" t="s">
        <v>470</v>
      </c>
      <c r="H25989" s="185"/>
    </row>
    <row r="25990">
      <c r="D25990" s="185"/>
      <c r="E25990" s="185" t="s">
        <v>470</v>
      </c>
      <c r="H25990" s="185"/>
    </row>
    <row r="25991">
      <c r="D25991" s="185"/>
      <c r="E25991" s="185" t="s">
        <v>470</v>
      </c>
      <c r="H25991" s="185"/>
    </row>
    <row r="25992">
      <c r="D25992" s="185"/>
      <c r="E25992" s="185" t="s">
        <v>470</v>
      </c>
      <c r="H25992" s="185"/>
    </row>
    <row r="25993">
      <c r="D25993" s="185"/>
      <c r="E25993" s="185" t="s">
        <v>470</v>
      </c>
      <c r="H25993" s="185"/>
    </row>
    <row r="25994">
      <c r="D25994" s="185"/>
      <c r="E25994" s="185" t="s">
        <v>470</v>
      </c>
      <c r="H25994" s="185"/>
    </row>
    <row r="25995">
      <c r="D25995" s="185"/>
      <c r="E25995" s="185" t="s">
        <v>470</v>
      </c>
      <c r="H25995" s="185"/>
    </row>
    <row r="25996">
      <c r="D25996" s="185"/>
      <c r="E25996" s="185" t="s">
        <v>470</v>
      </c>
      <c r="H25996" s="185"/>
    </row>
    <row r="25997">
      <c r="D25997" s="185"/>
      <c r="E25997" s="185" t="s">
        <v>470</v>
      </c>
      <c r="H25997" s="185"/>
    </row>
    <row r="25998">
      <c r="D25998" s="185"/>
      <c r="E25998" s="185" t="s">
        <v>470</v>
      </c>
      <c r="H25998" s="185"/>
    </row>
    <row r="25999">
      <c r="D25999" s="185"/>
      <c r="E25999" s="185" t="s">
        <v>470</v>
      </c>
      <c r="H25999" s="185"/>
    </row>
    <row r="26000">
      <c r="D26000" s="185"/>
      <c r="E26000" s="185" t="s">
        <v>470</v>
      </c>
      <c r="H26000" s="185"/>
    </row>
    <row r="26001">
      <c r="D26001" s="185"/>
      <c r="E26001" s="185" t="s">
        <v>470</v>
      </c>
      <c r="H26001" s="185"/>
    </row>
    <row r="26002">
      <c r="D26002" s="185"/>
      <c r="E26002" s="185" t="s">
        <v>470</v>
      </c>
      <c r="H26002" s="185"/>
    </row>
    <row r="26003">
      <c r="D26003" s="185"/>
      <c r="E26003" s="185" t="s">
        <v>470</v>
      </c>
      <c r="H26003" s="185"/>
    </row>
    <row r="26004">
      <c r="D26004" s="185"/>
      <c r="E26004" s="185" t="s">
        <v>470</v>
      </c>
      <c r="H26004" s="185"/>
    </row>
    <row r="26005">
      <c r="D26005" s="185"/>
      <c r="E26005" s="185" t="s">
        <v>470</v>
      </c>
      <c r="H26005" s="185"/>
    </row>
    <row r="26006">
      <c r="D26006" s="185"/>
      <c r="E26006" s="185" t="s">
        <v>470</v>
      </c>
      <c r="H26006" s="185"/>
    </row>
    <row r="26007">
      <c r="D26007" s="185"/>
      <c r="E26007" s="185" t="s">
        <v>470</v>
      </c>
      <c r="H26007" s="185"/>
    </row>
    <row r="26008">
      <c r="D26008" s="185"/>
      <c r="E26008" s="185" t="s">
        <v>470</v>
      </c>
      <c r="H26008" s="185"/>
    </row>
    <row r="26009">
      <c r="D26009" s="185"/>
      <c r="E26009" s="185" t="s">
        <v>470</v>
      </c>
      <c r="H26009" s="185"/>
    </row>
    <row r="26010">
      <c r="D26010" s="185"/>
      <c r="E26010" s="185" t="s">
        <v>470</v>
      </c>
      <c r="H26010" s="185"/>
    </row>
    <row r="26011">
      <c r="D26011" s="185"/>
      <c r="E26011" s="185" t="s">
        <v>470</v>
      </c>
      <c r="H26011" s="185"/>
    </row>
    <row r="26012">
      <c r="D26012" s="185"/>
      <c r="E26012" s="185" t="s">
        <v>470</v>
      </c>
      <c r="H26012" s="185"/>
    </row>
    <row r="26013">
      <c r="D26013" s="185"/>
      <c r="E26013" s="185" t="s">
        <v>470</v>
      </c>
      <c r="H26013" s="185"/>
    </row>
    <row r="26014">
      <c r="D26014" s="185"/>
      <c r="E26014" s="185" t="s">
        <v>470</v>
      </c>
      <c r="H26014" s="185"/>
    </row>
    <row r="26015">
      <c r="D26015" s="185"/>
      <c r="E26015" s="185" t="s">
        <v>470</v>
      </c>
      <c r="H26015" s="185"/>
    </row>
    <row r="26016">
      <c r="D26016" s="185"/>
      <c r="E26016" s="185" t="s">
        <v>470</v>
      </c>
      <c r="H26016" s="185"/>
    </row>
    <row r="26017">
      <c r="D26017" s="185"/>
      <c r="E26017" s="185" t="s">
        <v>470</v>
      </c>
      <c r="H26017" s="185"/>
    </row>
    <row r="26018">
      <c r="D26018" s="185"/>
      <c r="E26018" s="185" t="s">
        <v>470</v>
      </c>
      <c r="H26018" s="185"/>
    </row>
    <row r="26019">
      <c r="D26019" s="185"/>
      <c r="E26019" s="185" t="s">
        <v>470</v>
      </c>
      <c r="H26019" s="185"/>
    </row>
    <row r="26020">
      <c r="D26020" s="185"/>
      <c r="E26020" s="185" t="s">
        <v>470</v>
      </c>
      <c r="H26020" s="185"/>
    </row>
    <row r="26021">
      <c r="D26021" s="185"/>
      <c r="E26021" s="185" t="s">
        <v>470</v>
      </c>
      <c r="H26021" s="185"/>
    </row>
    <row r="26022">
      <c r="D26022" s="185"/>
      <c r="E26022" s="185" t="s">
        <v>470</v>
      </c>
      <c r="H26022" s="185"/>
    </row>
    <row r="26023">
      <c r="D26023" s="185"/>
      <c r="E26023" s="185" t="s">
        <v>470</v>
      </c>
      <c r="H26023" s="185"/>
    </row>
    <row r="26024">
      <c r="D26024" s="185"/>
      <c r="E26024" s="185" t="s">
        <v>470</v>
      </c>
      <c r="H26024" s="185"/>
    </row>
    <row r="26025">
      <c r="D26025" s="185"/>
      <c r="E26025" s="185" t="s">
        <v>470</v>
      </c>
      <c r="H26025" s="185"/>
    </row>
    <row r="26026">
      <c r="D26026" s="185"/>
      <c r="E26026" s="185" t="s">
        <v>470</v>
      </c>
      <c r="H26026" s="185"/>
    </row>
    <row r="26027">
      <c r="D26027" s="185"/>
      <c r="E26027" s="185" t="s">
        <v>470</v>
      </c>
      <c r="H26027" s="185"/>
    </row>
    <row r="26028">
      <c r="D26028" s="185"/>
      <c r="E26028" s="185" t="s">
        <v>470</v>
      </c>
      <c r="H26028" s="185"/>
    </row>
    <row r="26029">
      <c r="D26029" s="185"/>
      <c r="E26029" s="185" t="s">
        <v>470</v>
      </c>
      <c r="H26029" s="185"/>
    </row>
    <row r="26030">
      <c r="D26030" s="185"/>
      <c r="E26030" s="185" t="s">
        <v>470</v>
      </c>
      <c r="H26030" s="185"/>
    </row>
    <row r="26031">
      <c r="D26031" s="185"/>
      <c r="E26031" s="185" t="s">
        <v>470</v>
      </c>
      <c r="H26031" s="185"/>
    </row>
    <row r="26032">
      <c r="D26032" s="185"/>
      <c r="E26032" s="185" t="s">
        <v>470</v>
      </c>
      <c r="H26032" s="185"/>
    </row>
    <row r="26033">
      <c r="D26033" s="185"/>
      <c r="E26033" s="185" t="s">
        <v>470</v>
      </c>
      <c r="H26033" s="185"/>
    </row>
    <row r="26034">
      <c r="D26034" s="185"/>
      <c r="E26034" s="185" t="s">
        <v>470</v>
      </c>
      <c r="H26034" s="185"/>
    </row>
    <row r="26035">
      <c r="D26035" s="185"/>
      <c r="E26035" s="185" t="s">
        <v>470</v>
      </c>
      <c r="H26035" s="185"/>
    </row>
    <row r="26036">
      <c r="D26036" s="185"/>
      <c r="E26036" s="185" t="s">
        <v>470</v>
      </c>
      <c r="H26036" s="185"/>
    </row>
    <row r="26037">
      <c r="D26037" s="185"/>
      <c r="E26037" s="185" t="s">
        <v>470</v>
      </c>
      <c r="H26037" s="185"/>
    </row>
    <row r="26038">
      <c r="D26038" s="185"/>
      <c r="E26038" s="185" t="s">
        <v>470</v>
      </c>
      <c r="H26038" s="185"/>
    </row>
    <row r="26039">
      <c r="D26039" s="185"/>
      <c r="E26039" s="185" t="s">
        <v>470</v>
      </c>
      <c r="H26039" s="185"/>
    </row>
    <row r="26040">
      <c r="D26040" s="185"/>
      <c r="E26040" s="185" t="s">
        <v>470</v>
      </c>
      <c r="H26040" s="185"/>
    </row>
    <row r="26041">
      <c r="D26041" s="185"/>
      <c r="E26041" s="185" t="s">
        <v>470</v>
      </c>
      <c r="H26041" s="185"/>
    </row>
    <row r="26042">
      <c r="D26042" s="185"/>
      <c r="E26042" s="185" t="s">
        <v>470</v>
      </c>
      <c r="H26042" s="185"/>
    </row>
    <row r="26043">
      <c r="D26043" s="185"/>
      <c r="E26043" s="185" t="s">
        <v>470</v>
      </c>
      <c r="H26043" s="185"/>
    </row>
    <row r="26044">
      <c r="D26044" s="185"/>
      <c r="E26044" s="185" t="s">
        <v>470</v>
      </c>
      <c r="H26044" s="185"/>
    </row>
    <row r="26045">
      <c r="D26045" s="185"/>
      <c r="E26045" s="185" t="s">
        <v>470</v>
      </c>
      <c r="H26045" s="185"/>
    </row>
    <row r="26046">
      <c r="D26046" s="185"/>
      <c r="E26046" s="185" t="s">
        <v>470</v>
      </c>
      <c r="H26046" s="185"/>
    </row>
    <row r="26047">
      <c r="D26047" s="185"/>
      <c r="E26047" s="185" t="s">
        <v>470</v>
      </c>
      <c r="H26047" s="185"/>
    </row>
    <row r="26048">
      <c r="D26048" s="185"/>
      <c r="E26048" s="185" t="s">
        <v>470</v>
      </c>
      <c r="H26048" s="185"/>
    </row>
    <row r="26049">
      <c r="D26049" s="185"/>
      <c r="E26049" s="185" t="s">
        <v>470</v>
      </c>
      <c r="H26049" s="185"/>
    </row>
    <row r="26050">
      <c r="D26050" s="185"/>
      <c r="E26050" s="185" t="s">
        <v>470</v>
      </c>
      <c r="H26050" s="185"/>
    </row>
    <row r="26051">
      <c r="D26051" s="185"/>
      <c r="E26051" s="185" t="s">
        <v>470</v>
      </c>
      <c r="H26051" s="185"/>
    </row>
    <row r="26052">
      <c r="D26052" s="185"/>
      <c r="E26052" s="185" t="s">
        <v>470</v>
      </c>
      <c r="H26052" s="185"/>
    </row>
    <row r="26053">
      <c r="D26053" s="185"/>
      <c r="E26053" s="185" t="s">
        <v>470</v>
      </c>
      <c r="H26053" s="185"/>
    </row>
    <row r="26054">
      <c r="D26054" s="185"/>
      <c r="E26054" s="185" t="s">
        <v>470</v>
      </c>
      <c r="H26054" s="185"/>
    </row>
    <row r="26055">
      <c r="D26055" s="185"/>
      <c r="E26055" s="185" t="s">
        <v>470</v>
      </c>
      <c r="H26055" s="185"/>
    </row>
    <row r="26056">
      <c r="D26056" s="185"/>
      <c r="E26056" s="185" t="s">
        <v>470</v>
      </c>
      <c r="H26056" s="185"/>
    </row>
    <row r="26057">
      <c r="D26057" s="185"/>
      <c r="E26057" s="185" t="s">
        <v>470</v>
      </c>
      <c r="H26057" s="185"/>
    </row>
    <row r="26058">
      <c r="D26058" s="185"/>
      <c r="E26058" s="185" t="s">
        <v>470</v>
      </c>
      <c r="H26058" s="185"/>
    </row>
    <row r="26059">
      <c r="D26059" s="185"/>
      <c r="E26059" s="185" t="s">
        <v>470</v>
      </c>
      <c r="H26059" s="185"/>
    </row>
    <row r="26060">
      <c r="D26060" s="185"/>
      <c r="E26060" s="185" t="s">
        <v>470</v>
      </c>
      <c r="H26060" s="185"/>
    </row>
    <row r="26061">
      <c r="D26061" s="185"/>
      <c r="E26061" s="185" t="s">
        <v>470</v>
      </c>
      <c r="H26061" s="185"/>
    </row>
    <row r="26062">
      <c r="D26062" s="185"/>
      <c r="E26062" s="185" t="s">
        <v>470</v>
      </c>
      <c r="H26062" s="185"/>
    </row>
    <row r="26063">
      <c r="D26063" s="185"/>
      <c r="E26063" s="185" t="s">
        <v>470</v>
      </c>
      <c r="H26063" s="185"/>
    </row>
    <row r="26064">
      <c r="D26064" s="185"/>
      <c r="E26064" s="185" t="s">
        <v>470</v>
      </c>
      <c r="H26064" s="185"/>
    </row>
    <row r="26065">
      <c r="D26065" s="185"/>
      <c r="E26065" s="185" t="s">
        <v>470</v>
      </c>
      <c r="H26065" s="185"/>
    </row>
    <row r="26066">
      <c r="D26066" s="185"/>
      <c r="E26066" s="185" t="s">
        <v>470</v>
      </c>
      <c r="H26066" s="185"/>
    </row>
    <row r="26067">
      <c r="D26067" s="185"/>
      <c r="E26067" s="185" t="s">
        <v>470</v>
      </c>
      <c r="H26067" s="185"/>
    </row>
    <row r="26068">
      <c r="D26068" s="185"/>
      <c r="E26068" s="185" t="s">
        <v>470</v>
      </c>
      <c r="H26068" s="185"/>
    </row>
    <row r="26069">
      <c r="D26069" s="185"/>
      <c r="E26069" s="185" t="s">
        <v>470</v>
      </c>
      <c r="H26069" s="185"/>
    </row>
    <row r="26070">
      <c r="D26070" s="185"/>
      <c r="E26070" s="185" t="s">
        <v>470</v>
      </c>
      <c r="H26070" s="185"/>
    </row>
    <row r="26071">
      <c r="D26071" s="185"/>
      <c r="E26071" s="185" t="s">
        <v>470</v>
      </c>
      <c r="H26071" s="185"/>
    </row>
    <row r="26072">
      <c r="D26072" s="185"/>
      <c r="E26072" s="185" t="s">
        <v>470</v>
      </c>
      <c r="H26072" s="185"/>
    </row>
    <row r="26073">
      <c r="D26073" s="185"/>
      <c r="E26073" s="185" t="s">
        <v>470</v>
      </c>
      <c r="H26073" s="185"/>
    </row>
    <row r="26074">
      <c r="D26074" s="185"/>
      <c r="E26074" s="185" t="s">
        <v>470</v>
      </c>
      <c r="H26074" s="185"/>
    </row>
    <row r="26075">
      <c r="D26075" s="185"/>
      <c r="E26075" s="185" t="s">
        <v>470</v>
      </c>
      <c r="H26075" s="185"/>
    </row>
    <row r="26076">
      <c r="D26076" s="185"/>
      <c r="E26076" s="185" t="s">
        <v>470</v>
      </c>
      <c r="H26076" s="185"/>
    </row>
    <row r="26077">
      <c r="D26077" s="185"/>
      <c r="E26077" s="185" t="s">
        <v>470</v>
      </c>
      <c r="H26077" s="185"/>
    </row>
    <row r="26078">
      <c r="D26078" s="185"/>
      <c r="E26078" s="185" t="s">
        <v>470</v>
      </c>
      <c r="H26078" s="185"/>
    </row>
    <row r="26079">
      <c r="D26079" s="185"/>
      <c r="E26079" s="185" t="s">
        <v>470</v>
      </c>
      <c r="H26079" s="185"/>
    </row>
    <row r="26080">
      <c r="D26080" s="185"/>
      <c r="E26080" s="185" t="s">
        <v>470</v>
      </c>
      <c r="H26080" s="185"/>
    </row>
    <row r="26081">
      <c r="D26081" s="185"/>
      <c r="E26081" s="185" t="s">
        <v>470</v>
      </c>
      <c r="H26081" s="185"/>
    </row>
    <row r="26082">
      <c r="D26082" s="185"/>
      <c r="E26082" s="185" t="s">
        <v>470</v>
      </c>
      <c r="H26082" s="185"/>
    </row>
    <row r="26083">
      <c r="D26083" s="185"/>
      <c r="E26083" s="185" t="s">
        <v>470</v>
      </c>
      <c r="H26083" s="185"/>
    </row>
    <row r="26084">
      <c r="D26084" s="185"/>
      <c r="E26084" s="185" t="s">
        <v>470</v>
      </c>
      <c r="H26084" s="185"/>
    </row>
    <row r="26085">
      <c r="D26085" s="185"/>
      <c r="E26085" s="185" t="s">
        <v>470</v>
      </c>
      <c r="H26085" s="185"/>
    </row>
    <row r="26086">
      <c r="D26086" s="185"/>
      <c r="E26086" s="185" t="s">
        <v>470</v>
      </c>
      <c r="H26086" s="185"/>
    </row>
    <row r="26087">
      <c r="D26087" s="185"/>
      <c r="E26087" s="185" t="s">
        <v>470</v>
      </c>
      <c r="H26087" s="185"/>
    </row>
    <row r="26088">
      <c r="D26088" s="185"/>
      <c r="E26088" s="185" t="s">
        <v>470</v>
      </c>
      <c r="H26088" s="185"/>
    </row>
    <row r="26089">
      <c r="D26089" s="185"/>
      <c r="E26089" s="185" t="s">
        <v>470</v>
      </c>
      <c r="H26089" s="185"/>
    </row>
    <row r="26090">
      <c r="D26090" s="185"/>
      <c r="E26090" s="185" t="s">
        <v>470</v>
      </c>
      <c r="H26090" s="185"/>
    </row>
    <row r="26091">
      <c r="D26091" s="185"/>
      <c r="E26091" s="185" t="s">
        <v>470</v>
      </c>
      <c r="H26091" s="185"/>
    </row>
    <row r="26092">
      <c r="D26092" s="185"/>
      <c r="E26092" s="185" t="s">
        <v>470</v>
      </c>
      <c r="H26092" s="185"/>
    </row>
    <row r="26093">
      <c r="D26093" s="185"/>
      <c r="E26093" s="185" t="s">
        <v>470</v>
      </c>
      <c r="H26093" s="185"/>
    </row>
    <row r="26094">
      <c r="D26094" s="185"/>
      <c r="E26094" s="185" t="s">
        <v>470</v>
      </c>
      <c r="H26094" s="185"/>
    </row>
    <row r="26095">
      <c r="D26095" s="185"/>
      <c r="E26095" s="185" t="s">
        <v>470</v>
      </c>
      <c r="H26095" s="185"/>
    </row>
    <row r="26096">
      <c r="D26096" s="185"/>
      <c r="E26096" s="185" t="s">
        <v>470</v>
      </c>
      <c r="H26096" s="185"/>
    </row>
    <row r="26097">
      <c r="D26097" s="185"/>
      <c r="E26097" s="185" t="s">
        <v>470</v>
      </c>
      <c r="H26097" s="185"/>
    </row>
    <row r="26098">
      <c r="D26098" s="185"/>
      <c r="E26098" s="185" t="s">
        <v>470</v>
      </c>
      <c r="H26098" s="185"/>
    </row>
    <row r="26099">
      <c r="D26099" s="185"/>
      <c r="E26099" s="185" t="s">
        <v>470</v>
      </c>
      <c r="H26099" s="185"/>
    </row>
    <row r="26100">
      <c r="D26100" s="185"/>
      <c r="E26100" s="185" t="s">
        <v>470</v>
      </c>
      <c r="H26100" s="185"/>
    </row>
    <row r="26101">
      <c r="D26101" s="185"/>
      <c r="E26101" s="185" t="s">
        <v>470</v>
      </c>
      <c r="H26101" s="185"/>
    </row>
    <row r="26102">
      <c r="D26102" s="185"/>
      <c r="E26102" s="185" t="s">
        <v>470</v>
      </c>
      <c r="H26102" s="185"/>
    </row>
    <row r="26103">
      <c r="D26103" s="185"/>
      <c r="E26103" s="185" t="s">
        <v>470</v>
      </c>
      <c r="H26103" s="185"/>
    </row>
    <row r="26104">
      <c r="D26104" s="185"/>
      <c r="E26104" s="185" t="s">
        <v>470</v>
      </c>
      <c r="H26104" s="185"/>
    </row>
    <row r="26105">
      <c r="D26105" s="185"/>
      <c r="E26105" s="185" t="s">
        <v>470</v>
      </c>
      <c r="H26105" s="185"/>
    </row>
    <row r="26106">
      <c r="D26106" s="185"/>
      <c r="E26106" s="185" t="s">
        <v>470</v>
      </c>
      <c r="H26106" s="185"/>
    </row>
    <row r="26107">
      <c r="D26107" s="185"/>
      <c r="E26107" s="185" t="s">
        <v>470</v>
      </c>
      <c r="H26107" s="185"/>
    </row>
    <row r="26108">
      <c r="D26108" s="185"/>
      <c r="E26108" s="185" t="s">
        <v>470</v>
      </c>
      <c r="H26108" s="185"/>
    </row>
    <row r="26109">
      <c r="D26109" s="185"/>
      <c r="E26109" s="185" t="s">
        <v>470</v>
      </c>
      <c r="H26109" s="185"/>
    </row>
    <row r="26110">
      <c r="D26110" s="185"/>
      <c r="E26110" s="185" t="s">
        <v>470</v>
      </c>
      <c r="H26110" s="185"/>
    </row>
    <row r="26111">
      <c r="D26111" s="185"/>
      <c r="E26111" s="185" t="s">
        <v>470</v>
      </c>
      <c r="H26111" s="185"/>
    </row>
    <row r="26112">
      <c r="D26112" s="185"/>
      <c r="E26112" s="185" t="s">
        <v>470</v>
      </c>
      <c r="H26112" s="185"/>
    </row>
    <row r="26113">
      <c r="D26113" s="185"/>
      <c r="E26113" s="185" t="s">
        <v>470</v>
      </c>
      <c r="H26113" s="185"/>
    </row>
    <row r="26114">
      <c r="D26114" s="185"/>
      <c r="E26114" s="185" t="s">
        <v>470</v>
      </c>
      <c r="H26114" s="185"/>
    </row>
    <row r="26115">
      <c r="D26115" s="185"/>
      <c r="E26115" s="185" t="s">
        <v>470</v>
      </c>
      <c r="H26115" s="185"/>
    </row>
    <row r="26116">
      <c r="D26116" s="185"/>
      <c r="E26116" s="185" t="s">
        <v>470</v>
      </c>
      <c r="H26116" s="185"/>
    </row>
    <row r="26117">
      <c r="D26117" s="185"/>
      <c r="E26117" s="185" t="s">
        <v>470</v>
      </c>
      <c r="H26117" s="185"/>
    </row>
    <row r="26118">
      <c r="D26118" s="185"/>
      <c r="E26118" s="185" t="s">
        <v>470</v>
      </c>
      <c r="H26118" s="185"/>
    </row>
    <row r="26119">
      <c r="D26119" s="185"/>
      <c r="E26119" s="185" t="s">
        <v>470</v>
      </c>
      <c r="H26119" s="185"/>
    </row>
    <row r="26120">
      <c r="D26120" s="185"/>
      <c r="E26120" s="185" t="s">
        <v>470</v>
      </c>
      <c r="H26120" s="185"/>
    </row>
    <row r="26121">
      <c r="D26121" s="185"/>
      <c r="E26121" s="185" t="s">
        <v>470</v>
      </c>
      <c r="H26121" s="185"/>
    </row>
    <row r="26122">
      <c r="D26122" s="185"/>
      <c r="E26122" s="185" t="s">
        <v>470</v>
      </c>
      <c r="H26122" s="185"/>
    </row>
    <row r="26123">
      <c r="D26123" s="185"/>
      <c r="E26123" s="185" t="s">
        <v>470</v>
      </c>
      <c r="H26123" s="185"/>
    </row>
    <row r="26124">
      <c r="D26124" s="185"/>
      <c r="E26124" s="185" t="s">
        <v>470</v>
      </c>
      <c r="H26124" s="185"/>
    </row>
    <row r="26125">
      <c r="D26125" s="185"/>
      <c r="E26125" s="185" t="s">
        <v>470</v>
      </c>
      <c r="H26125" s="185"/>
    </row>
    <row r="26126">
      <c r="D26126" s="185"/>
      <c r="E26126" s="185" t="s">
        <v>470</v>
      </c>
      <c r="H26126" s="185"/>
    </row>
    <row r="26127">
      <c r="D26127" s="185"/>
      <c r="E26127" s="185" t="s">
        <v>470</v>
      </c>
      <c r="H26127" s="185"/>
    </row>
    <row r="26128">
      <c r="D26128" s="185"/>
      <c r="E26128" s="185" t="s">
        <v>470</v>
      </c>
      <c r="H26128" s="185"/>
    </row>
    <row r="26129">
      <c r="D26129" s="185"/>
      <c r="E26129" s="185" t="s">
        <v>470</v>
      </c>
      <c r="H26129" s="185"/>
    </row>
    <row r="26130">
      <c r="D26130" s="185"/>
      <c r="E26130" s="185" t="s">
        <v>470</v>
      </c>
      <c r="H26130" s="185"/>
    </row>
    <row r="26131">
      <c r="D26131" s="185"/>
      <c r="E26131" s="185" t="s">
        <v>470</v>
      </c>
      <c r="H26131" s="185"/>
    </row>
    <row r="26132">
      <c r="D26132" s="185"/>
      <c r="E26132" s="185" t="s">
        <v>470</v>
      </c>
      <c r="H26132" s="185"/>
    </row>
    <row r="26133">
      <c r="D26133" s="185"/>
      <c r="E26133" s="185" t="s">
        <v>470</v>
      </c>
      <c r="H26133" s="185"/>
    </row>
    <row r="26134">
      <c r="D26134" s="185"/>
      <c r="E26134" s="185" t="s">
        <v>470</v>
      </c>
      <c r="H26134" s="185"/>
    </row>
    <row r="26135">
      <c r="D26135" s="185"/>
      <c r="E26135" s="185" t="s">
        <v>470</v>
      </c>
      <c r="H26135" s="185"/>
    </row>
    <row r="26136">
      <c r="D26136" s="185"/>
      <c r="E26136" s="185" t="s">
        <v>470</v>
      </c>
      <c r="H26136" s="185"/>
    </row>
    <row r="26137">
      <c r="D26137" s="185"/>
      <c r="E26137" s="185" t="s">
        <v>470</v>
      </c>
      <c r="H26137" s="185"/>
    </row>
    <row r="26138">
      <c r="D26138" s="185"/>
      <c r="E26138" s="185" t="s">
        <v>470</v>
      </c>
      <c r="H26138" s="185"/>
    </row>
    <row r="26139">
      <c r="D26139" s="185"/>
      <c r="E26139" s="185" t="s">
        <v>470</v>
      </c>
      <c r="H26139" s="185"/>
    </row>
    <row r="26140">
      <c r="D26140" s="185"/>
      <c r="E26140" s="185" t="s">
        <v>470</v>
      </c>
      <c r="H26140" s="185"/>
    </row>
    <row r="26141">
      <c r="D26141" s="185"/>
      <c r="E26141" s="185" t="s">
        <v>470</v>
      </c>
      <c r="H26141" s="185"/>
    </row>
    <row r="26142">
      <c r="D26142" s="185"/>
      <c r="E26142" s="185" t="s">
        <v>470</v>
      </c>
      <c r="H26142" s="185"/>
    </row>
    <row r="26143">
      <c r="D26143" s="185"/>
      <c r="E26143" s="185" t="s">
        <v>470</v>
      </c>
      <c r="H26143" s="185"/>
    </row>
    <row r="26144">
      <c r="D26144" s="185"/>
      <c r="E26144" s="185" t="s">
        <v>470</v>
      </c>
      <c r="H26144" s="185"/>
    </row>
    <row r="26145">
      <c r="D26145" s="185"/>
      <c r="E26145" s="185" t="s">
        <v>470</v>
      </c>
      <c r="H26145" s="185"/>
    </row>
    <row r="26146">
      <c r="D26146" s="185"/>
      <c r="E26146" s="185" t="s">
        <v>470</v>
      </c>
      <c r="H26146" s="185"/>
    </row>
    <row r="26147">
      <c r="D26147" s="185"/>
      <c r="E26147" s="185" t="s">
        <v>470</v>
      </c>
      <c r="H26147" s="185"/>
    </row>
    <row r="26148">
      <c r="D26148" s="185"/>
      <c r="E26148" s="185" t="s">
        <v>470</v>
      </c>
      <c r="H26148" s="185"/>
    </row>
    <row r="26149">
      <c r="D26149" s="185"/>
      <c r="E26149" s="185" t="s">
        <v>470</v>
      </c>
      <c r="H26149" s="185"/>
    </row>
    <row r="26150">
      <c r="D26150" s="185"/>
      <c r="E26150" s="185" t="s">
        <v>470</v>
      </c>
      <c r="H26150" s="185"/>
    </row>
    <row r="26151">
      <c r="D26151" s="185"/>
      <c r="E26151" s="185" t="s">
        <v>470</v>
      </c>
      <c r="H26151" s="185"/>
    </row>
    <row r="26152">
      <c r="D26152" s="185"/>
      <c r="E26152" s="185" t="s">
        <v>470</v>
      </c>
      <c r="H26152" s="185"/>
    </row>
    <row r="26153">
      <c r="D26153" s="185"/>
      <c r="E26153" s="185" t="s">
        <v>470</v>
      </c>
      <c r="H26153" s="185"/>
    </row>
    <row r="26154">
      <c r="D26154" s="185"/>
      <c r="E26154" s="185" t="s">
        <v>470</v>
      </c>
      <c r="H26154" s="185"/>
    </row>
    <row r="26155">
      <c r="D26155" s="185"/>
      <c r="E26155" s="185" t="s">
        <v>470</v>
      </c>
      <c r="H26155" s="185"/>
    </row>
    <row r="26156">
      <c r="D26156" s="185"/>
      <c r="E26156" s="185" t="s">
        <v>470</v>
      </c>
      <c r="H26156" s="185"/>
    </row>
    <row r="26157">
      <c r="D26157" s="185"/>
      <c r="E26157" s="185" t="s">
        <v>470</v>
      </c>
      <c r="H26157" s="185"/>
    </row>
    <row r="26158">
      <c r="D26158" s="185"/>
      <c r="E26158" s="185" t="s">
        <v>470</v>
      </c>
      <c r="H26158" s="185"/>
    </row>
    <row r="26159">
      <c r="D26159" s="185"/>
      <c r="E26159" s="185" t="s">
        <v>470</v>
      </c>
      <c r="H26159" s="185"/>
    </row>
    <row r="26160">
      <c r="D26160" s="185"/>
      <c r="E26160" s="185" t="s">
        <v>470</v>
      </c>
      <c r="H26160" s="185"/>
    </row>
    <row r="26161">
      <c r="D26161" s="185"/>
      <c r="E26161" s="185" t="s">
        <v>470</v>
      </c>
      <c r="H26161" s="185"/>
    </row>
    <row r="26162">
      <c r="D26162" s="185"/>
      <c r="E26162" s="185" t="s">
        <v>470</v>
      </c>
      <c r="H26162" s="185"/>
    </row>
    <row r="26163">
      <c r="D26163" s="185"/>
      <c r="E26163" s="185" t="s">
        <v>470</v>
      </c>
      <c r="H26163" s="185"/>
    </row>
    <row r="26164">
      <c r="D26164" s="185"/>
      <c r="E26164" s="185" t="s">
        <v>470</v>
      </c>
      <c r="H26164" s="185"/>
    </row>
    <row r="26165">
      <c r="D26165" s="185"/>
      <c r="E26165" s="185" t="s">
        <v>470</v>
      </c>
      <c r="H26165" s="185"/>
    </row>
    <row r="26166">
      <c r="D26166" s="185"/>
      <c r="E26166" s="185" t="s">
        <v>470</v>
      </c>
      <c r="H26166" s="185"/>
    </row>
    <row r="26167">
      <c r="D26167" s="185"/>
      <c r="E26167" s="185" t="s">
        <v>470</v>
      </c>
      <c r="H26167" s="185"/>
    </row>
    <row r="26168">
      <c r="D26168" s="185"/>
      <c r="E26168" s="185" t="s">
        <v>470</v>
      </c>
      <c r="H26168" s="185"/>
    </row>
    <row r="26169">
      <c r="D26169" s="185"/>
      <c r="E26169" s="185" t="s">
        <v>470</v>
      </c>
      <c r="H26169" s="185"/>
    </row>
    <row r="26170">
      <c r="D26170" s="185"/>
      <c r="E26170" s="185" t="s">
        <v>470</v>
      </c>
      <c r="H26170" s="185"/>
    </row>
    <row r="26171">
      <c r="D26171" s="185"/>
      <c r="E26171" s="185" t="s">
        <v>470</v>
      </c>
      <c r="H26171" s="185"/>
    </row>
    <row r="26172">
      <c r="D26172" s="185"/>
      <c r="E26172" s="185" t="s">
        <v>470</v>
      </c>
      <c r="H26172" s="185"/>
    </row>
    <row r="26173">
      <c r="D26173" s="185"/>
      <c r="E26173" s="185" t="s">
        <v>470</v>
      </c>
      <c r="H26173" s="185"/>
    </row>
    <row r="26174">
      <c r="D26174" s="185"/>
      <c r="E26174" s="185" t="s">
        <v>470</v>
      </c>
      <c r="H26174" s="185"/>
    </row>
    <row r="26175">
      <c r="D26175" s="185"/>
      <c r="E26175" s="185" t="s">
        <v>470</v>
      </c>
      <c r="H26175" s="185"/>
    </row>
    <row r="26176">
      <c r="D26176" s="185"/>
      <c r="E26176" s="185" t="s">
        <v>470</v>
      </c>
      <c r="H26176" s="185"/>
    </row>
    <row r="26177">
      <c r="D26177" s="185"/>
      <c r="E26177" s="185" t="s">
        <v>470</v>
      </c>
      <c r="H26177" s="185"/>
    </row>
    <row r="26178">
      <c r="D26178" s="185"/>
      <c r="E26178" s="185" t="s">
        <v>470</v>
      </c>
      <c r="H26178" s="185"/>
    </row>
    <row r="26179">
      <c r="D26179" s="185"/>
      <c r="E26179" s="185" t="s">
        <v>470</v>
      </c>
      <c r="H26179" s="185"/>
    </row>
    <row r="26180">
      <c r="D26180" s="185"/>
      <c r="E26180" s="185" t="s">
        <v>470</v>
      </c>
      <c r="H26180" s="185"/>
    </row>
    <row r="26181">
      <c r="D26181" s="185"/>
      <c r="E26181" s="185" t="s">
        <v>470</v>
      </c>
      <c r="H26181" s="185"/>
    </row>
    <row r="26182">
      <c r="D26182" s="185"/>
      <c r="E26182" s="185" t="s">
        <v>470</v>
      </c>
      <c r="H26182" s="185"/>
    </row>
    <row r="26183">
      <c r="D26183" s="185"/>
      <c r="E26183" s="185" t="s">
        <v>470</v>
      </c>
      <c r="H26183" s="185"/>
    </row>
    <row r="26184">
      <c r="D26184" s="185"/>
      <c r="E26184" s="185" t="s">
        <v>470</v>
      </c>
      <c r="H26184" s="185"/>
    </row>
    <row r="26185">
      <c r="D26185" s="185"/>
      <c r="E26185" s="185" t="s">
        <v>470</v>
      </c>
      <c r="H26185" s="185"/>
    </row>
    <row r="26186">
      <c r="D26186" s="185"/>
      <c r="E26186" s="185" t="s">
        <v>470</v>
      </c>
      <c r="H26186" s="185"/>
    </row>
    <row r="26187">
      <c r="D26187" s="185"/>
      <c r="E26187" s="185" t="s">
        <v>470</v>
      </c>
      <c r="H26187" s="185"/>
    </row>
    <row r="26188">
      <c r="D26188" s="185"/>
      <c r="E26188" s="185" t="s">
        <v>470</v>
      </c>
      <c r="H26188" s="185"/>
    </row>
    <row r="26189">
      <c r="D26189" s="185"/>
      <c r="E26189" s="185" t="s">
        <v>470</v>
      </c>
      <c r="H26189" s="185"/>
    </row>
    <row r="26190">
      <c r="D26190" s="185"/>
      <c r="E26190" s="185" t="s">
        <v>470</v>
      </c>
      <c r="H26190" s="185"/>
    </row>
    <row r="26191">
      <c r="D26191" s="185"/>
      <c r="E26191" s="185" t="s">
        <v>470</v>
      </c>
      <c r="H26191" s="185"/>
    </row>
    <row r="26192">
      <c r="D26192" s="185"/>
      <c r="E26192" s="185" t="s">
        <v>470</v>
      </c>
      <c r="H26192" s="185"/>
    </row>
    <row r="26193">
      <c r="D26193" s="185"/>
      <c r="E26193" s="185" t="s">
        <v>470</v>
      </c>
      <c r="H26193" s="185"/>
    </row>
    <row r="26194">
      <c r="D26194" s="185"/>
      <c r="E26194" s="185" t="s">
        <v>470</v>
      </c>
      <c r="H26194" s="185"/>
    </row>
    <row r="26195">
      <c r="D26195" s="185"/>
      <c r="E26195" s="185" t="s">
        <v>470</v>
      </c>
      <c r="H26195" s="185"/>
    </row>
    <row r="26196">
      <c r="D26196" s="185"/>
      <c r="E26196" s="185" t="s">
        <v>470</v>
      </c>
      <c r="H26196" s="185"/>
    </row>
    <row r="26197">
      <c r="D26197" s="185"/>
      <c r="E26197" s="185" t="s">
        <v>470</v>
      </c>
      <c r="H26197" s="185"/>
    </row>
    <row r="26198">
      <c r="D26198" s="185"/>
      <c r="E26198" s="185" t="s">
        <v>470</v>
      </c>
      <c r="H26198" s="185"/>
    </row>
    <row r="26199">
      <c r="D26199" s="185"/>
      <c r="E26199" s="185" t="s">
        <v>470</v>
      </c>
      <c r="H26199" s="185"/>
    </row>
    <row r="26200">
      <c r="D26200" s="185"/>
      <c r="E26200" s="185" t="s">
        <v>470</v>
      </c>
      <c r="H26200" s="185"/>
    </row>
    <row r="26201">
      <c r="D26201" s="185"/>
      <c r="E26201" s="185" t="s">
        <v>470</v>
      </c>
      <c r="H26201" s="185"/>
    </row>
    <row r="26202">
      <c r="D26202" s="185"/>
      <c r="E26202" s="185" t="s">
        <v>470</v>
      </c>
      <c r="H26202" s="185"/>
    </row>
    <row r="26203">
      <c r="D26203" s="185"/>
      <c r="E26203" s="185" t="s">
        <v>470</v>
      </c>
      <c r="H26203" s="185"/>
    </row>
    <row r="26204">
      <c r="D26204" s="185"/>
      <c r="E26204" s="185" t="s">
        <v>470</v>
      </c>
      <c r="H26204" s="185"/>
    </row>
    <row r="26205">
      <c r="D26205" s="185"/>
      <c r="E26205" s="185" t="s">
        <v>470</v>
      </c>
      <c r="H26205" s="185"/>
    </row>
    <row r="26206">
      <c r="D26206" s="185"/>
      <c r="E26206" s="185" t="s">
        <v>470</v>
      </c>
      <c r="H26206" s="185"/>
    </row>
    <row r="26207">
      <c r="D26207" s="185"/>
      <c r="E26207" s="185" t="s">
        <v>470</v>
      </c>
      <c r="H26207" s="185"/>
    </row>
    <row r="26208">
      <c r="D26208" s="185"/>
      <c r="E26208" s="185" t="s">
        <v>470</v>
      </c>
      <c r="H26208" s="185"/>
    </row>
    <row r="26209">
      <c r="D26209" s="185"/>
      <c r="E26209" s="185" t="s">
        <v>470</v>
      </c>
      <c r="H26209" s="185"/>
    </row>
    <row r="26210">
      <c r="D26210" s="185"/>
      <c r="E26210" s="185" t="s">
        <v>470</v>
      </c>
      <c r="H26210" s="185"/>
    </row>
    <row r="26211">
      <c r="D26211" s="185"/>
      <c r="E26211" s="185" t="s">
        <v>470</v>
      </c>
      <c r="H26211" s="185"/>
    </row>
    <row r="26212">
      <c r="D26212" s="185"/>
      <c r="E26212" s="185" t="s">
        <v>470</v>
      </c>
      <c r="H26212" s="185"/>
    </row>
    <row r="26213">
      <c r="D26213" s="185"/>
      <c r="E26213" s="185" t="s">
        <v>470</v>
      </c>
      <c r="H26213" s="185"/>
    </row>
    <row r="26214">
      <c r="D26214" s="185"/>
      <c r="E26214" s="185" t="s">
        <v>470</v>
      </c>
      <c r="H26214" s="185"/>
    </row>
    <row r="26215">
      <c r="D26215" s="185"/>
      <c r="E26215" s="185" t="s">
        <v>470</v>
      </c>
      <c r="H26215" s="185"/>
    </row>
    <row r="26216">
      <c r="D26216" s="185"/>
      <c r="E26216" s="185" t="s">
        <v>470</v>
      </c>
      <c r="H26216" s="185"/>
    </row>
    <row r="26217">
      <c r="D26217" s="185"/>
      <c r="E26217" s="185" t="s">
        <v>470</v>
      </c>
      <c r="H26217" s="185"/>
    </row>
    <row r="26218">
      <c r="D26218" s="185"/>
      <c r="E26218" s="185" t="s">
        <v>470</v>
      </c>
      <c r="H26218" s="185"/>
    </row>
    <row r="26219">
      <c r="D26219" s="185"/>
      <c r="E26219" s="185" t="s">
        <v>470</v>
      </c>
      <c r="H26219" s="185"/>
    </row>
    <row r="26220">
      <c r="D26220" s="185"/>
      <c r="E26220" s="185" t="s">
        <v>470</v>
      </c>
      <c r="H26220" s="185"/>
    </row>
    <row r="26221">
      <c r="D26221" s="185"/>
      <c r="E26221" s="185" t="s">
        <v>470</v>
      </c>
      <c r="H26221" s="185"/>
    </row>
    <row r="26222">
      <c r="D26222" s="185"/>
      <c r="E26222" s="185" t="s">
        <v>470</v>
      </c>
      <c r="H26222" s="185"/>
    </row>
    <row r="26223">
      <c r="D26223" s="185"/>
      <c r="E26223" s="185" t="s">
        <v>470</v>
      </c>
      <c r="H26223" s="185"/>
    </row>
    <row r="26224">
      <c r="D26224" s="185"/>
      <c r="E26224" s="185" t="s">
        <v>470</v>
      </c>
      <c r="H26224" s="185"/>
    </row>
    <row r="26225">
      <c r="D26225" s="185"/>
      <c r="E26225" s="185" t="s">
        <v>470</v>
      </c>
      <c r="H26225" s="185"/>
    </row>
    <row r="26226">
      <c r="D26226" s="185"/>
      <c r="E26226" s="185" t="s">
        <v>470</v>
      </c>
      <c r="H26226" s="185"/>
    </row>
    <row r="26227">
      <c r="D26227" s="185"/>
      <c r="E26227" s="185" t="s">
        <v>470</v>
      </c>
      <c r="H26227" s="185"/>
    </row>
    <row r="26228">
      <c r="D26228" s="185"/>
      <c r="E26228" s="185" t="s">
        <v>470</v>
      </c>
      <c r="H26228" s="185"/>
    </row>
    <row r="26229">
      <c r="D26229" s="185"/>
      <c r="E26229" s="185" t="s">
        <v>470</v>
      </c>
      <c r="H26229" s="185"/>
    </row>
    <row r="26230">
      <c r="D26230" s="185"/>
      <c r="E26230" s="185" t="s">
        <v>470</v>
      </c>
      <c r="H26230" s="185"/>
    </row>
    <row r="26231">
      <c r="D26231" s="185"/>
      <c r="E26231" s="185" t="s">
        <v>470</v>
      </c>
      <c r="H26231" s="185"/>
    </row>
    <row r="26232">
      <c r="D26232" s="185"/>
      <c r="E26232" s="185" t="s">
        <v>470</v>
      </c>
      <c r="H26232" s="185"/>
    </row>
    <row r="26233">
      <c r="D26233" s="185"/>
      <c r="E26233" s="185" t="s">
        <v>470</v>
      </c>
      <c r="H26233" s="185"/>
    </row>
    <row r="26234">
      <c r="D26234" s="185"/>
      <c r="E26234" s="185" t="s">
        <v>470</v>
      </c>
      <c r="H26234" s="185"/>
    </row>
    <row r="26235">
      <c r="D26235" s="185"/>
      <c r="E26235" s="185" t="s">
        <v>470</v>
      </c>
      <c r="H26235" s="185"/>
    </row>
    <row r="26236">
      <c r="D26236" s="185"/>
      <c r="E26236" s="185" t="s">
        <v>470</v>
      </c>
      <c r="H26236" s="185"/>
    </row>
    <row r="26237">
      <c r="D26237" s="185"/>
      <c r="E26237" s="185" t="s">
        <v>470</v>
      </c>
      <c r="H26237" s="185"/>
    </row>
    <row r="26238">
      <c r="D26238" s="185"/>
      <c r="E26238" s="185" t="s">
        <v>470</v>
      </c>
      <c r="H26238" s="185"/>
    </row>
    <row r="26239">
      <c r="D26239" s="185"/>
      <c r="E26239" s="185" t="s">
        <v>470</v>
      </c>
      <c r="H26239" s="185"/>
    </row>
    <row r="26240">
      <c r="D26240" s="185"/>
      <c r="E26240" s="185" t="s">
        <v>470</v>
      </c>
      <c r="H26240" s="185"/>
    </row>
    <row r="26241">
      <c r="D26241" s="185"/>
      <c r="E26241" s="185" t="s">
        <v>470</v>
      </c>
      <c r="H26241" s="185"/>
    </row>
    <row r="26242">
      <c r="D26242" s="185"/>
      <c r="E26242" s="185" t="s">
        <v>470</v>
      </c>
      <c r="H26242" s="185"/>
    </row>
    <row r="26243">
      <c r="D26243" s="185"/>
      <c r="E26243" s="185" t="s">
        <v>470</v>
      </c>
      <c r="H26243" s="185"/>
    </row>
    <row r="26244">
      <c r="D26244" s="185"/>
      <c r="E26244" s="185" t="s">
        <v>470</v>
      </c>
      <c r="H26244" s="185"/>
    </row>
    <row r="26245">
      <c r="D26245" s="185"/>
      <c r="E26245" s="185" t="s">
        <v>470</v>
      </c>
      <c r="H26245" s="185"/>
    </row>
    <row r="26246">
      <c r="D26246" s="185"/>
      <c r="E26246" s="185" t="s">
        <v>470</v>
      </c>
      <c r="H26246" s="185"/>
    </row>
    <row r="26247">
      <c r="D26247" s="185"/>
      <c r="E26247" s="185" t="s">
        <v>470</v>
      </c>
      <c r="H26247" s="185"/>
    </row>
    <row r="26248">
      <c r="D26248" s="185"/>
      <c r="E26248" s="185" t="s">
        <v>470</v>
      </c>
      <c r="H26248" s="185"/>
    </row>
    <row r="26249">
      <c r="D26249" s="185"/>
      <c r="E26249" s="185" t="s">
        <v>470</v>
      </c>
      <c r="H26249" s="185"/>
    </row>
    <row r="26250">
      <c r="D26250" s="185"/>
      <c r="E26250" s="185" t="s">
        <v>470</v>
      </c>
      <c r="H26250" s="185"/>
    </row>
    <row r="26251">
      <c r="D26251" s="185"/>
      <c r="E26251" s="185" t="s">
        <v>470</v>
      </c>
      <c r="H26251" s="185"/>
    </row>
    <row r="26252">
      <c r="D26252" s="185"/>
      <c r="E26252" s="185" t="s">
        <v>470</v>
      </c>
      <c r="H26252" s="185"/>
    </row>
    <row r="26253">
      <c r="D26253" s="185"/>
      <c r="E26253" s="185" t="s">
        <v>470</v>
      </c>
      <c r="H26253" s="185"/>
    </row>
    <row r="26254">
      <c r="D26254" s="185"/>
      <c r="E26254" s="185" t="s">
        <v>470</v>
      </c>
      <c r="H26254" s="185"/>
    </row>
    <row r="26255">
      <c r="D26255" s="185"/>
      <c r="E26255" s="185" t="s">
        <v>470</v>
      </c>
      <c r="H26255" s="185"/>
    </row>
    <row r="26256">
      <c r="D26256" s="185"/>
      <c r="E26256" s="185" t="s">
        <v>470</v>
      </c>
      <c r="H26256" s="185"/>
    </row>
    <row r="26257">
      <c r="D26257" s="185"/>
      <c r="E26257" s="185" t="s">
        <v>470</v>
      </c>
      <c r="H26257" s="185"/>
    </row>
    <row r="26258">
      <c r="D26258" s="185"/>
      <c r="E26258" s="185" t="s">
        <v>470</v>
      </c>
      <c r="H26258" s="185"/>
    </row>
    <row r="26259">
      <c r="D26259" s="185"/>
      <c r="E26259" s="185" t="s">
        <v>470</v>
      </c>
      <c r="H26259" s="185"/>
    </row>
    <row r="26260">
      <c r="D26260" s="185"/>
      <c r="E26260" s="185" t="s">
        <v>470</v>
      </c>
      <c r="H26260" s="185"/>
    </row>
    <row r="26261">
      <c r="D26261" s="185"/>
      <c r="E26261" s="185" t="s">
        <v>470</v>
      </c>
      <c r="H26261" s="185"/>
    </row>
    <row r="26262">
      <c r="D26262" s="185"/>
      <c r="E26262" s="185" t="s">
        <v>470</v>
      </c>
      <c r="H26262" s="185"/>
    </row>
    <row r="26263">
      <c r="D26263" s="185"/>
      <c r="E26263" s="185" t="s">
        <v>470</v>
      </c>
      <c r="H26263" s="185"/>
    </row>
    <row r="26264">
      <c r="D26264" s="185"/>
      <c r="E26264" s="185" t="s">
        <v>470</v>
      </c>
      <c r="H26264" s="185"/>
    </row>
    <row r="26265">
      <c r="D26265" s="185"/>
      <c r="E26265" s="185" t="s">
        <v>470</v>
      </c>
      <c r="H26265" s="185"/>
    </row>
    <row r="26266">
      <c r="D26266" s="185"/>
      <c r="E26266" s="185" t="s">
        <v>470</v>
      </c>
      <c r="H26266" s="185"/>
    </row>
    <row r="26267">
      <c r="D26267" s="185"/>
      <c r="E26267" s="185" t="s">
        <v>470</v>
      </c>
      <c r="H26267" s="185"/>
    </row>
    <row r="26268">
      <c r="D26268" s="185"/>
      <c r="E26268" s="185" t="s">
        <v>470</v>
      </c>
      <c r="H26268" s="185"/>
    </row>
    <row r="26269">
      <c r="D26269" s="185"/>
      <c r="E26269" s="185" t="s">
        <v>470</v>
      </c>
      <c r="H26269" s="185"/>
    </row>
    <row r="26270">
      <c r="D26270" s="185"/>
      <c r="E26270" s="185" t="s">
        <v>470</v>
      </c>
      <c r="H26270" s="185"/>
    </row>
    <row r="26271">
      <c r="D26271" s="185"/>
      <c r="E26271" s="185" t="s">
        <v>470</v>
      </c>
      <c r="H26271" s="185"/>
    </row>
    <row r="26272">
      <c r="D26272" s="185"/>
      <c r="E26272" s="185" t="s">
        <v>470</v>
      </c>
      <c r="H26272" s="185"/>
    </row>
    <row r="26273">
      <c r="D26273" s="185"/>
      <c r="E26273" s="185" t="s">
        <v>470</v>
      </c>
      <c r="H26273" s="185"/>
    </row>
    <row r="26274">
      <c r="D26274" s="185"/>
      <c r="E26274" s="185" t="s">
        <v>470</v>
      </c>
      <c r="H26274" s="185"/>
    </row>
    <row r="26275">
      <c r="D26275" s="185"/>
      <c r="E26275" s="185" t="s">
        <v>470</v>
      </c>
      <c r="H26275" s="185"/>
    </row>
    <row r="26276">
      <c r="D26276" s="185"/>
      <c r="E26276" s="185" t="s">
        <v>470</v>
      </c>
      <c r="H26276" s="185"/>
    </row>
    <row r="26277">
      <c r="D26277" s="185"/>
      <c r="E26277" s="185" t="s">
        <v>470</v>
      </c>
      <c r="H26277" s="185"/>
    </row>
    <row r="26278">
      <c r="D26278" s="185"/>
      <c r="E26278" s="185" t="s">
        <v>470</v>
      </c>
      <c r="H26278" s="185"/>
    </row>
    <row r="26279">
      <c r="D26279" s="185"/>
      <c r="E26279" s="185" t="s">
        <v>470</v>
      </c>
      <c r="H26279" s="185"/>
    </row>
    <row r="26280">
      <c r="D26280" s="185"/>
      <c r="E26280" s="185" t="s">
        <v>470</v>
      </c>
      <c r="H26280" s="185"/>
    </row>
    <row r="26281">
      <c r="D26281" s="185"/>
      <c r="E26281" s="185" t="s">
        <v>470</v>
      </c>
      <c r="H26281" s="185"/>
    </row>
    <row r="26282">
      <c r="D26282" s="185"/>
      <c r="E26282" s="185" t="s">
        <v>470</v>
      </c>
      <c r="H26282" s="185"/>
    </row>
    <row r="26283">
      <c r="D26283" s="185"/>
      <c r="E26283" s="185" t="s">
        <v>470</v>
      </c>
      <c r="H26283" s="185"/>
    </row>
    <row r="26284">
      <c r="D26284" s="185"/>
      <c r="E26284" s="185" t="s">
        <v>470</v>
      </c>
      <c r="H26284" s="185"/>
    </row>
    <row r="26285">
      <c r="D26285" s="185"/>
      <c r="E26285" s="185" t="s">
        <v>470</v>
      </c>
      <c r="H26285" s="185"/>
    </row>
    <row r="26286">
      <c r="D26286" s="185"/>
      <c r="E26286" s="185" t="s">
        <v>470</v>
      </c>
      <c r="H26286" s="185"/>
    </row>
    <row r="26287">
      <c r="D26287" s="185"/>
      <c r="E26287" s="185" t="s">
        <v>470</v>
      </c>
      <c r="H26287" s="185"/>
    </row>
    <row r="26288">
      <c r="D26288" s="185"/>
      <c r="E26288" s="185" t="s">
        <v>470</v>
      </c>
      <c r="H26288" s="185"/>
    </row>
    <row r="26289">
      <c r="D26289" s="185"/>
      <c r="E26289" s="185" t="s">
        <v>470</v>
      </c>
      <c r="H26289" s="185"/>
    </row>
    <row r="26290">
      <c r="D26290" s="185"/>
      <c r="E26290" s="185" t="s">
        <v>470</v>
      </c>
      <c r="H26290" s="185"/>
    </row>
    <row r="26291">
      <c r="D26291" s="185"/>
      <c r="E26291" s="185" t="s">
        <v>470</v>
      </c>
      <c r="H26291" s="185"/>
    </row>
    <row r="26292">
      <c r="D26292" s="185"/>
      <c r="E26292" s="185" t="s">
        <v>470</v>
      </c>
      <c r="H26292" s="185"/>
    </row>
    <row r="26293">
      <c r="D26293" s="185"/>
      <c r="E26293" s="185" t="s">
        <v>470</v>
      </c>
      <c r="H26293" s="185"/>
    </row>
    <row r="26294">
      <c r="D26294" s="185"/>
      <c r="E26294" s="185" t="s">
        <v>470</v>
      </c>
      <c r="H26294" s="185"/>
    </row>
    <row r="26295">
      <c r="D26295" s="185"/>
      <c r="E26295" s="185" t="s">
        <v>470</v>
      </c>
      <c r="H26295" s="185"/>
    </row>
    <row r="26296">
      <c r="D26296" s="185"/>
      <c r="E26296" s="185" t="s">
        <v>470</v>
      </c>
      <c r="H26296" s="185"/>
    </row>
    <row r="26297">
      <c r="D26297" s="185"/>
      <c r="E26297" s="185" t="s">
        <v>470</v>
      </c>
      <c r="H26297" s="185"/>
    </row>
    <row r="26298">
      <c r="D26298" s="185"/>
      <c r="E26298" s="185" t="s">
        <v>470</v>
      </c>
      <c r="H26298" s="185"/>
    </row>
    <row r="26299">
      <c r="D26299" s="185"/>
      <c r="E26299" s="185" t="s">
        <v>470</v>
      </c>
      <c r="H26299" s="185"/>
    </row>
    <row r="26300">
      <c r="D26300" s="185"/>
      <c r="E26300" s="185" t="s">
        <v>470</v>
      </c>
      <c r="H26300" s="185"/>
    </row>
    <row r="26301">
      <c r="D26301" s="185"/>
      <c r="E26301" s="185" t="s">
        <v>470</v>
      </c>
      <c r="H26301" s="185"/>
    </row>
    <row r="26302">
      <c r="D26302" s="185"/>
      <c r="E26302" s="185" t="s">
        <v>470</v>
      </c>
      <c r="H26302" s="185"/>
    </row>
    <row r="26303">
      <c r="D26303" s="185"/>
      <c r="E26303" s="185" t="s">
        <v>470</v>
      </c>
      <c r="H26303" s="185"/>
    </row>
    <row r="26304">
      <c r="D26304" s="185"/>
      <c r="E26304" s="185" t="s">
        <v>470</v>
      </c>
      <c r="H26304" s="185"/>
    </row>
    <row r="26305">
      <c r="D26305" s="185"/>
      <c r="E26305" s="185" t="s">
        <v>470</v>
      </c>
      <c r="H26305" s="185"/>
    </row>
    <row r="26306">
      <c r="D26306" s="185"/>
      <c r="E26306" s="185" t="s">
        <v>470</v>
      </c>
      <c r="H26306" s="185"/>
    </row>
    <row r="26307">
      <c r="D26307" s="185"/>
      <c r="E26307" s="185" t="s">
        <v>470</v>
      </c>
      <c r="H26307" s="185"/>
    </row>
    <row r="26308">
      <c r="D26308" s="185"/>
      <c r="E26308" s="185" t="s">
        <v>470</v>
      </c>
      <c r="H26308" s="185"/>
    </row>
    <row r="26309">
      <c r="D26309" s="185"/>
      <c r="E26309" s="185" t="s">
        <v>470</v>
      </c>
      <c r="H26309" s="185"/>
    </row>
    <row r="26310">
      <c r="D26310" s="185"/>
      <c r="E26310" s="185" t="s">
        <v>470</v>
      </c>
      <c r="H26310" s="185"/>
    </row>
    <row r="26311">
      <c r="D26311" s="185"/>
      <c r="E26311" s="185" t="s">
        <v>470</v>
      </c>
      <c r="H26311" s="185"/>
    </row>
    <row r="26312">
      <c r="D26312" s="185"/>
      <c r="E26312" s="185" t="s">
        <v>470</v>
      </c>
      <c r="H26312" s="185"/>
    </row>
    <row r="26313">
      <c r="D26313" s="185"/>
      <c r="E26313" s="185" t="s">
        <v>470</v>
      </c>
      <c r="H26313" s="185"/>
    </row>
    <row r="26314">
      <c r="D26314" s="185"/>
      <c r="E26314" s="185" t="s">
        <v>470</v>
      </c>
      <c r="H26314" s="185"/>
    </row>
    <row r="26315">
      <c r="D26315" s="185"/>
      <c r="E26315" s="185" t="s">
        <v>470</v>
      </c>
      <c r="H26315" s="185"/>
    </row>
    <row r="26316">
      <c r="D26316" s="185"/>
      <c r="E26316" s="185" t="s">
        <v>470</v>
      </c>
      <c r="H26316" s="185"/>
    </row>
    <row r="26317">
      <c r="D26317" s="185"/>
      <c r="E26317" s="185" t="s">
        <v>470</v>
      </c>
      <c r="H26317" s="185"/>
    </row>
    <row r="26318">
      <c r="D26318" s="185"/>
      <c r="E26318" s="185" t="s">
        <v>470</v>
      </c>
      <c r="H26318" s="185"/>
    </row>
    <row r="26319">
      <c r="D26319" s="185"/>
      <c r="E26319" s="185" t="s">
        <v>470</v>
      </c>
      <c r="H26319" s="185"/>
    </row>
    <row r="26320">
      <c r="D26320" s="185"/>
      <c r="E26320" s="185" t="s">
        <v>470</v>
      </c>
      <c r="H26320" s="185"/>
    </row>
    <row r="26321">
      <c r="D26321" s="185"/>
      <c r="E26321" s="185" t="s">
        <v>470</v>
      </c>
      <c r="H26321" s="185"/>
    </row>
    <row r="26322">
      <c r="D26322" s="185"/>
      <c r="E26322" s="185" t="s">
        <v>470</v>
      </c>
      <c r="H26322" s="185"/>
    </row>
    <row r="26323">
      <c r="D26323" s="185"/>
      <c r="E26323" s="185" t="s">
        <v>470</v>
      </c>
      <c r="H26323" s="185"/>
    </row>
    <row r="26324">
      <c r="D26324" s="185"/>
      <c r="E26324" s="185" t="s">
        <v>470</v>
      </c>
      <c r="H26324" s="185"/>
    </row>
    <row r="26325">
      <c r="D26325" s="185"/>
      <c r="E26325" s="185" t="s">
        <v>470</v>
      </c>
      <c r="H26325" s="185"/>
    </row>
    <row r="26326">
      <c r="D26326" s="185"/>
      <c r="E26326" s="185" t="s">
        <v>470</v>
      </c>
      <c r="H26326" s="185"/>
    </row>
    <row r="26327">
      <c r="D26327" s="185"/>
      <c r="E26327" s="185" t="s">
        <v>470</v>
      </c>
      <c r="H26327" s="185"/>
    </row>
    <row r="26328">
      <c r="D26328" s="185"/>
      <c r="E26328" s="185" t="s">
        <v>470</v>
      </c>
      <c r="H26328" s="185"/>
    </row>
    <row r="26329">
      <c r="D26329" s="185"/>
      <c r="E26329" s="185" t="s">
        <v>470</v>
      </c>
      <c r="H26329" s="185"/>
    </row>
    <row r="26330">
      <c r="D26330" s="185"/>
      <c r="E26330" s="185" t="s">
        <v>470</v>
      </c>
      <c r="H26330" s="185"/>
    </row>
    <row r="26331">
      <c r="D26331" s="185"/>
      <c r="E26331" s="185" t="s">
        <v>470</v>
      </c>
      <c r="H26331" s="185"/>
    </row>
    <row r="26332">
      <c r="D26332" s="185"/>
      <c r="E26332" s="185" t="s">
        <v>470</v>
      </c>
      <c r="H26332" s="185"/>
    </row>
    <row r="26333">
      <c r="D26333" s="185"/>
      <c r="E26333" s="185" t="s">
        <v>470</v>
      </c>
      <c r="H26333" s="185"/>
    </row>
    <row r="26334">
      <c r="D26334" s="185"/>
      <c r="E26334" s="185" t="s">
        <v>470</v>
      </c>
      <c r="H26334" s="185"/>
    </row>
    <row r="26335">
      <c r="D26335" s="185"/>
      <c r="E26335" s="185" t="s">
        <v>470</v>
      </c>
      <c r="H26335" s="185"/>
    </row>
    <row r="26336">
      <c r="D26336" s="185"/>
      <c r="E26336" s="185" t="s">
        <v>470</v>
      </c>
      <c r="H26336" s="185"/>
    </row>
    <row r="26337">
      <c r="D26337" s="185"/>
      <c r="E26337" s="185" t="s">
        <v>470</v>
      </c>
      <c r="H26337" s="185"/>
    </row>
    <row r="26338">
      <c r="D26338" s="185"/>
      <c r="E26338" s="185" t="s">
        <v>470</v>
      </c>
      <c r="H26338" s="185"/>
    </row>
    <row r="26339">
      <c r="D26339" s="185"/>
      <c r="E26339" s="185" t="s">
        <v>470</v>
      </c>
      <c r="H26339" s="185"/>
    </row>
    <row r="26340">
      <c r="D26340" s="185"/>
      <c r="E26340" s="185" t="s">
        <v>470</v>
      </c>
      <c r="H26340" s="185"/>
    </row>
    <row r="26341">
      <c r="D26341" s="185"/>
      <c r="E26341" s="185" t="s">
        <v>470</v>
      </c>
      <c r="H26341" s="185"/>
    </row>
    <row r="26342">
      <c r="D26342" s="185"/>
      <c r="E26342" s="185" t="s">
        <v>470</v>
      </c>
      <c r="H26342" s="185"/>
    </row>
    <row r="26343">
      <c r="D26343" s="185"/>
      <c r="E26343" s="185" t="s">
        <v>470</v>
      </c>
      <c r="H26343" s="185"/>
    </row>
    <row r="26344">
      <c r="D26344" s="185"/>
      <c r="E26344" s="185" t="s">
        <v>470</v>
      </c>
      <c r="H26344" s="185"/>
    </row>
    <row r="26345">
      <c r="D26345" s="185"/>
      <c r="E26345" s="185" t="s">
        <v>470</v>
      </c>
      <c r="H26345" s="185"/>
    </row>
    <row r="26346">
      <c r="D26346" s="185"/>
      <c r="E26346" s="185" t="s">
        <v>470</v>
      </c>
      <c r="H26346" s="185"/>
    </row>
    <row r="26347">
      <c r="D26347" s="185"/>
      <c r="E26347" s="185" t="s">
        <v>470</v>
      </c>
      <c r="H26347" s="185"/>
    </row>
    <row r="26348">
      <c r="D26348" s="185"/>
      <c r="E26348" s="185" t="s">
        <v>470</v>
      </c>
      <c r="H26348" s="185"/>
    </row>
    <row r="26349">
      <c r="D26349" s="185"/>
      <c r="E26349" s="185" t="s">
        <v>470</v>
      </c>
      <c r="H26349" s="185"/>
    </row>
    <row r="26350">
      <c r="D26350" s="185"/>
      <c r="E26350" s="185" t="s">
        <v>470</v>
      </c>
      <c r="H26350" s="185"/>
    </row>
    <row r="26351">
      <c r="D26351" s="185"/>
      <c r="E26351" s="185" t="s">
        <v>470</v>
      </c>
      <c r="H26351" s="185"/>
    </row>
    <row r="26352">
      <c r="D26352" s="185"/>
      <c r="E26352" s="185" t="s">
        <v>470</v>
      </c>
      <c r="H26352" s="185"/>
    </row>
    <row r="26353">
      <c r="D26353" s="185"/>
      <c r="E26353" s="185" t="s">
        <v>470</v>
      </c>
      <c r="H26353" s="185"/>
    </row>
    <row r="26354">
      <c r="D26354" s="185"/>
      <c r="E26354" s="185" t="s">
        <v>470</v>
      </c>
      <c r="H26354" s="185"/>
    </row>
    <row r="26355">
      <c r="D26355" s="185"/>
      <c r="E26355" s="185" t="s">
        <v>470</v>
      </c>
      <c r="H26355" s="185"/>
    </row>
    <row r="26356">
      <c r="D26356" s="185"/>
      <c r="E26356" s="185" t="s">
        <v>470</v>
      </c>
      <c r="H26356" s="185"/>
    </row>
    <row r="26357">
      <c r="D26357" s="185"/>
      <c r="E26357" s="185" t="s">
        <v>470</v>
      </c>
      <c r="H26357" s="185"/>
    </row>
    <row r="26358">
      <c r="D26358" s="185"/>
      <c r="E26358" s="185" t="s">
        <v>470</v>
      </c>
      <c r="H26358" s="185"/>
    </row>
    <row r="26359">
      <c r="D26359" s="185"/>
      <c r="E26359" s="185" t="s">
        <v>470</v>
      </c>
      <c r="H26359" s="185"/>
    </row>
    <row r="26360">
      <c r="D26360" s="185"/>
      <c r="E26360" s="185" t="s">
        <v>470</v>
      </c>
      <c r="H26360" s="185"/>
    </row>
    <row r="26361">
      <c r="D26361" s="185"/>
      <c r="E26361" s="185" t="s">
        <v>470</v>
      </c>
      <c r="H26361" s="185"/>
    </row>
    <row r="26362">
      <c r="D26362" s="185"/>
      <c r="E26362" s="185" t="s">
        <v>470</v>
      </c>
      <c r="H26362" s="185"/>
    </row>
    <row r="26363">
      <c r="D26363" s="185"/>
      <c r="E26363" s="185" t="s">
        <v>470</v>
      </c>
      <c r="H26363" s="185"/>
    </row>
    <row r="26364">
      <c r="D26364" s="185"/>
      <c r="E26364" s="185" t="s">
        <v>470</v>
      </c>
      <c r="H26364" s="185"/>
    </row>
    <row r="26365">
      <c r="D26365" s="185"/>
      <c r="E26365" s="185" t="s">
        <v>470</v>
      </c>
      <c r="H26365" s="185"/>
    </row>
    <row r="26366">
      <c r="D26366" s="185"/>
      <c r="E26366" s="185" t="s">
        <v>470</v>
      </c>
      <c r="H26366" s="185"/>
    </row>
    <row r="26367">
      <c r="D26367" s="185"/>
      <c r="E26367" s="185" t="s">
        <v>470</v>
      </c>
      <c r="H26367" s="185"/>
    </row>
    <row r="26368">
      <c r="D26368" s="185"/>
      <c r="E26368" s="185" t="s">
        <v>470</v>
      </c>
      <c r="H26368" s="185"/>
    </row>
    <row r="26369">
      <c r="D26369" s="185"/>
      <c r="E26369" s="185" t="s">
        <v>470</v>
      </c>
      <c r="H26369" s="185"/>
    </row>
    <row r="26370">
      <c r="D26370" s="185"/>
      <c r="E26370" s="185" t="s">
        <v>470</v>
      </c>
      <c r="H26370" s="185"/>
    </row>
    <row r="26371">
      <c r="D26371" s="185"/>
      <c r="E26371" s="185" t="s">
        <v>470</v>
      </c>
      <c r="H26371" s="185"/>
    </row>
    <row r="26372">
      <c r="D26372" s="185"/>
      <c r="E26372" s="185" t="s">
        <v>470</v>
      </c>
      <c r="H26372" s="185"/>
    </row>
    <row r="26373">
      <c r="D26373" s="185"/>
      <c r="E26373" s="185" t="s">
        <v>470</v>
      </c>
      <c r="H26373" s="185"/>
    </row>
    <row r="26374">
      <c r="D26374" s="185"/>
      <c r="E26374" s="185" t="s">
        <v>470</v>
      </c>
      <c r="H26374" s="185"/>
    </row>
    <row r="26375">
      <c r="D26375" s="185"/>
      <c r="E26375" s="185" t="s">
        <v>470</v>
      </c>
      <c r="H26375" s="185"/>
    </row>
    <row r="26376">
      <c r="D26376" s="185"/>
      <c r="E26376" s="185" t="s">
        <v>470</v>
      </c>
      <c r="H26376" s="185"/>
    </row>
    <row r="26377">
      <c r="D26377" s="185"/>
      <c r="E26377" s="185" t="s">
        <v>470</v>
      </c>
      <c r="H26377" s="185"/>
    </row>
    <row r="26378">
      <c r="D26378" s="185"/>
      <c r="E26378" s="185" t="s">
        <v>470</v>
      </c>
      <c r="H26378" s="185"/>
    </row>
    <row r="26379">
      <c r="D26379" s="185"/>
      <c r="E26379" s="185" t="s">
        <v>470</v>
      </c>
      <c r="H26379" s="185"/>
    </row>
    <row r="26380">
      <c r="D26380" s="185"/>
      <c r="E26380" s="185" t="s">
        <v>470</v>
      </c>
      <c r="H26380" s="185"/>
    </row>
    <row r="26381">
      <c r="D26381" s="185"/>
      <c r="E26381" s="185" t="s">
        <v>470</v>
      </c>
      <c r="H26381" s="185"/>
    </row>
    <row r="26382">
      <c r="D26382" s="185"/>
      <c r="E26382" s="185" t="s">
        <v>470</v>
      </c>
      <c r="H26382" s="185"/>
    </row>
    <row r="26383">
      <c r="D26383" s="185"/>
      <c r="E26383" s="185" t="s">
        <v>470</v>
      </c>
      <c r="H26383" s="185"/>
    </row>
    <row r="26384">
      <c r="D26384" s="185"/>
      <c r="E26384" s="185" t="s">
        <v>470</v>
      </c>
      <c r="H26384" s="185"/>
    </row>
    <row r="26385">
      <c r="D26385" s="185"/>
      <c r="E26385" s="185" t="s">
        <v>470</v>
      </c>
      <c r="H26385" s="185"/>
    </row>
    <row r="26386">
      <c r="D26386" s="185"/>
      <c r="E26386" s="185" t="s">
        <v>470</v>
      </c>
      <c r="H26386" s="185"/>
    </row>
    <row r="26387">
      <c r="D26387" s="185"/>
      <c r="E26387" s="185" t="s">
        <v>470</v>
      </c>
      <c r="H26387" s="185"/>
    </row>
    <row r="26388">
      <c r="D26388" s="185"/>
      <c r="E26388" s="185" t="s">
        <v>470</v>
      </c>
      <c r="H26388" s="185"/>
    </row>
    <row r="26389">
      <c r="D26389" s="185"/>
      <c r="E26389" s="185" t="s">
        <v>470</v>
      </c>
      <c r="H26389" s="185"/>
    </row>
    <row r="26390">
      <c r="D26390" s="185"/>
      <c r="E26390" s="185" t="s">
        <v>470</v>
      </c>
      <c r="H26390" s="185"/>
    </row>
    <row r="26391">
      <c r="D26391" s="185"/>
      <c r="E26391" s="185" t="s">
        <v>470</v>
      </c>
      <c r="H26391" s="185"/>
    </row>
    <row r="26392">
      <c r="D26392" s="185"/>
      <c r="E26392" s="185" t="s">
        <v>470</v>
      </c>
      <c r="H26392" s="185"/>
    </row>
    <row r="26393">
      <c r="D26393" s="185"/>
      <c r="E26393" s="185" t="s">
        <v>470</v>
      </c>
      <c r="H26393" s="185"/>
    </row>
    <row r="26394">
      <c r="D26394" s="185"/>
      <c r="E26394" s="185" t="s">
        <v>470</v>
      </c>
      <c r="H26394" s="185"/>
    </row>
    <row r="26395">
      <c r="D26395" s="185"/>
      <c r="E26395" s="185" t="s">
        <v>470</v>
      </c>
      <c r="H26395" s="185"/>
    </row>
    <row r="26396">
      <c r="D26396" s="185"/>
      <c r="E26396" s="185" t="s">
        <v>470</v>
      </c>
      <c r="H26396" s="185"/>
    </row>
    <row r="26397">
      <c r="D26397" s="185"/>
      <c r="E26397" s="185" t="s">
        <v>470</v>
      </c>
      <c r="H26397" s="185"/>
    </row>
    <row r="26398">
      <c r="D26398" s="185"/>
      <c r="E26398" s="185" t="s">
        <v>470</v>
      </c>
      <c r="H26398" s="185"/>
    </row>
    <row r="26399">
      <c r="D26399" s="185"/>
      <c r="E26399" s="185" t="s">
        <v>470</v>
      </c>
      <c r="H26399" s="185"/>
    </row>
    <row r="26400">
      <c r="D26400" s="185"/>
      <c r="E26400" s="185" t="s">
        <v>470</v>
      </c>
      <c r="H26400" s="185"/>
    </row>
    <row r="26401">
      <c r="D26401" s="185"/>
      <c r="E26401" s="185" t="s">
        <v>470</v>
      </c>
      <c r="H26401" s="185"/>
    </row>
    <row r="26402">
      <c r="D26402" s="185"/>
      <c r="E26402" s="185" t="s">
        <v>470</v>
      </c>
      <c r="H26402" s="185"/>
    </row>
    <row r="26403">
      <c r="D26403" s="185"/>
      <c r="E26403" s="185" t="s">
        <v>470</v>
      </c>
      <c r="H26403" s="185"/>
    </row>
    <row r="26404">
      <c r="D26404" s="185"/>
      <c r="E26404" s="185" t="s">
        <v>470</v>
      </c>
      <c r="H26404" s="185"/>
    </row>
    <row r="26405">
      <c r="D26405" s="185"/>
      <c r="E26405" s="185" t="s">
        <v>470</v>
      </c>
      <c r="H26405" s="185"/>
    </row>
    <row r="26406">
      <c r="D26406" s="185"/>
      <c r="E26406" s="185" t="s">
        <v>470</v>
      </c>
      <c r="H26406" s="185"/>
    </row>
    <row r="26407">
      <c r="D26407" s="185"/>
      <c r="E26407" s="185" t="s">
        <v>470</v>
      </c>
      <c r="H26407" s="185"/>
    </row>
    <row r="26408">
      <c r="D26408" s="185"/>
      <c r="E26408" s="185" t="s">
        <v>470</v>
      </c>
      <c r="H26408" s="185"/>
    </row>
    <row r="26409">
      <c r="D26409" s="185"/>
      <c r="E26409" s="185" t="s">
        <v>470</v>
      </c>
      <c r="H26409" s="185"/>
    </row>
    <row r="26410">
      <c r="D26410" s="185"/>
      <c r="E26410" s="185" t="s">
        <v>470</v>
      </c>
      <c r="H26410" s="185"/>
    </row>
    <row r="26411">
      <c r="D26411" s="185"/>
      <c r="E26411" s="185" t="s">
        <v>470</v>
      </c>
      <c r="H26411" s="185"/>
    </row>
    <row r="26412">
      <c r="D26412" s="185"/>
      <c r="E26412" s="185" t="s">
        <v>470</v>
      </c>
      <c r="H26412" s="185"/>
    </row>
    <row r="26413">
      <c r="D26413" s="185"/>
      <c r="E26413" s="185" t="s">
        <v>470</v>
      </c>
      <c r="H26413" s="185"/>
    </row>
    <row r="26414">
      <c r="D26414" s="185"/>
      <c r="E26414" s="185" t="s">
        <v>470</v>
      </c>
      <c r="H26414" s="185"/>
    </row>
    <row r="26415">
      <c r="D26415" s="185"/>
      <c r="E26415" s="185" t="s">
        <v>470</v>
      </c>
      <c r="H26415" s="185"/>
    </row>
    <row r="26416">
      <c r="D26416" s="185"/>
      <c r="E26416" s="185" t="s">
        <v>470</v>
      </c>
      <c r="H26416" s="185"/>
    </row>
    <row r="26417">
      <c r="D26417" s="185"/>
      <c r="E26417" s="185" t="s">
        <v>470</v>
      </c>
      <c r="H26417" s="185"/>
    </row>
    <row r="26418">
      <c r="D26418" s="185"/>
      <c r="E26418" s="185" t="s">
        <v>470</v>
      </c>
      <c r="H26418" s="185"/>
    </row>
    <row r="26419">
      <c r="D26419" s="185"/>
      <c r="E26419" s="185" t="s">
        <v>470</v>
      </c>
      <c r="H26419" s="185"/>
    </row>
    <row r="26420">
      <c r="D26420" s="185"/>
      <c r="E26420" s="185" t="s">
        <v>470</v>
      </c>
      <c r="H26420" s="185"/>
    </row>
    <row r="26421">
      <c r="D26421" s="185"/>
      <c r="E26421" s="185" t="s">
        <v>470</v>
      </c>
      <c r="H26421" s="185"/>
    </row>
    <row r="26422">
      <c r="D26422" s="185"/>
      <c r="E26422" s="185" t="s">
        <v>470</v>
      </c>
      <c r="H26422" s="185"/>
    </row>
    <row r="26423">
      <c r="D26423" s="185"/>
      <c r="E26423" s="185" t="s">
        <v>470</v>
      </c>
      <c r="H26423" s="185"/>
    </row>
    <row r="26424">
      <c r="D26424" s="185"/>
      <c r="E26424" s="185" t="s">
        <v>470</v>
      </c>
      <c r="H26424" s="185"/>
    </row>
    <row r="26425">
      <c r="D26425" s="185"/>
      <c r="E26425" s="185" t="s">
        <v>470</v>
      </c>
      <c r="H26425" s="185"/>
    </row>
    <row r="26426">
      <c r="D26426" s="185"/>
      <c r="E26426" s="185" t="s">
        <v>470</v>
      </c>
      <c r="H26426" s="185"/>
    </row>
    <row r="26427">
      <c r="D26427" s="185"/>
      <c r="E26427" s="185" t="s">
        <v>470</v>
      </c>
      <c r="H26427" s="185"/>
    </row>
    <row r="26428">
      <c r="D26428" s="185"/>
      <c r="E26428" s="185" t="s">
        <v>470</v>
      </c>
      <c r="H26428" s="185"/>
    </row>
    <row r="26429">
      <c r="D26429" s="185"/>
      <c r="E26429" s="185" t="s">
        <v>470</v>
      </c>
      <c r="H26429" s="185"/>
    </row>
    <row r="26430">
      <c r="D26430" s="185"/>
      <c r="E26430" s="185" t="s">
        <v>470</v>
      </c>
      <c r="H26430" s="185"/>
    </row>
    <row r="26431">
      <c r="D26431" s="185"/>
      <c r="E26431" s="185" t="s">
        <v>470</v>
      </c>
      <c r="H26431" s="185"/>
    </row>
    <row r="26432">
      <c r="D26432" s="185"/>
      <c r="E26432" s="185" t="s">
        <v>470</v>
      </c>
      <c r="H26432" s="185"/>
    </row>
    <row r="26433">
      <c r="D26433" s="185"/>
      <c r="E26433" s="185" t="s">
        <v>470</v>
      </c>
      <c r="H26433" s="185"/>
    </row>
    <row r="26434">
      <c r="D26434" s="185"/>
      <c r="E26434" s="185" t="s">
        <v>470</v>
      </c>
      <c r="H26434" s="185"/>
    </row>
    <row r="26435">
      <c r="D26435" s="185"/>
      <c r="E26435" s="185" t="s">
        <v>470</v>
      </c>
      <c r="H26435" s="185"/>
    </row>
    <row r="26436">
      <c r="D26436" s="185"/>
      <c r="E26436" s="185" t="s">
        <v>470</v>
      </c>
      <c r="H26436" s="185"/>
    </row>
    <row r="26437">
      <c r="D26437" s="185"/>
      <c r="E26437" s="185" t="s">
        <v>470</v>
      </c>
      <c r="H26437" s="185"/>
    </row>
    <row r="26438">
      <c r="D26438" s="185"/>
      <c r="E26438" s="185" t="s">
        <v>470</v>
      </c>
      <c r="H26438" s="185"/>
    </row>
    <row r="26439">
      <c r="D26439" s="185"/>
      <c r="E26439" s="185" t="s">
        <v>470</v>
      </c>
      <c r="H26439" s="185"/>
    </row>
    <row r="26440">
      <c r="D26440" s="185"/>
      <c r="E26440" s="185" t="s">
        <v>470</v>
      </c>
      <c r="H26440" s="185"/>
    </row>
    <row r="26441">
      <c r="D26441" s="185"/>
      <c r="E26441" s="185" t="s">
        <v>470</v>
      </c>
      <c r="H26441" s="185"/>
    </row>
    <row r="26442">
      <c r="D26442" s="185"/>
      <c r="E26442" s="185" t="s">
        <v>470</v>
      </c>
      <c r="H26442" s="185"/>
    </row>
    <row r="26443">
      <c r="D26443" s="185"/>
      <c r="E26443" s="185" t="s">
        <v>470</v>
      </c>
      <c r="H26443" s="185"/>
    </row>
    <row r="26444">
      <c r="D26444" s="185"/>
      <c r="E26444" s="185" t="s">
        <v>470</v>
      </c>
      <c r="H26444" s="185"/>
    </row>
    <row r="26445">
      <c r="D26445" s="185"/>
      <c r="E26445" s="185" t="s">
        <v>470</v>
      </c>
      <c r="H26445" s="185"/>
    </row>
    <row r="26446">
      <c r="D26446" s="185"/>
      <c r="E26446" s="185" t="s">
        <v>470</v>
      </c>
      <c r="H26446" s="185"/>
    </row>
    <row r="26447">
      <c r="D26447" s="185"/>
      <c r="E26447" s="185" t="s">
        <v>470</v>
      </c>
      <c r="H26447" s="185"/>
    </row>
    <row r="26448">
      <c r="D26448" s="185"/>
      <c r="E26448" s="185" t="s">
        <v>470</v>
      </c>
      <c r="H26448" s="185"/>
    </row>
    <row r="26449">
      <c r="D26449" s="185"/>
      <c r="E26449" s="185" t="s">
        <v>470</v>
      </c>
      <c r="H26449" s="185"/>
    </row>
    <row r="26450">
      <c r="D26450" s="185"/>
      <c r="E26450" s="185" t="s">
        <v>470</v>
      </c>
      <c r="H26450" s="185"/>
    </row>
    <row r="26451">
      <c r="D26451" s="185"/>
      <c r="E26451" s="185" t="s">
        <v>470</v>
      </c>
      <c r="H26451" s="185"/>
    </row>
    <row r="26452">
      <c r="D26452" s="185"/>
      <c r="E26452" s="185" t="s">
        <v>470</v>
      </c>
      <c r="H26452" s="185"/>
    </row>
    <row r="26453">
      <c r="D26453" s="185"/>
      <c r="E26453" s="185" t="s">
        <v>470</v>
      </c>
      <c r="H26453" s="185"/>
    </row>
    <row r="26454">
      <c r="D26454" s="185"/>
      <c r="E26454" s="185" t="s">
        <v>470</v>
      </c>
      <c r="H26454" s="185"/>
    </row>
    <row r="26455">
      <c r="D26455" s="185"/>
      <c r="E26455" s="185" t="s">
        <v>470</v>
      </c>
      <c r="H26455" s="185"/>
    </row>
    <row r="26456">
      <c r="D26456" s="185"/>
      <c r="E26456" s="185" t="s">
        <v>470</v>
      </c>
      <c r="H26456" s="185"/>
    </row>
    <row r="26457">
      <c r="D26457" s="185"/>
      <c r="E26457" s="185" t="s">
        <v>470</v>
      </c>
      <c r="H26457" s="185"/>
    </row>
    <row r="26458">
      <c r="D26458" s="185"/>
      <c r="E26458" s="185" t="s">
        <v>470</v>
      </c>
      <c r="H26458" s="185"/>
    </row>
    <row r="26459">
      <c r="D26459" s="185"/>
      <c r="E26459" s="185" t="s">
        <v>470</v>
      </c>
      <c r="H26459" s="185"/>
    </row>
    <row r="26460">
      <c r="D26460" s="185"/>
      <c r="E26460" s="185" t="s">
        <v>470</v>
      </c>
      <c r="H26460" s="185"/>
    </row>
    <row r="26461">
      <c r="D26461" s="185"/>
      <c r="E26461" s="185" t="s">
        <v>470</v>
      </c>
      <c r="H26461" s="185"/>
    </row>
    <row r="26462">
      <c r="D26462" s="185"/>
      <c r="E26462" s="185" t="s">
        <v>470</v>
      </c>
      <c r="H26462" s="185"/>
    </row>
    <row r="26463">
      <c r="D26463" s="185"/>
      <c r="E26463" s="185" t="s">
        <v>470</v>
      </c>
      <c r="H26463" s="185"/>
    </row>
    <row r="26464">
      <c r="D26464" s="185"/>
      <c r="E26464" s="185" t="s">
        <v>470</v>
      </c>
      <c r="H26464" s="185"/>
    </row>
    <row r="26465">
      <c r="D26465" s="185"/>
      <c r="E26465" s="185" t="s">
        <v>470</v>
      </c>
      <c r="H26465" s="185"/>
    </row>
    <row r="26466">
      <c r="D26466" s="185"/>
      <c r="E26466" s="185" t="s">
        <v>470</v>
      </c>
      <c r="H26466" s="185"/>
    </row>
    <row r="26467">
      <c r="D26467" s="185"/>
      <c r="E26467" s="185" t="s">
        <v>470</v>
      </c>
      <c r="H26467" s="185"/>
    </row>
    <row r="26468">
      <c r="D26468" s="185"/>
      <c r="E26468" s="185" t="s">
        <v>470</v>
      </c>
      <c r="H26468" s="185"/>
    </row>
    <row r="26469">
      <c r="D26469" s="185"/>
      <c r="E26469" s="185" t="s">
        <v>470</v>
      </c>
      <c r="H26469" s="185"/>
    </row>
    <row r="26470">
      <c r="D26470" s="185"/>
      <c r="E26470" s="185" t="s">
        <v>470</v>
      </c>
      <c r="H26470" s="185"/>
    </row>
    <row r="26471">
      <c r="D26471" s="185"/>
      <c r="E26471" s="185" t="s">
        <v>470</v>
      </c>
      <c r="H26471" s="185"/>
    </row>
    <row r="26472">
      <c r="D26472" s="185"/>
      <c r="E26472" s="185" t="s">
        <v>470</v>
      </c>
      <c r="H26472" s="185"/>
    </row>
    <row r="26473">
      <c r="D26473" s="185"/>
      <c r="E26473" s="185" t="s">
        <v>470</v>
      </c>
      <c r="H26473" s="185"/>
    </row>
    <row r="26474">
      <c r="D26474" s="185"/>
      <c r="E26474" s="185" t="s">
        <v>470</v>
      </c>
      <c r="H26474" s="185"/>
    </row>
    <row r="26475">
      <c r="D26475" s="185"/>
      <c r="E26475" s="185" t="s">
        <v>470</v>
      </c>
      <c r="H26475" s="185"/>
    </row>
    <row r="26476">
      <c r="D26476" s="185"/>
      <c r="E26476" s="185" t="s">
        <v>470</v>
      </c>
      <c r="H26476" s="185"/>
    </row>
    <row r="26477">
      <c r="D26477" s="185"/>
      <c r="E26477" s="185" t="s">
        <v>470</v>
      </c>
      <c r="H26477" s="185"/>
    </row>
    <row r="26478">
      <c r="D26478" s="185"/>
      <c r="E26478" s="185" t="s">
        <v>470</v>
      </c>
      <c r="H26478" s="185"/>
    </row>
    <row r="26479">
      <c r="D26479" s="185"/>
      <c r="E26479" s="185" t="s">
        <v>470</v>
      </c>
      <c r="H26479" s="185"/>
    </row>
    <row r="26480">
      <c r="D26480" s="185"/>
      <c r="E26480" s="185" t="s">
        <v>470</v>
      </c>
      <c r="H26480" s="185"/>
    </row>
    <row r="26481">
      <c r="D26481" s="185"/>
      <c r="E26481" s="185" t="s">
        <v>470</v>
      </c>
      <c r="H26481" s="185"/>
    </row>
    <row r="26482">
      <c r="D26482" s="185"/>
      <c r="E26482" s="185" t="s">
        <v>470</v>
      </c>
      <c r="H26482" s="185"/>
    </row>
    <row r="26483">
      <c r="D26483" s="185"/>
      <c r="E26483" s="185" t="s">
        <v>470</v>
      </c>
      <c r="H26483" s="185"/>
    </row>
    <row r="26484">
      <c r="D26484" s="185"/>
      <c r="E26484" s="185" t="s">
        <v>470</v>
      </c>
      <c r="H26484" s="185"/>
    </row>
    <row r="26485">
      <c r="D26485" s="185"/>
      <c r="E26485" s="185" t="s">
        <v>470</v>
      </c>
      <c r="H26485" s="185"/>
    </row>
    <row r="26486">
      <c r="D26486" s="185"/>
      <c r="E26486" s="185" t="s">
        <v>470</v>
      </c>
      <c r="H26486" s="185"/>
    </row>
    <row r="26487">
      <c r="D26487" s="185"/>
      <c r="E26487" s="185" t="s">
        <v>470</v>
      </c>
      <c r="H26487" s="185"/>
    </row>
    <row r="26488">
      <c r="D26488" s="185"/>
      <c r="E26488" s="185" t="s">
        <v>470</v>
      </c>
      <c r="H26488" s="185"/>
    </row>
    <row r="26489">
      <c r="D26489" s="185"/>
      <c r="E26489" s="185" t="s">
        <v>470</v>
      </c>
      <c r="H26489" s="185"/>
    </row>
    <row r="26490">
      <c r="D26490" s="185"/>
      <c r="E26490" s="185" t="s">
        <v>470</v>
      </c>
      <c r="H26490" s="185"/>
    </row>
    <row r="26491">
      <c r="D26491" s="185"/>
      <c r="E26491" s="185" t="s">
        <v>470</v>
      </c>
      <c r="H26491" s="185"/>
    </row>
    <row r="26492">
      <c r="D26492" s="185"/>
      <c r="E26492" s="185" t="s">
        <v>470</v>
      </c>
      <c r="H26492" s="185"/>
    </row>
    <row r="26493">
      <c r="D26493" s="185"/>
      <c r="E26493" s="185" t="s">
        <v>470</v>
      </c>
      <c r="H26493" s="185"/>
    </row>
    <row r="26494">
      <c r="D26494" s="185"/>
      <c r="E26494" s="185" t="s">
        <v>470</v>
      </c>
      <c r="H26494" s="185"/>
    </row>
    <row r="26495">
      <c r="D26495" s="185"/>
      <c r="E26495" s="185" t="s">
        <v>470</v>
      </c>
      <c r="H26495" s="185"/>
    </row>
    <row r="26496">
      <c r="D26496" s="185"/>
      <c r="E26496" s="185" t="s">
        <v>470</v>
      </c>
      <c r="H26496" s="185"/>
    </row>
    <row r="26497">
      <c r="D26497" s="185"/>
      <c r="E26497" s="185" t="s">
        <v>470</v>
      </c>
      <c r="H26497" s="185"/>
    </row>
    <row r="26498">
      <c r="D26498" s="185"/>
      <c r="E26498" s="185" t="s">
        <v>470</v>
      </c>
      <c r="H26498" s="185"/>
    </row>
    <row r="26499">
      <c r="D26499" s="185"/>
      <c r="E26499" s="185" t="s">
        <v>470</v>
      </c>
      <c r="H26499" s="185"/>
    </row>
    <row r="26500">
      <c r="D26500" s="185"/>
      <c r="E26500" s="185" t="s">
        <v>470</v>
      </c>
      <c r="H26500" s="185"/>
    </row>
    <row r="26501">
      <c r="D26501" s="185"/>
      <c r="E26501" s="185" t="s">
        <v>470</v>
      </c>
      <c r="H26501" s="185"/>
    </row>
    <row r="26502">
      <c r="D26502" s="185"/>
      <c r="E26502" s="185" t="s">
        <v>470</v>
      </c>
      <c r="H26502" s="185"/>
    </row>
    <row r="26503">
      <c r="D26503" s="185"/>
      <c r="E26503" s="185" t="s">
        <v>470</v>
      </c>
      <c r="H26503" s="185"/>
    </row>
    <row r="26504">
      <c r="D26504" s="185"/>
      <c r="E26504" s="185" t="s">
        <v>470</v>
      </c>
      <c r="H26504" s="185"/>
    </row>
    <row r="26505">
      <c r="D26505" s="185"/>
      <c r="E26505" s="185" t="s">
        <v>470</v>
      </c>
      <c r="H26505" s="185"/>
    </row>
    <row r="26506">
      <c r="D26506" s="185"/>
      <c r="E26506" s="185" t="s">
        <v>470</v>
      </c>
      <c r="H26506" s="185"/>
    </row>
    <row r="26507">
      <c r="D26507" s="185"/>
      <c r="E26507" s="185" t="s">
        <v>470</v>
      </c>
      <c r="H26507" s="185"/>
    </row>
    <row r="26508">
      <c r="D26508" s="185"/>
      <c r="E26508" s="185" t="s">
        <v>470</v>
      </c>
      <c r="H26508" s="185"/>
    </row>
    <row r="26509">
      <c r="D26509" s="185"/>
      <c r="E26509" s="185" t="s">
        <v>470</v>
      </c>
      <c r="H26509" s="185"/>
    </row>
    <row r="26510">
      <c r="D26510" s="185"/>
      <c r="E26510" s="185" t="s">
        <v>470</v>
      </c>
      <c r="H26510" s="185"/>
    </row>
    <row r="26511">
      <c r="D26511" s="185"/>
      <c r="E26511" s="185" t="s">
        <v>470</v>
      </c>
      <c r="H26511" s="185"/>
    </row>
    <row r="26512">
      <c r="D26512" s="185"/>
      <c r="E26512" s="185" t="s">
        <v>470</v>
      </c>
      <c r="H26512" s="185"/>
    </row>
    <row r="26513">
      <c r="D26513" s="185"/>
      <c r="E26513" s="185" t="s">
        <v>470</v>
      </c>
      <c r="H26513" s="185"/>
    </row>
    <row r="26514">
      <c r="D26514" s="185"/>
      <c r="E26514" s="185" t="s">
        <v>470</v>
      </c>
      <c r="H26514" s="185"/>
    </row>
    <row r="26515">
      <c r="D26515" s="185"/>
      <c r="E26515" s="185" t="s">
        <v>470</v>
      </c>
      <c r="H26515" s="185"/>
    </row>
    <row r="26516">
      <c r="D26516" s="185"/>
      <c r="E26516" s="185" t="s">
        <v>470</v>
      </c>
      <c r="H26516" s="185"/>
    </row>
    <row r="26517">
      <c r="D26517" s="185"/>
      <c r="E26517" s="185" t="s">
        <v>470</v>
      </c>
      <c r="H26517" s="185"/>
    </row>
    <row r="26518">
      <c r="D26518" s="185"/>
      <c r="E26518" s="185" t="s">
        <v>470</v>
      </c>
      <c r="H26518" s="185"/>
    </row>
    <row r="26519">
      <c r="D26519" s="185"/>
      <c r="E26519" s="185" t="s">
        <v>470</v>
      </c>
      <c r="H26519" s="185"/>
    </row>
    <row r="26520">
      <c r="D26520" s="185"/>
      <c r="E26520" s="185" t="s">
        <v>470</v>
      </c>
      <c r="H26520" s="185"/>
    </row>
    <row r="26521">
      <c r="D26521" s="185"/>
      <c r="E26521" s="185" t="s">
        <v>470</v>
      </c>
      <c r="H26521" s="185"/>
    </row>
    <row r="26522">
      <c r="D26522" s="185"/>
      <c r="E26522" s="185" t="s">
        <v>470</v>
      </c>
      <c r="H26522" s="185"/>
    </row>
    <row r="26523">
      <c r="D26523" s="185"/>
      <c r="E26523" s="185" t="s">
        <v>470</v>
      </c>
      <c r="H26523" s="185"/>
    </row>
    <row r="26524">
      <c r="D26524" s="185"/>
      <c r="E26524" s="185" t="s">
        <v>470</v>
      </c>
      <c r="H26524" s="185"/>
    </row>
    <row r="26525">
      <c r="D26525" s="185"/>
      <c r="E26525" s="185" t="s">
        <v>470</v>
      </c>
      <c r="H26525" s="185"/>
    </row>
    <row r="26526">
      <c r="D26526" s="185"/>
      <c r="E26526" s="185" t="s">
        <v>470</v>
      </c>
      <c r="H26526" s="185"/>
    </row>
    <row r="26527">
      <c r="D26527" s="185"/>
      <c r="E26527" s="185" t="s">
        <v>470</v>
      </c>
      <c r="H26527" s="185"/>
    </row>
    <row r="26528">
      <c r="D26528" s="185"/>
      <c r="E26528" s="185" t="s">
        <v>470</v>
      </c>
      <c r="H26528" s="185"/>
    </row>
    <row r="26529">
      <c r="D26529" s="185"/>
      <c r="E26529" s="185" t="s">
        <v>470</v>
      </c>
      <c r="H26529" s="185"/>
    </row>
    <row r="26530">
      <c r="D26530" s="185"/>
      <c r="E26530" s="185" t="s">
        <v>470</v>
      </c>
      <c r="H26530" s="185"/>
    </row>
    <row r="26531">
      <c r="D26531" s="185"/>
      <c r="E26531" s="185" t="s">
        <v>470</v>
      </c>
      <c r="H26531" s="185"/>
    </row>
    <row r="26532">
      <c r="D26532" s="185"/>
      <c r="E26532" s="185" t="s">
        <v>470</v>
      </c>
      <c r="H26532" s="185"/>
    </row>
    <row r="26533">
      <c r="D26533" s="185"/>
      <c r="E26533" s="185" t="s">
        <v>470</v>
      </c>
      <c r="H26533" s="185"/>
    </row>
    <row r="26534">
      <c r="D26534" s="185"/>
      <c r="E26534" s="185" t="s">
        <v>470</v>
      </c>
      <c r="H26534" s="185"/>
    </row>
    <row r="26535">
      <c r="D26535" s="185"/>
      <c r="E26535" s="185" t="s">
        <v>470</v>
      </c>
      <c r="H26535" s="185"/>
    </row>
    <row r="26536">
      <c r="D26536" s="185"/>
      <c r="E26536" s="185" t="s">
        <v>470</v>
      </c>
      <c r="H26536" s="185"/>
    </row>
    <row r="26537">
      <c r="D26537" s="185"/>
      <c r="E26537" s="185" t="s">
        <v>470</v>
      </c>
      <c r="H26537" s="185"/>
    </row>
    <row r="26538">
      <c r="D26538" s="185"/>
      <c r="E26538" s="185" t="s">
        <v>470</v>
      </c>
      <c r="H26538" s="185"/>
    </row>
    <row r="26539">
      <c r="D26539" s="185"/>
      <c r="E26539" s="185" t="s">
        <v>470</v>
      </c>
      <c r="H26539" s="185"/>
    </row>
    <row r="26540">
      <c r="D26540" s="185"/>
      <c r="E26540" s="185" t="s">
        <v>470</v>
      </c>
      <c r="H26540" s="185"/>
    </row>
    <row r="26541">
      <c r="D26541" s="185"/>
      <c r="E26541" s="185" t="s">
        <v>470</v>
      </c>
      <c r="H26541" s="185"/>
    </row>
    <row r="26542">
      <c r="D26542" s="185"/>
      <c r="E26542" s="185" t="s">
        <v>470</v>
      </c>
      <c r="H26542" s="185"/>
    </row>
    <row r="26543">
      <c r="D26543" s="185"/>
      <c r="E26543" s="185" t="s">
        <v>470</v>
      </c>
      <c r="H26543" s="185"/>
    </row>
    <row r="26544">
      <c r="D26544" s="185"/>
      <c r="E26544" s="185" t="s">
        <v>470</v>
      </c>
      <c r="H26544" s="185"/>
    </row>
    <row r="26545">
      <c r="D26545" s="185"/>
      <c r="E26545" s="185" t="s">
        <v>470</v>
      </c>
      <c r="H26545" s="185"/>
    </row>
    <row r="26546">
      <c r="D26546" s="185"/>
      <c r="E26546" s="185" t="s">
        <v>470</v>
      </c>
      <c r="H26546" s="185"/>
    </row>
    <row r="26547">
      <c r="D26547" s="185"/>
      <c r="E26547" s="185" t="s">
        <v>470</v>
      </c>
      <c r="H26547" s="185"/>
    </row>
    <row r="26548">
      <c r="D26548" s="185"/>
      <c r="E26548" s="185" t="s">
        <v>470</v>
      </c>
      <c r="H26548" s="185"/>
    </row>
    <row r="26549">
      <c r="D26549" s="185"/>
      <c r="E26549" s="185" t="s">
        <v>470</v>
      </c>
      <c r="H26549" s="185"/>
    </row>
    <row r="26550">
      <c r="D26550" s="185"/>
      <c r="E26550" s="185" t="s">
        <v>470</v>
      </c>
      <c r="H26550" s="185"/>
    </row>
    <row r="26551">
      <c r="D26551" s="185"/>
      <c r="E26551" s="185" t="s">
        <v>470</v>
      </c>
      <c r="H26551" s="185"/>
    </row>
    <row r="26552">
      <c r="D26552" s="185"/>
      <c r="E26552" s="185" t="s">
        <v>470</v>
      </c>
      <c r="H26552" s="185"/>
    </row>
    <row r="26553">
      <c r="D26553" s="185"/>
      <c r="E26553" s="185" t="s">
        <v>470</v>
      </c>
      <c r="H26553" s="185"/>
    </row>
    <row r="26554">
      <c r="D26554" s="185"/>
      <c r="E26554" s="185" t="s">
        <v>470</v>
      </c>
      <c r="H26554" s="185"/>
    </row>
    <row r="26555">
      <c r="D26555" s="185"/>
      <c r="E26555" s="185" t="s">
        <v>470</v>
      </c>
      <c r="H26555" s="185"/>
    </row>
    <row r="26556">
      <c r="D26556" s="185"/>
      <c r="E26556" s="185" t="s">
        <v>470</v>
      </c>
      <c r="H26556" s="185"/>
    </row>
    <row r="26557">
      <c r="D26557" s="185"/>
      <c r="E26557" s="185" t="s">
        <v>470</v>
      </c>
      <c r="H26557" s="185"/>
    </row>
    <row r="26558">
      <c r="D26558" s="185"/>
      <c r="E26558" s="185" t="s">
        <v>470</v>
      </c>
      <c r="H26558" s="185"/>
    </row>
    <row r="26559">
      <c r="D26559" s="185"/>
      <c r="E26559" s="185" t="s">
        <v>470</v>
      </c>
      <c r="H26559" s="185"/>
    </row>
    <row r="26560">
      <c r="D26560" s="185"/>
      <c r="E26560" s="185" t="s">
        <v>470</v>
      </c>
      <c r="H26560" s="185"/>
    </row>
    <row r="26561">
      <c r="D26561" s="185"/>
      <c r="E26561" s="185" t="s">
        <v>470</v>
      </c>
      <c r="H26561" s="185"/>
    </row>
    <row r="26562">
      <c r="D26562" s="185"/>
      <c r="E26562" s="185" t="s">
        <v>470</v>
      </c>
      <c r="H26562" s="185"/>
    </row>
    <row r="26563">
      <c r="D26563" s="185"/>
      <c r="E26563" s="185" t="s">
        <v>470</v>
      </c>
      <c r="H26563" s="185"/>
    </row>
    <row r="26564">
      <c r="D26564" s="185"/>
      <c r="E26564" s="185" t="s">
        <v>470</v>
      </c>
      <c r="H26564" s="185"/>
    </row>
    <row r="26565">
      <c r="D26565" s="185"/>
      <c r="E26565" s="185" t="s">
        <v>470</v>
      </c>
      <c r="H26565" s="185"/>
    </row>
    <row r="26566">
      <c r="D26566" s="185"/>
      <c r="E26566" s="185" t="s">
        <v>470</v>
      </c>
      <c r="H26566" s="185"/>
    </row>
    <row r="26567">
      <c r="D26567" s="185"/>
      <c r="E26567" s="185" t="s">
        <v>470</v>
      </c>
      <c r="H26567" s="185"/>
    </row>
    <row r="26568">
      <c r="D26568" s="185"/>
      <c r="E26568" s="185" t="s">
        <v>470</v>
      </c>
      <c r="H26568" s="185"/>
    </row>
    <row r="26569">
      <c r="D26569" s="185"/>
      <c r="E26569" s="185" t="s">
        <v>470</v>
      </c>
      <c r="H26569" s="185"/>
    </row>
    <row r="26570">
      <c r="D26570" s="185"/>
      <c r="E26570" s="185" t="s">
        <v>470</v>
      </c>
      <c r="H26570" s="185"/>
    </row>
    <row r="26571">
      <c r="D26571" s="185"/>
      <c r="E26571" s="185" t="s">
        <v>470</v>
      </c>
      <c r="H26571" s="185"/>
    </row>
    <row r="26572">
      <c r="D26572" s="185"/>
      <c r="E26572" s="185" t="s">
        <v>470</v>
      </c>
      <c r="H26572" s="185"/>
    </row>
    <row r="26573">
      <c r="D26573" s="185"/>
      <c r="E26573" s="185" t="s">
        <v>470</v>
      </c>
      <c r="H26573" s="185"/>
    </row>
    <row r="26574">
      <c r="D26574" s="185"/>
      <c r="E26574" s="185" t="s">
        <v>470</v>
      </c>
      <c r="H26574" s="185"/>
    </row>
    <row r="26575">
      <c r="D26575" s="185"/>
      <c r="E26575" s="185" t="s">
        <v>470</v>
      </c>
      <c r="H26575" s="185"/>
    </row>
    <row r="26576">
      <c r="D26576" s="185"/>
      <c r="E26576" s="185" t="s">
        <v>470</v>
      </c>
      <c r="H26576" s="185"/>
    </row>
    <row r="26577">
      <c r="D26577" s="185"/>
      <c r="E26577" s="185" t="s">
        <v>470</v>
      </c>
      <c r="H26577" s="185"/>
    </row>
    <row r="26578">
      <c r="D26578" s="185"/>
      <c r="E26578" s="185" t="s">
        <v>470</v>
      </c>
      <c r="H26578" s="185"/>
    </row>
    <row r="26579">
      <c r="D26579" s="185"/>
      <c r="E26579" s="185" t="s">
        <v>470</v>
      </c>
      <c r="H26579" s="185"/>
    </row>
    <row r="26580">
      <c r="D26580" s="185"/>
      <c r="E26580" s="185" t="s">
        <v>470</v>
      </c>
      <c r="H26580" s="185"/>
    </row>
    <row r="26581">
      <c r="D26581" s="185"/>
      <c r="E26581" s="185" t="s">
        <v>470</v>
      </c>
      <c r="H26581" s="185"/>
    </row>
    <row r="26582">
      <c r="D26582" s="185"/>
      <c r="E26582" s="185" t="s">
        <v>470</v>
      </c>
      <c r="H26582" s="185"/>
    </row>
    <row r="26583">
      <c r="D26583" s="185"/>
      <c r="E26583" s="185" t="s">
        <v>470</v>
      </c>
      <c r="H26583" s="185"/>
    </row>
    <row r="26584">
      <c r="D26584" s="185"/>
      <c r="E26584" s="185" t="s">
        <v>470</v>
      </c>
      <c r="H26584" s="185"/>
    </row>
    <row r="26585">
      <c r="D26585" s="185"/>
      <c r="E26585" s="185" t="s">
        <v>470</v>
      </c>
      <c r="H26585" s="185"/>
    </row>
    <row r="26586">
      <c r="D26586" s="185"/>
      <c r="E26586" s="185" t="s">
        <v>470</v>
      </c>
      <c r="H26586" s="185"/>
    </row>
    <row r="26587">
      <c r="D26587" s="185"/>
      <c r="E26587" s="185" t="s">
        <v>470</v>
      </c>
      <c r="H26587" s="185"/>
    </row>
    <row r="26588">
      <c r="D26588" s="185"/>
      <c r="E26588" s="185" t="s">
        <v>470</v>
      </c>
      <c r="H26588" s="185"/>
    </row>
    <row r="26589">
      <c r="D26589" s="185"/>
      <c r="E26589" s="185" t="s">
        <v>470</v>
      </c>
      <c r="H26589" s="185"/>
    </row>
    <row r="26590">
      <c r="D26590" s="185"/>
      <c r="E26590" s="185" t="s">
        <v>470</v>
      </c>
      <c r="H26590" s="185"/>
    </row>
    <row r="26591">
      <c r="D26591" s="185"/>
      <c r="E26591" s="185" t="s">
        <v>470</v>
      </c>
      <c r="H26591" s="185"/>
    </row>
    <row r="26592">
      <c r="D26592" s="185"/>
      <c r="E26592" s="185" t="s">
        <v>470</v>
      </c>
      <c r="H26592" s="185"/>
    </row>
    <row r="26593">
      <c r="D26593" s="185"/>
      <c r="E26593" s="185" t="s">
        <v>470</v>
      </c>
      <c r="H26593" s="185"/>
    </row>
    <row r="26594">
      <c r="D26594" s="185"/>
      <c r="E26594" s="185" t="s">
        <v>470</v>
      </c>
      <c r="H26594" s="185"/>
    </row>
    <row r="26595">
      <c r="D26595" s="185"/>
      <c r="E26595" s="185" t="s">
        <v>470</v>
      </c>
      <c r="H26595" s="185"/>
    </row>
    <row r="26596">
      <c r="D26596" s="185"/>
      <c r="E26596" s="185" t="s">
        <v>470</v>
      </c>
      <c r="H26596" s="185"/>
    </row>
    <row r="26597">
      <c r="D26597" s="185"/>
      <c r="E26597" s="185" t="s">
        <v>470</v>
      </c>
      <c r="H26597" s="185"/>
    </row>
    <row r="26598">
      <c r="D26598" s="185"/>
      <c r="E26598" s="185" t="s">
        <v>470</v>
      </c>
      <c r="H26598" s="185"/>
    </row>
    <row r="26599">
      <c r="D26599" s="185"/>
      <c r="E26599" s="185" t="s">
        <v>470</v>
      </c>
      <c r="H26599" s="185"/>
    </row>
    <row r="26600">
      <c r="D26600" s="185"/>
      <c r="E26600" s="185" t="s">
        <v>470</v>
      </c>
      <c r="H26600" s="185"/>
    </row>
    <row r="26601">
      <c r="D26601" s="185"/>
      <c r="E26601" s="185" t="s">
        <v>470</v>
      </c>
      <c r="H26601" s="185"/>
    </row>
    <row r="26602">
      <c r="D26602" s="185"/>
      <c r="E26602" s="185" t="s">
        <v>470</v>
      </c>
      <c r="H26602" s="185"/>
    </row>
    <row r="26603">
      <c r="D26603" s="185"/>
      <c r="E26603" s="185" t="s">
        <v>470</v>
      </c>
      <c r="H26603" s="185"/>
    </row>
    <row r="26604">
      <c r="D26604" s="185"/>
      <c r="E26604" s="185" t="s">
        <v>470</v>
      </c>
      <c r="H26604" s="185"/>
    </row>
    <row r="26605">
      <c r="D26605" s="185"/>
      <c r="E26605" s="185" t="s">
        <v>470</v>
      </c>
      <c r="H26605" s="185"/>
    </row>
    <row r="26606">
      <c r="D26606" s="185"/>
      <c r="E26606" s="185" t="s">
        <v>470</v>
      </c>
      <c r="H26606" s="185"/>
    </row>
    <row r="26607">
      <c r="D26607" s="185"/>
      <c r="E26607" s="185" t="s">
        <v>470</v>
      </c>
      <c r="H26607" s="185"/>
    </row>
    <row r="26608">
      <c r="D26608" s="185"/>
      <c r="E26608" s="185" t="s">
        <v>470</v>
      </c>
      <c r="H26608" s="185"/>
    </row>
    <row r="26609">
      <c r="D26609" s="185"/>
      <c r="E26609" s="185" t="s">
        <v>470</v>
      </c>
      <c r="H26609" s="185"/>
    </row>
    <row r="26610">
      <c r="D26610" s="185"/>
      <c r="E26610" s="185" t="s">
        <v>470</v>
      </c>
      <c r="H26610" s="185"/>
    </row>
    <row r="26611">
      <c r="D26611" s="185"/>
      <c r="E26611" s="185" t="s">
        <v>470</v>
      </c>
      <c r="H26611" s="185"/>
    </row>
    <row r="26612">
      <c r="D26612" s="185"/>
      <c r="E26612" s="185" t="s">
        <v>470</v>
      </c>
      <c r="H26612" s="185"/>
    </row>
    <row r="26613">
      <c r="D26613" s="185"/>
      <c r="E26613" s="185" t="s">
        <v>470</v>
      </c>
      <c r="H26613" s="185"/>
    </row>
    <row r="26614">
      <c r="D26614" s="185"/>
      <c r="E26614" s="185" t="s">
        <v>470</v>
      </c>
      <c r="H26614" s="185"/>
    </row>
    <row r="26615">
      <c r="D26615" s="185"/>
      <c r="E26615" s="185" t="s">
        <v>470</v>
      </c>
      <c r="H26615" s="185"/>
    </row>
    <row r="26616">
      <c r="D26616" s="185"/>
      <c r="E26616" s="185" t="s">
        <v>470</v>
      </c>
      <c r="H26616" s="185"/>
    </row>
    <row r="26617">
      <c r="D26617" s="185"/>
      <c r="E26617" s="185" t="s">
        <v>470</v>
      </c>
      <c r="H26617" s="185"/>
    </row>
    <row r="26618">
      <c r="D26618" s="185"/>
      <c r="E26618" s="185" t="s">
        <v>470</v>
      </c>
      <c r="H26618" s="185"/>
    </row>
    <row r="26619">
      <c r="D26619" s="185"/>
      <c r="E26619" s="185" t="s">
        <v>470</v>
      </c>
      <c r="H26619" s="185"/>
    </row>
    <row r="26620">
      <c r="D26620" s="185"/>
      <c r="E26620" s="185" t="s">
        <v>470</v>
      </c>
      <c r="H26620" s="185"/>
    </row>
    <row r="26621">
      <c r="D26621" s="185"/>
      <c r="E26621" s="185" t="s">
        <v>470</v>
      </c>
      <c r="H26621" s="185"/>
    </row>
    <row r="26622">
      <c r="D26622" s="185"/>
      <c r="E26622" s="185" t="s">
        <v>470</v>
      </c>
      <c r="H26622" s="185"/>
    </row>
    <row r="26623">
      <c r="D26623" s="185"/>
      <c r="E26623" s="185" t="s">
        <v>470</v>
      </c>
      <c r="H26623" s="185"/>
    </row>
    <row r="26624">
      <c r="D26624" s="185"/>
      <c r="E26624" s="185" t="s">
        <v>470</v>
      </c>
      <c r="H26624" s="185"/>
    </row>
    <row r="26625">
      <c r="D26625" s="185"/>
      <c r="E26625" s="185" t="s">
        <v>470</v>
      </c>
      <c r="H26625" s="185"/>
    </row>
    <row r="26626">
      <c r="D26626" s="185"/>
      <c r="E26626" s="185" t="s">
        <v>470</v>
      </c>
      <c r="H26626" s="185"/>
    </row>
    <row r="26627">
      <c r="D26627" s="185"/>
      <c r="E26627" s="185" t="s">
        <v>470</v>
      </c>
      <c r="H26627" s="185"/>
    </row>
    <row r="26628">
      <c r="D26628" s="185"/>
      <c r="E26628" s="185" t="s">
        <v>470</v>
      </c>
      <c r="H26628" s="185"/>
    </row>
    <row r="26629">
      <c r="D26629" s="185"/>
      <c r="E26629" s="185" t="s">
        <v>470</v>
      </c>
      <c r="H26629" s="185"/>
    </row>
    <row r="26630">
      <c r="D26630" s="185"/>
      <c r="E26630" s="185" t="s">
        <v>470</v>
      </c>
      <c r="H26630" s="185"/>
    </row>
    <row r="26631">
      <c r="D26631" s="185"/>
      <c r="E26631" s="185" t="s">
        <v>470</v>
      </c>
      <c r="H26631" s="185"/>
    </row>
    <row r="26632">
      <c r="D26632" s="185"/>
      <c r="E26632" s="185" t="s">
        <v>470</v>
      </c>
      <c r="H26632" s="185"/>
    </row>
    <row r="26633">
      <c r="D26633" s="185"/>
      <c r="E26633" s="185" t="s">
        <v>470</v>
      </c>
      <c r="H26633" s="185"/>
    </row>
    <row r="26634">
      <c r="D26634" s="185"/>
      <c r="E26634" s="185" t="s">
        <v>470</v>
      </c>
      <c r="H26634" s="185"/>
    </row>
    <row r="26635">
      <c r="D26635" s="185"/>
      <c r="E26635" s="185" t="s">
        <v>470</v>
      </c>
      <c r="H26635" s="185"/>
    </row>
    <row r="26636">
      <c r="D26636" s="185"/>
      <c r="E26636" s="185" t="s">
        <v>470</v>
      </c>
      <c r="H26636" s="185"/>
    </row>
    <row r="26637">
      <c r="D26637" s="185"/>
      <c r="E26637" s="185" t="s">
        <v>470</v>
      </c>
      <c r="H26637" s="185"/>
    </row>
    <row r="26638">
      <c r="D26638" s="185"/>
      <c r="E26638" s="185" t="s">
        <v>470</v>
      </c>
      <c r="H26638" s="185"/>
    </row>
    <row r="26639">
      <c r="D26639" s="185"/>
      <c r="E26639" s="185" t="s">
        <v>470</v>
      </c>
      <c r="H26639" s="185"/>
    </row>
    <row r="26640">
      <c r="D26640" s="185"/>
      <c r="E26640" s="185" t="s">
        <v>470</v>
      </c>
      <c r="H26640" s="185"/>
    </row>
    <row r="26641">
      <c r="D26641" s="185"/>
      <c r="E26641" s="185" t="s">
        <v>470</v>
      </c>
      <c r="H26641" s="185"/>
    </row>
    <row r="26642">
      <c r="D26642" s="185"/>
      <c r="E26642" s="185" t="s">
        <v>470</v>
      </c>
      <c r="H26642" s="185"/>
    </row>
    <row r="26643">
      <c r="D26643" s="185"/>
      <c r="E26643" s="185" t="s">
        <v>470</v>
      </c>
      <c r="H26643" s="185"/>
    </row>
    <row r="26644">
      <c r="D26644" s="185"/>
      <c r="E26644" s="185" t="s">
        <v>470</v>
      </c>
      <c r="H26644" s="185"/>
    </row>
    <row r="26645">
      <c r="D26645" s="185"/>
      <c r="E26645" s="185" t="s">
        <v>470</v>
      </c>
      <c r="H26645" s="185"/>
    </row>
    <row r="26646">
      <c r="D26646" s="185"/>
      <c r="E26646" s="185" t="s">
        <v>470</v>
      </c>
      <c r="H26646" s="185"/>
    </row>
    <row r="26647">
      <c r="D26647" s="185"/>
      <c r="E26647" s="185" t="s">
        <v>470</v>
      </c>
      <c r="H26647" s="185"/>
    </row>
    <row r="26648">
      <c r="D26648" s="185"/>
      <c r="E26648" s="185" t="s">
        <v>470</v>
      </c>
      <c r="H26648" s="185"/>
    </row>
    <row r="26649">
      <c r="D26649" s="185"/>
      <c r="E26649" s="185" t="s">
        <v>470</v>
      </c>
      <c r="H26649" s="185"/>
    </row>
    <row r="26650">
      <c r="D26650" s="185"/>
      <c r="E26650" s="185" t="s">
        <v>470</v>
      </c>
      <c r="H26650" s="185"/>
    </row>
    <row r="26651">
      <c r="D26651" s="185"/>
      <c r="E26651" s="185" t="s">
        <v>470</v>
      </c>
      <c r="H26651" s="185"/>
    </row>
    <row r="26652">
      <c r="D26652" s="185"/>
      <c r="E26652" s="185" t="s">
        <v>470</v>
      </c>
      <c r="H26652" s="185"/>
    </row>
    <row r="26653">
      <c r="D26653" s="185"/>
      <c r="E26653" s="185" t="s">
        <v>470</v>
      </c>
      <c r="H26653" s="185"/>
    </row>
    <row r="26654">
      <c r="D26654" s="185"/>
      <c r="E26654" s="185" t="s">
        <v>470</v>
      </c>
      <c r="H26654" s="185"/>
    </row>
    <row r="26655">
      <c r="D26655" s="185"/>
      <c r="E26655" s="185" t="s">
        <v>470</v>
      </c>
      <c r="H26655" s="185"/>
    </row>
    <row r="26656">
      <c r="D26656" s="185"/>
      <c r="E26656" s="185" t="s">
        <v>470</v>
      </c>
      <c r="H26656" s="185"/>
    </row>
    <row r="26657">
      <c r="D26657" s="185"/>
      <c r="E26657" s="185" t="s">
        <v>470</v>
      </c>
      <c r="H26657" s="185"/>
    </row>
    <row r="26658">
      <c r="D26658" s="185"/>
      <c r="E26658" s="185" t="s">
        <v>470</v>
      </c>
      <c r="H26658" s="185"/>
    </row>
    <row r="26659">
      <c r="D26659" s="185"/>
      <c r="E26659" s="185" t="s">
        <v>470</v>
      </c>
      <c r="H26659" s="185"/>
    </row>
    <row r="26660">
      <c r="D26660" s="185"/>
      <c r="E26660" s="185" t="s">
        <v>470</v>
      </c>
      <c r="H26660" s="185"/>
    </row>
    <row r="26661">
      <c r="D26661" s="185"/>
      <c r="E26661" s="185" t="s">
        <v>470</v>
      </c>
      <c r="H26661" s="185"/>
    </row>
    <row r="26662">
      <c r="D26662" s="185"/>
      <c r="E26662" s="185" t="s">
        <v>470</v>
      </c>
      <c r="H26662" s="185"/>
    </row>
    <row r="26663">
      <c r="D26663" s="185"/>
      <c r="E26663" s="185" t="s">
        <v>470</v>
      </c>
      <c r="H26663" s="185"/>
    </row>
    <row r="26664">
      <c r="D26664" s="185"/>
      <c r="E26664" s="185" t="s">
        <v>470</v>
      </c>
      <c r="H26664" s="185"/>
    </row>
    <row r="26665">
      <c r="D26665" s="185"/>
      <c r="E26665" s="185" t="s">
        <v>470</v>
      </c>
      <c r="H26665" s="185"/>
    </row>
    <row r="26666">
      <c r="D26666" s="185"/>
      <c r="E26666" s="185" t="s">
        <v>470</v>
      </c>
      <c r="H26666" s="185"/>
    </row>
    <row r="26667">
      <c r="D26667" s="185"/>
      <c r="E26667" s="185" t="s">
        <v>470</v>
      </c>
      <c r="H26667" s="185"/>
    </row>
    <row r="26668">
      <c r="D26668" s="185"/>
      <c r="E26668" s="185" t="s">
        <v>470</v>
      </c>
      <c r="H26668" s="185"/>
    </row>
    <row r="26669">
      <c r="D26669" s="185"/>
      <c r="E26669" s="185" t="s">
        <v>470</v>
      </c>
      <c r="H26669" s="185"/>
    </row>
    <row r="26670">
      <c r="D26670" s="185"/>
      <c r="E26670" s="185" t="s">
        <v>470</v>
      </c>
      <c r="H26670" s="185"/>
    </row>
    <row r="26671">
      <c r="D26671" s="185"/>
      <c r="E26671" s="185" t="s">
        <v>470</v>
      </c>
      <c r="H26671" s="185"/>
    </row>
    <row r="26672">
      <c r="D26672" s="185"/>
      <c r="E26672" s="185" t="s">
        <v>470</v>
      </c>
      <c r="H26672" s="185"/>
    </row>
    <row r="26673">
      <c r="D26673" s="185"/>
      <c r="E26673" s="185" t="s">
        <v>470</v>
      </c>
      <c r="H26673" s="185"/>
    </row>
    <row r="26674">
      <c r="D26674" s="185"/>
      <c r="E26674" s="185" t="s">
        <v>470</v>
      </c>
      <c r="H26674" s="185"/>
    </row>
    <row r="26675">
      <c r="D26675" s="185"/>
      <c r="E26675" s="185" t="s">
        <v>470</v>
      </c>
      <c r="H26675" s="185"/>
    </row>
    <row r="26676">
      <c r="D26676" s="185"/>
      <c r="E26676" s="185" t="s">
        <v>470</v>
      </c>
      <c r="H26676" s="185"/>
    </row>
    <row r="26677">
      <c r="D26677" s="185"/>
      <c r="E26677" s="185" t="s">
        <v>470</v>
      </c>
      <c r="H26677" s="185"/>
    </row>
    <row r="26678">
      <c r="D26678" s="185"/>
      <c r="E26678" s="185" t="s">
        <v>470</v>
      </c>
      <c r="H26678" s="185"/>
    </row>
    <row r="26679">
      <c r="D26679" s="185"/>
      <c r="E26679" s="185" t="s">
        <v>470</v>
      </c>
      <c r="H26679" s="185"/>
    </row>
    <row r="26680">
      <c r="D26680" s="185"/>
      <c r="E26680" s="185" t="s">
        <v>470</v>
      </c>
      <c r="H26680" s="185"/>
    </row>
    <row r="26681">
      <c r="D26681" s="185"/>
      <c r="E26681" s="185" t="s">
        <v>470</v>
      </c>
      <c r="H26681" s="185"/>
    </row>
    <row r="26682">
      <c r="D26682" s="185"/>
      <c r="E26682" s="185" t="s">
        <v>470</v>
      </c>
      <c r="H26682" s="185"/>
    </row>
    <row r="26683">
      <c r="D26683" s="185"/>
      <c r="E26683" s="185" t="s">
        <v>470</v>
      </c>
      <c r="H26683" s="185"/>
    </row>
    <row r="26684">
      <c r="D26684" s="185"/>
      <c r="E26684" s="185" t="s">
        <v>470</v>
      </c>
      <c r="H26684" s="185"/>
    </row>
    <row r="26685">
      <c r="D26685" s="185"/>
      <c r="E26685" s="185" t="s">
        <v>470</v>
      </c>
      <c r="H26685" s="185"/>
    </row>
    <row r="26686">
      <c r="D26686" s="185"/>
      <c r="E26686" s="185" t="s">
        <v>470</v>
      </c>
      <c r="H26686" s="185"/>
    </row>
    <row r="26687">
      <c r="D26687" s="185"/>
      <c r="E26687" s="185" t="s">
        <v>470</v>
      </c>
      <c r="H26687" s="185"/>
    </row>
    <row r="26688">
      <c r="D26688" s="185"/>
      <c r="E26688" s="185" t="s">
        <v>470</v>
      </c>
      <c r="H26688" s="185"/>
    </row>
    <row r="26689">
      <c r="D26689" s="185"/>
      <c r="E26689" s="185" t="s">
        <v>470</v>
      </c>
      <c r="H26689" s="185"/>
    </row>
    <row r="26690">
      <c r="D26690" s="185"/>
      <c r="E26690" s="185" t="s">
        <v>470</v>
      </c>
      <c r="H26690" s="185"/>
    </row>
    <row r="26691">
      <c r="D26691" s="185"/>
      <c r="E26691" s="185" t="s">
        <v>470</v>
      </c>
      <c r="H26691" s="185"/>
    </row>
    <row r="26692">
      <c r="D26692" s="185"/>
      <c r="E26692" s="185" t="s">
        <v>470</v>
      </c>
      <c r="H26692" s="185"/>
    </row>
    <row r="26693">
      <c r="D26693" s="185"/>
      <c r="E26693" s="185" t="s">
        <v>470</v>
      </c>
      <c r="H26693" s="185"/>
    </row>
    <row r="26694">
      <c r="D26694" s="185"/>
      <c r="E26694" s="185" t="s">
        <v>470</v>
      </c>
      <c r="H26694" s="185"/>
    </row>
    <row r="26695">
      <c r="D26695" s="185"/>
      <c r="E26695" s="185" t="s">
        <v>470</v>
      </c>
      <c r="H26695" s="185"/>
    </row>
    <row r="26696">
      <c r="D26696" s="185"/>
      <c r="E26696" s="185" t="s">
        <v>470</v>
      </c>
      <c r="H26696" s="185"/>
    </row>
    <row r="26697">
      <c r="D26697" s="185"/>
      <c r="E26697" s="185" t="s">
        <v>470</v>
      </c>
      <c r="H26697" s="185"/>
    </row>
    <row r="26698">
      <c r="D26698" s="185"/>
      <c r="E26698" s="185" t="s">
        <v>470</v>
      </c>
      <c r="H26698" s="185"/>
    </row>
    <row r="26699">
      <c r="D26699" s="185"/>
      <c r="E26699" s="185" t="s">
        <v>470</v>
      </c>
      <c r="H26699" s="185"/>
    </row>
    <row r="26700">
      <c r="D26700" s="185"/>
      <c r="E26700" s="185" t="s">
        <v>470</v>
      </c>
      <c r="H26700" s="185"/>
    </row>
    <row r="26701">
      <c r="D26701" s="185"/>
      <c r="E26701" s="185" t="s">
        <v>470</v>
      </c>
      <c r="H26701" s="185"/>
    </row>
    <row r="26702">
      <c r="D26702" s="185"/>
      <c r="E26702" s="185" t="s">
        <v>470</v>
      </c>
      <c r="H26702" s="185"/>
    </row>
    <row r="26703">
      <c r="D26703" s="185"/>
      <c r="E26703" s="185" t="s">
        <v>470</v>
      </c>
      <c r="H26703" s="185"/>
    </row>
    <row r="26704">
      <c r="D26704" s="185"/>
      <c r="E26704" s="185" t="s">
        <v>470</v>
      </c>
      <c r="H26704" s="185"/>
    </row>
    <row r="26705">
      <c r="D26705" s="185"/>
      <c r="E26705" s="185" t="s">
        <v>470</v>
      </c>
      <c r="H26705" s="185"/>
    </row>
    <row r="26706">
      <c r="D26706" s="185"/>
      <c r="E26706" s="185" t="s">
        <v>470</v>
      </c>
      <c r="H26706" s="185"/>
    </row>
    <row r="26707">
      <c r="D26707" s="185"/>
      <c r="E26707" s="185" t="s">
        <v>470</v>
      </c>
      <c r="H26707" s="185"/>
    </row>
    <row r="26708">
      <c r="D26708" s="185"/>
      <c r="E26708" s="185" t="s">
        <v>470</v>
      </c>
      <c r="H26708" s="185"/>
    </row>
    <row r="26709">
      <c r="D26709" s="185"/>
      <c r="E26709" s="185" t="s">
        <v>470</v>
      </c>
      <c r="H26709" s="185"/>
    </row>
    <row r="26710">
      <c r="D26710" s="185"/>
      <c r="E26710" s="185" t="s">
        <v>470</v>
      </c>
      <c r="H26710" s="185"/>
    </row>
    <row r="26711">
      <c r="D26711" s="185"/>
      <c r="E26711" s="185" t="s">
        <v>470</v>
      </c>
      <c r="H26711" s="185"/>
    </row>
    <row r="26712">
      <c r="D26712" s="185"/>
      <c r="E26712" s="185" t="s">
        <v>470</v>
      </c>
      <c r="H26712" s="185"/>
    </row>
    <row r="26713">
      <c r="D26713" s="185"/>
      <c r="E26713" s="185" t="s">
        <v>470</v>
      </c>
      <c r="H26713" s="185"/>
    </row>
    <row r="26714">
      <c r="D26714" s="185"/>
      <c r="E26714" s="185" t="s">
        <v>470</v>
      </c>
      <c r="H26714" s="185"/>
    </row>
    <row r="26715">
      <c r="D26715" s="185"/>
      <c r="E26715" s="185" t="s">
        <v>470</v>
      </c>
      <c r="H26715" s="185"/>
    </row>
    <row r="26716">
      <c r="D26716" s="185"/>
      <c r="E26716" s="185" t="s">
        <v>470</v>
      </c>
      <c r="H26716" s="185"/>
    </row>
    <row r="26717">
      <c r="D26717" s="185"/>
      <c r="E26717" s="185" t="s">
        <v>470</v>
      </c>
      <c r="H26717" s="185"/>
    </row>
    <row r="26718">
      <c r="D26718" s="185"/>
      <c r="E26718" s="185" t="s">
        <v>470</v>
      </c>
      <c r="H26718" s="185"/>
    </row>
    <row r="26719">
      <c r="D26719" s="185"/>
      <c r="E26719" s="185" t="s">
        <v>470</v>
      </c>
      <c r="H26719" s="185"/>
    </row>
    <row r="26720">
      <c r="D26720" s="185"/>
      <c r="E26720" s="185" t="s">
        <v>470</v>
      </c>
      <c r="H26720" s="185"/>
    </row>
    <row r="26721">
      <c r="D26721" s="185"/>
      <c r="E26721" s="185" t="s">
        <v>470</v>
      </c>
      <c r="H26721" s="185"/>
    </row>
    <row r="26722">
      <c r="D26722" s="185"/>
      <c r="E26722" s="185" t="s">
        <v>470</v>
      </c>
      <c r="H26722" s="185"/>
    </row>
    <row r="26723">
      <c r="D26723" s="185"/>
      <c r="E26723" s="185" t="s">
        <v>470</v>
      </c>
      <c r="H26723" s="185"/>
    </row>
    <row r="26724">
      <c r="D26724" s="185"/>
      <c r="E26724" s="185" t="s">
        <v>470</v>
      </c>
      <c r="H26724" s="185"/>
    </row>
    <row r="26725">
      <c r="D26725" s="185"/>
      <c r="E26725" s="185" t="s">
        <v>470</v>
      </c>
      <c r="H26725" s="185"/>
    </row>
    <row r="26726">
      <c r="D26726" s="185"/>
      <c r="E26726" s="185" t="s">
        <v>470</v>
      </c>
      <c r="H26726" s="185"/>
    </row>
    <row r="26727">
      <c r="D26727" s="185"/>
      <c r="E26727" s="185" t="s">
        <v>470</v>
      </c>
      <c r="H26727" s="185"/>
    </row>
    <row r="26728">
      <c r="D26728" s="185"/>
      <c r="E26728" s="185" t="s">
        <v>470</v>
      </c>
      <c r="H26728" s="185"/>
    </row>
    <row r="26729">
      <c r="D26729" s="185"/>
      <c r="E26729" s="185" t="s">
        <v>470</v>
      </c>
      <c r="H26729" s="185"/>
    </row>
    <row r="26730">
      <c r="D26730" s="185"/>
      <c r="E26730" s="185" t="s">
        <v>470</v>
      </c>
      <c r="H26730" s="185"/>
    </row>
    <row r="26731">
      <c r="D26731" s="185"/>
      <c r="E26731" s="185" t="s">
        <v>470</v>
      </c>
      <c r="H26731" s="185"/>
    </row>
    <row r="26732">
      <c r="D26732" s="185"/>
      <c r="E26732" s="185" t="s">
        <v>470</v>
      </c>
      <c r="H26732" s="185"/>
    </row>
    <row r="26733">
      <c r="D26733" s="185"/>
      <c r="E26733" s="185" t="s">
        <v>470</v>
      </c>
      <c r="H26733" s="185"/>
    </row>
    <row r="26734">
      <c r="D26734" s="185"/>
      <c r="E26734" s="185" t="s">
        <v>470</v>
      </c>
      <c r="H26734" s="185"/>
    </row>
    <row r="26735">
      <c r="D26735" s="185"/>
      <c r="E26735" s="185" t="s">
        <v>470</v>
      </c>
      <c r="H26735" s="185"/>
    </row>
    <row r="26736">
      <c r="D26736" s="185"/>
      <c r="E26736" s="185" t="s">
        <v>470</v>
      </c>
      <c r="H26736" s="185"/>
    </row>
    <row r="26737">
      <c r="D26737" s="185"/>
      <c r="E26737" s="185" t="s">
        <v>470</v>
      </c>
      <c r="H26737" s="185"/>
    </row>
    <row r="26738">
      <c r="D26738" s="185"/>
      <c r="E26738" s="185" t="s">
        <v>470</v>
      </c>
      <c r="H26738" s="185"/>
    </row>
    <row r="26739">
      <c r="D26739" s="185"/>
      <c r="E26739" s="185" t="s">
        <v>470</v>
      </c>
      <c r="H26739" s="185"/>
    </row>
    <row r="26740">
      <c r="D26740" s="185"/>
      <c r="E26740" s="185" t="s">
        <v>470</v>
      </c>
      <c r="H26740" s="185"/>
    </row>
    <row r="26741">
      <c r="D26741" s="185"/>
      <c r="E26741" s="185" t="s">
        <v>470</v>
      </c>
      <c r="H26741" s="185"/>
    </row>
    <row r="26742">
      <c r="D26742" s="185"/>
      <c r="E26742" s="185" t="s">
        <v>470</v>
      </c>
      <c r="H26742" s="185"/>
    </row>
    <row r="26743">
      <c r="D26743" s="185"/>
      <c r="E26743" s="185" t="s">
        <v>470</v>
      </c>
      <c r="H26743" s="185"/>
    </row>
    <row r="26744">
      <c r="D26744" s="185"/>
      <c r="E26744" s="185" t="s">
        <v>470</v>
      </c>
      <c r="H26744" s="185"/>
    </row>
    <row r="26745">
      <c r="D26745" s="185"/>
      <c r="E26745" s="185" t="s">
        <v>470</v>
      </c>
      <c r="H26745" s="185"/>
    </row>
    <row r="26746">
      <c r="D26746" s="185"/>
      <c r="E26746" s="185" t="s">
        <v>470</v>
      </c>
      <c r="H26746" s="185"/>
    </row>
    <row r="26747">
      <c r="D26747" s="185"/>
      <c r="E26747" s="185" t="s">
        <v>470</v>
      </c>
      <c r="H26747" s="185"/>
    </row>
    <row r="26748">
      <c r="D26748" s="185"/>
      <c r="E26748" s="185" t="s">
        <v>470</v>
      </c>
      <c r="H26748" s="185"/>
    </row>
    <row r="26749">
      <c r="D26749" s="185"/>
      <c r="E26749" s="185" t="s">
        <v>470</v>
      </c>
      <c r="H26749" s="185"/>
    </row>
    <row r="26750">
      <c r="D26750" s="185"/>
      <c r="E26750" s="185" t="s">
        <v>470</v>
      </c>
      <c r="H26750" s="185"/>
    </row>
    <row r="26751">
      <c r="D26751" s="185"/>
      <c r="E26751" s="185" t="s">
        <v>470</v>
      </c>
      <c r="H26751" s="185"/>
    </row>
    <row r="26752">
      <c r="D26752" s="185"/>
      <c r="E26752" s="185" t="s">
        <v>470</v>
      </c>
      <c r="H26752" s="185"/>
    </row>
    <row r="26753">
      <c r="D26753" s="185"/>
      <c r="E26753" s="185" t="s">
        <v>470</v>
      </c>
      <c r="H26753" s="185"/>
    </row>
    <row r="26754">
      <c r="D26754" s="185"/>
      <c r="E26754" s="185" t="s">
        <v>470</v>
      </c>
      <c r="H26754" s="185"/>
    </row>
    <row r="26755">
      <c r="D26755" s="185"/>
      <c r="E26755" s="185" t="s">
        <v>470</v>
      </c>
      <c r="H26755" s="185"/>
    </row>
    <row r="26756">
      <c r="D26756" s="185"/>
      <c r="E26756" s="185" t="s">
        <v>470</v>
      </c>
      <c r="H26756" s="185"/>
    </row>
    <row r="26757">
      <c r="D26757" s="185"/>
      <c r="E26757" s="185" t="s">
        <v>470</v>
      </c>
      <c r="H26757" s="185"/>
    </row>
    <row r="26758">
      <c r="D26758" s="185"/>
      <c r="E26758" s="185" t="s">
        <v>470</v>
      </c>
      <c r="H26758" s="185"/>
    </row>
    <row r="26759">
      <c r="D26759" s="185"/>
      <c r="E26759" s="185" t="s">
        <v>470</v>
      </c>
      <c r="H26759" s="185"/>
    </row>
    <row r="26760">
      <c r="D26760" s="185"/>
      <c r="E26760" s="185" t="s">
        <v>470</v>
      </c>
      <c r="H26760" s="185"/>
    </row>
    <row r="26761">
      <c r="D26761" s="185"/>
      <c r="E26761" s="185" t="s">
        <v>470</v>
      </c>
      <c r="H26761" s="185"/>
    </row>
    <row r="26762">
      <c r="D26762" s="185"/>
      <c r="E26762" s="185" t="s">
        <v>470</v>
      </c>
      <c r="H26762" s="185"/>
    </row>
    <row r="26763">
      <c r="D26763" s="185"/>
      <c r="E26763" s="185" t="s">
        <v>470</v>
      </c>
      <c r="H26763" s="185"/>
    </row>
    <row r="26764">
      <c r="D26764" s="185"/>
      <c r="E26764" s="185" t="s">
        <v>470</v>
      </c>
      <c r="H26764" s="185"/>
    </row>
    <row r="26765">
      <c r="D26765" s="185"/>
      <c r="E26765" s="185" t="s">
        <v>470</v>
      </c>
      <c r="H26765" s="185"/>
    </row>
    <row r="26766">
      <c r="D26766" s="185"/>
      <c r="E26766" s="185" t="s">
        <v>470</v>
      </c>
      <c r="H26766" s="185"/>
    </row>
    <row r="26767">
      <c r="D26767" s="185"/>
      <c r="E26767" s="185" t="s">
        <v>470</v>
      </c>
      <c r="H26767" s="185"/>
    </row>
    <row r="26768">
      <c r="D26768" s="185"/>
      <c r="E26768" s="185" t="s">
        <v>470</v>
      </c>
      <c r="H26768" s="185"/>
    </row>
    <row r="26769">
      <c r="D26769" s="185"/>
      <c r="E26769" s="185" t="s">
        <v>470</v>
      </c>
      <c r="H26769" s="185"/>
    </row>
    <row r="26770">
      <c r="D26770" s="185"/>
      <c r="E26770" s="185" t="s">
        <v>470</v>
      </c>
      <c r="H26770" s="185"/>
    </row>
    <row r="26771">
      <c r="D26771" s="185"/>
      <c r="E26771" s="185" t="s">
        <v>470</v>
      </c>
      <c r="H26771" s="185"/>
    </row>
    <row r="26772">
      <c r="D26772" s="185"/>
      <c r="E26772" s="185" t="s">
        <v>470</v>
      </c>
      <c r="H26772" s="185"/>
    </row>
    <row r="26773">
      <c r="D26773" s="185"/>
      <c r="E26773" s="185" t="s">
        <v>470</v>
      </c>
      <c r="H26773" s="185"/>
    </row>
    <row r="26774">
      <c r="D26774" s="185"/>
      <c r="E26774" s="185" t="s">
        <v>470</v>
      </c>
      <c r="H26774" s="185"/>
    </row>
    <row r="26775">
      <c r="D26775" s="185"/>
      <c r="E26775" s="185" t="s">
        <v>470</v>
      </c>
      <c r="H26775" s="185"/>
    </row>
    <row r="26776">
      <c r="D26776" s="185"/>
      <c r="E26776" s="185" t="s">
        <v>470</v>
      </c>
      <c r="H26776" s="185"/>
    </row>
    <row r="26777">
      <c r="D26777" s="185"/>
      <c r="E26777" s="185" t="s">
        <v>470</v>
      </c>
      <c r="H26777" s="185"/>
    </row>
    <row r="26778">
      <c r="D26778" s="185"/>
      <c r="E26778" s="185" t="s">
        <v>470</v>
      </c>
      <c r="H26778" s="185"/>
    </row>
    <row r="26779">
      <c r="D26779" s="185"/>
      <c r="E26779" s="185" t="s">
        <v>470</v>
      </c>
      <c r="H26779" s="185"/>
    </row>
    <row r="26780">
      <c r="D26780" s="185"/>
      <c r="E26780" s="185" t="s">
        <v>470</v>
      </c>
      <c r="H26780" s="185"/>
    </row>
    <row r="26781">
      <c r="D26781" s="185"/>
      <c r="E26781" s="185" t="s">
        <v>470</v>
      </c>
      <c r="H26781" s="185"/>
    </row>
    <row r="26782">
      <c r="D26782" s="185"/>
      <c r="E26782" s="185" t="s">
        <v>470</v>
      </c>
      <c r="H26782" s="185"/>
    </row>
    <row r="26783">
      <c r="D26783" s="185"/>
      <c r="E26783" s="185" t="s">
        <v>470</v>
      </c>
      <c r="H26783" s="185"/>
    </row>
    <row r="26784">
      <c r="D26784" s="185"/>
      <c r="E26784" s="185" t="s">
        <v>470</v>
      </c>
      <c r="H26784" s="185"/>
    </row>
    <row r="26785">
      <c r="D26785" s="185"/>
      <c r="E26785" s="185" t="s">
        <v>470</v>
      </c>
      <c r="H26785" s="185"/>
    </row>
    <row r="26786">
      <c r="D26786" s="185"/>
      <c r="E26786" s="185" t="s">
        <v>470</v>
      </c>
      <c r="H26786" s="185"/>
    </row>
    <row r="26787">
      <c r="D26787" s="185"/>
      <c r="E26787" s="185" t="s">
        <v>470</v>
      </c>
      <c r="H26787" s="185"/>
    </row>
    <row r="26788">
      <c r="D26788" s="185"/>
      <c r="E26788" s="185" t="s">
        <v>470</v>
      </c>
      <c r="H26788" s="185"/>
    </row>
    <row r="26789">
      <c r="D26789" s="185"/>
      <c r="E26789" s="185" t="s">
        <v>470</v>
      </c>
      <c r="H26789" s="185"/>
    </row>
    <row r="26790">
      <c r="D26790" s="185"/>
      <c r="E26790" s="185" t="s">
        <v>470</v>
      </c>
      <c r="H26790" s="185"/>
    </row>
    <row r="26791">
      <c r="D26791" s="185"/>
      <c r="E26791" s="185" t="s">
        <v>470</v>
      </c>
      <c r="H26791" s="185"/>
    </row>
    <row r="26792">
      <c r="D26792" s="185"/>
      <c r="E26792" s="185" t="s">
        <v>470</v>
      </c>
      <c r="H26792" s="185"/>
    </row>
    <row r="26793">
      <c r="D26793" s="185"/>
      <c r="E26793" s="185" t="s">
        <v>470</v>
      </c>
      <c r="H26793" s="185"/>
    </row>
    <row r="26794">
      <c r="D26794" s="185"/>
      <c r="E26794" s="185" t="s">
        <v>470</v>
      </c>
      <c r="H26794" s="185"/>
    </row>
    <row r="26795">
      <c r="D26795" s="185"/>
      <c r="E26795" s="185" t="s">
        <v>470</v>
      </c>
      <c r="H26795" s="185"/>
    </row>
    <row r="26796">
      <c r="D26796" s="185"/>
      <c r="E26796" s="185" t="s">
        <v>470</v>
      </c>
      <c r="H26796" s="185"/>
    </row>
    <row r="26797">
      <c r="D26797" s="185"/>
      <c r="E26797" s="185" t="s">
        <v>470</v>
      </c>
      <c r="H26797" s="185"/>
    </row>
    <row r="26798">
      <c r="D26798" s="185"/>
      <c r="E26798" s="185" t="s">
        <v>470</v>
      </c>
      <c r="H26798" s="185"/>
    </row>
    <row r="26799">
      <c r="D26799" s="185"/>
      <c r="E26799" s="185" t="s">
        <v>470</v>
      </c>
      <c r="H26799" s="185"/>
    </row>
    <row r="26800">
      <c r="D26800" s="185"/>
      <c r="E26800" s="185" t="s">
        <v>470</v>
      </c>
      <c r="H26800" s="185"/>
    </row>
    <row r="26801">
      <c r="D26801" s="185"/>
      <c r="E26801" s="185" t="s">
        <v>470</v>
      </c>
      <c r="H26801" s="185"/>
    </row>
    <row r="26802">
      <c r="D26802" s="185"/>
      <c r="E26802" s="185" t="s">
        <v>470</v>
      </c>
      <c r="H26802" s="185"/>
    </row>
    <row r="26803">
      <c r="D26803" s="185"/>
      <c r="E26803" s="185" t="s">
        <v>470</v>
      </c>
      <c r="H26803" s="185"/>
    </row>
    <row r="26804">
      <c r="D26804" s="185"/>
      <c r="E26804" s="185" t="s">
        <v>470</v>
      </c>
      <c r="H26804" s="185"/>
    </row>
    <row r="26805">
      <c r="D26805" s="185"/>
      <c r="E26805" s="185" t="s">
        <v>470</v>
      </c>
      <c r="H26805" s="185"/>
    </row>
    <row r="26806">
      <c r="D26806" s="185"/>
      <c r="E26806" s="185" t="s">
        <v>470</v>
      </c>
      <c r="H26806" s="185"/>
    </row>
    <row r="26807">
      <c r="D26807" s="185"/>
      <c r="E26807" s="185" t="s">
        <v>470</v>
      </c>
      <c r="H26807" s="185"/>
    </row>
    <row r="26808">
      <c r="D26808" s="185"/>
      <c r="E26808" s="185" t="s">
        <v>470</v>
      </c>
      <c r="H26808" s="185"/>
    </row>
    <row r="26809">
      <c r="D26809" s="185"/>
      <c r="E26809" s="185" t="s">
        <v>470</v>
      </c>
      <c r="H26809" s="185"/>
    </row>
    <row r="26810">
      <c r="D26810" s="185"/>
      <c r="E26810" s="185" t="s">
        <v>470</v>
      </c>
      <c r="H26810" s="185"/>
    </row>
    <row r="26811">
      <c r="D26811" s="185"/>
      <c r="E26811" s="185" t="s">
        <v>470</v>
      </c>
      <c r="H26811" s="185"/>
    </row>
    <row r="26812">
      <c r="D26812" s="185"/>
      <c r="E26812" s="185" t="s">
        <v>470</v>
      </c>
      <c r="H26812" s="185"/>
    </row>
    <row r="26813">
      <c r="D26813" s="185"/>
      <c r="E26813" s="185" t="s">
        <v>470</v>
      </c>
      <c r="H26813" s="185"/>
    </row>
    <row r="26814">
      <c r="D26814" s="185"/>
      <c r="E26814" s="185" t="s">
        <v>470</v>
      </c>
      <c r="H26814" s="185"/>
    </row>
    <row r="26815">
      <c r="D26815" s="185"/>
      <c r="E26815" s="185" t="s">
        <v>470</v>
      </c>
      <c r="H26815" s="185"/>
    </row>
    <row r="26816">
      <c r="D26816" s="185"/>
      <c r="E26816" s="185" t="s">
        <v>470</v>
      </c>
      <c r="H26816" s="185"/>
    </row>
    <row r="26817">
      <c r="D26817" s="185"/>
      <c r="E26817" s="185" t="s">
        <v>470</v>
      </c>
      <c r="H26817" s="185"/>
    </row>
    <row r="26818">
      <c r="D26818" s="185"/>
      <c r="E26818" s="185" t="s">
        <v>470</v>
      </c>
      <c r="H26818" s="185"/>
    </row>
    <row r="26819">
      <c r="D26819" s="185"/>
      <c r="E26819" s="185" t="s">
        <v>470</v>
      </c>
      <c r="H26819" s="185"/>
    </row>
    <row r="26820">
      <c r="D26820" s="185"/>
      <c r="E26820" s="185" t="s">
        <v>470</v>
      </c>
      <c r="H26820" s="185"/>
    </row>
    <row r="26821">
      <c r="D26821" s="185"/>
      <c r="E26821" s="185" t="s">
        <v>470</v>
      </c>
      <c r="H26821" s="185"/>
    </row>
    <row r="26822">
      <c r="D26822" s="185"/>
      <c r="E26822" s="185" t="s">
        <v>470</v>
      </c>
      <c r="H26822" s="185"/>
    </row>
    <row r="26823">
      <c r="D26823" s="185"/>
      <c r="E26823" s="185" t="s">
        <v>470</v>
      </c>
      <c r="H26823" s="185"/>
    </row>
    <row r="26824">
      <c r="D26824" s="185"/>
      <c r="E26824" s="185" t="s">
        <v>470</v>
      </c>
      <c r="H26824" s="185"/>
    </row>
    <row r="26825">
      <c r="D26825" s="185"/>
      <c r="E26825" s="185" t="s">
        <v>470</v>
      </c>
      <c r="H26825" s="185"/>
    </row>
    <row r="26826">
      <c r="D26826" s="185"/>
      <c r="E26826" s="185" t="s">
        <v>470</v>
      </c>
      <c r="H26826" s="185"/>
    </row>
    <row r="26827">
      <c r="D26827" s="185"/>
      <c r="E26827" s="185" t="s">
        <v>470</v>
      </c>
      <c r="H26827" s="185"/>
    </row>
    <row r="26828">
      <c r="D26828" s="185"/>
      <c r="E26828" s="185" t="s">
        <v>470</v>
      </c>
      <c r="H26828" s="185"/>
    </row>
    <row r="26829">
      <c r="D26829" s="185"/>
      <c r="E26829" s="185" t="s">
        <v>470</v>
      </c>
      <c r="H26829" s="185"/>
    </row>
    <row r="26830">
      <c r="D26830" s="185"/>
      <c r="E26830" s="185" t="s">
        <v>470</v>
      </c>
      <c r="H26830" s="185"/>
    </row>
    <row r="26831">
      <c r="D26831" s="185"/>
      <c r="E26831" s="185" t="s">
        <v>470</v>
      </c>
      <c r="H26831" s="185"/>
    </row>
    <row r="26832">
      <c r="D26832" s="185"/>
      <c r="E26832" s="185" t="s">
        <v>470</v>
      </c>
      <c r="H26832" s="185"/>
    </row>
    <row r="26833">
      <c r="D26833" s="185"/>
      <c r="E26833" s="185" t="s">
        <v>470</v>
      </c>
      <c r="H26833" s="185"/>
    </row>
    <row r="26834">
      <c r="D26834" s="185"/>
      <c r="E26834" s="185" t="s">
        <v>470</v>
      </c>
      <c r="H26834" s="185"/>
    </row>
    <row r="26835">
      <c r="D26835" s="185"/>
      <c r="E26835" s="185" t="s">
        <v>470</v>
      </c>
      <c r="H26835" s="185"/>
    </row>
    <row r="26836">
      <c r="D26836" s="185"/>
      <c r="E26836" s="185" t="s">
        <v>470</v>
      </c>
      <c r="H26836" s="185"/>
    </row>
    <row r="26837">
      <c r="D26837" s="185"/>
      <c r="E26837" s="185" t="s">
        <v>470</v>
      </c>
      <c r="H26837" s="185"/>
    </row>
    <row r="26838">
      <c r="D26838" s="185"/>
      <c r="E26838" s="185" t="s">
        <v>470</v>
      </c>
      <c r="H26838" s="185"/>
    </row>
    <row r="26839">
      <c r="D26839" s="185"/>
      <c r="E26839" s="185" t="s">
        <v>470</v>
      </c>
      <c r="H26839" s="185"/>
    </row>
    <row r="26840">
      <c r="D26840" s="185"/>
      <c r="E26840" s="185" t="s">
        <v>470</v>
      </c>
      <c r="H26840" s="185"/>
    </row>
    <row r="26841">
      <c r="D26841" s="185"/>
      <c r="E26841" s="185" t="s">
        <v>470</v>
      </c>
      <c r="H26841" s="185"/>
    </row>
    <row r="26842">
      <c r="D26842" s="185"/>
      <c r="E26842" s="185" t="s">
        <v>470</v>
      </c>
      <c r="H26842" s="185"/>
    </row>
    <row r="26843">
      <c r="D26843" s="185"/>
      <c r="E26843" s="185" t="s">
        <v>470</v>
      </c>
      <c r="H26843" s="185"/>
    </row>
    <row r="26844">
      <c r="D26844" s="185"/>
      <c r="E26844" s="185" t="s">
        <v>470</v>
      </c>
      <c r="H26844" s="185"/>
    </row>
    <row r="26845">
      <c r="D26845" s="185"/>
      <c r="E26845" s="185" t="s">
        <v>470</v>
      </c>
      <c r="H26845" s="185"/>
    </row>
    <row r="26846">
      <c r="D26846" s="185"/>
      <c r="E26846" s="185" t="s">
        <v>470</v>
      </c>
      <c r="H26846" s="185"/>
    </row>
    <row r="26847">
      <c r="D26847" s="185"/>
      <c r="E26847" s="185" t="s">
        <v>470</v>
      </c>
      <c r="H26847" s="185"/>
    </row>
    <row r="26848">
      <c r="D26848" s="185"/>
      <c r="E26848" s="185" t="s">
        <v>470</v>
      </c>
      <c r="H26848" s="185"/>
    </row>
    <row r="26849">
      <c r="D26849" s="185"/>
      <c r="E26849" s="185" t="s">
        <v>470</v>
      </c>
      <c r="H26849" s="185"/>
    </row>
    <row r="26850">
      <c r="D26850" s="185"/>
      <c r="E26850" s="185" t="s">
        <v>470</v>
      </c>
      <c r="H26850" s="185"/>
    </row>
    <row r="26851">
      <c r="D26851" s="185"/>
      <c r="E26851" s="185" t="s">
        <v>470</v>
      </c>
      <c r="H26851" s="185"/>
    </row>
    <row r="26852">
      <c r="D26852" s="185"/>
      <c r="E26852" s="185" t="s">
        <v>470</v>
      </c>
      <c r="H26852" s="185"/>
    </row>
    <row r="26853">
      <c r="D26853" s="185"/>
      <c r="E26853" s="185" t="s">
        <v>470</v>
      </c>
      <c r="H26853" s="185"/>
    </row>
    <row r="26854">
      <c r="D26854" s="185"/>
      <c r="E26854" s="185" t="s">
        <v>470</v>
      </c>
      <c r="H26854" s="185"/>
    </row>
    <row r="26855">
      <c r="D26855" s="185"/>
      <c r="E26855" s="185" t="s">
        <v>470</v>
      </c>
      <c r="H26855" s="185"/>
    </row>
    <row r="26856">
      <c r="D26856" s="185"/>
      <c r="E26856" s="185" t="s">
        <v>470</v>
      </c>
      <c r="H26856" s="185"/>
    </row>
    <row r="26857">
      <c r="D26857" s="185"/>
      <c r="E26857" s="185" t="s">
        <v>470</v>
      </c>
      <c r="H26857" s="185"/>
    </row>
    <row r="26858">
      <c r="D26858" s="185"/>
      <c r="E26858" s="185" t="s">
        <v>470</v>
      </c>
      <c r="H26858" s="185"/>
    </row>
    <row r="26859">
      <c r="D26859" s="185"/>
      <c r="E26859" s="185" t="s">
        <v>470</v>
      </c>
      <c r="H26859" s="185"/>
    </row>
    <row r="26860">
      <c r="D26860" s="185"/>
      <c r="E26860" s="185" t="s">
        <v>470</v>
      </c>
      <c r="H26860" s="185"/>
    </row>
    <row r="26861">
      <c r="D26861" s="185"/>
      <c r="E26861" s="185" t="s">
        <v>470</v>
      </c>
      <c r="H26861" s="185"/>
    </row>
    <row r="26862">
      <c r="D26862" s="185"/>
      <c r="E26862" s="185" t="s">
        <v>470</v>
      </c>
      <c r="H26862" s="185"/>
    </row>
    <row r="26863">
      <c r="D26863" s="185"/>
      <c r="E26863" s="185" t="s">
        <v>470</v>
      </c>
      <c r="H26863" s="185"/>
    </row>
    <row r="26864">
      <c r="D26864" s="185"/>
      <c r="E26864" s="185" t="s">
        <v>470</v>
      </c>
      <c r="H26864" s="185"/>
    </row>
    <row r="26865">
      <c r="D26865" s="185"/>
      <c r="E26865" s="185" t="s">
        <v>470</v>
      </c>
      <c r="H26865" s="185"/>
    </row>
    <row r="26866">
      <c r="D26866" s="185"/>
      <c r="E26866" s="185" t="s">
        <v>470</v>
      </c>
      <c r="H26866" s="185"/>
    </row>
    <row r="26867">
      <c r="D26867" s="185"/>
      <c r="E26867" s="185" t="s">
        <v>470</v>
      </c>
      <c r="H26867" s="185"/>
    </row>
    <row r="26868">
      <c r="D26868" s="185"/>
      <c r="E26868" s="185" t="s">
        <v>470</v>
      </c>
      <c r="H26868" s="185"/>
    </row>
    <row r="26869">
      <c r="D26869" s="185"/>
      <c r="E26869" s="185" t="s">
        <v>470</v>
      </c>
      <c r="H26869" s="185"/>
    </row>
    <row r="26870">
      <c r="D26870" s="185"/>
      <c r="E26870" s="185" t="s">
        <v>470</v>
      </c>
      <c r="H26870" s="185"/>
    </row>
    <row r="26871">
      <c r="D26871" s="185"/>
      <c r="E26871" s="185" t="s">
        <v>470</v>
      </c>
      <c r="H26871" s="185"/>
    </row>
    <row r="26872">
      <c r="D26872" s="185"/>
      <c r="E26872" s="185" t="s">
        <v>470</v>
      </c>
      <c r="H26872" s="185"/>
    </row>
    <row r="26873">
      <c r="D26873" s="185"/>
      <c r="E26873" s="185" t="s">
        <v>470</v>
      </c>
      <c r="H26873" s="185"/>
    </row>
    <row r="26874">
      <c r="D26874" s="185"/>
      <c r="E26874" s="185" t="s">
        <v>470</v>
      </c>
      <c r="H26874" s="185"/>
    </row>
    <row r="26875">
      <c r="D26875" s="185"/>
      <c r="E26875" s="185" t="s">
        <v>470</v>
      </c>
      <c r="H26875" s="185"/>
    </row>
    <row r="26876">
      <c r="D26876" s="185"/>
      <c r="E26876" s="185" t="s">
        <v>470</v>
      </c>
      <c r="H26876" s="185"/>
    </row>
    <row r="26877">
      <c r="D26877" s="185"/>
      <c r="E26877" s="185" t="s">
        <v>470</v>
      </c>
      <c r="H26877" s="185"/>
    </row>
    <row r="26878">
      <c r="D26878" s="185"/>
      <c r="E26878" s="185" t="s">
        <v>470</v>
      </c>
      <c r="H26878" s="185"/>
    </row>
    <row r="26879">
      <c r="D26879" s="185"/>
      <c r="E26879" s="185" t="s">
        <v>470</v>
      </c>
      <c r="H26879" s="185"/>
    </row>
    <row r="26880">
      <c r="D26880" s="185"/>
      <c r="E26880" s="185" t="s">
        <v>470</v>
      </c>
      <c r="H26880" s="185"/>
    </row>
    <row r="26881">
      <c r="D26881" s="185"/>
      <c r="E26881" s="185" t="s">
        <v>470</v>
      </c>
      <c r="H26881" s="185"/>
    </row>
    <row r="26882">
      <c r="D26882" s="185"/>
      <c r="E26882" s="185" t="s">
        <v>470</v>
      </c>
      <c r="H26882" s="185"/>
    </row>
    <row r="26883">
      <c r="D26883" s="185"/>
      <c r="E26883" s="185" t="s">
        <v>470</v>
      </c>
      <c r="H26883" s="185"/>
    </row>
    <row r="26884">
      <c r="D26884" s="185"/>
      <c r="E26884" s="185" t="s">
        <v>470</v>
      </c>
      <c r="H26884" s="185"/>
    </row>
    <row r="26885">
      <c r="D26885" s="185"/>
      <c r="E26885" s="185" t="s">
        <v>470</v>
      </c>
      <c r="H26885" s="185"/>
    </row>
    <row r="26886">
      <c r="D26886" s="185"/>
      <c r="E26886" s="185" t="s">
        <v>470</v>
      </c>
      <c r="H26886" s="185"/>
    </row>
    <row r="26887">
      <c r="D26887" s="185"/>
      <c r="E26887" s="185" t="s">
        <v>470</v>
      </c>
      <c r="H26887" s="185"/>
    </row>
    <row r="26888">
      <c r="D26888" s="185"/>
      <c r="E26888" s="185" t="s">
        <v>470</v>
      </c>
      <c r="H26888" s="185"/>
    </row>
    <row r="26889">
      <c r="D26889" s="185"/>
      <c r="E26889" s="185" t="s">
        <v>470</v>
      </c>
      <c r="H26889" s="185"/>
    </row>
    <row r="26890">
      <c r="D26890" s="185"/>
      <c r="E26890" s="185" t="s">
        <v>470</v>
      </c>
      <c r="H26890" s="185"/>
    </row>
    <row r="26891">
      <c r="D26891" s="185"/>
      <c r="E26891" s="185" t="s">
        <v>470</v>
      </c>
      <c r="H26891" s="185"/>
    </row>
    <row r="26892">
      <c r="D26892" s="185"/>
      <c r="E26892" s="185" t="s">
        <v>470</v>
      </c>
      <c r="H26892" s="185"/>
    </row>
    <row r="26893">
      <c r="D26893" s="185"/>
      <c r="E26893" s="185" t="s">
        <v>470</v>
      </c>
      <c r="H26893" s="185"/>
    </row>
    <row r="26894">
      <c r="D26894" s="185"/>
      <c r="E26894" s="185" t="s">
        <v>470</v>
      </c>
      <c r="H26894" s="185"/>
    </row>
    <row r="26895">
      <c r="D26895" s="185"/>
      <c r="E26895" s="185" t="s">
        <v>470</v>
      </c>
      <c r="H26895" s="185"/>
    </row>
    <row r="26896">
      <c r="D26896" s="185"/>
      <c r="E26896" s="185" t="s">
        <v>470</v>
      </c>
      <c r="H26896" s="185"/>
    </row>
    <row r="26897">
      <c r="D26897" s="185"/>
      <c r="E26897" s="185" t="s">
        <v>470</v>
      </c>
      <c r="H26897" s="185"/>
    </row>
    <row r="26898">
      <c r="D26898" s="185"/>
      <c r="E26898" s="185" t="s">
        <v>470</v>
      </c>
      <c r="H26898" s="185"/>
    </row>
    <row r="26899">
      <c r="D26899" s="185"/>
      <c r="E26899" s="185" t="s">
        <v>470</v>
      </c>
      <c r="H26899" s="185"/>
    </row>
    <row r="26900">
      <c r="D26900" s="185"/>
      <c r="E26900" s="185" t="s">
        <v>470</v>
      </c>
      <c r="H26900" s="185"/>
    </row>
    <row r="26901">
      <c r="D26901" s="185"/>
      <c r="E26901" s="185" t="s">
        <v>470</v>
      </c>
      <c r="H26901" s="185"/>
    </row>
    <row r="26902">
      <c r="D26902" s="185"/>
      <c r="E26902" s="185" t="s">
        <v>470</v>
      </c>
      <c r="H26902" s="185"/>
    </row>
    <row r="26903">
      <c r="D26903" s="185"/>
      <c r="E26903" s="185" t="s">
        <v>470</v>
      </c>
      <c r="H26903" s="185"/>
    </row>
    <row r="26904">
      <c r="D26904" s="185"/>
      <c r="E26904" s="185" t="s">
        <v>470</v>
      </c>
      <c r="H26904" s="185"/>
    </row>
    <row r="26905">
      <c r="D26905" s="185"/>
      <c r="E26905" s="185" t="s">
        <v>470</v>
      </c>
      <c r="H26905" s="185"/>
    </row>
    <row r="26906">
      <c r="D26906" s="185"/>
      <c r="E26906" s="185" t="s">
        <v>470</v>
      </c>
      <c r="H26906" s="185"/>
    </row>
    <row r="26907">
      <c r="D26907" s="185"/>
      <c r="E26907" s="185" t="s">
        <v>470</v>
      </c>
      <c r="H26907" s="185"/>
    </row>
    <row r="26908">
      <c r="D26908" s="185"/>
      <c r="E26908" s="185" t="s">
        <v>470</v>
      </c>
      <c r="H26908" s="185"/>
    </row>
    <row r="26909">
      <c r="D26909" s="185"/>
      <c r="E26909" s="185" t="s">
        <v>470</v>
      </c>
      <c r="H26909" s="185"/>
    </row>
    <row r="26910">
      <c r="D26910" s="185"/>
      <c r="E26910" s="185" t="s">
        <v>470</v>
      </c>
      <c r="H26910" s="185"/>
    </row>
    <row r="26911">
      <c r="D26911" s="185"/>
      <c r="E26911" s="185" t="s">
        <v>470</v>
      </c>
      <c r="H26911" s="185"/>
    </row>
    <row r="26912">
      <c r="D26912" s="185"/>
      <c r="E26912" s="185" t="s">
        <v>470</v>
      </c>
      <c r="H26912" s="185"/>
    </row>
    <row r="26913">
      <c r="D26913" s="185"/>
      <c r="E26913" s="185" t="s">
        <v>470</v>
      </c>
      <c r="H26913" s="185"/>
    </row>
    <row r="26914">
      <c r="D26914" s="185"/>
      <c r="E26914" s="185" t="s">
        <v>470</v>
      </c>
      <c r="H26914" s="185"/>
    </row>
    <row r="26915">
      <c r="D26915" s="185"/>
      <c r="E26915" s="185" t="s">
        <v>470</v>
      </c>
      <c r="H26915" s="185"/>
    </row>
    <row r="26916">
      <c r="D26916" s="185"/>
      <c r="E26916" s="185" t="s">
        <v>470</v>
      </c>
      <c r="H26916" s="185"/>
    </row>
    <row r="26917">
      <c r="D26917" s="185"/>
      <c r="E26917" s="185" t="s">
        <v>470</v>
      </c>
      <c r="H26917" s="185"/>
    </row>
    <row r="26918">
      <c r="D26918" s="185"/>
      <c r="E26918" s="185" t="s">
        <v>470</v>
      </c>
      <c r="H26918" s="185"/>
    </row>
    <row r="26919">
      <c r="D26919" s="185"/>
      <c r="E26919" s="185" t="s">
        <v>470</v>
      </c>
      <c r="H26919" s="185"/>
    </row>
    <row r="26920">
      <c r="D26920" s="185"/>
      <c r="E26920" s="185" t="s">
        <v>470</v>
      </c>
      <c r="H26920" s="185"/>
    </row>
    <row r="26921">
      <c r="D26921" s="185"/>
      <c r="E26921" s="185" t="s">
        <v>470</v>
      </c>
      <c r="H26921" s="185"/>
    </row>
    <row r="26922">
      <c r="D26922" s="185"/>
      <c r="E26922" s="185" t="s">
        <v>470</v>
      </c>
      <c r="H26922" s="185"/>
    </row>
    <row r="26923">
      <c r="D26923" s="185"/>
      <c r="E26923" s="185" t="s">
        <v>470</v>
      </c>
      <c r="H26923" s="185"/>
    </row>
    <row r="26924">
      <c r="D26924" s="185"/>
      <c r="E26924" s="185" t="s">
        <v>470</v>
      </c>
      <c r="H26924" s="185"/>
    </row>
    <row r="26925">
      <c r="D26925" s="185"/>
      <c r="E26925" s="185" t="s">
        <v>470</v>
      </c>
      <c r="H26925" s="185"/>
    </row>
    <row r="26926">
      <c r="D26926" s="185"/>
      <c r="E26926" s="185" t="s">
        <v>470</v>
      </c>
      <c r="H26926" s="185"/>
    </row>
    <row r="26927">
      <c r="D26927" s="185"/>
      <c r="E26927" s="185" t="s">
        <v>470</v>
      </c>
      <c r="H26927" s="185"/>
    </row>
    <row r="26928">
      <c r="D26928" s="185"/>
      <c r="E26928" s="185" t="s">
        <v>470</v>
      </c>
      <c r="H26928" s="185"/>
    </row>
    <row r="26929">
      <c r="D26929" s="185"/>
      <c r="E26929" s="185" t="s">
        <v>470</v>
      </c>
      <c r="H26929" s="185"/>
    </row>
    <row r="26930">
      <c r="D26930" s="185"/>
      <c r="E26930" s="185" t="s">
        <v>470</v>
      </c>
      <c r="H26930" s="185"/>
    </row>
    <row r="26931">
      <c r="D26931" s="185"/>
      <c r="E26931" s="185" t="s">
        <v>470</v>
      </c>
      <c r="H26931" s="185"/>
    </row>
    <row r="26932">
      <c r="D26932" s="185"/>
      <c r="E26932" s="185" t="s">
        <v>470</v>
      </c>
      <c r="H26932" s="185"/>
    </row>
    <row r="26933">
      <c r="D26933" s="185"/>
      <c r="E26933" s="185" t="s">
        <v>470</v>
      </c>
      <c r="H26933" s="185"/>
    </row>
    <row r="26934">
      <c r="D26934" s="185"/>
      <c r="E26934" s="185" t="s">
        <v>470</v>
      </c>
      <c r="H26934" s="185"/>
    </row>
    <row r="26935">
      <c r="D26935" s="185"/>
      <c r="E26935" s="185" t="s">
        <v>470</v>
      </c>
      <c r="H26935" s="185"/>
    </row>
    <row r="26936">
      <c r="D26936" s="185"/>
      <c r="E26936" s="185" t="s">
        <v>470</v>
      </c>
      <c r="H26936" s="185"/>
    </row>
    <row r="26937">
      <c r="D26937" s="185"/>
      <c r="E26937" s="185" t="s">
        <v>470</v>
      </c>
      <c r="H26937" s="185"/>
    </row>
    <row r="26938">
      <c r="D26938" s="185"/>
      <c r="E26938" s="185" t="s">
        <v>470</v>
      </c>
      <c r="H26938" s="185"/>
    </row>
    <row r="26939">
      <c r="D26939" s="185"/>
      <c r="E26939" s="185" t="s">
        <v>470</v>
      </c>
      <c r="H26939" s="185"/>
    </row>
    <row r="26940">
      <c r="D26940" s="185"/>
      <c r="E26940" s="185" t="s">
        <v>470</v>
      </c>
      <c r="H26940" s="185"/>
    </row>
    <row r="26941">
      <c r="D26941" s="185"/>
      <c r="E26941" s="185" t="s">
        <v>470</v>
      </c>
      <c r="H26941" s="185"/>
    </row>
    <row r="26942">
      <c r="D26942" s="185"/>
      <c r="E26942" s="185" t="s">
        <v>470</v>
      </c>
      <c r="H26942" s="185"/>
    </row>
    <row r="26943">
      <c r="D26943" s="185"/>
      <c r="E26943" s="185" t="s">
        <v>470</v>
      </c>
      <c r="H26943" s="185"/>
    </row>
    <row r="26944">
      <c r="D26944" s="185"/>
      <c r="E26944" s="185" t="s">
        <v>470</v>
      </c>
      <c r="H26944" s="185"/>
    </row>
    <row r="26945">
      <c r="D26945" s="185"/>
      <c r="E26945" s="185" t="s">
        <v>470</v>
      </c>
      <c r="H26945" s="185"/>
    </row>
    <row r="26946">
      <c r="D26946" s="185"/>
      <c r="E26946" s="185" t="s">
        <v>470</v>
      </c>
      <c r="H26946" s="185"/>
    </row>
    <row r="26947">
      <c r="D26947" s="185"/>
      <c r="E26947" s="185" t="s">
        <v>470</v>
      </c>
      <c r="H26947" s="185"/>
    </row>
    <row r="26948">
      <c r="D26948" s="185"/>
      <c r="E26948" s="185" t="s">
        <v>470</v>
      </c>
      <c r="H26948" s="185"/>
    </row>
    <row r="26949">
      <c r="D26949" s="185"/>
      <c r="E26949" s="185" t="s">
        <v>470</v>
      </c>
      <c r="H26949" s="185"/>
    </row>
    <row r="26950">
      <c r="D26950" s="185"/>
      <c r="E26950" s="185" t="s">
        <v>470</v>
      </c>
      <c r="H26950" s="185"/>
    </row>
    <row r="26951">
      <c r="D26951" s="185"/>
      <c r="E26951" s="185" t="s">
        <v>470</v>
      </c>
      <c r="H26951" s="185"/>
    </row>
    <row r="26952">
      <c r="D26952" s="185"/>
      <c r="E26952" s="185" t="s">
        <v>470</v>
      </c>
      <c r="H26952" s="185"/>
    </row>
    <row r="26953">
      <c r="D26953" s="185"/>
      <c r="E26953" s="185" t="s">
        <v>470</v>
      </c>
      <c r="H26953" s="185"/>
    </row>
    <row r="26954">
      <c r="D26954" s="185"/>
      <c r="E26954" s="185" t="s">
        <v>470</v>
      </c>
      <c r="H26954" s="185"/>
    </row>
    <row r="26955">
      <c r="D26955" s="185"/>
      <c r="E26955" s="185" t="s">
        <v>470</v>
      </c>
      <c r="H26955" s="185"/>
    </row>
    <row r="26956">
      <c r="D26956" s="185"/>
      <c r="E26956" s="185" t="s">
        <v>470</v>
      </c>
      <c r="H26956" s="185"/>
    </row>
    <row r="26957">
      <c r="D26957" s="185"/>
      <c r="E26957" s="185" t="s">
        <v>470</v>
      </c>
      <c r="H26957" s="185"/>
    </row>
    <row r="26958">
      <c r="D26958" s="185"/>
      <c r="E26958" s="185" t="s">
        <v>470</v>
      </c>
      <c r="H26958" s="185"/>
    </row>
    <row r="26959">
      <c r="D26959" s="185"/>
      <c r="E26959" s="185" t="s">
        <v>470</v>
      </c>
      <c r="H26959" s="185"/>
    </row>
    <row r="26960">
      <c r="D26960" s="185"/>
      <c r="E26960" s="185" t="s">
        <v>470</v>
      </c>
      <c r="H26960" s="185"/>
    </row>
    <row r="26961">
      <c r="D26961" s="185"/>
      <c r="E26961" s="185" t="s">
        <v>470</v>
      </c>
      <c r="H26961" s="185"/>
    </row>
    <row r="26962">
      <c r="D26962" s="185"/>
      <c r="E26962" s="185" t="s">
        <v>470</v>
      </c>
      <c r="H26962" s="185"/>
    </row>
    <row r="26963">
      <c r="D26963" s="185"/>
      <c r="E26963" s="185" t="s">
        <v>470</v>
      </c>
      <c r="H26963" s="185"/>
    </row>
    <row r="26964">
      <c r="D26964" s="185"/>
      <c r="E26964" s="185" t="s">
        <v>470</v>
      </c>
      <c r="H26964" s="185"/>
    </row>
    <row r="26965">
      <c r="D26965" s="185"/>
      <c r="E26965" s="185" t="s">
        <v>470</v>
      </c>
      <c r="H26965" s="185"/>
    </row>
    <row r="26966">
      <c r="D26966" s="185"/>
      <c r="E26966" s="185" t="s">
        <v>470</v>
      </c>
      <c r="H26966" s="185"/>
    </row>
    <row r="26967">
      <c r="D26967" s="185"/>
      <c r="E26967" s="185" t="s">
        <v>470</v>
      </c>
      <c r="H26967" s="185"/>
    </row>
    <row r="26968">
      <c r="D26968" s="185"/>
      <c r="E26968" s="185" t="s">
        <v>470</v>
      </c>
      <c r="H26968" s="185"/>
    </row>
    <row r="26969">
      <c r="D26969" s="185"/>
      <c r="E26969" s="185" t="s">
        <v>470</v>
      </c>
      <c r="H26969" s="185"/>
    </row>
    <row r="26970">
      <c r="D26970" s="185"/>
      <c r="E26970" s="185" t="s">
        <v>470</v>
      </c>
      <c r="H26970" s="185"/>
    </row>
    <row r="26971">
      <c r="D26971" s="185"/>
      <c r="E26971" s="185" t="s">
        <v>470</v>
      </c>
      <c r="H26971" s="185"/>
    </row>
    <row r="26972">
      <c r="D26972" s="185"/>
      <c r="E26972" s="185" t="s">
        <v>470</v>
      </c>
      <c r="H26972" s="185"/>
    </row>
    <row r="26973">
      <c r="D26973" s="185"/>
      <c r="E26973" s="185" t="s">
        <v>470</v>
      </c>
      <c r="H26973" s="185"/>
    </row>
    <row r="26974">
      <c r="D26974" s="185"/>
      <c r="E26974" s="185" t="s">
        <v>470</v>
      </c>
      <c r="H26974" s="185"/>
    </row>
    <row r="26975">
      <c r="D26975" s="185"/>
      <c r="E26975" s="185" t="s">
        <v>470</v>
      </c>
      <c r="H26975" s="185"/>
    </row>
    <row r="26976">
      <c r="D26976" s="185"/>
      <c r="E26976" s="185" t="s">
        <v>470</v>
      </c>
      <c r="H26976" s="185"/>
    </row>
    <row r="26977">
      <c r="D26977" s="185"/>
      <c r="E26977" s="185" t="s">
        <v>470</v>
      </c>
      <c r="H26977" s="185"/>
    </row>
    <row r="26978">
      <c r="D26978" s="185"/>
      <c r="E26978" s="185" t="s">
        <v>470</v>
      </c>
      <c r="H26978" s="185"/>
    </row>
    <row r="26979">
      <c r="D26979" s="185"/>
      <c r="E26979" s="185" t="s">
        <v>470</v>
      </c>
      <c r="H26979" s="185"/>
    </row>
    <row r="26980">
      <c r="D26980" s="185"/>
      <c r="E26980" s="185" t="s">
        <v>470</v>
      </c>
      <c r="H26980" s="185"/>
    </row>
    <row r="26981">
      <c r="D26981" s="185"/>
      <c r="E26981" s="185" t="s">
        <v>470</v>
      </c>
      <c r="H26981" s="185"/>
    </row>
    <row r="26982">
      <c r="D26982" s="185"/>
      <c r="E26982" s="185" t="s">
        <v>470</v>
      </c>
      <c r="H26982" s="185"/>
    </row>
    <row r="26983">
      <c r="D26983" s="185"/>
      <c r="E26983" s="185" t="s">
        <v>470</v>
      </c>
      <c r="H26983" s="185"/>
    </row>
    <row r="26984">
      <c r="D26984" s="185"/>
      <c r="E26984" s="185" t="s">
        <v>470</v>
      </c>
      <c r="H26984" s="185"/>
    </row>
    <row r="26985">
      <c r="D26985" s="185"/>
      <c r="E26985" s="185" t="s">
        <v>470</v>
      </c>
      <c r="H26985" s="185"/>
    </row>
    <row r="26986">
      <c r="D26986" s="185"/>
      <c r="E26986" s="185" t="s">
        <v>470</v>
      </c>
      <c r="H26986" s="185"/>
    </row>
    <row r="26987">
      <c r="D26987" s="185"/>
      <c r="E26987" s="185" t="s">
        <v>470</v>
      </c>
      <c r="H26987" s="185"/>
    </row>
    <row r="26988">
      <c r="D26988" s="185"/>
      <c r="E26988" s="185" t="s">
        <v>470</v>
      </c>
      <c r="H26988" s="185"/>
    </row>
    <row r="26989">
      <c r="D26989" s="185"/>
      <c r="E26989" s="185" t="s">
        <v>470</v>
      </c>
      <c r="H26989" s="185"/>
    </row>
    <row r="26990">
      <c r="D26990" s="185"/>
      <c r="E26990" s="185" t="s">
        <v>470</v>
      </c>
      <c r="H26990" s="185"/>
    </row>
    <row r="26991">
      <c r="D26991" s="185"/>
      <c r="E26991" s="185" t="s">
        <v>470</v>
      </c>
      <c r="H26991" s="185"/>
    </row>
    <row r="26992">
      <c r="D26992" s="185"/>
      <c r="E26992" s="185" t="s">
        <v>470</v>
      </c>
      <c r="H26992" s="185"/>
    </row>
    <row r="26993">
      <c r="D26993" s="185"/>
      <c r="E26993" s="185" t="s">
        <v>470</v>
      </c>
      <c r="H26993" s="185"/>
    </row>
    <row r="26994">
      <c r="D26994" s="185"/>
      <c r="E26994" s="185" t="s">
        <v>470</v>
      </c>
      <c r="H26994" s="185"/>
    </row>
    <row r="26995">
      <c r="D26995" s="185"/>
      <c r="E26995" s="185" t="s">
        <v>470</v>
      </c>
      <c r="H26995" s="185"/>
    </row>
    <row r="26996">
      <c r="D26996" s="185"/>
      <c r="E26996" s="185" t="s">
        <v>470</v>
      </c>
      <c r="H26996" s="185"/>
    </row>
    <row r="26997">
      <c r="D26997" s="185"/>
      <c r="E26997" s="185" t="s">
        <v>470</v>
      </c>
      <c r="H26997" s="185"/>
    </row>
    <row r="26998">
      <c r="D26998" s="185"/>
      <c r="E26998" s="185" t="s">
        <v>470</v>
      </c>
      <c r="H26998" s="185"/>
    </row>
    <row r="26999">
      <c r="D26999" s="185"/>
      <c r="E26999" s="185" t="s">
        <v>470</v>
      </c>
      <c r="H26999" s="185"/>
    </row>
    <row r="27000">
      <c r="D27000" s="185"/>
      <c r="E27000" s="185" t="s">
        <v>470</v>
      </c>
      <c r="H27000" s="185"/>
    </row>
    <row r="27001">
      <c r="D27001" s="185"/>
      <c r="E27001" s="185" t="s">
        <v>470</v>
      </c>
      <c r="H27001" s="185"/>
    </row>
    <row r="27002">
      <c r="D27002" s="185"/>
      <c r="E27002" s="185" t="s">
        <v>470</v>
      </c>
      <c r="H27002" s="185"/>
    </row>
    <row r="27003">
      <c r="D27003" s="185"/>
      <c r="E27003" s="185" t="s">
        <v>470</v>
      </c>
      <c r="H27003" s="185"/>
    </row>
    <row r="27004">
      <c r="D27004" s="185"/>
      <c r="E27004" s="185" t="s">
        <v>470</v>
      </c>
      <c r="H27004" s="185"/>
    </row>
    <row r="27005">
      <c r="D27005" s="185"/>
      <c r="E27005" s="185" t="s">
        <v>470</v>
      </c>
      <c r="H27005" s="185"/>
    </row>
    <row r="27006">
      <c r="D27006" s="185"/>
      <c r="E27006" s="185" t="s">
        <v>470</v>
      </c>
      <c r="H27006" s="185"/>
    </row>
    <row r="27007">
      <c r="D27007" s="185"/>
      <c r="E27007" s="185" t="s">
        <v>470</v>
      </c>
      <c r="H27007" s="185"/>
    </row>
    <row r="27008">
      <c r="D27008" s="185"/>
      <c r="E27008" s="185" t="s">
        <v>470</v>
      </c>
      <c r="H27008" s="185"/>
    </row>
    <row r="27009">
      <c r="D27009" s="185"/>
      <c r="E27009" s="185" t="s">
        <v>470</v>
      </c>
      <c r="H27009" s="185"/>
    </row>
    <row r="27010">
      <c r="D27010" s="185"/>
      <c r="E27010" s="185" t="s">
        <v>470</v>
      </c>
      <c r="H27010" s="185"/>
    </row>
    <row r="27011">
      <c r="D27011" s="185"/>
      <c r="E27011" s="185" t="s">
        <v>470</v>
      </c>
      <c r="H27011" s="185"/>
    </row>
    <row r="27012">
      <c r="D27012" s="185"/>
      <c r="E27012" s="185" t="s">
        <v>470</v>
      </c>
      <c r="H27012" s="185"/>
    </row>
    <row r="27013">
      <c r="D27013" s="185"/>
      <c r="E27013" s="185" t="s">
        <v>470</v>
      </c>
      <c r="H27013" s="185"/>
    </row>
    <row r="27014">
      <c r="D27014" s="185"/>
      <c r="E27014" s="185" t="s">
        <v>470</v>
      </c>
      <c r="H27014" s="185"/>
    </row>
    <row r="27015">
      <c r="D27015" s="185"/>
      <c r="E27015" s="185" t="s">
        <v>470</v>
      </c>
      <c r="H27015" s="185"/>
    </row>
    <row r="27016">
      <c r="D27016" s="185"/>
      <c r="E27016" s="185" t="s">
        <v>470</v>
      </c>
      <c r="H27016" s="185"/>
    </row>
    <row r="27017">
      <c r="D27017" s="185"/>
      <c r="E27017" s="185" t="s">
        <v>470</v>
      </c>
      <c r="H27017" s="185"/>
    </row>
    <row r="27018">
      <c r="D27018" s="185"/>
      <c r="E27018" s="185" t="s">
        <v>470</v>
      </c>
      <c r="H27018" s="185"/>
    </row>
    <row r="27019">
      <c r="D27019" s="185"/>
      <c r="E27019" s="185" t="s">
        <v>470</v>
      </c>
      <c r="H27019" s="185"/>
    </row>
    <row r="27020">
      <c r="D27020" s="185"/>
      <c r="E27020" s="185" t="s">
        <v>470</v>
      </c>
      <c r="H27020" s="185"/>
    </row>
    <row r="27021">
      <c r="D27021" s="185"/>
      <c r="E27021" s="185" t="s">
        <v>470</v>
      </c>
      <c r="H27021" s="185"/>
    </row>
    <row r="27022">
      <c r="D27022" s="185"/>
      <c r="E27022" s="185" t="s">
        <v>470</v>
      </c>
      <c r="H27022" s="185"/>
    </row>
    <row r="27023">
      <c r="D27023" s="185"/>
      <c r="E27023" s="185" t="s">
        <v>470</v>
      </c>
      <c r="H27023" s="185"/>
    </row>
    <row r="27024">
      <c r="D27024" s="185"/>
      <c r="E27024" s="185" t="s">
        <v>470</v>
      </c>
      <c r="H27024" s="185"/>
    </row>
    <row r="27025">
      <c r="D27025" s="185"/>
      <c r="E27025" s="185" t="s">
        <v>470</v>
      </c>
      <c r="H27025" s="185"/>
    </row>
    <row r="27026">
      <c r="D27026" s="185"/>
      <c r="E27026" s="185" t="s">
        <v>470</v>
      </c>
      <c r="H27026" s="185"/>
    </row>
    <row r="27027">
      <c r="D27027" s="185"/>
      <c r="E27027" s="185" t="s">
        <v>470</v>
      </c>
      <c r="H27027" s="185"/>
    </row>
    <row r="27028">
      <c r="D27028" s="185"/>
      <c r="E27028" s="185" t="s">
        <v>470</v>
      </c>
      <c r="H27028" s="185"/>
    </row>
    <row r="27029">
      <c r="D27029" s="185"/>
      <c r="E27029" s="185" t="s">
        <v>470</v>
      </c>
      <c r="H27029" s="185"/>
    </row>
    <row r="27030">
      <c r="D27030" s="185"/>
      <c r="E27030" s="185" t="s">
        <v>470</v>
      </c>
      <c r="H27030" s="185"/>
    </row>
    <row r="27031">
      <c r="D27031" s="185"/>
      <c r="E27031" s="185" t="s">
        <v>470</v>
      </c>
      <c r="H27031" s="185"/>
    </row>
    <row r="27032">
      <c r="D27032" s="185"/>
      <c r="E27032" s="185" t="s">
        <v>470</v>
      </c>
      <c r="H27032" s="185"/>
    </row>
    <row r="27033">
      <c r="D27033" s="185"/>
      <c r="E27033" s="185" t="s">
        <v>470</v>
      </c>
      <c r="H27033" s="185"/>
    </row>
    <row r="27034">
      <c r="D27034" s="185"/>
      <c r="E27034" s="185" t="s">
        <v>470</v>
      </c>
      <c r="H27034" s="185"/>
    </row>
    <row r="27035">
      <c r="D27035" s="185"/>
      <c r="E27035" s="185" t="s">
        <v>470</v>
      </c>
      <c r="H27035" s="185"/>
    </row>
    <row r="27036">
      <c r="D27036" s="185"/>
      <c r="E27036" s="185" t="s">
        <v>470</v>
      </c>
      <c r="H27036" s="185"/>
    </row>
    <row r="27037">
      <c r="D27037" s="185"/>
      <c r="E27037" s="185" t="s">
        <v>470</v>
      </c>
      <c r="H27037" s="185"/>
    </row>
    <row r="27038">
      <c r="D27038" s="185"/>
      <c r="E27038" s="185" t="s">
        <v>470</v>
      </c>
      <c r="H27038" s="185"/>
    </row>
    <row r="27039">
      <c r="D27039" s="185"/>
      <c r="E27039" s="185" t="s">
        <v>470</v>
      </c>
      <c r="H27039" s="185"/>
    </row>
    <row r="27040">
      <c r="D27040" s="185"/>
      <c r="E27040" s="185" t="s">
        <v>470</v>
      </c>
      <c r="H27040" s="185"/>
    </row>
    <row r="27041">
      <c r="D27041" s="185"/>
      <c r="E27041" s="185" t="s">
        <v>470</v>
      </c>
      <c r="H27041" s="185"/>
    </row>
    <row r="27042">
      <c r="D27042" s="185"/>
      <c r="E27042" s="185" t="s">
        <v>470</v>
      </c>
      <c r="H27042" s="185"/>
    </row>
    <row r="27043">
      <c r="D27043" s="185"/>
      <c r="E27043" s="185" t="s">
        <v>470</v>
      </c>
      <c r="H27043" s="185"/>
    </row>
    <row r="27044">
      <c r="D27044" s="185"/>
      <c r="E27044" s="185" t="s">
        <v>470</v>
      </c>
      <c r="H27044" s="185"/>
    </row>
    <row r="27045">
      <c r="D27045" s="185"/>
      <c r="E27045" s="185" t="s">
        <v>470</v>
      </c>
      <c r="H27045" s="185"/>
    </row>
    <row r="27046">
      <c r="D27046" s="185"/>
      <c r="E27046" s="185" t="s">
        <v>470</v>
      </c>
      <c r="H27046" s="185"/>
    </row>
    <row r="27047">
      <c r="D27047" s="185"/>
      <c r="E27047" s="185" t="s">
        <v>470</v>
      </c>
      <c r="H27047" s="185"/>
    </row>
    <row r="27048">
      <c r="D27048" s="185"/>
      <c r="E27048" s="185" t="s">
        <v>470</v>
      </c>
      <c r="H27048" s="185"/>
    </row>
    <row r="27049">
      <c r="D27049" s="185"/>
      <c r="E27049" s="185" t="s">
        <v>470</v>
      </c>
      <c r="H27049" s="185"/>
    </row>
    <row r="27050">
      <c r="D27050" s="185"/>
      <c r="E27050" s="185" t="s">
        <v>470</v>
      </c>
      <c r="H27050" s="185"/>
    </row>
    <row r="27051">
      <c r="D27051" s="185"/>
      <c r="E27051" s="185" t="s">
        <v>470</v>
      </c>
      <c r="H27051" s="185"/>
    </row>
    <row r="27052">
      <c r="D27052" s="185"/>
      <c r="E27052" s="185" t="s">
        <v>470</v>
      </c>
      <c r="H27052" s="185"/>
    </row>
    <row r="27053">
      <c r="D27053" s="185"/>
      <c r="E27053" s="185" t="s">
        <v>470</v>
      </c>
      <c r="H27053" s="185"/>
    </row>
    <row r="27054">
      <c r="D27054" s="185"/>
      <c r="E27054" s="185" t="s">
        <v>470</v>
      </c>
      <c r="H27054" s="185"/>
    </row>
    <row r="27055">
      <c r="D27055" s="185"/>
      <c r="E27055" s="185" t="s">
        <v>470</v>
      </c>
      <c r="H27055" s="185"/>
    </row>
    <row r="27056">
      <c r="D27056" s="185"/>
      <c r="E27056" s="185" t="s">
        <v>470</v>
      </c>
      <c r="H27056" s="185"/>
    </row>
    <row r="27057">
      <c r="D27057" s="185"/>
      <c r="E27057" s="185" t="s">
        <v>470</v>
      </c>
      <c r="H27057" s="185"/>
    </row>
    <row r="27058">
      <c r="D27058" s="185"/>
      <c r="E27058" s="185" t="s">
        <v>470</v>
      </c>
      <c r="H27058" s="185"/>
    </row>
    <row r="27059">
      <c r="D27059" s="185"/>
      <c r="E27059" s="185" t="s">
        <v>470</v>
      </c>
      <c r="H27059" s="185"/>
    </row>
    <row r="27060">
      <c r="D27060" s="185"/>
      <c r="E27060" s="185" t="s">
        <v>470</v>
      </c>
      <c r="H27060" s="185"/>
    </row>
    <row r="27061">
      <c r="D27061" s="185"/>
      <c r="E27061" s="185" t="s">
        <v>470</v>
      </c>
      <c r="H27061" s="185"/>
    </row>
    <row r="27062">
      <c r="D27062" s="185"/>
      <c r="E27062" s="185" t="s">
        <v>470</v>
      </c>
      <c r="H27062" s="185"/>
    </row>
    <row r="27063">
      <c r="D27063" s="185"/>
      <c r="E27063" s="185" t="s">
        <v>470</v>
      </c>
      <c r="H27063" s="185"/>
    </row>
    <row r="27064">
      <c r="D27064" s="185"/>
      <c r="E27064" s="185" t="s">
        <v>470</v>
      </c>
      <c r="H27064" s="185"/>
    </row>
    <row r="27065">
      <c r="D27065" s="185"/>
      <c r="E27065" s="185" t="s">
        <v>470</v>
      </c>
      <c r="H27065" s="185"/>
    </row>
    <row r="27066">
      <c r="D27066" s="185"/>
      <c r="E27066" s="185" t="s">
        <v>470</v>
      </c>
      <c r="H27066" s="185"/>
    </row>
    <row r="27067">
      <c r="D27067" s="185"/>
      <c r="E27067" s="185" t="s">
        <v>470</v>
      </c>
      <c r="H27067" s="185"/>
    </row>
    <row r="27068">
      <c r="D27068" s="185"/>
      <c r="E27068" s="185" t="s">
        <v>470</v>
      </c>
      <c r="H27068" s="185"/>
    </row>
    <row r="27069">
      <c r="D27069" s="185"/>
      <c r="E27069" s="185" t="s">
        <v>470</v>
      </c>
      <c r="H27069" s="185"/>
    </row>
    <row r="27070">
      <c r="D27070" s="185"/>
      <c r="E27070" s="185" t="s">
        <v>470</v>
      </c>
      <c r="H27070" s="185"/>
    </row>
    <row r="27071">
      <c r="D27071" s="185"/>
      <c r="E27071" s="185" t="s">
        <v>470</v>
      </c>
      <c r="H27071" s="185"/>
    </row>
    <row r="27072">
      <c r="D27072" s="185"/>
      <c r="E27072" s="185" t="s">
        <v>470</v>
      </c>
      <c r="H27072" s="185"/>
    </row>
    <row r="27073">
      <c r="D27073" s="185"/>
      <c r="E27073" s="185" t="s">
        <v>470</v>
      </c>
      <c r="H27073" s="185"/>
    </row>
    <row r="27074">
      <c r="D27074" s="185"/>
      <c r="E27074" s="185" t="s">
        <v>470</v>
      </c>
      <c r="H27074" s="185"/>
    </row>
    <row r="27075">
      <c r="D27075" s="185"/>
      <c r="E27075" s="185" t="s">
        <v>470</v>
      </c>
      <c r="H27075" s="185"/>
    </row>
    <row r="27076">
      <c r="D27076" s="185"/>
      <c r="E27076" s="185" t="s">
        <v>470</v>
      </c>
      <c r="H27076" s="185"/>
    </row>
    <row r="27077">
      <c r="D27077" s="185"/>
      <c r="E27077" s="185" t="s">
        <v>470</v>
      </c>
      <c r="H27077" s="185"/>
    </row>
    <row r="27078">
      <c r="D27078" s="185"/>
      <c r="E27078" s="185" t="s">
        <v>470</v>
      </c>
      <c r="H27078" s="185"/>
    </row>
    <row r="27079">
      <c r="D27079" s="185"/>
      <c r="E27079" s="185" t="s">
        <v>470</v>
      </c>
      <c r="H27079" s="185"/>
    </row>
    <row r="27080">
      <c r="D27080" s="185"/>
      <c r="E27080" s="185" t="s">
        <v>470</v>
      </c>
      <c r="H27080" s="185"/>
    </row>
    <row r="27081">
      <c r="D27081" s="185"/>
      <c r="E27081" s="185" t="s">
        <v>470</v>
      </c>
      <c r="H27081" s="185"/>
    </row>
    <row r="27082">
      <c r="D27082" s="185"/>
      <c r="E27082" s="185" t="s">
        <v>470</v>
      </c>
      <c r="H27082" s="185"/>
    </row>
    <row r="27083">
      <c r="D27083" s="185"/>
      <c r="E27083" s="185" t="s">
        <v>470</v>
      </c>
      <c r="H27083" s="185"/>
    </row>
    <row r="27084">
      <c r="D27084" s="185"/>
      <c r="E27084" s="185" t="s">
        <v>470</v>
      </c>
      <c r="H27084" s="185"/>
    </row>
    <row r="27085">
      <c r="D27085" s="185"/>
      <c r="E27085" s="185" t="s">
        <v>470</v>
      </c>
      <c r="H27085" s="185"/>
    </row>
    <row r="27086">
      <c r="D27086" s="185"/>
      <c r="E27086" s="185" t="s">
        <v>470</v>
      </c>
      <c r="H27086" s="185"/>
    </row>
    <row r="27087">
      <c r="D27087" s="185"/>
      <c r="E27087" s="185" t="s">
        <v>470</v>
      </c>
      <c r="H27087" s="185"/>
    </row>
    <row r="27088">
      <c r="D27088" s="185"/>
      <c r="E27088" s="185" t="s">
        <v>470</v>
      </c>
      <c r="H27088" s="185"/>
    </row>
    <row r="27089">
      <c r="D27089" s="185"/>
      <c r="E27089" s="185" t="s">
        <v>470</v>
      </c>
      <c r="H27089" s="185"/>
    </row>
    <row r="27090">
      <c r="D27090" s="185"/>
      <c r="E27090" s="185" t="s">
        <v>470</v>
      </c>
      <c r="H27090" s="185"/>
    </row>
    <row r="27091">
      <c r="D27091" s="185"/>
      <c r="E27091" s="185" t="s">
        <v>470</v>
      </c>
      <c r="H27091" s="185"/>
    </row>
    <row r="27092">
      <c r="D27092" s="185"/>
      <c r="E27092" s="185" t="s">
        <v>470</v>
      </c>
      <c r="H27092" s="185"/>
    </row>
    <row r="27093">
      <c r="D27093" s="185"/>
      <c r="E27093" s="185" t="s">
        <v>470</v>
      </c>
      <c r="H27093" s="185"/>
    </row>
    <row r="27094">
      <c r="D27094" s="185"/>
      <c r="E27094" s="185" t="s">
        <v>470</v>
      </c>
      <c r="H27094" s="185"/>
    </row>
    <row r="27095">
      <c r="D27095" s="185"/>
      <c r="E27095" s="185" t="s">
        <v>470</v>
      </c>
      <c r="H27095" s="185"/>
    </row>
    <row r="27096">
      <c r="D27096" s="185"/>
      <c r="E27096" s="185" t="s">
        <v>470</v>
      </c>
      <c r="H27096" s="185"/>
    </row>
    <row r="27097">
      <c r="D27097" s="185"/>
      <c r="E27097" s="185" t="s">
        <v>470</v>
      </c>
      <c r="H27097" s="185"/>
    </row>
    <row r="27098">
      <c r="D27098" s="185"/>
      <c r="E27098" s="185" t="s">
        <v>470</v>
      </c>
      <c r="H27098" s="185"/>
    </row>
    <row r="27099">
      <c r="D27099" s="185"/>
      <c r="E27099" s="185" t="s">
        <v>470</v>
      </c>
      <c r="H27099" s="185"/>
    </row>
    <row r="27100">
      <c r="D27100" s="185"/>
      <c r="E27100" s="185" t="s">
        <v>470</v>
      </c>
      <c r="H27100" s="185"/>
    </row>
    <row r="27101">
      <c r="D27101" s="185"/>
      <c r="E27101" s="185" t="s">
        <v>470</v>
      </c>
      <c r="H27101" s="185"/>
    </row>
    <row r="27102">
      <c r="D27102" s="185"/>
      <c r="E27102" s="185" t="s">
        <v>470</v>
      </c>
      <c r="H27102" s="185"/>
    </row>
    <row r="27103">
      <c r="D27103" s="185"/>
      <c r="E27103" s="185" t="s">
        <v>470</v>
      </c>
      <c r="H27103" s="185"/>
    </row>
    <row r="27104">
      <c r="D27104" s="185"/>
      <c r="E27104" s="185" t="s">
        <v>470</v>
      </c>
      <c r="H27104" s="185"/>
    </row>
    <row r="27105">
      <c r="D27105" s="185"/>
      <c r="E27105" s="185" t="s">
        <v>470</v>
      </c>
      <c r="H27105" s="185"/>
    </row>
    <row r="27106">
      <c r="D27106" s="185"/>
      <c r="E27106" s="185" t="s">
        <v>470</v>
      </c>
      <c r="H27106" s="185"/>
    </row>
    <row r="27107">
      <c r="D27107" s="185"/>
      <c r="E27107" s="185" t="s">
        <v>470</v>
      </c>
      <c r="H27107" s="185"/>
    </row>
    <row r="27108">
      <c r="D27108" s="185"/>
      <c r="E27108" s="185" t="s">
        <v>470</v>
      </c>
      <c r="H27108" s="185"/>
    </row>
    <row r="27109">
      <c r="D27109" s="185"/>
      <c r="E27109" s="185" t="s">
        <v>470</v>
      </c>
      <c r="H27109" s="185"/>
    </row>
    <row r="27110">
      <c r="D27110" s="185"/>
      <c r="E27110" s="185" t="s">
        <v>470</v>
      </c>
      <c r="H27110" s="185"/>
    </row>
    <row r="27111">
      <c r="D27111" s="185"/>
      <c r="E27111" s="185" t="s">
        <v>470</v>
      </c>
      <c r="H27111" s="185"/>
    </row>
    <row r="27112">
      <c r="D27112" s="185"/>
      <c r="E27112" s="185" t="s">
        <v>470</v>
      </c>
      <c r="H27112" s="185"/>
    </row>
    <row r="27113">
      <c r="D27113" s="185"/>
      <c r="E27113" s="185" t="s">
        <v>470</v>
      </c>
      <c r="H27113" s="185"/>
    </row>
    <row r="27114">
      <c r="D27114" s="185"/>
      <c r="E27114" s="185" t="s">
        <v>470</v>
      </c>
      <c r="H27114" s="185"/>
    </row>
    <row r="27115">
      <c r="D27115" s="185"/>
      <c r="E27115" s="185" t="s">
        <v>470</v>
      </c>
      <c r="H27115" s="185"/>
    </row>
    <row r="27116">
      <c r="D27116" s="185"/>
      <c r="E27116" s="185" t="s">
        <v>470</v>
      </c>
      <c r="H27116" s="185"/>
    </row>
    <row r="27117">
      <c r="D27117" s="185"/>
      <c r="E27117" s="185" t="s">
        <v>470</v>
      </c>
      <c r="H27117" s="185"/>
    </row>
    <row r="27118">
      <c r="D27118" s="185"/>
      <c r="E27118" s="185" t="s">
        <v>470</v>
      </c>
      <c r="H27118" s="185"/>
    </row>
    <row r="27119">
      <c r="D27119" s="185"/>
      <c r="E27119" s="185" t="s">
        <v>470</v>
      </c>
      <c r="H27119" s="185"/>
    </row>
    <row r="27120">
      <c r="D27120" s="185"/>
      <c r="E27120" s="185" t="s">
        <v>470</v>
      </c>
      <c r="H27120" s="185"/>
    </row>
    <row r="27121">
      <c r="D27121" s="185"/>
      <c r="E27121" s="185" t="s">
        <v>470</v>
      </c>
      <c r="H27121" s="185"/>
    </row>
    <row r="27122">
      <c r="D27122" s="185"/>
      <c r="E27122" s="185" t="s">
        <v>470</v>
      </c>
      <c r="H27122" s="185"/>
    </row>
    <row r="27123">
      <c r="D27123" s="185"/>
      <c r="E27123" s="185" t="s">
        <v>470</v>
      </c>
      <c r="H27123" s="185"/>
    </row>
    <row r="27124">
      <c r="D27124" s="185"/>
      <c r="E27124" s="185" t="s">
        <v>470</v>
      </c>
      <c r="H27124" s="185"/>
    </row>
    <row r="27125">
      <c r="D27125" s="185"/>
      <c r="E27125" s="185" t="s">
        <v>470</v>
      </c>
      <c r="H27125" s="185"/>
    </row>
    <row r="27126">
      <c r="D27126" s="185"/>
      <c r="E27126" s="185" t="s">
        <v>470</v>
      </c>
      <c r="H27126" s="185"/>
    </row>
    <row r="27127">
      <c r="D27127" s="185"/>
      <c r="E27127" s="185" t="s">
        <v>470</v>
      </c>
      <c r="H27127" s="185"/>
    </row>
    <row r="27128">
      <c r="D27128" s="185"/>
      <c r="E27128" s="185" t="s">
        <v>470</v>
      </c>
      <c r="H27128" s="185"/>
    </row>
    <row r="27129">
      <c r="D27129" s="185"/>
      <c r="E27129" s="185" t="s">
        <v>470</v>
      </c>
      <c r="H27129" s="185"/>
    </row>
    <row r="27130">
      <c r="D27130" s="185"/>
      <c r="E27130" s="185" t="s">
        <v>470</v>
      </c>
      <c r="H27130" s="185"/>
    </row>
    <row r="27131">
      <c r="D27131" s="185"/>
      <c r="E27131" s="185" t="s">
        <v>470</v>
      </c>
      <c r="H27131" s="185"/>
    </row>
    <row r="27132">
      <c r="D27132" s="185"/>
      <c r="E27132" s="185" t="s">
        <v>470</v>
      </c>
      <c r="H27132" s="185"/>
    </row>
    <row r="27133">
      <c r="D27133" s="185"/>
      <c r="E27133" s="185" t="s">
        <v>470</v>
      </c>
      <c r="H27133" s="185"/>
    </row>
    <row r="27134">
      <c r="D27134" s="185"/>
      <c r="E27134" s="185" t="s">
        <v>470</v>
      </c>
      <c r="H27134" s="185"/>
    </row>
    <row r="27135">
      <c r="D27135" s="185"/>
      <c r="E27135" s="185" t="s">
        <v>470</v>
      </c>
      <c r="H27135" s="185"/>
    </row>
    <row r="27136">
      <c r="D27136" s="185"/>
      <c r="E27136" s="185" t="s">
        <v>470</v>
      </c>
      <c r="H27136" s="185"/>
    </row>
    <row r="27137">
      <c r="D27137" s="185"/>
      <c r="E27137" s="185" t="s">
        <v>470</v>
      </c>
      <c r="H27137" s="185"/>
    </row>
    <row r="27138">
      <c r="D27138" s="185"/>
      <c r="E27138" s="185" t="s">
        <v>470</v>
      </c>
      <c r="H27138" s="185"/>
    </row>
    <row r="27139">
      <c r="D27139" s="185"/>
      <c r="E27139" s="185" t="s">
        <v>470</v>
      </c>
      <c r="H27139" s="185"/>
    </row>
    <row r="27140">
      <c r="D27140" s="185"/>
      <c r="E27140" s="185" t="s">
        <v>470</v>
      </c>
      <c r="H27140" s="185"/>
    </row>
    <row r="27141">
      <c r="D27141" s="185"/>
      <c r="E27141" s="185" t="s">
        <v>470</v>
      </c>
      <c r="H27141" s="185"/>
    </row>
    <row r="27142">
      <c r="D27142" s="185"/>
      <c r="E27142" s="185" t="s">
        <v>470</v>
      </c>
      <c r="H27142" s="185"/>
    </row>
    <row r="27143">
      <c r="D27143" s="185"/>
      <c r="E27143" s="185" t="s">
        <v>470</v>
      </c>
      <c r="H27143" s="185"/>
    </row>
    <row r="27144">
      <c r="D27144" s="185"/>
      <c r="E27144" s="185" t="s">
        <v>470</v>
      </c>
      <c r="H27144" s="185"/>
    </row>
    <row r="27145">
      <c r="D27145" s="185"/>
      <c r="E27145" s="185" t="s">
        <v>470</v>
      </c>
      <c r="H27145" s="185"/>
    </row>
    <row r="27146">
      <c r="D27146" s="185"/>
      <c r="E27146" s="185" t="s">
        <v>470</v>
      </c>
      <c r="H27146" s="185"/>
    </row>
    <row r="27147">
      <c r="D27147" s="185"/>
      <c r="E27147" s="185" t="s">
        <v>470</v>
      </c>
      <c r="H27147" s="185"/>
    </row>
    <row r="27148">
      <c r="D27148" s="185"/>
      <c r="E27148" s="185" t="s">
        <v>470</v>
      </c>
      <c r="H27148" s="185"/>
    </row>
    <row r="27149">
      <c r="D27149" s="185"/>
      <c r="E27149" s="185" t="s">
        <v>470</v>
      </c>
      <c r="H27149" s="185"/>
    </row>
    <row r="27150">
      <c r="D27150" s="185"/>
      <c r="E27150" s="185" t="s">
        <v>470</v>
      </c>
      <c r="H27150" s="185"/>
    </row>
    <row r="27151">
      <c r="D27151" s="185"/>
      <c r="E27151" s="185" t="s">
        <v>470</v>
      </c>
      <c r="H27151" s="185"/>
    </row>
    <row r="27152">
      <c r="D27152" s="185"/>
      <c r="E27152" s="185" t="s">
        <v>470</v>
      </c>
      <c r="H27152" s="185"/>
    </row>
    <row r="27153">
      <c r="D27153" s="185"/>
      <c r="E27153" s="185" t="s">
        <v>470</v>
      </c>
      <c r="H27153" s="185"/>
    </row>
    <row r="27154">
      <c r="D27154" s="185"/>
      <c r="E27154" s="185" t="s">
        <v>470</v>
      </c>
      <c r="H27154" s="185"/>
    </row>
    <row r="27155">
      <c r="D27155" s="185"/>
      <c r="E27155" s="185" t="s">
        <v>470</v>
      </c>
      <c r="H27155" s="185"/>
    </row>
    <row r="27156">
      <c r="D27156" s="185"/>
      <c r="E27156" s="185" t="s">
        <v>470</v>
      </c>
      <c r="H27156" s="185"/>
    </row>
    <row r="27157">
      <c r="D27157" s="185"/>
      <c r="E27157" s="185" t="s">
        <v>470</v>
      </c>
      <c r="H27157" s="185"/>
    </row>
    <row r="27158">
      <c r="D27158" s="185"/>
      <c r="E27158" s="185" t="s">
        <v>470</v>
      </c>
      <c r="H27158" s="185"/>
    </row>
    <row r="27159">
      <c r="D27159" s="185"/>
      <c r="E27159" s="185" t="s">
        <v>470</v>
      </c>
      <c r="H27159" s="185"/>
    </row>
    <row r="27160">
      <c r="D27160" s="185"/>
      <c r="E27160" s="185" t="s">
        <v>470</v>
      </c>
      <c r="H27160" s="185"/>
    </row>
    <row r="27161">
      <c r="D27161" s="185"/>
      <c r="E27161" s="185" t="s">
        <v>470</v>
      </c>
      <c r="H27161" s="185"/>
    </row>
    <row r="27162">
      <c r="D27162" s="185"/>
      <c r="E27162" s="185" t="s">
        <v>470</v>
      </c>
      <c r="H27162" s="185"/>
    </row>
    <row r="27163">
      <c r="D27163" s="185"/>
      <c r="E27163" s="185" t="s">
        <v>470</v>
      </c>
      <c r="H27163" s="185"/>
    </row>
    <row r="27164">
      <c r="D27164" s="185"/>
      <c r="E27164" s="185" t="s">
        <v>470</v>
      </c>
      <c r="H27164" s="185"/>
    </row>
    <row r="27165">
      <c r="D27165" s="185"/>
      <c r="E27165" s="185" t="s">
        <v>470</v>
      </c>
      <c r="H27165" s="185"/>
    </row>
    <row r="27166">
      <c r="D27166" s="185"/>
      <c r="E27166" s="185" t="s">
        <v>470</v>
      </c>
      <c r="H27166" s="185"/>
    </row>
    <row r="27167">
      <c r="D27167" s="185"/>
      <c r="E27167" s="185" t="s">
        <v>470</v>
      </c>
      <c r="H27167" s="185"/>
    </row>
    <row r="27168">
      <c r="D27168" s="185"/>
      <c r="E27168" s="185" t="s">
        <v>470</v>
      </c>
      <c r="H27168" s="185"/>
    </row>
    <row r="27169">
      <c r="D27169" s="185"/>
      <c r="E27169" s="185" t="s">
        <v>470</v>
      </c>
      <c r="H27169" s="185"/>
    </row>
    <row r="27170">
      <c r="D27170" s="185"/>
      <c r="E27170" s="185" t="s">
        <v>470</v>
      </c>
      <c r="H27170" s="185"/>
    </row>
    <row r="27171">
      <c r="D27171" s="185"/>
      <c r="E27171" s="185" t="s">
        <v>470</v>
      </c>
      <c r="H27171" s="185"/>
    </row>
    <row r="27172">
      <c r="D27172" s="185"/>
      <c r="E27172" s="185" t="s">
        <v>470</v>
      </c>
      <c r="H27172" s="185"/>
    </row>
    <row r="27173">
      <c r="D27173" s="185"/>
      <c r="E27173" s="185" t="s">
        <v>470</v>
      </c>
      <c r="H27173" s="185"/>
    </row>
    <row r="27174">
      <c r="D27174" s="185"/>
      <c r="E27174" s="185" t="s">
        <v>470</v>
      </c>
      <c r="H27174" s="185"/>
    </row>
    <row r="27175">
      <c r="D27175" s="185"/>
      <c r="E27175" s="185" t="s">
        <v>470</v>
      </c>
      <c r="H27175" s="185"/>
    </row>
    <row r="27176">
      <c r="D27176" s="185"/>
      <c r="E27176" s="185" t="s">
        <v>470</v>
      </c>
      <c r="H27176" s="185"/>
    </row>
    <row r="27177">
      <c r="D27177" s="185"/>
      <c r="E27177" s="185" t="s">
        <v>470</v>
      </c>
      <c r="H27177" s="185"/>
    </row>
    <row r="27178">
      <c r="D27178" s="185"/>
      <c r="E27178" s="185" t="s">
        <v>470</v>
      </c>
      <c r="H27178" s="185"/>
    </row>
    <row r="27179">
      <c r="D27179" s="185"/>
      <c r="E27179" s="185" t="s">
        <v>470</v>
      </c>
      <c r="H27179" s="185"/>
    </row>
    <row r="27180">
      <c r="D27180" s="185"/>
      <c r="E27180" s="185" t="s">
        <v>470</v>
      </c>
      <c r="H27180" s="185"/>
    </row>
    <row r="27181">
      <c r="D27181" s="185"/>
      <c r="E27181" s="185" t="s">
        <v>470</v>
      </c>
      <c r="H27181" s="185"/>
    </row>
    <row r="27182">
      <c r="D27182" s="185"/>
      <c r="E27182" s="185" t="s">
        <v>470</v>
      </c>
      <c r="H27182" s="185"/>
    </row>
    <row r="27183">
      <c r="D27183" s="185"/>
      <c r="E27183" s="185" t="s">
        <v>470</v>
      </c>
      <c r="H27183" s="185"/>
    </row>
    <row r="27184">
      <c r="D27184" s="185"/>
      <c r="E27184" s="185" t="s">
        <v>470</v>
      </c>
      <c r="H27184" s="185"/>
    </row>
    <row r="27185">
      <c r="D27185" s="185"/>
      <c r="E27185" s="185" t="s">
        <v>470</v>
      </c>
      <c r="H27185" s="185"/>
    </row>
    <row r="27186">
      <c r="D27186" s="185"/>
      <c r="E27186" s="185" t="s">
        <v>470</v>
      </c>
      <c r="H27186" s="185"/>
    </row>
    <row r="27187">
      <c r="D27187" s="185"/>
      <c r="E27187" s="185" t="s">
        <v>470</v>
      </c>
      <c r="H27187" s="185"/>
    </row>
    <row r="27188">
      <c r="D27188" s="185"/>
      <c r="E27188" s="185" t="s">
        <v>470</v>
      </c>
      <c r="H27188" s="185"/>
    </row>
    <row r="27189">
      <c r="D27189" s="185"/>
      <c r="E27189" s="185" t="s">
        <v>470</v>
      </c>
      <c r="H27189" s="185"/>
    </row>
    <row r="27190">
      <c r="D27190" s="185"/>
      <c r="E27190" s="185" t="s">
        <v>470</v>
      </c>
      <c r="H27190" s="185"/>
    </row>
    <row r="27191">
      <c r="D27191" s="185"/>
      <c r="E27191" s="185" t="s">
        <v>470</v>
      </c>
      <c r="H27191" s="185"/>
    </row>
    <row r="27192">
      <c r="D27192" s="185"/>
      <c r="E27192" s="185" t="s">
        <v>470</v>
      </c>
      <c r="H27192" s="185"/>
    </row>
    <row r="27193">
      <c r="D27193" s="185"/>
      <c r="E27193" s="185" t="s">
        <v>470</v>
      </c>
      <c r="H27193" s="185"/>
    </row>
    <row r="27194">
      <c r="D27194" s="185"/>
      <c r="E27194" s="185" t="s">
        <v>470</v>
      </c>
      <c r="H27194" s="185"/>
    </row>
    <row r="27195">
      <c r="D27195" s="185"/>
      <c r="E27195" s="185" t="s">
        <v>470</v>
      </c>
      <c r="H27195" s="185"/>
    </row>
    <row r="27196">
      <c r="D27196" s="185"/>
      <c r="E27196" s="185" t="s">
        <v>470</v>
      </c>
      <c r="H27196" s="185"/>
    </row>
    <row r="27197">
      <c r="D27197" s="185"/>
      <c r="E27197" s="185" t="s">
        <v>470</v>
      </c>
      <c r="H27197" s="185"/>
    </row>
    <row r="27198">
      <c r="D27198" s="185"/>
      <c r="E27198" s="185" t="s">
        <v>470</v>
      </c>
      <c r="H27198" s="185"/>
    </row>
    <row r="27199">
      <c r="D27199" s="185"/>
      <c r="E27199" s="185" t="s">
        <v>470</v>
      </c>
      <c r="H27199" s="185"/>
    </row>
    <row r="27200">
      <c r="D27200" s="185"/>
      <c r="E27200" s="185" t="s">
        <v>470</v>
      </c>
      <c r="H27200" s="185"/>
    </row>
    <row r="27201">
      <c r="D27201" s="185"/>
      <c r="E27201" s="185" t="s">
        <v>470</v>
      </c>
      <c r="H27201" s="185"/>
    </row>
    <row r="27202">
      <c r="D27202" s="185"/>
      <c r="E27202" s="185" t="s">
        <v>470</v>
      </c>
      <c r="H27202" s="185"/>
    </row>
    <row r="27203">
      <c r="D27203" s="185"/>
      <c r="E27203" s="185" t="s">
        <v>470</v>
      </c>
      <c r="H27203" s="185"/>
    </row>
    <row r="27204">
      <c r="D27204" s="185"/>
      <c r="E27204" s="185" t="s">
        <v>470</v>
      </c>
      <c r="H27204" s="185"/>
    </row>
    <row r="27205">
      <c r="D27205" s="185"/>
      <c r="E27205" s="185" t="s">
        <v>470</v>
      </c>
      <c r="H27205" s="185"/>
    </row>
    <row r="27206">
      <c r="D27206" s="185"/>
      <c r="E27206" s="185" t="s">
        <v>470</v>
      </c>
      <c r="H27206" s="185"/>
    </row>
    <row r="27207">
      <c r="D27207" s="185"/>
      <c r="E27207" s="185" t="s">
        <v>470</v>
      </c>
      <c r="H27207" s="185"/>
    </row>
    <row r="27208">
      <c r="D27208" s="185"/>
      <c r="E27208" s="185" t="s">
        <v>470</v>
      </c>
      <c r="H27208" s="185"/>
    </row>
    <row r="27209">
      <c r="D27209" s="185"/>
      <c r="E27209" s="185" t="s">
        <v>470</v>
      </c>
      <c r="H27209" s="185"/>
    </row>
    <row r="27210">
      <c r="D27210" s="185"/>
      <c r="E27210" s="185" t="s">
        <v>470</v>
      </c>
      <c r="H27210" s="185"/>
    </row>
    <row r="27211">
      <c r="D27211" s="185"/>
      <c r="E27211" s="185" t="s">
        <v>470</v>
      </c>
      <c r="H27211" s="185"/>
    </row>
    <row r="27212">
      <c r="D27212" s="185"/>
      <c r="E27212" s="185" t="s">
        <v>470</v>
      </c>
      <c r="H27212" s="185"/>
    </row>
    <row r="27213">
      <c r="D27213" s="185"/>
      <c r="E27213" s="185" t="s">
        <v>470</v>
      </c>
      <c r="H27213" s="185"/>
    </row>
    <row r="27214">
      <c r="D27214" s="185"/>
      <c r="E27214" s="185" t="s">
        <v>470</v>
      </c>
      <c r="H27214" s="185"/>
    </row>
    <row r="27215">
      <c r="D27215" s="185"/>
      <c r="E27215" s="185" t="s">
        <v>470</v>
      </c>
      <c r="H27215" s="185"/>
    </row>
    <row r="27216">
      <c r="D27216" s="185"/>
      <c r="E27216" s="185" t="s">
        <v>470</v>
      </c>
      <c r="H27216" s="185"/>
    </row>
    <row r="27217">
      <c r="D27217" s="185"/>
      <c r="E27217" s="185" t="s">
        <v>470</v>
      </c>
      <c r="H27217" s="185"/>
    </row>
    <row r="27218">
      <c r="D27218" s="185"/>
      <c r="E27218" s="185" t="s">
        <v>470</v>
      </c>
      <c r="H27218" s="185"/>
    </row>
    <row r="27219">
      <c r="D27219" s="185"/>
      <c r="E27219" s="185" t="s">
        <v>470</v>
      </c>
      <c r="H27219" s="185"/>
    </row>
    <row r="27220">
      <c r="D27220" s="185"/>
      <c r="E27220" s="185" t="s">
        <v>470</v>
      </c>
      <c r="H27220" s="185"/>
    </row>
    <row r="27221">
      <c r="D27221" s="185"/>
      <c r="E27221" s="185" t="s">
        <v>470</v>
      </c>
      <c r="H27221" s="185"/>
    </row>
    <row r="27222">
      <c r="D27222" s="185"/>
      <c r="E27222" s="185" t="s">
        <v>470</v>
      </c>
      <c r="H27222" s="185"/>
    </row>
    <row r="27223">
      <c r="D27223" s="185"/>
      <c r="E27223" s="185" t="s">
        <v>470</v>
      </c>
      <c r="H27223" s="185"/>
    </row>
    <row r="27224">
      <c r="D27224" s="185"/>
      <c r="E27224" s="185" t="s">
        <v>470</v>
      </c>
      <c r="H27224" s="185"/>
    </row>
    <row r="27225">
      <c r="D27225" s="185"/>
      <c r="E27225" s="185" t="s">
        <v>470</v>
      </c>
      <c r="H27225" s="185"/>
    </row>
    <row r="27226">
      <c r="D27226" s="185"/>
      <c r="E27226" s="185" t="s">
        <v>470</v>
      </c>
      <c r="H27226" s="185"/>
    </row>
    <row r="27227">
      <c r="D27227" s="185"/>
      <c r="E27227" s="185" t="s">
        <v>470</v>
      </c>
      <c r="H27227" s="185"/>
    </row>
    <row r="27228">
      <c r="D27228" s="185"/>
      <c r="E27228" s="185" t="s">
        <v>470</v>
      </c>
      <c r="H27228" s="185"/>
    </row>
    <row r="27229">
      <c r="D27229" s="185"/>
      <c r="E27229" s="185" t="s">
        <v>470</v>
      </c>
      <c r="H27229" s="185"/>
    </row>
    <row r="27230">
      <c r="D27230" s="185"/>
      <c r="E27230" s="185" t="s">
        <v>470</v>
      </c>
      <c r="H27230" s="185"/>
    </row>
    <row r="27231">
      <c r="D27231" s="185"/>
      <c r="E27231" s="185" t="s">
        <v>470</v>
      </c>
      <c r="H27231" s="185"/>
    </row>
    <row r="27232">
      <c r="D27232" s="185"/>
      <c r="E27232" s="185" t="s">
        <v>470</v>
      </c>
      <c r="H27232" s="185"/>
    </row>
    <row r="27233">
      <c r="D27233" s="185"/>
      <c r="E27233" s="185" t="s">
        <v>470</v>
      </c>
      <c r="H27233" s="185"/>
    </row>
    <row r="27234">
      <c r="D27234" s="185"/>
      <c r="E27234" s="185" t="s">
        <v>470</v>
      </c>
      <c r="H27234" s="185"/>
    </row>
    <row r="27235">
      <c r="D27235" s="185"/>
      <c r="E27235" s="185" t="s">
        <v>470</v>
      </c>
      <c r="H27235" s="185"/>
    </row>
    <row r="27236">
      <c r="D27236" s="185"/>
      <c r="E27236" s="185" t="s">
        <v>470</v>
      </c>
      <c r="H27236" s="185"/>
    </row>
    <row r="27237">
      <c r="D27237" s="185"/>
      <c r="E27237" s="185" t="s">
        <v>470</v>
      </c>
      <c r="H27237" s="185"/>
    </row>
    <row r="27238">
      <c r="D27238" s="185"/>
      <c r="E27238" s="185" t="s">
        <v>470</v>
      </c>
      <c r="H27238" s="185"/>
    </row>
    <row r="27239">
      <c r="D27239" s="185"/>
      <c r="E27239" s="185" t="s">
        <v>470</v>
      </c>
      <c r="H27239" s="185"/>
    </row>
    <row r="27240">
      <c r="D27240" s="185"/>
      <c r="E27240" s="185" t="s">
        <v>470</v>
      </c>
      <c r="H27240" s="185"/>
    </row>
    <row r="27241">
      <c r="D27241" s="185"/>
      <c r="E27241" s="185" t="s">
        <v>470</v>
      </c>
      <c r="H27241" s="185"/>
    </row>
    <row r="27242">
      <c r="D27242" s="185"/>
      <c r="E27242" s="185" t="s">
        <v>470</v>
      </c>
      <c r="H27242" s="185"/>
    </row>
    <row r="27243">
      <c r="D27243" s="185"/>
      <c r="E27243" s="185" t="s">
        <v>470</v>
      </c>
      <c r="H27243" s="185"/>
    </row>
    <row r="27244">
      <c r="D27244" s="185"/>
      <c r="E27244" s="185" t="s">
        <v>470</v>
      </c>
      <c r="H27244" s="185"/>
    </row>
    <row r="27245">
      <c r="D27245" s="185"/>
      <c r="E27245" s="185" t="s">
        <v>470</v>
      </c>
      <c r="H27245" s="185"/>
    </row>
    <row r="27246">
      <c r="D27246" s="185"/>
      <c r="E27246" s="185" t="s">
        <v>470</v>
      </c>
      <c r="H27246" s="185"/>
    </row>
    <row r="27247">
      <c r="D27247" s="185"/>
      <c r="E27247" s="185" t="s">
        <v>470</v>
      </c>
      <c r="H27247" s="185"/>
    </row>
    <row r="27248">
      <c r="D27248" s="185"/>
      <c r="E27248" s="185" t="s">
        <v>470</v>
      </c>
      <c r="H27248" s="185"/>
    </row>
    <row r="27249">
      <c r="D27249" s="185"/>
      <c r="E27249" s="185" t="s">
        <v>470</v>
      </c>
      <c r="H27249" s="185"/>
    </row>
    <row r="27250">
      <c r="D27250" s="185"/>
      <c r="E27250" s="185" t="s">
        <v>470</v>
      </c>
      <c r="H27250" s="185"/>
    </row>
    <row r="27251">
      <c r="D27251" s="185"/>
      <c r="E27251" s="185" t="s">
        <v>470</v>
      </c>
      <c r="H27251" s="185"/>
    </row>
    <row r="27252">
      <c r="D27252" s="185"/>
      <c r="E27252" s="185" t="s">
        <v>470</v>
      </c>
      <c r="H27252" s="185"/>
    </row>
    <row r="27253">
      <c r="D27253" s="185"/>
      <c r="E27253" s="185" t="s">
        <v>470</v>
      </c>
      <c r="H27253" s="185"/>
    </row>
    <row r="27254">
      <c r="D27254" s="185"/>
      <c r="E27254" s="185" t="s">
        <v>470</v>
      </c>
      <c r="H27254" s="185"/>
    </row>
    <row r="27255">
      <c r="D27255" s="185"/>
      <c r="E27255" s="185" t="s">
        <v>470</v>
      </c>
      <c r="H27255" s="185"/>
    </row>
    <row r="27256">
      <c r="D27256" s="185"/>
      <c r="E27256" s="185" t="s">
        <v>470</v>
      </c>
      <c r="H27256" s="185"/>
    </row>
    <row r="27257">
      <c r="D27257" s="185"/>
      <c r="E27257" s="185" t="s">
        <v>470</v>
      </c>
      <c r="H27257" s="185"/>
    </row>
    <row r="27258">
      <c r="D27258" s="185"/>
      <c r="E27258" s="185" t="s">
        <v>470</v>
      </c>
      <c r="H27258" s="185"/>
    </row>
    <row r="27259">
      <c r="D27259" s="185"/>
      <c r="E27259" s="185" t="s">
        <v>470</v>
      </c>
      <c r="H27259" s="185"/>
    </row>
    <row r="27260">
      <c r="D27260" s="185"/>
      <c r="E27260" s="185" t="s">
        <v>470</v>
      </c>
      <c r="H27260" s="185"/>
    </row>
    <row r="27261">
      <c r="D27261" s="185"/>
      <c r="E27261" s="185" t="s">
        <v>470</v>
      </c>
      <c r="H27261" s="185"/>
    </row>
    <row r="27262">
      <c r="D27262" s="185"/>
      <c r="E27262" s="185" t="s">
        <v>470</v>
      </c>
      <c r="H27262" s="185"/>
    </row>
    <row r="27263">
      <c r="D27263" s="185"/>
      <c r="E27263" s="185" t="s">
        <v>470</v>
      </c>
      <c r="H27263" s="185"/>
    </row>
    <row r="27264">
      <c r="D27264" s="185"/>
      <c r="E27264" s="185" t="s">
        <v>470</v>
      </c>
      <c r="H27264" s="185"/>
    </row>
    <row r="27265">
      <c r="D27265" s="185"/>
      <c r="E27265" s="185" t="s">
        <v>470</v>
      </c>
      <c r="H27265" s="185"/>
    </row>
    <row r="27266">
      <c r="D27266" s="185"/>
      <c r="E27266" s="185" t="s">
        <v>470</v>
      </c>
      <c r="H27266" s="185"/>
    </row>
    <row r="27267">
      <c r="D27267" s="185"/>
      <c r="E27267" s="185" t="s">
        <v>470</v>
      </c>
      <c r="H27267" s="185"/>
    </row>
    <row r="27268">
      <c r="D27268" s="185"/>
      <c r="E27268" s="185" t="s">
        <v>470</v>
      </c>
      <c r="H27268" s="185"/>
    </row>
    <row r="27269">
      <c r="D27269" s="185"/>
      <c r="E27269" s="185" t="s">
        <v>470</v>
      </c>
      <c r="H27269" s="185"/>
    </row>
    <row r="27270">
      <c r="D27270" s="185"/>
      <c r="E27270" s="185" t="s">
        <v>470</v>
      </c>
      <c r="H27270" s="185"/>
    </row>
    <row r="27271">
      <c r="D27271" s="185"/>
      <c r="E27271" s="185" t="s">
        <v>470</v>
      </c>
      <c r="H27271" s="185"/>
    </row>
    <row r="27272">
      <c r="D27272" s="185"/>
      <c r="E27272" s="185" t="s">
        <v>470</v>
      </c>
      <c r="H27272" s="185"/>
    </row>
    <row r="27273">
      <c r="D27273" s="185"/>
      <c r="E27273" s="185" t="s">
        <v>470</v>
      </c>
      <c r="H27273" s="185"/>
    </row>
    <row r="27274">
      <c r="D27274" s="185"/>
      <c r="E27274" s="185" t="s">
        <v>470</v>
      </c>
      <c r="H27274" s="185"/>
    </row>
    <row r="27275">
      <c r="D27275" s="185"/>
      <c r="E27275" s="185" t="s">
        <v>470</v>
      </c>
      <c r="H27275" s="185"/>
    </row>
    <row r="27276">
      <c r="D27276" s="185"/>
      <c r="E27276" s="185" t="s">
        <v>470</v>
      </c>
      <c r="H27276" s="185"/>
    </row>
    <row r="27277">
      <c r="D27277" s="185"/>
      <c r="E27277" s="185" t="s">
        <v>470</v>
      </c>
      <c r="H27277" s="185"/>
    </row>
    <row r="27278">
      <c r="D27278" s="185"/>
      <c r="E27278" s="185" t="s">
        <v>470</v>
      </c>
      <c r="H27278" s="185"/>
    </row>
    <row r="27279">
      <c r="D27279" s="185"/>
      <c r="E27279" s="185" t="s">
        <v>470</v>
      </c>
      <c r="H27279" s="185"/>
    </row>
    <row r="27280">
      <c r="D27280" s="185"/>
      <c r="E27280" s="185" t="s">
        <v>470</v>
      </c>
      <c r="H27280" s="185"/>
    </row>
    <row r="27281">
      <c r="D27281" s="185"/>
      <c r="E27281" s="185" t="s">
        <v>470</v>
      </c>
      <c r="H27281" s="185"/>
    </row>
    <row r="27282">
      <c r="D27282" s="185"/>
      <c r="E27282" s="185" t="s">
        <v>470</v>
      </c>
      <c r="H27282" s="185"/>
    </row>
    <row r="27283">
      <c r="D27283" s="185"/>
      <c r="E27283" s="185" t="s">
        <v>470</v>
      </c>
      <c r="H27283" s="185"/>
    </row>
    <row r="27284">
      <c r="D27284" s="185"/>
      <c r="E27284" s="185" t="s">
        <v>470</v>
      </c>
      <c r="H27284" s="185"/>
    </row>
    <row r="27285">
      <c r="D27285" s="185"/>
      <c r="E27285" s="185" t="s">
        <v>470</v>
      </c>
      <c r="H27285" s="185"/>
    </row>
    <row r="27286">
      <c r="D27286" s="185"/>
      <c r="E27286" s="185" t="s">
        <v>470</v>
      </c>
      <c r="H27286" s="185"/>
    </row>
    <row r="27287">
      <c r="D27287" s="185"/>
      <c r="E27287" s="185" t="s">
        <v>470</v>
      </c>
      <c r="H27287" s="185"/>
    </row>
    <row r="27288">
      <c r="D27288" s="185"/>
      <c r="E27288" s="185" t="s">
        <v>470</v>
      </c>
      <c r="H27288" s="185"/>
    </row>
    <row r="27289">
      <c r="D27289" s="185"/>
      <c r="E27289" s="185" t="s">
        <v>470</v>
      </c>
      <c r="H27289" s="185"/>
    </row>
    <row r="27290">
      <c r="D27290" s="185"/>
      <c r="E27290" s="185" t="s">
        <v>470</v>
      </c>
      <c r="H27290" s="185"/>
    </row>
    <row r="27291">
      <c r="D27291" s="185"/>
      <c r="E27291" s="185" t="s">
        <v>470</v>
      </c>
      <c r="H27291" s="185"/>
    </row>
    <row r="27292">
      <c r="D27292" s="185"/>
      <c r="E27292" s="185" t="s">
        <v>470</v>
      </c>
      <c r="H27292" s="185"/>
    </row>
    <row r="27293">
      <c r="D27293" s="185"/>
      <c r="E27293" s="185" t="s">
        <v>470</v>
      </c>
      <c r="H27293" s="185"/>
    </row>
    <row r="27294">
      <c r="D27294" s="185"/>
      <c r="E27294" s="185" t="s">
        <v>470</v>
      </c>
      <c r="H27294" s="185"/>
    </row>
    <row r="27295">
      <c r="D27295" s="185"/>
      <c r="E27295" s="185" t="s">
        <v>470</v>
      </c>
      <c r="H27295" s="185"/>
    </row>
    <row r="27296">
      <c r="D27296" s="185"/>
      <c r="E27296" s="185" t="s">
        <v>470</v>
      </c>
      <c r="H27296" s="185"/>
    </row>
    <row r="27297">
      <c r="D27297" s="185"/>
      <c r="E27297" s="185" t="s">
        <v>470</v>
      </c>
      <c r="H27297" s="185"/>
    </row>
    <row r="27298">
      <c r="D27298" s="185"/>
      <c r="E27298" s="185" t="s">
        <v>470</v>
      </c>
      <c r="H27298" s="185"/>
    </row>
    <row r="27299">
      <c r="D27299" s="185"/>
      <c r="E27299" s="185" t="s">
        <v>470</v>
      </c>
      <c r="H27299" s="185"/>
    </row>
    <row r="27300">
      <c r="D27300" s="185"/>
      <c r="E27300" s="185" t="s">
        <v>470</v>
      </c>
      <c r="H27300" s="185"/>
    </row>
    <row r="27301">
      <c r="D27301" s="185"/>
      <c r="E27301" s="185" t="s">
        <v>470</v>
      </c>
      <c r="H27301" s="185"/>
    </row>
    <row r="27302">
      <c r="D27302" s="185"/>
      <c r="E27302" s="185" t="s">
        <v>470</v>
      </c>
      <c r="H27302" s="185"/>
    </row>
    <row r="27303">
      <c r="D27303" s="185"/>
      <c r="E27303" s="185" t="s">
        <v>470</v>
      </c>
      <c r="H27303" s="185"/>
    </row>
    <row r="27304">
      <c r="D27304" s="185"/>
      <c r="E27304" s="185" t="s">
        <v>470</v>
      </c>
      <c r="H27304" s="185"/>
    </row>
    <row r="27305">
      <c r="D27305" s="185"/>
      <c r="E27305" s="185" t="s">
        <v>470</v>
      </c>
      <c r="H27305" s="185"/>
    </row>
    <row r="27306">
      <c r="D27306" s="185"/>
      <c r="E27306" s="185" t="s">
        <v>470</v>
      </c>
      <c r="H27306" s="185"/>
    </row>
    <row r="27307">
      <c r="D27307" s="185"/>
      <c r="E27307" s="185" t="s">
        <v>470</v>
      </c>
      <c r="H27307" s="185"/>
    </row>
    <row r="27308">
      <c r="D27308" s="185"/>
      <c r="E27308" s="185" t="s">
        <v>470</v>
      </c>
      <c r="H27308" s="185"/>
    </row>
    <row r="27309">
      <c r="D27309" s="185"/>
      <c r="E27309" s="185" t="s">
        <v>470</v>
      </c>
      <c r="H27309" s="185"/>
    </row>
    <row r="27310">
      <c r="D27310" s="185"/>
      <c r="E27310" s="185" t="s">
        <v>470</v>
      </c>
      <c r="H27310" s="185"/>
    </row>
    <row r="27311">
      <c r="D27311" s="185"/>
      <c r="E27311" s="185" t="s">
        <v>470</v>
      </c>
      <c r="H27311" s="185"/>
    </row>
    <row r="27312">
      <c r="D27312" s="185"/>
      <c r="E27312" s="185" t="s">
        <v>470</v>
      </c>
      <c r="H27312" s="185"/>
    </row>
    <row r="27313">
      <c r="D27313" s="185"/>
      <c r="E27313" s="185" t="s">
        <v>470</v>
      </c>
      <c r="H27313" s="185"/>
    </row>
    <row r="27314">
      <c r="D27314" s="185"/>
      <c r="E27314" s="185" t="s">
        <v>470</v>
      </c>
      <c r="H27314" s="185"/>
    </row>
    <row r="27315">
      <c r="D27315" s="185"/>
      <c r="E27315" s="185" t="s">
        <v>470</v>
      </c>
      <c r="H27315" s="185"/>
    </row>
    <row r="27316">
      <c r="D27316" s="185"/>
      <c r="E27316" s="185" t="s">
        <v>470</v>
      </c>
      <c r="H27316" s="185"/>
    </row>
    <row r="27317">
      <c r="D27317" s="185"/>
      <c r="E27317" s="185" t="s">
        <v>470</v>
      </c>
      <c r="H27317" s="185"/>
    </row>
    <row r="27318">
      <c r="D27318" s="185"/>
      <c r="E27318" s="185" t="s">
        <v>470</v>
      </c>
      <c r="H27318" s="185"/>
    </row>
    <row r="27319">
      <c r="D27319" s="185"/>
      <c r="E27319" s="185" t="s">
        <v>470</v>
      </c>
      <c r="H27319" s="185"/>
    </row>
    <row r="27320">
      <c r="D27320" s="185"/>
      <c r="E27320" s="185" t="s">
        <v>470</v>
      </c>
      <c r="H27320" s="185"/>
    </row>
    <row r="27321">
      <c r="D27321" s="185"/>
      <c r="E27321" s="185" t="s">
        <v>470</v>
      </c>
      <c r="H27321" s="185"/>
    </row>
    <row r="27322">
      <c r="D27322" s="185"/>
      <c r="E27322" s="185" t="s">
        <v>470</v>
      </c>
      <c r="H27322" s="185"/>
    </row>
    <row r="27323">
      <c r="D27323" s="185"/>
      <c r="E27323" s="185" t="s">
        <v>470</v>
      </c>
      <c r="H27323" s="185"/>
    </row>
    <row r="27324">
      <c r="D27324" s="185"/>
      <c r="E27324" s="185" t="s">
        <v>470</v>
      </c>
      <c r="H27324" s="185"/>
    </row>
    <row r="27325">
      <c r="D27325" s="185"/>
      <c r="E27325" s="185" t="s">
        <v>470</v>
      </c>
      <c r="H27325" s="185"/>
    </row>
    <row r="27326">
      <c r="D27326" s="185"/>
      <c r="E27326" s="185" t="s">
        <v>470</v>
      </c>
      <c r="H27326" s="185"/>
    </row>
    <row r="27327">
      <c r="D27327" s="185"/>
      <c r="E27327" s="185" t="s">
        <v>470</v>
      </c>
      <c r="H27327" s="185"/>
    </row>
    <row r="27328">
      <c r="D27328" s="185"/>
      <c r="E27328" s="185" t="s">
        <v>470</v>
      </c>
      <c r="H27328" s="185"/>
    </row>
    <row r="27329">
      <c r="D27329" s="185"/>
      <c r="E27329" s="185" t="s">
        <v>470</v>
      </c>
      <c r="H27329" s="185"/>
    </row>
    <row r="27330">
      <c r="D27330" s="185"/>
      <c r="E27330" s="185" t="s">
        <v>470</v>
      </c>
      <c r="H27330" s="185"/>
    </row>
    <row r="27331">
      <c r="D27331" s="185"/>
      <c r="E27331" s="185" t="s">
        <v>470</v>
      </c>
      <c r="H27331" s="185"/>
    </row>
    <row r="27332">
      <c r="D27332" s="185"/>
      <c r="E27332" s="185" t="s">
        <v>470</v>
      </c>
      <c r="H27332" s="185"/>
    </row>
    <row r="27333">
      <c r="D27333" s="185"/>
      <c r="E27333" s="185" t="s">
        <v>470</v>
      </c>
      <c r="H27333" s="185"/>
    </row>
    <row r="27334">
      <c r="D27334" s="185"/>
      <c r="E27334" s="185" t="s">
        <v>470</v>
      </c>
      <c r="H27334" s="185"/>
    </row>
    <row r="27335">
      <c r="D27335" s="185"/>
      <c r="E27335" s="185" t="s">
        <v>470</v>
      </c>
      <c r="H27335" s="185"/>
    </row>
    <row r="27336">
      <c r="D27336" s="185"/>
      <c r="E27336" s="185" t="s">
        <v>470</v>
      </c>
      <c r="H27336" s="185"/>
    </row>
    <row r="27337">
      <c r="D27337" s="185"/>
      <c r="E27337" s="185" t="s">
        <v>470</v>
      </c>
      <c r="H27337" s="185"/>
    </row>
    <row r="27338">
      <c r="D27338" s="185"/>
      <c r="E27338" s="185" t="s">
        <v>470</v>
      </c>
      <c r="H27338" s="185"/>
    </row>
    <row r="27339">
      <c r="D27339" s="185"/>
      <c r="E27339" s="185" t="s">
        <v>470</v>
      </c>
      <c r="H27339" s="185"/>
    </row>
    <row r="27340">
      <c r="D27340" s="185"/>
      <c r="E27340" s="185" t="s">
        <v>470</v>
      </c>
      <c r="H27340" s="185"/>
    </row>
    <row r="27341">
      <c r="D27341" s="185"/>
      <c r="E27341" s="185" t="s">
        <v>470</v>
      </c>
      <c r="H27341" s="185"/>
    </row>
    <row r="27342">
      <c r="D27342" s="185"/>
      <c r="E27342" s="185" t="s">
        <v>470</v>
      </c>
      <c r="H27342" s="185"/>
    </row>
    <row r="27343">
      <c r="D27343" s="185"/>
      <c r="E27343" s="185" t="s">
        <v>470</v>
      </c>
      <c r="H27343" s="185"/>
    </row>
    <row r="27344">
      <c r="D27344" s="185"/>
      <c r="E27344" s="185" t="s">
        <v>470</v>
      </c>
      <c r="H27344" s="185"/>
    </row>
    <row r="27345">
      <c r="D27345" s="185"/>
      <c r="E27345" s="185" t="s">
        <v>470</v>
      </c>
      <c r="H27345" s="185"/>
    </row>
    <row r="27346">
      <c r="D27346" s="185"/>
      <c r="E27346" s="185" t="s">
        <v>470</v>
      </c>
      <c r="H27346" s="185"/>
    </row>
    <row r="27347">
      <c r="D27347" s="185"/>
      <c r="E27347" s="185" t="s">
        <v>470</v>
      </c>
      <c r="H27347" s="185"/>
    </row>
    <row r="27348">
      <c r="D27348" s="185"/>
      <c r="E27348" s="185" t="s">
        <v>470</v>
      </c>
      <c r="H27348" s="185"/>
    </row>
    <row r="27349">
      <c r="D27349" s="185"/>
      <c r="E27349" s="185" t="s">
        <v>470</v>
      </c>
      <c r="H27349" s="185"/>
    </row>
    <row r="27350">
      <c r="D27350" s="185"/>
      <c r="E27350" s="185" t="s">
        <v>470</v>
      </c>
      <c r="H27350" s="185"/>
    </row>
    <row r="27351">
      <c r="D27351" s="185"/>
      <c r="E27351" s="185" t="s">
        <v>470</v>
      </c>
      <c r="H27351" s="185"/>
    </row>
    <row r="27352">
      <c r="D27352" s="185"/>
      <c r="E27352" s="185" t="s">
        <v>470</v>
      </c>
      <c r="H27352" s="185"/>
    </row>
    <row r="27353">
      <c r="D27353" s="185"/>
      <c r="E27353" s="185" t="s">
        <v>470</v>
      </c>
      <c r="H27353" s="185"/>
    </row>
    <row r="27354">
      <c r="D27354" s="185"/>
      <c r="E27354" s="185" t="s">
        <v>470</v>
      </c>
      <c r="H27354" s="185"/>
    </row>
    <row r="27355">
      <c r="D27355" s="185"/>
      <c r="E27355" s="185" t="s">
        <v>470</v>
      </c>
      <c r="H27355" s="185"/>
    </row>
    <row r="27356">
      <c r="D27356" s="185"/>
      <c r="E27356" s="185" t="s">
        <v>470</v>
      </c>
      <c r="H27356" s="185"/>
    </row>
    <row r="27357">
      <c r="D27357" s="185"/>
      <c r="E27357" s="185" t="s">
        <v>470</v>
      </c>
      <c r="H27357" s="185"/>
    </row>
    <row r="27358">
      <c r="D27358" s="185"/>
      <c r="E27358" s="185" t="s">
        <v>470</v>
      </c>
      <c r="H27358" s="185"/>
    </row>
    <row r="27359">
      <c r="D27359" s="185"/>
      <c r="E27359" s="185" t="s">
        <v>470</v>
      </c>
      <c r="H27359" s="185"/>
    </row>
    <row r="27360">
      <c r="D27360" s="185"/>
      <c r="E27360" s="185" t="s">
        <v>470</v>
      </c>
      <c r="H27360" s="185"/>
    </row>
    <row r="27361">
      <c r="D27361" s="185"/>
      <c r="E27361" s="185" t="s">
        <v>470</v>
      </c>
      <c r="H27361" s="185"/>
    </row>
    <row r="27362">
      <c r="D27362" s="185"/>
      <c r="E27362" s="185" t="s">
        <v>470</v>
      </c>
      <c r="H27362" s="185"/>
    </row>
    <row r="27363">
      <c r="D27363" s="185"/>
      <c r="E27363" s="185" t="s">
        <v>470</v>
      </c>
      <c r="H27363" s="185"/>
    </row>
    <row r="27364">
      <c r="D27364" s="185"/>
      <c r="E27364" s="185" t="s">
        <v>470</v>
      </c>
      <c r="H27364" s="185"/>
    </row>
    <row r="27365">
      <c r="D27365" s="185"/>
      <c r="E27365" s="185" t="s">
        <v>470</v>
      </c>
      <c r="H27365" s="185"/>
    </row>
    <row r="27366">
      <c r="D27366" s="185"/>
      <c r="E27366" s="185" t="s">
        <v>470</v>
      </c>
      <c r="H27366" s="185"/>
    </row>
    <row r="27367">
      <c r="D27367" s="185"/>
      <c r="E27367" s="185" t="s">
        <v>470</v>
      </c>
      <c r="H27367" s="185"/>
    </row>
    <row r="27368">
      <c r="D27368" s="185"/>
      <c r="E27368" s="185" t="s">
        <v>470</v>
      </c>
      <c r="H27368" s="185"/>
    </row>
    <row r="27369">
      <c r="D27369" s="185"/>
      <c r="E27369" s="185" t="s">
        <v>470</v>
      </c>
      <c r="H27369" s="185"/>
    </row>
    <row r="27370">
      <c r="D27370" s="185"/>
      <c r="E27370" s="185" t="s">
        <v>470</v>
      </c>
      <c r="H27370" s="185"/>
    </row>
    <row r="27371">
      <c r="D27371" s="185"/>
      <c r="E27371" s="185" t="s">
        <v>470</v>
      </c>
      <c r="H27371" s="185"/>
    </row>
    <row r="27372">
      <c r="D27372" s="185"/>
      <c r="E27372" s="185" t="s">
        <v>470</v>
      </c>
      <c r="H27372" s="185"/>
    </row>
    <row r="27373">
      <c r="D27373" s="185"/>
      <c r="E27373" s="185" t="s">
        <v>470</v>
      </c>
      <c r="H27373" s="185"/>
    </row>
    <row r="27374">
      <c r="D27374" s="185"/>
      <c r="E27374" s="185" t="s">
        <v>470</v>
      </c>
      <c r="H27374" s="185"/>
    </row>
    <row r="27375">
      <c r="D27375" s="185"/>
      <c r="E27375" s="185" t="s">
        <v>470</v>
      </c>
      <c r="H27375" s="185"/>
    </row>
    <row r="27376">
      <c r="D27376" s="185"/>
      <c r="E27376" s="185" t="s">
        <v>470</v>
      </c>
      <c r="H27376" s="185"/>
    </row>
    <row r="27377">
      <c r="D27377" s="185"/>
      <c r="E27377" s="185" t="s">
        <v>470</v>
      </c>
      <c r="H27377" s="185"/>
    </row>
    <row r="27378">
      <c r="D27378" s="185"/>
      <c r="E27378" s="185" t="s">
        <v>470</v>
      </c>
      <c r="H27378" s="185"/>
    </row>
    <row r="27379">
      <c r="D27379" s="185"/>
      <c r="E27379" s="185" t="s">
        <v>470</v>
      </c>
      <c r="H27379" s="185"/>
    </row>
    <row r="27380">
      <c r="D27380" s="185"/>
      <c r="E27380" s="185" t="s">
        <v>470</v>
      </c>
      <c r="H27380" s="185"/>
    </row>
    <row r="27381">
      <c r="D27381" s="185"/>
      <c r="E27381" s="185" t="s">
        <v>470</v>
      </c>
      <c r="H27381" s="185"/>
    </row>
    <row r="27382">
      <c r="D27382" s="185"/>
      <c r="E27382" s="185" t="s">
        <v>470</v>
      </c>
      <c r="H27382" s="185"/>
    </row>
    <row r="27383">
      <c r="D27383" s="185"/>
      <c r="E27383" s="185" t="s">
        <v>470</v>
      </c>
      <c r="H27383" s="185"/>
    </row>
    <row r="27384">
      <c r="D27384" s="185"/>
      <c r="E27384" s="185" t="s">
        <v>470</v>
      </c>
      <c r="H27384" s="185"/>
    </row>
    <row r="27385">
      <c r="D27385" s="185"/>
      <c r="E27385" s="185" t="s">
        <v>470</v>
      </c>
      <c r="H27385" s="185"/>
    </row>
    <row r="27386">
      <c r="D27386" s="185"/>
      <c r="E27386" s="185" t="s">
        <v>470</v>
      </c>
      <c r="H27386" s="185"/>
    </row>
    <row r="27387">
      <c r="D27387" s="185"/>
      <c r="E27387" s="185" t="s">
        <v>470</v>
      </c>
      <c r="H27387" s="185"/>
    </row>
    <row r="27388">
      <c r="D27388" s="185"/>
      <c r="E27388" s="185" t="s">
        <v>470</v>
      </c>
      <c r="H27388" s="185"/>
    </row>
    <row r="27389">
      <c r="D27389" s="185"/>
      <c r="E27389" s="185" t="s">
        <v>470</v>
      </c>
      <c r="H27389" s="185"/>
    </row>
    <row r="27390">
      <c r="D27390" s="185"/>
      <c r="E27390" s="185" t="s">
        <v>470</v>
      </c>
      <c r="H27390" s="185"/>
    </row>
    <row r="27391">
      <c r="D27391" s="185"/>
      <c r="E27391" s="185" t="s">
        <v>470</v>
      </c>
      <c r="H27391" s="185"/>
    </row>
    <row r="27392">
      <c r="D27392" s="185"/>
      <c r="E27392" s="185" t="s">
        <v>470</v>
      </c>
      <c r="H27392" s="185"/>
    </row>
    <row r="27393">
      <c r="D27393" s="185"/>
      <c r="E27393" s="185" t="s">
        <v>470</v>
      </c>
      <c r="H27393" s="185"/>
    </row>
    <row r="27394">
      <c r="D27394" s="185"/>
      <c r="E27394" s="185" t="s">
        <v>470</v>
      </c>
      <c r="H27394" s="185"/>
    </row>
    <row r="27395">
      <c r="D27395" s="185"/>
      <c r="E27395" s="185" t="s">
        <v>470</v>
      </c>
      <c r="H27395" s="185"/>
    </row>
    <row r="27396">
      <c r="D27396" s="185"/>
      <c r="E27396" s="185" t="s">
        <v>470</v>
      </c>
      <c r="H27396" s="185"/>
    </row>
    <row r="27397">
      <c r="D27397" s="185"/>
      <c r="E27397" s="185" t="s">
        <v>470</v>
      </c>
      <c r="H27397" s="185"/>
    </row>
    <row r="27398">
      <c r="D27398" s="185"/>
      <c r="E27398" s="185" t="s">
        <v>470</v>
      </c>
      <c r="H27398" s="185"/>
    </row>
    <row r="27399">
      <c r="D27399" s="185"/>
      <c r="E27399" s="185" t="s">
        <v>470</v>
      </c>
      <c r="H27399" s="185"/>
    </row>
    <row r="27400">
      <c r="D27400" s="185"/>
      <c r="E27400" s="185" t="s">
        <v>470</v>
      </c>
      <c r="H27400" s="185"/>
    </row>
    <row r="27401">
      <c r="D27401" s="185"/>
      <c r="E27401" s="185" t="s">
        <v>470</v>
      </c>
      <c r="H27401" s="185"/>
    </row>
    <row r="27402">
      <c r="D27402" s="185"/>
      <c r="E27402" s="185" t="s">
        <v>470</v>
      </c>
      <c r="H27402" s="185"/>
    </row>
    <row r="27403">
      <c r="D27403" s="185"/>
      <c r="E27403" s="185" t="s">
        <v>470</v>
      </c>
      <c r="H27403" s="185"/>
    </row>
    <row r="27404">
      <c r="D27404" s="185"/>
      <c r="E27404" s="185" t="s">
        <v>470</v>
      </c>
      <c r="H27404" s="185"/>
    </row>
    <row r="27405">
      <c r="D27405" s="185"/>
      <c r="E27405" s="185" t="s">
        <v>470</v>
      </c>
      <c r="H27405" s="185"/>
    </row>
    <row r="27406">
      <c r="D27406" s="185"/>
      <c r="E27406" s="185" t="s">
        <v>470</v>
      </c>
      <c r="H27406" s="185"/>
    </row>
    <row r="27407">
      <c r="D27407" s="185"/>
      <c r="E27407" s="185" t="s">
        <v>470</v>
      </c>
      <c r="H27407" s="185"/>
    </row>
    <row r="27408">
      <c r="D27408" s="185"/>
      <c r="E27408" s="185" t="s">
        <v>470</v>
      </c>
      <c r="H27408" s="185"/>
    </row>
    <row r="27409">
      <c r="D27409" s="185"/>
      <c r="E27409" s="185" t="s">
        <v>470</v>
      </c>
      <c r="H27409" s="185"/>
    </row>
    <row r="27410">
      <c r="D27410" s="185"/>
      <c r="E27410" s="185" t="s">
        <v>470</v>
      </c>
      <c r="H27410" s="185"/>
    </row>
    <row r="27411">
      <c r="D27411" s="185"/>
      <c r="E27411" s="185" t="s">
        <v>470</v>
      </c>
      <c r="H27411" s="185"/>
    </row>
    <row r="27412">
      <c r="D27412" s="185"/>
      <c r="E27412" s="185" t="s">
        <v>470</v>
      </c>
      <c r="H27412" s="185"/>
    </row>
    <row r="27413">
      <c r="D27413" s="185"/>
      <c r="E27413" s="185" t="s">
        <v>470</v>
      </c>
      <c r="H27413" s="185"/>
    </row>
    <row r="27414">
      <c r="D27414" s="185"/>
      <c r="E27414" s="185" t="s">
        <v>470</v>
      </c>
      <c r="H27414" s="185"/>
    </row>
    <row r="27415">
      <c r="D27415" s="185"/>
      <c r="E27415" s="185" t="s">
        <v>470</v>
      </c>
      <c r="H27415" s="185"/>
    </row>
    <row r="27416">
      <c r="D27416" s="185"/>
      <c r="E27416" s="185" t="s">
        <v>470</v>
      </c>
      <c r="H27416" s="185"/>
    </row>
    <row r="27417">
      <c r="D27417" s="185"/>
      <c r="E27417" s="185" t="s">
        <v>470</v>
      </c>
      <c r="H27417" s="185"/>
    </row>
    <row r="27418">
      <c r="D27418" s="185"/>
      <c r="E27418" s="185" t="s">
        <v>470</v>
      </c>
      <c r="H27418" s="185"/>
    </row>
    <row r="27419">
      <c r="D27419" s="185"/>
      <c r="E27419" s="185" t="s">
        <v>470</v>
      </c>
      <c r="H27419" s="185"/>
    </row>
    <row r="27420">
      <c r="D27420" s="185"/>
      <c r="E27420" s="185" t="s">
        <v>470</v>
      </c>
      <c r="H27420" s="185"/>
    </row>
    <row r="27421">
      <c r="D27421" s="185"/>
      <c r="E27421" s="185" t="s">
        <v>470</v>
      </c>
      <c r="H27421" s="185"/>
    </row>
    <row r="27422">
      <c r="D27422" s="185"/>
      <c r="E27422" s="185" t="s">
        <v>470</v>
      </c>
      <c r="H27422" s="185"/>
    </row>
    <row r="27423">
      <c r="D27423" s="185"/>
      <c r="E27423" s="185" t="s">
        <v>470</v>
      </c>
      <c r="H27423" s="185"/>
    </row>
    <row r="27424">
      <c r="D27424" s="185"/>
      <c r="E27424" s="185" t="s">
        <v>470</v>
      </c>
      <c r="H27424" s="185"/>
    </row>
    <row r="27425">
      <c r="D27425" s="185"/>
      <c r="E27425" s="185" t="s">
        <v>470</v>
      </c>
      <c r="H27425" s="185"/>
    </row>
    <row r="27426">
      <c r="D27426" s="185"/>
      <c r="E27426" s="185" t="s">
        <v>470</v>
      </c>
      <c r="H27426" s="185"/>
    </row>
    <row r="27427">
      <c r="D27427" s="185"/>
      <c r="E27427" s="185" t="s">
        <v>470</v>
      </c>
      <c r="H27427" s="185"/>
    </row>
    <row r="27428">
      <c r="D27428" s="185"/>
      <c r="E27428" s="185" t="s">
        <v>470</v>
      </c>
      <c r="H27428" s="185"/>
    </row>
    <row r="27429">
      <c r="D27429" s="185"/>
      <c r="E27429" s="185" t="s">
        <v>470</v>
      </c>
      <c r="H27429" s="185"/>
    </row>
    <row r="27430">
      <c r="D27430" s="185"/>
      <c r="E27430" s="185" t="s">
        <v>470</v>
      </c>
      <c r="H27430" s="185"/>
    </row>
    <row r="27431">
      <c r="D27431" s="185"/>
      <c r="E27431" s="185" t="s">
        <v>470</v>
      </c>
      <c r="H27431" s="185"/>
    </row>
    <row r="27432">
      <c r="D27432" s="185"/>
      <c r="E27432" s="185" t="s">
        <v>470</v>
      </c>
      <c r="H27432" s="185"/>
    </row>
    <row r="27433">
      <c r="D27433" s="185"/>
      <c r="E27433" s="185" t="s">
        <v>470</v>
      </c>
      <c r="H27433" s="185"/>
    </row>
    <row r="27434">
      <c r="D27434" s="185"/>
      <c r="E27434" s="185" t="s">
        <v>470</v>
      </c>
      <c r="H27434" s="185"/>
    </row>
    <row r="27435">
      <c r="D27435" s="185"/>
      <c r="E27435" s="185" t="s">
        <v>470</v>
      </c>
      <c r="H27435" s="185"/>
    </row>
    <row r="27436">
      <c r="D27436" s="185"/>
      <c r="E27436" s="185" t="s">
        <v>470</v>
      </c>
      <c r="H27436" s="185"/>
    </row>
    <row r="27437">
      <c r="D27437" s="185"/>
      <c r="E27437" s="185" t="s">
        <v>470</v>
      </c>
      <c r="H27437" s="185"/>
    </row>
    <row r="27438">
      <c r="D27438" s="185"/>
      <c r="E27438" s="185" t="s">
        <v>470</v>
      </c>
      <c r="H27438" s="185"/>
    </row>
    <row r="27439">
      <c r="D27439" s="185"/>
      <c r="E27439" s="185" t="s">
        <v>470</v>
      </c>
      <c r="H27439" s="185"/>
    </row>
    <row r="27440">
      <c r="D27440" s="185"/>
      <c r="E27440" s="185" t="s">
        <v>470</v>
      </c>
      <c r="H27440" s="185"/>
    </row>
    <row r="27441">
      <c r="D27441" s="185"/>
      <c r="E27441" s="185" t="s">
        <v>470</v>
      </c>
      <c r="H27441" s="185"/>
    </row>
    <row r="27442">
      <c r="D27442" s="185"/>
      <c r="E27442" s="185" t="s">
        <v>470</v>
      </c>
      <c r="H27442" s="185"/>
    </row>
    <row r="27443">
      <c r="D27443" s="185"/>
      <c r="E27443" s="185" t="s">
        <v>470</v>
      </c>
      <c r="H27443" s="185"/>
    </row>
    <row r="27444">
      <c r="D27444" s="185"/>
      <c r="E27444" s="185" t="s">
        <v>470</v>
      </c>
      <c r="H27444" s="185"/>
    </row>
    <row r="27445">
      <c r="D27445" s="185"/>
      <c r="E27445" s="185" t="s">
        <v>470</v>
      </c>
      <c r="H27445" s="185"/>
    </row>
    <row r="27446">
      <c r="D27446" s="185"/>
      <c r="E27446" s="185" t="s">
        <v>470</v>
      </c>
      <c r="H27446" s="185"/>
    </row>
    <row r="27447">
      <c r="D27447" s="185"/>
      <c r="E27447" s="185" t="s">
        <v>470</v>
      </c>
      <c r="H27447" s="185"/>
    </row>
    <row r="27448">
      <c r="D27448" s="185"/>
      <c r="E27448" s="185" t="s">
        <v>470</v>
      </c>
      <c r="H27448" s="185"/>
    </row>
    <row r="27449">
      <c r="D27449" s="185"/>
      <c r="E27449" s="185" t="s">
        <v>470</v>
      </c>
      <c r="H27449" s="185"/>
    </row>
    <row r="27450">
      <c r="D27450" s="185"/>
      <c r="E27450" s="185" t="s">
        <v>470</v>
      </c>
      <c r="H27450" s="185"/>
    </row>
    <row r="27451">
      <c r="D27451" s="185"/>
      <c r="E27451" s="185" t="s">
        <v>470</v>
      </c>
      <c r="H27451" s="185"/>
    </row>
    <row r="27452">
      <c r="D27452" s="185"/>
      <c r="E27452" s="185" t="s">
        <v>470</v>
      </c>
      <c r="H27452" s="185"/>
    </row>
    <row r="27453">
      <c r="D27453" s="185"/>
      <c r="E27453" s="185" t="s">
        <v>470</v>
      </c>
      <c r="H27453" s="185"/>
    </row>
    <row r="27454">
      <c r="D27454" s="185"/>
      <c r="E27454" s="185" t="s">
        <v>470</v>
      </c>
      <c r="H27454" s="185"/>
    </row>
    <row r="27455">
      <c r="D27455" s="185"/>
      <c r="E27455" s="185" t="s">
        <v>470</v>
      </c>
      <c r="H27455" s="185"/>
    </row>
    <row r="27456">
      <c r="D27456" s="185"/>
      <c r="E27456" s="185" t="s">
        <v>470</v>
      </c>
      <c r="H27456" s="185"/>
    </row>
    <row r="27457">
      <c r="D27457" s="185"/>
      <c r="E27457" s="185" t="s">
        <v>470</v>
      </c>
      <c r="H27457" s="185"/>
    </row>
    <row r="27458">
      <c r="D27458" s="185"/>
      <c r="E27458" s="185" t="s">
        <v>470</v>
      </c>
      <c r="H27458" s="185"/>
    </row>
    <row r="27459">
      <c r="D27459" s="185"/>
      <c r="E27459" s="185" t="s">
        <v>470</v>
      </c>
      <c r="H27459" s="185"/>
    </row>
    <row r="27460">
      <c r="D27460" s="185"/>
      <c r="E27460" s="185" t="s">
        <v>470</v>
      </c>
      <c r="H27460" s="185"/>
    </row>
    <row r="27461">
      <c r="D27461" s="185"/>
      <c r="E27461" s="185" t="s">
        <v>470</v>
      </c>
      <c r="H27461" s="185"/>
    </row>
    <row r="27462">
      <c r="D27462" s="185"/>
      <c r="E27462" s="185" t="s">
        <v>470</v>
      </c>
      <c r="H27462" s="185"/>
    </row>
    <row r="27463">
      <c r="D27463" s="185"/>
      <c r="E27463" s="185" t="s">
        <v>470</v>
      </c>
      <c r="H27463" s="185"/>
    </row>
    <row r="27464">
      <c r="D27464" s="185"/>
      <c r="E27464" s="185" t="s">
        <v>470</v>
      </c>
      <c r="H27464" s="185"/>
    </row>
    <row r="27465">
      <c r="D27465" s="185"/>
      <c r="E27465" s="185" t="s">
        <v>470</v>
      </c>
      <c r="H27465" s="185"/>
    </row>
    <row r="27466">
      <c r="D27466" s="185"/>
      <c r="E27466" s="185" t="s">
        <v>470</v>
      </c>
      <c r="H27466" s="185"/>
    </row>
    <row r="27467">
      <c r="D27467" s="185"/>
      <c r="E27467" s="185" t="s">
        <v>470</v>
      </c>
      <c r="H27467" s="185"/>
    </row>
    <row r="27468">
      <c r="D27468" s="185"/>
      <c r="E27468" s="185" t="s">
        <v>470</v>
      </c>
      <c r="H27468" s="185"/>
    </row>
    <row r="27469">
      <c r="D27469" s="185"/>
      <c r="E27469" s="185" t="s">
        <v>470</v>
      </c>
      <c r="H27469" s="185"/>
    </row>
    <row r="27470">
      <c r="D27470" s="185"/>
      <c r="E27470" s="185" t="s">
        <v>470</v>
      </c>
      <c r="H27470" s="185"/>
    </row>
    <row r="27471">
      <c r="D27471" s="185"/>
      <c r="E27471" s="185" t="s">
        <v>470</v>
      </c>
      <c r="H27471" s="185"/>
    </row>
    <row r="27472">
      <c r="D27472" s="185"/>
      <c r="E27472" s="185" t="s">
        <v>470</v>
      </c>
      <c r="H27472" s="185"/>
    </row>
    <row r="27473">
      <c r="D27473" s="185"/>
      <c r="E27473" s="185" t="s">
        <v>470</v>
      </c>
      <c r="H27473" s="185"/>
    </row>
    <row r="27474">
      <c r="D27474" s="185"/>
      <c r="E27474" s="185" t="s">
        <v>470</v>
      </c>
      <c r="H27474" s="185"/>
    </row>
    <row r="27475">
      <c r="D27475" s="185"/>
      <c r="E27475" s="185" t="s">
        <v>470</v>
      </c>
      <c r="H27475" s="185"/>
    </row>
    <row r="27476">
      <c r="D27476" s="185"/>
      <c r="E27476" s="185" t="s">
        <v>470</v>
      </c>
      <c r="H27476" s="185"/>
    </row>
    <row r="27477">
      <c r="D27477" s="185"/>
      <c r="E27477" s="185" t="s">
        <v>470</v>
      </c>
      <c r="H27477" s="185"/>
    </row>
    <row r="27478">
      <c r="D27478" s="185"/>
      <c r="E27478" s="185" t="s">
        <v>470</v>
      </c>
      <c r="H27478" s="185"/>
    </row>
    <row r="27479">
      <c r="D27479" s="185"/>
      <c r="E27479" s="185" t="s">
        <v>470</v>
      </c>
      <c r="H27479" s="185"/>
    </row>
    <row r="27480">
      <c r="D27480" s="185"/>
      <c r="E27480" s="185" t="s">
        <v>470</v>
      </c>
      <c r="H27480" s="185"/>
    </row>
    <row r="27481">
      <c r="D27481" s="185"/>
      <c r="E27481" s="185" t="s">
        <v>470</v>
      </c>
      <c r="H27481" s="185"/>
    </row>
    <row r="27482">
      <c r="D27482" s="185"/>
      <c r="E27482" s="185" t="s">
        <v>470</v>
      </c>
      <c r="H27482" s="185"/>
    </row>
    <row r="27483">
      <c r="D27483" s="185"/>
      <c r="E27483" s="185" t="s">
        <v>470</v>
      </c>
      <c r="H27483" s="185"/>
    </row>
    <row r="27484">
      <c r="D27484" s="185"/>
      <c r="E27484" s="185" t="s">
        <v>470</v>
      </c>
      <c r="H27484" s="185"/>
    </row>
    <row r="27485">
      <c r="D27485" s="185"/>
      <c r="E27485" s="185" t="s">
        <v>470</v>
      </c>
      <c r="H27485" s="185"/>
    </row>
    <row r="27486">
      <c r="D27486" s="185"/>
      <c r="E27486" s="185" t="s">
        <v>470</v>
      </c>
      <c r="H27486" s="185"/>
    </row>
    <row r="27487">
      <c r="D27487" s="185"/>
      <c r="E27487" s="185" t="s">
        <v>470</v>
      </c>
      <c r="H27487" s="185"/>
    </row>
    <row r="27488">
      <c r="D27488" s="185"/>
      <c r="E27488" s="185" t="s">
        <v>470</v>
      </c>
      <c r="H27488" s="185"/>
    </row>
    <row r="27489">
      <c r="D27489" s="185"/>
      <c r="E27489" s="185" t="s">
        <v>470</v>
      </c>
      <c r="H27489" s="185"/>
    </row>
    <row r="27490">
      <c r="D27490" s="185"/>
      <c r="E27490" s="185" t="s">
        <v>470</v>
      </c>
      <c r="H27490" s="185"/>
    </row>
    <row r="27491">
      <c r="D27491" s="185"/>
      <c r="E27491" s="185" t="s">
        <v>470</v>
      </c>
      <c r="H27491" s="185"/>
    </row>
    <row r="27492">
      <c r="D27492" s="185"/>
      <c r="E27492" s="185" t="s">
        <v>470</v>
      </c>
      <c r="H27492" s="185"/>
    </row>
    <row r="27493">
      <c r="D27493" s="185"/>
      <c r="E27493" s="185" t="s">
        <v>470</v>
      </c>
      <c r="H27493" s="185"/>
    </row>
    <row r="27494">
      <c r="D27494" s="185"/>
      <c r="E27494" s="185" t="s">
        <v>470</v>
      </c>
      <c r="H27494" s="185"/>
    </row>
    <row r="27495">
      <c r="D27495" s="185"/>
      <c r="E27495" s="185" t="s">
        <v>470</v>
      </c>
      <c r="H27495" s="185"/>
    </row>
    <row r="27496">
      <c r="D27496" s="185"/>
      <c r="E27496" s="185" t="s">
        <v>470</v>
      </c>
      <c r="H27496" s="185"/>
    </row>
    <row r="27497">
      <c r="D27497" s="185"/>
      <c r="E27497" s="185" t="s">
        <v>470</v>
      </c>
      <c r="H27497" s="185"/>
    </row>
    <row r="27498">
      <c r="D27498" s="185"/>
      <c r="E27498" s="185" t="s">
        <v>470</v>
      </c>
      <c r="H27498" s="185"/>
    </row>
    <row r="27499">
      <c r="D27499" s="185"/>
      <c r="E27499" s="185" t="s">
        <v>470</v>
      </c>
      <c r="H27499" s="185"/>
    </row>
    <row r="27500">
      <c r="D27500" s="185"/>
      <c r="E27500" s="185" t="s">
        <v>470</v>
      </c>
      <c r="H27500" s="185"/>
    </row>
    <row r="27501">
      <c r="D27501" s="185"/>
      <c r="E27501" s="185" t="s">
        <v>470</v>
      </c>
      <c r="H27501" s="185"/>
    </row>
    <row r="27502">
      <c r="D27502" s="185"/>
      <c r="E27502" s="185" t="s">
        <v>470</v>
      </c>
      <c r="H27502" s="185"/>
    </row>
    <row r="27503">
      <c r="D27503" s="185"/>
      <c r="E27503" s="185" t="s">
        <v>470</v>
      </c>
      <c r="H27503" s="185"/>
    </row>
    <row r="27504">
      <c r="D27504" s="185"/>
      <c r="E27504" s="185" t="s">
        <v>470</v>
      </c>
      <c r="H27504" s="185"/>
    </row>
    <row r="27505">
      <c r="D27505" s="185"/>
      <c r="E27505" s="185" t="s">
        <v>470</v>
      </c>
      <c r="H27505" s="185"/>
    </row>
    <row r="27506">
      <c r="D27506" s="185"/>
      <c r="E27506" s="185" t="s">
        <v>470</v>
      </c>
      <c r="H27506" s="185"/>
    </row>
    <row r="27507">
      <c r="D27507" s="185"/>
      <c r="E27507" s="185" t="s">
        <v>470</v>
      </c>
      <c r="H27507" s="185"/>
    </row>
    <row r="27508">
      <c r="D27508" s="185"/>
      <c r="E27508" s="185" t="s">
        <v>470</v>
      </c>
      <c r="H27508" s="185"/>
    </row>
    <row r="27509">
      <c r="D27509" s="185"/>
      <c r="E27509" s="185" t="s">
        <v>470</v>
      </c>
      <c r="H27509" s="185"/>
    </row>
    <row r="27510">
      <c r="D27510" s="185"/>
      <c r="E27510" s="185" t="s">
        <v>470</v>
      </c>
      <c r="H27510" s="185"/>
    </row>
    <row r="27511">
      <c r="D27511" s="185"/>
      <c r="E27511" s="185" t="s">
        <v>470</v>
      </c>
      <c r="H27511" s="185"/>
    </row>
    <row r="27512">
      <c r="D27512" s="185"/>
      <c r="E27512" s="185" t="s">
        <v>470</v>
      </c>
      <c r="H27512" s="185"/>
    </row>
    <row r="27513">
      <c r="D27513" s="185"/>
      <c r="E27513" s="185" t="s">
        <v>470</v>
      </c>
      <c r="H27513" s="185"/>
    </row>
    <row r="27514">
      <c r="D27514" s="185"/>
      <c r="E27514" s="185" t="s">
        <v>470</v>
      </c>
      <c r="H27514" s="185"/>
    </row>
    <row r="27515">
      <c r="D27515" s="185"/>
      <c r="E27515" s="185" t="s">
        <v>470</v>
      </c>
      <c r="H27515" s="185"/>
    </row>
    <row r="27516">
      <c r="D27516" s="185"/>
      <c r="E27516" s="185" t="s">
        <v>470</v>
      </c>
      <c r="H27516" s="185"/>
    </row>
    <row r="27517">
      <c r="D27517" s="185"/>
      <c r="E27517" s="185" t="s">
        <v>470</v>
      </c>
      <c r="H27517" s="185"/>
    </row>
    <row r="27518">
      <c r="D27518" s="185"/>
      <c r="E27518" s="185" t="s">
        <v>470</v>
      </c>
      <c r="H27518" s="185"/>
    </row>
    <row r="27519">
      <c r="D27519" s="185"/>
      <c r="E27519" s="185" t="s">
        <v>470</v>
      </c>
      <c r="H27519" s="185"/>
    </row>
    <row r="27520">
      <c r="D27520" s="185"/>
      <c r="E27520" s="185" t="s">
        <v>470</v>
      </c>
      <c r="H27520" s="185"/>
    </row>
    <row r="27521">
      <c r="D27521" s="185"/>
      <c r="E27521" s="185" t="s">
        <v>470</v>
      </c>
      <c r="H27521" s="185"/>
    </row>
    <row r="27522">
      <c r="D27522" s="185"/>
      <c r="E27522" s="185" t="s">
        <v>470</v>
      </c>
      <c r="H27522" s="185"/>
    </row>
    <row r="27523">
      <c r="D27523" s="185"/>
      <c r="E27523" s="185" t="s">
        <v>470</v>
      </c>
      <c r="H27523" s="185"/>
    </row>
    <row r="27524">
      <c r="D27524" s="185"/>
      <c r="E27524" s="185" t="s">
        <v>470</v>
      </c>
      <c r="H27524" s="185"/>
    </row>
    <row r="27525">
      <c r="D27525" s="185"/>
      <c r="E27525" s="185" t="s">
        <v>470</v>
      </c>
      <c r="H27525" s="185"/>
    </row>
    <row r="27526">
      <c r="D27526" s="185"/>
      <c r="E27526" s="185" t="s">
        <v>470</v>
      </c>
      <c r="H27526" s="185"/>
    </row>
    <row r="27527">
      <c r="D27527" s="185"/>
      <c r="E27527" s="185" t="s">
        <v>470</v>
      </c>
      <c r="H27527" s="185"/>
    </row>
    <row r="27528">
      <c r="D27528" s="185"/>
      <c r="E27528" s="185" t="s">
        <v>470</v>
      </c>
      <c r="H27528" s="185"/>
    </row>
    <row r="27529">
      <c r="D27529" s="185"/>
      <c r="E27529" s="185" t="s">
        <v>470</v>
      </c>
      <c r="H27529" s="185"/>
    </row>
    <row r="27530">
      <c r="D27530" s="185"/>
      <c r="E27530" s="185" t="s">
        <v>470</v>
      </c>
      <c r="H27530" s="185"/>
    </row>
    <row r="27531">
      <c r="D27531" s="185"/>
      <c r="E27531" s="185" t="s">
        <v>470</v>
      </c>
      <c r="H27531" s="185"/>
    </row>
    <row r="27532">
      <c r="D27532" s="185"/>
      <c r="E27532" s="185" t="s">
        <v>470</v>
      </c>
      <c r="H27532" s="185"/>
    </row>
    <row r="27533">
      <c r="D27533" s="185"/>
      <c r="E27533" s="185" t="s">
        <v>470</v>
      </c>
      <c r="H27533" s="185"/>
    </row>
    <row r="27534">
      <c r="D27534" s="185"/>
      <c r="E27534" s="185" t="s">
        <v>470</v>
      </c>
      <c r="H27534" s="185"/>
    </row>
    <row r="27535">
      <c r="D27535" s="185"/>
      <c r="E27535" s="185" t="s">
        <v>470</v>
      </c>
      <c r="H27535" s="185"/>
    </row>
    <row r="27536">
      <c r="D27536" s="185"/>
      <c r="E27536" s="185" t="s">
        <v>470</v>
      </c>
      <c r="H27536" s="185"/>
    </row>
    <row r="27537">
      <c r="D27537" s="185"/>
      <c r="E27537" s="185" t="s">
        <v>470</v>
      </c>
      <c r="H27537" s="185"/>
    </row>
    <row r="27538">
      <c r="D27538" s="185"/>
      <c r="E27538" s="185" t="s">
        <v>470</v>
      </c>
      <c r="H27538" s="185"/>
    </row>
    <row r="27539">
      <c r="D27539" s="185"/>
      <c r="E27539" s="185" t="s">
        <v>470</v>
      </c>
      <c r="H27539" s="185"/>
    </row>
    <row r="27540">
      <c r="D27540" s="185"/>
      <c r="E27540" s="185" t="s">
        <v>470</v>
      </c>
      <c r="H27540" s="185"/>
    </row>
    <row r="27541">
      <c r="D27541" s="185"/>
      <c r="E27541" s="185" t="s">
        <v>470</v>
      </c>
      <c r="H27541" s="185"/>
    </row>
    <row r="27542">
      <c r="D27542" s="185"/>
      <c r="E27542" s="185" t="s">
        <v>470</v>
      </c>
      <c r="H27542" s="185"/>
    </row>
    <row r="27543">
      <c r="D27543" s="185"/>
      <c r="E27543" s="185" t="s">
        <v>470</v>
      </c>
      <c r="H27543" s="185"/>
    </row>
    <row r="27544">
      <c r="D27544" s="185"/>
      <c r="E27544" s="185" t="s">
        <v>470</v>
      </c>
      <c r="H27544" s="185"/>
    </row>
    <row r="27545">
      <c r="D27545" s="185"/>
      <c r="E27545" s="185" t="s">
        <v>470</v>
      </c>
      <c r="H27545" s="185"/>
    </row>
    <row r="27546">
      <c r="D27546" s="185"/>
      <c r="E27546" s="185" t="s">
        <v>470</v>
      </c>
      <c r="H27546" s="185"/>
    </row>
    <row r="27547">
      <c r="D27547" s="185"/>
      <c r="E27547" s="185" t="s">
        <v>470</v>
      </c>
      <c r="H27547" s="185"/>
    </row>
    <row r="27548">
      <c r="D27548" s="185"/>
      <c r="E27548" s="185" t="s">
        <v>470</v>
      </c>
      <c r="H27548" s="185"/>
    </row>
    <row r="27549">
      <c r="D27549" s="185"/>
      <c r="E27549" s="185" t="s">
        <v>470</v>
      </c>
      <c r="H27549" s="185"/>
    </row>
    <row r="27550">
      <c r="D27550" s="185"/>
      <c r="E27550" s="185" t="s">
        <v>470</v>
      </c>
      <c r="H27550" s="185"/>
    </row>
    <row r="27551">
      <c r="D27551" s="185"/>
      <c r="E27551" s="185" t="s">
        <v>470</v>
      </c>
      <c r="H27551" s="185"/>
    </row>
    <row r="27552">
      <c r="D27552" s="185"/>
      <c r="E27552" s="185" t="s">
        <v>470</v>
      </c>
      <c r="H27552" s="185"/>
    </row>
    <row r="27553">
      <c r="D27553" s="185"/>
      <c r="E27553" s="185" t="s">
        <v>470</v>
      </c>
      <c r="H27553" s="185"/>
    </row>
    <row r="27554">
      <c r="D27554" s="185"/>
      <c r="E27554" s="185" t="s">
        <v>470</v>
      </c>
      <c r="H27554" s="185"/>
    </row>
    <row r="27555">
      <c r="D27555" s="185"/>
      <c r="E27555" s="185" t="s">
        <v>470</v>
      </c>
      <c r="H27555" s="185"/>
    </row>
    <row r="27556">
      <c r="D27556" s="185"/>
      <c r="E27556" s="185" t="s">
        <v>470</v>
      </c>
      <c r="H27556" s="185"/>
    </row>
    <row r="27557">
      <c r="D27557" s="185"/>
      <c r="E27557" s="185" t="s">
        <v>470</v>
      </c>
      <c r="H27557" s="185"/>
    </row>
    <row r="27558">
      <c r="D27558" s="185"/>
      <c r="E27558" s="185" t="s">
        <v>470</v>
      </c>
      <c r="H27558" s="185"/>
    </row>
    <row r="27559">
      <c r="D27559" s="185"/>
      <c r="E27559" s="185" t="s">
        <v>470</v>
      </c>
      <c r="H27559" s="185"/>
    </row>
    <row r="27560">
      <c r="D27560" s="185"/>
      <c r="E27560" s="185" t="s">
        <v>470</v>
      </c>
      <c r="H27560" s="185"/>
    </row>
    <row r="27561">
      <c r="D27561" s="185"/>
      <c r="E27561" s="185" t="s">
        <v>470</v>
      </c>
      <c r="H27561" s="185"/>
    </row>
    <row r="27562">
      <c r="D27562" s="185"/>
      <c r="E27562" s="185" t="s">
        <v>470</v>
      </c>
      <c r="H27562" s="185"/>
    </row>
    <row r="27563">
      <c r="D27563" s="185"/>
      <c r="E27563" s="185" t="s">
        <v>470</v>
      </c>
      <c r="H27563" s="185"/>
    </row>
    <row r="27564">
      <c r="D27564" s="185"/>
      <c r="E27564" s="185" t="s">
        <v>470</v>
      </c>
      <c r="H27564" s="185"/>
    </row>
    <row r="27565">
      <c r="D27565" s="185"/>
      <c r="E27565" s="185" t="s">
        <v>470</v>
      </c>
      <c r="H27565" s="185"/>
    </row>
    <row r="27566">
      <c r="D27566" s="185"/>
      <c r="E27566" s="185" t="s">
        <v>470</v>
      </c>
      <c r="H27566" s="185"/>
    </row>
    <row r="27567">
      <c r="D27567" s="185"/>
      <c r="E27567" s="185" t="s">
        <v>470</v>
      </c>
      <c r="H27567" s="185"/>
    </row>
    <row r="27568">
      <c r="D27568" s="185"/>
      <c r="E27568" s="185" t="s">
        <v>470</v>
      </c>
      <c r="H27568" s="185"/>
    </row>
    <row r="27569">
      <c r="D27569" s="185"/>
      <c r="E27569" s="185" t="s">
        <v>470</v>
      </c>
      <c r="H27569" s="185"/>
    </row>
    <row r="27570">
      <c r="D27570" s="185"/>
      <c r="E27570" s="185" t="s">
        <v>470</v>
      </c>
      <c r="H27570" s="185"/>
    </row>
    <row r="27571">
      <c r="D27571" s="185"/>
      <c r="E27571" s="185" t="s">
        <v>470</v>
      </c>
      <c r="H27571" s="185"/>
    </row>
    <row r="27572">
      <c r="D27572" s="185"/>
      <c r="E27572" s="185" t="s">
        <v>470</v>
      </c>
      <c r="H27572" s="185"/>
    </row>
    <row r="27573">
      <c r="D27573" s="185"/>
      <c r="E27573" s="185" t="s">
        <v>470</v>
      </c>
      <c r="H27573" s="185"/>
    </row>
    <row r="27574">
      <c r="D27574" s="185"/>
      <c r="E27574" s="185" t="s">
        <v>470</v>
      </c>
      <c r="H27574" s="185"/>
    </row>
    <row r="27575">
      <c r="D27575" s="185"/>
      <c r="E27575" s="185" t="s">
        <v>470</v>
      </c>
      <c r="H27575" s="185"/>
    </row>
    <row r="27576">
      <c r="D27576" s="185"/>
      <c r="E27576" s="185" t="s">
        <v>470</v>
      </c>
      <c r="H27576" s="185"/>
    </row>
    <row r="27577">
      <c r="D27577" s="185"/>
      <c r="E27577" s="185" t="s">
        <v>470</v>
      </c>
      <c r="H27577" s="185"/>
    </row>
    <row r="27578">
      <c r="D27578" s="185"/>
      <c r="E27578" s="185" t="s">
        <v>470</v>
      </c>
      <c r="H27578" s="185"/>
    </row>
    <row r="27579">
      <c r="D27579" s="185"/>
      <c r="E27579" s="185" t="s">
        <v>470</v>
      </c>
      <c r="H27579" s="185"/>
    </row>
    <row r="27580">
      <c r="D27580" s="185"/>
      <c r="E27580" s="185" t="s">
        <v>470</v>
      </c>
      <c r="H27580" s="185"/>
    </row>
    <row r="27581">
      <c r="D27581" s="185"/>
      <c r="E27581" s="185" t="s">
        <v>470</v>
      </c>
      <c r="H27581" s="185"/>
    </row>
    <row r="27582">
      <c r="D27582" s="185"/>
      <c r="E27582" s="185" t="s">
        <v>470</v>
      </c>
      <c r="H27582" s="185"/>
    </row>
    <row r="27583">
      <c r="D27583" s="185"/>
      <c r="E27583" s="185" t="s">
        <v>470</v>
      </c>
      <c r="H27583" s="185"/>
    </row>
    <row r="27584">
      <c r="D27584" s="185"/>
      <c r="E27584" s="185" t="s">
        <v>470</v>
      </c>
      <c r="H27584" s="185"/>
    </row>
    <row r="27585">
      <c r="D27585" s="185"/>
      <c r="E27585" s="185" t="s">
        <v>470</v>
      </c>
      <c r="H27585" s="185"/>
    </row>
    <row r="27586">
      <c r="D27586" s="185"/>
      <c r="E27586" s="185" t="s">
        <v>470</v>
      </c>
      <c r="H27586" s="185"/>
    </row>
    <row r="27587">
      <c r="D27587" s="185"/>
      <c r="E27587" s="185" t="s">
        <v>470</v>
      </c>
      <c r="H27587" s="185"/>
    </row>
    <row r="27588">
      <c r="D27588" s="185"/>
      <c r="E27588" s="185" t="s">
        <v>470</v>
      </c>
      <c r="H27588" s="185"/>
    </row>
    <row r="27589">
      <c r="D27589" s="185"/>
      <c r="E27589" s="185" t="s">
        <v>470</v>
      </c>
      <c r="H27589" s="185"/>
    </row>
    <row r="27590">
      <c r="D27590" s="185"/>
      <c r="E27590" s="185" t="s">
        <v>470</v>
      </c>
      <c r="H27590" s="185"/>
    </row>
    <row r="27591">
      <c r="D27591" s="185"/>
      <c r="E27591" s="185" t="s">
        <v>470</v>
      </c>
      <c r="H27591" s="185"/>
    </row>
    <row r="27592">
      <c r="D27592" s="185"/>
      <c r="E27592" s="185" t="s">
        <v>470</v>
      </c>
      <c r="H27592" s="185"/>
    </row>
    <row r="27593">
      <c r="D27593" s="185"/>
      <c r="E27593" s="185" t="s">
        <v>470</v>
      </c>
      <c r="H27593" s="185"/>
    </row>
    <row r="27594">
      <c r="D27594" s="185"/>
      <c r="E27594" s="185" t="s">
        <v>470</v>
      </c>
      <c r="H27594" s="185"/>
    </row>
    <row r="27595">
      <c r="D27595" s="185"/>
      <c r="E27595" s="185" t="s">
        <v>470</v>
      </c>
      <c r="H27595" s="185"/>
    </row>
    <row r="27596">
      <c r="D27596" s="185"/>
      <c r="E27596" s="185" t="s">
        <v>470</v>
      </c>
      <c r="H27596" s="185"/>
    </row>
    <row r="27597">
      <c r="D27597" s="185"/>
      <c r="E27597" s="185" t="s">
        <v>470</v>
      </c>
      <c r="H27597" s="185"/>
    </row>
    <row r="27598">
      <c r="D27598" s="185"/>
      <c r="E27598" s="185" t="s">
        <v>470</v>
      </c>
      <c r="H27598" s="185"/>
    </row>
    <row r="27599">
      <c r="D27599" s="185"/>
      <c r="E27599" s="185" t="s">
        <v>470</v>
      </c>
      <c r="H27599" s="185"/>
    </row>
    <row r="27600">
      <c r="D27600" s="185"/>
      <c r="E27600" s="185" t="s">
        <v>470</v>
      </c>
      <c r="H27600" s="185"/>
    </row>
    <row r="27601">
      <c r="D27601" s="185"/>
      <c r="E27601" s="185" t="s">
        <v>470</v>
      </c>
      <c r="H27601" s="185"/>
    </row>
    <row r="27602">
      <c r="D27602" s="185"/>
      <c r="E27602" s="185" t="s">
        <v>470</v>
      </c>
      <c r="H27602" s="185"/>
    </row>
    <row r="27603">
      <c r="D27603" s="185"/>
      <c r="E27603" s="185" t="s">
        <v>470</v>
      </c>
      <c r="H27603" s="185"/>
    </row>
    <row r="27604">
      <c r="D27604" s="185"/>
      <c r="E27604" s="185" t="s">
        <v>470</v>
      </c>
      <c r="H27604" s="185"/>
    </row>
    <row r="27605">
      <c r="D27605" s="185"/>
      <c r="E27605" s="185" t="s">
        <v>470</v>
      </c>
      <c r="H27605" s="185"/>
    </row>
    <row r="27606">
      <c r="D27606" s="185"/>
      <c r="E27606" s="185" t="s">
        <v>470</v>
      </c>
      <c r="H27606" s="185"/>
    </row>
    <row r="27607">
      <c r="D27607" s="185"/>
      <c r="E27607" s="185" t="s">
        <v>470</v>
      </c>
      <c r="H27607" s="185"/>
    </row>
    <row r="27608">
      <c r="D27608" s="185"/>
      <c r="E27608" s="185" t="s">
        <v>470</v>
      </c>
      <c r="H27608" s="185"/>
    </row>
    <row r="27609">
      <c r="D27609" s="185"/>
      <c r="E27609" s="185" t="s">
        <v>470</v>
      </c>
      <c r="H27609" s="185"/>
    </row>
    <row r="27610">
      <c r="D27610" s="185"/>
      <c r="E27610" s="185" t="s">
        <v>470</v>
      </c>
      <c r="H27610" s="185"/>
    </row>
    <row r="27611">
      <c r="D27611" s="185"/>
      <c r="E27611" s="185" t="s">
        <v>470</v>
      </c>
      <c r="H27611" s="185"/>
    </row>
    <row r="27612">
      <c r="D27612" s="185"/>
      <c r="E27612" s="185" t="s">
        <v>470</v>
      </c>
      <c r="H27612" s="185"/>
    </row>
    <row r="27613">
      <c r="D27613" s="185"/>
      <c r="E27613" s="185" t="s">
        <v>470</v>
      </c>
      <c r="H27613" s="185"/>
    </row>
    <row r="27614">
      <c r="D27614" s="185"/>
      <c r="E27614" s="185" t="s">
        <v>470</v>
      </c>
      <c r="H27614" s="185"/>
    </row>
    <row r="27615">
      <c r="D27615" s="185"/>
      <c r="E27615" s="185" t="s">
        <v>470</v>
      </c>
      <c r="H27615" s="185"/>
    </row>
    <row r="27616">
      <c r="D27616" s="185"/>
      <c r="E27616" s="185" t="s">
        <v>470</v>
      </c>
      <c r="H27616" s="185"/>
    </row>
    <row r="27617">
      <c r="D27617" s="185"/>
      <c r="E27617" s="185" t="s">
        <v>470</v>
      </c>
      <c r="H27617" s="185"/>
    </row>
    <row r="27618">
      <c r="D27618" s="185"/>
      <c r="E27618" s="185" t="s">
        <v>470</v>
      </c>
      <c r="H27618" s="185"/>
    </row>
    <row r="27619">
      <c r="D27619" s="185"/>
      <c r="E27619" s="185" t="s">
        <v>470</v>
      </c>
      <c r="H27619" s="185"/>
    </row>
    <row r="27620">
      <c r="D27620" s="185"/>
      <c r="E27620" s="185" t="s">
        <v>470</v>
      </c>
      <c r="H27620" s="185"/>
    </row>
    <row r="27621">
      <c r="D27621" s="185"/>
      <c r="E27621" s="185" t="s">
        <v>470</v>
      </c>
      <c r="H27621" s="185"/>
    </row>
    <row r="27622">
      <c r="D27622" s="185"/>
      <c r="E27622" s="185" t="s">
        <v>470</v>
      </c>
      <c r="H27622" s="185"/>
    </row>
    <row r="27623">
      <c r="D27623" s="185"/>
      <c r="E27623" s="185" t="s">
        <v>470</v>
      </c>
      <c r="H27623" s="185"/>
    </row>
    <row r="27624">
      <c r="D27624" s="185"/>
      <c r="E27624" s="185" t="s">
        <v>470</v>
      </c>
      <c r="H27624" s="185"/>
    </row>
    <row r="27625">
      <c r="D27625" s="185"/>
      <c r="E27625" s="185" t="s">
        <v>470</v>
      </c>
      <c r="H27625" s="185"/>
    </row>
    <row r="27626">
      <c r="D27626" s="185"/>
      <c r="E27626" s="185" t="s">
        <v>470</v>
      </c>
      <c r="H27626" s="185"/>
    </row>
    <row r="27627">
      <c r="D27627" s="185"/>
      <c r="E27627" s="185" t="s">
        <v>470</v>
      </c>
      <c r="H27627" s="185"/>
    </row>
    <row r="27628">
      <c r="D27628" s="185"/>
      <c r="E27628" s="185" t="s">
        <v>470</v>
      </c>
      <c r="H27628" s="185"/>
    </row>
    <row r="27629">
      <c r="D27629" s="185"/>
      <c r="E27629" s="185" t="s">
        <v>470</v>
      </c>
      <c r="H27629" s="185"/>
    </row>
    <row r="27630">
      <c r="D27630" s="185"/>
      <c r="E27630" s="185" t="s">
        <v>470</v>
      </c>
      <c r="H27630" s="185"/>
    </row>
    <row r="27631">
      <c r="D27631" s="185"/>
      <c r="E27631" s="185" t="s">
        <v>470</v>
      </c>
      <c r="H27631" s="185"/>
    </row>
    <row r="27632">
      <c r="D27632" s="185"/>
      <c r="E27632" s="185" t="s">
        <v>470</v>
      </c>
      <c r="H27632" s="185"/>
    </row>
    <row r="27633">
      <c r="D27633" s="185"/>
      <c r="E27633" s="185" t="s">
        <v>470</v>
      </c>
      <c r="H27633" s="185"/>
    </row>
    <row r="27634">
      <c r="D27634" s="185"/>
      <c r="E27634" s="185" t="s">
        <v>470</v>
      </c>
      <c r="H27634" s="185"/>
    </row>
    <row r="27635">
      <c r="D27635" s="185"/>
      <c r="E27635" s="185" t="s">
        <v>470</v>
      </c>
      <c r="H27635" s="185"/>
    </row>
    <row r="27636">
      <c r="D27636" s="185"/>
      <c r="E27636" s="185" t="s">
        <v>470</v>
      </c>
      <c r="H27636" s="185"/>
    </row>
    <row r="27637">
      <c r="D27637" s="185"/>
      <c r="E27637" s="185" t="s">
        <v>470</v>
      </c>
      <c r="H27637" s="185"/>
    </row>
    <row r="27638">
      <c r="D27638" s="185"/>
      <c r="E27638" s="185" t="s">
        <v>470</v>
      </c>
      <c r="H27638" s="185"/>
    </row>
    <row r="27639">
      <c r="D27639" s="185"/>
      <c r="E27639" s="185" t="s">
        <v>470</v>
      </c>
      <c r="H27639" s="185"/>
    </row>
    <row r="27640">
      <c r="D27640" s="185"/>
      <c r="E27640" s="185" t="s">
        <v>470</v>
      </c>
      <c r="H27640" s="185"/>
    </row>
    <row r="27641">
      <c r="D27641" s="185"/>
      <c r="E27641" s="185" t="s">
        <v>470</v>
      </c>
      <c r="H27641" s="185"/>
    </row>
    <row r="27642">
      <c r="D27642" s="185"/>
      <c r="E27642" s="185" t="s">
        <v>470</v>
      </c>
      <c r="H27642" s="185"/>
    </row>
    <row r="27643">
      <c r="D27643" s="185"/>
      <c r="E27643" s="185" t="s">
        <v>470</v>
      </c>
      <c r="H27643" s="185"/>
    </row>
    <row r="27644">
      <c r="D27644" s="185"/>
      <c r="E27644" s="185" t="s">
        <v>470</v>
      </c>
      <c r="H27644" s="185"/>
    </row>
    <row r="27645">
      <c r="D27645" s="185"/>
      <c r="E27645" s="185" t="s">
        <v>470</v>
      </c>
      <c r="H27645" s="185"/>
    </row>
    <row r="27646">
      <c r="D27646" s="185"/>
      <c r="E27646" s="185" t="s">
        <v>470</v>
      </c>
      <c r="H27646" s="185"/>
    </row>
    <row r="27647">
      <c r="D27647" s="185"/>
      <c r="E27647" s="185" t="s">
        <v>470</v>
      </c>
      <c r="H27647" s="185"/>
    </row>
    <row r="27648">
      <c r="D27648" s="185"/>
      <c r="E27648" s="185" t="s">
        <v>470</v>
      </c>
      <c r="H27648" s="185"/>
    </row>
    <row r="27649">
      <c r="D27649" s="185"/>
      <c r="E27649" s="185" t="s">
        <v>470</v>
      </c>
      <c r="H27649" s="185"/>
    </row>
    <row r="27650">
      <c r="D27650" s="185"/>
      <c r="E27650" s="185" t="s">
        <v>470</v>
      </c>
      <c r="H27650" s="185"/>
    </row>
    <row r="27651">
      <c r="D27651" s="185"/>
      <c r="E27651" s="185" t="s">
        <v>470</v>
      </c>
      <c r="H27651" s="185"/>
    </row>
    <row r="27652">
      <c r="D27652" s="185"/>
      <c r="E27652" s="185" t="s">
        <v>470</v>
      </c>
      <c r="H27652" s="185"/>
    </row>
    <row r="27653">
      <c r="D27653" s="185"/>
      <c r="E27653" s="185" t="s">
        <v>470</v>
      </c>
      <c r="H27653" s="185"/>
    </row>
    <row r="27654">
      <c r="D27654" s="185"/>
      <c r="E27654" s="185" t="s">
        <v>470</v>
      </c>
      <c r="H27654" s="185"/>
    </row>
    <row r="27655">
      <c r="D27655" s="185"/>
      <c r="E27655" s="185" t="s">
        <v>470</v>
      </c>
      <c r="H27655" s="185"/>
    </row>
    <row r="27656">
      <c r="D27656" s="185"/>
      <c r="E27656" s="185" t="s">
        <v>470</v>
      </c>
      <c r="H27656" s="185"/>
    </row>
    <row r="27657">
      <c r="D27657" s="185"/>
      <c r="E27657" s="185" t="s">
        <v>470</v>
      </c>
      <c r="H27657" s="185"/>
    </row>
    <row r="27658">
      <c r="D27658" s="185"/>
      <c r="E27658" s="185" t="s">
        <v>470</v>
      </c>
      <c r="H27658" s="185"/>
    </row>
    <row r="27659">
      <c r="D27659" s="185"/>
      <c r="E27659" s="185" t="s">
        <v>470</v>
      </c>
      <c r="H27659" s="185"/>
    </row>
    <row r="27660">
      <c r="D27660" s="185"/>
      <c r="E27660" s="185" t="s">
        <v>470</v>
      </c>
      <c r="H27660" s="185"/>
    </row>
    <row r="27661">
      <c r="D27661" s="185"/>
      <c r="E27661" s="185" t="s">
        <v>470</v>
      </c>
      <c r="H27661" s="185"/>
    </row>
    <row r="27662">
      <c r="D27662" s="185"/>
      <c r="E27662" s="185" t="s">
        <v>470</v>
      </c>
      <c r="H27662" s="185"/>
    </row>
    <row r="27663">
      <c r="D27663" s="185"/>
      <c r="E27663" s="185" t="s">
        <v>470</v>
      </c>
      <c r="H27663" s="185"/>
    </row>
    <row r="27664">
      <c r="D27664" s="185"/>
      <c r="E27664" s="185" t="s">
        <v>470</v>
      </c>
      <c r="H27664" s="185"/>
    </row>
    <row r="27665">
      <c r="D27665" s="185"/>
      <c r="E27665" s="185" t="s">
        <v>470</v>
      </c>
      <c r="H27665" s="185"/>
    </row>
    <row r="27666">
      <c r="D27666" s="185"/>
      <c r="E27666" s="185" t="s">
        <v>470</v>
      </c>
      <c r="H27666" s="185"/>
    </row>
    <row r="27667">
      <c r="D27667" s="185"/>
      <c r="E27667" s="185" t="s">
        <v>470</v>
      </c>
      <c r="H27667" s="185"/>
    </row>
    <row r="27668">
      <c r="D27668" s="185"/>
      <c r="E27668" s="185" t="s">
        <v>470</v>
      </c>
      <c r="H27668" s="185"/>
    </row>
    <row r="27669">
      <c r="D27669" s="185"/>
      <c r="E27669" s="185" t="s">
        <v>470</v>
      </c>
      <c r="H27669" s="185"/>
    </row>
    <row r="27670">
      <c r="D27670" s="185"/>
      <c r="E27670" s="185" t="s">
        <v>470</v>
      </c>
      <c r="H27670" s="185"/>
    </row>
    <row r="27671">
      <c r="D27671" s="185"/>
      <c r="E27671" s="185" t="s">
        <v>470</v>
      </c>
      <c r="H27671" s="185"/>
    </row>
    <row r="27672">
      <c r="D27672" s="185"/>
      <c r="E27672" s="185" t="s">
        <v>470</v>
      </c>
      <c r="H27672" s="185"/>
    </row>
    <row r="27673">
      <c r="D27673" s="185"/>
      <c r="E27673" s="185" t="s">
        <v>470</v>
      </c>
      <c r="H27673" s="185"/>
    </row>
    <row r="27674">
      <c r="D27674" s="185"/>
      <c r="E27674" s="185" t="s">
        <v>470</v>
      </c>
      <c r="H27674" s="185"/>
    </row>
    <row r="27675">
      <c r="D27675" s="185"/>
      <c r="E27675" s="185" t="s">
        <v>470</v>
      </c>
      <c r="H27675" s="185"/>
    </row>
    <row r="27676">
      <c r="D27676" s="185"/>
      <c r="E27676" s="185" t="s">
        <v>470</v>
      </c>
      <c r="H27676" s="185"/>
    </row>
    <row r="27677">
      <c r="D27677" s="185"/>
      <c r="E27677" s="185" t="s">
        <v>470</v>
      </c>
      <c r="H27677" s="185"/>
    </row>
    <row r="27678">
      <c r="D27678" s="185"/>
      <c r="E27678" s="185" t="s">
        <v>470</v>
      </c>
      <c r="H27678" s="185"/>
    </row>
    <row r="27679">
      <c r="D27679" s="185"/>
      <c r="E27679" s="185" t="s">
        <v>470</v>
      </c>
      <c r="H27679" s="185"/>
    </row>
    <row r="27680">
      <c r="D27680" s="185"/>
      <c r="E27680" s="185" t="s">
        <v>470</v>
      </c>
      <c r="H27680" s="185"/>
    </row>
    <row r="27681">
      <c r="D27681" s="185"/>
      <c r="E27681" s="185" t="s">
        <v>470</v>
      </c>
      <c r="H27681" s="185"/>
    </row>
    <row r="27682">
      <c r="D27682" s="185"/>
      <c r="E27682" s="185" t="s">
        <v>470</v>
      </c>
      <c r="H27682" s="185"/>
    </row>
    <row r="27683">
      <c r="D27683" s="185"/>
      <c r="E27683" s="185" t="s">
        <v>470</v>
      </c>
      <c r="H27683" s="185"/>
    </row>
    <row r="27684">
      <c r="D27684" s="185"/>
      <c r="E27684" s="185" t="s">
        <v>470</v>
      </c>
      <c r="H27684" s="185"/>
    </row>
    <row r="27685">
      <c r="D27685" s="185"/>
      <c r="E27685" s="185" t="s">
        <v>470</v>
      </c>
      <c r="H27685" s="185"/>
    </row>
    <row r="27686">
      <c r="D27686" s="185"/>
      <c r="E27686" s="185" t="s">
        <v>470</v>
      </c>
      <c r="H27686" s="185"/>
    </row>
    <row r="27687">
      <c r="D27687" s="185"/>
      <c r="E27687" s="185" t="s">
        <v>470</v>
      </c>
      <c r="H27687" s="185"/>
    </row>
    <row r="27688">
      <c r="D27688" s="185"/>
      <c r="E27688" s="185" t="s">
        <v>470</v>
      </c>
      <c r="H27688" s="185"/>
    </row>
    <row r="27689">
      <c r="D27689" s="185"/>
      <c r="E27689" s="185" t="s">
        <v>470</v>
      </c>
      <c r="H27689" s="185"/>
    </row>
    <row r="27690">
      <c r="D27690" s="185"/>
      <c r="E27690" s="185" t="s">
        <v>470</v>
      </c>
      <c r="H27690" s="185"/>
    </row>
    <row r="27691">
      <c r="D27691" s="185"/>
      <c r="E27691" s="185" t="s">
        <v>470</v>
      </c>
      <c r="H27691" s="185"/>
    </row>
    <row r="27692">
      <c r="D27692" s="185"/>
      <c r="E27692" s="185" t="s">
        <v>470</v>
      </c>
      <c r="H27692" s="185"/>
    </row>
    <row r="27693">
      <c r="D27693" s="185"/>
      <c r="E27693" s="185" t="s">
        <v>470</v>
      </c>
      <c r="H27693" s="185"/>
    </row>
    <row r="27694">
      <c r="D27694" s="185"/>
      <c r="E27694" s="185" t="s">
        <v>470</v>
      </c>
      <c r="H27694" s="185"/>
    </row>
    <row r="27695">
      <c r="D27695" s="185"/>
      <c r="E27695" s="185" t="s">
        <v>470</v>
      </c>
      <c r="H27695" s="185"/>
    </row>
    <row r="27696">
      <c r="D27696" s="185"/>
      <c r="E27696" s="185" t="s">
        <v>470</v>
      </c>
      <c r="H27696" s="185"/>
    </row>
    <row r="27697">
      <c r="D27697" s="185"/>
      <c r="E27697" s="185" t="s">
        <v>470</v>
      </c>
      <c r="H27697" s="185"/>
    </row>
    <row r="27698">
      <c r="D27698" s="185"/>
      <c r="E27698" s="185" t="s">
        <v>470</v>
      </c>
      <c r="H27698" s="185"/>
    </row>
    <row r="27699">
      <c r="D27699" s="185"/>
      <c r="E27699" s="185" t="s">
        <v>470</v>
      </c>
      <c r="H27699" s="185"/>
    </row>
    <row r="27700">
      <c r="D27700" s="185"/>
      <c r="E27700" s="185" t="s">
        <v>470</v>
      </c>
      <c r="H27700" s="185"/>
    </row>
    <row r="27701">
      <c r="D27701" s="185"/>
      <c r="E27701" s="185" t="s">
        <v>470</v>
      </c>
      <c r="H27701" s="185"/>
    </row>
    <row r="27702">
      <c r="D27702" s="185"/>
      <c r="E27702" s="185" t="s">
        <v>470</v>
      </c>
      <c r="H27702" s="185"/>
    </row>
    <row r="27703">
      <c r="D27703" s="185"/>
      <c r="E27703" s="185" t="s">
        <v>470</v>
      </c>
      <c r="H27703" s="185"/>
    </row>
    <row r="27704">
      <c r="D27704" s="185"/>
      <c r="E27704" s="185" t="s">
        <v>470</v>
      </c>
      <c r="H27704" s="185"/>
    </row>
    <row r="27705">
      <c r="D27705" s="185"/>
      <c r="E27705" s="185" t="s">
        <v>470</v>
      </c>
      <c r="H27705" s="185"/>
    </row>
    <row r="27706">
      <c r="D27706" s="185"/>
      <c r="E27706" s="185" t="s">
        <v>470</v>
      </c>
      <c r="H27706" s="185"/>
    </row>
    <row r="27707">
      <c r="D27707" s="185"/>
      <c r="E27707" s="185" t="s">
        <v>470</v>
      </c>
      <c r="H27707" s="185"/>
    </row>
    <row r="27708">
      <c r="D27708" s="185"/>
      <c r="E27708" s="185" t="s">
        <v>470</v>
      </c>
      <c r="H27708" s="185"/>
    </row>
    <row r="27709">
      <c r="D27709" s="185"/>
      <c r="E27709" s="185" t="s">
        <v>470</v>
      </c>
      <c r="H27709" s="185"/>
    </row>
    <row r="27710">
      <c r="D27710" s="185"/>
      <c r="E27710" s="185" t="s">
        <v>470</v>
      </c>
      <c r="H27710" s="185"/>
    </row>
    <row r="27711">
      <c r="D27711" s="185"/>
      <c r="E27711" s="185" t="s">
        <v>470</v>
      </c>
      <c r="H27711" s="185"/>
    </row>
    <row r="27712">
      <c r="D27712" s="185"/>
      <c r="E27712" s="185" t="s">
        <v>470</v>
      </c>
      <c r="H27712" s="185"/>
    </row>
    <row r="27713">
      <c r="D27713" s="185"/>
      <c r="E27713" s="185" t="s">
        <v>470</v>
      </c>
      <c r="H27713" s="185"/>
    </row>
    <row r="27714">
      <c r="D27714" s="185"/>
      <c r="E27714" s="185" t="s">
        <v>470</v>
      </c>
      <c r="H27714" s="185"/>
    </row>
    <row r="27715">
      <c r="D27715" s="185"/>
      <c r="E27715" s="185" t="s">
        <v>470</v>
      </c>
      <c r="H27715" s="185"/>
    </row>
    <row r="27716">
      <c r="D27716" s="185"/>
      <c r="E27716" s="185" t="s">
        <v>470</v>
      </c>
      <c r="H27716" s="185"/>
    </row>
    <row r="27717">
      <c r="D27717" s="185"/>
      <c r="E27717" s="185" t="s">
        <v>470</v>
      </c>
      <c r="H27717" s="185"/>
    </row>
    <row r="27718">
      <c r="D27718" s="185"/>
      <c r="E27718" s="185" t="s">
        <v>470</v>
      </c>
      <c r="H27718" s="185"/>
    </row>
    <row r="27719">
      <c r="D27719" s="185"/>
      <c r="E27719" s="185" t="s">
        <v>470</v>
      </c>
      <c r="H27719" s="185"/>
    </row>
    <row r="27720">
      <c r="D27720" s="185"/>
      <c r="E27720" s="185" t="s">
        <v>470</v>
      </c>
      <c r="H27720" s="185"/>
    </row>
    <row r="27721">
      <c r="D27721" s="185"/>
      <c r="E27721" s="185" t="s">
        <v>470</v>
      </c>
      <c r="H27721" s="185"/>
    </row>
    <row r="27722">
      <c r="D27722" s="185"/>
      <c r="E27722" s="185" t="s">
        <v>470</v>
      </c>
      <c r="H27722" s="185"/>
    </row>
    <row r="27723">
      <c r="D27723" s="185"/>
      <c r="E27723" s="185" t="s">
        <v>470</v>
      </c>
      <c r="H27723" s="185"/>
    </row>
    <row r="27724">
      <c r="D27724" s="185"/>
      <c r="E27724" s="185" t="s">
        <v>470</v>
      </c>
      <c r="H27724" s="185"/>
    </row>
    <row r="27725">
      <c r="D27725" s="185"/>
      <c r="E27725" s="185" t="s">
        <v>470</v>
      </c>
      <c r="H27725" s="185"/>
    </row>
    <row r="27726">
      <c r="D27726" s="185"/>
      <c r="E27726" s="185" t="s">
        <v>470</v>
      </c>
      <c r="H27726" s="185"/>
    </row>
    <row r="27727">
      <c r="D27727" s="185"/>
      <c r="E27727" s="185" t="s">
        <v>470</v>
      </c>
      <c r="H27727" s="185"/>
    </row>
    <row r="27728">
      <c r="D27728" s="185"/>
      <c r="E27728" s="185" t="s">
        <v>470</v>
      </c>
      <c r="H27728" s="185"/>
    </row>
    <row r="27729">
      <c r="D27729" s="185"/>
      <c r="E27729" s="185" t="s">
        <v>470</v>
      </c>
      <c r="H27729" s="185"/>
    </row>
    <row r="27730">
      <c r="D27730" s="185"/>
      <c r="E27730" s="185" t="s">
        <v>470</v>
      </c>
      <c r="H27730" s="185"/>
    </row>
    <row r="27731">
      <c r="D27731" s="185"/>
      <c r="E27731" s="185" t="s">
        <v>470</v>
      </c>
      <c r="H27731" s="185"/>
    </row>
    <row r="27732">
      <c r="D27732" s="185"/>
      <c r="E27732" s="185" t="s">
        <v>470</v>
      </c>
      <c r="H27732" s="185"/>
    </row>
    <row r="27733">
      <c r="D27733" s="185"/>
      <c r="E27733" s="185" t="s">
        <v>470</v>
      </c>
      <c r="H27733" s="185"/>
    </row>
    <row r="27734">
      <c r="D27734" s="185"/>
      <c r="E27734" s="185" t="s">
        <v>470</v>
      </c>
      <c r="H27734" s="185"/>
    </row>
    <row r="27735">
      <c r="D27735" s="185"/>
      <c r="E27735" s="185" t="s">
        <v>470</v>
      </c>
      <c r="H27735" s="185"/>
    </row>
    <row r="27736">
      <c r="D27736" s="185"/>
      <c r="E27736" s="185" t="s">
        <v>470</v>
      </c>
      <c r="H27736" s="185"/>
    </row>
    <row r="27737">
      <c r="D27737" s="185"/>
      <c r="E27737" s="185" t="s">
        <v>470</v>
      </c>
      <c r="H27737" s="185"/>
    </row>
    <row r="27738">
      <c r="D27738" s="185"/>
      <c r="E27738" s="185" t="s">
        <v>470</v>
      </c>
      <c r="H27738" s="185"/>
    </row>
    <row r="27739">
      <c r="D27739" s="185"/>
      <c r="E27739" s="185" t="s">
        <v>470</v>
      </c>
      <c r="H27739" s="185"/>
    </row>
    <row r="27740">
      <c r="D27740" s="185"/>
      <c r="E27740" s="185" t="s">
        <v>470</v>
      </c>
      <c r="H27740" s="185"/>
    </row>
    <row r="27741">
      <c r="D27741" s="185"/>
      <c r="E27741" s="185" t="s">
        <v>470</v>
      </c>
      <c r="H27741" s="185"/>
    </row>
    <row r="27742">
      <c r="D27742" s="185"/>
      <c r="E27742" s="185" t="s">
        <v>470</v>
      </c>
      <c r="H27742" s="185"/>
    </row>
    <row r="27743">
      <c r="D27743" s="185"/>
      <c r="E27743" s="185" t="s">
        <v>470</v>
      </c>
      <c r="H27743" s="185"/>
    </row>
    <row r="27744">
      <c r="D27744" s="185"/>
      <c r="E27744" s="185" t="s">
        <v>470</v>
      </c>
      <c r="H27744" s="185"/>
    </row>
    <row r="27745">
      <c r="D27745" s="185"/>
      <c r="E27745" s="185" t="s">
        <v>470</v>
      </c>
      <c r="H27745" s="185"/>
    </row>
    <row r="27746">
      <c r="D27746" s="185"/>
      <c r="E27746" s="185" t="s">
        <v>470</v>
      </c>
      <c r="H27746" s="185"/>
    </row>
    <row r="27747">
      <c r="D27747" s="185"/>
      <c r="E27747" s="185" t="s">
        <v>470</v>
      </c>
      <c r="H27747" s="185"/>
    </row>
    <row r="27748">
      <c r="D27748" s="185"/>
      <c r="E27748" s="185" t="s">
        <v>470</v>
      </c>
      <c r="H27748" s="185"/>
    </row>
    <row r="27749">
      <c r="D27749" s="185"/>
      <c r="E27749" s="185" t="s">
        <v>470</v>
      </c>
      <c r="H27749" s="185"/>
    </row>
    <row r="27750">
      <c r="D27750" s="185"/>
      <c r="E27750" s="185" t="s">
        <v>470</v>
      </c>
      <c r="H27750" s="185"/>
    </row>
    <row r="27751">
      <c r="D27751" s="185"/>
      <c r="E27751" s="185" t="s">
        <v>470</v>
      </c>
      <c r="H27751" s="185"/>
    </row>
    <row r="27752">
      <c r="D27752" s="185"/>
      <c r="E27752" s="185" t="s">
        <v>470</v>
      </c>
      <c r="H27752" s="185"/>
    </row>
    <row r="27753">
      <c r="D27753" s="185"/>
      <c r="E27753" s="185" t="s">
        <v>470</v>
      </c>
      <c r="H27753" s="185"/>
    </row>
    <row r="27754">
      <c r="D27754" s="185"/>
      <c r="E27754" s="185" t="s">
        <v>470</v>
      </c>
      <c r="H27754" s="185"/>
    </row>
    <row r="27755">
      <c r="D27755" s="185"/>
      <c r="E27755" s="185" t="s">
        <v>470</v>
      </c>
      <c r="H27755" s="185"/>
    </row>
    <row r="27756">
      <c r="D27756" s="185"/>
      <c r="E27756" s="185" t="s">
        <v>470</v>
      </c>
      <c r="H27756" s="185"/>
    </row>
    <row r="27757">
      <c r="D27757" s="185"/>
      <c r="E27757" s="185" t="s">
        <v>470</v>
      </c>
      <c r="H27757" s="185"/>
    </row>
    <row r="27758">
      <c r="D27758" s="185"/>
      <c r="E27758" s="185" t="s">
        <v>470</v>
      </c>
      <c r="H27758" s="185"/>
    </row>
    <row r="27759">
      <c r="D27759" s="185"/>
      <c r="E27759" s="185" t="s">
        <v>470</v>
      </c>
      <c r="H27759" s="185"/>
    </row>
    <row r="27760">
      <c r="D27760" s="185"/>
      <c r="E27760" s="185" t="s">
        <v>470</v>
      </c>
      <c r="H27760" s="185"/>
    </row>
    <row r="27761">
      <c r="D27761" s="185"/>
      <c r="E27761" s="185" t="s">
        <v>470</v>
      </c>
      <c r="H27761" s="185"/>
    </row>
    <row r="27762">
      <c r="D27762" s="185"/>
      <c r="E27762" s="185" t="s">
        <v>470</v>
      </c>
      <c r="H27762" s="185"/>
    </row>
    <row r="27763">
      <c r="D27763" s="185"/>
      <c r="E27763" s="185" t="s">
        <v>470</v>
      </c>
      <c r="H27763" s="185"/>
    </row>
    <row r="27764">
      <c r="D27764" s="185"/>
      <c r="E27764" s="185" t="s">
        <v>470</v>
      </c>
      <c r="H27764" s="185"/>
    </row>
    <row r="27765">
      <c r="D27765" s="185"/>
      <c r="E27765" s="185" t="s">
        <v>470</v>
      </c>
      <c r="H27765" s="185"/>
    </row>
    <row r="27766">
      <c r="D27766" s="185"/>
      <c r="E27766" s="185" t="s">
        <v>470</v>
      </c>
      <c r="H27766" s="185"/>
    </row>
    <row r="27767">
      <c r="D27767" s="185"/>
      <c r="E27767" s="185" t="s">
        <v>470</v>
      </c>
      <c r="H27767" s="185"/>
    </row>
    <row r="27768">
      <c r="D27768" s="185"/>
      <c r="E27768" s="185" t="s">
        <v>470</v>
      </c>
      <c r="H27768" s="185"/>
    </row>
    <row r="27769">
      <c r="D27769" s="185"/>
      <c r="E27769" s="185" t="s">
        <v>470</v>
      </c>
      <c r="H27769" s="185"/>
    </row>
    <row r="27770">
      <c r="D27770" s="185"/>
      <c r="E27770" s="185" t="s">
        <v>470</v>
      </c>
      <c r="H27770" s="185"/>
    </row>
    <row r="27771">
      <c r="D27771" s="185"/>
      <c r="E27771" s="185" t="s">
        <v>470</v>
      </c>
      <c r="H27771" s="185"/>
    </row>
    <row r="27772">
      <c r="D27772" s="185"/>
      <c r="E27772" s="185" t="s">
        <v>470</v>
      </c>
      <c r="H27772" s="185"/>
    </row>
    <row r="27773">
      <c r="D27773" s="185"/>
      <c r="E27773" s="185" t="s">
        <v>470</v>
      </c>
      <c r="H27773" s="185"/>
    </row>
    <row r="27774">
      <c r="D27774" s="185"/>
      <c r="E27774" s="185" t="s">
        <v>470</v>
      </c>
      <c r="H27774" s="185"/>
    </row>
    <row r="27775">
      <c r="D27775" s="185"/>
      <c r="E27775" s="185" t="s">
        <v>470</v>
      </c>
      <c r="H27775" s="185"/>
    </row>
    <row r="27776">
      <c r="D27776" s="185"/>
      <c r="E27776" s="185" t="s">
        <v>470</v>
      </c>
      <c r="H27776" s="185"/>
    </row>
    <row r="27777">
      <c r="D27777" s="185"/>
      <c r="E27777" s="185" t="s">
        <v>470</v>
      </c>
      <c r="H27777" s="185"/>
    </row>
    <row r="27778">
      <c r="D27778" s="185"/>
      <c r="E27778" s="185" t="s">
        <v>470</v>
      </c>
      <c r="H27778" s="185"/>
    </row>
    <row r="27779">
      <c r="D27779" s="185"/>
      <c r="E27779" s="185" t="s">
        <v>470</v>
      </c>
      <c r="H27779" s="185"/>
    </row>
    <row r="27780">
      <c r="D27780" s="185"/>
      <c r="E27780" s="185" t="s">
        <v>470</v>
      </c>
      <c r="H27780" s="185"/>
    </row>
    <row r="27781">
      <c r="D27781" s="185"/>
      <c r="E27781" s="185" t="s">
        <v>470</v>
      </c>
      <c r="H27781" s="185"/>
    </row>
    <row r="27782">
      <c r="D27782" s="185"/>
      <c r="E27782" s="185" t="s">
        <v>470</v>
      </c>
      <c r="H27782" s="185"/>
    </row>
    <row r="27783">
      <c r="D27783" s="185"/>
      <c r="E27783" s="185" t="s">
        <v>470</v>
      </c>
      <c r="H27783" s="185"/>
    </row>
    <row r="27784">
      <c r="D27784" s="185"/>
      <c r="E27784" s="185" t="s">
        <v>470</v>
      </c>
      <c r="H27784" s="185"/>
    </row>
    <row r="27785">
      <c r="D27785" s="185"/>
      <c r="E27785" s="185" t="s">
        <v>470</v>
      </c>
      <c r="H27785" s="185"/>
    </row>
    <row r="27786">
      <c r="D27786" s="185"/>
      <c r="E27786" s="185" t="s">
        <v>470</v>
      </c>
      <c r="H27786" s="185"/>
    </row>
    <row r="27787">
      <c r="D27787" s="185"/>
      <c r="E27787" s="185" t="s">
        <v>470</v>
      </c>
      <c r="H27787" s="185"/>
    </row>
    <row r="27788">
      <c r="D27788" s="185"/>
      <c r="E27788" s="185" t="s">
        <v>470</v>
      </c>
      <c r="H27788" s="185"/>
    </row>
    <row r="27789">
      <c r="D27789" s="185"/>
      <c r="E27789" s="185" t="s">
        <v>470</v>
      </c>
      <c r="H27789" s="185"/>
    </row>
    <row r="27790">
      <c r="D27790" s="185"/>
      <c r="E27790" s="185" t="s">
        <v>470</v>
      </c>
      <c r="H27790" s="185"/>
    </row>
    <row r="27791">
      <c r="D27791" s="185"/>
      <c r="E27791" s="185" t="s">
        <v>470</v>
      </c>
      <c r="H27791" s="185"/>
    </row>
    <row r="27792">
      <c r="D27792" s="185"/>
      <c r="E27792" s="185" t="s">
        <v>470</v>
      </c>
      <c r="H27792" s="185"/>
    </row>
    <row r="27793">
      <c r="D27793" s="185"/>
      <c r="E27793" s="185" t="s">
        <v>470</v>
      </c>
      <c r="H27793" s="185"/>
    </row>
    <row r="27794">
      <c r="D27794" s="185"/>
      <c r="E27794" s="185" t="s">
        <v>470</v>
      </c>
      <c r="H27794" s="185"/>
    </row>
    <row r="27795">
      <c r="D27795" s="185"/>
      <c r="E27795" s="185" t="s">
        <v>470</v>
      </c>
      <c r="H27795" s="185"/>
    </row>
    <row r="27796">
      <c r="D27796" s="185"/>
      <c r="E27796" s="185" t="s">
        <v>470</v>
      </c>
      <c r="H27796" s="185"/>
    </row>
    <row r="27797">
      <c r="D27797" s="185"/>
      <c r="E27797" s="185" t="s">
        <v>470</v>
      </c>
      <c r="H27797" s="185"/>
    </row>
    <row r="27798">
      <c r="D27798" s="185"/>
      <c r="E27798" s="185" t="s">
        <v>470</v>
      </c>
      <c r="H27798" s="185"/>
    </row>
    <row r="27799">
      <c r="D27799" s="185"/>
      <c r="E27799" s="185" t="s">
        <v>470</v>
      </c>
      <c r="H27799" s="185"/>
    </row>
    <row r="27800">
      <c r="D27800" s="185"/>
      <c r="E27800" s="185" t="s">
        <v>470</v>
      </c>
      <c r="H27800" s="185"/>
    </row>
    <row r="27801">
      <c r="D27801" s="185"/>
      <c r="E27801" s="185" t="s">
        <v>470</v>
      </c>
      <c r="H27801" s="185"/>
    </row>
    <row r="27802">
      <c r="D27802" s="185"/>
      <c r="E27802" s="185" t="s">
        <v>470</v>
      </c>
      <c r="H27802" s="185"/>
    </row>
    <row r="27803">
      <c r="D27803" s="185"/>
      <c r="E27803" s="185" t="s">
        <v>470</v>
      </c>
      <c r="H27803" s="185"/>
    </row>
    <row r="27804">
      <c r="D27804" s="185"/>
      <c r="E27804" s="185" t="s">
        <v>470</v>
      </c>
      <c r="H27804" s="185"/>
    </row>
    <row r="27805">
      <c r="D27805" s="185"/>
      <c r="E27805" s="185" t="s">
        <v>470</v>
      </c>
      <c r="H27805" s="185"/>
    </row>
    <row r="27806">
      <c r="D27806" s="185"/>
      <c r="E27806" s="185" t="s">
        <v>470</v>
      </c>
      <c r="H27806" s="185"/>
    </row>
    <row r="27807">
      <c r="D27807" s="185"/>
      <c r="E27807" s="185" t="s">
        <v>470</v>
      </c>
      <c r="H27807" s="185"/>
    </row>
    <row r="27808">
      <c r="D27808" s="185"/>
      <c r="E27808" s="185" t="s">
        <v>470</v>
      </c>
      <c r="H27808" s="185"/>
    </row>
    <row r="27809">
      <c r="D27809" s="185"/>
      <c r="E27809" s="185" t="s">
        <v>470</v>
      </c>
      <c r="H27809" s="185"/>
    </row>
    <row r="27810">
      <c r="D27810" s="185"/>
      <c r="E27810" s="185" t="s">
        <v>470</v>
      </c>
      <c r="H27810" s="185"/>
    </row>
    <row r="27811">
      <c r="D27811" s="185"/>
      <c r="E27811" s="185" t="s">
        <v>470</v>
      </c>
      <c r="H27811" s="185"/>
    </row>
    <row r="27812">
      <c r="D27812" s="185"/>
      <c r="E27812" s="185" t="s">
        <v>470</v>
      </c>
      <c r="H27812" s="185"/>
    </row>
    <row r="27813">
      <c r="D27813" s="185"/>
      <c r="E27813" s="185" t="s">
        <v>470</v>
      </c>
      <c r="H27813" s="185"/>
    </row>
    <row r="27814">
      <c r="D27814" s="185"/>
      <c r="E27814" s="185" t="s">
        <v>470</v>
      </c>
      <c r="H27814" s="185"/>
    </row>
    <row r="27815">
      <c r="D27815" s="185"/>
      <c r="E27815" s="185" t="s">
        <v>470</v>
      </c>
      <c r="H27815" s="185"/>
    </row>
    <row r="27816">
      <c r="D27816" s="185"/>
      <c r="E27816" s="185" t="s">
        <v>470</v>
      </c>
      <c r="H27816" s="185"/>
    </row>
    <row r="27817">
      <c r="D27817" s="185"/>
      <c r="E27817" s="185" t="s">
        <v>470</v>
      </c>
      <c r="H27817" s="185"/>
    </row>
    <row r="27818">
      <c r="D27818" s="185"/>
      <c r="E27818" s="185" t="s">
        <v>470</v>
      </c>
      <c r="H27818" s="185"/>
    </row>
    <row r="27819">
      <c r="D27819" s="185"/>
      <c r="E27819" s="185" t="s">
        <v>470</v>
      </c>
      <c r="H27819" s="185"/>
    </row>
    <row r="27820">
      <c r="D27820" s="185"/>
      <c r="E27820" s="185" t="s">
        <v>470</v>
      </c>
      <c r="H27820" s="185"/>
    </row>
    <row r="27821">
      <c r="D27821" s="185"/>
      <c r="E27821" s="185" t="s">
        <v>470</v>
      </c>
      <c r="H27821" s="185"/>
    </row>
    <row r="27822">
      <c r="D27822" s="185"/>
      <c r="E27822" s="185" t="s">
        <v>470</v>
      </c>
      <c r="H27822" s="185"/>
    </row>
    <row r="27823">
      <c r="D27823" s="185"/>
      <c r="E27823" s="185" t="s">
        <v>470</v>
      </c>
      <c r="H27823" s="185"/>
    </row>
    <row r="27824">
      <c r="D27824" s="185"/>
      <c r="E27824" s="185" t="s">
        <v>470</v>
      </c>
      <c r="H27824" s="185"/>
    </row>
    <row r="27825">
      <c r="D27825" s="185"/>
      <c r="E27825" s="185" t="s">
        <v>470</v>
      </c>
      <c r="H27825" s="185"/>
    </row>
    <row r="27826">
      <c r="D27826" s="185"/>
      <c r="E27826" s="185" t="s">
        <v>470</v>
      </c>
      <c r="H27826" s="185"/>
    </row>
    <row r="27827">
      <c r="D27827" s="185"/>
      <c r="E27827" s="185" t="s">
        <v>470</v>
      </c>
      <c r="H27827" s="185"/>
    </row>
    <row r="27828">
      <c r="D27828" s="185"/>
      <c r="E27828" s="185" t="s">
        <v>470</v>
      </c>
      <c r="H27828" s="185"/>
    </row>
    <row r="27829">
      <c r="D27829" s="185"/>
      <c r="E27829" s="185" t="s">
        <v>470</v>
      </c>
      <c r="H27829" s="185"/>
    </row>
    <row r="27830">
      <c r="D27830" s="185"/>
      <c r="E27830" s="185" t="s">
        <v>470</v>
      </c>
      <c r="H27830" s="185"/>
    </row>
    <row r="27831">
      <c r="D27831" s="185"/>
      <c r="E27831" s="185" t="s">
        <v>470</v>
      </c>
      <c r="H27831" s="185"/>
    </row>
    <row r="27832">
      <c r="D27832" s="185"/>
      <c r="E27832" s="185" t="s">
        <v>470</v>
      </c>
      <c r="H27832" s="185"/>
    </row>
    <row r="27833">
      <c r="D27833" s="185"/>
      <c r="E27833" s="185" t="s">
        <v>470</v>
      </c>
      <c r="H27833" s="185"/>
    </row>
    <row r="27834">
      <c r="D27834" s="185"/>
      <c r="E27834" s="185" t="s">
        <v>470</v>
      </c>
      <c r="H27834" s="185"/>
    </row>
    <row r="27835">
      <c r="D27835" s="185"/>
      <c r="E27835" s="185" t="s">
        <v>470</v>
      </c>
      <c r="H27835" s="185"/>
    </row>
    <row r="27836">
      <c r="D27836" s="185"/>
      <c r="E27836" s="185" t="s">
        <v>470</v>
      </c>
      <c r="H27836" s="185"/>
    </row>
    <row r="27837">
      <c r="D27837" s="185"/>
      <c r="E27837" s="185" t="s">
        <v>470</v>
      </c>
      <c r="H27837" s="185"/>
    </row>
    <row r="27838">
      <c r="D27838" s="185"/>
      <c r="E27838" s="185" t="s">
        <v>470</v>
      </c>
      <c r="H27838" s="185"/>
    </row>
    <row r="27839">
      <c r="D27839" s="185"/>
      <c r="E27839" s="185" t="s">
        <v>470</v>
      </c>
      <c r="H27839" s="185"/>
    </row>
    <row r="27840">
      <c r="D27840" s="185"/>
      <c r="E27840" s="185" t="s">
        <v>470</v>
      </c>
      <c r="H27840" s="185"/>
    </row>
    <row r="27841">
      <c r="D27841" s="185"/>
      <c r="E27841" s="185" t="s">
        <v>470</v>
      </c>
      <c r="H27841" s="185"/>
    </row>
    <row r="27842">
      <c r="D27842" s="185"/>
      <c r="E27842" s="185" t="s">
        <v>470</v>
      </c>
      <c r="H27842" s="185"/>
    </row>
    <row r="27843">
      <c r="D27843" s="185"/>
      <c r="E27843" s="185" t="s">
        <v>470</v>
      </c>
      <c r="H27843" s="185"/>
    </row>
    <row r="27844">
      <c r="D27844" s="185"/>
      <c r="E27844" s="185" t="s">
        <v>470</v>
      </c>
      <c r="H27844" s="185"/>
    </row>
    <row r="27845">
      <c r="D27845" s="185"/>
      <c r="E27845" s="185" t="s">
        <v>470</v>
      </c>
      <c r="H27845" s="185"/>
    </row>
    <row r="27846">
      <c r="D27846" s="185"/>
      <c r="E27846" s="185" t="s">
        <v>470</v>
      </c>
      <c r="H27846" s="185"/>
    </row>
    <row r="27847">
      <c r="D27847" s="185"/>
      <c r="E27847" s="185" t="s">
        <v>470</v>
      </c>
      <c r="H27847" s="185"/>
    </row>
    <row r="27848">
      <c r="D27848" s="185"/>
      <c r="E27848" s="185" t="s">
        <v>470</v>
      </c>
      <c r="H27848" s="185"/>
    </row>
    <row r="27849">
      <c r="D27849" s="185"/>
      <c r="E27849" s="185" t="s">
        <v>470</v>
      </c>
      <c r="H27849" s="185"/>
    </row>
    <row r="27850">
      <c r="D27850" s="185"/>
      <c r="E27850" s="185" t="s">
        <v>470</v>
      </c>
      <c r="H27850" s="185"/>
    </row>
    <row r="27851">
      <c r="D27851" s="185"/>
      <c r="E27851" s="185" t="s">
        <v>470</v>
      </c>
      <c r="H27851" s="185"/>
    </row>
    <row r="27852">
      <c r="D27852" s="185"/>
      <c r="E27852" s="185" t="s">
        <v>470</v>
      </c>
      <c r="H27852" s="185"/>
    </row>
    <row r="27853">
      <c r="D27853" s="185"/>
      <c r="E27853" s="185" t="s">
        <v>470</v>
      </c>
      <c r="H27853" s="185"/>
    </row>
    <row r="27854">
      <c r="D27854" s="185"/>
      <c r="E27854" s="185" t="s">
        <v>470</v>
      </c>
      <c r="H27854" s="185"/>
    </row>
    <row r="27855">
      <c r="D27855" s="185"/>
      <c r="E27855" s="185" t="s">
        <v>470</v>
      </c>
      <c r="H27855" s="185"/>
    </row>
    <row r="27856">
      <c r="D27856" s="185"/>
      <c r="E27856" s="185" t="s">
        <v>470</v>
      </c>
      <c r="H27856" s="185"/>
    </row>
    <row r="27857">
      <c r="D27857" s="185"/>
      <c r="E27857" s="185" t="s">
        <v>470</v>
      </c>
      <c r="H27857" s="185"/>
    </row>
    <row r="27858">
      <c r="D27858" s="185"/>
      <c r="E27858" s="185" t="s">
        <v>470</v>
      </c>
      <c r="H27858" s="185"/>
    </row>
    <row r="27859">
      <c r="D27859" s="185"/>
      <c r="E27859" s="185" t="s">
        <v>470</v>
      </c>
      <c r="H27859" s="185"/>
    </row>
    <row r="27860">
      <c r="D27860" s="185"/>
      <c r="E27860" s="185" t="s">
        <v>470</v>
      </c>
      <c r="H27860" s="185"/>
    </row>
    <row r="27861">
      <c r="D27861" s="185"/>
      <c r="E27861" s="185" t="s">
        <v>470</v>
      </c>
      <c r="H27861" s="185"/>
    </row>
    <row r="27862">
      <c r="D27862" s="185"/>
      <c r="E27862" s="185" t="s">
        <v>470</v>
      </c>
      <c r="H27862" s="185"/>
    </row>
    <row r="27863">
      <c r="D27863" s="185"/>
      <c r="E27863" s="185" t="s">
        <v>470</v>
      </c>
      <c r="H27863" s="185"/>
    </row>
    <row r="27864">
      <c r="D27864" s="185"/>
      <c r="E27864" s="185" t="s">
        <v>470</v>
      </c>
      <c r="H27864" s="185"/>
    </row>
    <row r="27865">
      <c r="D27865" s="185"/>
      <c r="E27865" s="185" t="s">
        <v>470</v>
      </c>
      <c r="H27865" s="185"/>
    </row>
    <row r="27866">
      <c r="D27866" s="185"/>
      <c r="E27866" s="185" t="s">
        <v>470</v>
      </c>
      <c r="H27866" s="185"/>
    </row>
    <row r="27867">
      <c r="D27867" s="185"/>
      <c r="E27867" s="185" t="s">
        <v>470</v>
      </c>
      <c r="H27867" s="185"/>
    </row>
    <row r="27868">
      <c r="D27868" s="185"/>
      <c r="E27868" s="185" t="s">
        <v>470</v>
      </c>
      <c r="H27868" s="185"/>
    </row>
    <row r="27869">
      <c r="D27869" s="185"/>
      <c r="E27869" s="185" t="s">
        <v>470</v>
      </c>
      <c r="H27869" s="185"/>
    </row>
    <row r="27870">
      <c r="D27870" s="185"/>
      <c r="E27870" s="185" t="s">
        <v>470</v>
      </c>
      <c r="H27870" s="185"/>
    </row>
    <row r="27871">
      <c r="D27871" s="185"/>
      <c r="E27871" s="185" t="s">
        <v>470</v>
      </c>
      <c r="H27871" s="185"/>
    </row>
    <row r="27872">
      <c r="D27872" s="185"/>
      <c r="E27872" s="185" t="s">
        <v>470</v>
      </c>
      <c r="H27872" s="185"/>
    </row>
    <row r="27873">
      <c r="D27873" s="185"/>
      <c r="E27873" s="185" t="s">
        <v>470</v>
      </c>
      <c r="H27873" s="185"/>
    </row>
    <row r="27874">
      <c r="D27874" s="185"/>
      <c r="E27874" s="185" t="s">
        <v>470</v>
      </c>
      <c r="H27874" s="185"/>
    </row>
    <row r="27875">
      <c r="D27875" s="185"/>
      <c r="E27875" s="185" t="s">
        <v>470</v>
      </c>
      <c r="H27875" s="185"/>
    </row>
    <row r="27876">
      <c r="D27876" s="185"/>
      <c r="E27876" s="185" t="s">
        <v>470</v>
      </c>
      <c r="H27876" s="185"/>
    </row>
    <row r="27877">
      <c r="D27877" s="185"/>
      <c r="E27877" s="185" t="s">
        <v>470</v>
      </c>
      <c r="H27877" s="185"/>
    </row>
    <row r="27878">
      <c r="D27878" s="185"/>
      <c r="E27878" s="185" t="s">
        <v>470</v>
      </c>
      <c r="H27878" s="185"/>
    </row>
    <row r="27879">
      <c r="D27879" s="185"/>
      <c r="E27879" s="185" t="s">
        <v>470</v>
      </c>
      <c r="H27879" s="185"/>
    </row>
    <row r="27880">
      <c r="D27880" s="185"/>
      <c r="E27880" s="185" t="s">
        <v>470</v>
      </c>
      <c r="H27880" s="185"/>
    </row>
    <row r="27881">
      <c r="D27881" s="185"/>
      <c r="E27881" s="185" t="s">
        <v>470</v>
      </c>
      <c r="H27881" s="185"/>
    </row>
    <row r="27882">
      <c r="D27882" s="185"/>
      <c r="E27882" s="185" t="s">
        <v>470</v>
      </c>
      <c r="H27882" s="185"/>
    </row>
    <row r="27883">
      <c r="D27883" s="185"/>
      <c r="E27883" s="185" t="s">
        <v>470</v>
      </c>
      <c r="H27883" s="185"/>
    </row>
    <row r="27884">
      <c r="D27884" s="185"/>
      <c r="E27884" s="185" t="s">
        <v>470</v>
      </c>
      <c r="H27884" s="185"/>
    </row>
    <row r="27885">
      <c r="D27885" s="185"/>
      <c r="E27885" s="185" t="s">
        <v>470</v>
      </c>
      <c r="H27885" s="185"/>
    </row>
    <row r="27886">
      <c r="D27886" s="185"/>
      <c r="E27886" s="185" t="s">
        <v>470</v>
      </c>
      <c r="H27886" s="185"/>
    </row>
    <row r="27887">
      <c r="D27887" s="185"/>
      <c r="E27887" s="185" t="s">
        <v>470</v>
      </c>
      <c r="H27887" s="185"/>
    </row>
    <row r="27888">
      <c r="D27888" s="185"/>
      <c r="E27888" s="185" t="s">
        <v>470</v>
      </c>
      <c r="H27888" s="185"/>
    </row>
    <row r="27889">
      <c r="D27889" s="185"/>
      <c r="E27889" s="185" t="s">
        <v>470</v>
      </c>
      <c r="H27889" s="185"/>
    </row>
    <row r="27890">
      <c r="D27890" s="185"/>
      <c r="E27890" s="185" t="s">
        <v>470</v>
      </c>
      <c r="H27890" s="185"/>
    </row>
    <row r="27891">
      <c r="D27891" s="185"/>
      <c r="E27891" s="185" t="s">
        <v>470</v>
      </c>
      <c r="H27891" s="185"/>
    </row>
    <row r="27892">
      <c r="D27892" s="185"/>
      <c r="E27892" s="185" t="s">
        <v>470</v>
      </c>
      <c r="H27892" s="185"/>
    </row>
    <row r="27893">
      <c r="D27893" s="185"/>
      <c r="E27893" s="185" t="s">
        <v>470</v>
      </c>
      <c r="H27893" s="185"/>
    </row>
    <row r="27894">
      <c r="D27894" s="185"/>
      <c r="E27894" s="185" t="s">
        <v>470</v>
      </c>
      <c r="H27894" s="185"/>
    </row>
    <row r="27895">
      <c r="D27895" s="185"/>
      <c r="E27895" s="185" t="s">
        <v>470</v>
      </c>
      <c r="H27895" s="185"/>
    </row>
    <row r="27896">
      <c r="D27896" s="185"/>
      <c r="E27896" s="185" t="s">
        <v>470</v>
      </c>
      <c r="H27896" s="185"/>
    </row>
    <row r="27897">
      <c r="D27897" s="185"/>
      <c r="E27897" s="185" t="s">
        <v>470</v>
      </c>
      <c r="H27897" s="185"/>
    </row>
    <row r="27898">
      <c r="D27898" s="185"/>
      <c r="E27898" s="185" t="s">
        <v>470</v>
      </c>
      <c r="H27898" s="185"/>
    </row>
    <row r="27899">
      <c r="D27899" s="185"/>
      <c r="E27899" s="185" t="s">
        <v>470</v>
      </c>
      <c r="H27899" s="185"/>
    </row>
    <row r="27900">
      <c r="D27900" s="185"/>
      <c r="E27900" s="185" t="s">
        <v>470</v>
      </c>
      <c r="H27900" s="185"/>
    </row>
    <row r="27901">
      <c r="D27901" s="185"/>
      <c r="E27901" s="185" t="s">
        <v>470</v>
      </c>
      <c r="H27901" s="185"/>
    </row>
    <row r="27902">
      <c r="D27902" s="185"/>
      <c r="E27902" s="185" t="s">
        <v>470</v>
      </c>
      <c r="H27902" s="185"/>
    </row>
    <row r="27903">
      <c r="D27903" s="185"/>
      <c r="E27903" s="185" t="s">
        <v>470</v>
      </c>
      <c r="H27903" s="185"/>
    </row>
    <row r="27904">
      <c r="D27904" s="185"/>
      <c r="E27904" s="185" t="s">
        <v>470</v>
      </c>
      <c r="H27904" s="185"/>
    </row>
    <row r="27905">
      <c r="D27905" s="185"/>
      <c r="E27905" s="185" t="s">
        <v>470</v>
      </c>
      <c r="H27905" s="185"/>
    </row>
    <row r="27906">
      <c r="D27906" s="185"/>
      <c r="E27906" s="185" t="s">
        <v>470</v>
      </c>
      <c r="H27906" s="185"/>
    </row>
    <row r="27907">
      <c r="D27907" s="185"/>
      <c r="E27907" s="185" t="s">
        <v>470</v>
      </c>
      <c r="H27907" s="185"/>
    </row>
    <row r="27908">
      <c r="D27908" s="185"/>
      <c r="E27908" s="185" t="s">
        <v>470</v>
      </c>
      <c r="H27908" s="185"/>
    </row>
    <row r="27909">
      <c r="D27909" s="185"/>
      <c r="E27909" s="185" t="s">
        <v>470</v>
      </c>
      <c r="H27909" s="185"/>
    </row>
    <row r="27910">
      <c r="D27910" s="185"/>
      <c r="E27910" s="185" t="s">
        <v>470</v>
      </c>
      <c r="H27910" s="185"/>
    </row>
    <row r="27911">
      <c r="D27911" s="185"/>
      <c r="E27911" s="185" t="s">
        <v>470</v>
      </c>
      <c r="H27911" s="185"/>
    </row>
    <row r="27912">
      <c r="D27912" s="185"/>
      <c r="E27912" s="185" t="s">
        <v>470</v>
      </c>
      <c r="H27912" s="185"/>
    </row>
    <row r="27913">
      <c r="D27913" s="185"/>
      <c r="E27913" s="185" t="s">
        <v>470</v>
      </c>
      <c r="H27913" s="185"/>
    </row>
    <row r="27914">
      <c r="D27914" s="185"/>
      <c r="E27914" s="185" t="s">
        <v>470</v>
      </c>
      <c r="H27914" s="185"/>
    </row>
    <row r="27915">
      <c r="D27915" s="185"/>
      <c r="E27915" s="185" t="s">
        <v>470</v>
      </c>
      <c r="H27915" s="185"/>
    </row>
    <row r="27916">
      <c r="D27916" s="185"/>
      <c r="E27916" s="185" t="s">
        <v>470</v>
      </c>
      <c r="H27916" s="185"/>
    </row>
    <row r="27917">
      <c r="D27917" s="185"/>
      <c r="E27917" s="185" t="s">
        <v>470</v>
      </c>
      <c r="H27917" s="185"/>
    </row>
    <row r="27918">
      <c r="D27918" s="185"/>
      <c r="E27918" s="185" t="s">
        <v>470</v>
      </c>
      <c r="H27918" s="185"/>
    </row>
    <row r="27919">
      <c r="D27919" s="185"/>
      <c r="E27919" s="185" t="s">
        <v>470</v>
      </c>
      <c r="H27919" s="185"/>
    </row>
    <row r="27920">
      <c r="D27920" s="185"/>
      <c r="E27920" s="185" t="s">
        <v>470</v>
      </c>
      <c r="H27920" s="185"/>
    </row>
    <row r="27921">
      <c r="D27921" s="185"/>
      <c r="E27921" s="185" t="s">
        <v>470</v>
      </c>
      <c r="H27921" s="185"/>
    </row>
    <row r="27922">
      <c r="D27922" s="185"/>
      <c r="E27922" s="185" t="s">
        <v>470</v>
      </c>
      <c r="H27922" s="185"/>
    </row>
    <row r="27923">
      <c r="D27923" s="185"/>
      <c r="E27923" s="185" t="s">
        <v>470</v>
      </c>
      <c r="H27923" s="185"/>
    </row>
    <row r="27924">
      <c r="D27924" s="185"/>
      <c r="E27924" s="185" t="s">
        <v>470</v>
      </c>
      <c r="H27924" s="185"/>
    </row>
    <row r="27925">
      <c r="D27925" s="185"/>
      <c r="E27925" s="185" t="s">
        <v>470</v>
      </c>
      <c r="H27925" s="185"/>
    </row>
    <row r="27926">
      <c r="D27926" s="185"/>
      <c r="E27926" s="185" t="s">
        <v>470</v>
      </c>
      <c r="H27926" s="185"/>
    </row>
    <row r="27927">
      <c r="D27927" s="185"/>
      <c r="E27927" s="185" t="s">
        <v>470</v>
      </c>
      <c r="H27927" s="185"/>
    </row>
    <row r="27928">
      <c r="D27928" s="185"/>
      <c r="E27928" s="185" t="s">
        <v>470</v>
      </c>
      <c r="H27928" s="185"/>
    </row>
    <row r="27929">
      <c r="D27929" s="185"/>
      <c r="E27929" s="185" t="s">
        <v>470</v>
      </c>
      <c r="H27929" s="185"/>
    </row>
    <row r="27930">
      <c r="D27930" s="185"/>
      <c r="E27930" s="185" t="s">
        <v>470</v>
      </c>
      <c r="H27930" s="185"/>
    </row>
    <row r="27931">
      <c r="D27931" s="185"/>
      <c r="E27931" s="185" t="s">
        <v>470</v>
      </c>
      <c r="H27931" s="185"/>
    </row>
    <row r="27932">
      <c r="D27932" s="185"/>
      <c r="E27932" s="185" t="s">
        <v>470</v>
      </c>
      <c r="H27932" s="185"/>
    </row>
    <row r="27933">
      <c r="D27933" s="185"/>
      <c r="E27933" s="185" t="s">
        <v>470</v>
      </c>
      <c r="H27933" s="185"/>
    </row>
    <row r="27934">
      <c r="D27934" s="185"/>
      <c r="E27934" s="185" t="s">
        <v>470</v>
      </c>
      <c r="H27934" s="185"/>
    </row>
    <row r="27935">
      <c r="D27935" s="185"/>
      <c r="E27935" s="185" t="s">
        <v>470</v>
      </c>
      <c r="H27935" s="185"/>
    </row>
    <row r="27936">
      <c r="D27936" s="185"/>
      <c r="E27936" s="185" t="s">
        <v>470</v>
      </c>
      <c r="H27936" s="185"/>
    </row>
    <row r="27937">
      <c r="D27937" s="185"/>
      <c r="E27937" s="185" t="s">
        <v>470</v>
      </c>
      <c r="H27937" s="185"/>
    </row>
    <row r="27938">
      <c r="D27938" s="185"/>
      <c r="E27938" s="185" t="s">
        <v>470</v>
      </c>
      <c r="H27938" s="185"/>
    </row>
    <row r="27939">
      <c r="D27939" s="185"/>
      <c r="E27939" s="185" t="s">
        <v>470</v>
      </c>
      <c r="H27939" s="185"/>
    </row>
    <row r="27940">
      <c r="D27940" s="185"/>
      <c r="E27940" s="185" t="s">
        <v>470</v>
      </c>
      <c r="H27940" s="185"/>
    </row>
    <row r="27941">
      <c r="D27941" s="185"/>
      <c r="E27941" s="185" t="s">
        <v>470</v>
      </c>
      <c r="H27941" s="185"/>
    </row>
    <row r="27942">
      <c r="D27942" s="185"/>
      <c r="E27942" s="185" t="s">
        <v>470</v>
      </c>
      <c r="H27942" s="185"/>
    </row>
    <row r="27943">
      <c r="D27943" s="185"/>
      <c r="E27943" s="185" t="s">
        <v>470</v>
      </c>
      <c r="H27943" s="185"/>
    </row>
    <row r="27944">
      <c r="D27944" s="185"/>
      <c r="E27944" s="185" t="s">
        <v>470</v>
      </c>
      <c r="H27944" s="185"/>
    </row>
    <row r="27945">
      <c r="D27945" s="185"/>
      <c r="E27945" s="185" t="s">
        <v>470</v>
      </c>
      <c r="H27945" s="185"/>
    </row>
    <row r="27946">
      <c r="D27946" s="185"/>
      <c r="E27946" s="185" t="s">
        <v>470</v>
      </c>
      <c r="H27946" s="185"/>
    </row>
    <row r="27947">
      <c r="D27947" s="185"/>
      <c r="E27947" s="185" t="s">
        <v>470</v>
      </c>
      <c r="H27947" s="185"/>
    </row>
    <row r="27948">
      <c r="D27948" s="185"/>
      <c r="E27948" s="185" t="s">
        <v>470</v>
      </c>
      <c r="H27948" s="185"/>
    </row>
    <row r="27949">
      <c r="D27949" s="185"/>
      <c r="E27949" s="185" t="s">
        <v>470</v>
      </c>
      <c r="H27949" s="185"/>
    </row>
    <row r="27950">
      <c r="D27950" s="185"/>
      <c r="E27950" s="185" t="s">
        <v>470</v>
      </c>
      <c r="H27950" s="185"/>
    </row>
    <row r="27951">
      <c r="D27951" s="185"/>
      <c r="E27951" s="185" t="s">
        <v>470</v>
      </c>
      <c r="H27951" s="185"/>
    </row>
    <row r="27952">
      <c r="D27952" s="185"/>
      <c r="E27952" s="185" t="s">
        <v>470</v>
      </c>
      <c r="H27952" s="185"/>
    </row>
    <row r="27953">
      <c r="D27953" s="185"/>
      <c r="E27953" s="185" t="s">
        <v>470</v>
      </c>
      <c r="H27953" s="185"/>
    </row>
    <row r="27954">
      <c r="D27954" s="185"/>
      <c r="E27954" s="185" t="s">
        <v>470</v>
      </c>
      <c r="H27954" s="185"/>
    </row>
    <row r="27955">
      <c r="D27955" s="185"/>
      <c r="E27955" s="185" t="s">
        <v>470</v>
      </c>
      <c r="H27955" s="185"/>
    </row>
    <row r="27956">
      <c r="D27956" s="185"/>
      <c r="E27956" s="185" t="s">
        <v>470</v>
      </c>
      <c r="H27956" s="185"/>
    </row>
    <row r="27957">
      <c r="D27957" s="185"/>
      <c r="E27957" s="185" t="s">
        <v>470</v>
      </c>
      <c r="H27957" s="185"/>
    </row>
    <row r="27958">
      <c r="D27958" s="185"/>
      <c r="E27958" s="185" t="s">
        <v>470</v>
      </c>
      <c r="H27958" s="185"/>
    </row>
    <row r="27959">
      <c r="D27959" s="185"/>
      <c r="E27959" s="185" t="s">
        <v>470</v>
      </c>
      <c r="H27959" s="185"/>
    </row>
    <row r="27960">
      <c r="D27960" s="185"/>
      <c r="E27960" s="185" t="s">
        <v>470</v>
      </c>
      <c r="H27960" s="185"/>
    </row>
    <row r="27961">
      <c r="D27961" s="185"/>
      <c r="E27961" s="185" t="s">
        <v>470</v>
      </c>
      <c r="H27961" s="185"/>
    </row>
    <row r="27962">
      <c r="D27962" s="185"/>
      <c r="E27962" s="185" t="s">
        <v>470</v>
      </c>
      <c r="H27962" s="185"/>
    </row>
    <row r="27963">
      <c r="D27963" s="185"/>
      <c r="E27963" s="185" t="s">
        <v>470</v>
      </c>
      <c r="H27963" s="185"/>
    </row>
    <row r="27964">
      <c r="D27964" s="185"/>
      <c r="E27964" s="185" t="s">
        <v>470</v>
      </c>
      <c r="H27964" s="185"/>
    </row>
    <row r="27965">
      <c r="D27965" s="185"/>
      <c r="E27965" s="185" t="s">
        <v>470</v>
      </c>
      <c r="H27965" s="185"/>
    </row>
    <row r="27966">
      <c r="D27966" s="185"/>
      <c r="E27966" s="185" t="s">
        <v>470</v>
      </c>
      <c r="H27966" s="185"/>
    </row>
    <row r="27967">
      <c r="D27967" s="185"/>
      <c r="E27967" s="185" t="s">
        <v>470</v>
      </c>
      <c r="H27967" s="185"/>
    </row>
    <row r="27968">
      <c r="D27968" s="185"/>
      <c r="E27968" s="185" t="s">
        <v>470</v>
      </c>
      <c r="H27968" s="185"/>
    </row>
    <row r="27969">
      <c r="D27969" s="185"/>
      <c r="E27969" s="185" t="s">
        <v>470</v>
      </c>
      <c r="H27969" s="185"/>
    </row>
    <row r="27970">
      <c r="D27970" s="185"/>
      <c r="E27970" s="185" t="s">
        <v>470</v>
      </c>
      <c r="H27970" s="185"/>
    </row>
    <row r="27971">
      <c r="D27971" s="185"/>
      <c r="E27971" s="185" t="s">
        <v>470</v>
      </c>
      <c r="H27971" s="185"/>
    </row>
    <row r="27972">
      <c r="D27972" s="185"/>
      <c r="E27972" s="185" t="s">
        <v>470</v>
      </c>
      <c r="H27972" s="185"/>
    </row>
    <row r="27973">
      <c r="D27973" s="185"/>
      <c r="E27973" s="185" t="s">
        <v>470</v>
      </c>
      <c r="H27973" s="185"/>
    </row>
    <row r="27974">
      <c r="D27974" s="185"/>
      <c r="E27974" s="185" t="s">
        <v>470</v>
      </c>
      <c r="H27974" s="185"/>
    </row>
    <row r="27975">
      <c r="D27975" s="185"/>
      <c r="E27975" s="185" t="s">
        <v>470</v>
      </c>
      <c r="H27975" s="185"/>
    </row>
    <row r="27976">
      <c r="D27976" s="185"/>
      <c r="E27976" s="185" t="s">
        <v>470</v>
      </c>
      <c r="H27976" s="185"/>
    </row>
    <row r="27977">
      <c r="D27977" s="185"/>
      <c r="E27977" s="185" t="s">
        <v>470</v>
      </c>
      <c r="H27977" s="185"/>
    </row>
    <row r="27978">
      <c r="D27978" s="185"/>
      <c r="E27978" s="185" t="s">
        <v>470</v>
      </c>
      <c r="H27978" s="185"/>
    </row>
    <row r="27979">
      <c r="D27979" s="185"/>
      <c r="E27979" s="185" t="s">
        <v>470</v>
      </c>
      <c r="H27979" s="185"/>
    </row>
    <row r="27980">
      <c r="D27980" s="185"/>
      <c r="E27980" s="185" t="s">
        <v>470</v>
      </c>
      <c r="H27980" s="185"/>
    </row>
    <row r="27981">
      <c r="D27981" s="185"/>
      <c r="E27981" s="185" t="s">
        <v>470</v>
      </c>
      <c r="H27981" s="185"/>
    </row>
    <row r="27982">
      <c r="D27982" s="185"/>
      <c r="E27982" s="185" t="s">
        <v>470</v>
      </c>
      <c r="H27982" s="185"/>
    </row>
    <row r="27983">
      <c r="D27983" s="185"/>
      <c r="E27983" s="185" t="s">
        <v>470</v>
      </c>
      <c r="H27983" s="185"/>
    </row>
    <row r="27984">
      <c r="D27984" s="185"/>
      <c r="E27984" s="185" t="s">
        <v>470</v>
      </c>
      <c r="H27984" s="185"/>
    </row>
    <row r="27985">
      <c r="D27985" s="185"/>
      <c r="E27985" s="185" t="s">
        <v>470</v>
      </c>
      <c r="H27985" s="185"/>
    </row>
    <row r="27986">
      <c r="D27986" s="185"/>
      <c r="E27986" s="185" t="s">
        <v>470</v>
      </c>
      <c r="H27986" s="185"/>
    </row>
    <row r="27987">
      <c r="D27987" s="185"/>
      <c r="E27987" s="185" t="s">
        <v>470</v>
      </c>
      <c r="H27987" s="185"/>
    </row>
    <row r="27988">
      <c r="D27988" s="185"/>
      <c r="E27988" s="185" t="s">
        <v>470</v>
      </c>
      <c r="H27988" s="185"/>
    </row>
    <row r="27989">
      <c r="D27989" s="185"/>
      <c r="E27989" s="185" t="s">
        <v>470</v>
      </c>
      <c r="H27989" s="185"/>
    </row>
    <row r="27990">
      <c r="D27990" s="185"/>
      <c r="E27990" s="185" t="s">
        <v>470</v>
      </c>
      <c r="H27990" s="185"/>
    </row>
    <row r="27991">
      <c r="D27991" s="185"/>
      <c r="E27991" s="185" t="s">
        <v>470</v>
      </c>
      <c r="H27991" s="185"/>
    </row>
    <row r="27992">
      <c r="D27992" s="185"/>
      <c r="E27992" s="185" t="s">
        <v>470</v>
      </c>
      <c r="H27992" s="185"/>
    </row>
    <row r="27993">
      <c r="D27993" s="185"/>
      <c r="E27993" s="185" t="s">
        <v>470</v>
      </c>
      <c r="H27993" s="185"/>
    </row>
    <row r="27994">
      <c r="D27994" s="185"/>
      <c r="E27994" s="185" t="s">
        <v>470</v>
      </c>
      <c r="H27994" s="185"/>
    </row>
    <row r="27995">
      <c r="D27995" s="185"/>
      <c r="E27995" s="185" t="s">
        <v>470</v>
      </c>
      <c r="H27995" s="185"/>
    </row>
    <row r="27996">
      <c r="D27996" s="185"/>
      <c r="E27996" s="185" t="s">
        <v>470</v>
      </c>
      <c r="H27996" s="185"/>
    </row>
    <row r="27997">
      <c r="D27997" s="185"/>
      <c r="E27997" s="185" t="s">
        <v>470</v>
      </c>
      <c r="H27997" s="185"/>
    </row>
    <row r="27998">
      <c r="D27998" s="185"/>
      <c r="E27998" s="185" t="s">
        <v>470</v>
      </c>
      <c r="H27998" s="185"/>
    </row>
    <row r="27999">
      <c r="D27999" s="185"/>
      <c r="E27999" s="185" t="s">
        <v>470</v>
      </c>
      <c r="H27999" s="185"/>
    </row>
    <row r="28000">
      <c r="D28000" s="185"/>
      <c r="E28000" s="185" t="s">
        <v>470</v>
      </c>
      <c r="H28000" s="185"/>
    </row>
    <row r="28001">
      <c r="D28001" s="185"/>
      <c r="E28001" s="185" t="s">
        <v>470</v>
      </c>
      <c r="H28001" s="185"/>
    </row>
    <row r="28002">
      <c r="D28002" s="185"/>
      <c r="E28002" s="185" t="s">
        <v>470</v>
      </c>
      <c r="H28002" s="185"/>
    </row>
    <row r="28003">
      <c r="D28003" s="185"/>
      <c r="E28003" s="185" t="s">
        <v>470</v>
      </c>
      <c r="H28003" s="185"/>
    </row>
    <row r="28004">
      <c r="D28004" s="185"/>
      <c r="E28004" s="185" t="s">
        <v>470</v>
      </c>
      <c r="H28004" s="185"/>
    </row>
    <row r="28005">
      <c r="D28005" s="185"/>
      <c r="E28005" s="185" t="s">
        <v>470</v>
      </c>
      <c r="H28005" s="185"/>
    </row>
    <row r="28006">
      <c r="D28006" s="185"/>
      <c r="E28006" s="185" t="s">
        <v>470</v>
      </c>
      <c r="H28006" s="185"/>
    </row>
    <row r="28007">
      <c r="D28007" s="185"/>
      <c r="E28007" s="185" t="s">
        <v>470</v>
      </c>
      <c r="H28007" s="185"/>
    </row>
    <row r="28008">
      <c r="D28008" s="185"/>
      <c r="E28008" s="185" t="s">
        <v>470</v>
      </c>
      <c r="H28008" s="185"/>
    </row>
    <row r="28009">
      <c r="D28009" s="185"/>
      <c r="E28009" s="185" t="s">
        <v>470</v>
      </c>
      <c r="H28009" s="185"/>
    </row>
    <row r="28010">
      <c r="D28010" s="185"/>
      <c r="E28010" s="185" t="s">
        <v>470</v>
      </c>
      <c r="H28010" s="185"/>
    </row>
    <row r="28011">
      <c r="D28011" s="185"/>
      <c r="E28011" s="185" t="s">
        <v>470</v>
      </c>
      <c r="H28011" s="185"/>
    </row>
    <row r="28012">
      <c r="D28012" s="185"/>
      <c r="E28012" s="185" t="s">
        <v>470</v>
      </c>
      <c r="H28012" s="185"/>
    </row>
    <row r="28013">
      <c r="D28013" s="185"/>
      <c r="E28013" s="185" t="s">
        <v>470</v>
      </c>
      <c r="H28013" s="185"/>
    </row>
    <row r="28014">
      <c r="D28014" s="185"/>
      <c r="E28014" s="185" t="s">
        <v>470</v>
      </c>
      <c r="H28014" s="185"/>
    </row>
    <row r="28015">
      <c r="D28015" s="185"/>
      <c r="E28015" s="185" t="s">
        <v>470</v>
      </c>
      <c r="H28015" s="185"/>
    </row>
    <row r="28016">
      <c r="D28016" s="185"/>
      <c r="E28016" s="185" t="s">
        <v>470</v>
      </c>
      <c r="H28016" s="185"/>
    </row>
    <row r="28017">
      <c r="D28017" s="185"/>
      <c r="E28017" s="185" t="s">
        <v>470</v>
      </c>
      <c r="H28017" s="185"/>
    </row>
    <row r="28018">
      <c r="D28018" s="185"/>
      <c r="E28018" s="185" t="s">
        <v>470</v>
      </c>
      <c r="H28018" s="185"/>
    </row>
    <row r="28019">
      <c r="D28019" s="185"/>
      <c r="E28019" s="185" t="s">
        <v>470</v>
      </c>
      <c r="H28019" s="185"/>
    </row>
    <row r="28020">
      <c r="D28020" s="185"/>
      <c r="E28020" s="185" t="s">
        <v>470</v>
      </c>
      <c r="H28020" s="185"/>
    </row>
    <row r="28021">
      <c r="D28021" s="185"/>
      <c r="E28021" s="185" t="s">
        <v>470</v>
      </c>
      <c r="H28021" s="185"/>
    </row>
    <row r="28022">
      <c r="D28022" s="185"/>
      <c r="E28022" s="185" t="s">
        <v>470</v>
      </c>
      <c r="H28022" s="185"/>
    </row>
    <row r="28023">
      <c r="D28023" s="185"/>
      <c r="E28023" s="185" t="s">
        <v>470</v>
      </c>
      <c r="H28023" s="185"/>
    </row>
    <row r="28024">
      <c r="D28024" s="185"/>
      <c r="E28024" s="185" t="s">
        <v>470</v>
      </c>
      <c r="H28024" s="185"/>
    </row>
    <row r="28025">
      <c r="D28025" s="185"/>
      <c r="E28025" s="185" t="s">
        <v>470</v>
      </c>
      <c r="H28025" s="185"/>
    </row>
    <row r="28026">
      <c r="D28026" s="185"/>
      <c r="E28026" s="185" t="s">
        <v>470</v>
      </c>
      <c r="H28026" s="185"/>
    </row>
    <row r="28027">
      <c r="D28027" s="185"/>
      <c r="E28027" s="185" t="s">
        <v>470</v>
      </c>
      <c r="H28027" s="185"/>
    </row>
    <row r="28028">
      <c r="D28028" s="185"/>
      <c r="E28028" s="185" t="s">
        <v>470</v>
      </c>
      <c r="H28028" s="185"/>
    </row>
    <row r="28029">
      <c r="D28029" s="185"/>
      <c r="E28029" s="185" t="s">
        <v>470</v>
      </c>
      <c r="H28029" s="185"/>
    </row>
    <row r="28030">
      <c r="D28030" s="185"/>
      <c r="E28030" s="185" t="s">
        <v>470</v>
      </c>
      <c r="H28030" s="185"/>
    </row>
    <row r="28031">
      <c r="D28031" s="185"/>
      <c r="E28031" s="185" t="s">
        <v>470</v>
      </c>
      <c r="H28031" s="185"/>
    </row>
    <row r="28032">
      <c r="D28032" s="185"/>
      <c r="E28032" s="185" t="s">
        <v>470</v>
      </c>
      <c r="H28032" s="185"/>
    </row>
    <row r="28033">
      <c r="D28033" s="185"/>
      <c r="E28033" s="185" t="s">
        <v>470</v>
      </c>
      <c r="H28033" s="185"/>
    </row>
    <row r="28034">
      <c r="D28034" s="185"/>
      <c r="E28034" s="185" t="s">
        <v>470</v>
      </c>
      <c r="H28034" s="185"/>
    </row>
    <row r="28035">
      <c r="D28035" s="185"/>
      <c r="E28035" s="185" t="s">
        <v>470</v>
      </c>
      <c r="H28035" s="185"/>
    </row>
    <row r="28036">
      <c r="D28036" s="185"/>
      <c r="E28036" s="185" t="s">
        <v>470</v>
      </c>
      <c r="H28036" s="185"/>
    </row>
    <row r="28037">
      <c r="D28037" s="185"/>
      <c r="E28037" s="185" t="s">
        <v>470</v>
      </c>
      <c r="H28037" s="185"/>
    </row>
    <row r="28038">
      <c r="D28038" s="185"/>
      <c r="E28038" s="185" t="s">
        <v>470</v>
      </c>
      <c r="H28038" s="185"/>
    </row>
    <row r="28039">
      <c r="D28039" s="185"/>
      <c r="E28039" s="185" t="s">
        <v>470</v>
      </c>
      <c r="H28039" s="185"/>
    </row>
    <row r="28040">
      <c r="D28040" s="185"/>
      <c r="E28040" s="185" t="s">
        <v>470</v>
      </c>
      <c r="H28040" s="185"/>
    </row>
    <row r="28041">
      <c r="D28041" s="185"/>
      <c r="E28041" s="185" t="s">
        <v>470</v>
      </c>
      <c r="H28041" s="185"/>
    </row>
    <row r="28042">
      <c r="D28042" s="185"/>
      <c r="E28042" s="185" t="s">
        <v>470</v>
      </c>
      <c r="H28042" s="185"/>
    </row>
    <row r="28043">
      <c r="D28043" s="185"/>
      <c r="E28043" s="185" t="s">
        <v>470</v>
      </c>
      <c r="H28043" s="185"/>
    </row>
    <row r="28044">
      <c r="D28044" s="185"/>
      <c r="E28044" s="185" t="s">
        <v>470</v>
      </c>
      <c r="H28044" s="185"/>
    </row>
    <row r="28045">
      <c r="D28045" s="185"/>
      <c r="E28045" s="185" t="s">
        <v>470</v>
      </c>
      <c r="H28045" s="185"/>
    </row>
    <row r="28046">
      <c r="D28046" s="185"/>
      <c r="E28046" s="185" t="s">
        <v>470</v>
      </c>
      <c r="H28046" s="185"/>
    </row>
    <row r="28047">
      <c r="D28047" s="185"/>
      <c r="E28047" s="185" t="s">
        <v>470</v>
      </c>
      <c r="H28047" s="185"/>
    </row>
    <row r="28048">
      <c r="D28048" s="185"/>
      <c r="E28048" s="185" t="s">
        <v>470</v>
      </c>
      <c r="H28048" s="185"/>
    </row>
    <row r="28049">
      <c r="D28049" s="185"/>
      <c r="E28049" s="185" t="s">
        <v>470</v>
      </c>
      <c r="H28049" s="185"/>
    </row>
    <row r="28050">
      <c r="D28050" s="185"/>
      <c r="E28050" s="185" t="s">
        <v>470</v>
      </c>
      <c r="H28050" s="185"/>
    </row>
    <row r="28051">
      <c r="D28051" s="185"/>
      <c r="E28051" s="185" t="s">
        <v>470</v>
      </c>
      <c r="H28051" s="185"/>
    </row>
    <row r="28052">
      <c r="D28052" s="185"/>
      <c r="E28052" s="185" t="s">
        <v>470</v>
      </c>
      <c r="H28052" s="185"/>
    </row>
    <row r="28053">
      <c r="D28053" s="185"/>
      <c r="E28053" s="185" t="s">
        <v>470</v>
      </c>
      <c r="H28053" s="185"/>
    </row>
    <row r="28054">
      <c r="D28054" s="185"/>
      <c r="E28054" s="185" t="s">
        <v>470</v>
      </c>
      <c r="H28054" s="185"/>
    </row>
    <row r="28055">
      <c r="D28055" s="185"/>
      <c r="E28055" s="185" t="s">
        <v>470</v>
      </c>
      <c r="H28055" s="185"/>
    </row>
    <row r="28056">
      <c r="D28056" s="185"/>
      <c r="E28056" s="185" t="s">
        <v>470</v>
      </c>
      <c r="H28056" s="185"/>
    </row>
    <row r="28057">
      <c r="D28057" s="185"/>
      <c r="E28057" s="185" t="s">
        <v>470</v>
      </c>
      <c r="H28057" s="185"/>
    </row>
    <row r="28058">
      <c r="D28058" s="185"/>
      <c r="E28058" s="185" t="s">
        <v>470</v>
      </c>
      <c r="H28058" s="185"/>
    </row>
    <row r="28059">
      <c r="D28059" s="185"/>
      <c r="E28059" s="185" t="s">
        <v>470</v>
      </c>
      <c r="H28059" s="185"/>
    </row>
    <row r="28060">
      <c r="D28060" s="185"/>
      <c r="E28060" s="185" t="s">
        <v>470</v>
      </c>
      <c r="H28060" s="185"/>
    </row>
    <row r="28061">
      <c r="D28061" s="185"/>
      <c r="E28061" s="185" t="s">
        <v>470</v>
      </c>
      <c r="H28061" s="185"/>
    </row>
    <row r="28062">
      <c r="D28062" s="185"/>
      <c r="E28062" s="185" t="s">
        <v>470</v>
      </c>
      <c r="H28062" s="185"/>
    </row>
    <row r="28063">
      <c r="D28063" s="185"/>
      <c r="E28063" s="185" t="s">
        <v>470</v>
      </c>
      <c r="H28063" s="185"/>
    </row>
    <row r="28064">
      <c r="D28064" s="185"/>
      <c r="E28064" s="185" t="s">
        <v>470</v>
      </c>
      <c r="H28064" s="185"/>
    </row>
    <row r="28065">
      <c r="D28065" s="185"/>
      <c r="E28065" s="185" t="s">
        <v>470</v>
      </c>
      <c r="H28065" s="185"/>
    </row>
    <row r="28066">
      <c r="D28066" s="185"/>
      <c r="E28066" s="185" t="s">
        <v>470</v>
      </c>
      <c r="H28066" s="185"/>
    </row>
    <row r="28067">
      <c r="D28067" s="185"/>
      <c r="E28067" s="185" t="s">
        <v>470</v>
      </c>
      <c r="H28067" s="185"/>
    </row>
    <row r="28068">
      <c r="D28068" s="185"/>
      <c r="E28068" s="185" t="s">
        <v>470</v>
      </c>
      <c r="H28068" s="185"/>
    </row>
    <row r="28069">
      <c r="D28069" s="185"/>
      <c r="E28069" s="185" t="s">
        <v>470</v>
      </c>
      <c r="H28069" s="185"/>
    </row>
    <row r="28070">
      <c r="D28070" s="185"/>
      <c r="E28070" s="185" t="s">
        <v>470</v>
      </c>
      <c r="H28070" s="185"/>
    </row>
    <row r="28071">
      <c r="D28071" s="185"/>
      <c r="E28071" s="185" t="s">
        <v>470</v>
      </c>
      <c r="H28071" s="185"/>
    </row>
    <row r="28072">
      <c r="D28072" s="185"/>
      <c r="E28072" s="185" t="s">
        <v>470</v>
      </c>
      <c r="H28072" s="185"/>
    </row>
    <row r="28073">
      <c r="D28073" s="185"/>
      <c r="E28073" s="185" t="s">
        <v>470</v>
      </c>
      <c r="H28073" s="185"/>
    </row>
    <row r="28074">
      <c r="D28074" s="185"/>
      <c r="E28074" s="185" t="s">
        <v>470</v>
      </c>
      <c r="H28074" s="185"/>
    </row>
    <row r="28075">
      <c r="D28075" s="185"/>
      <c r="E28075" s="185" t="s">
        <v>470</v>
      </c>
      <c r="H28075" s="185"/>
    </row>
    <row r="28076">
      <c r="D28076" s="185"/>
      <c r="E28076" s="185" t="s">
        <v>470</v>
      </c>
      <c r="H28076" s="185"/>
    </row>
    <row r="28077">
      <c r="D28077" s="185"/>
      <c r="E28077" s="185" t="s">
        <v>470</v>
      </c>
      <c r="H28077" s="185"/>
    </row>
    <row r="28078">
      <c r="D28078" s="185"/>
      <c r="E28078" s="185" t="s">
        <v>470</v>
      </c>
      <c r="H28078" s="185"/>
    </row>
    <row r="28079">
      <c r="D28079" s="185"/>
      <c r="E28079" s="185" t="s">
        <v>470</v>
      </c>
      <c r="H28079" s="185"/>
    </row>
    <row r="28080">
      <c r="D28080" s="185"/>
      <c r="E28080" s="185" t="s">
        <v>470</v>
      </c>
      <c r="H28080" s="185"/>
    </row>
    <row r="28081">
      <c r="D28081" s="185"/>
      <c r="E28081" s="185" t="s">
        <v>470</v>
      </c>
      <c r="H28081" s="185"/>
    </row>
    <row r="28082">
      <c r="D28082" s="185"/>
      <c r="E28082" s="185" t="s">
        <v>470</v>
      </c>
      <c r="H28082" s="185"/>
    </row>
    <row r="28083">
      <c r="D28083" s="185"/>
      <c r="E28083" s="185" t="s">
        <v>470</v>
      </c>
      <c r="H28083" s="185"/>
    </row>
    <row r="28084">
      <c r="D28084" s="185"/>
      <c r="E28084" s="185" t="s">
        <v>470</v>
      </c>
      <c r="H28084" s="185"/>
    </row>
    <row r="28085">
      <c r="D28085" s="185"/>
      <c r="E28085" s="185" t="s">
        <v>470</v>
      </c>
      <c r="H28085" s="185"/>
    </row>
    <row r="28086">
      <c r="D28086" s="185"/>
      <c r="E28086" s="185" t="s">
        <v>470</v>
      </c>
      <c r="H28086" s="185"/>
    </row>
    <row r="28087">
      <c r="D28087" s="185"/>
      <c r="E28087" s="185" t="s">
        <v>470</v>
      </c>
      <c r="H28087" s="185"/>
    </row>
    <row r="28088">
      <c r="D28088" s="185"/>
      <c r="E28088" s="185" t="s">
        <v>470</v>
      </c>
      <c r="H28088" s="185"/>
    </row>
    <row r="28089">
      <c r="D28089" s="185"/>
      <c r="E28089" s="185" t="s">
        <v>470</v>
      </c>
      <c r="H28089" s="185"/>
    </row>
    <row r="28090">
      <c r="D28090" s="185"/>
      <c r="E28090" s="185" t="s">
        <v>470</v>
      </c>
      <c r="H28090" s="185"/>
    </row>
    <row r="28091">
      <c r="D28091" s="185"/>
      <c r="E28091" s="185" t="s">
        <v>470</v>
      </c>
      <c r="H28091" s="185"/>
    </row>
    <row r="28092">
      <c r="D28092" s="185"/>
      <c r="E28092" s="185" t="s">
        <v>470</v>
      </c>
      <c r="H28092" s="185"/>
    </row>
    <row r="28093">
      <c r="D28093" s="185"/>
      <c r="E28093" s="185" t="s">
        <v>470</v>
      </c>
      <c r="H28093" s="185"/>
    </row>
    <row r="28094">
      <c r="D28094" s="185"/>
      <c r="E28094" s="185" t="s">
        <v>470</v>
      </c>
      <c r="H28094" s="185"/>
    </row>
    <row r="28095">
      <c r="D28095" s="185"/>
      <c r="E28095" s="185" t="s">
        <v>470</v>
      </c>
      <c r="H28095" s="185"/>
    </row>
    <row r="28096">
      <c r="D28096" s="185"/>
      <c r="E28096" s="185" t="s">
        <v>470</v>
      </c>
      <c r="H28096" s="185"/>
    </row>
    <row r="28097">
      <c r="D28097" s="185"/>
      <c r="E28097" s="185" t="s">
        <v>470</v>
      </c>
      <c r="H28097" s="185"/>
    </row>
    <row r="28098">
      <c r="D28098" s="185"/>
      <c r="E28098" s="185" t="s">
        <v>470</v>
      </c>
      <c r="H28098" s="185"/>
    </row>
    <row r="28099">
      <c r="D28099" s="185"/>
      <c r="E28099" s="185" t="s">
        <v>470</v>
      </c>
      <c r="H28099" s="185"/>
    </row>
    <row r="28100">
      <c r="D28100" s="185"/>
      <c r="E28100" s="185" t="s">
        <v>470</v>
      </c>
      <c r="H28100" s="185"/>
    </row>
    <row r="28101">
      <c r="D28101" s="185"/>
      <c r="E28101" s="185" t="s">
        <v>470</v>
      </c>
      <c r="H28101" s="185"/>
    </row>
    <row r="28102">
      <c r="D28102" s="185"/>
      <c r="E28102" s="185" t="s">
        <v>470</v>
      </c>
      <c r="H28102" s="185"/>
    </row>
    <row r="28103">
      <c r="D28103" s="185"/>
      <c r="E28103" s="185" t="s">
        <v>470</v>
      </c>
      <c r="H28103" s="185"/>
    </row>
    <row r="28104">
      <c r="D28104" s="185"/>
      <c r="E28104" s="185" t="s">
        <v>470</v>
      </c>
      <c r="H28104" s="185"/>
    </row>
    <row r="28105">
      <c r="D28105" s="185"/>
      <c r="E28105" s="185" t="s">
        <v>470</v>
      </c>
      <c r="H28105" s="185"/>
    </row>
    <row r="28106">
      <c r="D28106" s="185"/>
      <c r="E28106" s="185" t="s">
        <v>470</v>
      </c>
      <c r="H28106" s="185"/>
    </row>
    <row r="28107">
      <c r="D28107" s="185"/>
      <c r="E28107" s="185" t="s">
        <v>470</v>
      </c>
      <c r="H28107" s="185"/>
    </row>
    <row r="28108">
      <c r="D28108" s="185"/>
      <c r="E28108" s="185" t="s">
        <v>470</v>
      </c>
      <c r="H28108" s="185"/>
    </row>
    <row r="28109">
      <c r="D28109" s="185"/>
      <c r="E28109" s="185" t="s">
        <v>470</v>
      </c>
      <c r="H28109" s="185"/>
    </row>
    <row r="28110">
      <c r="D28110" s="185"/>
      <c r="E28110" s="185" t="s">
        <v>470</v>
      </c>
      <c r="H28110" s="185"/>
    </row>
    <row r="28111">
      <c r="D28111" s="185"/>
      <c r="E28111" s="185" t="s">
        <v>470</v>
      </c>
      <c r="H28111" s="185"/>
    </row>
    <row r="28112">
      <c r="D28112" s="185"/>
      <c r="E28112" s="185" t="s">
        <v>470</v>
      </c>
      <c r="H28112" s="185"/>
    </row>
    <row r="28113">
      <c r="D28113" s="185"/>
      <c r="E28113" s="185" t="s">
        <v>470</v>
      </c>
      <c r="H28113" s="185"/>
    </row>
    <row r="28114">
      <c r="D28114" s="185"/>
      <c r="E28114" s="185" t="s">
        <v>470</v>
      </c>
      <c r="H28114" s="185"/>
    </row>
    <row r="28115">
      <c r="D28115" s="185"/>
      <c r="E28115" s="185" t="s">
        <v>470</v>
      </c>
      <c r="H28115" s="185"/>
    </row>
    <row r="28116">
      <c r="D28116" s="185"/>
      <c r="E28116" s="185" t="s">
        <v>470</v>
      </c>
      <c r="H28116" s="185"/>
    </row>
    <row r="28117">
      <c r="D28117" s="185"/>
      <c r="E28117" s="185" t="s">
        <v>470</v>
      </c>
      <c r="H28117" s="185"/>
    </row>
    <row r="28118">
      <c r="D28118" s="185"/>
      <c r="E28118" s="185" t="s">
        <v>470</v>
      </c>
      <c r="H28118" s="185"/>
    </row>
    <row r="28119">
      <c r="D28119" s="185"/>
      <c r="E28119" s="185" t="s">
        <v>470</v>
      </c>
      <c r="H28119" s="185"/>
    </row>
    <row r="28120">
      <c r="D28120" s="185"/>
      <c r="E28120" s="185" t="s">
        <v>470</v>
      </c>
      <c r="H28120" s="185"/>
    </row>
    <row r="28121">
      <c r="D28121" s="185"/>
      <c r="E28121" s="185" t="s">
        <v>470</v>
      </c>
      <c r="H28121" s="185"/>
    </row>
    <row r="28122">
      <c r="D28122" s="185"/>
      <c r="E28122" s="185" t="s">
        <v>470</v>
      </c>
      <c r="H28122" s="185"/>
    </row>
    <row r="28123">
      <c r="D28123" s="185"/>
      <c r="E28123" s="185" t="s">
        <v>470</v>
      </c>
      <c r="H28123" s="185"/>
    </row>
    <row r="28124">
      <c r="D28124" s="185"/>
      <c r="E28124" s="185" t="s">
        <v>470</v>
      </c>
      <c r="H28124" s="185"/>
    </row>
    <row r="28125">
      <c r="D28125" s="185"/>
      <c r="E28125" s="185" t="s">
        <v>470</v>
      </c>
      <c r="H28125" s="185"/>
    </row>
    <row r="28126">
      <c r="D28126" s="185"/>
      <c r="E28126" s="185" t="s">
        <v>470</v>
      </c>
      <c r="H28126" s="185"/>
    </row>
    <row r="28127">
      <c r="D28127" s="185"/>
      <c r="E28127" s="185" t="s">
        <v>470</v>
      </c>
      <c r="H28127" s="185"/>
    </row>
    <row r="28128">
      <c r="D28128" s="185"/>
      <c r="E28128" s="185" t="s">
        <v>470</v>
      </c>
      <c r="H28128" s="185"/>
    </row>
    <row r="28129">
      <c r="D28129" s="185"/>
      <c r="E28129" s="185" t="s">
        <v>470</v>
      </c>
      <c r="H28129" s="185"/>
    </row>
    <row r="28130">
      <c r="D28130" s="185"/>
      <c r="E28130" s="185" t="s">
        <v>470</v>
      </c>
      <c r="H28130" s="185"/>
    </row>
    <row r="28131">
      <c r="D28131" s="185"/>
      <c r="E28131" s="185" t="s">
        <v>470</v>
      </c>
      <c r="H28131" s="185"/>
    </row>
    <row r="28132">
      <c r="D28132" s="185"/>
      <c r="E28132" s="185" t="s">
        <v>470</v>
      </c>
      <c r="H28132" s="185"/>
    </row>
    <row r="28133">
      <c r="D28133" s="185"/>
      <c r="E28133" s="185" t="s">
        <v>470</v>
      </c>
      <c r="H28133" s="185"/>
    </row>
    <row r="28134">
      <c r="D28134" s="185"/>
      <c r="E28134" s="185" t="s">
        <v>470</v>
      </c>
      <c r="H28134" s="185"/>
    </row>
    <row r="28135">
      <c r="D28135" s="185"/>
      <c r="E28135" s="185" t="s">
        <v>470</v>
      </c>
      <c r="H28135" s="185"/>
    </row>
    <row r="28136">
      <c r="D28136" s="185"/>
      <c r="E28136" s="185" t="s">
        <v>470</v>
      </c>
      <c r="H28136" s="185"/>
    </row>
    <row r="28137">
      <c r="D28137" s="185"/>
      <c r="E28137" s="185" t="s">
        <v>470</v>
      </c>
      <c r="H28137" s="185"/>
    </row>
    <row r="28138">
      <c r="D28138" s="185"/>
      <c r="E28138" s="185" t="s">
        <v>470</v>
      </c>
      <c r="H28138" s="185"/>
    </row>
    <row r="28139">
      <c r="D28139" s="185"/>
      <c r="E28139" s="185" t="s">
        <v>470</v>
      </c>
      <c r="H28139" s="185"/>
    </row>
    <row r="28140">
      <c r="D28140" s="185"/>
      <c r="E28140" s="185" t="s">
        <v>470</v>
      </c>
      <c r="H28140" s="185"/>
    </row>
    <row r="28141">
      <c r="D28141" s="185"/>
      <c r="E28141" s="185" t="s">
        <v>470</v>
      </c>
      <c r="H28141" s="185"/>
    </row>
    <row r="28142">
      <c r="D28142" s="185"/>
      <c r="E28142" s="185" t="s">
        <v>470</v>
      </c>
      <c r="H28142" s="185"/>
    </row>
    <row r="28143">
      <c r="D28143" s="185"/>
      <c r="E28143" s="185" t="s">
        <v>470</v>
      </c>
      <c r="H28143" s="185"/>
    </row>
    <row r="28144">
      <c r="D28144" s="185"/>
      <c r="E28144" s="185" t="s">
        <v>470</v>
      </c>
      <c r="H28144" s="185"/>
    </row>
    <row r="28145">
      <c r="D28145" s="185"/>
      <c r="E28145" s="185" t="s">
        <v>470</v>
      </c>
      <c r="H28145" s="185"/>
    </row>
    <row r="28146">
      <c r="D28146" s="185"/>
      <c r="E28146" s="185" t="s">
        <v>470</v>
      </c>
      <c r="H28146" s="185"/>
    </row>
    <row r="28147">
      <c r="D28147" s="185"/>
      <c r="E28147" s="185" t="s">
        <v>470</v>
      </c>
      <c r="H28147" s="185"/>
    </row>
    <row r="28148">
      <c r="D28148" s="185"/>
      <c r="E28148" s="185" t="s">
        <v>470</v>
      </c>
      <c r="H28148" s="185"/>
    </row>
    <row r="28149">
      <c r="D28149" s="185"/>
      <c r="E28149" s="185" t="s">
        <v>470</v>
      </c>
      <c r="H28149" s="185"/>
    </row>
    <row r="28150">
      <c r="D28150" s="185"/>
      <c r="E28150" s="185" t="s">
        <v>470</v>
      </c>
      <c r="H28150" s="185"/>
    </row>
    <row r="28151">
      <c r="D28151" s="185"/>
      <c r="E28151" s="185" t="s">
        <v>470</v>
      </c>
      <c r="H28151" s="185"/>
    </row>
    <row r="28152">
      <c r="D28152" s="185"/>
      <c r="E28152" s="185" t="s">
        <v>470</v>
      </c>
      <c r="H28152" s="185"/>
    </row>
    <row r="28153">
      <c r="D28153" s="185"/>
      <c r="E28153" s="185" t="s">
        <v>470</v>
      </c>
      <c r="H28153" s="185"/>
    </row>
    <row r="28154">
      <c r="D28154" s="185"/>
      <c r="E28154" s="185" t="s">
        <v>470</v>
      </c>
      <c r="H28154" s="185"/>
    </row>
    <row r="28155">
      <c r="D28155" s="185"/>
      <c r="E28155" s="185" t="s">
        <v>470</v>
      </c>
      <c r="H28155" s="185"/>
    </row>
    <row r="28156">
      <c r="D28156" s="185"/>
      <c r="E28156" s="185" t="s">
        <v>470</v>
      </c>
      <c r="H28156" s="185"/>
    </row>
    <row r="28157">
      <c r="D28157" s="185"/>
      <c r="E28157" s="185" t="s">
        <v>470</v>
      </c>
      <c r="H28157" s="185"/>
    </row>
    <row r="28158">
      <c r="D28158" s="185"/>
      <c r="E28158" s="185" t="s">
        <v>470</v>
      </c>
      <c r="H28158" s="185"/>
    </row>
    <row r="28159">
      <c r="D28159" s="185"/>
      <c r="E28159" s="185" t="s">
        <v>470</v>
      </c>
      <c r="H28159" s="185"/>
    </row>
    <row r="28160">
      <c r="D28160" s="185"/>
      <c r="E28160" s="185" t="s">
        <v>470</v>
      </c>
      <c r="H28160" s="185"/>
    </row>
    <row r="28161">
      <c r="D28161" s="185"/>
      <c r="E28161" s="185" t="s">
        <v>470</v>
      </c>
      <c r="H28161" s="185"/>
    </row>
    <row r="28162">
      <c r="D28162" s="185"/>
      <c r="E28162" s="185" t="s">
        <v>470</v>
      </c>
      <c r="H28162" s="185"/>
    </row>
    <row r="28163">
      <c r="D28163" s="185"/>
      <c r="E28163" s="185" t="s">
        <v>470</v>
      </c>
      <c r="H28163" s="185"/>
    </row>
    <row r="28164">
      <c r="D28164" s="185"/>
      <c r="E28164" s="185" t="s">
        <v>470</v>
      </c>
      <c r="H28164" s="185"/>
    </row>
    <row r="28165">
      <c r="D28165" s="185"/>
      <c r="E28165" s="185" t="s">
        <v>470</v>
      </c>
      <c r="H28165" s="185"/>
    </row>
    <row r="28166">
      <c r="D28166" s="185"/>
      <c r="E28166" s="185" t="s">
        <v>470</v>
      </c>
      <c r="H28166" s="185"/>
    </row>
    <row r="28167">
      <c r="D28167" s="185"/>
      <c r="E28167" s="185" t="s">
        <v>470</v>
      </c>
      <c r="H28167" s="185"/>
    </row>
    <row r="28168">
      <c r="D28168" s="185"/>
      <c r="E28168" s="185" t="s">
        <v>470</v>
      </c>
      <c r="H28168" s="185"/>
    </row>
    <row r="28169">
      <c r="D28169" s="185"/>
      <c r="E28169" s="185" t="s">
        <v>470</v>
      </c>
      <c r="H28169" s="185"/>
    </row>
    <row r="28170">
      <c r="D28170" s="185"/>
      <c r="E28170" s="185" t="s">
        <v>470</v>
      </c>
      <c r="H28170" s="185"/>
    </row>
    <row r="28171">
      <c r="D28171" s="185"/>
      <c r="E28171" s="185" t="s">
        <v>470</v>
      </c>
      <c r="H28171" s="185"/>
    </row>
    <row r="28172">
      <c r="D28172" s="185"/>
      <c r="E28172" s="185" t="s">
        <v>470</v>
      </c>
      <c r="H28172" s="185"/>
    </row>
    <row r="28173">
      <c r="D28173" s="185"/>
      <c r="E28173" s="185" t="s">
        <v>470</v>
      </c>
      <c r="H28173" s="185"/>
    </row>
    <row r="28174">
      <c r="D28174" s="185"/>
      <c r="E28174" s="185" t="s">
        <v>470</v>
      </c>
      <c r="H28174" s="185"/>
    </row>
    <row r="28175">
      <c r="D28175" s="185"/>
      <c r="E28175" s="185" t="s">
        <v>470</v>
      </c>
      <c r="H28175" s="185"/>
    </row>
    <row r="28176">
      <c r="D28176" s="185"/>
      <c r="E28176" s="185" t="s">
        <v>470</v>
      </c>
      <c r="H28176" s="185"/>
    </row>
    <row r="28177">
      <c r="D28177" s="185"/>
      <c r="E28177" s="185" t="s">
        <v>470</v>
      </c>
      <c r="H28177" s="185"/>
    </row>
    <row r="28178">
      <c r="D28178" s="185"/>
      <c r="E28178" s="185" t="s">
        <v>470</v>
      </c>
      <c r="H28178" s="185"/>
    </row>
    <row r="28179">
      <c r="D28179" s="185"/>
      <c r="E28179" s="185" t="s">
        <v>470</v>
      </c>
      <c r="H28179" s="185"/>
    </row>
    <row r="28180">
      <c r="D28180" s="185"/>
      <c r="E28180" s="185" t="s">
        <v>470</v>
      </c>
      <c r="H28180" s="185"/>
    </row>
    <row r="28181">
      <c r="D28181" s="185"/>
      <c r="E28181" s="185" t="s">
        <v>470</v>
      </c>
      <c r="H28181" s="185"/>
    </row>
    <row r="28182">
      <c r="D28182" s="185"/>
      <c r="E28182" s="185" t="s">
        <v>470</v>
      </c>
      <c r="H28182" s="185"/>
    </row>
    <row r="28183">
      <c r="D28183" s="185"/>
      <c r="E28183" s="185" t="s">
        <v>470</v>
      </c>
      <c r="H28183" s="185"/>
    </row>
    <row r="28184">
      <c r="D28184" s="185"/>
      <c r="E28184" s="185" t="s">
        <v>470</v>
      </c>
      <c r="H28184" s="185"/>
    </row>
    <row r="28185">
      <c r="D28185" s="185"/>
      <c r="E28185" s="185" t="s">
        <v>470</v>
      </c>
      <c r="H28185" s="185"/>
    </row>
    <row r="28186">
      <c r="D28186" s="185"/>
      <c r="E28186" s="185" t="s">
        <v>470</v>
      </c>
      <c r="H28186" s="185"/>
    </row>
    <row r="28187">
      <c r="D28187" s="185"/>
      <c r="E28187" s="185" t="s">
        <v>470</v>
      </c>
      <c r="H28187" s="185"/>
    </row>
    <row r="28188">
      <c r="D28188" s="185"/>
      <c r="E28188" s="185" t="s">
        <v>470</v>
      </c>
      <c r="H28188" s="185"/>
    </row>
    <row r="28189">
      <c r="D28189" s="185"/>
      <c r="E28189" s="185" t="s">
        <v>470</v>
      </c>
      <c r="H28189" s="185"/>
    </row>
    <row r="28190">
      <c r="D28190" s="185"/>
      <c r="E28190" s="185" t="s">
        <v>470</v>
      </c>
      <c r="H28190" s="185"/>
    </row>
    <row r="28191">
      <c r="D28191" s="185"/>
      <c r="E28191" s="185" t="s">
        <v>470</v>
      </c>
      <c r="H28191" s="185"/>
    </row>
    <row r="28192">
      <c r="D28192" s="185"/>
      <c r="E28192" s="185" t="s">
        <v>470</v>
      </c>
      <c r="H28192" s="185"/>
    </row>
    <row r="28193">
      <c r="D28193" s="185"/>
      <c r="E28193" s="185" t="s">
        <v>470</v>
      </c>
      <c r="H28193" s="185"/>
    </row>
    <row r="28194">
      <c r="D28194" s="185"/>
      <c r="E28194" s="185" t="s">
        <v>470</v>
      </c>
      <c r="H28194" s="185"/>
    </row>
    <row r="28195">
      <c r="D28195" s="185"/>
      <c r="E28195" s="185" t="s">
        <v>470</v>
      </c>
      <c r="H28195" s="185"/>
    </row>
    <row r="28196">
      <c r="D28196" s="185"/>
      <c r="E28196" s="185" t="s">
        <v>470</v>
      </c>
      <c r="H28196" s="185"/>
    </row>
    <row r="28197">
      <c r="D28197" s="185"/>
      <c r="E28197" s="185" t="s">
        <v>470</v>
      </c>
      <c r="H28197" s="185"/>
    </row>
    <row r="28198">
      <c r="D28198" s="185"/>
      <c r="E28198" s="185" t="s">
        <v>470</v>
      </c>
      <c r="H28198" s="185"/>
    </row>
    <row r="28199">
      <c r="D28199" s="185"/>
      <c r="E28199" s="185" t="s">
        <v>470</v>
      </c>
      <c r="H28199" s="185"/>
    </row>
    <row r="28200">
      <c r="D28200" s="185"/>
      <c r="E28200" s="185" t="s">
        <v>470</v>
      </c>
      <c r="H28200" s="185"/>
    </row>
    <row r="28201">
      <c r="D28201" s="185"/>
      <c r="E28201" s="185" t="s">
        <v>470</v>
      </c>
      <c r="H28201" s="185"/>
    </row>
    <row r="28202">
      <c r="D28202" s="185"/>
      <c r="E28202" s="185" t="s">
        <v>470</v>
      </c>
      <c r="H28202" s="185"/>
    </row>
    <row r="28203">
      <c r="D28203" s="185"/>
      <c r="E28203" s="185" t="s">
        <v>470</v>
      </c>
      <c r="H28203" s="185"/>
    </row>
    <row r="28204">
      <c r="D28204" s="185"/>
      <c r="E28204" s="185" t="s">
        <v>470</v>
      </c>
      <c r="H28204" s="185"/>
    </row>
    <row r="28205">
      <c r="D28205" s="185"/>
      <c r="E28205" s="185" t="s">
        <v>470</v>
      </c>
      <c r="H28205" s="185"/>
    </row>
    <row r="28206">
      <c r="D28206" s="185"/>
      <c r="E28206" s="185" t="s">
        <v>470</v>
      </c>
      <c r="H28206" s="185"/>
    </row>
    <row r="28207">
      <c r="D28207" s="185"/>
      <c r="E28207" s="185" t="s">
        <v>470</v>
      </c>
      <c r="H28207" s="185"/>
    </row>
    <row r="28208">
      <c r="D28208" s="185"/>
      <c r="E28208" s="185" t="s">
        <v>470</v>
      </c>
      <c r="H28208" s="185"/>
    </row>
    <row r="28209">
      <c r="D28209" s="185"/>
      <c r="E28209" s="185" t="s">
        <v>470</v>
      </c>
      <c r="H28209" s="185"/>
    </row>
    <row r="28210">
      <c r="D28210" s="185"/>
      <c r="E28210" s="185" t="s">
        <v>470</v>
      </c>
      <c r="H28210" s="185"/>
    </row>
    <row r="28211">
      <c r="D28211" s="185"/>
      <c r="E28211" s="185" t="s">
        <v>470</v>
      </c>
      <c r="H28211" s="185"/>
    </row>
    <row r="28212">
      <c r="D28212" s="185"/>
      <c r="E28212" s="185" t="s">
        <v>470</v>
      </c>
      <c r="H28212" s="185"/>
    </row>
    <row r="28213">
      <c r="D28213" s="185"/>
      <c r="E28213" s="185" t="s">
        <v>470</v>
      </c>
      <c r="H28213" s="185"/>
    </row>
    <row r="28214">
      <c r="D28214" s="185"/>
      <c r="E28214" s="185" t="s">
        <v>470</v>
      </c>
      <c r="H28214" s="185"/>
    </row>
    <row r="28215">
      <c r="D28215" s="185"/>
      <c r="E28215" s="185" t="s">
        <v>470</v>
      </c>
      <c r="H28215" s="185"/>
    </row>
    <row r="28216">
      <c r="D28216" s="185"/>
      <c r="E28216" s="185" t="s">
        <v>470</v>
      </c>
      <c r="H28216" s="185"/>
    </row>
    <row r="28217">
      <c r="D28217" s="185"/>
      <c r="E28217" s="185" t="s">
        <v>470</v>
      </c>
      <c r="H28217" s="185"/>
    </row>
    <row r="28218">
      <c r="D28218" s="185"/>
      <c r="E28218" s="185" t="s">
        <v>470</v>
      </c>
      <c r="H28218" s="185"/>
    </row>
    <row r="28219">
      <c r="D28219" s="185"/>
      <c r="E28219" s="185" t="s">
        <v>470</v>
      </c>
      <c r="H28219" s="185"/>
    </row>
    <row r="28220">
      <c r="D28220" s="185"/>
      <c r="E28220" s="185" t="s">
        <v>470</v>
      </c>
      <c r="H28220" s="185"/>
    </row>
    <row r="28221">
      <c r="D28221" s="185"/>
      <c r="E28221" s="185" t="s">
        <v>470</v>
      </c>
      <c r="H28221" s="185"/>
    </row>
    <row r="28222">
      <c r="D28222" s="185"/>
      <c r="E28222" s="185" t="s">
        <v>470</v>
      </c>
      <c r="H28222" s="185"/>
    </row>
    <row r="28223">
      <c r="D28223" s="185"/>
      <c r="E28223" s="185" t="s">
        <v>470</v>
      </c>
      <c r="H28223" s="185"/>
    </row>
    <row r="28224">
      <c r="D28224" s="185"/>
      <c r="E28224" s="185" t="s">
        <v>470</v>
      </c>
      <c r="H28224" s="185"/>
    </row>
    <row r="28225">
      <c r="D28225" s="185"/>
      <c r="E28225" s="185" t="s">
        <v>470</v>
      </c>
      <c r="H28225" s="185"/>
    </row>
    <row r="28226">
      <c r="D28226" s="185"/>
      <c r="E28226" s="185" t="s">
        <v>470</v>
      </c>
      <c r="H28226" s="185"/>
    </row>
    <row r="28227">
      <c r="D28227" s="185"/>
      <c r="E28227" s="185" t="s">
        <v>470</v>
      </c>
      <c r="H28227" s="185"/>
    </row>
    <row r="28228">
      <c r="D28228" s="185"/>
      <c r="E28228" s="185" t="s">
        <v>470</v>
      </c>
      <c r="H28228" s="185"/>
    </row>
    <row r="28229">
      <c r="D28229" s="185"/>
      <c r="E28229" s="185" t="s">
        <v>470</v>
      </c>
      <c r="H28229" s="185"/>
    </row>
    <row r="28230">
      <c r="D28230" s="185"/>
      <c r="E28230" s="185" t="s">
        <v>470</v>
      </c>
      <c r="H28230" s="185"/>
    </row>
    <row r="28231">
      <c r="D28231" s="185"/>
      <c r="E28231" s="185" t="s">
        <v>470</v>
      </c>
      <c r="H28231" s="185"/>
    </row>
    <row r="28232">
      <c r="D28232" s="185"/>
      <c r="E28232" s="185" t="s">
        <v>470</v>
      </c>
      <c r="H28232" s="185"/>
    </row>
    <row r="28233">
      <c r="D28233" s="185"/>
      <c r="E28233" s="185" t="s">
        <v>470</v>
      </c>
      <c r="H28233" s="185"/>
    </row>
    <row r="28234">
      <c r="D28234" s="185"/>
      <c r="E28234" s="185" t="s">
        <v>470</v>
      </c>
      <c r="H28234" s="185"/>
    </row>
    <row r="28235">
      <c r="D28235" s="185"/>
      <c r="E28235" s="185" t="s">
        <v>470</v>
      </c>
      <c r="H28235" s="185"/>
    </row>
    <row r="28236">
      <c r="D28236" s="185"/>
      <c r="E28236" s="185" t="s">
        <v>470</v>
      </c>
      <c r="H28236" s="185"/>
    </row>
    <row r="28237">
      <c r="D28237" s="185"/>
      <c r="E28237" s="185" t="s">
        <v>470</v>
      </c>
      <c r="H28237" s="185"/>
    </row>
    <row r="28238">
      <c r="D28238" s="185"/>
      <c r="E28238" s="185" t="s">
        <v>470</v>
      </c>
      <c r="H28238" s="185"/>
    </row>
    <row r="28239">
      <c r="D28239" s="185"/>
      <c r="E28239" s="185" t="s">
        <v>470</v>
      </c>
      <c r="H28239" s="185"/>
    </row>
    <row r="28240">
      <c r="D28240" s="185"/>
      <c r="E28240" s="185" t="s">
        <v>470</v>
      </c>
      <c r="H28240" s="185"/>
    </row>
    <row r="28241">
      <c r="D28241" s="185"/>
      <c r="E28241" s="185" t="s">
        <v>470</v>
      </c>
      <c r="H28241" s="185"/>
    </row>
    <row r="28242">
      <c r="D28242" s="185"/>
      <c r="E28242" s="185" t="s">
        <v>470</v>
      </c>
      <c r="H28242" s="185"/>
    </row>
    <row r="28243">
      <c r="D28243" s="185"/>
      <c r="E28243" s="185" t="s">
        <v>470</v>
      </c>
      <c r="H28243" s="185"/>
    </row>
    <row r="28244">
      <c r="D28244" s="185"/>
      <c r="E28244" s="185" t="s">
        <v>470</v>
      </c>
      <c r="H28244" s="185"/>
    </row>
    <row r="28245">
      <c r="D28245" s="185"/>
      <c r="E28245" s="185" t="s">
        <v>470</v>
      </c>
      <c r="H28245" s="185"/>
    </row>
    <row r="28246">
      <c r="D28246" s="185"/>
      <c r="E28246" s="185" t="s">
        <v>470</v>
      </c>
      <c r="H28246" s="185"/>
    </row>
    <row r="28247">
      <c r="D28247" s="185"/>
      <c r="E28247" s="185" t="s">
        <v>470</v>
      </c>
      <c r="H28247" s="185"/>
    </row>
    <row r="28248">
      <c r="D28248" s="185"/>
      <c r="E28248" s="185" t="s">
        <v>470</v>
      </c>
      <c r="H28248" s="185"/>
    </row>
    <row r="28249">
      <c r="D28249" s="185"/>
      <c r="E28249" s="185" t="s">
        <v>470</v>
      </c>
      <c r="H28249" s="185"/>
    </row>
    <row r="28250">
      <c r="D28250" s="185"/>
      <c r="E28250" s="185" t="s">
        <v>470</v>
      </c>
      <c r="H28250" s="185"/>
    </row>
    <row r="28251">
      <c r="D28251" s="185"/>
      <c r="E28251" s="185" t="s">
        <v>470</v>
      </c>
      <c r="H28251" s="185"/>
    </row>
    <row r="28252">
      <c r="D28252" s="185"/>
      <c r="E28252" s="185" t="s">
        <v>470</v>
      </c>
      <c r="H28252" s="185"/>
    </row>
    <row r="28253">
      <c r="D28253" s="185"/>
      <c r="E28253" s="185" t="s">
        <v>470</v>
      </c>
      <c r="H28253" s="185"/>
    </row>
    <row r="28254">
      <c r="D28254" s="185"/>
      <c r="E28254" s="185" t="s">
        <v>470</v>
      </c>
      <c r="H28254" s="185"/>
    </row>
    <row r="28255">
      <c r="D28255" s="185"/>
      <c r="E28255" s="185" t="s">
        <v>470</v>
      </c>
      <c r="H28255" s="185"/>
    </row>
    <row r="28256">
      <c r="D28256" s="185"/>
      <c r="E28256" s="185" t="s">
        <v>470</v>
      </c>
      <c r="H28256" s="185"/>
    </row>
    <row r="28257">
      <c r="D28257" s="185"/>
      <c r="E28257" s="185" t="s">
        <v>470</v>
      </c>
      <c r="H28257" s="185"/>
    </row>
    <row r="28258">
      <c r="D28258" s="185"/>
      <c r="E28258" s="185" t="s">
        <v>470</v>
      </c>
      <c r="H28258" s="185"/>
    </row>
    <row r="28259">
      <c r="D28259" s="185"/>
      <c r="E28259" s="185" t="s">
        <v>470</v>
      </c>
      <c r="H28259" s="185"/>
    </row>
    <row r="28260">
      <c r="D28260" s="185"/>
      <c r="E28260" s="185" t="s">
        <v>470</v>
      </c>
      <c r="H28260" s="185"/>
    </row>
    <row r="28261">
      <c r="D28261" s="185"/>
      <c r="E28261" s="185" t="s">
        <v>470</v>
      </c>
      <c r="H28261" s="185"/>
    </row>
    <row r="28262">
      <c r="D28262" s="185"/>
      <c r="E28262" s="185" t="s">
        <v>470</v>
      </c>
      <c r="H28262" s="185"/>
    </row>
    <row r="28263">
      <c r="D28263" s="185"/>
      <c r="E28263" s="185" t="s">
        <v>470</v>
      </c>
      <c r="H28263" s="185"/>
    </row>
    <row r="28264">
      <c r="D28264" s="185"/>
      <c r="E28264" s="185" t="s">
        <v>470</v>
      </c>
      <c r="H28264" s="185"/>
    </row>
    <row r="28265">
      <c r="D28265" s="185"/>
      <c r="E28265" s="185" t="s">
        <v>470</v>
      </c>
      <c r="H28265" s="185"/>
    </row>
    <row r="28266">
      <c r="D28266" s="185"/>
      <c r="E28266" s="185" t="s">
        <v>470</v>
      </c>
      <c r="H28266" s="185"/>
    </row>
    <row r="28267">
      <c r="D28267" s="185"/>
      <c r="E28267" s="185" t="s">
        <v>470</v>
      </c>
      <c r="H28267" s="185"/>
    </row>
    <row r="28268">
      <c r="D28268" s="185"/>
      <c r="E28268" s="185" t="s">
        <v>470</v>
      </c>
      <c r="H28268" s="185"/>
    </row>
    <row r="28269">
      <c r="D28269" s="185"/>
      <c r="E28269" s="185" t="s">
        <v>470</v>
      </c>
      <c r="H28269" s="185"/>
    </row>
    <row r="28270">
      <c r="D28270" s="185"/>
      <c r="E28270" s="185" t="s">
        <v>470</v>
      </c>
      <c r="H28270" s="185"/>
    </row>
    <row r="28271">
      <c r="D28271" s="185"/>
      <c r="E28271" s="185" t="s">
        <v>470</v>
      </c>
      <c r="H28271" s="185"/>
    </row>
    <row r="28272">
      <c r="D28272" s="185"/>
      <c r="E28272" s="185" t="s">
        <v>470</v>
      </c>
      <c r="H28272" s="185"/>
    </row>
    <row r="28273">
      <c r="D28273" s="185"/>
      <c r="E28273" s="185" t="s">
        <v>470</v>
      </c>
      <c r="H28273" s="185"/>
    </row>
    <row r="28274">
      <c r="D28274" s="185"/>
      <c r="E28274" s="185" t="s">
        <v>470</v>
      </c>
      <c r="H28274" s="185"/>
    </row>
    <row r="28275">
      <c r="D28275" s="185"/>
      <c r="E28275" s="185" t="s">
        <v>470</v>
      </c>
      <c r="H28275" s="185"/>
    </row>
    <row r="28276">
      <c r="D28276" s="185"/>
      <c r="E28276" s="185" t="s">
        <v>470</v>
      </c>
      <c r="H28276" s="185"/>
    </row>
    <row r="28277">
      <c r="D28277" s="185"/>
      <c r="E28277" s="185" t="s">
        <v>470</v>
      </c>
      <c r="H28277" s="185"/>
    </row>
    <row r="28278">
      <c r="D28278" s="185"/>
      <c r="E28278" s="185" t="s">
        <v>470</v>
      </c>
      <c r="H28278" s="185"/>
    </row>
    <row r="28279">
      <c r="D28279" s="185"/>
      <c r="E28279" s="185" t="s">
        <v>470</v>
      </c>
      <c r="H28279" s="185"/>
    </row>
    <row r="28280">
      <c r="D28280" s="185"/>
      <c r="E28280" s="185" t="s">
        <v>470</v>
      </c>
      <c r="H28280" s="185"/>
    </row>
    <row r="28281">
      <c r="D28281" s="185"/>
      <c r="E28281" s="185" t="s">
        <v>470</v>
      </c>
      <c r="H28281" s="185"/>
    </row>
    <row r="28282">
      <c r="D28282" s="185"/>
      <c r="E28282" s="185" t="s">
        <v>470</v>
      </c>
      <c r="H28282" s="185"/>
    </row>
    <row r="28283">
      <c r="D28283" s="185"/>
      <c r="E28283" s="185" t="s">
        <v>470</v>
      </c>
      <c r="H28283" s="185"/>
    </row>
    <row r="28284">
      <c r="D28284" s="185"/>
      <c r="E28284" s="185" t="s">
        <v>470</v>
      </c>
      <c r="H28284" s="185"/>
    </row>
    <row r="28285">
      <c r="D28285" s="185"/>
      <c r="E28285" s="185" t="s">
        <v>470</v>
      </c>
      <c r="H28285" s="185"/>
    </row>
    <row r="28286">
      <c r="D28286" s="185"/>
      <c r="E28286" s="185" t="s">
        <v>470</v>
      </c>
      <c r="H28286" s="185"/>
    </row>
    <row r="28287">
      <c r="D28287" s="185"/>
      <c r="E28287" s="185" t="s">
        <v>470</v>
      </c>
      <c r="H28287" s="185"/>
    </row>
    <row r="28288">
      <c r="D28288" s="185"/>
      <c r="E28288" s="185" t="s">
        <v>470</v>
      </c>
      <c r="H28288" s="185"/>
    </row>
    <row r="28289">
      <c r="D28289" s="185"/>
      <c r="E28289" s="185" t="s">
        <v>470</v>
      </c>
      <c r="H28289" s="185"/>
    </row>
    <row r="28290">
      <c r="D28290" s="185"/>
      <c r="E28290" s="185" t="s">
        <v>470</v>
      </c>
      <c r="H28290" s="185"/>
    </row>
    <row r="28291">
      <c r="D28291" s="185"/>
      <c r="E28291" s="185" t="s">
        <v>470</v>
      </c>
      <c r="H28291" s="185"/>
    </row>
    <row r="28292">
      <c r="D28292" s="185"/>
      <c r="E28292" s="185" t="s">
        <v>470</v>
      </c>
      <c r="H28292" s="185"/>
    </row>
    <row r="28293">
      <c r="D28293" s="185"/>
      <c r="E28293" s="185" t="s">
        <v>470</v>
      </c>
      <c r="H28293" s="185"/>
    </row>
    <row r="28294">
      <c r="D28294" s="185"/>
      <c r="E28294" s="185" t="s">
        <v>470</v>
      </c>
      <c r="H28294" s="185"/>
    </row>
    <row r="28295">
      <c r="D28295" s="185"/>
      <c r="E28295" s="185" t="s">
        <v>470</v>
      </c>
      <c r="H28295" s="185"/>
    </row>
    <row r="28296">
      <c r="D28296" s="185"/>
      <c r="E28296" s="185" t="s">
        <v>470</v>
      </c>
      <c r="H28296" s="185"/>
    </row>
    <row r="28297">
      <c r="D28297" s="185"/>
      <c r="E28297" s="185" t="s">
        <v>470</v>
      </c>
      <c r="H28297" s="185"/>
    </row>
    <row r="28298">
      <c r="D28298" s="185"/>
      <c r="E28298" s="185" t="s">
        <v>470</v>
      </c>
      <c r="H28298" s="185"/>
    </row>
    <row r="28299">
      <c r="D28299" s="185"/>
      <c r="E28299" s="185" t="s">
        <v>470</v>
      </c>
      <c r="H28299" s="185"/>
    </row>
    <row r="28300">
      <c r="D28300" s="185"/>
      <c r="E28300" s="185" t="s">
        <v>470</v>
      </c>
      <c r="H28300" s="185"/>
    </row>
    <row r="28301">
      <c r="D28301" s="185"/>
      <c r="E28301" s="185" t="s">
        <v>470</v>
      </c>
      <c r="H28301" s="185"/>
    </row>
    <row r="28302">
      <c r="D28302" s="185"/>
      <c r="E28302" s="185" t="s">
        <v>470</v>
      </c>
      <c r="H28302" s="185"/>
    </row>
    <row r="28303">
      <c r="D28303" s="185"/>
      <c r="E28303" s="185" t="s">
        <v>470</v>
      </c>
      <c r="H28303" s="185"/>
    </row>
    <row r="28304">
      <c r="D28304" s="185"/>
      <c r="E28304" s="185" t="s">
        <v>470</v>
      </c>
      <c r="H28304" s="185"/>
    </row>
    <row r="28305">
      <c r="D28305" s="185"/>
      <c r="E28305" s="185" t="s">
        <v>470</v>
      </c>
      <c r="H28305" s="185"/>
    </row>
    <row r="28306">
      <c r="D28306" s="185"/>
      <c r="E28306" s="185" t="s">
        <v>470</v>
      </c>
      <c r="H28306" s="185"/>
    </row>
    <row r="28307">
      <c r="D28307" s="185"/>
      <c r="E28307" s="185" t="s">
        <v>470</v>
      </c>
      <c r="H28307" s="185"/>
    </row>
    <row r="28308">
      <c r="D28308" s="185"/>
      <c r="E28308" s="185" t="s">
        <v>470</v>
      </c>
      <c r="H28308" s="185"/>
    </row>
    <row r="28309">
      <c r="D28309" s="185"/>
      <c r="E28309" s="185" t="s">
        <v>470</v>
      </c>
      <c r="H28309" s="185"/>
    </row>
    <row r="28310">
      <c r="D28310" s="185"/>
      <c r="E28310" s="185" t="s">
        <v>470</v>
      </c>
      <c r="H28310" s="185"/>
    </row>
    <row r="28311">
      <c r="D28311" s="185"/>
      <c r="E28311" s="185" t="s">
        <v>470</v>
      </c>
      <c r="H28311" s="185"/>
    </row>
    <row r="28312">
      <c r="D28312" s="185"/>
      <c r="E28312" s="185" t="s">
        <v>470</v>
      </c>
      <c r="H28312" s="185"/>
    </row>
    <row r="28313">
      <c r="D28313" s="185"/>
      <c r="E28313" s="185" t="s">
        <v>470</v>
      </c>
      <c r="H28313" s="185"/>
    </row>
    <row r="28314">
      <c r="D28314" s="185"/>
      <c r="E28314" s="185" t="s">
        <v>470</v>
      </c>
      <c r="H28314" s="185"/>
    </row>
    <row r="28315">
      <c r="D28315" s="185"/>
      <c r="E28315" s="185" t="s">
        <v>470</v>
      </c>
      <c r="H28315" s="185"/>
    </row>
    <row r="28316">
      <c r="D28316" s="185"/>
      <c r="E28316" s="185" t="s">
        <v>470</v>
      </c>
      <c r="H28316" s="185"/>
    </row>
    <row r="28317">
      <c r="D28317" s="185"/>
      <c r="E28317" s="185" t="s">
        <v>470</v>
      </c>
      <c r="H28317" s="185"/>
    </row>
    <row r="28318">
      <c r="D28318" s="185"/>
      <c r="E28318" s="185" t="s">
        <v>470</v>
      </c>
      <c r="H28318" s="185"/>
    </row>
    <row r="28319">
      <c r="D28319" s="185"/>
      <c r="E28319" s="185" t="s">
        <v>470</v>
      </c>
      <c r="H28319" s="185"/>
    </row>
    <row r="28320">
      <c r="D28320" s="185"/>
      <c r="E28320" s="185" t="s">
        <v>470</v>
      </c>
      <c r="H28320" s="185"/>
    </row>
    <row r="28321">
      <c r="D28321" s="185"/>
      <c r="E28321" s="185" t="s">
        <v>470</v>
      </c>
      <c r="H28321" s="185"/>
    </row>
    <row r="28322">
      <c r="D28322" s="185"/>
      <c r="E28322" s="185" t="s">
        <v>470</v>
      </c>
      <c r="H28322" s="185"/>
    </row>
    <row r="28323">
      <c r="D28323" s="185"/>
      <c r="E28323" s="185" t="s">
        <v>470</v>
      </c>
      <c r="H28323" s="185"/>
    </row>
    <row r="28324">
      <c r="D28324" s="185"/>
      <c r="E28324" s="185" t="s">
        <v>470</v>
      </c>
      <c r="H28324" s="185"/>
    </row>
    <row r="28325">
      <c r="D28325" s="185"/>
      <c r="E28325" s="185" t="s">
        <v>470</v>
      </c>
      <c r="H28325" s="185"/>
    </row>
    <row r="28326">
      <c r="D28326" s="185"/>
      <c r="E28326" s="185" t="s">
        <v>470</v>
      </c>
      <c r="H28326" s="185"/>
    </row>
    <row r="28327">
      <c r="D28327" s="185"/>
      <c r="E28327" s="185" t="s">
        <v>470</v>
      </c>
      <c r="H28327" s="185"/>
    </row>
    <row r="28328">
      <c r="D28328" s="185"/>
      <c r="E28328" s="185" t="s">
        <v>470</v>
      </c>
      <c r="H28328" s="185"/>
    </row>
    <row r="28329">
      <c r="D28329" s="185"/>
      <c r="E28329" s="185" t="s">
        <v>470</v>
      </c>
      <c r="H28329" s="185"/>
    </row>
    <row r="28330">
      <c r="D28330" s="185"/>
      <c r="E28330" s="185" t="s">
        <v>470</v>
      </c>
      <c r="H28330" s="185"/>
    </row>
    <row r="28331">
      <c r="D28331" s="185"/>
      <c r="E28331" s="185" t="s">
        <v>470</v>
      </c>
      <c r="H28331" s="185"/>
    </row>
    <row r="28332">
      <c r="D28332" s="185"/>
      <c r="E28332" s="185" t="s">
        <v>470</v>
      </c>
      <c r="H28332" s="185"/>
    </row>
    <row r="28333">
      <c r="D28333" s="185"/>
      <c r="E28333" s="185" t="s">
        <v>470</v>
      </c>
      <c r="H28333" s="185"/>
    </row>
    <row r="28334">
      <c r="D28334" s="185"/>
      <c r="E28334" s="185" t="s">
        <v>470</v>
      </c>
      <c r="H28334" s="185"/>
    </row>
    <row r="28335">
      <c r="D28335" s="185"/>
      <c r="E28335" s="185" t="s">
        <v>470</v>
      </c>
      <c r="H28335" s="185"/>
    </row>
    <row r="28336">
      <c r="D28336" s="185"/>
      <c r="E28336" s="185" t="s">
        <v>470</v>
      </c>
      <c r="H28336" s="185"/>
    </row>
    <row r="28337">
      <c r="D28337" s="185"/>
      <c r="E28337" s="185" t="s">
        <v>470</v>
      </c>
      <c r="H28337" s="185"/>
    </row>
    <row r="28338">
      <c r="D28338" s="185"/>
      <c r="E28338" s="185" t="s">
        <v>470</v>
      </c>
      <c r="H28338" s="185"/>
    </row>
    <row r="28339">
      <c r="D28339" s="185"/>
      <c r="E28339" s="185" t="s">
        <v>470</v>
      </c>
      <c r="H28339" s="185"/>
    </row>
    <row r="28340">
      <c r="D28340" s="185"/>
      <c r="E28340" s="185" t="s">
        <v>470</v>
      </c>
      <c r="H28340" s="185"/>
    </row>
    <row r="28341">
      <c r="D28341" s="185"/>
      <c r="E28341" s="185" t="s">
        <v>470</v>
      </c>
      <c r="H28341" s="185"/>
    </row>
    <row r="28342">
      <c r="D28342" s="185"/>
      <c r="E28342" s="185" t="s">
        <v>470</v>
      </c>
      <c r="H28342" s="185"/>
    </row>
    <row r="28343">
      <c r="D28343" s="185"/>
      <c r="E28343" s="185" t="s">
        <v>470</v>
      </c>
      <c r="H28343" s="185"/>
    </row>
    <row r="28344">
      <c r="D28344" s="185"/>
      <c r="E28344" s="185" t="s">
        <v>470</v>
      </c>
      <c r="H28344" s="185"/>
    </row>
    <row r="28345">
      <c r="D28345" s="185"/>
      <c r="E28345" s="185" t="s">
        <v>470</v>
      </c>
      <c r="H28345" s="185"/>
    </row>
    <row r="28346">
      <c r="D28346" s="185"/>
      <c r="E28346" s="185" t="s">
        <v>470</v>
      </c>
      <c r="H28346" s="185"/>
    </row>
    <row r="28347">
      <c r="D28347" s="185"/>
      <c r="E28347" s="185" t="s">
        <v>470</v>
      </c>
      <c r="H28347" s="185"/>
    </row>
    <row r="28348">
      <c r="D28348" s="185"/>
      <c r="E28348" s="185" t="s">
        <v>470</v>
      </c>
      <c r="H28348" s="185"/>
    </row>
    <row r="28349">
      <c r="D28349" s="185"/>
      <c r="E28349" s="185" t="s">
        <v>470</v>
      </c>
      <c r="H28349" s="185"/>
    </row>
    <row r="28350">
      <c r="D28350" s="185"/>
      <c r="E28350" s="185" t="s">
        <v>470</v>
      </c>
      <c r="H28350" s="185"/>
    </row>
    <row r="28351">
      <c r="D28351" s="185"/>
      <c r="E28351" s="185" t="s">
        <v>470</v>
      </c>
      <c r="H28351" s="185"/>
    </row>
    <row r="28352">
      <c r="D28352" s="185"/>
      <c r="E28352" s="185" t="s">
        <v>470</v>
      </c>
      <c r="H28352" s="185"/>
    </row>
    <row r="28353">
      <c r="D28353" s="185"/>
      <c r="E28353" s="185" t="s">
        <v>470</v>
      </c>
      <c r="H28353" s="185"/>
    </row>
    <row r="28354">
      <c r="D28354" s="185"/>
      <c r="E28354" s="185" t="s">
        <v>470</v>
      </c>
      <c r="H28354" s="185"/>
    </row>
    <row r="28355">
      <c r="D28355" s="185"/>
      <c r="E28355" s="185" t="s">
        <v>470</v>
      </c>
      <c r="H28355" s="185"/>
    </row>
    <row r="28356">
      <c r="D28356" s="185"/>
      <c r="E28356" s="185" t="s">
        <v>470</v>
      </c>
      <c r="H28356" s="185"/>
    </row>
    <row r="28357">
      <c r="D28357" s="185"/>
      <c r="E28357" s="185" t="s">
        <v>470</v>
      </c>
      <c r="H28357" s="185"/>
    </row>
    <row r="28358">
      <c r="D28358" s="185"/>
      <c r="E28358" s="185" t="s">
        <v>470</v>
      </c>
      <c r="H28358" s="185"/>
    </row>
    <row r="28359">
      <c r="D28359" s="185"/>
      <c r="E28359" s="185" t="s">
        <v>470</v>
      </c>
      <c r="H28359" s="185"/>
    </row>
    <row r="28360">
      <c r="D28360" s="185"/>
      <c r="E28360" s="185" t="s">
        <v>470</v>
      </c>
      <c r="H28360" s="185"/>
    </row>
    <row r="28361">
      <c r="D28361" s="185"/>
      <c r="E28361" s="185" t="s">
        <v>470</v>
      </c>
      <c r="H28361" s="185"/>
    </row>
    <row r="28362">
      <c r="D28362" s="185"/>
      <c r="E28362" s="185" t="s">
        <v>470</v>
      </c>
      <c r="H28362" s="185"/>
    </row>
    <row r="28363">
      <c r="D28363" s="185"/>
      <c r="E28363" s="185" t="s">
        <v>470</v>
      </c>
      <c r="H28363" s="185"/>
    </row>
    <row r="28364">
      <c r="D28364" s="185"/>
      <c r="E28364" s="185" t="s">
        <v>470</v>
      </c>
      <c r="H28364" s="185"/>
    </row>
    <row r="28365">
      <c r="D28365" s="185"/>
      <c r="E28365" s="185" t="s">
        <v>470</v>
      </c>
      <c r="H28365" s="185"/>
    </row>
    <row r="28366">
      <c r="D28366" s="185"/>
      <c r="E28366" s="185" t="s">
        <v>470</v>
      </c>
      <c r="H28366" s="185"/>
    </row>
    <row r="28367">
      <c r="D28367" s="185"/>
      <c r="E28367" s="185" t="s">
        <v>470</v>
      </c>
      <c r="H28367" s="185"/>
    </row>
    <row r="28368">
      <c r="D28368" s="185"/>
      <c r="E28368" s="185" t="s">
        <v>470</v>
      </c>
      <c r="H28368" s="185"/>
    </row>
    <row r="28369">
      <c r="D28369" s="185"/>
      <c r="E28369" s="185" t="s">
        <v>470</v>
      </c>
      <c r="H28369" s="185"/>
    </row>
    <row r="28370">
      <c r="D28370" s="185"/>
      <c r="E28370" s="185" t="s">
        <v>470</v>
      </c>
      <c r="H28370" s="185"/>
    </row>
    <row r="28371">
      <c r="D28371" s="185"/>
      <c r="E28371" s="185" t="s">
        <v>470</v>
      </c>
      <c r="H28371" s="185"/>
    </row>
    <row r="28372">
      <c r="D28372" s="185"/>
      <c r="E28372" s="185" t="s">
        <v>470</v>
      </c>
      <c r="H28372" s="185"/>
    </row>
    <row r="28373">
      <c r="D28373" s="185"/>
      <c r="E28373" s="185" t="s">
        <v>470</v>
      </c>
      <c r="H28373" s="185"/>
    </row>
    <row r="28374">
      <c r="D28374" s="185"/>
      <c r="E28374" s="185" t="s">
        <v>470</v>
      </c>
      <c r="H28374" s="185"/>
    </row>
    <row r="28375">
      <c r="D28375" s="185"/>
      <c r="E28375" s="185" t="s">
        <v>470</v>
      </c>
      <c r="H28375" s="185"/>
    </row>
    <row r="28376">
      <c r="D28376" s="185"/>
      <c r="E28376" s="185" t="s">
        <v>470</v>
      </c>
      <c r="H28376" s="185"/>
    </row>
    <row r="28377">
      <c r="D28377" s="185"/>
      <c r="E28377" s="185" t="s">
        <v>470</v>
      </c>
      <c r="H28377" s="185"/>
    </row>
    <row r="28378">
      <c r="D28378" s="185"/>
      <c r="E28378" s="185" t="s">
        <v>470</v>
      </c>
      <c r="H28378" s="185"/>
    </row>
    <row r="28379">
      <c r="D28379" s="185"/>
      <c r="E28379" s="185" t="s">
        <v>470</v>
      </c>
      <c r="H28379" s="185"/>
    </row>
    <row r="28380">
      <c r="D28380" s="185"/>
      <c r="E28380" s="185" t="s">
        <v>470</v>
      </c>
      <c r="H28380" s="185"/>
    </row>
    <row r="28381">
      <c r="D28381" s="185"/>
      <c r="E28381" s="185" t="s">
        <v>470</v>
      </c>
      <c r="H28381" s="185"/>
    </row>
    <row r="28382">
      <c r="D28382" s="185"/>
      <c r="E28382" s="185" t="s">
        <v>470</v>
      </c>
      <c r="H28382" s="185"/>
    </row>
    <row r="28383">
      <c r="D28383" s="185"/>
      <c r="E28383" s="185" t="s">
        <v>470</v>
      </c>
      <c r="H28383" s="185"/>
    </row>
    <row r="28384">
      <c r="D28384" s="185"/>
      <c r="E28384" s="185" t="s">
        <v>470</v>
      </c>
      <c r="H28384" s="185"/>
    </row>
    <row r="28385">
      <c r="D28385" s="185"/>
      <c r="E28385" s="185" t="s">
        <v>470</v>
      </c>
      <c r="H28385" s="185"/>
    </row>
    <row r="28386">
      <c r="D28386" s="185"/>
      <c r="E28386" s="185" t="s">
        <v>470</v>
      </c>
      <c r="H28386" s="185"/>
    </row>
    <row r="28387">
      <c r="D28387" s="185"/>
      <c r="E28387" s="185" t="s">
        <v>470</v>
      </c>
      <c r="H28387" s="185"/>
    </row>
    <row r="28388">
      <c r="D28388" s="185"/>
      <c r="E28388" s="185" t="s">
        <v>470</v>
      </c>
      <c r="H28388" s="185"/>
    </row>
    <row r="28389">
      <c r="D28389" s="185"/>
      <c r="E28389" s="185" t="s">
        <v>470</v>
      </c>
      <c r="H28389" s="185"/>
    </row>
    <row r="28390">
      <c r="D28390" s="185"/>
      <c r="E28390" s="185" t="s">
        <v>470</v>
      </c>
      <c r="H28390" s="185"/>
    </row>
    <row r="28391">
      <c r="D28391" s="185"/>
      <c r="E28391" s="185" t="s">
        <v>470</v>
      </c>
      <c r="H28391" s="185"/>
    </row>
    <row r="28392">
      <c r="D28392" s="185"/>
      <c r="E28392" s="185" t="s">
        <v>470</v>
      </c>
      <c r="H28392" s="185"/>
    </row>
    <row r="28393">
      <c r="D28393" s="185"/>
      <c r="E28393" s="185" t="s">
        <v>470</v>
      </c>
      <c r="H28393" s="185"/>
    </row>
    <row r="28394">
      <c r="D28394" s="185"/>
      <c r="E28394" s="185" t="s">
        <v>470</v>
      </c>
      <c r="H28394" s="185"/>
    </row>
    <row r="28395">
      <c r="D28395" s="185"/>
      <c r="E28395" s="185" t="s">
        <v>470</v>
      </c>
      <c r="H28395" s="185"/>
    </row>
    <row r="28396">
      <c r="D28396" s="185"/>
      <c r="E28396" s="185" t="s">
        <v>470</v>
      </c>
      <c r="H28396" s="185"/>
    </row>
    <row r="28397">
      <c r="D28397" s="185"/>
      <c r="E28397" s="185" t="s">
        <v>470</v>
      </c>
      <c r="H28397" s="185"/>
    </row>
    <row r="28398">
      <c r="D28398" s="185"/>
      <c r="E28398" s="185" t="s">
        <v>470</v>
      </c>
      <c r="H28398" s="185"/>
    </row>
    <row r="28399">
      <c r="D28399" s="185"/>
      <c r="E28399" s="185" t="s">
        <v>470</v>
      </c>
      <c r="H28399" s="185"/>
    </row>
    <row r="28400">
      <c r="D28400" s="185"/>
      <c r="E28400" s="185" t="s">
        <v>470</v>
      </c>
      <c r="H28400" s="185"/>
    </row>
    <row r="28401">
      <c r="D28401" s="185"/>
      <c r="E28401" s="185" t="s">
        <v>470</v>
      </c>
      <c r="H28401" s="185"/>
    </row>
    <row r="28402">
      <c r="D28402" s="185"/>
      <c r="E28402" s="185" t="s">
        <v>470</v>
      </c>
      <c r="H28402" s="185"/>
    </row>
    <row r="28403">
      <c r="D28403" s="185"/>
      <c r="E28403" s="185" t="s">
        <v>470</v>
      </c>
      <c r="H28403" s="185"/>
    </row>
    <row r="28404">
      <c r="D28404" s="185"/>
      <c r="E28404" s="185" t="s">
        <v>470</v>
      </c>
      <c r="H28404" s="185"/>
    </row>
    <row r="28405">
      <c r="D28405" s="185"/>
      <c r="E28405" s="185" t="s">
        <v>470</v>
      </c>
      <c r="H28405" s="185"/>
    </row>
    <row r="28406">
      <c r="D28406" s="185"/>
      <c r="E28406" s="185" t="s">
        <v>470</v>
      </c>
      <c r="H28406" s="185"/>
    </row>
    <row r="28407">
      <c r="D28407" s="185"/>
      <c r="E28407" s="185" t="s">
        <v>470</v>
      </c>
      <c r="H28407" s="185"/>
    </row>
    <row r="28408">
      <c r="D28408" s="185"/>
      <c r="E28408" s="185" t="s">
        <v>470</v>
      </c>
      <c r="H28408" s="185"/>
    </row>
    <row r="28409">
      <c r="D28409" s="185"/>
      <c r="E28409" s="185" t="s">
        <v>470</v>
      </c>
      <c r="H28409" s="185"/>
    </row>
    <row r="28410">
      <c r="D28410" s="185"/>
      <c r="E28410" s="185" t="s">
        <v>470</v>
      </c>
      <c r="H28410" s="185"/>
    </row>
    <row r="28411">
      <c r="D28411" s="185"/>
      <c r="E28411" s="185" t="s">
        <v>470</v>
      </c>
      <c r="H28411" s="185"/>
    </row>
    <row r="28412">
      <c r="D28412" s="185"/>
      <c r="E28412" s="185" t="s">
        <v>470</v>
      </c>
      <c r="H28412" s="185"/>
    </row>
    <row r="28413">
      <c r="D28413" s="185"/>
      <c r="E28413" s="185" t="s">
        <v>470</v>
      </c>
      <c r="H28413" s="185"/>
    </row>
    <row r="28414">
      <c r="D28414" s="185"/>
      <c r="E28414" s="185" t="s">
        <v>470</v>
      </c>
      <c r="H28414" s="185"/>
    </row>
    <row r="28415">
      <c r="D28415" s="185"/>
      <c r="E28415" s="185" t="s">
        <v>470</v>
      </c>
      <c r="H28415" s="185"/>
    </row>
    <row r="28416">
      <c r="D28416" s="185"/>
      <c r="E28416" s="185" t="s">
        <v>470</v>
      </c>
      <c r="H28416" s="185"/>
    </row>
    <row r="28417">
      <c r="D28417" s="185"/>
      <c r="E28417" s="185" t="s">
        <v>470</v>
      </c>
      <c r="H28417" s="185"/>
    </row>
    <row r="28418">
      <c r="D28418" s="185"/>
      <c r="E28418" s="185" t="s">
        <v>470</v>
      </c>
      <c r="H28418" s="185"/>
    </row>
    <row r="28419">
      <c r="D28419" s="185"/>
      <c r="E28419" s="185" t="s">
        <v>470</v>
      </c>
      <c r="H28419" s="185"/>
    </row>
    <row r="28420">
      <c r="D28420" s="185"/>
      <c r="E28420" s="185" t="s">
        <v>470</v>
      </c>
      <c r="H28420" s="185"/>
    </row>
    <row r="28421">
      <c r="D28421" s="185"/>
      <c r="E28421" s="185" t="s">
        <v>470</v>
      </c>
      <c r="H28421" s="185"/>
    </row>
    <row r="28422">
      <c r="D28422" s="185"/>
      <c r="E28422" s="185" t="s">
        <v>470</v>
      </c>
      <c r="H28422" s="185"/>
    </row>
    <row r="28423">
      <c r="D28423" s="185"/>
      <c r="E28423" s="185" t="s">
        <v>470</v>
      </c>
      <c r="H28423" s="185"/>
    </row>
    <row r="28424">
      <c r="D28424" s="185"/>
      <c r="E28424" s="185" t="s">
        <v>470</v>
      </c>
      <c r="H28424" s="185"/>
    </row>
    <row r="28425">
      <c r="D28425" s="185"/>
      <c r="E28425" s="185" t="s">
        <v>470</v>
      </c>
      <c r="H28425" s="185"/>
    </row>
    <row r="28426">
      <c r="D28426" s="185"/>
      <c r="E28426" s="185" t="s">
        <v>470</v>
      </c>
      <c r="H28426" s="185"/>
    </row>
    <row r="28427">
      <c r="D28427" s="185"/>
      <c r="E28427" s="185" t="s">
        <v>470</v>
      </c>
      <c r="H28427" s="185"/>
    </row>
    <row r="28428">
      <c r="D28428" s="185"/>
      <c r="E28428" s="185" t="s">
        <v>470</v>
      </c>
      <c r="H28428" s="185"/>
    </row>
    <row r="28429">
      <c r="D28429" s="185"/>
      <c r="E28429" s="185" t="s">
        <v>470</v>
      </c>
      <c r="H28429" s="185"/>
    </row>
    <row r="28430">
      <c r="D28430" s="185"/>
      <c r="E28430" s="185" t="s">
        <v>470</v>
      </c>
      <c r="H28430" s="185"/>
    </row>
    <row r="28431">
      <c r="D28431" s="185"/>
      <c r="E28431" s="185" t="s">
        <v>470</v>
      </c>
      <c r="H28431" s="185"/>
    </row>
    <row r="28432">
      <c r="D28432" s="185"/>
      <c r="E28432" s="185" t="s">
        <v>470</v>
      </c>
      <c r="H28432" s="185"/>
    </row>
    <row r="28433">
      <c r="D28433" s="185"/>
      <c r="E28433" s="185" t="s">
        <v>470</v>
      </c>
      <c r="H28433" s="185"/>
    </row>
    <row r="28434">
      <c r="D28434" s="185"/>
      <c r="E28434" s="185" t="s">
        <v>470</v>
      </c>
      <c r="H28434" s="185"/>
    </row>
    <row r="28435">
      <c r="D28435" s="185"/>
      <c r="E28435" s="185" t="s">
        <v>470</v>
      </c>
      <c r="H28435" s="185"/>
    </row>
    <row r="28436">
      <c r="D28436" s="185"/>
      <c r="E28436" s="185" t="s">
        <v>470</v>
      </c>
      <c r="H28436" s="185"/>
    </row>
    <row r="28437">
      <c r="D28437" s="185"/>
      <c r="E28437" s="185" t="s">
        <v>470</v>
      </c>
      <c r="H28437" s="185"/>
    </row>
    <row r="28438">
      <c r="D28438" s="185"/>
      <c r="E28438" s="185" t="s">
        <v>470</v>
      </c>
      <c r="H28438" s="185"/>
    </row>
    <row r="28439">
      <c r="D28439" s="185"/>
      <c r="E28439" s="185" t="s">
        <v>470</v>
      </c>
      <c r="H28439" s="185"/>
    </row>
    <row r="28440">
      <c r="D28440" s="185"/>
      <c r="E28440" s="185" t="s">
        <v>470</v>
      </c>
      <c r="H28440" s="185"/>
    </row>
    <row r="28441">
      <c r="D28441" s="185"/>
      <c r="E28441" s="185" t="s">
        <v>470</v>
      </c>
      <c r="H28441" s="185"/>
    </row>
    <row r="28442">
      <c r="D28442" s="185"/>
      <c r="E28442" s="185" t="s">
        <v>470</v>
      </c>
      <c r="H28442" s="185"/>
    </row>
    <row r="28443">
      <c r="D28443" s="185"/>
      <c r="E28443" s="185" t="s">
        <v>470</v>
      </c>
      <c r="H28443" s="185"/>
    </row>
    <row r="28444">
      <c r="D28444" s="185"/>
      <c r="E28444" s="185" t="s">
        <v>470</v>
      </c>
      <c r="H28444" s="185"/>
    </row>
    <row r="28445">
      <c r="D28445" s="185"/>
      <c r="E28445" s="185" t="s">
        <v>470</v>
      </c>
      <c r="H28445" s="185"/>
    </row>
    <row r="28446">
      <c r="D28446" s="185"/>
      <c r="E28446" s="185" t="s">
        <v>470</v>
      </c>
      <c r="H28446" s="185"/>
    </row>
    <row r="28447">
      <c r="D28447" s="185"/>
      <c r="E28447" s="185" t="s">
        <v>470</v>
      </c>
      <c r="H28447" s="185"/>
    </row>
    <row r="28448">
      <c r="D28448" s="185"/>
      <c r="E28448" s="185" t="s">
        <v>470</v>
      </c>
      <c r="H28448" s="185"/>
    </row>
    <row r="28449">
      <c r="D28449" s="185"/>
      <c r="E28449" s="185" t="s">
        <v>470</v>
      </c>
      <c r="H28449" s="185"/>
    </row>
    <row r="28450">
      <c r="D28450" s="185"/>
      <c r="E28450" s="185" t="s">
        <v>470</v>
      </c>
      <c r="H28450" s="185"/>
    </row>
    <row r="28451">
      <c r="D28451" s="185"/>
      <c r="E28451" s="185" t="s">
        <v>470</v>
      </c>
      <c r="H28451" s="185"/>
    </row>
    <row r="28452">
      <c r="D28452" s="185"/>
      <c r="E28452" s="185" t="s">
        <v>470</v>
      </c>
      <c r="H28452" s="185"/>
    </row>
    <row r="28453">
      <c r="D28453" s="185"/>
      <c r="E28453" s="185" t="s">
        <v>470</v>
      </c>
      <c r="H28453" s="185"/>
    </row>
    <row r="28454">
      <c r="D28454" s="185"/>
      <c r="E28454" s="185" t="s">
        <v>470</v>
      </c>
      <c r="H28454" s="185"/>
    </row>
    <row r="28455">
      <c r="D28455" s="185"/>
      <c r="E28455" s="185" t="s">
        <v>470</v>
      </c>
      <c r="H28455" s="185"/>
    </row>
    <row r="28456">
      <c r="D28456" s="185"/>
      <c r="E28456" s="185" t="s">
        <v>470</v>
      </c>
      <c r="H28456" s="185"/>
    </row>
    <row r="28457">
      <c r="D28457" s="185"/>
      <c r="E28457" s="185" t="s">
        <v>470</v>
      </c>
      <c r="H28457" s="185"/>
    </row>
    <row r="28458">
      <c r="D28458" s="185"/>
      <c r="E28458" s="185" t="s">
        <v>470</v>
      </c>
      <c r="H28458" s="185"/>
    </row>
    <row r="28459">
      <c r="D28459" s="185"/>
      <c r="E28459" s="185" t="s">
        <v>470</v>
      </c>
      <c r="H28459" s="185"/>
    </row>
    <row r="28460">
      <c r="D28460" s="185"/>
      <c r="E28460" s="185" t="s">
        <v>470</v>
      </c>
      <c r="H28460" s="185"/>
    </row>
    <row r="28461">
      <c r="D28461" s="185"/>
      <c r="E28461" s="185" t="s">
        <v>470</v>
      </c>
      <c r="H28461" s="185"/>
    </row>
    <row r="28462">
      <c r="D28462" s="185"/>
      <c r="E28462" s="185" t="s">
        <v>470</v>
      </c>
      <c r="H28462" s="185"/>
    </row>
    <row r="28463">
      <c r="D28463" s="185"/>
      <c r="E28463" s="185" t="s">
        <v>470</v>
      </c>
      <c r="H28463" s="185"/>
    </row>
    <row r="28464">
      <c r="D28464" s="185"/>
      <c r="E28464" s="185" t="s">
        <v>470</v>
      </c>
      <c r="H28464" s="185"/>
    </row>
    <row r="28465">
      <c r="D28465" s="185"/>
      <c r="E28465" s="185" t="s">
        <v>470</v>
      </c>
      <c r="H28465" s="185"/>
    </row>
    <row r="28466">
      <c r="D28466" s="185"/>
      <c r="E28466" s="185" t="s">
        <v>470</v>
      </c>
      <c r="H28466" s="185"/>
    </row>
    <row r="28467">
      <c r="D28467" s="185"/>
      <c r="E28467" s="185" t="s">
        <v>470</v>
      </c>
      <c r="H28467" s="185"/>
    </row>
    <row r="28468">
      <c r="D28468" s="185"/>
      <c r="E28468" s="185" t="s">
        <v>470</v>
      </c>
      <c r="H28468" s="185"/>
    </row>
    <row r="28469">
      <c r="D28469" s="185"/>
      <c r="E28469" s="185" t="s">
        <v>470</v>
      </c>
      <c r="H28469" s="185"/>
    </row>
    <row r="28470">
      <c r="D28470" s="185"/>
      <c r="E28470" s="185" t="s">
        <v>470</v>
      </c>
      <c r="H28470" s="185"/>
    </row>
    <row r="28471">
      <c r="D28471" s="185"/>
      <c r="E28471" s="185" t="s">
        <v>470</v>
      </c>
      <c r="H28471" s="185"/>
    </row>
    <row r="28472">
      <c r="D28472" s="185"/>
      <c r="E28472" s="185" t="s">
        <v>470</v>
      </c>
      <c r="H28472" s="185"/>
    </row>
    <row r="28473">
      <c r="D28473" s="185"/>
      <c r="E28473" s="185" t="s">
        <v>470</v>
      </c>
      <c r="H28473" s="185"/>
    </row>
    <row r="28474">
      <c r="D28474" s="185"/>
      <c r="E28474" s="185" t="s">
        <v>470</v>
      </c>
      <c r="H28474" s="185"/>
    </row>
    <row r="28475">
      <c r="D28475" s="185"/>
      <c r="E28475" s="185" t="s">
        <v>470</v>
      </c>
      <c r="H28475" s="185"/>
    </row>
    <row r="28476">
      <c r="D28476" s="185"/>
      <c r="E28476" s="185" t="s">
        <v>470</v>
      </c>
      <c r="H28476" s="185"/>
    </row>
    <row r="28477">
      <c r="D28477" s="185"/>
      <c r="E28477" s="185" t="s">
        <v>470</v>
      </c>
      <c r="H28477" s="185"/>
    </row>
    <row r="28478">
      <c r="D28478" s="185"/>
      <c r="E28478" s="185" t="s">
        <v>470</v>
      </c>
      <c r="H28478" s="185"/>
    </row>
    <row r="28479">
      <c r="D28479" s="185"/>
      <c r="E28479" s="185" t="s">
        <v>470</v>
      </c>
      <c r="H28479" s="185"/>
    </row>
    <row r="28480">
      <c r="D28480" s="185"/>
      <c r="E28480" s="185" t="s">
        <v>470</v>
      </c>
      <c r="H28480" s="185"/>
    </row>
    <row r="28481">
      <c r="D28481" s="185"/>
      <c r="E28481" s="185" t="s">
        <v>470</v>
      </c>
      <c r="H28481" s="185"/>
    </row>
    <row r="28482">
      <c r="D28482" s="185"/>
      <c r="E28482" s="185" t="s">
        <v>470</v>
      </c>
      <c r="H28482" s="185"/>
    </row>
    <row r="28483">
      <c r="D28483" s="185"/>
      <c r="E28483" s="185" t="s">
        <v>470</v>
      </c>
      <c r="H28483" s="185"/>
    </row>
    <row r="28484">
      <c r="D28484" s="185"/>
      <c r="E28484" s="185" t="s">
        <v>470</v>
      </c>
      <c r="H28484" s="185"/>
    </row>
    <row r="28485">
      <c r="D28485" s="185"/>
      <c r="E28485" s="185" t="s">
        <v>470</v>
      </c>
      <c r="H28485" s="185"/>
    </row>
    <row r="28486">
      <c r="D28486" s="185"/>
      <c r="E28486" s="185" t="s">
        <v>470</v>
      </c>
      <c r="H28486" s="185"/>
    </row>
    <row r="28487">
      <c r="D28487" s="185"/>
      <c r="E28487" s="185" t="s">
        <v>470</v>
      </c>
      <c r="H28487" s="185"/>
    </row>
    <row r="28488">
      <c r="D28488" s="185"/>
      <c r="E28488" s="185" t="s">
        <v>470</v>
      </c>
      <c r="H28488" s="185"/>
    </row>
    <row r="28489">
      <c r="D28489" s="185"/>
      <c r="E28489" s="185" t="s">
        <v>470</v>
      </c>
      <c r="H28489" s="185"/>
    </row>
    <row r="28490">
      <c r="D28490" s="185"/>
      <c r="E28490" s="185" t="s">
        <v>470</v>
      </c>
      <c r="H28490" s="185"/>
    </row>
    <row r="28491">
      <c r="D28491" s="185"/>
      <c r="E28491" s="185" t="s">
        <v>470</v>
      </c>
      <c r="H28491" s="185"/>
    </row>
    <row r="28492">
      <c r="D28492" s="185"/>
      <c r="E28492" s="185" t="s">
        <v>470</v>
      </c>
      <c r="H28492" s="185"/>
    </row>
    <row r="28493">
      <c r="D28493" s="185"/>
      <c r="E28493" s="185" t="s">
        <v>470</v>
      </c>
      <c r="H28493" s="185"/>
    </row>
    <row r="28494">
      <c r="D28494" s="185"/>
      <c r="E28494" s="185" t="s">
        <v>470</v>
      </c>
      <c r="H28494" s="185"/>
    </row>
    <row r="28495">
      <c r="D28495" s="185"/>
      <c r="E28495" s="185" t="s">
        <v>470</v>
      </c>
      <c r="H28495" s="185"/>
    </row>
    <row r="28496">
      <c r="D28496" s="185"/>
      <c r="E28496" s="185" t="s">
        <v>470</v>
      </c>
      <c r="H28496" s="185"/>
    </row>
    <row r="28497">
      <c r="D28497" s="185"/>
      <c r="E28497" s="185" t="s">
        <v>470</v>
      </c>
      <c r="H28497" s="185"/>
    </row>
    <row r="28498">
      <c r="D28498" s="185"/>
      <c r="E28498" s="185" t="s">
        <v>470</v>
      </c>
      <c r="H28498" s="185"/>
    </row>
    <row r="28499">
      <c r="D28499" s="185"/>
      <c r="E28499" s="185" t="s">
        <v>470</v>
      </c>
      <c r="H28499" s="185"/>
    </row>
    <row r="28500">
      <c r="D28500" s="185"/>
      <c r="E28500" s="185" t="s">
        <v>470</v>
      </c>
      <c r="H28500" s="185"/>
    </row>
    <row r="28501">
      <c r="D28501" s="185"/>
      <c r="E28501" s="185" t="s">
        <v>470</v>
      </c>
      <c r="H28501" s="185"/>
    </row>
    <row r="28502">
      <c r="D28502" s="185"/>
      <c r="E28502" s="185" t="s">
        <v>470</v>
      </c>
      <c r="H28502" s="185"/>
    </row>
    <row r="28503">
      <c r="D28503" s="185"/>
      <c r="E28503" s="185" t="s">
        <v>470</v>
      </c>
      <c r="H28503" s="185"/>
    </row>
    <row r="28504">
      <c r="D28504" s="185"/>
      <c r="E28504" s="185" t="s">
        <v>470</v>
      </c>
      <c r="H28504" s="185"/>
    </row>
    <row r="28505">
      <c r="D28505" s="185"/>
      <c r="E28505" s="185" t="s">
        <v>470</v>
      </c>
      <c r="H28505" s="185"/>
    </row>
    <row r="28506">
      <c r="D28506" s="185"/>
      <c r="E28506" s="185" t="s">
        <v>470</v>
      </c>
      <c r="H28506" s="185"/>
    </row>
    <row r="28507">
      <c r="D28507" s="185"/>
      <c r="E28507" s="185" t="s">
        <v>470</v>
      </c>
      <c r="H28507" s="185"/>
    </row>
    <row r="28508">
      <c r="D28508" s="185"/>
      <c r="E28508" s="185" t="s">
        <v>470</v>
      </c>
      <c r="H28508" s="185"/>
    </row>
    <row r="28509">
      <c r="D28509" s="185"/>
      <c r="E28509" s="185" t="s">
        <v>470</v>
      </c>
      <c r="H28509" s="185"/>
    </row>
    <row r="28510">
      <c r="D28510" s="185"/>
      <c r="E28510" s="185" t="s">
        <v>470</v>
      </c>
      <c r="H28510" s="185"/>
    </row>
    <row r="28511">
      <c r="D28511" s="185"/>
      <c r="E28511" s="185" t="s">
        <v>470</v>
      </c>
      <c r="H28511" s="185"/>
    </row>
    <row r="28512">
      <c r="D28512" s="185"/>
      <c r="E28512" s="185" t="s">
        <v>470</v>
      </c>
      <c r="H28512" s="185"/>
    </row>
    <row r="28513">
      <c r="D28513" s="185"/>
      <c r="E28513" s="185" t="s">
        <v>470</v>
      </c>
      <c r="H28513" s="185"/>
    </row>
    <row r="28514">
      <c r="D28514" s="185"/>
      <c r="E28514" s="185" t="s">
        <v>470</v>
      </c>
      <c r="H28514" s="185"/>
    </row>
    <row r="28515">
      <c r="D28515" s="185"/>
      <c r="E28515" s="185" t="s">
        <v>470</v>
      </c>
      <c r="H28515" s="185"/>
    </row>
    <row r="28516">
      <c r="D28516" s="185"/>
      <c r="E28516" s="185" t="s">
        <v>470</v>
      </c>
      <c r="H28516" s="185"/>
    </row>
    <row r="28517">
      <c r="D28517" s="185"/>
      <c r="E28517" s="185" t="s">
        <v>470</v>
      </c>
      <c r="H28517" s="185"/>
    </row>
    <row r="28518">
      <c r="D28518" s="185"/>
      <c r="E28518" s="185" t="s">
        <v>470</v>
      </c>
      <c r="H28518" s="185"/>
    </row>
    <row r="28519">
      <c r="D28519" s="185"/>
      <c r="E28519" s="185" t="s">
        <v>470</v>
      </c>
      <c r="H28519" s="185"/>
    </row>
    <row r="28520">
      <c r="D28520" s="185"/>
      <c r="E28520" s="185" t="s">
        <v>470</v>
      </c>
      <c r="H28520" s="185"/>
    </row>
    <row r="28521">
      <c r="D28521" s="185"/>
      <c r="E28521" s="185" t="s">
        <v>470</v>
      </c>
      <c r="H28521" s="185"/>
    </row>
    <row r="28522">
      <c r="D28522" s="185"/>
      <c r="E28522" s="185" t="s">
        <v>470</v>
      </c>
      <c r="H28522" s="185"/>
    </row>
    <row r="28523">
      <c r="D28523" s="185"/>
      <c r="E28523" s="185" t="s">
        <v>470</v>
      </c>
      <c r="H28523" s="185"/>
    </row>
    <row r="28524">
      <c r="D28524" s="185"/>
      <c r="E28524" s="185" t="s">
        <v>470</v>
      </c>
      <c r="H28524" s="185"/>
    </row>
    <row r="28525">
      <c r="D28525" s="185"/>
      <c r="E28525" s="185" t="s">
        <v>470</v>
      </c>
      <c r="H28525" s="185"/>
    </row>
    <row r="28526">
      <c r="D28526" s="185"/>
      <c r="E28526" s="185" t="s">
        <v>470</v>
      </c>
      <c r="H28526" s="185"/>
    </row>
    <row r="28527">
      <c r="D28527" s="185"/>
      <c r="E28527" s="185" t="s">
        <v>470</v>
      </c>
      <c r="H28527" s="185"/>
    </row>
    <row r="28528">
      <c r="D28528" s="185"/>
      <c r="E28528" s="185" t="s">
        <v>470</v>
      </c>
      <c r="H28528" s="185"/>
    </row>
    <row r="28529">
      <c r="D28529" s="185"/>
      <c r="E28529" s="185" t="s">
        <v>470</v>
      </c>
      <c r="H28529" s="185"/>
    </row>
    <row r="28530">
      <c r="D28530" s="185"/>
      <c r="E28530" s="185" t="s">
        <v>470</v>
      </c>
      <c r="H28530" s="185"/>
    </row>
    <row r="28531">
      <c r="D28531" s="185"/>
      <c r="E28531" s="185" t="s">
        <v>470</v>
      </c>
      <c r="H28531" s="185"/>
    </row>
    <row r="28532">
      <c r="D28532" s="185"/>
      <c r="E28532" s="185" t="s">
        <v>470</v>
      </c>
      <c r="H28532" s="185"/>
    </row>
    <row r="28533">
      <c r="D28533" s="185"/>
      <c r="E28533" s="185" t="s">
        <v>470</v>
      </c>
      <c r="H28533" s="185"/>
    </row>
    <row r="28534">
      <c r="D28534" s="185"/>
      <c r="E28534" s="185" t="s">
        <v>470</v>
      </c>
      <c r="H28534" s="185"/>
    </row>
    <row r="28535">
      <c r="D28535" s="185"/>
      <c r="E28535" s="185" t="s">
        <v>470</v>
      </c>
      <c r="H28535" s="185"/>
    </row>
    <row r="28536">
      <c r="D28536" s="185"/>
      <c r="E28536" s="185" t="s">
        <v>470</v>
      </c>
      <c r="H28536" s="185"/>
    </row>
    <row r="28537">
      <c r="D28537" s="185"/>
      <c r="E28537" s="185" t="s">
        <v>470</v>
      </c>
      <c r="H28537" s="185"/>
    </row>
    <row r="28538">
      <c r="D28538" s="185"/>
      <c r="E28538" s="185" t="s">
        <v>470</v>
      </c>
      <c r="H28538" s="185"/>
    </row>
    <row r="28539">
      <c r="D28539" s="185"/>
      <c r="E28539" s="185" t="s">
        <v>470</v>
      </c>
      <c r="H28539" s="185"/>
    </row>
    <row r="28540">
      <c r="D28540" s="185"/>
      <c r="E28540" s="185" t="s">
        <v>470</v>
      </c>
      <c r="H28540" s="185"/>
    </row>
    <row r="28541">
      <c r="D28541" s="185"/>
      <c r="E28541" s="185" t="s">
        <v>470</v>
      </c>
      <c r="H28541" s="185"/>
    </row>
    <row r="28542">
      <c r="D28542" s="185"/>
      <c r="E28542" s="185" t="s">
        <v>470</v>
      </c>
      <c r="H28542" s="185"/>
    </row>
    <row r="28543">
      <c r="D28543" s="185"/>
      <c r="E28543" s="185" t="s">
        <v>470</v>
      </c>
      <c r="H28543" s="185"/>
    </row>
    <row r="28544">
      <c r="D28544" s="185"/>
      <c r="E28544" s="185" t="s">
        <v>470</v>
      </c>
      <c r="H28544" s="185"/>
    </row>
    <row r="28545">
      <c r="D28545" s="185"/>
      <c r="E28545" s="185" t="s">
        <v>470</v>
      </c>
      <c r="H28545" s="185"/>
    </row>
    <row r="28546">
      <c r="D28546" s="185"/>
      <c r="E28546" s="185" t="s">
        <v>470</v>
      </c>
      <c r="H28546" s="185"/>
    </row>
    <row r="28547">
      <c r="D28547" s="185"/>
      <c r="E28547" s="185" t="s">
        <v>470</v>
      </c>
      <c r="H28547" s="185"/>
    </row>
    <row r="28548">
      <c r="D28548" s="185"/>
      <c r="E28548" s="185" t="s">
        <v>470</v>
      </c>
      <c r="H28548" s="185"/>
    </row>
    <row r="28549">
      <c r="D28549" s="185"/>
      <c r="E28549" s="185" t="s">
        <v>470</v>
      </c>
      <c r="H28549" s="185"/>
    </row>
    <row r="28550">
      <c r="D28550" s="185"/>
      <c r="E28550" s="185" t="s">
        <v>470</v>
      </c>
      <c r="H28550" s="185"/>
    </row>
    <row r="28551">
      <c r="D28551" s="185"/>
      <c r="E28551" s="185" t="s">
        <v>470</v>
      </c>
      <c r="H28551" s="185"/>
    </row>
    <row r="28552">
      <c r="D28552" s="185"/>
      <c r="E28552" s="185" t="s">
        <v>470</v>
      </c>
      <c r="H28552" s="185"/>
    </row>
    <row r="28553">
      <c r="D28553" s="185"/>
      <c r="E28553" s="185" t="s">
        <v>470</v>
      </c>
      <c r="H28553" s="185"/>
    </row>
    <row r="28554">
      <c r="D28554" s="185"/>
      <c r="E28554" s="185" t="s">
        <v>470</v>
      </c>
      <c r="H28554" s="185"/>
    </row>
    <row r="28555">
      <c r="D28555" s="185"/>
      <c r="E28555" s="185" t="s">
        <v>470</v>
      </c>
      <c r="H28555" s="185"/>
    </row>
    <row r="28556">
      <c r="D28556" s="185"/>
      <c r="E28556" s="185" t="s">
        <v>470</v>
      </c>
      <c r="H28556" s="185"/>
    </row>
    <row r="28557">
      <c r="D28557" s="185"/>
      <c r="E28557" s="185" t="s">
        <v>470</v>
      </c>
      <c r="H28557" s="185"/>
    </row>
    <row r="28558">
      <c r="D28558" s="185"/>
      <c r="E28558" s="185" t="s">
        <v>470</v>
      </c>
      <c r="H28558" s="185"/>
    </row>
    <row r="28559">
      <c r="D28559" s="185"/>
      <c r="E28559" s="185" t="s">
        <v>470</v>
      </c>
      <c r="H28559" s="185"/>
    </row>
    <row r="28560">
      <c r="D28560" s="185"/>
      <c r="E28560" s="185" t="s">
        <v>470</v>
      </c>
      <c r="H28560" s="185"/>
    </row>
    <row r="28561">
      <c r="D28561" s="185"/>
      <c r="E28561" s="185" t="s">
        <v>470</v>
      </c>
      <c r="H28561" s="185"/>
    </row>
    <row r="28562">
      <c r="D28562" s="185"/>
      <c r="E28562" s="185" t="s">
        <v>470</v>
      </c>
      <c r="H28562" s="185"/>
    </row>
    <row r="28563">
      <c r="D28563" s="185"/>
      <c r="E28563" s="185" t="s">
        <v>470</v>
      </c>
      <c r="H28563" s="185"/>
    </row>
    <row r="28564">
      <c r="D28564" s="185"/>
      <c r="E28564" s="185" t="s">
        <v>470</v>
      </c>
      <c r="H28564" s="185"/>
    </row>
    <row r="28565">
      <c r="D28565" s="185"/>
      <c r="E28565" s="185" t="s">
        <v>470</v>
      </c>
      <c r="H28565" s="185"/>
    </row>
    <row r="28566">
      <c r="D28566" s="185"/>
      <c r="E28566" s="185" t="s">
        <v>470</v>
      </c>
      <c r="H28566" s="185"/>
    </row>
    <row r="28567">
      <c r="D28567" s="185"/>
      <c r="E28567" s="185" t="s">
        <v>470</v>
      </c>
      <c r="H28567" s="185"/>
    </row>
    <row r="28568">
      <c r="D28568" s="185"/>
      <c r="E28568" s="185" t="s">
        <v>470</v>
      </c>
      <c r="H28568" s="185"/>
    </row>
    <row r="28569">
      <c r="D28569" s="185"/>
      <c r="E28569" s="185" t="s">
        <v>470</v>
      </c>
      <c r="H28569" s="185"/>
    </row>
    <row r="28570">
      <c r="D28570" s="185"/>
      <c r="E28570" s="185" t="s">
        <v>470</v>
      </c>
      <c r="H28570" s="185"/>
    </row>
    <row r="28571">
      <c r="D28571" s="185"/>
      <c r="E28571" s="185" t="s">
        <v>470</v>
      </c>
      <c r="H28571" s="185"/>
    </row>
    <row r="28572">
      <c r="D28572" s="185"/>
      <c r="E28572" s="185" t="s">
        <v>470</v>
      </c>
      <c r="H28572" s="185"/>
    </row>
    <row r="28573">
      <c r="D28573" s="185"/>
      <c r="E28573" s="185" t="s">
        <v>470</v>
      </c>
      <c r="H28573" s="185"/>
    </row>
    <row r="28574">
      <c r="D28574" s="185"/>
      <c r="E28574" s="185" t="s">
        <v>470</v>
      </c>
      <c r="H28574" s="185"/>
    </row>
    <row r="28575">
      <c r="D28575" s="185"/>
      <c r="E28575" s="185" t="s">
        <v>470</v>
      </c>
      <c r="H28575" s="185"/>
    </row>
    <row r="28576">
      <c r="D28576" s="185"/>
      <c r="E28576" s="185" t="s">
        <v>470</v>
      </c>
      <c r="H28576" s="185"/>
    </row>
    <row r="28577">
      <c r="D28577" s="185"/>
      <c r="E28577" s="185" t="s">
        <v>470</v>
      </c>
      <c r="H28577" s="185"/>
    </row>
    <row r="28578">
      <c r="D28578" s="185"/>
      <c r="E28578" s="185" t="s">
        <v>470</v>
      </c>
      <c r="H28578" s="185"/>
    </row>
    <row r="28579">
      <c r="D28579" s="185"/>
      <c r="E28579" s="185" t="s">
        <v>470</v>
      </c>
      <c r="H28579" s="185"/>
    </row>
    <row r="28580">
      <c r="D28580" s="185"/>
      <c r="E28580" s="185" t="s">
        <v>470</v>
      </c>
      <c r="H28580" s="185"/>
    </row>
    <row r="28581">
      <c r="D28581" s="185"/>
      <c r="E28581" s="185" t="s">
        <v>470</v>
      </c>
      <c r="H28581" s="185"/>
    </row>
    <row r="28582">
      <c r="D28582" s="185"/>
      <c r="E28582" s="185" t="s">
        <v>470</v>
      </c>
      <c r="H28582" s="185"/>
    </row>
    <row r="28583">
      <c r="D28583" s="185"/>
      <c r="E28583" s="185" t="s">
        <v>470</v>
      </c>
      <c r="H28583" s="185"/>
    </row>
    <row r="28584">
      <c r="D28584" s="185"/>
      <c r="E28584" s="185" t="s">
        <v>470</v>
      </c>
      <c r="H28584" s="185"/>
    </row>
    <row r="28585">
      <c r="D28585" s="185"/>
      <c r="E28585" s="185" t="s">
        <v>470</v>
      </c>
      <c r="H28585" s="185"/>
    </row>
    <row r="28586">
      <c r="D28586" s="185"/>
      <c r="E28586" s="185" t="s">
        <v>470</v>
      </c>
      <c r="H28586" s="185"/>
    </row>
    <row r="28587">
      <c r="D28587" s="185"/>
      <c r="E28587" s="185" t="s">
        <v>470</v>
      </c>
      <c r="H28587" s="185"/>
    </row>
    <row r="28588">
      <c r="D28588" s="185"/>
      <c r="E28588" s="185" t="s">
        <v>470</v>
      </c>
      <c r="H28588" s="185"/>
    </row>
    <row r="28589">
      <c r="D28589" s="185"/>
      <c r="E28589" s="185" t="s">
        <v>470</v>
      </c>
      <c r="H28589" s="185"/>
    </row>
    <row r="28590">
      <c r="D28590" s="185"/>
      <c r="E28590" s="185" t="s">
        <v>470</v>
      </c>
      <c r="H28590" s="185"/>
    </row>
    <row r="28591">
      <c r="D28591" s="185"/>
      <c r="E28591" s="185" t="s">
        <v>470</v>
      </c>
      <c r="H28591" s="185"/>
    </row>
    <row r="28592">
      <c r="D28592" s="185"/>
      <c r="E28592" s="185" t="s">
        <v>470</v>
      </c>
      <c r="H28592" s="185"/>
    </row>
    <row r="28593">
      <c r="D28593" s="185"/>
      <c r="E28593" s="185" t="s">
        <v>470</v>
      </c>
      <c r="H28593" s="185"/>
    </row>
    <row r="28594">
      <c r="D28594" s="185"/>
      <c r="E28594" s="185" t="s">
        <v>470</v>
      </c>
      <c r="H28594" s="185"/>
    </row>
    <row r="28595">
      <c r="D28595" s="185"/>
      <c r="E28595" s="185" t="s">
        <v>470</v>
      </c>
      <c r="H28595" s="185"/>
    </row>
    <row r="28596">
      <c r="D28596" s="185"/>
      <c r="E28596" s="185" t="s">
        <v>470</v>
      </c>
      <c r="H28596" s="185"/>
    </row>
    <row r="28597">
      <c r="D28597" s="185"/>
      <c r="E28597" s="185" t="s">
        <v>470</v>
      </c>
      <c r="H28597" s="185"/>
    </row>
    <row r="28598">
      <c r="D28598" s="185"/>
      <c r="E28598" s="185" t="s">
        <v>470</v>
      </c>
      <c r="H28598" s="185"/>
    </row>
    <row r="28599">
      <c r="D28599" s="185"/>
      <c r="E28599" s="185" t="s">
        <v>470</v>
      </c>
      <c r="H28599" s="185"/>
    </row>
    <row r="28600">
      <c r="D28600" s="185"/>
      <c r="E28600" s="185" t="s">
        <v>470</v>
      </c>
      <c r="H28600" s="185"/>
    </row>
    <row r="28601">
      <c r="D28601" s="185"/>
      <c r="E28601" s="185" t="s">
        <v>470</v>
      </c>
      <c r="H28601" s="185"/>
    </row>
    <row r="28602">
      <c r="D28602" s="185"/>
      <c r="E28602" s="185" t="s">
        <v>470</v>
      </c>
      <c r="H28602" s="185"/>
    </row>
    <row r="28603">
      <c r="D28603" s="185"/>
      <c r="E28603" s="185" t="s">
        <v>470</v>
      </c>
      <c r="H28603" s="185"/>
    </row>
    <row r="28604">
      <c r="D28604" s="185"/>
      <c r="E28604" s="185" t="s">
        <v>470</v>
      </c>
      <c r="H28604" s="185"/>
    </row>
    <row r="28605">
      <c r="D28605" s="185"/>
      <c r="E28605" s="185" t="s">
        <v>470</v>
      </c>
      <c r="H28605" s="185"/>
    </row>
    <row r="28606">
      <c r="D28606" s="185"/>
      <c r="E28606" s="185" t="s">
        <v>470</v>
      </c>
      <c r="H28606" s="185"/>
    </row>
    <row r="28607">
      <c r="D28607" s="185"/>
      <c r="E28607" s="185" t="s">
        <v>470</v>
      </c>
      <c r="H28607" s="185"/>
    </row>
    <row r="28608">
      <c r="D28608" s="185"/>
      <c r="E28608" s="185" t="s">
        <v>470</v>
      </c>
      <c r="H28608" s="185"/>
    </row>
    <row r="28609">
      <c r="D28609" s="185"/>
      <c r="E28609" s="185" t="s">
        <v>470</v>
      </c>
      <c r="H28609" s="185"/>
    </row>
    <row r="28610">
      <c r="D28610" s="185"/>
      <c r="E28610" s="185" t="s">
        <v>470</v>
      </c>
      <c r="H28610" s="185"/>
    </row>
    <row r="28611">
      <c r="D28611" s="185"/>
      <c r="E28611" s="185" t="s">
        <v>470</v>
      </c>
      <c r="H28611" s="185"/>
    </row>
    <row r="28612">
      <c r="D28612" s="185"/>
      <c r="E28612" s="185" t="s">
        <v>470</v>
      </c>
      <c r="H28612" s="185"/>
    </row>
    <row r="28613">
      <c r="D28613" s="185"/>
      <c r="E28613" s="185" t="s">
        <v>470</v>
      </c>
      <c r="H28613" s="185"/>
    </row>
    <row r="28614">
      <c r="D28614" s="185"/>
      <c r="E28614" s="185" t="s">
        <v>470</v>
      </c>
      <c r="H28614" s="185"/>
    </row>
    <row r="28615">
      <c r="D28615" s="185"/>
      <c r="E28615" s="185" t="s">
        <v>470</v>
      </c>
      <c r="H28615" s="185"/>
    </row>
    <row r="28616">
      <c r="D28616" s="185"/>
      <c r="E28616" s="185" t="s">
        <v>470</v>
      </c>
      <c r="H28616" s="185"/>
    </row>
    <row r="28617">
      <c r="D28617" s="185"/>
      <c r="E28617" s="185" t="s">
        <v>470</v>
      </c>
      <c r="H28617" s="185"/>
    </row>
    <row r="28618">
      <c r="D28618" s="185"/>
      <c r="E28618" s="185" t="s">
        <v>470</v>
      </c>
      <c r="H28618" s="185"/>
    </row>
    <row r="28619">
      <c r="D28619" s="185"/>
      <c r="E28619" s="185" t="s">
        <v>470</v>
      </c>
      <c r="H28619" s="185"/>
    </row>
    <row r="28620">
      <c r="D28620" s="185"/>
      <c r="E28620" s="185" t="s">
        <v>470</v>
      </c>
      <c r="H28620" s="185"/>
    </row>
    <row r="28621">
      <c r="D28621" s="185"/>
      <c r="E28621" s="185" t="s">
        <v>470</v>
      </c>
      <c r="H28621" s="185"/>
    </row>
    <row r="28622">
      <c r="D28622" s="185"/>
      <c r="E28622" s="185" t="s">
        <v>470</v>
      </c>
      <c r="H28622" s="185"/>
    </row>
    <row r="28623">
      <c r="D28623" s="185"/>
      <c r="E28623" s="185" t="s">
        <v>470</v>
      </c>
      <c r="H28623" s="185"/>
    </row>
    <row r="28624">
      <c r="D28624" s="185"/>
      <c r="E28624" s="185" t="s">
        <v>470</v>
      </c>
      <c r="H28624" s="185"/>
    </row>
    <row r="28625">
      <c r="D28625" s="185"/>
      <c r="E28625" s="185" t="s">
        <v>470</v>
      </c>
      <c r="H28625" s="185"/>
    </row>
    <row r="28626">
      <c r="D28626" s="185"/>
      <c r="E28626" s="185" t="s">
        <v>470</v>
      </c>
      <c r="H28626" s="185"/>
    </row>
    <row r="28627">
      <c r="D28627" s="185"/>
      <c r="E28627" s="185" t="s">
        <v>470</v>
      </c>
      <c r="H28627" s="185"/>
    </row>
    <row r="28628">
      <c r="D28628" s="185"/>
      <c r="E28628" s="185" t="s">
        <v>470</v>
      </c>
      <c r="H28628" s="185"/>
    </row>
    <row r="28629">
      <c r="D28629" s="185"/>
      <c r="E28629" s="185" t="s">
        <v>470</v>
      </c>
      <c r="H28629" s="185"/>
    </row>
    <row r="28630">
      <c r="D28630" s="185"/>
      <c r="E28630" s="185" t="s">
        <v>470</v>
      </c>
      <c r="H28630" s="185"/>
    </row>
    <row r="28631">
      <c r="D28631" s="185"/>
      <c r="E28631" s="185" t="s">
        <v>470</v>
      </c>
      <c r="H28631" s="185"/>
    </row>
    <row r="28632">
      <c r="D28632" s="185"/>
      <c r="E28632" s="185" t="s">
        <v>470</v>
      </c>
      <c r="H28632" s="185"/>
    </row>
    <row r="28633">
      <c r="D28633" s="185"/>
      <c r="E28633" s="185" t="s">
        <v>470</v>
      </c>
      <c r="H28633" s="185"/>
    </row>
    <row r="28634">
      <c r="D28634" s="185"/>
      <c r="E28634" s="185" t="s">
        <v>470</v>
      </c>
      <c r="H28634" s="185"/>
    </row>
    <row r="28635">
      <c r="D28635" s="185"/>
      <c r="E28635" s="185" t="s">
        <v>470</v>
      </c>
      <c r="H28635" s="185"/>
    </row>
    <row r="28636">
      <c r="D28636" s="185"/>
      <c r="E28636" s="185" t="s">
        <v>470</v>
      </c>
      <c r="H28636" s="185"/>
    </row>
    <row r="28637">
      <c r="D28637" s="185"/>
      <c r="E28637" s="185" t="s">
        <v>470</v>
      </c>
      <c r="H28637" s="185"/>
    </row>
    <row r="28638">
      <c r="D28638" s="185"/>
      <c r="E28638" s="185" t="s">
        <v>470</v>
      </c>
      <c r="H28638" s="185"/>
    </row>
    <row r="28639">
      <c r="D28639" s="185"/>
      <c r="E28639" s="185" t="s">
        <v>470</v>
      </c>
      <c r="H28639" s="185"/>
    </row>
    <row r="28640">
      <c r="D28640" s="185"/>
      <c r="E28640" s="185" t="s">
        <v>470</v>
      </c>
      <c r="H28640" s="185"/>
    </row>
    <row r="28641">
      <c r="D28641" s="185"/>
      <c r="E28641" s="185" t="s">
        <v>470</v>
      </c>
      <c r="H28641" s="185"/>
    </row>
    <row r="28642">
      <c r="D28642" s="185"/>
      <c r="E28642" s="185" t="s">
        <v>470</v>
      </c>
      <c r="H28642" s="185"/>
    </row>
    <row r="28643">
      <c r="D28643" s="185"/>
      <c r="E28643" s="185" t="s">
        <v>470</v>
      </c>
      <c r="H28643" s="185"/>
    </row>
    <row r="28644">
      <c r="D28644" s="185"/>
      <c r="E28644" s="185" t="s">
        <v>470</v>
      </c>
      <c r="H28644" s="185"/>
    </row>
    <row r="28645">
      <c r="D28645" s="185"/>
      <c r="E28645" s="185" t="s">
        <v>470</v>
      </c>
      <c r="H28645" s="185"/>
    </row>
    <row r="28646">
      <c r="D28646" s="185"/>
      <c r="E28646" s="185" t="s">
        <v>470</v>
      </c>
      <c r="H28646" s="185"/>
    </row>
    <row r="28647">
      <c r="D28647" s="185"/>
      <c r="E28647" s="185" t="s">
        <v>470</v>
      </c>
      <c r="H28647" s="185"/>
    </row>
    <row r="28648">
      <c r="D28648" s="185"/>
      <c r="E28648" s="185" t="s">
        <v>470</v>
      </c>
      <c r="H28648" s="185"/>
    </row>
    <row r="28649">
      <c r="D28649" s="185"/>
      <c r="E28649" s="185" t="s">
        <v>470</v>
      </c>
      <c r="H28649" s="185"/>
    </row>
    <row r="28650">
      <c r="D28650" s="185"/>
      <c r="E28650" s="185" t="s">
        <v>470</v>
      </c>
      <c r="H28650" s="185"/>
    </row>
    <row r="28651">
      <c r="D28651" s="185"/>
      <c r="E28651" s="185" t="s">
        <v>470</v>
      </c>
      <c r="H28651" s="185"/>
    </row>
    <row r="28652">
      <c r="D28652" s="185"/>
      <c r="E28652" s="185" t="s">
        <v>470</v>
      </c>
      <c r="H28652" s="185"/>
    </row>
    <row r="28653">
      <c r="D28653" s="185"/>
      <c r="E28653" s="185" t="s">
        <v>470</v>
      </c>
      <c r="H28653" s="185"/>
    </row>
    <row r="28654">
      <c r="D28654" s="185"/>
      <c r="E28654" s="185" t="s">
        <v>470</v>
      </c>
      <c r="H28654" s="185"/>
    </row>
    <row r="28655">
      <c r="D28655" s="185"/>
      <c r="E28655" s="185" t="s">
        <v>470</v>
      </c>
      <c r="H28655" s="185"/>
    </row>
    <row r="28656">
      <c r="D28656" s="185"/>
      <c r="E28656" s="185" t="s">
        <v>470</v>
      </c>
      <c r="H28656" s="185"/>
    </row>
    <row r="28657">
      <c r="D28657" s="185"/>
      <c r="E28657" s="185" t="s">
        <v>470</v>
      </c>
      <c r="H28657" s="185"/>
    </row>
    <row r="28658">
      <c r="D28658" s="185"/>
      <c r="E28658" s="185" t="s">
        <v>470</v>
      </c>
      <c r="H28658" s="185"/>
    </row>
    <row r="28659">
      <c r="D28659" s="185"/>
      <c r="E28659" s="185" t="s">
        <v>470</v>
      </c>
      <c r="H28659" s="185"/>
    </row>
    <row r="28660">
      <c r="D28660" s="185"/>
      <c r="E28660" s="185" t="s">
        <v>470</v>
      </c>
      <c r="H28660" s="185"/>
    </row>
    <row r="28661">
      <c r="D28661" s="185"/>
      <c r="E28661" s="185" t="s">
        <v>470</v>
      </c>
      <c r="H28661" s="185"/>
    </row>
    <row r="28662">
      <c r="D28662" s="185"/>
      <c r="E28662" s="185" t="s">
        <v>470</v>
      </c>
      <c r="H28662" s="185"/>
    </row>
    <row r="28663">
      <c r="D28663" s="185"/>
      <c r="E28663" s="185" t="s">
        <v>470</v>
      </c>
      <c r="H28663" s="185"/>
    </row>
    <row r="28664">
      <c r="D28664" s="185"/>
      <c r="E28664" s="185" t="s">
        <v>470</v>
      </c>
      <c r="H28664" s="185"/>
    </row>
    <row r="28665">
      <c r="D28665" s="185"/>
      <c r="E28665" s="185" t="s">
        <v>470</v>
      </c>
      <c r="H28665" s="185"/>
    </row>
    <row r="28666">
      <c r="D28666" s="185"/>
      <c r="E28666" s="185" t="s">
        <v>470</v>
      </c>
      <c r="H28666" s="185"/>
    </row>
    <row r="28667">
      <c r="D28667" s="185"/>
      <c r="E28667" s="185" t="s">
        <v>470</v>
      </c>
      <c r="H28667" s="185"/>
    </row>
    <row r="28668">
      <c r="D28668" s="185"/>
      <c r="E28668" s="185" t="s">
        <v>470</v>
      </c>
      <c r="H28668" s="185"/>
    </row>
    <row r="28669">
      <c r="D28669" s="185"/>
      <c r="E28669" s="185" t="s">
        <v>470</v>
      </c>
      <c r="H28669" s="185"/>
    </row>
    <row r="28670">
      <c r="D28670" s="185"/>
      <c r="E28670" s="185" t="s">
        <v>470</v>
      </c>
      <c r="H28670" s="185"/>
    </row>
    <row r="28671">
      <c r="D28671" s="185"/>
      <c r="E28671" s="185" t="s">
        <v>470</v>
      </c>
      <c r="H28671" s="185"/>
    </row>
    <row r="28672">
      <c r="D28672" s="185"/>
      <c r="E28672" s="185" t="s">
        <v>470</v>
      </c>
      <c r="H28672" s="185"/>
    </row>
    <row r="28673">
      <c r="D28673" s="185"/>
      <c r="E28673" s="185" t="s">
        <v>470</v>
      </c>
      <c r="H28673" s="185"/>
    </row>
    <row r="28674">
      <c r="D28674" s="185"/>
      <c r="E28674" s="185" t="s">
        <v>470</v>
      </c>
      <c r="H28674" s="185"/>
    </row>
    <row r="28675">
      <c r="D28675" s="185"/>
      <c r="E28675" s="185" t="s">
        <v>470</v>
      </c>
      <c r="H28675" s="185"/>
    </row>
    <row r="28676">
      <c r="D28676" s="185"/>
      <c r="E28676" s="185" t="s">
        <v>470</v>
      </c>
      <c r="H28676" s="185"/>
    </row>
    <row r="28677">
      <c r="D28677" s="185"/>
      <c r="E28677" s="185" t="s">
        <v>470</v>
      </c>
      <c r="H28677" s="185"/>
    </row>
    <row r="28678">
      <c r="D28678" s="185"/>
      <c r="E28678" s="185" t="s">
        <v>470</v>
      </c>
      <c r="H28678" s="185"/>
    </row>
    <row r="28679">
      <c r="D28679" s="185"/>
      <c r="E28679" s="185" t="s">
        <v>470</v>
      </c>
      <c r="H28679" s="185"/>
    </row>
    <row r="28680">
      <c r="D28680" s="185"/>
      <c r="E28680" s="185" t="s">
        <v>470</v>
      </c>
      <c r="H28680" s="185"/>
    </row>
    <row r="28681">
      <c r="D28681" s="185"/>
      <c r="E28681" s="185" t="s">
        <v>470</v>
      </c>
      <c r="H28681" s="185"/>
    </row>
    <row r="28682">
      <c r="D28682" s="185"/>
      <c r="E28682" s="185" t="s">
        <v>470</v>
      </c>
      <c r="H28682" s="185"/>
    </row>
    <row r="28683">
      <c r="D28683" s="185"/>
      <c r="E28683" s="185" t="s">
        <v>470</v>
      </c>
      <c r="H28683" s="185"/>
    </row>
    <row r="28684">
      <c r="D28684" s="185"/>
      <c r="E28684" s="185" t="s">
        <v>470</v>
      </c>
      <c r="H28684" s="185"/>
    </row>
    <row r="28685">
      <c r="D28685" s="185"/>
      <c r="E28685" s="185" t="s">
        <v>470</v>
      </c>
      <c r="H28685" s="185"/>
    </row>
    <row r="28686">
      <c r="D28686" s="185"/>
      <c r="E28686" s="185" t="s">
        <v>470</v>
      </c>
      <c r="H28686" s="185"/>
    </row>
    <row r="28687">
      <c r="D28687" s="185"/>
      <c r="E28687" s="185" t="s">
        <v>470</v>
      </c>
      <c r="H28687" s="185"/>
    </row>
    <row r="28688">
      <c r="D28688" s="185"/>
      <c r="E28688" s="185" t="s">
        <v>470</v>
      </c>
      <c r="H28688" s="185"/>
    </row>
    <row r="28689">
      <c r="D28689" s="185"/>
      <c r="E28689" s="185" t="s">
        <v>470</v>
      </c>
      <c r="H28689" s="185"/>
    </row>
    <row r="28690">
      <c r="D28690" s="185"/>
      <c r="E28690" s="185" t="s">
        <v>470</v>
      </c>
      <c r="H28690" s="185"/>
    </row>
    <row r="28691">
      <c r="D28691" s="185"/>
      <c r="E28691" s="185" t="s">
        <v>470</v>
      </c>
      <c r="H28691" s="185"/>
    </row>
    <row r="28692">
      <c r="D28692" s="185"/>
      <c r="E28692" s="185" t="s">
        <v>470</v>
      </c>
      <c r="H28692" s="185"/>
    </row>
    <row r="28693">
      <c r="D28693" s="185"/>
      <c r="E28693" s="185" t="s">
        <v>470</v>
      </c>
      <c r="H28693" s="185"/>
    </row>
    <row r="28694">
      <c r="D28694" s="185"/>
      <c r="E28694" s="185" t="s">
        <v>470</v>
      </c>
      <c r="H28694" s="185"/>
    </row>
    <row r="28695">
      <c r="D28695" s="185"/>
      <c r="E28695" s="185" t="s">
        <v>470</v>
      </c>
      <c r="H28695" s="185"/>
    </row>
    <row r="28696">
      <c r="D28696" s="185"/>
      <c r="E28696" s="185" t="s">
        <v>470</v>
      </c>
      <c r="H28696" s="185"/>
    </row>
    <row r="28697">
      <c r="D28697" s="185"/>
      <c r="E28697" s="185" t="s">
        <v>470</v>
      </c>
      <c r="H28697" s="185"/>
    </row>
    <row r="28698">
      <c r="D28698" s="185"/>
      <c r="E28698" s="185" t="s">
        <v>470</v>
      </c>
      <c r="H28698" s="185"/>
    </row>
    <row r="28699">
      <c r="D28699" s="185"/>
      <c r="E28699" s="185" t="s">
        <v>470</v>
      </c>
      <c r="H28699" s="185"/>
    </row>
    <row r="28700">
      <c r="D28700" s="185"/>
      <c r="E28700" s="185" t="s">
        <v>470</v>
      </c>
      <c r="H28700" s="185"/>
    </row>
    <row r="28701">
      <c r="D28701" s="185"/>
      <c r="E28701" s="185" t="s">
        <v>470</v>
      </c>
      <c r="H28701" s="185"/>
    </row>
    <row r="28702">
      <c r="D28702" s="185"/>
      <c r="E28702" s="185" t="s">
        <v>470</v>
      </c>
      <c r="H28702" s="185"/>
    </row>
    <row r="28703">
      <c r="D28703" s="185"/>
      <c r="E28703" s="185" t="s">
        <v>470</v>
      </c>
      <c r="H28703" s="185"/>
    </row>
    <row r="28704">
      <c r="D28704" s="185"/>
      <c r="E28704" s="185" t="s">
        <v>470</v>
      </c>
      <c r="H28704" s="185"/>
    </row>
    <row r="28705">
      <c r="D28705" s="185"/>
      <c r="E28705" s="185" t="s">
        <v>470</v>
      </c>
      <c r="H28705" s="185"/>
    </row>
    <row r="28706">
      <c r="D28706" s="185"/>
      <c r="E28706" s="185" t="s">
        <v>470</v>
      </c>
      <c r="H28706" s="185"/>
    </row>
    <row r="28707">
      <c r="D28707" s="185"/>
      <c r="E28707" s="185" t="s">
        <v>470</v>
      </c>
      <c r="H28707" s="185"/>
    </row>
    <row r="28708">
      <c r="D28708" s="185"/>
      <c r="E28708" s="185" t="s">
        <v>470</v>
      </c>
      <c r="H28708" s="185"/>
    </row>
    <row r="28709">
      <c r="D28709" s="185"/>
      <c r="E28709" s="185" t="s">
        <v>470</v>
      </c>
      <c r="H28709" s="185"/>
    </row>
    <row r="28710">
      <c r="D28710" s="185"/>
      <c r="E28710" s="185" t="s">
        <v>470</v>
      </c>
      <c r="H28710" s="185"/>
    </row>
    <row r="28711">
      <c r="D28711" s="185"/>
      <c r="E28711" s="185" t="s">
        <v>470</v>
      </c>
      <c r="H28711" s="185"/>
    </row>
    <row r="28712">
      <c r="D28712" s="185"/>
      <c r="E28712" s="185" t="s">
        <v>470</v>
      </c>
      <c r="H28712" s="185"/>
    </row>
    <row r="28713">
      <c r="D28713" s="185"/>
      <c r="E28713" s="185" t="s">
        <v>470</v>
      </c>
      <c r="H28713" s="185"/>
    </row>
    <row r="28714">
      <c r="D28714" s="185"/>
      <c r="E28714" s="185" t="s">
        <v>470</v>
      </c>
      <c r="H28714" s="185"/>
    </row>
    <row r="28715">
      <c r="D28715" s="185"/>
      <c r="E28715" s="185" t="s">
        <v>470</v>
      </c>
      <c r="H28715" s="185"/>
    </row>
    <row r="28716">
      <c r="D28716" s="185"/>
      <c r="E28716" s="185" t="s">
        <v>470</v>
      </c>
      <c r="H28716" s="185"/>
    </row>
    <row r="28717">
      <c r="D28717" s="185"/>
      <c r="E28717" s="185" t="s">
        <v>470</v>
      </c>
      <c r="H28717" s="185"/>
    </row>
    <row r="28718">
      <c r="D28718" s="185"/>
      <c r="E28718" s="185" t="s">
        <v>470</v>
      </c>
      <c r="H28718" s="185"/>
    </row>
    <row r="28719">
      <c r="D28719" s="185"/>
      <c r="E28719" s="185" t="s">
        <v>470</v>
      </c>
      <c r="H28719" s="185"/>
    </row>
    <row r="28720">
      <c r="D28720" s="185"/>
      <c r="E28720" s="185" t="s">
        <v>470</v>
      </c>
      <c r="H28720" s="185"/>
    </row>
    <row r="28721">
      <c r="D28721" s="185"/>
      <c r="E28721" s="185" t="s">
        <v>470</v>
      </c>
      <c r="H28721" s="185"/>
    </row>
    <row r="28722">
      <c r="D28722" s="185"/>
      <c r="E28722" s="185" t="s">
        <v>470</v>
      </c>
      <c r="H28722" s="185"/>
    </row>
    <row r="28723">
      <c r="D28723" s="185"/>
      <c r="E28723" s="185" t="s">
        <v>470</v>
      </c>
      <c r="H28723" s="185"/>
    </row>
    <row r="28724">
      <c r="D28724" s="185"/>
      <c r="E28724" s="185" t="s">
        <v>470</v>
      </c>
      <c r="H28724" s="185"/>
    </row>
    <row r="28725">
      <c r="D28725" s="185"/>
      <c r="E28725" s="185" t="s">
        <v>470</v>
      </c>
      <c r="H28725" s="185"/>
    </row>
    <row r="28726">
      <c r="D28726" s="185"/>
      <c r="E28726" s="185" t="s">
        <v>470</v>
      </c>
      <c r="H28726" s="185"/>
    </row>
    <row r="28727">
      <c r="D28727" s="185"/>
      <c r="E28727" s="185" t="s">
        <v>470</v>
      </c>
      <c r="H28727" s="185"/>
    </row>
    <row r="28728">
      <c r="D28728" s="185"/>
      <c r="E28728" s="185" t="s">
        <v>470</v>
      </c>
      <c r="H28728" s="185"/>
    </row>
    <row r="28729">
      <c r="D28729" s="185"/>
      <c r="E28729" s="185" t="s">
        <v>470</v>
      </c>
      <c r="H28729" s="185"/>
    </row>
    <row r="28730">
      <c r="D28730" s="185"/>
      <c r="E28730" s="185" t="s">
        <v>470</v>
      </c>
      <c r="H28730" s="185"/>
    </row>
    <row r="28731">
      <c r="D28731" s="185"/>
      <c r="E28731" s="185" t="s">
        <v>470</v>
      </c>
      <c r="H28731" s="185"/>
    </row>
    <row r="28732">
      <c r="D28732" s="185"/>
      <c r="E28732" s="185" t="s">
        <v>470</v>
      </c>
      <c r="H28732" s="185"/>
    </row>
    <row r="28733">
      <c r="D28733" s="185"/>
      <c r="E28733" s="185" t="s">
        <v>470</v>
      </c>
      <c r="H28733" s="185"/>
    </row>
    <row r="28734">
      <c r="D28734" s="185"/>
      <c r="E28734" s="185" t="s">
        <v>470</v>
      </c>
      <c r="H28734" s="185"/>
    </row>
    <row r="28735">
      <c r="D28735" s="185"/>
      <c r="E28735" s="185" t="s">
        <v>470</v>
      </c>
      <c r="H28735" s="185"/>
    </row>
    <row r="28736">
      <c r="D28736" s="185"/>
      <c r="E28736" s="185" t="s">
        <v>470</v>
      </c>
      <c r="H28736" s="185"/>
    </row>
    <row r="28737">
      <c r="D28737" s="185"/>
      <c r="E28737" s="185" t="s">
        <v>470</v>
      </c>
      <c r="H28737" s="185"/>
    </row>
    <row r="28738">
      <c r="D28738" s="185"/>
      <c r="E28738" s="185" t="s">
        <v>470</v>
      </c>
      <c r="H28738" s="185"/>
    </row>
    <row r="28739">
      <c r="D28739" s="185"/>
      <c r="E28739" s="185" t="s">
        <v>470</v>
      </c>
      <c r="H28739" s="185"/>
    </row>
    <row r="28740">
      <c r="D28740" s="185"/>
      <c r="E28740" s="185" t="s">
        <v>470</v>
      </c>
      <c r="H28740" s="185"/>
    </row>
    <row r="28741">
      <c r="D28741" s="185"/>
      <c r="E28741" s="185" t="s">
        <v>470</v>
      </c>
      <c r="H28741" s="185"/>
    </row>
    <row r="28742">
      <c r="D28742" s="185"/>
      <c r="E28742" s="185" t="s">
        <v>470</v>
      </c>
      <c r="H28742" s="185"/>
    </row>
    <row r="28743">
      <c r="D28743" s="185"/>
      <c r="E28743" s="185" t="s">
        <v>470</v>
      </c>
      <c r="H28743" s="185"/>
    </row>
    <row r="28744">
      <c r="D28744" s="185"/>
      <c r="E28744" s="185" t="s">
        <v>470</v>
      </c>
      <c r="H28744" s="185"/>
    </row>
    <row r="28745">
      <c r="D28745" s="185"/>
      <c r="E28745" s="185" t="s">
        <v>470</v>
      </c>
      <c r="H28745" s="185"/>
    </row>
    <row r="28746">
      <c r="D28746" s="185"/>
      <c r="E28746" s="185" t="s">
        <v>470</v>
      </c>
      <c r="H28746" s="185"/>
    </row>
    <row r="28747">
      <c r="D28747" s="185"/>
      <c r="E28747" s="185" t="s">
        <v>470</v>
      </c>
      <c r="H28747" s="185"/>
    </row>
    <row r="28748">
      <c r="D28748" s="185"/>
      <c r="E28748" s="185" t="s">
        <v>470</v>
      </c>
      <c r="H28748" s="185"/>
    </row>
    <row r="28749">
      <c r="D28749" s="185"/>
      <c r="E28749" s="185" t="s">
        <v>470</v>
      </c>
      <c r="H28749" s="185"/>
    </row>
    <row r="28750">
      <c r="D28750" s="185"/>
      <c r="E28750" s="185" t="s">
        <v>470</v>
      </c>
      <c r="H28750" s="185"/>
    </row>
    <row r="28751">
      <c r="D28751" s="185"/>
      <c r="E28751" s="185" t="s">
        <v>470</v>
      </c>
      <c r="H28751" s="185"/>
    </row>
    <row r="28752">
      <c r="D28752" s="185"/>
      <c r="E28752" s="185" t="s">
        <v>470</v>
      </c>
      <c r="H28752" s="185"/>
    </row>
    <row r="28753">
      <c r="D28753" s="185"/>
      <c r="E28753" s="185" t="s">
        <v>470</v>
      </c>
      <c r="H28753" s="185"/>
    </row>
    <row r="28754">
      <c r="D28754" s="185"/>
      <c r="E28754" s="185" t="s">
        <v>470</v>
      </c>
      <c r="H28754" s="185"/>
    </row>
    <row r="28755">
      <c r="D28755" s="185"/>
      <c r="E28755" s="185" t="s">
        <v>470</v>
      </c>
      <c r="H28755" s="185"/>
    </row>
    <row r="28756">
      <c r="D28756" s="185"/>
      <c r="E28756" s="185" t="s">
        <v>470</v>
      </c>
      <c r="H28756" s="185"/>
    </row>
    <row r="28757">
      <c r="D28757" s="185"/>
      <c r="E28757" s="185" t="s">
        <v>470</v>
      </c>
      <c r="H28757" s="185"/>
    </row>
    <row r="28758">
      <c r="D28758" s="185"/>
      <c r="E28758" s="185" t="s">
        <v>470</v>
      </c>
      <c r="H28758" s="185"/>
    </row>
    <row r="28759">
      <c r="D28759" s="185"/>
      <c r="E28759" s="185" t="s">
        <v>470</v>
      </c>
      <c r="H28759" s="185"/>
    </row>
    <row r="28760">
      <c r="D28760" s="185"/>
      <c r="E28760" s="185" t="s">
        <v>470</v>
      </c>
      <c r="H28760" s="185"/>
    </row>
    <row r="28761">
      <c r="D28761" s="185"/>
      <c r="E28761" s="185" t="s">
        <v>470</v>
      </c>
      <c r="H28761" s="185"/>
    </row>
    <row r="28762">
      <c r="D28762" s="185"/>
      <c r="E28762" s="185" t="s">
        <v>470</v>
      </c>
      <c r="H28762" s="185"/>
    </row>
    <row r="28763">
      <c r="D28763" s="185"/>
      <c r="E28763" s="185" t="s">
        <v>470</v>
      </c>
      <c r="H28763" s="185"/>
    </row>
    <row r="28764">
      <c r="D28764" s="185"/>
      <c r="E28764" s="185" t="s">
        <v>470</v>
      </c>
      <c r="H28764" s="185"/>
    </row>
    <row r="28765">
      <c r="D28765" s="185"/>
      <c r="E28765" s="185" t="s">
        <v>470</v>
      </c>
      <c r="H28765" s="185"/>
    </row>
    <row r="28766">
      <c r="D28766" s="185"/>
      <c r="E28766" s="185" t="s">
        <v>470</v>
      </c>
      <c r="H28766" s="185"/>
    </row>
    <row r="28767">
      <c r="D28767" s="185"/>
      <c r="E28767" s="185" t="s">
        <v>470</v>
      </c>
      <c r="H28767" s="185"/>
    </row>
    <row r="28768">
      <c r="D28768" s="185"/>
      <c r="E28768" s="185" t="s">
        <v>470</v>
      </c>
      <c r="H28768" s="185"/>
    </row>
    <row r="28769">
      <c r="D28769" s="185"/>
      <c r="E28769" s="185" t="s">
        <v>470</v>
      </c>
      <c r="H28769" s="185"/>
    </row>
    <row r="28770">
      <c r="D28770" s="185"/>
      <c r="E28770" s="185" t="s">
        <v>470</v>
      </c>
      <c r="H28770" s="185"/>
    </row>
    <row r="28771">
      <c r="D28771" s="185"/>
      <c r="E28771" s="185" t="s">
        <v>470</v>
      </c>
      <c r="H28771" s="185"/>
    </row>
    <row r="28772">
      <c r="D28772" s="185"/>
      <c r="E28772" s="185" t="s">
        <v>470</v>
      </c>
      <c r="H28772" s="185"/>
    </row>
    <row r="28773">
      <c r="D28773" s="185"/>
      <c r="E28773" s="185" t="s">
        <v>470</v>
      </c>
      <c r="H28773" s="185"/>
    </row>
    <row r="28774">
      <c r="D28774" s="185"/>
      <c r="E28774" s="185" t="s">
        <v>470</v>
      </c>
      <c r="H28774" s="185"/>
    </row>
    <row r="28775">
      <c r="D28775" s="185"/>
      <c r="E28775" s="185" t="s">
        <v>470</v>
      </c>
      <c r="H28775" s="185"/>
    </row>
    <row r="28776">
      <c r="D28776" s="185"/>
      <c r="E28776" s="185" t="s">
        <v>470</v>
      </c>
      <c r="H28776" s="185"/>
    </row>
    <row r="28777">
      <c r="D28777" s="185"/>
      <c r="E28777" s="185" t="s">
        <v>470</v>
      </c>
      <c r="H28777" s="185"/>
    </row>
    <row r="28778">
      <c r="D28778" s="185"/>
      <c r="E28778" s="185" t="s">
        <v>470</v>
      </c>
      <c r="H28778" s="185"/>
    </row>
    <row r="28779">
      <c r="D28779" s="185"/>
      <c r="E28779" s="185" t="s">
        <v>470</v>
      </c>
      <c r="H28779" s="185"/>
    </row>
    <row r="28780">
      <c r="D28780" s="185"/>
      <c r="E28780" s="185" t="s">
        <v>470</v>
      </c>
      <c r="H28780" s="185"/>
    </row>
    <row r="28781">
      <c r="D28781" s="185"/>
      <c r="E28781" s="185" t="s">
        <v>470</v>
      </c>
      <c r="H28781" s="185"/>
    </row>
    <row r="28782">
      <c r="D28782" s="185"/>
      <c r="E28782" s="185" t="s">
        <v>470</v>
      </c>
      <c r="H28782" s="185"/>
    </row>
    <row r="28783">
      <c r="D28783" s="185"/>
      <c r="E28783" s="185" t="s">
        <v>470</v>
      </c>
      <c r="H28783" s="185"/>
    </row>
    <row r="28784">
      <c r="D28784" s="185"/>
      <c r="E28784" s="185" t="s">
        <v>470</v>
      </c>
      <c r="H28784" s="185"/>
    </row>
    <row r="28785">
      <c r="D28785" s="185"/>
      <c r="E28785" s="185" t="s">
        <v>470</v>
      </c>
      <c r="H28785" s="185"/>
    </row>
    <row r="28786">
      <c r="D28786" s="185"/>
      <c r="E28786" s="185" t="s">
        <v>470</v>
      </c>
      <c r="H28786" s="185"/>
    </row>
    <row r="28787">
      <c r="D28787" s="185"/>
      <c r="E28787" s="185" t="s">
        <v>470</v>
      </c>
      <c r="H28787" s="185"/>
    </row>
    <row r="28788">
      <c r="D28788" s="185"/>
      <c r="E28788" s="185" t="s">
        <v>470</v>
      </c>
      <c r="H28788" s="185"/>
    </row>
    <row r="28789">
      <c r="D28789" s="185"/>
      <c r="E28789" s="185" t="s">
        <v>470</v>
      </c>
      <c r="H28789" s="185"/>
    </row>
    <row r="28790">
      <c r="D28790" s="185"/>
      <c r="E28790" s="185" t="s">
        <v>470</v>
      </c>
      <c r="H28790" s="185"/>
    </row>
    <row r="28791">
      <c r="D28791" s="185"/>
      <c r="E28791" s="185" t="s">
        <v>470</v>
      </c>
      <c r="H28791" s="185"/>
    </row>
    <row r="28792">
      <c r="D28792" s="185"/>
      <c r="E28792" s="185" t="s">
        <v>470</v>
      </c>
      <c r="H28792" s="185"/>
    </row>
    <row r="28793">
      <c r="D28793" s="185"/>
      <c r="E28793" s="185" t="s">
        <v>470</v>
      </c>
      <c r="H28793" s="185"/>
    </row>
    <row r="28794">
      <c r="D28794" s="185"/>
      <c r="E28794" s="185" t="s">
        <v>470</v>
      </c>
      <c r="H28794" s="185"/>
    </row>
    <row r="28795">
      <c r="D28795" s="185"/>
      <c r="E28795" s="185" t="s">
        <v>470</v>
      </c>
      <c r="H28795" s="185"/>
    </row>
    <row r="28796">
      <c r="D28796" s="185"/>
      <c r="E28796" s="185" t="s">
        <v>470</v>
      </c>
      <c r="H28796" s="185"/>
    </row>
    <row r="28797">
      <c r="D28797" s="185"/>
      <c r="E28797" s="185" t="s">
        <v>470</v>
      </c>
      <c r="H28797" s="185"/>
    </row>
    <row r="28798">
      <c r="D28798" s="185"/>
      <c r="E28798" s="185" t="s">
        <v>470</v>
      </c>
      <c r="H28798" s="185"/>
    </row>
    <row r="28799">
      <c r="D28799" s="185"/>
      <c r="E28799" s="185" t="s">
        <v>470</v>
      </c>
      <c r="H28799" s="185"/>
    </row>
    <row r="28800">
      <c r="D28800" s="185"/>
      <c r="E28800" s="185" t="s">
        <v>470</v>
      </c>
      <c r="H28800" s="185"/>
    </row>
    <row r="28801">
      <c r="D28801" s="185"/>
      <c r="E28801" s="185" t="s">
        <v>470</v>
      </c>
      <c r="H28801" s="185"/>
    </row>
    <row r="28802">
      <c r="D28802" s="185"/>
      <c r="E28802" s="185" t="s">
        <v>470</v>
      </c>
      <c r="H28802" s="185"/>
    </row>
    <row r="28803">
      <c r="D28803" s="185"/>
      <c r="E28803" s="185" t="s">
        <v>470</v>
      </c>
      <c r="H28803" s="185"/>
    </row>
    <row r="28804">
      <c r="D28804" s="185"/>
      <c r="E28804" s="185" t="s">
        <v>470</v>
      </c>
      <c r="H28804" s="185"/>
    </row>
    <row r="28805">
      <c r="D28805" s="185"/>
      <c r="E28805" s="185" t="s">
        <v>470</v>
      </c>
      <c r="H28805" s="185"/>
    </row>
    <row r="28806">
      <c r="D28806" s="185"/>
      <c r="E28806" s="185" t="s">
        <v>470</v>
      </c>
      <c r="H28806" s="185"/>
    </row>
    <row r="28807">
      <c r="D28807" s="185"/>
      <c r="E28807" s="185" t="s">
        <v>470</v>
      </c>
      <c r="H28807" s="185"/>
    </row>
    <row r="28808">
      <c r="D28808" s="185"/>
      <c r="E28808" s="185" t="s">
        <v>470</v>
      </c>
      <c r="H28808" s="185"/>
    </row>
    <row r="28809">
      <c r="D28809" s="185"/>
      <c r="E28809" s="185" t="s">
        <v>470</v>
      </c>
      <c r="H28809" s="185"/>
    </row>
    <row r="28810">
      <c r="D28810" s="185"/>
      <c r="E28810" s="185" t="s">
        <v>470</v>
      </c>
      <c r="H28810" s="185"/>
    </row>
    <row r="28811">
      <c r="D28811" s="185"/>
      <c r="E28811" s="185" t="s">
        <v>470</v>
      </c>
      <c r="H28811" s="185"/>
    </row>
    <row r="28812">
      <c r="D28812" s="185"/>
      <c r="E28812" s="185" t="s">
        <v>470</v>
      </c>
      <c r="H28812" s="185"/>
    </row>
    <row r="28813">
      <c r="D28813" s="185"/>
      <c r="E28813" s="185" t="s">
        <v>470</v>
      </c>
      <c r="H28813" s="185"/>
    </row>
    <row r="28814">
      <c r="D28814" s="185"/>
      <c r="E28814" s="185" t="s">
        <v>470</v>
      </c>
      <c r="H28814" s="185"/>
    </row>
    <row r="28815">
      <c r="D28815" s="185"/>
      <c r="E28815" s="185" t="s">
        <v>470</v>
      </c>
      <c r="H28815" s="185"/>
    </row>
    <row r="28816">
      <c r="D28816" s="185"/>
      <c r="E28816" s="185" t="s">
        <v>470</v>
      </c>
      <c r="H28816" s="185"/>
    </row>
    <row r="28817">
      <c r="D28817" s="185"/>
      <c r="E28817" s="185" t="s">
        <v>470</v>
      </c>
      <c r="H28817" s="185"/>
    </row>
    <row r="28818">
      <c r="D28818" s="185"/>
      <c r="E28818" s="185" t="s">
        <v>470</v>
      </c>
      <c r="H28818" s="185"/>
    </row>
    <row r="28819">
      <c r="D28819" s="185"/>
      <c r="E28819" s="185" t="s">
        <v>470</v>
      </c>
      <c r="H28819" s="185"/>
    </row>
    <row r="28820">
      <c r="D28820" s="185"/>
      <c r="E28820" s="185" t="s">
        <v>470</v>
      </c>
      <c r="H28820" s="185"/>
    </row>
    <row r="28821">
      <c r="D28821" s="185"/>
      <c r="E28821" s="185" t="s">
        <v>470</v>
      </c>
      <c r="H28821" s="185"/>
    </row>
    <row r="28822">
      <c r="D28822" s="185"/>
      <c r="E28822" s="185" t="s">
        <v>470</v>
      </c>
      <c r="H28822" s="185"/>
    </row>
    <row r="28823">
      <c r="D28823" s="185"/>
      <c r="E28823" s="185" t="s">
        <v>470</v>
      </c>
      <c r="H28823" s="185"/>
    </row>
    <row r="28824">
      <c r="D28824" s="185"/>
      <c r="E28824" s="185" t="s">
        <v>470</v>
      </c>
      <c r="H28824" s="185"/>
    </row>
    <row r="28825">
      <c r="D28825" s="185"/>
      <c r="E28825" s="185" t="s">
        <v>470</v>
      </c>
      <c r="H28825" s="185"/>
    </row>
    <row r="28826">
      <c r="D28826" s="185"/>
      <c r="E28826" s="185" t="s">
        <v>470</v>
      </c>
      <c r="H28826" s="185"/>
    </row>
    <row r="28827">
      <c r="D28827" s="185"/>
      <c r="E28827" s="185" t="s">
        <v>470</v>
      </c>
      <c r="H28827" s="185"/>
    </row>
    <row r="28828">
      <c r="D28828" s="185"/>
      <c r="E28828" s="185" t="s">
        <v>470</v>
      </c>
      <c r="H28828" s="185"/>
    </row>
    <row r="28829">
      <c r="D28829" s="185"/>
      <c r="E28829" s="185" t="s">
        <v>470</v>
      </c>
      <c r="H28829" s="185"/>
    </row>
    <row r="28830">
      <c r="D28830" s="185"/>
      <c r="E28830" s="185" t="s">
        <v>470</v>
      </c>
      <c r="H28830" s="185"/>
    </row>
    <row r="28831">
      <c r="D28831" s="185"/>
      <c r="E28831" s="185" t="s">
        <v>470</v>
      </c>
      <c r="H28831" s="185"/>
    </row>
    <row r="28832">
      <c r="D28832" s="185"/>
      <c r="E28832" s="185" t="s">
        <v>470</v>
      </c>
      <c r="H28832" s="185"/>
    </row>
    <row r="28833">
      <c r="D28833" s="185"/>
      <c r="E28833" s="185" t="s">
        <v>470</v>
      </c>
      <c r="H28833" s="185"/>
    </row>
    <row r="28834">
      <c r="D28834" s="185"/>
      <c r="E28834" s="185" t="s">
        <v>470</v>
      </c>
      <c r="H28834" s="185"/>
    </row>
    <row r="28835">
      <c r="D28835" s="185"/>
      <c r="E28835" s="185" t="s">
        <v>470</v>
      </c>
      <c r="H28835" s="185"/>
    </row>
    <row r="28836">
      <c r="D28836" s="185"/>
      <c r="E28836" s="185" t="s">
        <v>470</v>
      </c>
      <c r="H28836" s="185"/>
    </row>
    <row r="28837">
      <c r="D28837" s="185"/>
      <c r="E28837" s="185" t="s">
        <v>470</v>
      </c>
      <c r="H28837" s="185"/>
    </row>
    <row r="28838">
      <c r="D28838" s="185"/>
      <c r="E28838" s="185" t="s">
        <v>470</v>
      </c>
      <c r="H28838" s="185"/>
    </row>
    <row r="28839">
      <c r="D28839" s="185"/>
      <c r="E28839" s="185" t="s">
        <v>470</v>
      </c>
      <c r="H28839" s="185"/>
    </row>
    <row r="28840">
      <c r="D28840" s="185"/>
      <c r="E28840" s="185" t="s">
        <v>470</v>
      </c>
      <c r="H28840" s="185"/>
    </row>
    <row r="28841">
      <c r="D28841" s="185"/>
      <c r="E28841" s="185" t="s">
        <v>470</v>
      </c>
      <c r="H28841" s="185"/>
    </row>
    <row r="28842">
      <c r="D28842" s="185"/>
      <c r="E28842" s="185" t="s">
        <v>470</v>
      </c>
      <c r="H28842" s="185"/>
    </row>
    <row r="28843">
      <c r="D28843" s="185"/>
      <c r="E28843" s="185" t="s">
        <v>470</v>
      </c>
      <c r="H28843" s="185"/>
    </row>
    <row r="28844">
      <c r="D28844" s="185"/>
      <c r="E28844" s="185" t="s">
        <v>470</v>
      </c>
      <c r="H28844" s="185"/>
    </row>
    <row r="28845">
      <c r="D28845" s="185"/>
      <c r="E28845" s="185" t="s">
        <v>470</v>
      </c>
      <c r="H28845" s="185"/>
    </row>
    <row r="28846">
      <c r="D28846" s="185"/>
      <c r="E28846" s="185" t="s">
        <v>470</v>
      </c>
      <c r="H28846" s="185"/>
    </row>
    <row r="28847">
      <c r="D28847" s="185"/>
      <c r="E28847" s="185" t="s">
        <v>470</v>
      </c>
      <c r="H28847" s="185"/>
    </row>
    <row r="28848">
      <c r="D28848" s="185"/>
      <c r="E28848" s="185" t="s">
        <v>470</v>
      </c>
      <c r="H28848" s="185"/>
    </row>
    <row r="28849">
      <c r="D28849" s="185"/>
      <c r="E28849" s="185" t="s">
        <v>470</v>
      </c>
      <c r="H28849" s="185"/>
    </row>
    <row r="28850">
      <c r="D28850" s="185"/>
      <c r="E28850" s="185" t="s">
        <v>470</v>
      </c>
      <c r="H28850" s="185"/>
    </row>
    <row r="28851">
      <c r="D28851" s="185"/>
      <c r="E28851" s="185" t="s">
        <v>470</v>
      </c>
      <c r="H28851" s="185"/>
    </row>
    <row r="28852">
      <c r="D28852" s="185"/>
      <c r="E28852" s="185" t="s">
        <v>470</v>
      </c>
      <c r="H28852" s="185"/>
    </row>
    <row r="28853">
      <c r="D28853" s="185"/>
      <c r="E28853" s="185" t="s">
        <v>470</v>
      </c>
      <c r="H28853" s="185"/>
    </row>
    <row r="28854">
      <c r="D28854" s="185"/>
      <c r="E28854" s="185" t="s">
        <v>470</v>
      </c>
      <c r="H28854" s="185"/>
    </row>
    <row r="28855">
      <c r="D28855" s="185"/>
      <c r="E28855" s="185" t="s">
        <v>470</v>
      </c>
      <c r="H28855" s="185"/>
    </row>
    <row r="28856">
      <c r="D28856" s="185"/>
      <c r="E28856" s="185" t="s">
        <v>470</v>
      </c>
      <c r="H28856" s="185"/>
    </row>
    <row r="28857">
      <c r="D28857" s="185"/>
      <c r="E28857" s="185" t="s">
        <v>470</v>
      </c>
      <c r="H28857" s="185"/>
    </row>
    <row r="28858">
      <c r="D28858" s="185"/>
      <c r="E28858" s="185" t="s">
        <v>470</v>
      </c>
      <c r="H28858" s="185"/>
    </row>
    <row r="28859">
      <c r="D28859" s="185"/>
      <c r="E28859" s="185" t="s">
        <v>470</v>
      </c>
      <c r="H28859" s="185"/>
    </row>
    <row r="28860">
      <c r="D28860" s="185"/>
      <c r="E28860" s="185" t="s">
        <v>470</v>
      </c>
      <c r="H28860" s="185"/>
    </row>
    <row r="28861">
      <c r="D28861" s="185"/>
      <c r="E28861" s="185" t="s">
        <v>470</v>
      </c>
      <c r="H28861" s="185"/>
    </row>
    <row r="28862">
      <c r="D28862" s="185"/>
      <c r="E28862" s="185" t="s">
        <v>470</v>
      </c>
      <c r="H28862" s="185"/>
    </row>
    <row r="28863">
      <c r="D28863" s="185"/>
      <c r="E28863" s="185" t="s">
        <v>470</v>
      </c>
      <c r="H28863" s="185"/>
    </row>
    <row r="28864">
      <c r="D28864" s="185"/>
      <c r="E28864" s="185" t="s">
        <v>470</v>
      </c>
      <c r="H28864" s="185"/>
    </row>
    <row r="28865">
      <c r="D28865" s="185"/>
      <c r="E28865" s="185" t="s">
        <v>470</v>
      </c>
      <c r="H28865" s="185"/>
    </row>
    <row r="28866">
      <c r="D28866" s="185"/>
      <c r="E28866" s="185" t="s">
        <v>470</v>
      </c>
      <c r="H28866" s="185"/>
    </row>
    <row r="28867">
      <c r="D28867" s="185"/>
      <c r="E28867" s="185" t="s">
        <v>470</v>
      </c>
      <c r="H28867" s="185"/>
    </row>
    <row r="28868">
      <c r="D28868" s="185"/>
      <c r="E28868" s="185" t="s">
        <v>470</v>
      </c>
      <c r="H28868" s="185"/>
    </row>
    <row r="28869">
      <c r="D28869" s="185"/>
      <c r="E28869" s="185" t="s">
        <v>470</v>
      </c>
      <c r="H28869" s="185"/>
    </row>
    <row r="28870">
      <c r="D28870" s="185"/>
      <c r="E28870" s="185" t="s">
        <v>470</v>
      </c>
      <c r="H28870" s="185"/>
    </row>
    <row r="28871">
      <c r="D28871" s="185"/>
      <c r="E28871" s="185" t="s">
        <v>470</v>
      </c>
      <c r="H28871" s="185"/>
    </row>
    <row r="28872">
      <c r="D28872" s="185"/>
      <c r="E28872" s="185" t="s">
        <v>470</v>
      </c>
      <c r="H28872" s="185"/>
    </row>
    <row r="28873">
      <c r="D28873" s="185"/>
      <c r="E28873" s="185" t="s">
        <v>470</v>
      </c>
      <c r="H28873" s="185"/>
    </row>
    <row r="28874">
      <c r="D28874" s="185"/>
      <c r="E28874" s="185" t="s">
        <v>470</v>
      </c>
      <c r="H28874" s="185"/>
    </row>
    <row r="28875">
      <c r="D28875" s="185"/>
      <c r="E28875" s="185" t="s">
        <v>470</v>
      </c>
      <c r="H28875" s="185"/>
    </row>
    <row r="28876">
      <c r="D28876" s="185"/>
      <c r="E28876" s="185" t="s">
        <v>470</v>
      </c>
      <c r="H28876" s="185"/>
    </row>
    <row r="28877">
      <c r="D28877" s="185"/>
      <c r="E28877" s="185" t="s">
        <v>470</v>
      </c>
      <c r="H28877" s="185"/>
    </row>
    <row r="28878">
      <c r="D28878" s="185"/>
      <c r="E28878" s="185" t="s">
        <v>470</v>
      </c>
      <c r="H28878" s="185"/>
    </row>
    <row r="28879">
      <c r="D28879" s="185"/>
      <c r="E28879" s="185" t="s">
        <v>470</v>
      </c>
      <c r="H28879" s="185"/>
    </row>
    <row r="28880">
      <c r="D28880" s="185"/>
      <c r="E28880" s="185" t="s">
        <v>470</v>
      </c>
      <c r="H28880" s="185"/>
    </row>
    <row r="28881">
      <c r="D28881" s="185"/>
      <c r="E28881" s="185" t="s">
        <v>470</v>
      </c>
      <c r="H28881" s="185"/>
    </row>
    <row r="28882">
      <c r="D28882" s="185"/>
      <c r="E28882" s="185" t="s">
        <v>470</v>
      </c>
      <c r="H28882" s="185"/>
    </row>
    <row r="28883">
      <c r="D28883" s="185"/>
      <c r="E28883" s="185" t="s">
        <v>470</v>
      </c>
      <c r="H28883" s="185"/>
    </row>
    <row r="28884">
      <c r="D28884" s="185"/>
      <c r="E28884" s="185" t="s">
        <v>470</v>
      </c>
      <c r="H28884" s="185"/>
    </row>
    <row r="28885">
      <c r="D28885" s="185"/>
      <c r="E28885" s="185" t="s">
        <v>470</v>
      </c>
      <c r="H28885" s="185"/>
    </row>
    <row r="28886">
      <c r="D28886" s="185"/>
      <c r="E28886" s="185" t="s">
        <v>470</v>
      </c>
      <c r="H28886" s="185"/>
    </row>
    <row r="28887">
      <c r="D28887" s="185"/>
      <c r="E28887" s="185" t="s">
        <v>470</v>
      </c>
      <c r="H28887" s="185"/>
    </row>
    <row r="28888">
      <c r="D28888" s="185"/>
      <c r="E28888" s="185" t="s">
        <v>470</v>
      </c>
      <c r="H28888" s="185"/>
    </row>
    <row r="28889">
      <c r="D28889" s="185"/>
      <c r="E28889" s="185" t="s">
        <v>470</v>
      </c>
      <c r="H28889" s="185"/>
    </row>
    <row r="28890">
      <c r="D28890" s="185"/>
      <c r="E28890" s="185" t="s">
        <v>470</v>
      </c>
      <c r="H28890" s="185"/>
    </row>
    <row r="28891">
      <c r="D28891" s="185"/>
      <c r="E28891" s="185" t="s">
        <v>470</v>
      </c>
      <c r="H28891" s="185"/>
    </row>
    <row r="28892">
      <c r="D28892" s="185"/>
      <c r="E28892" s="185" t="s">
        <v>470</v>
      </c>
      <c r="H28892" s="185"/>
    </row>
    <row r="28893">
      <c r="D28893" s="185"/>
      <c r="E28893" s="185" t="s">
        <v>470</v>
      </c>
      <c r="H28893" s="185"/>
    </row>
    <row r="28894">
      <c r="D28894" s="185"/>
      <c r="E28894" s="185" t="s">
        <v>470</v>
      </c>
      <c r="H28894" s="185"/>
    </row>
    <row r="28895">
      <c r="D28895" s="185"/>
      <c r="E28895" s="185" t="s">
        <v>470</v>
      </c>
      <c r="H28895" s="185"/>
    </row>
    <row r="28896">
      <c r="D28896" s="185"/>
      <c r="E28896" s="185" t="s">
        <v>470</v>
      </c>
      <c r="H28896" s="185"/>
    </row>
    <row r="28897">
      <c r="D28897" s="185"/>
      <c r="E28897" s="185" t="s">
        <v>470</v>
      </c>
      <c r="H28897" s="185"/>
    </row>
    <row r="28898">
      <c r="D28898" s="185"/>
      <c r="E28898" s="185" t="s">
        <v>470</v>
      </c>
      <c r="H28898" s="185"/>
    </row>
    <row r="28899">
      <c r="D28899" s="185"/>
      <c r="E28899" s="185" t="s">
        <v>470</v>
      </c>
      <c r="H28899" s="185"/>
    </row>
    <row r="28900">
      <c r="D28900" s="185"/>
      <c r="E28900" s="185" t="s">
        <v>470</v>
      </c>
      <c r="H28900" s="185"/>
    </row>
    <row r="28901">
      <c r="D28901" s="185"/>
      <c r="E28901" s="185" t="s">
        <v>470</v>
      </c>
      <c r="H28901" s="185"/>
    </row>
    <row r="28902">
      <c r="D28902" s="185"/>
      <c r="E28902" s="185" t="s">
        <v>470</v>
      </c>
      <c r="H28902" s="185"/>
    </row>
    <row r="28903">
      <c r="D28903" s="185"/>
      <c r="E28903" s="185" t="s">
        <v>470</v>
      </c>
      <c r="H28903" s="185"/>
    </row>
    <row r="28904">
      <c r="D28904" s="185"/>
      <c r="E28904" s="185" t="s">
        <v>470</v>
      </c>
      <c r="H28904" s="185"/>
    </row>
    <row r="28905">
      <c r="D28905" s="185"/>
      <c r="E28905" s="185" t="s">
        <v>470</v>
      </c>
      <c r="H28905" s="185"/>
    </row>
    <row r="28906">
      <c r="D28906" s="185"/>
      <c r="E28906" s="185" t="s">
        <v>470</v>
      </c>
      <c r="H28906" s="185"/>
    </row>
    <row r="28907">
      <c r="D28907" s="185"/>
      <c r="E28907" s="185" t="s">
        <v>470</v>
      </c>
      <c r="H28907" s="185"/>
    </row>
    <row r="28908">
      <c r="D28908" s="185"/>
      <c r="E28908" s="185" t="s">
        <v>470</v>
      </c>
      <c r="H28908" s="185"/>
    </row>
    <row r="28909">
      <c r="D28909" s="185"/>
      <c r="E28909" s="185" t="s">
        <v>470</v>
      </c>
      <c r="H28909" s="185"/>
    </row>
    <row r="28910">
      <c r="D28910" s="185"/>
      <c r="E28910" s="185" t="s">
        <v>470</v>
      </c>
      <c r="H28910" s="185"/>
    </row>
    <row r="28911">
      <c r="D28911" s="185"/>
      <c r="E28911" s="185" t="s">
        <v>470</v>
      </c>
      <c r="H28911" s="185"/>
    </row>
    <row r="28912">
      <c r="D28912" s="185"/>
      <c r="E28912" s="185" t="s">
        <v>470</v>
      </c>
      <c r="H28912" s="185"/>
    </row>
    <row r="28913">
      <c r="D28913" s="185"/>
      <c r="E28913" s="185" t="s">
        <v>470</v>
      </c>
      <c r="H28913" s="185"/>
    </row>
    <row r="28914">
      <c r="D28914" s="185"/>
      <c r="E28914" s="185" t="s">
        <v>470</v>
      </c>
      <c r="H28914" s="185"/>
    </row>
    <row r="28915">
      <c r="D28915" s="185"/>
      <c r="E28915" s="185" t="s">
        <v>470</v>
      </c>
      <c r="H28915" s="185"/>
    </row>
    <row r="28916">
      <c r="D28916" s="185"/>
      <c r="E28916" s="185" t="s">
        <v>470</v>
      </c>
      <c r="H28916" s="185"/>
    </row>
    <row r="28917">
      <c r="D28917" s="185"/>
      <c r="E28917" s="185" t="s">
        <v>470</v>
      </c>
      <c r="H28917" s="185"/>
    </row>
    <row r="28918">
      <c r="D28918" s="185"/>
      <c r="E28918" s="185" t="s">
        <v>470</v>
      </c>
      <c r="H28918" s="185"/>
    </row>
    <row r="28919">
      <c r="D28919" s="185"/>
      <c r="E28919" s="185" t="s">
        <v>470</v>
      </c>
      <c r="H28919" s="185"/>
    </row>
    <row r="28920">
      <c r="D28920" s="185"/>
      <c r="E28920" s="185" t="s">
        <v>470</v>
      </c>
      <c r="H28920" s="185"/>
    </row>
    <row r="28921">
      <c r="D28921" s="185"/>
      <c r="E28921" s="185" t="s">
        <v>470</v>
      </c>
      <c r="H28921" s="185"/>
    </row>
    <row r="28922">
      <c r="D28922" s="185"/>
      <c r="E28922" s="185" t="s">
        <v>470</v>
      </c>
      <c r="H28922" s="185"/>
    </row>
    <row r="28923">
      <c r="D28923" s="185"/>
      <c r="E28923" s="185" t="s">
        <v>470</v>
      </c>
      <c r="H28923" s="185"/>
    </row>
    <row r="28924">
      <c r="D28924" s="185"/>
      <c r="E28924" s="185" t="s">
        <v>470</v>
      </c>
      <c r="H28924" s="185"/>
    </row>
    <row r="28925">
      <c r="D28925" s="185"/>
      <c r="E28925" s="185" t="s">
        <v>470</v>
      </c>
      <c r="H28925" s="185"/>
    </row>
    <row r="28926">
      <c r="D28926" s="185"/>
      <c r="E28926" s="185" t="s">
        <v>470</v>
      </c>
      <c r="H28926" s="185"/>
    </row>
    <row r="28927">
      <c r="D28927" s="185"/>
      <c r="E28927" s="185" t="s">
        <v>470</v>
      </c>
      <c r="H28927" s="185"/>
    </row>
    <row r="28928">
      <c r="D28928" s="185"/>
      <c r="E28928" s="185" t="s">
        <v>470</v>
      </c>
      <c r="H28928" s="185"/>
    </row>
    <row r="28929">
      <c r="D28929" s="185"/>
      <c r="E28929" s="185" t="s">
        <v>470</v>
      </c>
      <c r="H28929" s="185"/>
    </row>
    <row r="28930">
      <c r="D28930" s="185"/>
      <c r="E28930" s="185" t="s">
        <v>470</v>
      </c>
      <c r="H28930" s="185"/>
    </row>
    <row r="28931">
      <c r="D28931" s="185"/>
      <c r="E28931" s="185" t="s">
        <v>470</v>
      </c>
      <c r="H28931" s="185"/>
    </row>
    <row r="28932">
      <c r="D28932" s="185"/>
      <c r="E28932" s="185" t="s">
        <v>470</v>
      </c>
      <c r="H28932" s="185"/>
    </row>
    <row r="28933">
      <c r="D28933" s="185"/>
      <c r="E28933" s="185" t="s">
        <v>470</v>
      </c>
      <c r="H28933" s="185"/>
    </row>
    <row r="28934">
      <c r="D28934" s="185"/>
      <c r="E28934" s="185" t="s">
        <v>470</v>
      </c>
      <c r="H28934" s="185"/>
    </row>
    <row r="28935">
      <c r="D28935" s="185"/>
      <c r="E28935" s="185" t="s">
        <v>470</v>
      </c>
      <c r="H28935" s="185"/>
    </row>
    <row r="28936">
      <c r="D28936" s="185"/>
      <c r="E28936" s="185" t="s">
        <v>470</v>
      </c>
      <c r="H28936" s="185"/>
    </row>
    <row r="28937">
      <c r="D28937" s="185"/>
      <c r="E28937" s="185" t="s">
        <v>470</v>
      </c>
      <c r="H28937" s="185"/>
    </row>
    <row r="28938">
      <c r="D28938" s="185"/>
      <c r="E28938" s="185" t="s">
        <v>470</v>
      </c>
      <c r="H28938" s="185"/>
    </row>
    <row r="28939">
      <c r="D28939" s="185"/>
      <c r="E28939" s="185" t="s">
        <v>470</v>
      </c>
      <c r="H28939" s="185"/>
    </row>
    <row r="28940">
      <c r="D28940" s="185"/>
      <c r="E28940" s="185" t="s">
        <v>470</v>
      </c>
      <c r="H28940" s="185"/>
    </row>
    <row r="28941">
      <c r="D28941" s="185"/>
      <c r="E28941" s="185" t="s">
        <v>470</v>
      </c>
      <c r="H28941" s="185"/>
    </row>
    <row r="28942">
      <c r="D28942" s="185"/>
      <c r="E28942" s="185" t="s">
        <v>470</v>
      </c>
      <c r="H28942" s="185"/>
    </row>
    <row r="28943">
      <c r="D28943" s="185"/>
      <c r="E28943" s="185" t="s">
        <v>470</v>
      </c>
      <c r="H28943" s="185"/>
    </row>
    <row r="28944">
      <c r="D28944" s="185"/>
      <c r="E28944" s="185" t="s">
        <v>470</v>
      </c>
      <c r="H28944" s="185"/>
    </row>
    <row r="28945">
      <c r="D28945" s="185"/>
      <c r="E28945" s="185" t="s">
        <v>470</v>
      </c>
      <c r="H28945" s="185"/>
    </row>
    <row r="28946">
      <c r="D28946" s="185"/>
      <c r="E28946" s="185" t="s">
        <v>470</v>
      </c>
      <c r="H28946" s="185"/>
    </row>
    <row r="28947">
      <c r="D28947" s="185"/>
      <c r="E28947" s="185" t="s">
        <v>470</v>
      </c>
      <c r="H28947" s="185"/>
    </row>
    <row r="28948">
      <c r="D28948" s="185"/>
      <c r="E28948" s="185" t="s">
        <v>470</v>
      </c>
      <c r="H28948" s="185"/>
    </row>
    <row r="28949">
      <c r="D28949" s="185"/>
      <c r="E28949" s="185" t="s">
        <v>470</v>
      </c>
      <c r="H28949" s="185"/>
    </row>
    <row r="28950">
      <c r="D28950" s="185"/>
      <c r="E28950" s="185" t="s">
        <v>470</v>
      </c>
      <c r="H28950" s="185"/>
    </row>
    <row r="28951">
      <c r="D28951" s="185"/>
      <c r="E28951" s="185" t="s">
        <v>470</v>
      </c>
      <c r="H28951" s="185"/>
    </row>
    <row r="28952">
      <c r="D28952" s="185"/>
      <c r="E28952" s="185" t="s">
        <v>470</v>
      </c>
      <c r="H28952" s="185"/>
    </row>
    <row r="28953">
      <c r="D28953" s="185"/>
      <c r="E28953" s="185" t="s">
        <v>470</v>
      </c>
      <c r="H28953" s="185"/>
    </row>
    <row r="28954">
      <c r="D28954" s="185"/>
      <c r="E28954" s="185" t="s">
        <v>470</v>
      </c>
      <c r="H28954" s="185"/>
    </row>
    <row r="28955">
      <c r="D28955" s="185"/>
      <c r="E28955" s="185" t="s">
        <v>470</v>
      </c>
      <c r="H28955" s="185"/>
    </row>
    <row r="28956">
      <c r="D28956" s="185"/>
      <c r="E28956" s="185" t="s">
        <v>470</v>
      </c>
      <c r="H28956" s="185"/>
    </row>
    <row r="28957">
      <c r="D28957" s="185"/>
      <c r="E28957" s="185" t="s">
        <v>470</v>
      </c>
      <c r="H28957" s="185"/>
    </row>
    <row r="28958">
      <c r="D28958" s="185"/>
      <c r="E28958" s="185" t="s">
        <v>470</v>
      </c>
      <c r="H28958" s="185"/>
    </row>
    <row r="28959">
      <c r="D28959" s="185"/>
      <c r="E28959" s="185" t="s">
        <v>470</v>
      </c>
      <c r="H28959" s="185"/>
    </row>
    <row r="28960">
      <c r="D28960" s="185"/>
      <c r="E28960" s="185" t="s">
        <v>470</v>
      </c>
      <c r="H28960" s="185"/>
    </row>
    <row r="28961">
      <c r="D28961" s="185"/>
      <c r="E28961" s="185" t="s">
        <v>470</v>
      </c>
      <c r="H28961" s="185"/>
    </row>
    <row r="28962">
      <c r="D28962" s="185"/>
      <c r="E28962" s="185" t="s">
        <v>470</v>
      </c>
      <c r="H28962" s="185"/>
    </row>
    <row r="28963">
      <c r="D28963" s="185"/>
      <c r="E28963" s="185" t="s">
        <v>470</v>
      </c>
      <c r="H28963" s="185"/>
    </row>
    <row r="28964">
      <c r="D28964" s="185"/>
      <c r="E28964" s="185" t="s">
        <v>470</v>
      </c>
      <c r="H28964" s="185"/>
    </row>
    <row r="28965">
      <c r="D28965" s="185"/>
      <c r="E28965" s="185" t="s">
        <v>470</v>
      </c>
      <c r="H28965" s="185"/>
    </row>
    <row r="28966">
      <c r="D28966" s="185"/>
      <c r="E28966" s="185" t="s">
        <v>470</v>
      </c>
      <c r="H28966" s="185"/>
    </row>
    <row r="28967">
      <c r="D28967" s="185"/>
      <c r="E28967" s="185" t="s">
        <v>470</v>
      </c>
      <c r="H28967" s="185"/>
    </row>
    <row r="28968">
      <c r="D28968" s="185"/>
      <c r="E28968" s="185" t="s">
        <v>470</v>
      </c>
      <c r="H28968" s="185"/>
    </row>
    <row r="28969">
      <c r="D28969" s="185"/>
      <c r="E28969" s="185" t="s">
        <v>470</v>
      </c>
      <c r="H28969" s="185"/>
    </row>
    <row r="28970">
      <c r="D28970" s="185"/>
      <c r="E28970" s="185" t="s">
        <v>470</v>
      </c>
      <c r="H28970" s="185"/>
    </row>
    <row r="28971">
      <c r="D28971" s="185"/>
      <c r="E28971" s="185" t="s">
        <v>470</v>
      </c>
      <c r="H28971" s="185"/>
    </row>
    <row r="28972">
      <c r="D28972" s="185"/>
      <c r="E28972" s="185" t="s">
        <v>470</v>
      </c>
      <c r="H28972" s="185"/>
    </row>
    <row r="28973">
      <c r="D28973" s="185"/>
      <c r="E28973" s="185" t="s">
        <v>470</v>
      </c>
      <c r="H28973" s="185"/>
    </row>
    <row r="28974">
      <c r="D28974" s="185"/>
      <c r="E28974" s="185" t="s">
        <v>470</v>
      </c>
      <c r="H28974" s="185"/>
    </row>
    <row r="28975">
      <c r="D28975" s="185"/>
      <c r="E28975" s="185" t="s">
        <v>470</v>
      </c>
      <c r="H28975" s="185"/>
    </row>
    <row r="28976">
      <c r="D28976" s="185"/>
      <c r="E28976" s="185" t="s">
        <v>470</v>
      </c>
      <c r="H28976" s="185"/>
    </row>
    <row r="28977">
      <c r="D28977" s="185"/>
      <c r="E28977" s="185" t="s">
        <v>470</v>
      </c>
      <c r="H28977" s="185"/>
    </row>
    <row r="28978">
      <c r="D28978" s="185"/>
      <c r="E28978" s="185" t="s">
        <v>470</v>
      </c>
      <c r="H28978" s="185"/>
    </row>
    <row r="28979">
      <c r="D28979" s="185"/>
      <c r="E28979" s="185" t="s">
        <v>470</v>
      </c>
      <c r="H28979" s="185"/>
    </row>
    <row r="28980">
      <c r="D28980" s="185"/>
      <c r="E28980" s="185" t="s">
        <v>470</v>
      </c>
      <c r="H28980" s="185"/>
    </row>
    <row r="28981">
      <c r="D28981" s="185"/>
      <c r="E28981" s="185" t="s">
        <v>470</v>
      </c>
      <c r="H28981" s="185"/>
    </row>
    <row r="28982">
      <c r="D28982" s="185"/>
      <c r="E28982" s="185" t="s">
        <v>470</v>
      </c>
      <c r="H28982" s="185"/>
    </row>
    <row r="28983">
      <c r="D28983" s="185"/>
      <c r="E28983" s="185" t="s">
        <v>470</v>
      </c>
      <c r="H28983" s="185"/>
    </row>
    <row r="28984">
      <c r="D28984" s="185"/>
      <c r="E28984" s="185" t="s">
        <v>470</v>
      </c>
      <c r="H28984" s="185"/>
    </row>
    <row r="28985">
      <c r="D28985" s="185"/>
      <c r="E28985" s="185" t="s">
        <v>470</v>
      </c>
      <c r="H28985" s="185"/>
    </row>
    <row r="28986">
      <c r="D28986" s="185"/>
      <c r="E28986" s="185" t="s">
        <v>470</v>
      </c>
      <c r="H28986" s="185"/>
    </row>
    <row r="28987">
      <c r="D28987" s="185"/>
      <c r="E28987" s="185" t="s">
        <v>470</v>
      </c>
      <c r="H28987" s="185"/>
    </row>
    <row r="28988">
      <c r="D28988" s="185"/>
      <c r="E28988" s="185" t="s">
        <v>470</v>
      </c>
      <c r="H28988" s="185"/>
    </row>
    <row r="28989">
      <c r="D28989" s="185"/>
      <c r="E28989" s="185" t="s">
        <v>470</v>
      </c>
      <c r="H28989" s="185"/>
    </row>
    <row r="28990">
      <c r="D28990" s="185"/>
      <c r="E28990" s="185" t="s">
        <v>470</v>
      </c>
      <c r="H28990" s="185"/>
    </row>
    <row r="28991">
      <c r="D28991" s="185"/>
      <c r="E28991" s="185" t="s">
        <v>470</v>
      </c>
      <c r="H28991" s="185"/>
    </row>
    <row r="28992">
      <c r="D28992" s="185"/>
      <c r="E28992" s="185" t="s">
        <v>470</v>
      </c>
      <c r="H28992" s="185"/>
    </row>
    <row r="28993">
      <c r="D28993" s="185"/>
      <c r="E28993" s="185" t="s">
        <v>470</v>
      </c>
      <c r="H28993" s="185"/>
    </row>
    <row r="28994">
      <c r="D28994" s="185"/>
      <c r="E28994" s="185" t="s">
        <v>470</v>
      </c>
      <c r="H28994" s="185"/>
    </row>
    <row r="28995">
      <c r="D28995" s="185"/>
      <c r="E28995" s="185" t="s">
        <v>470</v>
      </c>
      <c r="H28995" s="185"/>
    </row>
    <row r="28996">
      <c r="D28996" s="185"/>
      <c r="E28996" s="185" t="s">
        <v>470</v>
      </c>
      <c r="H28996" s="185"/>
    </row>
    <row r="28997">
      <c r="D28997" s="185"/>
      <c r="E28997" s="185" t="s">
        <v>470</v>
      </c>
      <c r="H28997" s="185"/>
    </row>
    <row r="28998">
      <c r="D28998" s="185"/>
      <c r="E28998" s="185" t="s">
        <v>470</v>
      </c>
      <c r="H28998" s="185"/>
    </row>
    <row r="28999">
      <c r="D28999" s="185"/>
      <c r="E28999" s="185" t="s">
        <v>470</v>
      </c>
      <c r="H28999" s="185"/>
    </row>
    <row r="29000">
      <c r="D29000" s="185"/>
      <c r="E29000" s="185" t="s">
        <v>470</v>
      </c>
      <c r="H29000" s="185"/>
    </row>
    <row r="29001">
      <c r="D29001" s="185"/>
      <c r="E29001" s="185" t="s">
        <v>470</v>
      </c>
      <c r="H29001" s="185"/>
    </row>
    <row r="29002">
      <c r="D29002" s="185"/>
      <c r="E29002" s="185" t="s">
        <v>470</v>
      </c>
      <c r="H29002" s="185"/>
    </row>
    <row r="29003">
      <c r="D29003" s="185"/>
      <c r="E29003" s="185" t="s">
        <v>470</v>
      </c>
      <c r="H29003" s="185"/>
    </row>
    <row r="29004">
      <c r="D29004" s="185"/>
      <c r="E29004" s="185" t="s">
        <v>470</v>
      </c>
      <c r="H29004" s="185"/>
    </row>
    <row r="29005">
      <c r="D29005" s="185"/>
      <c r="E29005" s="185" t="s">
        <v>470</v>
      </c>
      <c r="H29005" s="185"/>
    </row>
    <row r="29006">
      <c r="D29006" s="185"/>
      <c r="E29006" s="185" t="s">
        <v>470</v>
      </c>
      <c r="H29006" s="185"/>
    </row>
    <row r="29007">
      <c r="D29007" s="185"/>
      <c r="E29007" s="185" t="s">
        <v>470</v>
      </c>
      <c r="H29007" s="185"/>
    </row>
    <row r="29008">
      <c r="D29008" s="185"/>
      <c r="E29008" s="185" t="s">
        <v>470</v>
      </c>
      <c r="H29008" s="185"/>
    </row>
    <row r="29009">
      <c r="D29009" s="185"/>
      <c r="E29009" s="185" t="s">
        <v>470</v>
      </c>
      <c r="H29009" s="185"/>
    </row>
    <row r="29010">
      <c r="D29010" s="185"/>
      <c r="E29010" s="185" t="s">
        <v>470</v>
      </c>
      <c r="H29010" s="185"/>
    </row>
    <row r="29011">
      <c r="D29011" s="185"/>
      <c r="E29011" s="185" t="s">
        <v>470</v>
      </c>
      <c r="H29011" s="185"/>
    </row>
    <row r="29012">
      <c r="D29012" s="185"/>
      <c r="E29012" s="185" t="s">
        <v>470</v>
      </c>
      <c r="H29012" s="185"/>
    </row>
    <row r="29013">
      <c r="D29013" s="185"/>
      <c r="E29013" s="185" t="s">
        <v>470</v>
      </c>
      <c r="H29013" s="185"/>
    </row>
    <row r="29014">
      <c r="D29014" s="185"/>
      <c r="E29014" s="185" t="s">
        <v>470</v>
      </c>
      <c r="H29014" s="185"/>
    </row>
    <row r="29015">
      <c r="D29015" s="185"/>
      <c r="E29015" s="185" t="s">
        <v>470</v>
      </c>
      <c r="H29015" s="185"/>
    </row>
    <row r="29016">
      <c r="D29016" s="185"/>
      <c r="E29016" s="185" t="s">
        <v>470</v>
      </c>
      <c r="H29016" s="185"/>
    </row>
    <row r="29017">
      <c r="D29017" s="185"/>
      <c r="E29017" s="185" t="s">
        <v>470</v>
      </c>
      <c r="H29017" s="185"/>
    </row>
    <row r="29018">
      <c r="D29018" s="185"/>
      <c r="E29018" s="185" t="s">
        <v>470</v>
      </c>
      <c r="H29018" s="185"/>
    </row>
    <row r="29019">
      <c r="D29019" s="185"/>
      <c r="E29019" s="185" t="s">
        <v>470</v>
      </c>
      <c r="H29019" s="185"/>
    </row>
    <row r="29020">
      <c r="D29020" s="185"/>
      <c r="E29020" s="185" t="s">
        <v>470</v>
      </c>
      <c r="H29020" s="185"/>
    </row>
    <row r="29021">
      <c r="D29021" s="185"/>
      <c r="E29021" s="185" t="s">
        <v>470</v>
      </c>
      <c r="H29021" s="185"/>
    </row>
    <row r="29022">
      <c r="D29022" s="185"/>
      <c r="E29022" s="185" t="s">
        <v>470</v>
      </c>
      <c r="H29022" s="185"/>
    </row>
    <row r="29023">
      <c r="D29023" s="185"/>
      <c r="E29023" s="185" t="s">
        <v>470</v>
      </c>
      <c r="H29023" s="185"/>
    </row>
    <row r="29024">
      <c r="D29024" s="185"/>
      <c r="E29024" s="185" t="s">
        <v>470</v>
      </c>
      <c r="H29024" s="185"/>
    </row>
    <row r="29025">
      <c r="D29025" s="185"/>
      <c r="E29025" s="185" t="s">
        <v>470</v>
      </c>
      <c r="H29025" s="185"/>
    </row>
    <row r="29026">
      <c r="D29026" s="185"/>
      <c r="E29026" s="185" t="s">
        <v>470</v>
      </c>
      <c r="H29026" s="185"/>
    </row>
    <row r="29027">
      <c r="D29027" s="185"/>
      <c r="E29027" s="185" t="s">
        <v>470</v>
      </c>
      <c r="H29027" s="185"/>
    </row>
    <row r="29028">
      <c r="D29028" s="185"/>
      <c r="E29028" s="185" t="s">
        <v>470</v>
      </c>
      <c r="H29028" s="185"/>
    </row>
    <row r="29029">
      <c r="D29029" s="185"/>
      <c r="E29029" s="185" t="s">
        <v>470</v>
      </c>
      <c r="H29029" s="185"/>
    </row>
    <row r="29030">
      <c r="D29030" s="185"/>
      <c r="E29030" s="185" t="s">
        <v>470</v>
      </c>
      <c r="H29030" s="185"/>
    </row>
    <row r="29031">
      <c r="D29031" s="185"/>
      <c r="E29031" s="185" t="s">
        <v>470</v>
      </c>
      <c r="H29031" s="185"/>
    </row>
    <row r="29032">
      <c r="D29032" s="185"/>
      <c r="E29032" s="185" t="s">
        <v>470</v>
      </c>
      <c r="H29032" s="185"/>
    </row>
    <row r="29033">
      <c r="D29033" s="185"/>
      <c r="E29033" s="185" t="s">
        <v>470</v>
      </c>
      <c r="H29033" s="185"/>
    </row>
    <row r="29034">
      <c r="D29034" s="185"/>
      <c r="E29034" s="185" t="s">
        <v>470</v>
      </c>
      <c r="H29034" s="185"/>
    </row>
    <row r="29035">
      <c r="D29035" s="185"/>
      <c r="E29035" s="185" t="s">
        <v>470</v>
      </c>
      <c r="H29035" s="185"/>
    </row>
    <row r="29036">
      <c r="D29036" s="185"/>
      <c r="E29036" s="185" t="s">
        <v>470</v>
      </c>
      <c r="H29036" s="185"/>
    </row>
    <row r="29037">
      <c r="D29037" s="185"/>
      <c r="E29037" s="185" t="s">
        <v>470</v>
      </c>
      <c r="H29037" s="185"/>
    </row>
    <row r="29038">
      <c r="D29038" s="185"/>
      <c r="E29038" s="185" t="s">
        <v>470</v>
      </c>
      <c r="H29038" s="185"/>
    </row>
    <row r="29039">
      <c r="D29039" s="185"/>
      <c r="E29039" s="185" t="s">
        <v>470</v>
      </c>
      <c r="H29039" s="185"/>
    </row>
    <row r="29040">
      <c r="D29040" s="185"/>
      <c r="E29040" s="185" t="s">
        <v>470</v>
      </c>
      <c r="H29040" s="185"/>
    </row>
    <row r="29041">
      <c r="D29041" s="185"/>
      <c r="E29041" s="185" t="s">
        <v>470</v>
      </c>
      <c r="H29041" s="185"/>
    </row>
    <row r="29042">
      <c r="D29042" s="185"/>
      <c r="E29042" s="185" t="s">
        <v>470</v>
      </c>
      <c r="H29042" s="185"/>
    </row>
    <row r="29043">
      <c r="D29043" s="185"/>
      <c r="E29043" s="185" t="s">
        <v>470</v>
      </c>
      <c r="H29043" s="185"/>
    </row>
    <row r="29044">
      <c r="D29044" s="185"/>
      <c r="E29044" s="185" t="s">
        <v>470</v>
      </c>
      <c r="H29044" s="185"/>
    </row>
    <row r="29045">
      <c r="D29045" s="185"/>
      <c r="E29045" s="185" t="s">
        <v>470</v>
      </c>
      <c r="H29045" s="185"/>
    </row>
    <row r="29046">
      <c r="D29046" s="185"/>
      <c r="E29046" s="185" t="s">
        <v>470</v>
      </c>
      <c r="H29046" s="185"/>
    </row>
    <row r="29047">
      <c r="D29047" s="185"/>
      <c r="E29047" s="185" t="s">
        <v>470</v>
      </c>
      <c r="H29047" s="185"/>
    </row>
    <row r="29048">
      <c r="D29048" s="185"/>
      <c r="E29048" s="185" t="s">
        <v>470</v>
      </c>
      <c r="H29048" s="185"/>
    </row>
    <row r="29049">
      <c r="D29049" s="185"/>
      <c r="E29049" s="185" t="s">
        <v>470</v>
      </c>
      <c r="H29049" s="185"/>
    </row>
    <row r="29050">
      <c r="D29050" s="185"/>
      <c r="E29050" s="185" t="s">
        <v>470</v>
      </c>
      <c r="H29050" s="185"/>
    </row>
    <row r="29051">
      <c r="D29051" s="185"/>
      <c r="E29051" s="185" t="s">
        <v>470</v>
      </c>
      <c r="H29051" s="185"/>
    </row>
    <row r="29052">
      <c r="D29052" s="185"/>
      <c r="E29052" s="185" t="s">
        <v>470</v>
      </c>
      <c r="H29052" s="185"/>
    </row>
    <row r="29053">
      <c r="D29053" s="185"/>
      <c r="E29053" s="185" t="s">
        <v>470</v>
      </c>
      <c r="H29053" s="185"/>
    </row>
    <row r="29054">
      <c r="D29054" s="185"/>
      <c r="E29054" s="185" t="s">
        <v>470</v>
      </c>
      <c r="H29054" s="185"/>
    </row>
    <row r="29055">
      <c r="D29055" s="185"/>
      <c r="E29055" s="185" t="s">
        <v>470</v>
      </c>
      <c r="H29055" s="185"/>
    </row>
    <row r="29056">
      <c r="D29056" s="185"/>
      <c r="E29056" s="185" t="s">
        <v>470</v>
      </c>
      <c r="H29056" s="185"/>
    </row>
    <row r="29057">
      <c r="D29057" s="185"/>
      <c r="E29057" s="185" t="s">
        <v>470</v>
      </c>
      <c r="H29057" s="185"/>
    </row>
    <row r="29058">
      <c r="D29058" s="185"/>
      <c r="E29058" s="185" t="s">
        <v>470</v>
      </c>
      <c r="H29058" s="185"/>
    </row>
    <row r="29059">
      <c r="D29059" s="185"/>
      <c r="E29059" s="185" t="s">
        <v>470</v>
      </c>
      <c r="H29059" s="185"/>
    </row>
    <row r="29060">
      <c r="D29060" s="185"/>
      <c r="E29060" s="185" t="s">
        <v>470</v>
      </c>
      <c r="H29060" s="185"/>
    </row>
    <row r="29061">
      <c r="D29061" s="185"/>
      <c r="E29061" s="185" t="s">
        <v>470</v>
      </c>
      <c r="H29061" s="185"/>
    </row>
    <row r="29062">
      <c r="D29062" s="185"/>
      <c r="E29062" s="185" t="s">
        <v>470</v>
      </c>
      <c r="H29062" s="185"/>
    </row>
    <row r="29063">
      <c r="D29063" s="185"/>
      <c r="E29063" s="185" t="s">
        <v>470</v>
      </c>
      <c r="H29063" s="185"/>
    </row>
    <row r="29064">
      <c r="D29064" s="185"/>
      <c r="E29064" s="185" t="s">
        <v>470</v>
      </c>
      <c r="H29064" s="185"/>
    </row>
    <row r="29065">
      <c r="D29065" s="185"/>
      <c r="E29065" s="185" t="s">
        <v>470</v>
      </c>
      <c r="H29065" s="185"/>
    </row>
    <row r="29066">
      <c r="D29066" s="185"/>
      <c r="E29066" s="185" t="s">
        <v>470</v>
      </c>
      <c r="H29066" s="185"/>
    </row>
    <row r="29067">
      <c r="D29067" s="185"/>
      <c r="E29067" s="185" t="s">
        <v>470</v>
      </c>
      <c r="H29067" s="185"/>
    </row>
    <row r="29068">
      <c r="D29068" s="185"/>
      <c r="E29068" s="185" t="s">
        <v>470</v>
      </c>
      <c r="H29068" s="185"/>
    </row>
    <row r="29069">
      <c r="D29069" s="185"/>
      <c r="E29069" s="185" t="s">
        <v>470</v>
      </c>
      <c r="H29069" s="185"/>
    </row>
    <row r="29070">
      <c r="D29070" s="185"/>
      <c r="E29070" s="185" t="s">
        <v>470</v>
      </c>
      <c r="H29070" s="185"/>
    </row>
    <row r="29071">
      <c r="D29071" s="185"/>
      <c r="E29071" s="185" t="s">
        <v>470</v>
      </c>
      <c r="H29071" s="185"/>
    </row>
    <row r="29072">
      <c r="D29072" s="185"/>
      <c r="E29072" s="185" t="s">
        <v>470</v>
      </c>
      <c r="H29072" s="185"/>
    </row>
    <row r="29073">
      <c r="D29073" s="185"/>
      <c r="E29073" s="185" t="s">
        <v>470</v>
      </c>
      <c r="H29073" s="185"/>
    </row>
    <row r="29074">
      <c r="D29074" s="185"/>
      <c r="E29074" s="185" t="s">
        <v>470</v>
      </c>
      <c r="H29074" s="185"/>
    </row>
    <row r="29075">
      <c r="D29075" s="185"/>
      <c r="E29075" s="185" t="s">
        <v>470</v>
      </c>
      <c r="H29075" s="185"/>
    </row>
    <row r="29076">
      <c r="D29076" s="185"/>
      <c r="E29076" s="185" t="s">
        <v>470</v>
      </c>
      <c r="H29076" s="185"/>
    </row>
    <row r="29077">
      <c r="D29077" s="185"/>
      <c r="E29077" s="185" t="s">
        <v>470</v>
      </c>
      <c r="H29077" s="185"/>
    </row>
    <row r="29078">
      <c r="D29078" s="185"/>
      <c r="E29078" s="185" t="s">
        <v>470</v>
      </c>
      <c r="H29078" s="185"/>
    </row>
    <row r="29079">
      <c r="D29079" s="185"/>
      <c r="E29079" s="185" t="s">
        <v>470</v>
      </c>
      <c r="H29079" s="185"/>
    </row>
    <row r="29080">
      <c r="D29080" s="185"/>
      <c r="E29080" s="185" t="s">
        <v>470</v>
      </c>
      <c r="H29080" s="185"/>
    </row>
    <row r="29081">
      <c r="D29081" s="185"/>
      <c r="E29081" s="185" t="s">
        <v>470</v>
      </c>
      <c r="H29081" s="185"/>
    </row>
    <row r="29082">
      <c r="D29082" s="185"/>
      <c r="E29082" s="185" t="s">
        <v>470</v>
      </c>
      <c r="H29082" s="185"/>
    </row>
    <row r="29083">
      <c r="D29083" s="185"/>
      <c r="E29083" s="185" t="s">
        <v>470</v>
      </c>
      <c r="H29083" s="185"/>
    </row>
    <row r="29084">
      <c r="D29084" s="185"/>
      <c r="E29084" s="185" t="s">
        <v>470</v>
      </c>
      <c r="H29084" s="185"/>
    </row>
    <row r="29085">
      <c r="D29085" s="185"/>
      <c r="E29085" s="185" t="s">
        <v>470</v>
      </c>
      <c r="H29085" s="185"/>
    </row>
    <row r="29086">
      <c r="D29086" s="185"/>
      <c r="E29086" s="185" t="s">
        <v>470</v>
      </c>
      <c r="H29086" s="185"/>
    </row>
    <row r="29087">
      <c r="D29087" s="185"/>
      <c r="E29087" s="185" t="s">
        <v>470</v>
      </c>
      <c r="H29087" s="185"/>
    </row>
    <row r="29088">
      <c r="D29088" s="185"/>
      <c r="E29088" s="185" t="s">
        <v>470</v>
      </c>
      <c r="H29088" s="185"/>
    </row>
    <row r="29089">
      <c r="D29089" s="185"/>
      <c r="E29089" s="185" t="s">
        <v>470</v>
      </c>
      <c r="H29089" s="185"/>
    </row>
    <row r="29090">
      <c r="D29090" s="185"/>
      <c r="E29090" s="185" t="s">
        <v>470</v>
      </c>
      <c r="H29090" s="185"/>
    </row>
    <row r="29091">
      <c r="D29091" s="185"/>
      <c r="E29091" s="185" t="s">
        <v>470</v>
      </c>
      <c r="H29091" s="185"/>
    </row>
    <row r="29092">
      <c r="D29092" s="185"/>
      <c r="E29092" s="185" t="s">
        <v>470</v>
      </c>
      <c r="H29092" s="185"/>
    </row>
    <row r="29093">
      <c r="D29093" s="185"/>
      <c r="E29093" s="185" t="s">
        <v>470</v>
      </c>
      <c r="H29093" s="185"/>
    </row>
    <row r="29094">
      <c r="D29094" s="185"/>
      <c r="E29094" s="185" t="s">
        <v>470</v>
      </c>
      <c r="H29094" s="185"/>
    </row>
    <row r="29095">
      <c r="D29095" s="185"/>
      <c r="E29095" s="185" t="s">
        <v>470</v>
      </c>
      <c r="H29095" s="185"/>
    </row>
    <row r="29096">
      <c r="D29096" s="185"/>
      <c r="E29096" s="185" t="s">
        <v>470</v>
      </c>
      <c r="H29096" s="185"/>
    </row>
    <row r="29097">
      <c r="D29097" s="185"/>
      <c r="E29097" s="185" t="s">
        <v>470</v>
      </c>
      <c r="H29097" s="185"/>
    </row>
    <row r="29098">
      <c r="D29098" s="185"/>
      <c r="E29098" s="185" t="s">
        <v>470</v>
      </c>
      <c r="H29098" s="185"/>
    </row>
    <row r="29099">
      <c r="D29099" s="185"/>
      <c r="E29099" s="185" t="s">
        <v>470</v>
      </c>
      <c r="H29099" s="185"/>
    </row>
    <row r="29100">
      <c r="D29100" s="185"/>
      <c r="E29100" s="185" t="s">
        <v>470</v>
      </c>
      <c r="H29100" s="185"/>
    </row>
    <row r="29101">
      <c r="D29101" s="185"/>
      <c r="E29101" s="185" t="s">
        <v>470</v>
      </c>
      <c r="H29101" s="185"/>
    </row>
    <row r="29102">
      <c r="D29102" s="185"/>
      <c r="E29102" s="185" t="s">
        <v>470</v>
      </c>
      <c r="H29102" s="185"/>
    </row>
    <row r="29103">
      <c r="D29103" s="185"/>
      <c r="E29103" s="185" t="s">
        <v>470</v>
      </c>
      <c r="H29103" s="185"/>
    </row>
    <row r="29104">
      <c r="D29104" s="185"/>
      <c r="E29104" s="185" t="s">
        <v>470</v>
      </c>
      <c r="H29104" s="185"/>
    </row>
    <row r="29105">
      <c r="D29105" s="185"/>
      <c r="E29105" s="185" t="s">
        <v>470</v>
      </c>
      <c r="H29105" s="185"/>
    </row>
    <row r="29106">
      <c r="D29106" s="185"/>
      <c r="E29106" s="185" t="s">
        <v>470</v>
      </c>
      <c r="H29106" s="185"/>
    </row>
    <row r="29107">
      <c r="D29107" s="185"/>
      <c r="E29107" s="185" t="s">
        <v>470</v>
      </c>
      <c r="H29107" s="185"/>
    </row>
    <row r="29108">
      <c r="D29108" s="185"/>
      <c r="E29108" s="185" t="s">
        <v>470</v>
      </c>
      <c r="H29108" s="185"/>
    </row>
    <row r="29109">
      <c r="D29109" s="185"/>
      <c r="E29109" s="185" t="s">
        <v>470</v>
      </c>
      <c r="H29109" s="185"/>
    </row>
    <row r="29110">
      <c r="D29110" s="185"/>
      <c r="E29110" s="185" t="s">
        <v>470</v>
      </c>
      <c r="H29110" s="185"/>
    </row>
    <row r="29111">
      <c r="D29111" s="185"/>
      <c r="E29111" s="185" t="s">
        <v>470</v>
      </c>
      <c r="H29111" s="185"/>
    </row>
    <row r="29112">
      <c r="D29112" s="185"/>
      <c r="E29112" s="185" t="s">
        <v>470</v>
      </c>
      <c r="H29112" s="185"/>
    </row>
    <row r="29113">
      <c r="D29113" s="185"/>
      <c r="E29113" s="185" t="s">
        <v>470</v>
      </c>
      <c r="H29113" s="185"/>
    </row>
    <row r="29114">
      <c r="D29114" s="185"/>
      <c r="E29114" s="185" t="s">
        <v>470</v>
      </c>
      <c r="H29114" s="185"/>
    </row>
    <row r="29115">
      <c r="D29115" s="185"/>
      <c r="E29115" s="185" t="s">
        <v>470</v>
      </c>
      <c r="H29115" s="185"/>
    </row>
    <row r="29116">
      <c r="D29116" s="185"/>
      <c r="E29116" s="185" t="s">
        <v>470</v>
      </c>
      <c r="H29116" s="185"/>
    </row>
    <row r="29117">
      <c r="D29117" s="185"/>
      <c r="E29117" s="185" t="s">
        <v>470</v>
      </c>
      <c r="H29117" s="185"/>
    </row>
    <row r="29118">
      <c r="D29118" s="185"/>
      <c r="E29118" s="185" t="s">
        <v>470</v>
      </c>
      <c r="H29118" s="185"/>
    </row>
    <row r="29119">
      <c r="D29119" s="185"/>
      <c r="E29119" s="185" t="s">
        <v>470</v>
      </c>
      <c r="H29119" s="185"/>
    </row>
    <row r="29120">
      <c r="D29120" s="185"/>
      <c r="E29120" s="185" t="s">
        <v>470</v>
      </c>
      <c r="H29120" s="185"/>
    </row>
    <row r="29121">
      <c r="D29121" s="185"/>
      <c r="E29121" s="185" t="s">
        <v>470</v>
      </c>
      <c r="H29121" s="185"/>
    </row>
    <row r="29122">
      <c r="D29122" s="185"/>
      <c r="E29122" s="185" t="s">
        <v>470</v>
      </c>
      <c r="H29122" s="185"/>
    </row>
    <row r="29123">
      <c r="D29123" s="185"/>
      <c r="E29123" s="185" t="s">
        <v>470</v>
      </c>
      <c r="H29123" s="185"/>
    </row>
    <row r="29124">
      <c r="D29124" s="185"/>
      <c r="E29124" s="185" t="s">
        <v>470</v>
      </c>
      <c r="H29124" s="185"/>
    </row>
    <row r="29125">
      <c r="D29125" s="185"/>
      <c r="E29125" s="185" t="s">
        <v>470</v>
      </c>
      <c r="H29125" s="185"/>
    </row>
    <row r="29126">
      <c r="D29126" s="185"/>
      <c r="E29126" s="185" t="s">
        <v>470</v>
      </c>
      <c r="H29126" s="185"/>
    </row>
    <row r="29127">
      <c r="D29127" s="185"/>
      <c r="E29127" s="185" t="s">
        <v>470</v>
      </c>
      <c r="H29127" s="185"/>
    </row>
    <row r="29128">
      <c r="D29128" s="185"/>
      <c r="E29128" s="185" t="s">
        <v>470</v>
      </c>
      <c r="H29128" s="185"/>
    </row>
    <row r="29129">
      <c r="D29129" s="185"/>
      <c r="E29129" s="185" t="s">
        <v>470</v>
      </c>
      <c r="H29129" s="185"/>
    </row>
    <row r="29130">
      <c r="D29130" s="185"/>
      <c r="E29130" s="185" t="s">
        <v>470</v>
      </c>
      <c r="H29130" s="185"/>
    </row>
    <row r="29131">
      <c r="D29131" s="185"/>
      <c r="E29131" s="185" t="s">
        <v>470</v>
      </c>
      <c r="H29131" s="185"/>
    </row>
    <row r="29132">
      <c r="D29132" s="185"/>
      <c r="E29132" s="185" t="s">
        <v>470</v>
      </c>
      <c r="H29132" s="185"/>
    </row>
    <row r="29133">
      <c r="D29133" s="185"/>
      <c r="E29133" s="185" t="s">
        <v>470</v>
      </c>
      <c r="H29133" s="185"/>
    </row>
    <row r="29134">
      <c r="D29134" s="185"/>
      <c r="E29134" s="185" t="s">
        <v>470</v>
      </c>
      <c r="H29134" s="185"/>
    </row>
    <row r="29135">
      <c r="D29135" s="185"/>
      <c r="E29135" s="185" t="s">
        <v>470</v>
      </c>
      <c r="H29135" s="185"/>
    </row>
    <row r="29136">
      <c r="D29136" s="185"/>
      <c r="E29136" s="185" t="s">
        <v>470</v>
      </c>
      <c r="H29136" s="185"/>
    </row>
    <row r="29137">
      <c r="D29137" s="185"/>
      <c r="E29137" s="185" t="s">
        <v>470</v>
      </c>
      <c r="H29137" s="185"/>
    </row>
    <row r="29138">
      <c r="D29138" s="185"/>
      <c r="E29138" s="185" t="s">
        <v>470</v>
      </c>
      <c r="H29138" s="185"/>
    </row>
    <row r="29139">
      <c r="D29139" s="185"/>
      <c r="E29139" s="185" t="s">
        <v>470</v>
      </c>
      <c r="H29139" s="185"/>
    </row>
    <row r="29140">
      <c r="D29140" s="185"/>
      <c r="E29140" s="185" t="s">
        <v>470</v>
      </c>
      <c r="H29140" s="185"/>
    </row>
    <row r="29141">
      <c r="D29141" s="185"/>
      <c r="E29141" s="185" t="s">
        <v>470</v>
      </c>
      <c r="H29141" s="185"/>
    </row>
    <row r="29142">
      <c r="D29142" s="185"/>
      <c r="E29142" s="185" t="s">
        <v>470</v>
      </c>
      <c r="H29142" s="185"/>
    </row>
    <row r="29143">
      <c r="D29143" s="185"/>
      <c r="E29143" s="185" t="s">
        <v>470</v>
      </c>
      <c r="H29143" s="185"/>
    </row>
    <row r="29144">
      <c r="D29144" s="185"/>
      <c r="E29144" s="185" t="s">
        <v>470</v>
      </c>
      <c r="H29144" s="185"/>
    </row>
    <row r="29145">
      <c r="D29145" s="185"/>
      <c r="E29145" s="185" t="s">
        <v>470</v>
      </c>
      <c r="H29145" s="185"/>
    </row>
    <row r="29146">
      <c r="D29146" s="185"/>
      <c r="E29146" s="185" t="s">
        <v>470</v>
      </c>
      <c r="H29146" s="185"/>
    </row>
    <row r="29147">
      <c r="D29147" s="185"/>
      <c r="E29147" s="185" t="s">
        <v>470</v>
      </c>
      <c r="H29147" s="185"/>
    </row>
    <row r="29148">
      <c r="D29148" s="185"/>
      <c r="E29148" s="185" t="s">
        <v>470</v>
      </c>
      <c r="H29148" s="185"/>
    </row>
    <row r="29149">
      <c r="D29149" s="185"/>
      <c r="E29149" s="185" t="s">
        <v>470</v>
      </c>
      <c r="H29149" s="185"/>
    </row>
    <row r="29150">
      <c r="D29150" s="185"/>
      <c r="E29150" s="185" t="s">
        <v>470</v>
      </c>
      <c r="H29150" s="185"/>
    </row>
    <row r="29151">
      <c r="D29151" s="185"/>
      <c r="E29151" s="185" t="s">
        <v>470</v>
      </c>
      <c r="H29151" s="185"/>
    </row>
    <row r="29152">
      <c r="D29152" s="185"/>
      <c r="E29152" s="185" t="s">
        <v>470</v>
      </c>
      <c r="H29152" s="185"/>
    </row>
    <row r="29153">
      <c r="D29153" s="185"/>
      <c r="E29153" s="185" t="s">
        <v>470</v>
      </c>
      <c r="H29153" s="185"/>
    </row>
    <row r="29154">
      <c r="D29154" s="185"/>
      <c r="E29154" s="185" t="s">
        <v>470</v>
      </c>
      <c r="H29154" s="185"/>
    </row>
    <row r="29155">
      <c r="D29155" s="185"/>
      <c r="E29155" s="185" t="s">
        <v>470</v>
      </c>
      <c r="H29155" s="185"/>
    </row>
    <row r="29156">
      <c r="D29156" s="185"/>
      <c r="E29156" s="185" t="s">
        <v>470</v>
      </c>
      <c r="H29156" s="185"/>
    </row>
    <row r="29157">
      <c r="D29157" s="185"/>
      <c r="E29157" s="185" t="s">
        <v>470</v>
      </c>
      <c r="H29157" s="185"/>
    </row>
    <row r="29158">
      <c r="D29158" s="185"/>
      <c r="E29158" s="185" t="s">
        <v>470</v>
      </c>
      <c r="H29158" s="185"/>
    </row>
    <row r="29159">
      <c r="D29159" s="185"/>
      <c r="E29159" s="185" t="s">
        <v>470</v>
      </c>
      <c r="H29159" s="185"/>
    </row>
    <row r="29160">
      <c r="D29160" s="185"/>
      <c r="E29160" s="185" t="s">
        <v>470</v>
      </c>
      <c r="H29160" s="185"/>
    </row>
    <row r="29161">
      <c r="D29161" s="185"/>
      <c r="E29161" s="185" t="s">
        <v>470</v>
      </c>
      <c r="H29161" s="185"/>
    </row>
    <row r="29162">
      <c r="D29162" s="185"/>
      <c r="E29162" s="185" t="s">
        <v>470</v>
      </c>
      <c r="H29162" s="185"/>
    </row>
    <row r="29163">
      <c r="D29163" s="185"/>
      <c r="E29163" s="185" t="s">
        <v>470</v>
      </c>
      <c r="H29163" s="185"/>
    </row>
    <row r="29164">
      <c r="D29164" s="185"/>
      <c r="E29164" s="185" t="s">
        <v>470</v>
      </c>
      <c r="H29164" s="185"/>
    </row>
    <row r="29165">
      <c r="D29165" s="185"/>
      <c r="E29165" s="185" t="s">
        <v>470</v>
      </c>
      <c r="H29165" s="185"/>
    </row>
    <row r="29166">
      <c r="D29166" s="185"/>
      <c r="E29166" s="185" t="s">
        <v>470</v>
      </c>
      <c r="H29166" s="185"/>
    </row>
    <row r="29167">
      <c r="D29167" s="185"/>
      <c r="E29167" s="185" t="s">
        <v>470</v>
      </c>
      <c r="H29167" s="185"/>
    </row>
    <row r="29168">
      <c r="D29168" s="185"/>
      <c r="E29168" s="185" t="s">
        <v>470</v>
      </c>
      <c r="H29168" s="185"/>
    </row>
    <row r="29169">
      <c r="D29169" s="185"/>
      <c r="E29169" s="185" t="s">
        <v>470</v>
      </c>
      <c r="H29169" s="185"/>
    </row>
    <row r="29170">
      <c r="D29170" s="185"/>
      <c r="E29170" s="185" t="s">
        <v>470</v>
      </c>
      <c r="H29170" s="185"/>
    </row>
    <row r="29171">
      <c r="D29171" s="185"/>
      <c r="E29171" s="185" t="s">
        <v>470</v>
      </c>
      <c r="H29171" s="185"/>
    </row>
    <row r="29172">
      <c r="D29172" s="185"/>
      <c r="E29172" s="185" t="s">
        <v>470</v>
      </c>
      <c r="H29172" s="185"/>
    </row>
    <row r="29173">
      <c r="D29173" s="185"/>
      <c r="E29173" s="185" t="s">
        <v>470</v>
      </c>
      <c r="H29173" s="185"/>
    </row>
    <row r="29174">
      <c r="D29174" s="185"/>
      <c r="E29174" s="185" t="s">
        <v>470</v>
      </c>
      <c r="H29174" s="185"/>
    </row>
    <row r="29175">
      <c r="D29175" s="185"/>
      <c r="E29175" s="185" t="s">
        <v>470</v>
      </c>
      <c r="H29175" s="185"/>
    </row>
    <row r="29176">
      <c r="D29176" s="185"/>
      <c r="E29176" s="185" t="s">
        <v>470</v>
      </c>
      <c r="H29176" s="185"/>
    </row>
    <row r="29177">
      <c r="D29177" s="185"/>
      <c r="E29177" s="185" t="s">
        <v>470</v>
      </c>
      <c r="H29177" s="185"/>
    </row>
    <row r="29178">
      <c r="D29178" s="185"/>
      <c r="E29178" s="185" t="s">
        <v>470</v>
      </c>
      <c r="H29178" s="185"/>
    </row>
    <row r="29179">
      <c r="D29179" s="185"/>
      <c r="E29179" s="185" t="s">
        <v>470</v>
      </c>
      <c r="H29179" s="185"/>
    </row>
    <row r="29180">
      <c r="D29180" s="185"/>
      <c r="E29180" s="185" t="s">
        <v>470</v>
      </c>
      <c r="H29180" s="185"/>
    </row>
    <row r="29181">
      <c r="D29181" s="185"/>
      <c r="E29181" s="185" t="s">
        <v>470</v>
      </c>
      <c r="H29181" s="185"/>
    </row>
    <row r="29182">
      <c r="D29182" s="185"/>
      <c r="E29182" s="185" t="s">
        <v>470</v>
      </c>
      <c r="H29182" s="185"/>
    </row>
    <row r="29183">
      <c r="D29183" s="185"/>
      <c r="E29183" s="185" t="s">
        <v>470</v>
      </c>
      <c r="H29183" s="185"/>
    </row>
    <row r="29184">
      <c r="D29184" s="185"/>
      <c r="E29184" s="185" t="s">
        <v>470</v>
      </c>
      <c r="H29184" s="185"/>
    </row>
    <row r="29185">
      <c r="D29185" s="185"/>
      <c r="E29185" s="185" t="s">
        <v>470</v>
      </c>
      <c r="H29185" s="185"/>
    </row>
    <row r="29186">
      <c r="D29186" s="185"/>
      <c r="E29186" s="185" t="s">
        <v>470</v>
      </c>
      <c r="H29186" s="185"/>
    </row>
    <row r="29187">
      <c r="D29187" s="185"/>
      <c r="E29187" s="185" t="s">
        <v>470</v>
      </c>
      <c r="H29187" s="185"/>
    </row>
    <row r="29188">
      <c r="D29188" s="185"/>
      <c r="E29188" s="185" t="s">
        <v>470</v>
      </c>
      <c r="H29188" s="185"/>
    </row>
    <row r="29189">
      <c r="D29189" s="185"/>
      <c r="E29189" s="185" t="s">
        <v>470</v>
      </c>
      <c r="H29189" s="185"/>
    </row>
    <row r="29190">
      <c r="D29190" s="185"/>
      <c r="E29190" s="185" t="s">
        <v>470</v>
      </c>
      <c r="H29190" s="185"/>
    </row>
    <row r="29191">
      <c r="D29191" s="185"/>
      <c r="E29191" s="185" t="s">
        <v>470</v>
      </c>
      <c r="H29191" s="185"/>
    </row>
    <row r="29192">
      <c r="D29192" s="185"/>
      <c r="E29192" s="185" t="s">
        <v>470</v>
      </c>
      <c r="H29192" s="185"/>
    </row>
    <row r="29193">
      <c r="D29193" s="185"/>
      <c r="E29193" s="185" t="s">
        <v>470</v>
      </c>
      <c r="H29193" s="185"/>
    </row>
    <row r="29194">
      <c r="D29194" s="185"/>
      <c r="E29194" s="185" t="s">
        <v>470</v>
      </c>
      <c r="H29194" s="185"/>
    </row>
    <row r="29195">
      <c r="D29195" s="185"/>
      <c r="E29195" s="185" t="s">
        <v>470</v>
      </c>
      <c r="H29195" s="185"/>
    </row>
    <row r="29196">
      <c r="D29196" s="185"/>
      <c r="E29196" s="185" t="s">
        <v>470</v>
      </c>
      <c r="H29196" s="185"/>
    </row>
    <row r="29197">
      <c r="D29197" s="185"/>
      <c r="E29197" s="185" t="s">
        <v>470</v>
      </c>
      <c r="H29197" s="185"/>
    </row>
    <row r="29198">
      <c r="D29198" s="185"/>
      <c r="E29198" s="185" t="s">
        <v>470</v>
      </c>
      <c r="H29198" s="185"/>
    </row>
    <row r="29199">
      <c r="D29199" s="185"/>
      <c r="E29199" s="185" t="s">
        <v>470</v>
      </c>
      <c r="H29199" s="185"/>
    </row>
    <row r="29200">
      <c r="D29200" s="185"/>
      <c r="E29200" s="185" t="s">
        <v>470</v>
      </c>
      <c r="H29200" s="185"/>
    </row>
    <row r="29201">
      <c r="D29201" s="185"/>
      <c r="E29201" s="185" t="s">
        <v>470</v>
      </c>
      <c r="H29201" s="185"/>
    </row>
    <row r="29202">
      <c r="D29202" s="185"/>
      <c r="E29202" s="185" t="s">
        <v>470</v>
      </c>
      <c r="H29202" s="185"/>
    </row>
    <row r="29203">
      <c r="D29203" s="185"/>
      <c r="E29203" s="185" t="s">
        <v>470</v>
      </c>
      <c r="H29203" s="185"/>
    </row>
    <row r="29204">
      <c r="D29204" s="185"/>
      <c r="E29204" s="185" t="s">
        <v>470</v>
      </c>
      <c r="H29204" s="185"/>
    </row>
    <row r="29205">
      <c r="D29205" s="185"/>
      <c r="E29205" s="185" t="s">
        <v>470</v>
      </c>
      <c r="H29205" s="185"/>
    </row>
    <row r="29206">
      <c r="D29206" s="185"/>
      <c r="E29206" s="185" t="s">
        <v>470</v>
      </c>
      <c r="H29206" s="185"/>
    </row>
    <row r="29207">
      <c r="D29207" s="185"/>
      <c r="E29207" s="185" t="s">
        <v>470</v>
      </c>
      <c r="H29207" s="185"/>
    </row>
    <row r="29208">
      <c r="D29208" s="185"/>
      <c r="E29208" s="185" t="s">
        <v>470</v>
      </c>
      <c r="H29208" s="185"/>
    </row>
    <row r="29209">
      <c r="D29209" s="185"/>
      <c r="E29209" s="185" t="s">
        <v>470</v>
      </c>
      <c r="H29209" s="185"/>
    </row>
    <row r="29210">
      <c r="D29210" s="185"/>
      <c r="E29210" s="185" t="s">
        <v>470</v>
      </c>
      <c r="H29210" s="185"/>
    </row>
    <row r="29211">
      <c r="D29211" s="185"/>
      <c r="E29211" s="185" t="s">
        <v>470</v>
      </c>
      <c r="H29211" s="185"/>
    </row>
    <row r="29212">
      <c r="D29212" s="185"/>
      <c r="E29212" s="185" t="s">
        <v>470</v>
      </c>
      <c r="H29212" s="185"/>
    </row>
    <row r="29213">
      <c r="D29213" s="185"/>
      <c r="E29213" s="185" t="s">
        <v>470</v>
      </c>
      <c r="H29213" s="185"/>
    </row>
    <row r="29214">
      <c r="D29214" s="185"/>
      <c r="E29214" s="185" t="s">
        <v>470</v>
      </c>
      <c r="H29214" s="185"/>
    </row>
    <row r="29215">
      <c r="D29215" s="185"/>
      <c r="E29215" s="185" t="s">
        <v>470</v>
      </c>
      <c r="H29215" s="185"/>
    </row>
    <row r="29216">
      <c r="D29216" s="185"/>
      <c r="E29216" s="185" t="s">
        <v>470</v>
      </c>
      <c r="H29216" s="185"/>
    </row>
    <row r="29217">
      <c r="D29217" s="185"/>
      <c r="E29217" s="185" t="s">
        <v>470</v>
      </c>
      <c r="H29217" s="185"/>
    </row>
    <row r="29218">
      <c r="D29218" s="185"/>
      <c r="E29218" s="185" t="s">
        <v>470</v>
      </c>
      <c r="H29218" s="185"/>
    </row>
    <row r="29219">
      <c r="D29219" s="185"/>
      <c r="E29219" s="185" t="s">
        <v>470</v>
      </c>
      <c r="H29219" s="185"/>
    </row>
    <row r="29220">
      <c r="D29220" s="185"/>
      <c r="E29220" s="185" t="s">
        <v>470</v>
      </c>
      <c r="H29220" s="185"/>
    </row>
    <row r="29221">
      <c r="D29221" s="185"/>
      <c r="E29221" s="185" t="s">
        <v>470</v>
      </c>
      <c r="H29221" s="185"/>
    </row>
    <row r="29222">
      <c r="D29222" s="185"/>
      <c r="E29222" s="185" t="s">
        <v>470</v>
      </c>
      <c r="H29222" s="185"/>
    </row>
    <row r="29223">
      <c r="D29223" s="185"/>
      <c r="E29223" s="185" t="s">
        <v>470</v>
      </c>
      <c r="H29223" s="185"/>
    </row>
    <row r="29224">
      <c r="D29224" s="185"/>
      <c r="E29224" s="185" t="s">
        <v>470</v>
      </c>
      <c r="H29224" s="185"/>
    </row>
    <row r="29225">
      <c r="D29225" s="185"/>
      <c r="E29225" s="185" t="s">
        <v>470</v>
      </c>
      <c r="H29225" s="185"/>
    </row>
    <row r="29226">
      <c r="D29226" s="185"/>
      <c r="E29226" s="185" t="s">
        <v>470</v>
      </c>
      <c r="H29226" s="185"/>
    </row>
    <row r="29227">
      <c r="D29227" s="185"/>
      <c r="E29227" s="185" t="s">
        <v>470</v>
      </c>
      <c r="H29227" s="185"/>
    </row>
    <row r="29228">
      <c r="D29228" s="185"/>
      <c r="E29228" s="185" t="s">
        <v>470</v>
      </c>
      <c r="H29228" s="185"/>
    </row>
    <row r="29229">
      <c r="D29229" s="185"/>
      <c r="E29229" s="185" t="s">
        <v>470</v>
      </c>
      <c r="H29229" s="185"/>
    </row>
    <row r="29230">
      <c r="D29230" s="185"/>
      <c r="E29230" s="185" t="s">
        <v>470</v>
      </c>
      <c r="H29230" s="185"/>
    </row>
    <row r="29231">
      <c r="D29231" s="185"/>
      <c r="E29231" s="185" t="s">
        <v>470</v>
      </c>
      <c r="H29231" s="185"/>
    </row>
    <row r="29232">
      <c r="D29232" s="185"/>
      <c r="E29232" s="185" t="s">
        <v>470</v>
      </c>
      <c r="H29232" s="185"/>
    </row>
    <row r="29233">
      <c r="D29233" s="185"/>
      <c r="E29233" s="185" t="s">
        <v>470</v>
      </c>
      <c r="H29233" s="185"/>
    </row>
    <row r="29234">
      <c r="D29234" s="185"/>
      <c r="E29234" s="185" t="s">
        <v>470</v>
      </c>
      <c r="H29234" s="185"/>
    </row>
    <row r="29235">
      <c r="D29235" s="185"/>
      <c r="E29235" s="185" t="s">
        <v>470</v>
      </c>
      <c r="H29235" s="185"/>
    </row>
    <row r="29236">
      <c r="D29236" s="185"/>
      <c r="E29236" s="185" t="s">
        <v>470</v>
      </c>
      <c r="H29236" s="185"/>
    </row>
    <row r="29237">
      <c r="D29237" s="185"/>
      <c r="E29237" s="185" t="s">
        <v>470</v>
      </c>
      <c r="H29237" s="185"/>
    </row>
    <row r="29238">
      <c r="D29238" s="185"/>
      <c r="E29238" s="185" t="s">
        <v>470</v>
      </c>
      <c r="H29238" s="185"/>
    </row>
    <row r="29239">
      <c r="D29239" s="185"/>
      <c r="E29239" s="185" t="s">
        <v>470</v>
      </c>
      <c r="H29239" s="185"/>
    </row>
    <row r="29240">
      <c r="D29240" s="185"/>
      <c r="E29240" s="185" t="s">
        <v>470</v>
      </c>
      <c r="H29240" s="185"/>
    </row>
    <row r="29241">
      <c r="D29241" s="185"/>
      <c r="E29241" s="185" t="s">
        <v>470</v>
      </c>
      <c r="H29241" s="185"/>
    </row>
    <row r="29242">
      <c r="D29242" s="185"/>
      <c r="E29242" s="185" t="s">
        <v>470</v>
      </c>
      <c r="H29242" s="185"/>
    </row>
    <row r="29243">
      <c r="D29243" s="185"/>
      <c r="E29243" s="185" t="s">
        <v>470</v>
      </c>
      <c r="H29243" s="185"/>
    </row>
    <row r="29244">
      <c r="D29244" s="185"/>
      <c r="E29244" s="185" t="s">
        <v>470</v>
      </c>
      <c r="H29244" s="185"/>
    </row>
    <row r="29245">
      <c r="D29245" s="185"/>
      <c r="E29245" s="185" t="s">
        <v>470</v>
      </c>
      <c r="H29245" s="185"/>
    </row>
    <row r="29246">
      <c r="D29246" s="185"/>
      <c r="E29246" s="185" t="s">
        <v>470</v>
      </c>
      <c r="H29246" s="185"/>
    </row>
    <row r="29247">
      <c r="D29247" s="185"/>
      <c r="E29247" s="185" t="s">
        <v>470</v>
      </c>
      <c r="H29247" s="185"/>
    </row>
    <row r="29248">
      <c r="D29248" s="185"/>
      <c r="E29248" s="185" t="s">
        <v>470</v>
      </c>
      <c r="H29248" s="185"/>
    </row>
    <row r="29249">
      <c r="D29249" s="185"/>
      <c r="E29249" s="185" t="s">
        <v>470</v>
      </c>
      <c r="H29249" s="185"/>
    </row>
    <row r="29250">
      <c r="D29250" s="185"/>
      <c r="E29250" s="185" t="s">
        <v>470</v>
      </c>
      <c r="H29250" s="185"/>
    </row>
    <row r="29251">
      <c r="D29251" s="185"/>
      <c r="E29251" s="185" t="s">
        <v>470</v>
      </c>
      <c r="H29251" s="185"/>
    </row>
    <row r="29252">
      <c r="D29252" s="185"/>
      <c r="E29252" s="185" t="s">
        <v>470</v>
      </c>
      <c r="H29252" s="185"/>
    </row>
    <row r="29253">
      <c r="D29253" s="185"/>
      <c r="E29253" s="185" t="s">
        <v>470</v>
      </c>
      <c r="H29253" s="185"/>
    </row>
    <row r="29254">
      <c r="D29254" s="185"/>
      <c r="E29254" s="185" t="s">
        <v>470</v>
      </c>
      <c r="H29254" s="185"/>
    </row>
    <row r="29255">
      <c r="D29255" s="185"/>
      <c r="E29255" s="185" t="s">
        <v>470</v>
      </c>
      <c r="H29255" s="185"/>
    </row>
    <row r="29256">
      <c r="D29256" s="185"/>
      <c r="E29256" s="185" t="s">
        <v>470</v>
      </c>
      <c r="H29256" s="185"/>
    </row>
    <row r="29257">
      <c r="D29257" s="185"/>
      <c r="E29257" s="185" t="s">
        <v>470</v>
      </c>
      <c r="H29257" s="185"/>
    </row>
    <row r="29258">
      <c r="D29258" s="185"/>
      <c r="E29258" s="185" t="s">
        <v>470</v>
      </c>
      <c r="H29258" s="185"/>
    </row>
    <row r="29259">
      <c r="D29259" s="185"/>
      <c r="E29259" s="185" t="s">
        <v>470</v>
      </c>
      <c r="H29259" s="185"/>
    </row>
    <row r="29260">
      <c r="D29260" s="185"/>
      <c r="E29260" s="185" t="s">
        <v>470</v>
      </c>
      <c r="H29260" s="185"/>
    </row>
    <row r="29261">
      <c r="D29261" s="185"/>
      <c r="E29261" s="185" t="s">
        <v>470</v>
      </c>
      <c r="H29261" s="185"/>
    </row>
    <row r="29262">
      <c r="D29262" s="185"/>
      <c r="E29262" s="185" t="s">
        <v>470</v>
      </c>
      <c r="H29262" s="185"/>
    </row>
    <row r="29263">
      <c r="D29263" s="185"/>
      <c r="E29263" s="185" t="s">
        <v>470</v>
      </c>
      <c r="H29263" s="185"/>
    </row>
    <row r="29264">
      <c r="D29264" s="185"/>
      <c r="E29264" s="185" t="s">
        <v>470</v>
      </c>
      <c r="H29264" s="185"/>
    </row>
    <row r="29265">
      <c r="D29265" s="185"/>
      <c r="E29265" s="185" t="s">
        <v>470</v>
      </c>
      <c r="H29265" s="185"/>
    </row>
    <row r="29266">
      <c r="D29266" s="185"/>
      <c r="E29266" s="185" t="s">
        <v>470</v>
      </c>
      <c r="H29266" s="185"/>
    </row>
    <row r="29267">
      <c r="D29267" s="185"/>
      <c r="E29267" s="185" t="s">
        <v>470</v>
      </c>
      <c r="H29267" s="185"/>
    </row>
    <row r="29268">
      <c r="D29268" s="185"/>
      <c r="E29268" s="185" t="s">
        <v>470</v>
      </c>
      <c r="H29268" s="185"/>
    </row>
    <row r="29269">
      <c r="D29269" s="185"/>
      <c r="E29269" s="185" t="s">
        <v>470</v>
      </c>
      <c r="H29269" s="185"/>
    </row>
    <row r="29270">
      <c r="D29270" s="185"/>
      <c r="E29270" s="185" t="s">
        <v>470</v>
      </c>
      <c r="H29270" s="185"/>
    </row>
    <row r="29271">
      <c r="D29271" s="185"/>
      <c r="E29271" s="185" t="s">
        <v>470</v>
      </c>
      <c r="H29271" s="185"/>
    </row>
    <row r="29272">
      <c r="D29272" s="185"/>
      <c r="E29272" s="185" t="s">
        <v>470</v>
      </c>
      <c r="H29272" s="185"/>
    </row>
    <row r="29273">
      <c r="D29273" s="185"/>
      <c r="E29273" s="185" t="s">
        <v>470</v>
      </c>
      <c r="H29273" s="185"/>
    </row>
    <row r="29274">
      <c r="D29274" s="185"/>
      <c r="E29274" s="185" t="s">
        <v>470</v>
      </c>
      <c r="H29274" s="185"/>
    </row>
    <row r="29275">
      <c r="D29275" s="185"/>
      <c r="E29275" s="185" t="s">
        <v>470</v>
      </c>
      <c r="H29275" s="185"/>
    </row>
    <row r="29276">
      <c r="D29276" s="185"/>
      <c r="E29276" s="185" t="s">
        <v>470</v>
      </c>
      <c r="H29276" s="185"/>
    </row>
    <row r="29277">
      <c r="D29277" s="185"/>
      <c r="E29277" s="185" t="s">
        <v>470</v>
      </c>
      <c r="H29277" s="185"/>
    </row>
    <row r="29278">
      <c r="D29278" s="185"/>
      <c r="E29278" s="185" t="s">
        <v>470</v>
      </c>
      <c r="H29278" s="185"/>
    </row>
    <row r="29279">
      <c r="D29279" s="185"/>
      <c r="E29279" s="185" t="s">
        <v>470</v>
      </c>
      <c r="H29279" s="185"/>
    </row>
    <row r="29280">
      <c r="D29280" s="185"/>
      <c r="E29280" s="185" t="s">
        <v>470</v>
      </c>
      <c r="H29280" s="185"/>
    </row>
    <row r="29281">
      <c r="D29281" s="185"/>
      <c r="E29281" s="185" t="s">
        <v>470</v>
      </c>
      <c r="H29281" s="185"/>
    </row>
    <row r="29282">
      <c r="D29282" s="185"/>
      <c r="E29282" s="185" t="s">
        <v>470</v>
      </c>
      <c r="H29282" s="185"/>
    </row>
    <row r="29283">
      <c r="D29283" s="185"/>
      <c r="E29283" s="185" t="s">
        <v>470</v>
      </c>
      <c r="H29283" s="185"/>
    </row>
    <row r="29284">
      <c r="D29284" s="185"/>
      <c r="E29284" s="185" t="s">
        <v>470</v>
      </c>
      <c r="H29284" s="185"/>
    </row>
    <row r="29285">
      <c r="D29285" s="185"/>
      <c r="E29285" s="185" t="s">
        <v>470</v>
      </c>
      <c r="H29285" s="185"/>
    </row>
    <row r="29286">
      <c r="D29286" s="185"/>
      <c r="E29286" s="185" t="s">
        <v>470</v>
      </c>
      <c r="H29286" s="185"/>
    </row>
    <row r="29287">
      <c r="D29287" s="185"/>
      <c r="E29287" s="185" t="s">
        <v>470</v>
      </c>
      <c r="H29287" s="185"/>
    </row>
    <row r="29288">
      <c r="D29288" s="185"/>
      <c r="E29288" s="185" t="s">
        <v>470</v>
      </c>
      <c r="H29288" s="185"/>
    </row>
    <row r="29289">
      <c r="D29289" s="185"/>
      <c r="E29289" s="185" t="s">
        <v>470</v>
      </c>
      <c r="H29289" s="185"/>
    </row>
    <row r="29290">
      <c r="D29290" s="185"/>
      <c r="E29290" s="185" t="s">
        <v>470</v>
      </c>
      <c r="H29290" s="185"/>
    </row>
    <row r="29291">
      <c r="D29291" s="185"/>
      <c r="E29291" s="185" t="s">
        <v>470</v>
      </c>
      <c r="H29291" s="185"/>
    </row>
    <row r="29292">
      <c r="D29292" s="185"/>
      <c r="E29292" s="185" t="s">
        <v>470</v>
      </c>
      <c r="H29292" s="185"/>
    </row>
    <row r="29293">
      <c r="D29293" s="185"/>
      <c r="E29293" s="185" t="s">
        <v>470</v>
      </c>
      <c r="H29293" s="185"/>
    </row>
    <row r="29294">
      <c r="D29294" s="185"/>
      <c r="E29294" s="185" t="s">
        <v>470</v>
      </c>
      <c r="H29294" s="185"/>
    </row>
    <row r="29295">
      <c r="D29295" s="185"/>
      <c r="E29295" s="185" t="s">
        <v>470</v>
      </c>
      <c r="H29295" s="185"/>
    </row>
    <row r="29296">
      <c r="D29296" s="185"/>
      <c r="E29296" s="185" t="s">
        <v>470</v>
      </c>
      <c r="H29296" s="185"/>
    </row>
    <row r="29297">
      <c r="D29297" s="185"/>
      <c r="E29297" s="185" t="s">
        <v>470</v>
      </c>
      <c r="H29297" s="185"/>
    </row>
    <row r="29298">
      <c r="D29298" s="185"/>
      <c r="E29298" s="185" t="s">
        <v>470</v>
      </c>
      <c r="H29298" s="185"/>
    </row>
    <row r="29299">
      <c r="D29299" s="185"/>
      <c r="E29299" s="185" t="s">
        <v>470</v>
      </c>
      <c r="H29299" s="185"/>
    </row>
    <row r="29300">
      <c r="D29300" s="185"/>
      <c r="E29300" s="185" t="s">
        <v>470</v>
      </c>
      <c r="H29300" s="185"/>
    </row>
    <row r="29301">
      <c r="D29301" s="185"/>
      <c r="E29301" s="185" t="s">
        <v>470</v>
      </c>
      <c r="H29301" s="185"/>
    </row>
    <row r="29302">
      <c r="D29302" s="185"/>
      <c r="E29302" s="185" t="s">
        <v>470</v>
      </c>
      <c r="H29302" s="185"/>
    </row>
    <row r="29303">
      <c r="D29303" s="185"/>
      <c r="E29303" s="185" t="s">
        <v>470</v>
      </c>
      <c r="H29303" s="185"/>
    </row>
    <row r="29304">
      <c r="D29304" s="185"/>
      <c r="E29304" s="185" t="s">
        <v>470</v>
      </c>
      <c r="H29304" s="185"/>
    </row>
    <row r="29305">
      <c r="D29305" s="185"/>
      <c r="E29305" s="185" t="s">
        <v>470</v>
      </c>
      <c r="H29305" s="185"/>
    </row>
    <row r="29306">
      <c r="D29306" s="185"/>
      <c r="E29306" s="185" t="s">
        <v>470</v>
      </c>
      <c r="H29306" s="185"/>
    </row>
    <row r="29307">
      <c r="D29307" s="185"/>
      <c r="E29307" s="185" t="s">
        <v>470</v>
      </c>
      <c r="H29307" s="185"/>
    </row>
    <row r="29308">
      <c r="D29308" s="185"/>
      <c r="E29308" s="185" t="s">
        <v>470</v>
      </c>
      <c r="H29308" s="185"/>
    </row>
    <row r="29309">
      <c r="D29309" s="185"/>
      <c r="E29309" s="185" t="s">
        <v>470</v>
      </c>
      <c r="H29309" s="185"/>
    </row>
    <row r="29310">
      <c r="D29310" s="185"/>
      <c r="E29310" s="185" t="s">
        <v>470</v>
      </c>
      <c r="H29310" s="185"/>
    </row>
    <row r="29311">
      <c r="D29311" s="185"/>
      <c r="E29311" s="185" t="s">
        <v>470</v>
      </c>
      <c r="H29311" s="185"/>
    </row>
    <row r="29312">
      <c r="D29312" s="185"/>
      <c r="E29312" s="185" t="s">
        <v>470</v>
      </c>
      <c r="H29312" s="185"/>
    </row>
    <row r="29313">
      <c r="D29313" s="185"/>
      <c r="E29313" s="185" t="s">
        <v>470</v>
      </c>
      <c r="H29313" s="185"/>
    </row>
    <row r="29314">
      <c r="D29314" s="185"/>
      <c r="E29314" s="185" t="s">
        <v>470</v>
      </c>
      <c r="H29314" s="185"/>
    </row>
    <row r="29315">
      <c r="D29315" s="185"/>
      <c r="E29315" s="185" t="s">
        <v>470</v>
      </c>
      <c r="H29315" s="185"/>
    </row>
    <row r="29316">
      <c r="D29316" s="185"/>
      <c r="E29316" s="185" t="s">
        <v>470</v>
      </c>
      <c r="H29316" s="185"/>
    </row>
    <row r="29317">
      <c r="D29317" s="185"/>
      <c r="E29317" s="185" t="s">
        <v>470</v>
      </c>
      <c r="H29317" s="185"/>
    </row>
    <row r="29318">
      <c r="D29318" s="185"/>
      <c r="E29318" s="185" t="s">
        <v>470</v>
      </c>
      <c r="H29318" s="185"/>
    </row>
    <row r="29319">
      <c r="D29319" s="185"/>
      <c r="E29319" s="185" t="s">
        <v>470</v>
      </c>
      <c r="H29319" s="185"/>
    </row>
    <row r="29320">
      <c r="D29320" s="185"/>
      <c r="E29320" s="185" t="s">
        <v>470</v>
      </c>
      <c r="H29320" s="185"/>
    </row>
    <row r="29321">
      <c r="D29321" s="185"/>
      <c r="E29321" s="185" t="s">
        <v>470</v>
      </c>
      <c r="H29321" s="185"/>
    </row>
    <row r="29322">
      <c r="D29322" s="185"/>
      <c r="E29322" s="185" t="s">
        <v>470</v>
      </c>
      <c r="H29322" s="185"/>
    </row>
    <row r="29323">
      <c r="D29323" s="185"/>
      <c r="E29323" s="185" t="s">
        <v>470</v>
      </c>
      <c r="H29323" s="185"/>
    </row>
    <row r="29324">
      <c r="D29324" s="185"/>
      <c r="E29324" s="185" t="s">
        <v>470</v>
      </c>
      <c r="H29324" s="185"/>
    </row>
    <row r="29325">
      <c r="D29325" s="185"/>
      <c r="E29325" s="185" t="s">
        <v>470</v>
      </c>
      <c r="H29325" s="185"/>
    </row>
    <row r="29326">
      <c r="D29326" s="185"/>
      <c r="E29326" s="185" t="s">
        <v>470</v>
      </c>
      <c r="H29326" s="185"/>
    </row>
    <row r="29327">
      <c r="D29327" s="185"/>
      <c r="E29327" s="185" t="s">
        <v>470</v>
      </c>
      <c r="H29327" s="185"/>
    </row>
    <row r="29328">
      <c r="D29328" s="185"/>
      <c r="E29328" s="185" t="s">
        <v>470</v>
      </c>
      <c r="H29328" s="185"/>
    </row>
    <row r="29329">
      <c r="D29329" s="185"/>
      <c r="E29329" s="185" t="s">
        <v>470</v>
      </c>
      <c r="H29329" s="185"/>
    </row>
    <row r="29330">
      <c r="D29330" s="185"/>
      <c r="E29330" s="185" t="s">
        <v>470</v>
      </c>
      <c r="H29330" s="185"/>
    </row>
    <row r="29331">
      <c r="D29331" s="185"/>
      <c r="E29331" s="185" t="s">
        <v>470</v>
      </c>
      <c r="H29331" s="185"/>
    </row>
    <row r="29332">
      <c r="D29332" s="185"/>
      <c r="E29332" s="185" t="s">
        <v>470</v>
      </c>
      <c r="H29332" s="185"/>
    </row>
    <row r="29333">
      <c r="D29333" s="185"/>
      <c r="E29333" s="185" t="s">
        <v>470</v>
      </c>
      <c r="H29333" s="185"/>
    </row>
    <row r="29334">
      <c r="D29334" s="185"/>
      <c r="E29334" s="185" t="s">
        <v>470</v>
      </c>
      <c r="H29334" s="185"/>
    </row>
    <row r="29335">
      <c r="D29335" s="185"/>
      <c r="E29335" s="185" t="s">
        <v>470</v>
      </c>
      <c r="H29335" s="185"/>
    </row>
    <row r="29336">
      <c r="D29336" s="185"/>
      <c r="E29336" s="185" t="s">
        <v>470</v>
      </c>
      <c r="H29336" s="185"/>
    </row>
    <row r="29337">
      <c r="D29337" s="185"/>
      <c r="E29337" s="185" t="s">
        <v>470</v>
      </c>
      <c r="H29337" s="185"/>
    </row>
    <row r="29338">
      <c r="D29338" s="185"/>
      <c r="E29338" s="185" t="s">
        <v>470</v>
      </c>
      <c r="H29338" s="185"/>
    </row>
    <row r="29339">
      <c r="D29339" s="185"/>
      <c r="E29339" s="185" t="s">
        <v>470</v>
      </c>
      <c r="H29339" s="185"/>
    </row>
    <row r="29340">
      <c r="D29340" s="185"/>
      <c r="E29340" s="185" t="s">
        <v>470</v>
      </c>
      <c r="H29340" s="185"/>
    </row>
    <row r="29341">
      <c r="D29341" s="185"/>
      <c r="E29341" s="185" t="s">
        <v>470</v>
      </c>
      <c r="H29341" s="185"/>
    </row>
    <row r="29342">
      <c r="D29342" s="185"/>
      <c r="E29342" s="185" t="s">
        <v>470</v>
      </c>
      <c r="H29342" s="185"/>
    </row>
    <row r="29343">
      <c r="D29343" s="185"/>
      <c r="E29343" s="185" t="s">
        <v>470</v>
      </c>
      <c r="H29343" s="185"/>
    </row>
    <row r="29344">
      <c r="D29344" s="185"/>
      <c r="E29344" s="185" t="s">
        <v>470</v>
      </c>
      <c r="H29344" s="185"/>
    </row>
    <row r="29345">
      <c r="D29345" s="185"/>
      <c r="E29345" s="185" t="s">
        <v>470</v>
      </c>
      <c r="H29345" s="185"/>
    </row>
    <row r="29346">
      <c r="D29346" s="185"/>
      <c r="E29346" s="185" t="s">
        <v>470</v>
      </c>
      <c r="H29346" s="185"/>
    </row>
    <row r="29347">
      <c r="D29347" s="185"/>
      <c r="E29347" s="185" t="s">
        <v>470</v>
      </c>
      <c r="H29347" s="185"/>
    </row>
    <row r="29348">
      <c r="D29348" s="185"/>
      <c r="E29348" s="185" t="s">
        <v>470</v>
      </c>
      <c r="H29348" s="185"/>
    </row>
    <row r="29349">
      <c r="D29349" s="185"/>
      <c r="E29349" s="185" t="s">
        <v>470</v>
      </c>
      <c r="H29349" s="185"/>
    </row>
    <row r="29350">
      <c r="D29350" s="185"/>
      <c r="E29350" s="185" t="s">
        <v>470</v>
      </c>
      <c r="H29350" s="185"/>
    </row>
    <row r="29351">
      <c r="D29351" s="185"/>
      <c r="E29351" s="185" t="s">
        <v>470</v>
      </c>
      <c r="H29351" s="185"/>
    </row>
    <row r="29352">
      <c r="D29352" s="185"/>
      <c r="E29352" s="185" t="s">
        <v>470</v>
      </c>
      <c r="H29352" s="185"/>
    </row>
    <row r="29353">
      <c r="D29353" s="185"/>
      <c r="E29353" s="185" t="s">
        <v>470</v>
      </c>
      <c r="H29353" s="185"/>
    </row>
    <row r="29354">
      <c r="D29354" s="185"/>
      <c r="E29354" s="185" t="s">
        <v>470</v>
      </c>
      <c r="H29354" s="185"/>
    </row>
    <row r="29355">
      <c r="D29355" s="185"/>
      <c r="E29355" s="185" t="s">
        <v>470</v>
      </c>
      <c r="H29355" s="185"/>
    </row>
    <row r="29356">
      <c r="D29356" s="185"/>
      <c r="E29356" s="185" t="s">
        <v>470</v>
      </c>
      <c r="H29356" s="185"/>
    </row>
    <row r="29357">
      <c r="D29357" s="185"/>
      <c r="E29357" s="185" t="s">
        <v>470</v>
      </c>
      <c r="H29357" s="185"/>
    </row>
    <row r="29358">
      <c r="D29358" s="185"/>
      <c r="E29358" s="185" t="s">
        <v>470</v>
      </c>
      <c r="H29358" s="185"/>
    </row>
    <row r="29359">
      <c r="D29359" s="185"/>
      <c r="E29359" s="185" t="s">
        <v>470</v>
      </c>
      <c r="H29359" s="185"/>
    </row>
    <row r="29360">
      <c r="D29360" s="185"/>
      <c r="E29360" s="185" t="s">
        <v>470</v>
      </c>
      <c r="H29360" s="185"/>
    </row>
    <row r="29361">
      <c r="D29361" s="185"/>
      <c r="E29361" s="185" t="s">
        <v>470</v>
      </c>
      <c r="H29361" s="185"/>
    </row>
    <row r="29362">
      <c r="D29362" s="185"/>
      <c r="E29362" s="185" t="s">
        <v>470</v>
      </c>
      <c r="H29362" s="185"/>
    </row>
    <row r="29363">
      <c r="D29363" s="185"/>
      <c r="E29363" s="185" t="s">
        <v>470</v>
      </c>
      <c r="H29363" s="185"/>
    </row>
    <row r="29364">
      <c r="D29364" s="185"/>
      <c r="E29364" s="185" t="s">
        <v>470</v>
      </c>
      <c r="H29364" s="185"/>
    </row>
    <row r="29365">
      <c r="D29365" s="185"/>
      <c r="E29365" s="185" t="s">
        <v>470</v>
      </c>
      <c r="H29365" s="185"/>
    </row>
    <row r="29366">
      <c r="D29366" s="185"/>
      <c r="E29366" s="185" t="s">
        <v>470</v>
      </c>
      <c r="H29366" s="185"/>
    </row>
    <row r="29367">
      <c r="D29367" s="185"/>
      <c r="E29367" s="185" t="s">
        <v>470</v>
      </c>
      <c r="H29367" s="185"/>
    </row>
    <row r="29368">
      <c r="D29368" s="185"/>
      <c r="E29368" s="185" t="s">
        <v>470</v>
      </c>
      <c r="H29368" s="185"/>
    </row>
    <row r="29369">
      <c r="D29369" s="185"/>
      <c r="E29369" s="185" t="s">
        <v>470</v>
      </c>
      <c r="H29369" s="185"/>
    </row>
    <row r="29370">
      <c r="D29370" s="185"/>
      <c r="E29370" s="185" t="s">
        <v>470</v>
      </c>
      <c r="H29370" s="185"/>
    </row>
    <row r="29371">
      <c r="D29371" s="185"/>
      <c r="E29371" s="185" t="s">
        <v>470</v>
      </c>
      <c r="H29371" s="185"/>
    </row>
    <row r="29372">
      <c r="D29372" s="185"/>
      <c r="E29372" s="185" t="s">
        <v>470</v>
      </c>
      <c r="H29372" s="185"/>
    </row>
    <row r="29373">
      <c r="D29373" s="185"/>
      <c r="E29373" s="185" t="s">
        <v>470</v>
      </c>
      <c r="H29373" s="185"/>
    </row>
    <row r="29374">
      <c r="D29374" s="185"/>
      <c r="E29374" s="185" t="s">
        <v>470</v>
      </c>
      <c r="H29374" s="185"/>
    </row>
    <row r="29375">
      <c r="D29375" s="185"/>
      <c r="E29375" s="185" t="s">
        <v>470</v>
      </c>
      <c r="H29375" s="185"/>
    </row>
    <row r="29376">
      <c r="D29376" s="185"/>
      <c r="E29376" s="185" t="s">
        <v>470</v>
      </c>
      <c r="H29376" s="185"/>
    </row>
    <row r="29377">
      <c r="D29377" s="185"/>
      <c r="E29377" s="185" t="s">
        <v>470</v>
      </c>
      <c r="H29377" s="185"/>
    </row>
    <row r="29378">
      <c r="D29378" s="185"/>
      <c r="E29378" s="185" t="s">
        <v>470</v>
      </c>
      <c r="H29378" s="185"/>
    </row>
    <row r="29379">
      <c r="D29379" s="185"/>
      <c r="E29379" s="185" t="s">
        <v>470</v>
      </c>
      <c r="H29379" s="185"/>
    </row>
    <row r="29380">
      <c r="D29380" s="185"/>
      <c r="E29380" s="185" t="s">
        <v>470</v>
      </c>
      <c r="H29380" s="185"/>
    </row>
    <row r="29381">
      <c r="D29381" s="185"/>
      <c r="E29381" s="185" t="s">
        <v>470</v>
      </c>
      <c r="H29381" s="185"/>
    </row>
    <row r="29382">
      <c r="D29382" s="185"/>
      <c r="E29382" s="185" t="s">
        <v>470</v>
      </c>
      <c r="H29382" s="185"/>
    </row>
    <row r="29383">
      <c r="D29383" s="185"/>
      <c r="E29383" s="185" t="s">
        <v>470</v>
      </c>
      <c r="H29383" s="185"/>
    </row>
    <row r="29384">
      <c r="D29384" s="185"/>
      <c r="E29384" s="185" t="s">
        <v>470</v>
      </c>
      <c r="H29384" s="185"/>
    </row>
    <row r="29385">
      <c r="D29385" s="185"/>
      <c r="E29385" s="185" t="s">
        <v>470</v>
      </c>
      <c r="H29385" s="185"/>
    </row>
    <row r="29386">
      <c r="D29386" s="185"/>
      <c r="E29386" s="185" t="s">
        <v>470</v>
      </c>
      <c r="H29386" s="185"/>
    </row>
    <row r="29387">
      <c r="D29387" s="185"/>
      <c r="E29387" s="185" t="s">
        <v>470</v>
      </c>
      <c r="H29387" s="185"/>
    </row>
    <row r="29388">
      <c r="D29388" s="185"/>
      <c r="E29388" s="185" t="s">
        <v>470</v>
      </c>
      <c r="H29388" s="185"/>
    </row>
    <row r="29389">
      <c r="D29389" s="185"/>
      <c r="E29389" s="185" t="s">
        <v>470</v>
      </c>
      <c r="H29389" s="185"/>
    </row>
    <row r="29390">
      <c r="D29390" s="185"/>
      <c r="E29390" s="185" t="s">
        <v>470</v>
      </c>
      <c r="H29390" s="185"/>
    </row>
    <row r="29391">
      <c r="D29391" s="185"/>
      <c r="E29391" s="185" t="s">
        <v>470</v>
      </c>
      <c r="H29391" s="185"/>
    </row>
    <row r="29392">
      <c r="D29392" s="185"/>
      <c r="E29392" s="185" t="s">
        <v>470</v>
      </c>
      <c r="H29392" s="185"/>
    </row>
    <row r="29393">
      <c r="D29393" s="185"/>
      <c r="E29393" s="185" t="s">
        <v>470</v>
      </c>
      <c r="H29393" s="185"/>
    </row>
    <row r="29394">
      <c r="D29394" s="185"/>
      <c r="E29394" s="185" t="s">
        <v>470</v>
      </c>
      <c r="H29394" s="185"/>
    </row>
    <row r="29395">
      <c r="D29395" s="185"/>
      <c r="E29395" s="185" t="s">
        <v>470</v>
      </c>
      <c r="H29395" s="185"/>
    </row>
    <row r="29396">
      <c r="D29396" s="185"/>
      <c r="E29396" s="185" t="s">
        <v>470</v>
      </c>
      <c r="H29396" s="185"/>
    </row>
    <row r="29397">
      <c r="D29397" s="185"/>
      <c r="E29397" s="185" t="s">
        <v>470</v>
      </c>
      <c r="H29397" s="185"/>
    </row>
    <row r="29398">
      <c r="D29398" s="185"/>
      <c r="E29398" s="185" t="s">
        <v>470</v>
      </c>
      <c r="H29398" s="185"/>
    </row>
    <row r="29399">
      <c r="D29399" s="185"/>
      <c r="E29399" s="185" t="s">
        <v>470</v>
      </c>
      <c r="H29399" s="185"/>
    </row>
    <row r="29400">
      <c r="D29400" s="185"/>
      <c r="E29400" s="185" t="s">
        <v>470</v>
      </c>
      <c r="H29400" s="185"/>
    </row>
    <row r="29401">
      <c r="D29401" s="185"/>
      <c r="E29401" s="185" t="s">
        <v>470</v>
      </c>
      <c r="H29401" s="185"/>
    </row>
    <row r="29402">
      <c r="D29402" s="185"/>
      <c r="E29402" s="185" t="s">
        <v>470</v>
      </c>
      <c r="H29402" s="185"/>
    </row>
    <row r="29403">
      <c r="D29403" s="185"/>
      <c r="E29403" s="185" t="s">
        <v>470</v>
      </c>
      <c r="H29403" s="185"/>
    </row>
    <row r="29404">
      <c r="D29404" s="185"/>
      <c r="E29404" s="185" t="s">
        <v>470</v>
      </c>
      <c r="H29404" s="185"/>
    </row>
    <row r="29405">
      <c r="D29405" s="185"/>
      <c r="E29405" s="185" t="s">
        <v>470</v>
      </c>
      <c r="H29405" s="185"/>
    </row>
    <row r="29406">
      <c r="D29406" s="185"/>
      <c r="E29406" s="185" t="s">
        <v>470</v>
      </c>
      <c r="H29406" s="185"/>
    </row>
    <row r="29407">
      <c r="D29407" s="185"/>
      <c r="E29407" s="185" t="s">
        <v>470</v>
      </c>
      <c r="H29407" s="185"/>
    </row>
    <row r="29408">
      <c r="D29408" s="185"/>
      <c r="E29408" s="185" t="s">
        <v>470</v>
      </c>
      <c r="H29408" s="185"/>
    </row>
    <row r="29409">
      <c r="D29409" s="185"/>
      <c r="E29409" s="185" t="s">
        <v>470</v>
      </c>
      <c r="H29409" s="185"/>
    </row>
    <row r="29410">
      <c r="D29410" s="185"/>
      <c r="E29410" s="185" t="s">
        <v>470</v>
      </c>
      <c r="H29410" s="185"/>
    </row>
    <row r="29411">
      <c r="D29411" s="185"/>
      <c r="E29411" s="185" t="s">
        <v>470</v>
      </c>
      <c r="H29411" s="185"/>
    </row>
    <row r="29412">
      <c r="D29412" s="185"/>
      <c r="E29412" s="185" t="s">
        <v>470</v>
      </c>
      <c r="H29412" s="185"/>
    </row>
    <row r="29413">
      <c r="D29413" s="185"/>
      <c r="E29413" s="185" t="s">
        <v>470</v>
      </c>
      <c r="H29413" s="185"/>
    </row>
    <row r="29414">
      <c r="D29414" s="185"/>
      <c r="E29414" s="185" t="s">
        <v>470</v>
      </c>
      <c r="H29414" s="185"/>
    </row>
    <row r="29415">
      <c r="D29415" s="185"/>
      <c r="E29415" s="185" t="s">
        <v>470</v>
      </c>
      <c r="H29415" s="185"/>
    </row>
    <row r="29416">
      <c r="D29416" s="185"/>
      <c r="E29416" s="185" t="s">
        <v>470</v>
      </c>
      <c r="H29416" s="185"/>
    </row>
    <row r="29417">
      <c r="D29417" s="185"/>
      <c r="E29417" s="185" t="s">
        <v>470</v>
      </c>
      <c r="H29417" s="185"/>
    </row>
    <row r="29418">
      <c r="D29418" s="185"/>
      <c r="E29418" s="185" t="s">
        <v>470</v>
      </c>
      <c r="H29418" s="185"/>
    </row>
    <row r="29419">
      <c r="D29419" s="185"/>
      <c r="E29419" s="185" t="s">
        <v>470</v>
      </c>
      <c r="H29419" s="185"/>
    </row>
    <row r="29420">
      <c r="D29420" s="185"/>
      <c r="E29420" s="185" t="s">
        <v>470</v>
      </c>
      <c r="H29420" s="185"/>
    </row>
    <row r="29421">
      <c r="D29421" s="185"/>
      <c r="E29421" s="185" t="s">
        <v>470</v>
      </c>
      <c r="H29421" s="185"/>
    </row>
    <row r="29422">
      <c r="D29422" s="185"/>
      <c r="E29422" s="185" t="s">
        <v>470</v>
      </c>
      <c r="H29422" s="185"/>
    </row>
    <row r="29423">
      <c r="D29423" s="185"/>
      <c r="E29423" s="185" t="s">
        <v>470</v>
      </c>
      <c r="H29423" s="185"/>
    </row>
    <row r="29424">
      <c r="D29424" s="185"/>
      <c r="E29424" s="185" t="s">
        <v>470</v>
      </c>
      <c r="H29424" s="185"/>
    </row>
    <row r="29425">
      <c r="D29425" s="185"/>
      <c r="E29425" s="185" t="s">
        <v>470</v>
      </c>
      <c r="H29425" s="185"/>
    </row>
    <row r="29426">
      <c r="D29426" s="185"/>
      <c r="E29426" s="185" t="s">
        <v>470</v>
      </c>
      <c r="H29426" s="185"/>
    </row>
    <row r="29427">
      <c r="D29427" s="185"/>
      <c r="E29427" s="185" t="s">
        <v>470</v>
      </c>
      <c r="H29427" s="185"/>
    </row>
    <row r="29428">
      <c r="D29428" s="185"/>
      <c r="E29428" s="185" t="s">
        <v>470</v>
      </c>
      <c r="H29428" s="185"/>
    </row>
    <row r="29429">
      <c r="D29429" s="185"/>
      <c r="E29429" s="185" t="s">
        <v>470</v>
      </c>
      <c r="H29429" s="185"/>
    </row>
    <row r="29430">
      <c r="D29430" s="185"/>
      <c r="E29430" s="185" t="s">
        <v>470</v>
      </c>
      <c r="H29430" s="185"/>
    </row>
    <row r="29431">
      <c r="D29431" s="185"/>
      <c r="E29431" s="185" t="s">
        <v>470</v>
      </c>
      <c r="H29431" s="185"/>
    </row>
    <row r="29432">
      <c r="D29432" s="185"/>
      <c r="E29432" s="185" t="s">
        <v>470</v>
      </c>
      <c r="H29432" s="185"/>
    </row>
    <row r="29433">
      <c r="D29433" s="185"/>
      <c r="E29433" s="185" t="s">
        <v>470</v>
      </c>
      <c r="H29433" s="185"/>
    </row>
    <row r="29434">
      <c r="D29434" s="185"/>
      <c r="E29434" s="185" t="s">
        <v>470</v>
      </c>
      <c r="H29434" s="185"/>
    </row>
    <row r="29435">
      <c r="D29435" s="185"/>
      <c r="E29435" s="185" t="s">
        <v>470</v>
      </c>
      <c r="H29435" s="185"/>
    </row>
    <row r="29436">
      <c r="D29436" s="185"/>
      <c r="E29436" s="185" t="s">
        <v>470</v>
      </c>
      <c r="H29436" s="185"/>
    </row>
    <row r="29437">
      <c r="D29437" s="185"/>
      <c r="E29437" s="185" t="s">
        <v>470</v>
      </c>
      <c r="H29437" s="185"/>
    </row>
    <row r="29438">
      <c r="D29438" s="185"/>
      <c r="E29438" s="185" t="s">
        <v>470</v>
      </c>
      <c r="H29438" s="185"/>
    </row>
    <row r="29439">
      <c r="D29439" s="185"/>
      <c r="E29439" s="185" t="s">
        <v>470</v>
      </c>
      <c r="H29439" s="185"/>
    </row>
    <row r="29440">
      <c r="D29440" s="185"/>
      <c r="E29440" s="185" t="s">
        <v>470</v>
      </c>
      <c r="H29440" s="185"/>
    </row>
    <row r="29441">
      <c r="D29441" s="185"/>
      <c r="E29441" s="185" t="s">
        <v>470</v>
      </c>
      <c r="H29441" s="185"/>
    </row>
    <row r="29442">
      <c r="D29442" s="185"/>
      <c r="E29442" s="185" t="s">
        <v>470</v>
      </c>
      <c r="H29442" s="185"/>
    </row>
    <row r="29443">
      <c r="D29443" s="185"/>
      <c r="E29443" s="185" t="s">
        <v>470</v>
      </c>
      <c r="H29443" s="185"/>
    </row>
    <row r="29444">
      <c r="D29444" s="185"/>
      <c r="E29444" s="185" t="s">
        <v>470</v>
      </c>
      <c r="H29444" s="185"/>
    </row>
    <row r="29445">
      <c r="D29445" s="185"/>
      <c r="E29445" s="185" t="s">
        <v>470</v>
      </c>
      <c r="H29445" s="185"/>
    </row>
    <row r="29446">
      <c r="D29446" s="185"/>
      <c r="E29446" s="185" t="s">
        <v>470</v>
      </c>
      <c r="H29446" s="185"/>
    </row>
    <row r="29447">
      <c r="D29447" s="185"/>
      <c r="E29447" s="185" t="s">
        <v>470</v>
      </c>
      <c r="H29447" s="185"/>
    </row>
    <row r="29448">
      <c r="D29448" s="185"/>
      <c r="E29448" s="185" t="s">
        <v>470</v>
      </c>
      <c r="H29448" s="185"/>
    </row>
    <row r="29449">
      <c r="D29449" s="185"/>
      <c r="E29449" s="185" t="s">
        <v>470</v>
      </c>
      <c r="H29449" s="185"/>
    </row>
    <row r="29450">
      <c r="D29450" s="185"/>
      <c r="E29450" s="185" t="s">
        <v>470</v>
      </c>
      <c r="H29450" s="185"/>
    </row>
    <row r="29451">
      <c r="D29451" s="185"/>
      <c r="E29451" s="185" t="s">
        <v>470</v>
      </c>
      <c r="H29451" s="185"/>
    </row>
    <row r="29452">
      <c r="D29452" s="185"/>
      <c r="E29452" s="185" t="s">
        <v>470</v>
      </c>
      <c r="H29452" s="185"/>
    </row>
    <row r="29453">
      <c r="D29453" s="185"/>
      <c r="E29453" s="185" t="s">
        <v>470</v>
      </c>
      <c r="H29453" s="185"/>
    </row>
    <row r="29454">
      <c r="D29454" s="185"/>
      <c r="E29454" s="185" t="s">
        <v>470</v>
      </c>
      <c r="H29454" s="185"/>
    </row>
    <row r="29455">
      <c r="D29455" s="185"/>
      <c r="E29455" s="185" t="s">
        <v>470</v>
      </c>
      <c r="H29455" s="185"/>
    </row>
    <row r="29456">
      <c r="D29456" s="185"/>
      <c r="E29456" s="185" t="s">
        <v>470</v>
      </c>
      <c r="H29456" s="185"/>
    </row>
    <row r="29457">
      <c r="D29457" s="185"/>
      <c r="E29457" s="185" t="s">
        <v>470</v>
      </c>
      <c r="H29457" s="185"/>
    </row>
    <row r="29458">
      <c r="D29458" s="185"/>
      <c r="E29458" s="185" t="s">
        <v>470</v>
      </c>
      <c r="H29458" s="185"/>
    </row>
    <row r="29459">
      <c r="D29459" s="185"/>
      <c r="E29459" s="185" t="s">
        <v>470</v>
      </c>
      <c r="H29459" s="185"/>
    </row>
    <row r="29460">
      <c r="D29460" s="185"/>
      <c r="E29460" s="185" t="s">
        <v>470</v>
      </c>
      <c r="H29460" s="185"/>
    </row>
    <row r="29461">
      <c r="D29461" s="185"/>
      <c r="E29461" s="185" t="s">
        <v>470</v>
      </c>
      <c r="H29461" s="185"/>
    </row>
    <row r="29462">
      <c r="D29462" s="185"/>
      <c r="E29462" s="185" t="s">
        <v>470</v>
      </c>
      <c r="H29462" s="185"/>
    </row>
    <row r="29463">
      <c r="D29463" s="185"/>
      <c r="E29463" s="185" t="s">
        <v>470</v>
      </c>
      <c r="H29463" s="185"/>
    </row>
    <row r="29464">
      <c r="D29464" s="185"/>
      <c r="E29464" s="185" t="s">
        <v>470</v>
      </c>
      <c r="H29464" s="185"/>
    </row>
    <row r="29465">
      <c r="D29465" s="185"/>
      <c r="E29465" s="185" t="s">
        <v>470</v>
      </c>
      <c r="H29465" s="185"/>
    </row>
    <row r="29466">
      <c r="D29466" s="185"/>
      <c r="E29466" s="185" t="s">
        <v>470</v>
      </c>
      <c r="H29466" s="185"/>
    </row>
    <row r="29467">
      <c r="D29467" s="185"/>
      <c r="E29467" s="185" t="s">
        <v>470</v>
      </c>
      <c r="H29467" s="185"/>
    </row>
    <row r="29468">
      <c r="D29468" s="185"/>
      <c r="E29468" s="185" t="s">
        <v>470</v>
      </c>
      <c r="H29468" s="185"/>
    </row>
    <row r="29469">
      <c r="D29469" s="185"/>
      <c r="E29469" s="185" t="s">
        <v>470</v>
      </c>
      <c r="H29469" s="185"/>
    </row>
    <row r="29470">
      <c r="D29470" s="185"/>
      <c r="E29470" s="185" t="s">
        <v>470</v>
      </c>
      <c r="H29470" s="185"/>
    </row>
    <row r="29471">
      <c r="D29471" s="185"/>
      <c r="E29471" s="185" t="s">
        <v>470</v>
      </c>
      <c r="H29471" s="185"/>
    </row>
    <row r="29472">
      <c r="D29472" s="185"/>
      <c r="E29472" s="185" t="s">
        <v>470</v>
      </c>
      <c r="H29472" s="185"/>
    </row>
    <row r="29473">
      <c r="D29473" s="185"/>
      <c r="E29473" s="185" t="s">
        <v>470</v>
      </c>
      <c r="H29473" s="185"/>
    </row>
    <row r="29474">
      <c r="D29474" s="185"/>
      <c r="E29474" s="185" t="s">
        <v>470</v>
      </c>
      <c r="H29474" s="185"/>
    </row>
    <row r="29475">
      <c r="D29475" s="185"/>
      <c r="E29475" s="185" t="s">
        <v>470</v>
      </c>
      <c r="H29475" s="185"/>
    </row>
    <row r="29476">
      <c r="D29476" s="185"/>
      <c r="E29476" s="185" t="s">
        <v>470</v>
      </c>
      <c r="H29476" s="185"/>
    </row>
    <row r="29477">
      <c r="D29477" s="185"/>
      <c r="E29477" s="185" t="s">
        <v>470</v>
      </c>
      <c r="H29477" s="185"/>
    </row>
    <row r="29478">
      <c r="D29478" s="185"/>
      <c r="E29478" s="185" t="s">
        <v>470</v>
      </c>
      <c r="H29478" s="185"/>
    </row>
    <row r="29479">
      <c r="D29479" s="185"/>
      <c r="E29479" s="185" t="s">
        <v>470</v>
      </c>
      <c r="H29479" s="185"/>
    </row>
    <row r="29480">
      <c r="D29480" s="185"/>
      <c r="E29480" s="185" t="s">
        <v>470</v>
      </c>
      <c r="H29480" s="185"/>
    </row>
    <row r="29481">
      <c r="D29481" s="185"/>
      <c r="E29481" s="185" t="s">
        <v>470</v>
      </c>
      <c r="H29481" s="185"/>
    </row>
    <row r="29482">
      <c r="D29482" s="185"/>
      <c r="E29482" s="185" t="s">
        <v>470</v>
      </c>
      <c r="H29482" s="185"/>
    </row>
    <row r="29483">
      <c r="D29483" s="185"/>
      <c r="E29483" s="185" t="s">
        <v>470</v>
      </c>
      <c r="H29483" s="185"/>
    </row>
    <row r="29484">
      <c r="D29484" s="185"/>
      <c r="E29484" s="185" t="s">
        <v>470</v>
      </c>
      <c r="H29484" s="185"/>
    </row>
    <row r="29485">
      <c r="D29485" s="185"/>
      <c r="E29485" s="185" t="s">
        <v>470</v>
      </c>
      <c r="H29485" s="185"/>
    </row>
    <row r="29486">
      <c r="D29486" s="185"/>
      <c r="E29486" s="185" t="s">
        <v>470</v>
      </c>
      <c r="H29486" s="185"/>
    </row>
    <row r="29487">
      <c r="D29487" s="185"/>
      <c r="E29487" s="185" t="s">
        <v>470</v>
      </c>
      <c r="H29487" s="185"/>
    </row>
    <row r="29488">
      <c r="D29488" s="185"/>
      <c r="E29488" s="185" t="s">
        <v>470</v>
      </c>
      <c r="H29488" s="185"/>
    </row>
    <row r="29489">
      <c r="D29489" s="185"/>
      <c r="E29489" s="185" t="s">
        <v>470</v>
      </c>
      <c r="H29489" s="185"/>
    </row>
    <row r="29490">
      <c r="D29490" s="185"/>
      <c r="E29490" s="185" t="s">
        <v>470</v>
      </c>
      <c r="H29490" s="185"/>
    </row>
    <row r="29491">
      <c r="D29491" s="185"/>
      <c r="E29491" s="185" t="s">
        <v>470</v>
      </c>
      <c r="H29491" s="185"/>
    </row>
    <row r="29492">
      <c r="D29492" s="185"/>
      <c r="E29492" s="185" t="s">
        <v>470</v>
      </c>
      <c r="H29492" s="185"/>
    </row>
    <row r="29493">
      <c r="D29493" s="185"/>
      <c r="E29493" s="185" t="s">
        <v>470</v>
      </c>
      <c r="H29493" s="185"/>
    </row>
    <row r="29494">
      <c r="D29494" s="185"/>
      <c r="E29494" s="185" t="s">
        <v>470</v>
      </c>
      <c r="H29494" s="185"/>
    </row>
    <row r="29495">
      <c r="D29495" s="185"/>
      <c r="E29495" s="185" t="s">
        <v>470</v>
      </c>
      <c r="H29495" s="185"/>
    </row>
    <row r="29496">
      <c r="D29496" s="185"/>
      <c r="E29496" s="185" t="s">
        <v>470</v>
      </c>
      <c r="H29496" s="185"/>
    </row>
    <row r="29497">
      <c r="D29497" s="185"/>
      <c r="E29497" s="185" t="s">
        <v>470</v>
      </c>
      <c r="H29497" s="185"/>
    </row>
    <row r="29498">
      <c r="D29498" s="185"/>
      <c r="E29498" s="185" t="s">
        <v>470</v>
      </c>
      <c r="H29498" s="185"/>
    </row>
    <row r="29499">
      <c r="D29499" s="185"/>
      <c r="E29499" s="185" t="s">
        <v>470</v>
      </c>
      <c r="H29499" s="185"/>
    </row>
    <row r="29500">
      <c r="D29500" s="185"/>
      <c r="E29500" s="185" t="s">
        <v>470</v>
      </c>
      <c r="H29500" s="185"/>
    </row>
    <row r="29501">
      <c r="D29501" s="185"/>
      <c r="E29501" s="185" t="s">
        <v>470</v>
      </c>
      <c r="H29501" s="185"/>
    </row>
    <row r="29502">
      <c r="D29502" s="185"/>
      <c r="E29502" s="185" t="s">
        <v>470</v>
      </c>
      <c r="H29502" s="185"/>
    </row>
    <row r="29503">
      <c r="D29503" s="185"/>
      <c r="E29503" s="185" t="s">
        <v>470</v>
      </c>
      <c r="H29503" s="185"/>
    </row>
    <row r="29504">
      <c r="D29504" s="185"/>
      <c r="E29504" s="185" t="s">
        <v>470</v>
      </c>
      <c r="H29504" s="185"/>
    </row>
    <row r="29505">
      <c r="D29505" s="185"/>
      <c r="E29505" s="185" t="s">
        <v>470</v>
      </c>
      <c r="H29505" s="185"/>
    </row>
    <row r="29506">
      <c r="D29506" s="185"/>
      <c r="E29506" s="185" t="s">
        <v>470</v>
      </c>
      <c r="H29506" s="185"/>
    </row>
    <row r="29507">
      <c r="D29507" s="185"/>
      <c r="E29507" s="185" t="s">
        <v>470</v>
      </c>
      <c r="H29507" s="185"/>
    </row>
    <row r="29508">
      <c r="D29508" s="185"/>
      <c r="E29508" s="185" t="s">
        <v>470</v>
      </c>
      <c r="H29508" s="185"/>
    </row>
    <row r="29509">
      <c r="D29509" s="185"/>
      <c r="E29509" s="185" t="s">
        <v>470</v>
      </c>
      <c r="H29509" s="185"/>
    </row>
    <row r="29510">
      <c r="D29510" s="185"/>
      <c r="E29510" s="185" t="s">
        <v>470</v>
      </c>
      <c r="H29510" s="185"/>
    </row>
    <row r="29511">
      <c r="D29511" s="185"/>
      <c r="E29511" s="185" t="s">
        <v>470</v>
      </c>
      <c r="H29511" s="185"/>
    </row>
    <row r="29512">
      <c r="D29512" s="185"/>
      <c r="E29512" s="185" t="s">
        <v>470</v>
      </c>
      <c r="H29512" s="185"/>
    </row>
    <row r="29513">
      <c r="D29513" s="185"/>
      <c r="E29513" s="185" t="s">
        <v>470</v>
      </c>
      <c r="H29513" s="185"/>
    </row>
    <row r="29514">
      <c r="D29514" s="185"/>
      <c r="E29514" s="185" t="s">
        <v>470</v>
      </c>
      <c r="H29514" s="185"/>
    </row>
    <row r="29515">
      <c r="D29515" s="185"/>
      <c r="E29515" s="185" t="s">
        <v>470</v>
      </c>
      <c r="H29515" s="185"/>
    </row>
    <row r="29516">
      <c r="D29516" s="185"/>
      <c r="E29516" s="185" t="s">
        <v>470</v>
      </c>
      <c r="H29516" s="185"/>
    </row>
    <row r="29517">
      <c r="D29517" s="185"/>
      <c r="E29517" s="185" t="s">
        <v>470</v>
      </c>
      <c r="H29517" s="185"/>
    </row>
    <row r="29518">
      <c r="D29518" s="185"/>
      <c r="E29518" s="185" t="s">
        <v>470</v>
      </c>
      <c r="H29518" s="185"/>
    </row>
    <row r="29519">
      <c r="D29519" s="185"/>
      <c r="E29519" s="185" t="s">
        <v>470</v>
      </c>
      <c r="H29519" s="185"/>
    </row>
    <row r="29520">
      <c r="D29520" s="185"/>
      <c r="E29520" s="185" t="s">
        <v>470</v>
      </c>
      <c r="H29520" s="185"/>
    </row>
    <row r="29521">
      <c r="D29521" s="185"/>
      <c r="E29521" s="185" t="s">
        <v>470</v>
      </c>
      <c r="H29521" s="185"/>
    </row>
    <row r="29522">
      <c r="D29522" s="185"/>
      <c r="E29522" s="185" t="s">
        <v>470</v>
      </c>
      <c r="H29522" s="185"/>
    </row>
    <row r="29523">
      <c r="D29523" s="185"/>
      <c r="E29523" s="185" t="s">
        <v>470</v>
      </c>
      <c r="H29523" s="185"/>
    </row>
    <row r="29524">
      <c r="D29524" s="185"/>
      <c r="E29524" s="185" t="s">
        <v>470</v>
      </c>
      <c r="H29524" s="185"/>
    </row>
    <row r="29525">
      <c r="D29525" s="185"/>
      <c r="E29525" s="185" t="s">
        <v>470</v>
      </c>
      <c r="H29525" s="185"/>
    </row>
    <row r="29526">
      <c r="D29526" s="185"/>
      <c r="E29526" s="185" t="s">
        <v>470</v>
      </c>
      <c r="H29526" s="185"/>
    </row>
    <row r="29527">
      <c r="D29527" s="185"/>
      <c r="E29527" s="185" t="s">
        <v>470</v>
      </c>
      <c r="H29527" s="185"/>
    </row>
    <row r="29528">
      <c r="D29528" s="185"/>
      <c r="E29528" s="185" t="s">
        <v>470</v>
      </c>
      <c r="H29528" s="185"/>
    </row>
    <row r="29529">
      <c r="D29529" s="185"/>
      <c r="E29529" s="185" t="s">
        <v>470</v>
      </c>
      <c r="H29529" s="185"/>
    </row>
    <row r="29530">
      <c r="D29530" s="185"/>
      <c r="E29530" s="185" t="s">
        <v>470</v>
      </c>
      <c r="H29530" s="185"/>
    </row>
    <row r="29531">
      <c r="D29531" s="185"/>
      <c r="E29531" s="185" t="s">
        <v>470</v>
      </c>
      <c r="H29531" s="185"/>
    </row>
    <row r="29532">
      <c r="D29532" s="185"/>
      <c r="E29532" s="185" t="s">
        <v>470</v>
      </c>
      <c r="H29532" s="185"/>
    </row>
    <row r="29533">
      <c r="D29533" s="185"/>
      <c r="E29533" s="185" t="s">
        <v>470</v>
      </c>
      <c r="H29533" s="185"/>
    </row>
    <row r="29534">
      <c r="D29534" s="185"/>
      <c r="E29534" s="185" t="s">
        <v>470</v>
      </c>
      <c r="H29534" s="185"/>
    </row>
    <row r="29535">
      <c r="D29535" s="185"/>
      <c r="E29535" s="185" t="s">
        <v>470</v>
      </c>
      <c r="H29535" s="185"/>
    </row>
    <row r="29536">
      <c r="D29536" s="185"/>
      <c r="E29536" s="185" t="s">
        <v>470</v>
      </c>
      <c r="H29536" s="185"/>
    </row>
    <row r="29537">
      <c r="D29537" s="185"/>
      <c r="E29537" s="185" t="s">
        <v>470</v>
      </c>
      <c r="H29537" s="185"/>
    </row>
    <row r="29538">
      <c r="D29538" s="185"/>
      <c r="E29538" s="185" t="s">
        <v>470</v>
      </c>
      <c r="H29538" s="185"/>
    </row>
    <row r="29539">
      <c r="D29539" s="185"/>
      <c r="E29539" s="185" t="s">
        <v>470</v>
      </c>
      <c r="H29539" s="185"/>
    </row>
    <row r="29540">
      <c r="D29540" s="185"/>
      <c r="E29540" s="185" t="s">
        <v>470</v>
      </c>
      <c r="H29540" s="185"/>
    </row>
    <row r="29541">
      <c r="D29541" s="185"/>
      <c r="E29541" s="185" t="s">
        <v>470</v>
      </c>
      <c r="H29541" s="185"/>
    </row>
    <row r="29542">
      <c r="D29542" s="185"/>
      <c r="E29542" s="185" t="s">
        <v>470</v>
      </c>
      <c r="H29542" s="185"/>
    </row>
    <row r="29543">
      <c r="D29543" s="185"/>
      <c r="E29543" s="185" t="s">
        <v>470</v>
      </c>
      <c r="H29543" s="185"/>
    </row>
    <row r="29544">
      <c r="D29544" s="185"/>
      <c r="E29544" s="185" t="s">
        <v>470</v>
      </c>
      <c r="H29544" s="185"/>
    </row>
    <row r="29545">
      <c r="D29545" s="185"/>
      <c r="E29545" s="185" t="s">
        <v>470</v>
      </c>
      <c r="H29545" s="185"/>
    </row>
    <row r="29546">
      <c r="D29546" s="185"/>
      <c r="E29546" s="185" t="s">
        <v>470</v>
      </c>
      <c r="H29546" s="185"/>
    </row>
    <row r="29547">
      <c r="D29547" s="185"/>
      <c r="E29547" s="185" t="s">
        <v>470</v>
      </c>
      <c r="H29547" s="185"/>
    </row>
    <row r="29548">
      <c r="D29548" s="185"/>
      <c r="E29548" s="185" t="s">
        <v>470</v>
      </c>
      <c r="H29548" s="185"/>
    </row>
    <row r="29549">
      <c r="D29549" s="185"/>
      <c r="E29549" s="185" t="s">
        <v>470</v>
      </c>
      <c r="H29549" s="185"/>
    </row>
    <row r="29550">
      <c r="D29550" s="185"/>
      <c r="E29550" s="185" t="s">
        <v>470</v>
      </c>
      <c r="H29550" s="185"/>
    </row>
    <row r="29551">
      <c r="D29551" s="185"/>
      <c r="E29551" s="185" t="s">
        <v>470</v>
      </c>
      <c r="H29551" s="185"/>
    </row>
    <row r="29552">
      <c r="D29552" s="185"/>
      <c r="E29552" s="185" t="s">
        <v>470</v>
      </c>
      <c r="H29552" s="185"/>
    </row>
    <row r="29553">
      <c r="D29553" s="185"/>
      <c r="E29553" s="185" t="s">
        <v>470</v>
      </c>
      <c r="H29553" s="185"/>
    </row>
    <row r="29554">
      <c r="D29554" s="185"/>
      <c r="E29554" s="185" t="s">
        <v>470</v>
      </c>
      <c r="H29554" s="185"/>
    </row>
    <row r="29555">
      <c r="D29555" s="185"/>
      <c r="E29555" s="185" t="s">
        <v>470</v>
      </c>
      <c r="H29555" s="185"/>
    </row>
    <row r="29556">
      <c r="D29556" s="185"/>
      <c r="E29556" s="185" t="s">
        <v>470</v>
      </c>
      <c r="H29556" s="185"/>
    </row>
    <row r="29557">
      <c r="D29557" s="185"/>
      <c r="E29557" s="185" t="s">
        <v>470</v>
      </c>
      <c r="H29557" s="185"/>
    </row>
    <row r="29558">
      <c r="D29558" s="185"/>
      <c r="E29558" s="185" t="s">
        <v>470</v>
      </c>
      <c r="H29558" s="185"/>
    </row>
    <row r="29559">
      <c r="D29559" s="185"/>
      <c r="E29559" s="185" t="s">
        <v>470</v>
      </c>
      <c r="H29559" s="185"/>
    </row>
    <row r="29560">
      <c r="D29560" s="185"/>
      <c r="E29560" s="185" t="s">
        <v>470</v>
      </c>
      <c r="H29560" s="185"/>
    </row>
    <row r="29561">
      <c r="D29561" s="185"/>
      <c r="E29561" s="185" t="s">
        <v>470</v>
      </c>
      <c r="H29561" s="185"/>
    </row>
    <row r="29562">
      <c r="D29562" s="185"/>
      <c r="E29562" s="185" t="s">
        <v>470</v>
      </c>
      <c r="H29562" s="185"/>
    </row>
    <row r="29563">
      <c r="D29563" s="185"/>
      <c r="E29563" s="185" t="s">
        <v>470</v>
      </c>
      <c r="H29563" s="185"/>
    </row>
    <row r="29564">
      <c r="D29564" s="185"/>
      <c r="E29564" s="185" t="s">
        <v>470</v>
      </c>
      <c r="H29564" s="185"/>
    </row>
    <row r="29565">
      <c r="D29565" s="185"/>
      <c r="E29565" s="185" t="s">
        <v>470</v>
      </c>
      <c r="H29565" s="185"/>
    </row>
    <row r="29566">
      <c r="D29566" s="185"/>
      <c r="E29566" s="185" t="s">
        <v>470</v>
      </c>
      <c r="H29566" s="185"/>
    </row>
    <row r="29567">
      <c r="D29567" s="185"/>
      <c r="E29567" s="185" t="s">
        <v>470</v>
      </c>
      <c r="H29567" s="185"/>
    </row>
    <row r="29568">
      <c r="D29568" s="185"/>
      <c r="E29568" s="185" t="s">
        <v>470</v>
      </c>
      <c r="H29568" s="185"/>
    </row>
    <row r="29569">
      <c r="D29569" s="185"/>
      <c r="E29569" s="185" t="s">
        <v>470</v>
      </c>
      <c r="H29569" s="185"/>
    </row>
    <row r="29570">
      <c r="D29570" s="185"/>
      <c r="E29570" s="185" t="s">
        <v>470</v>
      </c>
      <c r="H29570" s="185"/>
    </row>
    <row r="29571">
      <c r="D29571" s="185"/>
      <c r="E29571" s="185" t="s">
        <v>470</v>
      </c>
      <c r="H29571" s="185"/>
    </row>
    <row r="29572">
      <c r="D29572" s="185"/>
      <c r="E29572" s="185" t="s">
        <v>470</v>
      </c>
      <c r="H29572" s="185"/>
    </row>
    <row r="29573">
      <c r="D29573" s="185"/>
      <c r="E29573" s="185" t="s">
        <v>470</v>
      </c>
      <c r="H29573" s="185"/>
    </row>
    <row r="29574">
      <c r="D29574" s="185"/>
      <c r="E29574" s="185" t="s">
        <v>470</v>
      </c>
      <c r="H29574" s="185"/>
    </row>
    <row r="29575">
      <c r="D29575" s="185"/>
      <c r="E29575" s="185" t="s">
        <v>470</v>
      </c>
      <c r="H29575" s="185"/>
    </row>
    <row r="29576">
      <c r="D29576" s="185"/>
      <c r="E29576" s="185" t="s">
        <v>470</v>
      </c>
      <c r="H29576" s="185"/>
    </row>
    <row r="29577">
      <c r="D29577" s="185"/>
      <c r="E29577" s="185" t="s">
        <v>470</v>
      </c>
      <c r="H29577" s="185"/>
    </row>
    <row r="29578">
      <c r="D29578" s="185"/>
      <c r="E29578" s="185" t="s">
        <v>470</v>
      </c>
      <c r="H29578" s="185"/>
    </row>
    <row r="29579">
      <c r="D29579" s="185"/>
      <c r="E29579" s="185" t="s">
        <v>470</v>
      </c>
      <c r="H29579" s="185"/>
    </row>
    <row r="29580">
      <c r="D29580" s="185"/>
      <c r="E29580" s="185" t="s">
        <v>470</v>
      </c>
      <c r="H29580" s="185"/>
    </row>
    <row r="29581">
      <c r="D29581" s="185"/>
      <c r="E29581" s="185" t="s">
        <v>470</v>
      </c>
      <c r="H29581" s="185"/>
    </row>
    <row r="29582">
      <c r="D29582" s="185"/>
      <c r="E29582" s="185" t="s">
        <v>470</v>
      </c>
      <c r="H29582" s="185"/>
    </row>
    <row r="29583">
      <c r="D29583" s="185"/>
      <c r="E29583" s="185" t="s">
        <v>470</v>
      </c>
      <c r="H29583" s="185"/>
    </row>
    <row r="29584">
      <c r="D29584" s="185"/>
      <c r="E29584" s="185" t="s">
        <v>470</v>
      </c>
      <c r="H29584" s="185"/>
    </row>
    <row r="29585">
      <c r="D29585" s="185"/>
      <c r="E29585" s="185" t="s">
        <v>470</v>
      </c>
      <c r="H29585" s="185"/>
    </row>
    <row r="29586">
      <c r="D29586" s="185"/>
      <c r="E29586" s="185" t="s">
        <v>470</v>
      </c>
      <c r="H29586" s="185"/>
    </row>
    <row r="29587">
      <c r="D29587" s="185"/>
      <c r="E29587" s="185" t="s">
        <v>470</v>
      </c>
      <c r="H29587" s="185"/>
    </row>
    <row r="29588">
      <c r="D29588" s="185"/>
      <c r="E29588" s="185" t="s">
        <v>470</v>
      </c>
      <c r="H29588" s="185"/>
    </row>
    <row r="29589">
      <c r="D29589" s="185"/>
      <c r="E29589" s="185" t="s">
        <v>470</v>
      </c>
      <c r="H29589" s="185"/>
    </row>
    <row r="29590">
      <c r="D29590" s="185"/>
      <c r="E29590" s="185" t="s">
        <v>470</v>
      </c>
      <c r="H29590" s="185"/>
    </row>
    <row r="29591">
      <c r="D29591" s="185"/>
      <c r="E29591" s="185" t="s">
        <v>470</v>
      </c>
      <c r="H29591" s="185"/>
    </row>
    <row r="29592">
      <c r="D29592" s="185"/>
      <c r="E29592" s="185" t="s">
        <v>470</v>
      </c>
      <c r="H29592" s="185"/>
    </row>
    <row r="29593">
      <c r="D29593" s="185"/>
      <c r="E29593" s="185" t="s">
        <v>470</v>
      </c>
      <c r="H29593" s="185"/>
    </row>
    <row r="29594">
      <c r="D29594" s="185"/>
      <c r="E29594" s="185" t="s">
        <v>470</v>
      </c>
      <c r="H29594" s="185"/>
    </row>
    <row r="29595">
      <c r="D29595" s="185"/>
      <c r="E29595" s="185" t="s">
        <v>470</v>
      </c>
      <c r="H29595" s="185"/>
    </row>
    <row r="29596">
      <c r="D29596" s="185"/>
      <c r="E29596" s="185" t="s">
        <v>470</v>
      </c>
      <c r="H29596" s="185"/>
    </row>
    <row r="29597">
      <c r="D29597" s="185"/>
      <c r="E29597" s="185" t="s">
        <v>470</v>
      </c>
      <c r="H29597" s="185"/>
    </row>
    <row r="29598">
      <c r="D29598" s="185"/>
      <c r="E29598" s="185" t="s">
        <v>470</v>
      </c>
      <c r="H29598" s="185"/>
    </row>
    <row r="29599">
      <c r="D29599" s="185"/>
      <c r="E29599" s="185" t="s">
        <v>470</v>
      </c>
      <c r="H29599" s="185"/>
    </row>
    <row r="29600">
      <c r="D29600" s="185"/>
      <c r="E29600" s="185" t="s">
        <v>470</v>
      </c>
      <c r="H29600" s="185"/>
    </row>
    <row r="29601">
      <c r="D29601" s="185"/>
      <c r="E29601" s="185" t="s">
        <v>470</v>
      </c>
      <c r="H29601" s="185"/>
    </row>
    <row r="29602">
      <c r="D29602" s="185"/>
      <c r="E29602" s="185" t="s">
        <v>470</v>
      </c>
      <c r="H29602" s="185"/>
    </row>
    <row r="29603">
      <c r="D29603" s="185"/>
      <c r="E29603" s="185" t="s">
        <v>470</v>
      </c>
      <c r="H29603" s="185"/>
    </row>
    <row r="29604">
      <c r="D29604" s="185"/>
      <c r="E29604" s="185" t="s">
        <v>470</v>
      </c>
      <c r="H29604" s="185"/>
    </row>
    <row r="29605">
      <c r="D29605" s="185"/>
      <c r="E29605" s="185" t="s">
        <v>470</v>
      </c>
      <c r="H29605" s="185"/>
    </row>
    <row r="29606">
      <c r="D29606" s="185"/>
      <c r="E29606" s="185" t="s">
        <v>470</v>
      </c>
      <c r="H29606" s="185"/>
    </row>
    <row r="29607">
      <c r="D29607" s="185"/>
      <c r="E29607" s="185" t="s">
        <v>470</v>
      </c>
      <c r="H29607" s="185"/>
    </row>
    <row r="29608">
      <c r="D29608" s="185"/>
      <c r="E29608" s="185" t="s">
        <v>470</v>
      </c>
      <c r="H29608" s="185"/>
    </row>
    <row r="29609">
      <c r="D29609" s="185"/>
      <c r="E29609" s="185" t="s">
        <v>470</v>
      </c>
      <c r="H29609" s="185"/>
    </row>
    <row r="29610">
      <c r="D29610" s="185"/>
      <c r="E29610" s="185" t="s">
        <v>470</v>
      </c>
      <c r="H29610" s="185"/>
    </row>
    <row r="29611">
      <c r="D29611" s="185"/>
      <c r="E29611" s="185" t="s">
        <v>470</v>
      </c>
      <c r="H29611" s="185"/>
    </row>
    <row r="29612">
      <c r="D29612" s="185"/>
      <c r="E29612" s="185" t="s">
        <v>470</v>
      </c>
      <c r="H29612" s="185"/>
    </row>
    <row r="29613">
      <c r="D29613" s="185"/>
      <c r="E29613" s="185" t="s">
        <v>470</v>
      </c>
      <c r="H29613" s="185"/>
    </row>
    <row r="29614">
      <c r="D29614" s="185"/>
      <c r="E29614" s="185" t="s">
        <v>470</v>
      </c>
      <c r="H29614" s="185"/>
    </row>
    <row r="29615">
      <c r="D29615" s="185"/>
      <c r="E29615" s="185" t="s">
        <v>470</v>
      </c>
      <c r="H29615" s="185"/>
    </row>
    <row r="29616">
      <c r="D29616" s="185"/>
      <c r="E29616" s="185" t="s">
        <v>470</v>
      </c>
      <c r="H29616" s="185"/>
    </row>
    <row r="29617">
      <c r="D29617" s="185"/>
      <c r="E29617" s="185" t="s">
        <v>470</v>
      </c>
      <c r="H29617" s="185"/>
    </row>
    <row r="29618">
      <c r="D29618" s="185"/>
      <c r="E29618" s="185" t="s">
        <v>470</v>
      </c>
      <c r="H29618" s="185"/>
    </row>
    <row r="29619">
      <c r="D29619" s="185"/>
      <c r="E29619" s="185" t="s">
        <v>470</v>
      </c>
      <c r="H29619" s="185"/>
    </row>
    <row r="29620">
      <c r="D29620" s="185"/>
      <c r="E29620" s="185" t="s">
        <v>470</v>
      </c>
      <c r="H29620" s="185"/>
    </row>
    <row r="29621">
      <c r="D29621" s="185"/>
      <c r="E29621" s="185" t="s">
        <v>470</v>
      </c>
      <c r="H29621" s="185"/>
    </row>
    <row r="29622">
      <c r="D29622" s="185"/>
      <c r="E29622" s="185" t="s">
        <v>470</v>
      </c>
      <c r="H29622" s="185"/>
    </row>
    <row r="29623">
      <c r="D29623" s="185"/>
      <c r="E29623" s="185" t="s">
        <v>470</v>
      </c>
      <c r="H29623" s="185"/>
    </row>
    <row r="29624">
      <c r="D29624" s="185"/>
      <c r="E29624" s="185" t="s">
        <v>470</v>
      </c>
      <c r="H29624" s="185"/>
    </row>
    <row r="29625">
      <c r="D29625" s="185"/>
      <c r="E29625" s="185" t="s">
        <v>470</v>
      </c>
      <c r="H29625" s="185"/>
    </row>
    <row r="29626">
      <c r="D29626" s="185"/>
      <c r="E29626" s="185" t="s">
        <v>470</v>
      </c>
      <c r="H29626" s="185"/>
    </row>
    <row r="29627">
      <c r="D29627" s="185"/>
      <c r="E29627" s="185" t="s">
        <v>470</v>
      </c>
      <c r="H29627" s="185"/>
    </row>
    <row r="29628">
      <c r="D29628" s="185"/>
      <c r="E29628" s="185" t="s">
        <v>470</v>
      </c>
      <c r="H29628" s="185"/>
    </row>
    <row r="29629">
      <c r="D29629" s="185"/>
      <c r="E29629" s="185" t="s">
        <v>470</v>
      </c>
      <c r="H29629" s="185"/>
    </row>
    <row r="29630">
      <c r="D29630" s="185"/>
      <c r="E29630" s="185" t="s">
        <v>470</v>
      </c>
      <c r="H29630" s="185"/>
    </row>
    <row r="29631">
      <c r="D29631" s="185"/>
      <c r="E29631" s="185" t="s">
        <v>470</v>
      </c>
      <c r="H29631" s="185"/>
    </row>
    <row r="29632">
      <c r="D29632" s="185"/>
      <c r="E29632" s="185" t="s">
        <v>470</v>
      </c>
      <c r="H29632" s="185"/>
    </row>
    <row r="29633">
      <c r="D29633" s="185"/>
      <c r="E29633" s="185" t="s">
        <v>470</v>
      </c>
      <c r="H29633" s="185"/>
    </row>
    <row r="29634">
      <c r="D29634" s="185"/>
      <c r="E29634" s="185" t="s">
        <v>470</v>
      </c>
      <c r="H29634" s="185"/>
    </row>
    <row r="29635">
      <c r="D29635" s="185"/>
      <c r="E29635" s="185" t="s">
        <v>470</v>
      </c>
      <c r="H29635" s="185"/>
    </row>
    <row r="29636">
      <c r="D29636" s="185"/>
      <c r="E29636" s="185" t="s">
        <v>470</v>
      </c>
      <c r="H29636" s="185"/>
    </row>
    <row r="29637">
      <c r="D29637" s="185"/>
      <c r="E29637" s="185" t="s">
        <v>470</v>
      </c>
      <c r="H29637" s="185"/>
    </row>
    <row r="29638">
      <c r="D29638" s="185"/>
      <c r="E29638" s="185" t="s">
        <v>470</v>
      </c>
      <c r="H29638" s="185"/>
    </row>
    <row r="29639">
      <c r="D29639" s="185"/>
      <c r="E29639" s="185" t="s">
        <v>470</v>
      </c>
      <c r="H29639" s="185"/>
    </row>
    <row r="29640">
      <c r="D29640" s="185"/>
      <c r="E29640" s="185" t="s">
        <v>470</v>
      </c>
      <c r="H29640" s="185"/>
    </row>
    <row r="29641">
      <c r="D29641" s="185"/>
      <c r="E29641" s="185" t="s">
        <v>470</v>
      </c>
      <c r="H29641" s="185"/>
    </row>
    <row r="29642">
      <c r="D29642" s="185"/>
      <c r="E29642" s="185" t="s">
        <v>470</v>
      </c>
      <c r="H29642" s="185"/>
    </row>
    <row r="29643">
      <c r="D29643" s="185"/>
      <c r="E29643" s="185" t="s">
        <v>470</v>
      </c>
      <c r="H29643" s="185"/>
    </row>
    <row r="29644">
      <c r="D29644" s="185"/>
      <c r="E29644" s="185" t="s">
        <v>470</v>
      </c>
      <c r="H29644" s="185"/>
    </row>
    <row r="29645">
      <c r="D29645" s="185"/>
      <c r="E29645" s="185" t="s">
        <v>470</v>
      </c>
      <c r="H29645" s="185"/>
    </row>
    <row r="29646">
      <c r="D29646" s="185"/>
      <c r="E29646" s="185" t="s">
        <v>470</v>
      </c>
      <c r="H29646" s="185"/>
    </row>
    <row r="29647">
      <c r="D29647" s="185"/>
      <c r="E29647" s="185" t="s">
        <v>470</v>
      </c>
      <c r="H29647" s="185"/>
    </row>
    <row r="29648">
      <c r="D29648" s="185"/>
      <c r="E29648" s="185" t="s">
        <v>470</v>
      </c>
      <c r="H29648" s="185"/>
    </row>
    <row r="29649">
      <c r="D29649" s="185"/>
      <c r="E29649" s="185" t="s">
        <v>470</v>
      </c>
      <c r="H29649" s="185"/>
    </row>
    <row r="29650">
      <c r="D29650" s="185"/>
      <c r="E29650" s="185" t="s">
        <v>470</v>
      </c>
      <c r="H29650" s="185"/>
    </row>
    <row r="29651">
      <c r="D29651" s="185"/>
      <c r="E29651" s="185" t="s">
        <v>470</v>
      </c>
      <c r="H29651" s="185"/>
    </row>
    <row r="29652">
      <c r="D29652" s="185"/>
      <c r="E29652" s="185" t="s">
        <v>470</v>
      </c>
      <c r="H29652" s="185"/>
    </row>
    <row r="29653">
      <c r="D29653" s="185"/>
      <c r="E29653" s="185" t="s">
        <v>470</v>
      </c>
      <c r="H29653" s="185"/>
    </row>
    <row r="29654">
      <c r="D29654" s="185"/>
      <c r="E29654" s="185" t="s">
        <v>470</v>
      </c>
      <c r="H29654" s="185"/>
    </row>
    <row r="29655">
      <c r="D29655" s="185"/>
      <c r="E29655" s="185" t="s">
        <v>470</v>
      </c>
      <c r="H29655" s="185"/>
    </row>
    <row r="29656">
      <c r="D29656" s="185"/>
      <c r="E29656" s="185" t="s">
        <v>470</v>
      </c>
      <c r="H29656" s="185"/>
    </row>
    <row r="29657">
      <c r="D29657" s="185"/>
      <c r="E29657" s="185" t="s">
        <v>470</v>
      </c>
      <c r="H29657" s="185"/>
    </row>
    <row r="29658">
      <c r="D29658" s="185"/>
      <c r="E29658" s="185" t="s">
        <v>470</v>
      </c>
      <c r="H29658" s="185"/>
    </row>
    <row r="29659">
      <c r="D29659" s="185"/>
      <c r="E29659" s="185" t="s">
        <v>470</v>
      </c>
      <c r="H29659" s="185"/>
    </row>
    <row r="29660">
      <c r="D29660" s="185"/>
      <c r="E29660" s="185" t="s">
        <v>470</v>
      </c>
      <c r="H29660" s="185"/>
    </row>
    <row r="29661">
      <c r="D29661" s="185"/>
      <c r="E29661" s="185" t="s">
        <v>470</v>
      </c>
      <c r="H29661" s="185"/>
    </row>
    <row r="29662">
      <c r="D29662" s="185"/>
      <c r="E29662" s="185" t="s">
        <v>470</v>
      </c>
      <c r="H29662" s="185"/>
    </row>
    <row r="29663">
      <c r="D29663" s="185"/>
      <c r="E29663" s="185" t="s">
        <v>470</v>
      </c>
      <c r="H29663" s="185"/>
    </row>
    <row r="29664">
      <c r="D29664" s="185"/>
      <c r="E29664" s="185" t="s">
        <v>470</v>
      </c>
      <c r="H29664" s="185"/>
    </row>
    <row r="29665">
      <c r="D29665" s="185"/>
      <c r="E29665" s="185" t="s">
        <v>470</v>
      </c>
      <c r="H29665" s="185"/>
    </row>
    <row r="29666">
      <c r="D29666" s="185"/>
      <c r="E29666" s="185" t="s">
        <v>470</v>
      </c>
      <c r="H29666" s="185"/>
    </row>
    <row r="29667">
      <c r="D29667" s="185"/>
      <c r="E29667" s="185" t="s">
        <v>470</v>
      </c>
      <c r="H29667" s="185"/>
    </row>
    <row r="29668">
      <c r="D29668" s="185"/>
      <c r="E29668" s="185" t="s">
        <v>470</v>
      </c>
      <c r="H29668" s="185"/>
    </row>
    <row r="29669">
      <c r="D29669" s="185"/>
      <c r="E29669" s="185" t="s">
        <v>470</v>
      </c>
      <c r="H29669" s="185"/>
    </row>
    <row r="29670">
      <c r="D29670" s="185"/>
      <c r="E29670" s="185" t="s">
        <v>470</v>
      </c>
      <c r="H29670" s="185"/>
    </row>
    <row r="29671">
      <c r="D29671" s="185"/>
      <c r="E29671" s="185" t="s">
        <v>470</v>
      </c>
      <c r="H29671" s="185"/>
    </row>
    <row r="29672">
      <c r="D29672" s="185"/>
      <c r="E29672" s="185" t="s">
        <v>470</v>
      </c>
      <c r="H29672" s="185"/>
    </row>
    <row r="29673">
      <c r="D29673" s="185"/>
      <c r="E29673" s="185" t="s">
        <v>470</v>
      </c>
      <c r="H29673" s="185"/>
    </row>
    <row r="29674">
      <c r="D29674" s="185"/>
      <c r="E29674" s="185" t="s">
        <v>470</v>
      </c>
      <c r="H29674" s="185"/>
    </row>
    <row r="29675">
      <c r="D29675" s="185"/>
      <c r="E29675" s="185" t="s">
        <v>470</v>
      </c>
      <c r="H29675" s="185"/>
    </row>
    <row r="29676">
      <c r="D29676" s="185"/>
      <c r="E29676" s="185" t="s">
        <v>470</v>
      </c>
      <c r="H29676" s="185"/>
    </row>
    <row r="29677">
      <c r="D29677" s="185"/>
      <c r="E29677" s="185" t="s">
        <v>470</v>
      </c>
      <c r="H29677" s="185"/>
    </row>
    <row r="29678">
      <c r="D29678" s="185"/>
      <c r="E29678" s="185" t="s">
        <v>470</v>
      </c>
      <c r="H29678" s="185"/>
    </row>
    <row r="29679">
      <c r="D29679" s="185"/>
      <c r="E29679" s="185" t="s">
        <v>470</v>
      </c>
      <c r="H29679" s="185"/>
    </row>
    <row r="29680">
      <c r="D29680" s="185"/>
      <c r="E29680" s="185" t="s">
        <v>470</v>
      </c>
      <c r="H29680" s="185"/>
    </row>
    <row r="29681">
      <c r="D29681" s="185"/>
      <c r="E29681" s="185" t="s">
        <v>470</v>
      </c>
      <c r="H29681" s="185"/>
    </row>
    <row r="29682">
      <c r="D29682" s="185"/>
      <c r="E29682" s="185" t="s">
        <v>470</v>
      </c>
      <c r="H29682" s="185"/>
    </row>
    <row r="29683">
      <c r="D29683" s="185"/>
      <c r="E29683" s="185" t="s">
        <v>470</v>
      </c>
      <c r="H29683" s="185"/>
    </row>
    <row r="29684">
      <c r="D29684" s="185"/>
      <c r="E29684" s="185" t="s">
        <v>470</v>
      </c>
      <c r="H29684" s="185"/>
    </row>
    <row r="29685">
      <c r="D29685" s="185"/>
      <c r="E29685" s="185" t="s">
        <v>470</v>
      </c>
      <c r="H29685" s="185"/>
    </row>
    <row r="29686">
      <c r="D29686" s="185"/>
      <c r="E29686" s="185" t="s">
        <v>470</v>
      </c>
      <c r="H29686" s="185"/>
    </row>
    <row r="29687">
      <c r="D29687" s="185"/>
      <c r="E29687" s="185" t="s">
        <v>470</v>
      </c>
      <c r="H29687" s="185"/>
    </row>
    <row r="29688">
      <c r="D29688" s="185"/>
      <c r="E29688" s="185" t="s">
        <v>470</v>
      </c>
      <c r="H29688" s="185"/>
    </row>
    <row r="29689">
      <c r="D29689" s="185"/>
      <c r="E29689" s="185" t="s">
        <v>470</v>
      </c>
      <c r="H29689" s="185"/>
    </row>
    <row r="29690">
      <c r="D29690" s="185"/>
      <c r="E29690" s="185" t="s">
        <v>470</v>
      </c>
      <c r="H29690" s="185"/>
    </row>
    <row r="29691">
      <c r="D29691" s="185"/>
      <c r="E29691" s="185" t="s">
        <v>470</v>
      </c>
      <c r="H29691" s="185"/>
    </row>
    <row r="29692">
      <c r="D29692" s="185"/>
      <c r="E29692" s="185" t="s">
        <v>470</v>
      </c>
      <c r="H29692" s="185"/>
    </row>
    <row r="29693">
      <c r="D29693" s="185"/>
      <c r="E29693" s="185" t="s">
        <v>470</v>
      </c>
      <c r="H29693" s="185"/>
    </row>
    <row r="29694">
      <c r="D29694" s="185"/>
      <c r="E29694" s="185" t="s">
        <v>470</v>
      </c>
      <c r="H29694" s="185"/>
    </row>
    <row r="29695">
      <c r="D29695" s="185"/>
      <c r="E29695" s="185" t="s">
        <v>470</v>
      </c>
      <c r="H29695" s="185"/>
    </row>
    <row r="29696">
      <c r="D29696" s="185"/>
      <c r="E29696" s="185" t="s">
        <v>470</v>
      </c>
      <c r="H29696" s="185"/>
    </row>
    <row r="29697">
      <c r="D29697" s="185"/>
      <c r="E29697" s="185" t="s">
        <v>470</v>
      </c>
      <c r="H29697" s="185"/>
    </row>
    <row r="29698">
      <c r="D29698" s="185"/>
      <c r="E29698" s="185" t="s">
        <v>470</v>
      </c>
      <c r="H29698" s="185"/>
    </row>
    <row r="29699">
      <c r="D29699" s="185"/>
      <c r="E29699" s="185" t="s">
        <v>470</v>
      </c>
      <c r="H29699" s="185"/>
    </row>
    <row r="29700">
      <c r="D29700" s="185"/>
      <c r="E29700" s="185" t="s">
        <v>470</v>
      </c>
      <c r="H29700" s="185"/>
    </row>
    <row r="29701">
      <c r="D29701" s="185"/>
      <c r="E29701" s="185" t="s">
        <v>470</v>
      </c>
      <c r="H29701" s="185"/>
    </row>
    <row r="29702">
      <c r="D29702" s="185"/>
      <c r="E29702" s="185" t="s">
        <v>470</v>
      </c>
      <c r="H29702" s="185"/>
    </row>
    <row r="29703">
      <c r="D29703" s="185"/>
      <c r="E29703" s="185" t="s">
        <v>470</v>
      </c>
      <c r="H29703" s="185"/>
    </row>
    <row r="29704">
      <c r="D29704" s="185"/>
      <c r="E29704" s="185" t="s">
        <v>470</v>
      </c>
      <c r="H29704" s="185"/>
    </row>
    <row r="29705">
      <c r="D29705" s="185"/>
      <c r="E29705" s="185" t="s">
        <v>470</v>
      </c>
      <c r="H29705" s="185"/>
    </row>
    <row r="29706">
      <c r="D29706" s="185"/>
      <c r="E29706" s="185" t="s">
        <v>470</v>
      </c>
      <c r="H29706" s="185"/>
    </row>
    <row r="29707">
      <c r="D29707" s="185"/>
      <c r="E29707" s="185" t="s">
        <v>470</v>
      </c>
      <c r="H29707" s="185"/>
    </row>
    <row r="29708">
      <c r="D29708" s="185"/>
      <c r="E29708" s="185" t="s">
        <v>470</v>
      </c>
      <c r="H29708" s="185"/>
    </row>
    <row r="29709">
      <c r="D29709" s="185"/>
      <c r="E29709" s="185" t="s">
        <v>470</v>
      </c>
      <c r="H29709" s="185"/>
    </row>
    <row r="29710">
      <c r="D29710" s="185"/>
      <c r="E29710" s="185" t="s">
        <v>470</v>
      </c>
      <c r="H29710" s="185"/>
    </row>
    <row r="29711">
      <c r="D29711" s="185"/>
      <c r="E29711" s="185" t="s">
        <v>470</v>
      </c>
      <c r="H29711" s="185"/>
    </row>
    <row r="29712">
      <c r="D29712" s="185"/>
      <c r="E29712" s="185" t="s">
        <v>470</v>
      </c>
      <c r="H29712" s="185"/>
    </row>
    <row r="29713">
      <c r="D29713" s="185"/>
      <c r="E29713" s="185" t="s">
        <v>470</v>
      </c>
      <c r="H29713" s="185"/>
    </row>
    <row r="29714">
      <c r="D29714" s="185"/>
      <c r="E29714" s="185" t="s">
        <v>470</v>
      </c>
      <c r="H29714" s="185"/>
    </row>
    <row r="29715">
      <c r="D29715" s="185"/>
      <c r="E29715" s="185" t="s">
        <v>470</v>
      </c>
      <c r="H29715" s="185"/>
    </row>
    <row r="29716">
      <c r="D29716" s="185"/>
      <c r="E29716" s="185" t="s">
        <v>470</v>
      </c>
      <c r="H29716" s="185"/>
    </row>
    <row r="29717">
      <c r="D29717" s="185"/>
      <c r="E29717" s="185" t="s">
        <v>470</v>
      </c>
      <c r="H29717" s="185"/>
    </row>
    <row r="29718">
      <c r="D29718" s="185"/>
      <c r="E29718" s="185" t="s">
        <v>470</v>
      </c>
      <c r="H29718" s="185"/>
    </row>
    <row r="29719">
      <c r="D29719" s="185"/>
      <c r="E29719" s="185" t="s">
        <v>470</v>
      </c>
      <c r="H29719" s="185"/>
    </row>
    <row r="29720">
      <c r="D29720" s="185"/>
      <c r="E29720" s="185" t="s">
        <v>470</v>
      </c>
      <c r="H29720" s="185"/>
    </row>
    <row r="29721">
      <c r="D29721" s="185"/>
      <c r="E29721" s="185" t="s">
        <v>470</v>
      </c>
      <c r="H29721" s="185"/>
    </row>
    <row r="29722">
      <c r="D29722" s="185"/>
      <c r="E29722" s="185" t="s">
        <v>470</v>
      </c>
      <c r="H29722" s="185"/>
    </row>
    <row r="29723">
      <c r="D29723" s="185"/>
      <c r="E29723" s="185" t="s">
        <v>470</v>
      </c>
      <c r="H29723" s="185"/>
    </row>
    <row r="29724">
      <c r="D29724" s="185"/>
      <c r="E29724" s="185" t="s">
        <v>470</v>
      </c>
      <c r="H29724" s="185"/>
    </row>
    <row r="29725">
      <c r="D29725" s="185"/>
      <c r="E29725" s="185" t="s">
        <v>470</v>
      </c>
      <c r="H29725" s="185"/>
    </row>
    <row r="29726">
      <c r="D29726" s="185"/>
      <c r="E29726" s="185" t="s">
        <v>470</v>
      </c>
      <c r="H29726" s="185"/>
    </row>
    <row r="29727">
      <c r="D29727" s="185"/>
      <c r="E29727" s="185" t="s">
        <v>470</v>
      </c>
      <c r="H29727" s="185"/>
    </row>
    <row r="29728">
      <c r="D29728" s="185"/>
      <c r="E29728" s="185" t="s">
        <v>470</v>
      </c>
      <c r="H29728" s="185"/>
    </row>
    <row r="29729">
      <c r="D29729" s="185"/>
      <c r="E29729" s="185" t="s">
        <v>470</v>
      </c>
      <c r="H29729" s="185"/>
    </row>
    <row r="29730">
      <c r="D29730" s="185"/>
      <c r="E29730" s="185" t="s">
        <v>470</v>
      </c>
      <c r="H29730" s="185"/>
    </row>
    <row r="29731">
      <c r="D29731" s="185"/>
      <c r="E29731" s="185" t="s">
        <v>470</v>
      </c>
      <c r="H29731" s="185"/>
    </row>
    <row r="29732">
      <c r="D29732" s="185"/>
      <c r="E29732" s="185" t="s">
        <v>470</v>
      </c>
      <c r="H29732" s="185"/>
    </row>
    <row r="29733">
      <c r="D29733" s="185"/>
      <c r="E29733" s="185" t="s">
        <v>470</v>
      </c>
      <c r="H29733" s="185"/>
    </row>
    <row r="29734">
      <c r="D29734" s="185"/>
      <c r="E29734" s="185" t="s">
        <v>470</v>
      </c>
      <c r="H29734" s="185"/>
    </row>
    <row r="29735">
      <c r="D29735" s="185"/>
      <c r="E29735" s="185" t="s">
        <v>470</v>
      </c>
      <c r="H29735" s="185"/>
    </row>
    <row r="29736">
      <c r="D29736" s="185"/>
      <c r="E29736" s="185" t="s">
        <v>470</v>
      </c>
      <c r="H29736" s="185"/>
    </row>
    <row r="29737">
      <c r="D29737" s="185"/>
      <c r="E29737" s="185" t="s">
        <v>470</v>
      </c>
      <c r="H29737" s="185"/>
    </row>
    <row r="29738">
      <c r="D29738" s="185"/>
      <c r="E29738" s="185" t="s">
        <v>470</v>
      </c>
      <c r="H29738" s="185"/>
    </row>
    <row r="29739">
      <c r="D29739" s="185"/>
      <c r="E29739" s="185" t="s">
        <v>470</v>
      </c>
      <c r="H29739" s="185"/>
    </row>
    <row r="29740">
      <c r="D29740" s="185"/>
      <c r="E29740" s="185" t="s">
        <v>470</v>
      </c>
      <c r="H29740" s="185"/>
    </row>
    <row r="29741">
      <c r="D29741" s="185"/>
      <c r="E29741" s="185" t="s">
        <v>470</v>
      </c>
      <c r="H29741" s="185"/>
    </row>
    <row r="29742">
      <c r="D29742" s="185"/>
      <c r="E29742" s="185" t="s">
        <v>470</v>
      </c>
      <c r="H29742" s="185"/>
    </row>
    <row r="29743">
      <c r="D29743" s="185"/>
      <c r="E29743" s="185" t="s">
        <v>470</v>
      </c>
      <c r="H29743" s="185"/>
    </row>
    <row r="29744">
      <c r="D29744" s="185"/>
      <c r="E29744" s="185" t="s">
        <v>470</v>
      </c>
      <c r="H29744" s="185"/>
    </row>
    <row r="29745">
      <c r="D29745" s="185"/>
      <c r="E29745" s="185" t="s">
        <v>470</v>
      </c>
      <c r="H29745" s="185"/>
    </row>
    <row r="29746">
      <c r="D29746" s="185"/>
      <c r="E29746" s="185" t="s">
        <v>470</v>
      </c>
      <c r="H29746" s="185"/>
    </row>
    <row r="29747">
      <c r="D29747" s="185"/>
      <c r="E29747" s="185" t="s">
        <v>470</v>
      </c>
      <c r="H29747" s="185"/>
    </row>
    <row r="29748">
      <c r="D29748" s="185"/>
      <c r="E29748" s="185" t="s">
        <v>470</v>
      </c>
      <c r="H29748" s="185"/>
    </row>
    <row r="29749">
      <c r="D29749" s="185"/>
      <c r="E29749" s="185" t="s">
        <v>470</v>
      </c>
      <c r="H29749" s="185"/>
    </row>
    <row r="29750">
      <c r="D29750" s="185"/>
      <c r="E29750" s="185" t="s">
        <v>470</v>
      </c>
      <c r="H29750" s="185"/>
    </row>
    <row r="29751">
      <c r="D29751" s="185"/>
      <c r="E29751" s="185" t="s">
        <v>470</v>
      </c>
      <c r="H29751" s="185"/>
    </row>
    <row r="29752">
      <c r="D29752" s="185"/>
      <c r="E29752" s="185" t="s">
        <v>470</v>
      </c>
      <c r="H29752" s="185"/>
    </row>
    <row r="29753">
      <c r="D29753" s="185"/>
      <c r="E29753" s="185" t="s">
        <v>470</v>
      </c>
      <c r="H29753" s="185"/>
    </row>
    <row r="29754">
      <c r="D29754" s="185"/>
      <c r="E29754" s="185" t="s">
        <v>470</v>
      </c>
      <c r="H29754" s="185"/>
    </row>
    <row r="29755">
      <c r="D29755" s="185"/>
      <c r="E29755" s="185" t="s">
        <v>470</v>
      </c>
      <c r="H29755" s="185"/>
    </row>
    <row r="29756">
      <c r="D29756" s="185"/>
      <c r="E29756" s="185" t="s">
        <v>470</v>
      </c>
      <c r="H29756" s="185"/>
    </row>
    <row r="29757">
      <c r="D29757" s="185"/>
      <c r="E29757" s="185" t="s">
        <v>470</v>
      </c>
      <c r="H29757" s="185"/>
    </row>
    <row r="29758">
      <c r="D29758" s="185"/>
      <c r="E29758" s="185" t="s">
        <v>470</v>
      </c>
      <c r="H29758" s="185"/>
    </row>
    <row r="29759">
      <c r="D29759" s="185"/>
      <c r="E29759" s="185" t="s">
        <v>470</v>
      </c>
      <c r="H29759" s="185"/>
    </row>
    <row r="29760">
      <c r="D29760" s="185"/>
      <c r="E29760" s="185" t="s">
        <v>470</v>
      </c>
      <c r="H29760" s="185"/>
    </row>
    <row r="29761">
      <c r="D29761" s="185"/>
      <c r="E29761" s="185" t="s">
        <v>470</v>
      </c>
      <c r="H29761" s="185"/>
    </row>
    <row r="29762">
      <c r="D29762" s="185"/>
      <c r="E29762" s="185" t="s">
        <v>470</v>
      </c>
      <c r="H29762" s="185"/>
    </row>
    <row r="29763">
      <c r="D29763" s="185"/>
      <c r="E29763" s="185" t="s">
        <v>470</v>
      </c>
      <c r="H29763" s="185"/>
    </row>
    <row r="29764">
      <c r="D29764" s="185"/>
      <c r="E29764" s="185" t="s">
        <v>470</v>
      </c>
      <c r="H29764" s="185"/>
    </row>
    <row r="29765">
      <c r="D29765" s="185"/>
      <c r="E29765" s="185" t="s">
        <v>470</v>
      </c>
      <c r="H29765" s="185"/>
    </row>
    <row r="29766">
      <c r="D29766" s="185"/>
      <c r="E29766" s="185" t="s">
        <v>470</v>
      </c>
      <c r="H29766" s="185"/>
    </row>
    <row r="29767">
      <c r="D29767" s="185"/>
      <c r="E29767" s="185" t="s">
        <v>470</v>
      </c>
      <c r="H29767" s="185"/>
    </row>
    <row r="29768">
      <c r="D29768" s="185"/>
      <c r="E29768" s="185" t="s">
        <v>470</v>
      </c>
      <c r="H29768" s="185"/>
    </row>
    <row r="29769">
      <c r="D29769" s="185"/>
      <c r="E29769" s="185" t="s">
        <v>470</v>
      </c>
      <c r="H29769" s="185"/>
    </row>
    <row r="29770">
      <c r="D29770" s="185"/>
      <c r="E29770" s="185" t="s">
        <v>470</v>
      </c>
      <c r="H29770" s="185"/>
    </row>
    <row r="29771">
      <c r="D29771" s="185"/>
      <c r="E29771" s="185" t="s">
        <v>470</v>
      </c>
      <c r="H29771" s="185"/>
    </row>
    <row r="29772">
      <c r="D29772" s="185"/>
      <c r="E29772" s="185" t="s">
        <v>470</v>
      </c>
      <c r="H29772" s="185"/>
    </row>
    <row r="29773">
      <c r="D29773" s="185"/>
      <c r="E29773" s="185" t="s">
        <v>470</v>
      </c>
      <c r="H29773" s="185"/>
    </row>
    <row r="29774">
      <c r="D29774" s="185"/>
      <c r="E29774" s="185" t="s">
        <v>470</v>
      </c>
      <c r="H29774" s="185"/>
    </row>
    <row r="29775">
      <c r="D29775" s="185"/>
      <c r="E29775" s="185" t="s">
        <v>470</v>
      </c>
      <c r="H29775" s="185"/>
    </row>
    <row r="29776">
      <c r="D29776" s="185"/>
      <c r="E29776" s="185" t="s">
        <v>470</v>
      </c>
      <c r="H29776" s="185"/>
    </row>
    <row r="29777">
      <c r="D29777" s="185"/>
      <c r="E29777" s="185" t="s">
        <v>470</v>
      </c>
      <c r="H29777" s="185"/>
    </row>
    <row r="29778">
      <c r="D29778" s="185"/>
      <c r="E29778" s="185" t="s">
        <v>470</v>
      </c>
      <c r="H29778" s="185"/>
    </row>
    <row r="29779">
      <c r="D29779" s="185"/>
      <c r="E29779" s="185" t="s">
        <v>470</v>
      </c>
      <c r="H29779" s="185"/>
    </row>
    <row r="29780">
      <c r="D29780" s="185"/>
      <c r="E29780" s="185" t="s">
        <v>470</v>
      </c>
      <c r="H29780" s="185"/>
    </row>
    <row r="29781">
      <c r="D29781" s="185"/>
      <c r="E29781" s="185" t="s">
        <v>470</v>
      </c>
      <c r="H29781" s="185"/>
    </row>
    <row r="29782">
      <c r="D29782" s="185"/>
      <c r="E29782" s="185" t="s">
        <v>470</v>
      </c>
      <c r="H29782" s="185"/>
    </row>
    <row r="29783">
      <c r="D29783" s="185"/>
      <c r="E29783" s="185" t="s">
        <v>470</v>
      </c>
      <c r="H29783" s="185"/>
    </row>
    <row r="29784">
      <c r="D29784" s="185"/>
      <c r="E29784" s="185" t="s">
        <v>470</v>
      </c>
      <c r="H29784" s="185"/>
    </row>
    <row r="29785">
      <c r="D29785" s="185"/>
      <c r="E29785" s="185" t="s">
        <v>470</v>
      </c>
      <c r="H29785" s="185"/>
    </row>
    <row r="29786">
      <c r="D29786" s="185"/>
      <c r="E29786" s="185" t="s">
        <v>470</v>
      </c>
      <c r="H29786" s="185"/>
    </row>
    <row r="29787">
      <c r="D29787" s="185"/>
      <c r="E29787" s="185" t="s">
        <v>470</v>
      </c>
      <c r="H29787" s="185"/>
    </row>
    <row r="29788">
      <c r="D29788" s="185"/>
      <c r="E29788" s="185" t="s">
        <v>470</v>
      </c>
      <c r="H29788" s="185"/>
    </row>
    <row r="29789">
      <c r="D29789" s="185"/>
      <c r="E29789" s="185" t="s">
        <v>470</v>
      </c>
      <c r="H29789" s="185"/>
    </row>
    <row r="29790">
      <c r="D29790" s="185"/>
      <c r="E29790" s="185" t="s">
        <v>470</v>
      </c>
      <c r="H29790" s="185"/>
    </row>
    <row r="29791">
      <c r="D29791" s="185"/>
      <c r="E29791" s="185" t="s">
        <v>470</v>
      </c>
      <c r="H29791" s="185"/>
    </row>
    <row r="29792">
      <c r="D29792" s="185"/>
      <c r="E29792" s="185" t="s">
        <v>470</v>
      </c>
      <c r="H29792" s="185"/>
    </row>
    <row r="29793">
      <c r="D29793" s="185"/>
      <c r="E29793" s="185" t="s">
        <v>470</v>
      </c>
      <c r="H29793" s="185"/>
    </row>
    <row r="29794">
      <c r="D29794" s="185"/>
      <c r="E29794" s="185" t="s">
        <v>470</v>
      </c>
      <c r="H29794" s="185"/>
    </row>
    <row r="29795">
      <c r="D29795" s="185"/>
      <c r="E29795" s="185" t="s">
        <v>470</v>
      </c>
      <c r="H29795" s="185"/>
    </row>
    <row r="29796">
      <c r="D29796" s="185"/>
      <c r="E29796" s="185" t="s">
        <v>470</v>
      </c>
      <c r="H29796" s="185"/>
    </row>
    <row r="29797">
      <c r="D29797" s="185"/>
      <c r="E29797" s="185" t="s">
        <v>470</v>
      </c>
      <c r="H29797" s="185"/>
    </row>
    <row r="29798">
      <c r="D29798" s="185"/>
      <c r="E29798" s="185" t="s">
        <v>470</v>
      </c>
      <c r="H29798" s="185"/>
    </row>
    <row r="29799">
      <c r="D29799" s="185"/>
      <c r="E29799" s="185" t="s">
        <v>470</v>
      </c>
      <c r="H29799" s="185"/>
    </row>
    <row r="29800">
      <c r="D29800" s="185"/>
      <c r="E29800" s="185" t="s">
        <v>470</v>
      </c>
      <c r="H29800" s="185"/>
    </row>
    <row r="29801">
      <c r="D29801" s="185"/>
      <c r="E29801" s="185" t="s">
        <v>470</v>
      </c>
      <c r="H29801" s="185"/>
    </row>
    <row r="29802">
      <c r="D29802" s="185"/>
      <c r="E29802" s="185" t="s">
        <v>470</v>
      </c>
      <c r="H29802" s="185"/>
    </row>
    <row r="29803">
      <c r="D29803" s="185"/>
      <c r="E29803" s="185" t="s">
        <v>470</v>
      </c>
      <c r="H29803" s="185"/>
    </row>
    <row r="29804">
      <c r="D29804" s="185"/>
      <c r="E29804" s="185" t="s">
        <v>470</v>
      </c>
      <c r="H29804" s="185"/>
    </row>
    <row r="29805">
      <c r="D29805" s="185"/>
      <c r="E29805" s="185" t="s">
        <v>470</v>
      </c>
      <c r="H29805" s="185"/>
    </row>
    <row r="29806">
      <c r="D29806" s="185"/>
      <c r="E29806" s="185" t="s">
        <v>470</v>
      </c>
      <c r="H29806" s="185"/>
    </row>
    <row r="29807">
      <c r="D29807" s="185"/>
      <c r="E29807" s="185" t="s">
        <v>470</v>
      </c>
      <c r="H29807" s="185"/>
    </row>
    <row r="29808">
      <c r="D29808" s="185"/>
      <c r="E29808" s="185" t="s">
        <v>470</v>
      </c>
      <c r="H29808" s="185"/>
    </row>
    <row r="29809">
      <c r="D29809" s="185"/>
      <c r="E29809" s="185" t="s">
        <v>470</v>
      </c>
      <c r="H29809" s="185"/>
    </row>
    <row r="29810">
      <c r="D29810" s="185"/>
      <c r="E29810" s="185" t="s">
        <v>470</v>
      </c>
      <c r="H29810" s="185"/>
    </row>
    <row r="29811">
      <c r="D29811" s="185"/>
      <c r="E29811" s="185" t="s">
        <v>470</v>
      </c>
      <c r="H29811" s="185"/>
    </row>
    <row r="29812">
      <c r="D29812" s="185"/>
      <c r="E29812" s="185" t="s">
        <v>470</v>
      </c>
      <c r="H29812" s="185"/>
    </row>
    <row r="29813">
      <c r="D29813" s="185"/>
      <c r="E29813" s="185" t="s">
        <v>470</v>
      </c>
      <c r="H29813" s="185"/>
    </row>
    <row r="29814">
      <c r="D29814" s="185"/>
      <c r="E29814" s="185" t="s">
        <v>470</v>
      </c>
      <c r="H29814" s="185"/>
    </row>
    <row r="29815">
      <c r="D29815" s="185"/>
      <c r="E29815" s="185" t="s">
        <v>470</v>
      </c>
      <c r="H29815" s="185"/>
    </row>
    <row r="29816">
      <c r="D29816" s="185"/>
      <c r="E29816" s="185" t="s">
        <v>470</v>
      </c>
      <c r="H29816" s="185"/>
    </row>
    <row r="29817">
      <c r="D29817" s="185"/>
      <c r="E29817" s="185" t="s">
        <v>470</v>
      </c>
      <c r="H29817" s="185"/>
    </row>
    <row r="29818">
      <c r="D29818" s="185"/>
      <c r="E29818" s="185" t="s">
        <v>470</v>
      </c>
      <c r="H29818" s="185"/>
    </row>
    <row r="29819">
      <c r="D29819" s="185"/>
      <c r="E29819" s="185" t="s">
        <v>470</v>
      </c>
      <c r="H29819" s="185"/>
    </row>
    <row r="29820">
      <c r="D29820" s="185"/>
      <c r="E29820" s="185" t="s">
        <v>470</v>
      </c>
      <c r="H29820" s="185"/>
    </row>
    <row r="29821">
      <c r="D29821" s="185"/>
      <c r="E29821" s="185" t="s">
        <v>470</v>
      </c>
      <c r="H29821" s="185"/>
    </row>
    <row r="29822">
      <c r="D29822" s="185"/>
      <c r="E29822" s="185" t="s">
        <v>470</v>
      </c>
      <c r="H29822" s="185"/>
    </row>
    <row r="29823">
      <c r="D29823" s="185"/>
      <c r="E29823" s="185" t="s">
        <v>470</v>
      </c>
      <c r="H29823" s="185"/>
    </row>
    <row r="29824">
      <c r="D29824" s="185"/>
      <c r="E29824" s="185" t="s">
        <v>470</v>
      </c>
      <c r="H29824" s="185"/>
    </row>
    <row r="29825">
      <c r="D29825" s="185"/>
      <c r="E29825" s="185" t="s">
        <v>470</v>
      </c>
      <c r="H29825" s="185"/>
    </row>
    <row r="29826">
      <c r="D29826" s="185"/>
      <c r="E29826" s="185" t="s">
        <v>470</v>
      </c>
      <c r="H29826" s="185"/>
    </row>
    <row r="29827">
      <c r="D29827" s="185"/>
      <c r="E29827" s="185" t="s">
        <v>470</v>
      </c>
      <c r="H29827" s="185"/>
    </row>
    <row r="29828">
      <c r="D29828" s="185"/>
      <c r="E29828" s="185" t="s">
        <v>470</v>
      </c>
      <c r="H29828" s="185"/>
    </row>
    <row r="29829">
      <c r="D29829" s="185"/>
      <c r="E29829" s="185" t="s">
        <v>470</v>
      </c>
      <c r="H29829" s="185"/>
    </row>
    <row r="29830">
      <c r="D29830" s="185"/>
      <c r="E29830" s="185" t="s">
        <v>470</v>
      </c>
      <c r="H29830" s="185"/>
    </row>
    <row r="29831">
      <c r="D29831" s="185"/>
      <c r="E29831" s="185" t="s">
        <v>470</v>
      </c>
      <c r="H29831" s="185"/>
    </row>
    <row r="29832">
      <c r="D29832" s="185"/>
      <c r="E29832" s="185" t="s">
        <v>470</v>
      </c>
      <c r="H29832" s="185"/>
    </row>
    <row r="29833">
      <c r="D29833" s="185"/>
      <c r="E29833" s="185" t="s">
        <v>470</v>
      </c>
      <c r="H29833" s="185"/>
    </row>
    <row r="29834">
      <c r="D29834" s="185"/>
      <c r="E29834" s="185" t="s">
        <v>470</v>
      </c>
      <c r="H29834" s="185"/>
    </row>
    <row r="29835">
      <c r="D29835" s="185"/>
      <c r="E29835" s="185" t="s">
        <v>470</v>
      </c>
      <c r="H29835" s="185"/>
    </row>
    <row r="29836">
      <c r="D29836" s="185"/>
      <c r="E29836" s="185" t="s">
        <v>470</v>
      </c>
      <c r="H29836" s="185"/>
    </row>
    <row r="29837">
      <c r="D29837" s="185"/>
      <c r="E29837" s="185" t="s">
        <v>470</v>
      </c>
      <c r="H29837" s="185"/>
    </row>
    <row r="29838">
      <c r="D29838" s="185"/>
      <c r="E29838" s="185" t="s">
        <v>470</v>
      </c>
      <c r="H29838" s="185"/>
    </row>
    <row r="29839">
      <c r="D29839" s="185"/>
      <c r="E29839" s="185" t="s">
        <v>470</v>
      </c>
      <c r="H29839" s="185"/>
    </row>
    <row r="29840">
      <c r="D29840" s="185"/>
      <c r="E29840" s="185" t="s">
        <v>470</v>
      </c>
      <c r="H29840" s="185"/>
    </row>
    <row r="29841">
      <c r="D29841" s="185"/>
      <c r="E29841" s="185" t="s">
        <v>470</v>
      </c>
      <c r="H29841" s="185"/>
    </row>
    <row r="29842">
      <c r="D29842" s="185"/>
      <c r="E29842" s="185" t="s">
        <v>470</v>
      </c>
      <c r="H29842" s="185"/>
    </row>
    <row r="29843">
      <c r="D29843" s="185"/>
      <c r="E29843" s="185" t="s">
        <v>470</v>
      </c>
      <c r="H29843" s="185"/>
    </row>
    <row r="29844">
      <c r="D29844" s="185"/>
      <c r="E29844" s="185" t="s">
        <v>470</v>
      </c>
      <c r="H29844" s="185"/>
    </row>
    <row r="29845">
      <c r="D29845" s="185"/>
      <c r="E29845" s="185" t="s">
        <v>470</v>
      </c>
      <c r="H29845" s="185"/>
    </row>
    <row r="29846">
      <c r="D29846" s="185"/>
      <c r="E29846" s="185" t="s">
        <v>470</v>
      </c>
      <c r="H29846" s="185"/>
    </row>
    <row r="29847">
      <c r="D29847" s="185"/>
      <c r="E29847" s="185" t="s">
        <v>470</v>
      </c>
      <c r="H29847" s="185"/>
    </row>
    <row r="29848">
      <c r="D29848" s="185"/>
      <c r="E29848" s="185" t="s">
        <v>470</v>
      </c>
      <c r="H29848" s="185"/>
    </row>
    <row r="29849">
      <c r="D29849" s="185"/>
      <c r="E29849" s="185" t="s">
        <v>470</v>
      </c>
      <c r="H29849" s="185"/>
    </row>
    <row r="29850">
      <c r="D29850" s="185"/>
      <c r="E29850" s="185" t="s">
        <v>470</v>
      </c>
      <c r="H29850" s="185"/>
    </row>
    <row r="29851">
      <c r="D29851" s="185"/>
      <c r="E29851" s="185" t="s">
        <v>470</v>
      </c>
      <c r="H29851" s="185"/>
    </row>
    <row r="29852">
      <c r="D29852" s="185"/>
      <c r="E29852" s="185" t="s">
        <v>470</v>
      </c>
      <c r="H29852" s="185"/>
    </row>
    <row r="29853">
      <c r="D29853" s="185"/>
      <c r="E29853" s="185" t="s">
        <v>470</v>
      </c>
      <c r="H29853" s="185"/>
    </row>
    <row r="29854">
      <c r="D29854" s="185"/>
      <c r="E29854" s="185" t="s">
        <v>470</v>
      </c>
      <c r="H29854" s="185"/>
    </row>
    <row r="29855">
      <c r="D29855" s="185"/>
      <c r="E29855" s="185" t="s">
        <v>470</v>
      </c>
      <c r="H29855" s="185"/>
    </row>
    <row r="29856">
      <c r="D29856" s="185"/>
      <c r="E29856" s="185" t="s">
        <v>470</v>
      </c>
      <c r="H29856" s="185"/>
    </row>
    <row r="29857">
      <c r="D29857" s="185"/>
      <c r="E29857" s="185" t="s">
        <v>470</v>
      </c>
      <c r="H29857" s="185"/>
    </row>
    <row r="29858">
      <c r="D29858" s="185"/>
      <c r="E29858" s="185" t="s">
        <v>470</v>
      </c>
      <c r="H29858" s="185"/>
    </row>
    <row r="29859">
      <c r="D29859" s="185"/>
      <c r="E29859" s="185" t="s">
        <v>470</v>
      </c>
      <c r="H29859" s="185"/>
    </row>
    <row r="29860">
      <c r="D29860" s="185"/>
      <c r="E29860" s="185" t="s">
        <v>470</v>
      </c>
      <c r="H29860" s="185"/>
    </row>
    <row r="29861">
      <c r="D29861" s="185"/>
      <c r="E29861" s="185" t="s">
        <v>470</v>
      </c>
      <c r="H29861" s="185"/>
    </row>
    <row r="29862">
      <c r="D29862" s="185"/>
      <c r="E29862" s="185" t="s">
        <v>470</v>
      </c>
      <c r="H29862" s="185"/>
    </row>
    <row r="29863">
      <c r="D29863" s="185"/>
      <c r="E29863" s="185" t="s">
        <v>470</v>
      </c>
      <c r="H29863" s="185"/>
    </row>
    <row r="29864">
      <c r="D29864" s="185"/>
      <c r="E29864" s="185" t="s">
        <v>470</v>
      </c>
      <c r="H29864" s="185"/>
    </row>
    <row r="29865">
      <c r="D29865" s="185"/>
      <c r="E29865" s="185" t="s">
        <v>470</v>
      </c>
      <c r="H29865" s="185"/>
    </row>
    <row r="29866">
      <c r="D29866" s="185"/>
      <c r="E29866" s="185" t="s">
        <v>470</v>
      </c>
      <c r="H29866" s="185"/>
    </row>
    <row r="29867">
      <c r="D29867" s="185"/>
      <c r="E29867" s="185" t="s">
        <v>470</v>
      </c>
      <c r="H29867" s="185"/>
    </row>
    <row r="29868">
      <c r="D29868" s="185"/>
      <c r="E29868" s="185" t="s">
        <v>470</v>
      </c>
      <c r="H29868" s="185"/>
    </row>
    <row r="29869">
      <c r="D29869" s="185"/>
      <c r="E29869" s="185" t="s">
        <v>470</v>
      </c>
      <c r="H29869" s="185"/>
    </row>
    <row r="29870">
      <c r="D29870" s="185"/>
      <c r="E29870" s="185" t="s">
        <v>470</v>
      </c>
      <c r="H29870" s="185"/>
    </row>
    <row r="29871">
      <c r="D29871" s="185"/>
      <c r="E29871" s="185" t="s">
        <v>470</v>
      </c>
      <c r="H29871" s="185"/>
    </row>
    <row r="29872">
      <c r="D29872" s="185"/>
      <c r="E29872" s="185" t="s">
        <v>470</v>
      </c>
      <c r="H29872" s="185"/>
    </row>
    <row r="29873">
      <c r="D29873" s="185"/>
      <c r="E29873" s="185" t="s">
        <v>470</v>
      </c>
      <c r="H29873" s="185"/>
    </row>
    <row r="29874">
      <c r="D29874" s="185"/>
      <c r="E29874" s="185" t="s">
        <v>470</v>
      </c>
      <c r="H29874" s="185"/>
    </row>
    <row r="29875">
      <c r="D29875" s="185"/>
      <c r="E29875" s="185" t="s">
        <v>470</v>
      </c>
      <c r="H29875" s="185"/>
    </row>
    <row r="29876">
      <c r="D29876" s="185"/>
      <c r="E29876" s="185" t="s">
        <v>470</v>
      </c>
      <c r="H29876" s="185"/>
    </row>
    <row r="29877">
      <c r="D29877" s="185"/>
      <c r="E29877" s="185" t="s">
        <v>470</v>
      </c>
      <c r="H29877" s="185"/>
    </row>
    <row r="29878">
      <c r="D29878" s="185"/>
      <c r="E29878" s="185" t="s">
        <v>470</v>
      </c>
      <c r="H29878" s="185"/>
    </row>
    <row r="29879">
      <c r="D29879" s="185"/>
      <c r="E29879" s="185" t="s">
        <v>470</v>
      </c>
      <c r="H29879" s="185"/>
    </row>
    <row r="29880">
      <c r="D29880" s="185"/>
      <c r="E29880" s="185" t="s">
        <v>470</v>
      </c>
      <c r="H29880" s="185"/>
    </row>
    <row r="29881">
      <c r="D29881" s="185"/>
      <c r="E29881" s="185" t="s">
        <v>470</v>
      </c>
      <c r="H29881" s="185"/>
    </row>
    <row r="29882">
      <c r="D29882" s="185"/>
      <c r="E29882" s="185" t="s">
        <v>470</v>
      </c>
      <c r="H29882" s="185"/>
    </row>
    <row r="29883">
      <c r="D29883" s="185"/>
      <c r="E29883" s="185" t="s">
        <v>470</v>
      </c>
      <c r="H29883" s="185"/>
    </row>
    <row r="29884">
      <c r="D29884" s="185"/>
      <c r="E29884" s="185" t="s">
        <v>470</v>
      </c>
      <c r="H29884" s="185"/>
    </row>
    <row r="29885">
      <c r="D29885" s="185"/>
      <c r="E29885" s="185" t="s">
        <v>470</v>
      </c>
      <c r="H29885" s="185"/>
    </row>
    <row r="29886">
      <c r="D29886" s="185"/>
      <c r="E29886" s="185" t="s">
        <v>470</v>
      </c>
      <c r="H29886" s="185"/>
    </row>
    <row r="29887">
      <c r="D29887" s="185"/>
      <c r="E29887" s="185" t="s">
        <v>470</v>
      </c>
      <c r="H29887" s="185"/>
    </row>
    <row r="29888">
      <c r="D29888" s="185"/>
      <c r="E29888" s="185" t="s">
        <v>470</v>
      </c>
      <c r="H29888" s="185"/>
    </row>
    <row r="29889">
      <c r="D29889" s="185"/>
      <c r="E29889" s="185" t="s">
        <v>470</v>
      </c>
      <c r="H29889" s="185"/>
    </row>
    <row r="29890">
      <c r="D29890" s="185"/>
      <c r="E29890" s="185" t="s">
        <v>470</v>
      </c>
      <c r="H29890" s="185"/>
    </row>
    <row r="29891">
      <c r="D29891" s="185"/>
      <c r="E29891" s="185" t="s">
        <v>470</v>
      </c>
      <c r="H29891" s="185"/>
    </row>
    <row r="29892">
      <c r="D29892" s="185"/>
      <c r="E29892" s="185" t="s">
        <v>470</v>
      </c>
      <c r="H29892" s="185"/>
    </row>
    <row r="29893">
      <c r="D29893" s="185"/>
      <c r="E29893" s="185" t="s">
        <v>470</v>
      </c>
      <c r="H29893" s="185"/>
    </row>
    <row r="29894">
      <c r="D29894" s="185"/>
      <c r="E29894" s="185" t="s">
        <v>470</v>
      </c>
      <c r="H29894" s="185"/>
    </row>
    <row r="29895">
      <c r="D29895" s="185"/>
      <c r="E29895" s="185" t="s">
        <v>470</v>
      </c>
      <c r="H29895" s="185"/>
    </row>
    <row r="29896">
      <c r="D29896" s="185"/>
      <c r="E29896" s="185" t="s">
        <v>470</v>
      </c>
      <c r="H29896" s="185"/>
    </row>
    <row r="29897">
      <c r="D29897" s="185"/>
      <c r="E29897" s="185" t="s">
        <v>470</v>
      </c>
      <c r="H29897" s="185"/>
    </row>
    <row r="29898">
      <c r="D29898" s="185"/>
      <c r="E29898" s="185" t="s">
        <v>470</v>
      </c>
      <c r="H29898" s="185"/>
    </row>
    <row r="29899">
      <c r="D29899" s="185"/>
      <c r="E29899" s="185" t="s">
        <v>470</v>
      </c>
      <c r="H29899" s="185"/>
    </row>
    <row r="29900">
      <c r="D29900" s="185"/>
      <c r="E29900" s="185" t="s">
        <v>470</v>
      </c>
      <c r="H29900" s="185"/>
    </row>
    <row r="29901">
      <c r="D29901" s="185"/>
      <c r="E29901" s="185" t="s">
        <v>470</v>
      </c>
      <c r="H29901" s="185"/>
    </row>
    <row r="29902">
      <c r="D29902" s="185"/>
      <c r="E29902" s="185" t="s">
        <v>470</v>
      </c>
      <c r="H29902" s="185"/>
    </row>
    <row r="29903">
      <c r="D29903" s="185"/>
      <c r="E29903" s="185" t="s">
        <v>470</v>
      </c>
      <c r="H29903" s="185"/>
    </row>
    <row r="29904">
      <c r="D29904" s="185"/>
      <c r="E29904" s="185" t="s">
        <v>470</v>
      </c>
      <c r="H29904" s="185"/>
    </row>
    <row r="29905">
      <c r="D29905" s="185"/>
      <c r="E29905" s="185" t="s">
        <v>470</v>
      </c>
      <c r="H29905" s="185"/>
    </row>
    <row r="29906">
      <c r="D29906" s="185"/>
      <c r="E29906" s="185" t="s">
        <v>470</v>
      </c>
      <c r="H29906" s="185"/>
    </row>
    <row r="29907">
      <c r="D29907" s="185"/>
      <c r="E29907" s="185" t="s">
        <v>470</v>
      </c>
      <c r="H29907" s="185"/>
    </row>
    <row r="29908">
      <c r="D29908" s="185"/>
      <c r="E29908" s="185" t="s">
        <v>470</v>
      </c>
      <c r="H29908" s="185"/>
    </row>
    <row r="29909">
      <c r="D29909" s="185"/>
      <c r="E29909" s="185" t="s">
        <v>470</v>
      </c>
      <c r="H29909" s="185"/>
    </row>
    <row r="29910">
      <c r="D29910" s="185"/>
      <c r="E29910" s="185" t="s">
        <v>470</v>
      </c>
      <c r="H29910" s="185"/>
    </row>
    <row r="29911">
      <c r="D29911" s="185"/>
      <c r="E29911" s="185" t="s">
        <v>470</v>
      </c>
      <c r="H29911" s="185"/>
    </row>
    <row r="29912">
      <c r="D29912" s="185"/>
      <c r="E29912" s="185" t="s">
        <v>470</v>
      </c>
      <c r="H29912" s="185"/>
    </row>
    <row r="29913">
      <c r="D29913" s="185"/>
      <c r="E29913" s="185" t="s">
        <v>470</v>
      </c>
      <c r="H29913" s="185"/>
    </row>
    <row r="29914">
      <c r="D29914" s="185"/>
      <c r="E29914" s="185" t="s">
        <v>470</v>
      </c>
      <c r="H29914" s="185"/>
    </row>
    <row r="29915">
      <c r="D29915" s="185"/>
      <c r="E29915" s="185" t="s">
        <v>470</v>
      </c>
      <c r="H29915" s="185"/>
    </row>
    <row r="29916">
      <c r="D29916" s="185"/>
      <c r="E29916" s="185" t="s">
        <v>470</v>
      </c>
      <c r="H29916" s="185"/>
    </row>
    <row r="29917">
      <c r="D29917" s="185"/>
      <c r="E29917" s="185" t="s">
        <v>470</v>
      </c>
      <c r="H29917" s="185"/>
    </row>
    <row r="29918">
      <c r="D29918" s="185"/>
      <c r="E29918" s="185" t="s">
        <v>470</v>
      </c>
      <c r="H29918" s="185"/>
    </row>
    <row r="29919">
      <c r="D29919" s="185"/>
      <c r="E29919" s="185" t="s">
        <v>470</v>
      </c>
      <c r="H29919" s="185"/>
    </row>
    <row r="29920">
      <c r="D29920" s="185"/>
      <c r="E29920" s="185" t="s">
        <v>470</v>
      </c>
      <c r="H29920" s="185"/>
    </row>
    <row r="29921">
      <c r="D29921" s="185"/>
      <c r="E29921" s="185" t="s">
        <v>470</v>
      </c>
      <c r="H29921" s="185"/>
    </row>
    <row r="29922">
      <c r="D29922" s="185"/>
      <c r="E29922" s="185" t="s">
        <v>470</v>
      </c>
      <c r="H29922" s="185"/>
    </row>
    <row r="29923">
      <c r="D29923" s="185"/>
      <c r="E29923" s="185" t="s">
        <v>470</v>
      </c>
      <c r="H29923" s="185"/>
    </row>
    <row r="29924">
      <c r="D29924" s="185"/>
      <c r="E29924" s="185" t="s">
        <v>470</v>
      </c>
      <c r="H29924" s="185"/>
    </row>
    <row r="29925">
      <c r="D29925" s="185"/>
      <c r="E29925" s="185" t="s">
        <v>470</v>
      </c>
      <c r="H29925" s="185"/>
    </row>
    <row r="29926">
      <c r="D29926" s="185"/>
      <c r="E29926" s="185" t="s">
        <v>470</v>
      </c>
      <c r="H29926" s="185"/>
    </row>
    <row r="29927">
      <c r="D29927" s="185"/>
      <c r="E29927" s="185" t="s">
        <v>470</v>
      </c>
      <c r="H29927" s="185"/>
    </row>
    <row r="29928">
      <c r="D29928" s="185"/>
      <c r="E29928" s="185" t="s">
        <v>470</v>
      </c>
      <c r="H29928" s="185"/>
    </row>
    <row r="29929">
      <c r="D29929" s="185"/>
      <c r="E29929" s="185" t="s">
        <v>470</v>
      </c>
      <c r="H29929" s="185"/>
    </row>
    <row r="29930">
      <c r="D29930" s="185"/>
      <c r="E29930" s="185" t="s">
        <v>470</v>
      </c>
      <c r="H29930" s="185"/>
    </row>
    <row r="29931">
      <c r="D29931" s="185"/>
      <c r="E29931" s="185" t="s">
        <v>470</v>
      </c>
      <c r="H29931" s="185"/>
    </row>
    <row r="29932">
      <c r="D29932" s="185"/>
      <c r="E29932" s="185" t="s">
        <v>470</v>
      </c>
      <c r="H29932" s="185"/>
    </row>
    <row r="29933">
      <c r="D29933" s="185"/>
      <c r="E29933" s="185" t="s">
        <v>470</v>
      </c>
      <c r="H29933" s="185"/>
    </row>
    <row r="29934">
      <c r="D29934" s="185"/>
      <c r="E29934" s="185" t="s">
        <v>470</v>
      </c>
      <c r="H29934" s="185"/>
    </row>
    <row r="29935">
      <c r="D29935" s="185"/>
      <c r="E29935" s="185" t="s">
        <v>470</v>
      </c>
      <c r="H29935" s="185"/>
    </row>
    <row r="29936">
      <c r="D29936" s="185"/>
      <c r="E29936" s="185" t="s">
        <v>470</v>
      </c>
      <c r="H29936" s="185"/>
    </row>
    <row r="29937">
      <c r="D29937" s="185"/>
      <c r="E29937" s="185" t="s">
        <v>470</v>
      </c>
      <c r="H29937" s="185"/>
    </row>
    <row r="29938">
      <c r="D29938" s="185"/>
      <c r="E29938" s="185" t="s">
        <v>470</v>
      </c>
      <c r="H29938" s="185"/>
    </row>
    <row r="29939">
      <c r="D29939" s="185"/>
      <c r="E29939" s="185" t="s">
        <v>470</v>
      </c>
      <c r="H29939" s="185"/>
    </row>
    <row r="29940">
      <c r="D29940" s="185"/>
      <c r="E29940" s="185" t="s">
        <v>470</v>
      </c>
      <c r="H29940" s="185"/>
    </row>
    <row r="29941">
      <c r="D29941" s="185"/>
      <c r="E29941" s="185" t="s">
        <v>470</v>
      </c>
      <c r="H29941" s="185"/>
    </row>
    <row r="29942">
      <c r="D29942" s="185"/>
      <c r="E29942" s="185" t="s">
        <v>470</v>
      </c>
      <c r="H29942" s="185"/>
    </row>
    <row r="29943">
      <c r="D29943" s="185"/>
      <c r="E29943" s="185" t="s">
        <v>470</v>
      </c>
      <c r="H29943" s="185"/>
    </row>
    <row r="29944">
      <c r="D29944" s="185"/>
      <c r="E29944" s="185" t="s">
        <v>470</v>
      </c>
      <c r="H29944" s="185"/>
    </row>
    <row r="29945">
      <c r="D29945" s="185"/>
      <c r="E29945" s="185" t="s">
        <v>470</v>
      </c>
      <c r="H29945" s="185"/>
    </row>
    <row r="29946">
      <c r="D29946" s="185"/>
      <c r="E29946" s="185" t="s">
        <v>470</v>
      </c>
      <c r="H29946" s="185"/>
    </row>
    <row r="29947">
      <c r="D29947" s="185"/>
      <c r="E29947" s="185" t="s">
        <v>470</v>
      </c>
      <c r="H29947" s="185"/>
    </row>
    <row r="29948">
      <c r="D29948" s="185"/>
      <c r="E29948" s="185" t="s">
        <v>470</v>
      </c>
      <c r="H29948" s="185"/>
    </row>
    <row r="29949">
      <c r="D29949" s="185"/>
      <c r="E29949" s="185" t="s">
        <v>470</v>
      </c>
      <c r="H29949" s="185"/>
    </row>
    <row r="29950">
      <c r="D29950" s="185"/>
      <c r="E29950" s="185" t="s">
        <v>470</v>
      </c>
      <c r="H29950" s="185"/>
    </row>
    <row r="29951">
      <c r="D29951" s="185"/>
      <c r="E29951" s="185" t="s">
        <v>470</v>
      </c>
      <c r="H29951" s="185"/>
    </row>
    <row r="29952">
      <c r="D29952" s="185"/>
      <c r="E29952" s="185" t="s">
        <v>470</v>
      </c>
      <c r="H29952" s="185"/>
    </row>
    <row r="29953">
      <c r="D29953" s="185"/>
      <c r="E29953" s="185" t="s">
        <v>470</v>
      </c>
      <c r="H29953" s="185"/>
    </row>
    <row r="29954">
      <c r="D29954" s="185"/>
      <c r="E29954" s="185" t="s">
        <v>470</v>
      </c>
      <c r="H29954" s="185"/>
    </row>
    <row r="29955">
      <c r="D29955" s="185"/>
      <c r="E29955" s="185" t="s">
        <v>470</v>
      </c>
      <c r="H29955" s="185"/>
    </row>
    <row r="29956">
      <c r="D29956" s="185"/>
      <c r="E29956" s="185" t="s">
        <v>470</v>
      </c>
      <c r="H29956" s="185"/>
    </row>
    <row r="29957">
      <c r="D29957" s="185"/>
      <c r="E29957" s="185" t="s">
        <v>470</v>
      </c>
      <c r="H29957" s="185"/>
    </row>
    <row r="29958">
      <c r="D29958" s="185"/>
      <c r="E29958" s="185" t="s">
        <v>470</v>
      </c>
      <c r="H29958" s="185"/>
    </row>
    <row r="29959">
      <c r="D29959" s="185"/>
      <c r="E29959" s="185" t="s">
        <v>470</v>
      </c>
      <c r="H29959" s="185"/>
    </row>
    <row r="29960">
      <c r="D29960" s="185"/>
      <c r="E29960" s="185" t="s">
        <v>470</v>
      </c>
      <c r="H29960" s="185"/>
    </row>
    <row r="29961">
      <c r="D29961" s="185"/>
      <c r="E29961" s="185" t="s">
        <v>470</v>
      </c>
      <c r="H29961" s="185"/>
    </row>
    <row r="29962">
      <c r="D29962" s="185"/>
      <c r="E29962" s="185" t="s">
        <v>470</v>
      </c>
      <c r="H29962" s="185"/>
    </row>
    <row r="29963">
      <c r="D29963" s="185"/>
      <c r="E29963" s="185" t="s">
        <v>470</v>
      </c>
      <c r="H29963" s="185"/>
    </row>
    <row r="29964">
      <c r="D29964" s="185"/>
      <c r="E29964" s="185" t="s">
        <v>470</v>
      </c>
      <c r="H29964" s="185"/>
    </row>
    <row r="29965">
      <c r="D29965" s="185"/>
      <c r="E29965" s="185" t="s">
        <v>470</v>
      </c>
      <c r="H29965" s="185"/>
    </row>
    <row r="29966">
      <c r="D29966" s="185"/>
      <c r="E29966" s="185" t="s">
        <v>470</v>
      </c>
      <c r="H29966" s="185"/>
    </row>
    <row r="29967">
      <c r="D29967" s="185"/>
      <c r="E29967" s="185" t="s">
        <v>470</v>
      </c>
      <c r="H29967" s="185"/>
    </row>
    <row r="29968">
      <c r="D29968" s="185"/>
      <c r="E29968" s="185" t="s">
        <v>470</v>
      </c>
      <c r="H29968" s="185"/>
    </row>
    <row r="29969">
      <c r="D29969" s="185"/>
      <c r="E29969" s="185" t="s">
        <v>470</v>
      </c>
      <c r="H29969" s="185"/>
    </row>
    <row r="29970">
      <c r="D29970" s="185"/>
      <c r="E29970" s="185" t="s">
        <v>470</v>
      </c>
      <c r="H29970" s="185"/>
    </row>
    <row r="29971">
      <c r="D29971" s="185"/>
      <c r="E29971" s="185" t="s">
        <v>470</v>
      </c>
      <c r="H29971" s="185"/>
    </row>
    <row r="29972">
      <c r="D29972" s="185"/>
      <c r="E29972" s="185" t="s">
        <v>470</v>
      </c>
      <c r="H29972" s="185"/>
    </row>
    <row r="29973">
      <c r="D29973" s="185"/>
      <c r="E29973" s="185" t="s">
        <v>470</v>
      </c>
      <c r="H29973" s="185"/>
    </row>
    <row r="29974">
      <c r="D29974" s="185"/>
      <c r="E29974" s="185" t="s">
        <v>470</v>
      </c>
      <c r="H29974" s="185"/>
    </row>
    <row r="29975">
      <c r="D29975" s="185"/>
      <c r="E29975" s="185" t="s">
        <v>470</v>
      </c>
      <c r="H29975" s="185"/>
    </row>
    <row r="29976">
      <c r="D29976" s="185"/>
      <c r="E29976" s="185" t="s">
        <v>470</v>
      </c>
      <c r="H29976" s="185"/>
    </row>
    <row r="29977">
      <c r="D29977" s="185"/>
      <c r="E29977" s="185" t="s">
        <v>470</v>
      </c>
      <c r="H29977" s="185"/>
    </row>
    <row r="29978">
      <c r="D29978" s="185"/>
      <c r="E29978" s="185" t="s">
        <v>470</v>
      </c>
      <c r="H29978" s="185"/>
    </row>
    <row r="29979">
      <c r="D29979" s="185"/>
      <c r="E29979" s="185" t="s">
        <v>470</v>
      </c>
      <c r="H29979" s="185"/>
    </row>
    <row r="29980">
      <c r="D29980" s="185"/>
      <c r="E29980" s="185" t="s">
        <v>470</v>
      </c>
      <c r="H29980" s="185"/>
    </row>
    <row r="29981">
      <c r="D29981" s="185"/>
      <c r="E29981" s="185" t="s">
        <v>470</v>
      </c>
      <c r="H29981" s="185"/>
    </row>
    <row r="29982">
      <c r="D29982" s="185"/>
      <c r="E29982" s="185" t="s">
        <v>470</v>
      </c>
      <c r="H29982" s="185"/>
    </row>
    <row r="29983">
      <c r="D29983" s="185"/>
      <c r="E29983" s="185" t="s">
        <v>470</v>
      </c>
      <c r="H29983" s="185"/>
    </row>
    <row r="29984">
      <c r="D29984" s="185"/>
      <c r="E29984" s="185" t="s">
        <v>470</v>
      </c>
      <c r="H29984" s="185"/>
    </row>
    <row r="29985">
      <c r="D29985" s="185"/>
      <c r="E29985" s="185" t="s">
        <v>470</v>
      </c>
      <c r="H29985" s="185"/>
    </row>
    <row r="29986">
      <c r="D29986" s="185"/>
      <c r="E29986" s="185" t="s">
        <v>470</v>
      </c>
      <c r="H29986" s="185"/>
    </row>
    <row r="29987">
      <c r="D29987" s="185"/>
      <c r="E29987" s="185" t="s">
        <v>470</v>
      </c>
      <c r="H29987" s="185"/>
    </row>
    <row r="29988">
      <c r="D29988" s="185"/>
      <c r="E29988" s="185" t="s">
        <v>470</v>
      </c>
      <c r="H29988" s="185"/>
    </row>
    <row r="29989">
      <c r="D29989" s="185"/>
      <c r="E29989" s="185" t="s">
        <v>470</v>
      </c>
      <c r="H29989" s="185"/>
    </row>
    <row r="29990">
      <c r="D29990" s="185"/>
      <c r="E29990" s="185" t="s">
        <v>470</v>
      </c>
      <c r="H29990" s="185"/>
    </row>
    <row r="29991">
      <c r="D29991" s="185"/>
      <c r="E29991" s="185" t="s">
        <v>470</v>
      </c>
      <c r="H29991" s="185"/>
    </row>
    <row r="29992">
      <c r="D29992" s="185"/>
      <c r="E29992" s="185" t="s">
        <v>470</v>
      </c>
      <c r="H29992" s="185"/>
    </row>
    <row r="29993">
      <c r="D29993" s="185"/>
      <c r="E29993" s="185" t="s">
        <v>470</v>
      </c>
      <c r="H29993" s="185"/>
    </row>
    <row r="29994">
      <c r="D29994" s="185"/>
      <c r="E29994" s="185" t="s">
        <v>470</v>
      </c>
      <c r="H29994" s="185"/>
    </row>
    <row r="29995">
      <c r="D29995" s="185"/>
      <c r="E29995" s="185" t="s">
        <v>470</v>
      </c>
      <c r="H29995" s="185"/>
    </row>
    <row r="29996">
      <c r="D29996" s="185"/>
      <c r="E29996" s="185" t="s">
        <v>470</v>
      </c>
      <c r="H29996" s="185"/>
    </row>
    <row r="29997">
      <c r="D29997" s="185"/>
      <c r="E29997" s="185" t="s">
        <v>470</v>
      </c>
      <c r="H29997" s="185"/>
    </row>
    <row r="29998">
      <c r="D29998" s="185"/>
      <c r="E29998" s="185" t="s">
        <v>470</v>
      </c>
      <c r="H29998" s="185"/>
    </row>
    <row r="29999">
      <c r="D29999" s="185"/>
      <c r="E29999" s="185" t="s">
        <v>470</v>
      </c>
      <c r="H29999" s="185"/>
    </row>
    <row r="30000">
      <c r="D30000" s="185"/>
      <c r="E30000" s="185" t="s">
        <v>470</v>
      </c>
      <c r="H30000" s="185"/>
    </row>
    <row r="30001">
      <c r="D30001" s="185"/>
      <c r="E30001" s="185" t="s">
        <v>470</v>
      </c>
      <c r="H30001" s="185"/>
    </row>
    <row r="30002">
      <c r="D30002" s="185"/>
      <c r="E30002" s="185" t="s">
        <v>470</v>
      </c>
      <c r="H30002" s="185"/>
    </row>
    <row r="30003">
      <c r="D30003" s="185"/>
      <c r="E30003" s="185" t="s">
        <v>470</v>
      </c>
      <c r="H30003" s="185"/>
    </row>
    <row r="30004">
      <c r="D30004" s="185"/>
      <c r="E30004" s="185" t="s">
        <v>470</v>
      </c>
      <c r="H30004" s="185"/>
    </row>
    <row r="30005">
      <c r="D30005" s="185"/>
      <c r="E30005" s="185" t="s">
        <v>470</v>
      </c>
      <c r="H30005" s="185"/>
    </row>
    <row r="30006">
      <c r="D30006" s="185"/>
      <c r="E30006" s="185" t="s">
        <v>470</v>
      </c>
      <c r="H30006" s="185"/>
    </row>
    <row r="30007">
      <c r="D30007" s="185"/>
      <c r="E30007" s="185" t="s">
        <v>470</v>
      </c>
      <c r="H30007" s="185"/>
    </row>
    <row r="30008">
      <c r="D30008" s="185"/>
      <c r="E30008" s="185" t="s">
        <v>470</v>
      </c>
      <c r="H30008" s="185"/>
    </row>
    <row r="30009">
      <c r="D30009" s="185"/>
      <c r="E30009" s="185" t="s">
        <v>470</v>
      </c>
      <c r="H30009" s="185"/>
    </row>
    <row r="30010">
      <c r="D30010" s="185"/>
      <c r="E30010" s="185" t="s">
        <v>470</v>
      </c>
      <c r="H30010" s="185"/>
    </row>
    <row r="30011">
      <c r="D30011" s="185"/>
      <c r="E30011" s="185" t="s">
        <v>470</v>
      </c>
      <c r="H30011" s="185"/>
    </row>
    <row r="30012">
      <c r="D30012" s="185"/>
      <c r="E30012" s="185" t="s">
        <v>470</v>
      </c>
      <c r="H30012" s="185"/>
    </row>
    <row r="30013">
      <c r="D30013" s="185"/>
      <c r="E30013" s="185" t="s">
        <v>470</v>
      </c>
      <c r="H30013" s="185"/>
    </row>
    <row r="30014">
      <c r="D30014" s="185"/>
      <c r="E30014" s="185" t="s">
        <v>470</v>
      </c>
      <c r="H30014" s="185"/>
    </row>
    <row r="30015">
      <c r="D30015" s="185"/>
      <c r="E30015" s="185" t="s">
        <v>470</v>
      </c>
      <c r="H30015" s="185"/>
    </row>
    <row r="30016">
      <c r="D30016" s="185"/>
      <c r="E30016" s="185" t="s">
        <v>470</v>
      </c>
      <c r="H30016" s="185"/>
    </row>
    <row r="30017">
      <c r="D30017" s="185"/>
      <c r="E30017" s="185" t="s">
        <v>470</v>
      </c>
      <c r="H30017" s="185"/>
    </row>
    <row r="30018">
      <c r="D30018" s="185"/>
      <c r="E30018" s="185" t="s">
        <v>470</v>
      </c>
      <c r="H30018" s="185"/>
    </row>
    <row r="30019">
      <c r="D30019" s="185"/>
      <c r="E30019" s="185" t="s">
        <v>470</v>
      </c>
      <c r="H30019" s="185"/>
    </row>
    <row r="30020">
      <c r="D30020" s="185"/>
      <c r="E30020" s="185" t="s">
        <v>470</v>
      </c>
      <c r="H30020" s="185"/>
    </row>
    <row r="30021">
      <c r="D30021" s="185"/>
      <c r="E30021" s="185" t="s">
        <v>470</v>
      </c>
      <c r="H30021" s="185"/>
    </row>
    <row r="30022">
      <c r="D30022" s="185"/>
      <c r="E30022" s="185" t="s">
        <v>470</v>
      </c>
      <c r="H30022" s="185"/>
    </row>
    <row r="30023">
      <c r="D30023" s="185"/>
      <c r="E30023" s="185" t="s">
        <v>470</v>
      </c>
      <c r="H30023" s="185"/>
    </row>
    <row r="30024">
      <c r="D30024" s="185"/>
      <c r="E30024" s="185" t="s">
        <v>470</v>
      </c>
      <c r="H30024" s="185"/>
    </row>
    <row r="30025">
      <c r="D30025" s="185"/>
      <c r="E30025" s="185" t="s">
        <v>470</v>
      </c>
      <c r="H30025" s="185"/>
    </row>
    <row r="30026">
      <c r="D30026" s="185"/>
      <c r="E30026" s="185" t="s">
        <v>470</v>
      </c>
      <c r="H30026" s="185"/>
    </row>
    <row r="30027">
      <c r="D30027" s="185"/>
      <c r="E30027" s="185" t="s">
        <v>470</v>
      </c>
      <c r="H30027" s="185"/>
    </row>
    <row r="30028">
      <c r="D30028" s="185"/>
      <c r="E30028" s="185" t="s">
        <v>470</v>
      </c>
      <c r="H30028" s="185"/>
    </row>
    <row r="30029">
      <c r="D30029" s="185"/>
      <c r="E30029" s="185" t="s">
        <v>470</v>
      </c>
      <c r="H30029" s="185"/>
    </row>
    <row r="30030">
      <c r="D30030" s="185"/>
      <c r="E30030" s="185" t="s">
        <v>470</v>
      </c>
      <c r="H30030" s="185"/>
    </row>
    <row r="30031">
      <c r="D30031" s="185"/>
      <c r="E30031" s="185" t="s">
        <v>470</v>
      </c>
      <c r="H30031" s="185"/>
    </row>
    <row r="30032">
      <c r="D30032" s="185"/>
      <c r="E30032" s="185" t="s">
        <v>470</v>
      </c>
      <c r="H30032" s="185"/>
    </row>
    <row r="30033">
      <c r="D30033" s="185"/>
      <c r="E30033" s="185" t="s">
        <v>470</v>
      </c>
      <c r="H30033" s="185"/>
    </row>
    <row r="30034">
      <c r="D30034" s="185"/>
      <c r="E30034" s="185" t="s">
        <v>470</v>
      </c>
      <c r="H30034" s="185"/>
    </row>
    <row r="30035">
      <c r="D30035" s="185"/>
      <c r="E30035" s="185" t="s">
        <v>470</v>
      </c>
      <c r="H30035" s="185"/>
    </row>
    <row r="30036">
      <c r="D30036" s="185"/>
      <c r="E30036" s="185" t="s">
        <v>470</v>
      </c>
      <c r="H30036" s="185"/>
    </row>
    <row r="30037">
      <c r="D30037" s="185"/>
      <c r="E30037" s="185" t="s">
        <v>470</v>
      </c>
      <c r="H30037" s="185"/>
    </row>
    <row r="30038">
      <c r="D30038" s="185"/>
      <c r="E30038" s="185" t="s">
        <v>470</v>
      </c>
      <c r="H30038" s="185"/>
    </row>
    <row r="30039">
      <c r="D30039" s="185"/>
      <c r="E30039" s="185" t="s">
        <v>470</v>
      </c>
      <c r="H30039" s="185"/>
    </row>
    <row r="30040">
      <c r="D30040" s="185"/>
      <c r="E30040" s="185" t="s">
        <v>470</v>
      </c>
      <c r="H30040" s="185"/>
    </row>
    <row r="30041">
      <c r="D30041" s="185"/>
      <c r="E30041" s="185" t="s">
        <v>470</v>
      </c>
      <c r="H30041" s="185"/>
    </row>
    <row r="30042">
      <c r="D30042" s="185"/>
      <c r="E30042" s="185" t="s">
        <v>470</v>
      </c>
      <c r="H30042" s="185"/>
    </row>
    <row r="30043">
      <c r="D30043" s="185"/>
      <c r="E30043" s="185" t="s">
        <v>470</v>
      </c>
      <c r="H30043" s="185"/>
    </row>
    <row r="30044">
      <c r="D30044" s="185"/>
      <c r="E30044" s="185" t="s">
        <v>470</v>
      </c>
      <c r="H30044" s="185"/>
    </row>
    <row r="30045">
      <c r="D30045" s="185"/>
      <c r="E30045" s="185" t="s">
        <v>470</v>
      </c>
      <c r="H30045" s="185"/>
    </row>
    <row r="30046">
      <c r="D30046" s="185"/>
      <c r="E30046" s="185" t="s">
        <v>470</v>
      </c>
      <c r="H30046" s="185"/>
    </row>
    <row r="30047">
      <c r="D30047" s="185"/>
      <c r="E30047" s="185" t="s">
        <v>470</v>
      </c>
      <c r="H30047" s="185"/>
    </row>
    <row r="30048">
      <c r="D30048" s="185"/>
      <c r="E30048" s="185" t="s">
        <v>470</v>
      </c>
      <c r="H30048" s="185"/>
    </row>
    <row r="30049">
      <c r="D30049" s="185"/>
      <c r="E30049" s="185" t="s">
        <v>470</v>
      </c>
      <c r="H30049" s="185"/>
    </row>
    <row r="30050">
      <c r="D30050" s="185"/>
      <c r="E30050" s="185" t="s">
        <v>470</v>
      </c>
      <c r="H30050" s="185"/>
    </row>
    <row r="30051">
      <c r="D30051" s="185"/>
      <c r="E30051" s="185" t="s">
        <v>470</v>
      </c>
      <c r="H30051" s="185"/>
    </row>
    <row r="30052">
      <c r="D30052" s="185"/>
      <c r="E30052" s="185" t="s">
        <v>470</v>
      </c>
      <c r="H30052" s="185"/>
    </row>
    <row r="30053">
      <c r="D30053" s="185"/>
      <c r="E30053" s="185" t="s">
        <v>470</v>
      </c>
      <c r="H30053" s="185"/>
    </row>
    <row r="30054">
      <c r="D30054" s="185"/>
      <c r="E30054" s="185" t="s">
        <v>470</v>
      </c>
      <c r="H30054" s="185"/>
    </row>
    <row r="30055">
      <c r="D30055" s="185"/>
      <c r="E30055" s="185" t="s">
        <v>470</v>
      </c>
      <c r="H30055" s="185"/>
    </row>
    <row r="30056">
      <c r="D30056" s="185"/>
      <c r="E30056" s="185" t="s">
        <v>470</v>
      </c>
      <c r="H30056" s="185"/>
    </row>
    <row r="30057">
      <c r="D30057" s="185"/>
      <c r="E30057" s="185" t="s">
        <v>470</v>
      </c>
      <c r="H30057" s="185"/>
    </row>
    <row r="30058">
      <c r="D30058" s="185"/>
      <c r="E30058" s="185" t="s">
        <v>470</v>
      </c>
      <c r="H30058" s="185"/>
    </row>
    <row r="30059">
      <c r="D30059" s="185"/>
      <c r="E30059" s="185" t="s">
        <v>470</v>
      </c>
      <c r="H30059" s="185"/>
    </row>
    <row r="30060">
      <c r="D30060" s="185"/>
      <c r="E30060" s="185" t="s">
        <v>470</v>
      </c>
      <c r="H30060" s="185"/>
    </row>
    <row r="30061">
      <c r="D30061" s="185"/>
      <c r="E30061" s="185" t="s">
        <v>470</v>
      </c>
      <c r="H30061" s="185"/>
    </row>
    <row r="30062">
      <c r="D30062" s="185"/>
      <c r="E30062" s="185" t="s">
        <v>470</v>
      </c>
      <c r="H30062" s="185"/>
    </row>
    <row r="30063">
      <c r="D30063" s="185"/>
      <c r="E30063" s="185" t="s">
        <v>470</v>
      </c>
      <c r="H30063" s="185"/>
    </row>
    <row r="30064">
      <c r="D30064" s="185"/>
      <c r="E30064" s="185" t="s">
        <v>470</v>
      </c>
      <c r="H30064" s="185"/>
    </row>
    <row r="30065">
      <c r="D30065" s="185"/>
      <c r="E30065" s="185" t="s">
        <v>470</v>
      </c>
      <c r="H30065" s="185"/>
    </row>
    <row r="30066">
      <c r="D30066" s="185"/>
      <c r="E30066" s="185" t="s">
        <v>470</v>
      </c>
      <c r="H30066" s="185"/>
    </row>
    <row r="30067">
      <c r="D30067" s="185"/>
      <c r="E30067" s="185" t="s">
        <v>470</v>
      </c>
      <c r="H30067" s="185"/>
    </row>
    <row r="30068">
      <c r="D30068" s="185"/>
      <c r="E30068" s="185" t="s">
        <v>470</v>
      </c>
      <c r="H30068" s="185"/>
    </row>
    <row r="30069">
      <c r="D30069" s="185"/>
      <c r="E30069" s="185" t="s">
        <v>470</v>
      </c>
      <c r="H30069" s="185"/>
    </row>
    <row r="30070">
      <c r="D30070" s="185"/>
      <c r="E30070" s="185" t="s">
        <v>470</v>
      </c>
      <c r="H30070" s="185"/>
    </row>
    <row r="30071">
      <c r="D30071" s="185"/>
      <c r="E30071" s="185" t="s">
        <v>470</v>
      </c>
      <c r="H30071" s="185"/>
    </row>
    <row r="30072">
      <c r="D30072" s="185"/>
      <c r="E30072" s="185" t="s">
        <v>470</v>
      </c>
      <c r="H30072" s="185"/>
    </row>
    <row r="30073">
      <c r="D30073" s="185"/>
      <c r="E30073" s="185" t="s">
        <v>470</v>
      </c>
      <c r="H30073" s="185"/>
    </row>
    <row r="30074">
      <c r="D30074" s="185"/>
      <c r="E30074" s="185" t="s">
        <v>470</v>
      </c>
      <c r="H30074" s="185"/>
    </row>
    <row r="30075">
      <c r="D30075" s="185"/>
      <c r="E30075" s="185" t="s">
        <v>470</v>
      </c>
      <c r="H30075" s="185"/>
    </row>
    <row r="30076">
      <c r="D30076" s="185"/>
      <c r="E30076" s="185" t="s">
        <v>470</v>
      </c>
      <c r="H30076" s="185"/>
    </row>
    <row r="30077">
      <c r="D30077" s="185"/>
      <c r="E30077" s="185" t="s">
        <v>470</v>
      </c>
      <c r="H30077" s="185"/>
    </row>
    <row r="30078">
      <c r="D30078" s="185"/>
      <c r="E30078" s="185" t="s">
        <v>470</v>
      </c>
      <c r="H30078" s="185"/>
    </row>
    <row r="30079">
      <c r="D30079" s="185"/>
      <c r="E30079" s="185" t="s">
        <v>470</v>
      </c>
      <c r="H30079" s="185"/>
    </row>
    <row r="30080">
      <c r="D30080" s="185"/>
      <c r="E30080" s="185" t="s">
        <v>470</v>
      </c>
      <c r="H30080" s="185"/>
    </row>
    <row r="30081">
      <c r="D30081" s="185"/>
      <c r="E30081" s="185" t="s">
        <v>470</v>
      </c>
      <c r="H30081" s="185"/>
    </row>
    <row r="30082">
      <c r="D30082" s="185"/>
      <c r="E30082" s="185" t="s">
        <v>470</v>
      </c>
      <c r="H30082" s="185"/>
    </row>
    <row r="30083">
      <c r="D30083" s="185"/>
      <c r="E30083" s="185" t="s">
        <v>470</v>
      </c>
      <c r="H30083" s="185"/>
    </row>
    <row r="30084">
      <c r="D30084" s="185"/>
      <c r="E30084" s="185" t="s">
        <v>470</v>
      </c>
      <c r="H30084" s="185"/>
    </row>
    <row r="30085">
      <c r="D30085" s="185"/>
      <c r="E30085" s="185" t="s">
        <v>470</v>
      </c>
      <c r="H30085" s="185"/>
    </row>
    <row r="30086">
      <c r="D30086" s="185"/>
      <c r="E30086" s="185" t="s">
        <v>470</v>
      </c>
      <c r="H30086" s="185"/>
    </row>
    <row r="30087">
      <c r="D30087" s="185"/>
      <c r="E30087" s="185" t="s">
        <v>470</v>
      </c>
      <c r="H30087" s="185"/>
    </row>
    <row r="30088">
      <c r="D30088" s="185"/>
      <c r="E30088" s="185" t="s">
        <v>470</v>
      </c>
      <c r="H30088" s="185"/>
    </row>
    <row r="30089">
      <c r="D30089" s="185"/>
      <c r="E30089" s="185" t="s">
        <v>470</v>
      </c>
      <c r="H30089" s="185"/>
    </row>
    <row r="30090">
      <c r="D30090" s="185"/>
      <c r="E30090" s="185" t="s">
        <v>470</v>
      </c>
      <c r="H30090" s="185"/>
    </row>
    <row r="30091">
      <c r="D30091" s="185"/>
      <c r="E30091" s="185" t="s">
        <v>470</v>
      </c>
      <c r="H30091" s="185"/>
    </row>
    <row r="30092">
      <c r="D30092" s="185"/>
      <c r="E30092" s="185" t="s">
        <v>470</v>
      </c>
      <c r="H30092" s="185"/>
    </row>
    <row r="30093">
      <c r="D30093" s="185"/>
      <c r="E30093" s="185" t="s">
        <v>470</v>
      </c>
      <c r="H30093" s="185"/>
    </row>
    <row r="30094">
      <c r="D30094" s="185"/>
      <c r="E30094" s="185" t="s">
        <v>470</v>
      </c>
      <c r="H30094" s="185"/>
    </row>
    <row r="30095">
      <c r="D30095" s="185"/>
      <c r="E30095" s="185" t="s">
        <v>470</v>
      </c>
      <c r="H30095" s="185"/>
    </row>
    <row r="30096">
      <c r="D30096" s="185"/>
      <c r="E30096" s="185" t="s">
        <v>470</v>
      </c>
      <c r="H30096" s="185"/>
    </row>
    <row r="30097">
      <c r="D30097" s="185"/>
      <c r="E30097" s="185" t="s">
        <v>470</v>
      </c>
      <c r="H30097" s="185"/>
    </row>
    <row r="30098">
      <c r="D30098" s="185"/>
      <c r="E30098" s="185" t="s">
        <v>470</v>
      </c>
      <c r="H30098" s="185"/>
    </row>
    <row r="30099">
      <c r="D30099" s="185"/>
      <c r="E30099" s="185" t="s">
        <v>470</v>
      </c>
      <c r="H30099" s="185"/>
    </row>
    <row r="30100">
      <c r="D30100" s="185"/>
      <c r="E30100" s="185" t="s">
        <v>470</v>
      </c>
      <c r="H30100" s="185"/>
    </row>
    <row r="30101">
      <c r="D30101" s="185"/>
      <c r="E30101" s="185" t="s">
        <v>470</v>
      </c>
      <c r="H30101" s="185"/>
    </row>
    <row r="30102">
      <c r="D30102" s="185"/>
      <c r="E30102" s="185" t="s">
        <v>470</v>
      </c>
      <c r="H30102" s="185"/>
    </row>
    <row r="30103">
      <c r="D30103" s="185"/>
      <c r="E30103" s="185" t="s">
        <v>470</v>
      </c>
      <c r="H30103" s="185"/>
    </row>
    <row r="30104">
      <c r="D30104" s="185"/>
      <c r="E30104" s="185" t="s">
        <v>470</v>
      </c>
      <c r="H30104" s="185"/>
    </row>
    <row r="30105">
      <c r="D30105" s="185"/>
      <c r="E30105" s="185" t="s">
        <v>470</v>
      </c>
      <c r="H30105" s="185"/>
    </row>
    <row r="30106">
      <c r="D30106" s="185"/>
      <c r="E30106" s="185" t="s">
        <v>470</v>
      </c>
      <c r="H30106" s="185"/>
    </row>
    <row r="30107">
      <c r="D30107" s="185"/>
      <c r="E30107" s="185" t="s">
        <v>470</v>
      </c>
      <c r="H30107" s="185"/>
    </row>
    <row r="30108">
      <c r="D30108" s="185"/>
      <c r="E30108" s="185" t="s">
        <v>470</v>
      </c>
      <c r="H30108" s="185"/>
    </row>
    <row r="30109">
      <c r="D30109" s="185"/>
      <c r="E30109" s="185" t="s">
        <v>470</v>
      </c>
      <c r="H30109" s="185"/>
    </row>
    <row r="30110">
      <c r="D30110" s="185"/>
      <c r="E30110" s="185" t="s">
        <v>470</v>
      </c>
      <c r="H30110" s="185"/>
    </row>
    <row r="30111">
      <c r="D30111" s="185"/>
      <c r="E30111" s="185" t="s">
        <v>470</v>
      </c>
      <c r="H30111" s="185"/>
    </row>
    <row r="30112">
      <c r="D30112" s="185"/>
      <c r="E30112" s="185" t="s">
        <v>470</v>
      </c>
      <c r="H30112" s="185"/>
    </row>
    <row r="30113">
      <c r="D30113" s="185"/>
      <c r="E30113" s="185" t="s">
        <v>470</v>
      </c>
      <c r="H30113" s="185"/>
    </row>
    <row r="30114">
      <c r="D30114" s="185"/>
      <c r="E30114" s="185" t="s">
        <v>470</v>
      </c>
      <c r="H30114" s="185"/>
    </row>
    <row r="30115">
      <c r="D30115" s="185"/>
      <c r="E30115" s="185" t="s">
        <v>470</v>
      </c>
      <c r="H30115" s="185"/>
    </row>
    <row r="30116">
      <c r="D30116" s="185"/>
      <c r="E30116" s="185" t="s">
        <v>470</v>
      </c>
      <c r="H30116" s="185"/>
    </row>
    <row r="30117">
      <c r="D30117" s="185"/>
      <c r="E30117" s="185" t="s">
        <v>470</v>
      </c>
      <c r="H30117" s="185"/>
    </row>
    <row r="30118">
      <c r="D30118" s="185"/>
      <c r="E30118" s="185" t="s">
        <v>470</v>
      </c>
      <c r="H30118" s="185"/>
    </row>
    <row r="30119">
      <c r="D30119" s="185"/>
      <c r="E30119" s="185" t="s">
        <v>470</v>
      </c>
      <c r="H30119" s="185"/>
    </row>
    <row r="30120">
      <c r="D30120" s="185"/>
      <c r="E30120" s="185" t="s">
        <v>470</v>
      </c>
      <c r="H30120" s="185"/>
    </row>
    <row r="30121">
      <c r="D30121" s="185"/>
      <c r="E30121" s="185" t="s">
        <v>470</v>
      </c>
      <c r="H30121" s="185"/>
    </row>
    <row r="30122">
      <c r="D30122" s="185"/>
      <c r="E30122" s="185" t="s">
        <v>470</v>
      </c>
      <c r="H30122" s="185"/>
    </row>
    <row r="30123">
      <c r="D30123" s="185"/>
      <c r="E30123" s="185" t="s">
        <v>470</v>
      </c>
      <c r="H30123" s="185"/>
    </row>
    <row r="30124">
      <c r="D30124" s="185"/>
      <c r="E30124" s="185" t="s">
        <v>470</v>
      </c>
      <c r="H30124" s="185"/>
    </row>
    <row r="30125">
      <c r="D30125" s="185"/>
      <c r="E30125" s="185" t="s">
        <v>470</v>
      </c>
      <c r="H30125" s="185"/>
    </row>
    <row r="30126">
      <c r="D30126" s="185"/>
      <c r="E30126" s="185" t="s">
        <v>470</v>
      </c>
      <c r="H30126" s="185"/>
    </row>
    <row r="30127">
      <c r="D30127" s="185"/>
      <c r="E30127" s="185" t="s">
        <v>470</v>
      </c>
      <c r="H30127" s="185"/>
    </row>
    <row r="30128">
      <c r="D30128" s="185"/>
      <c r="E30128" s="185" t="s">
        <v>470</v>
      </c>
      <c r="H30128" s="185"/>
    </row>
    <row r="30129">
      <c r="D30129" s="185"/>
      <c r="E30129" s="185" t="s">
        <v>470</v>
      </c>
      <c r="H30129" s="185"/>
    </row>
    <row r="30130">
      <c r="D30130" s="185"/>
      <c r="E30130" s="185" t="s">
        <v>470</v>
      </c>
      <c r="H30130" s="185"/>
    </row>
    <row r="30131">
      <c r="D30131" s="185"/>
      <c r="E30131" s="185" t="s">
        <v>470</v>
      </c>
      <c r="H30131" s="185"/>
    </row>
    <row r="30132">
      <c r="D30132" s="185"/>
      <c r="E30132" s="185" t="s">
        <v>470</v>
      </c>
      <c r="H30132" s="185"/>
    </row>
    <row r="30133">
      <c r="D30133" s="185"/>
      <c r="E30133" s="185" t="s">
        <v>470</v>
      </c>
      <c r="H30133" s="185"/>
    </row>
    <row r="30134">
      <c r="D30134" s="185"/>
      <c r="E30134" s="185" t="s">
        <v>470</v>
      </c>
      <c r="H30134" s="185"/>
    </row>
    <row r="30135">
      <c r="D30135" s="185"/>
      <c r="E30135" s="185" t="s">
        <v>470</v>
      </c>
      <c r="H30135" s="185"/>
    </row>
    <row r="30136">
      <c r="D30136" s="185"/>
      <c r="E30136" s="185" t="s">
        <v>470</v>
      </c>
      <c r="H30136" s="185"/>
    </row>
    <row r="30137">
      <c r="D30137" s="185"/>
      <c r="E30137" s="185" t="s">
        <v>470</v>
      </c>
      <c r="H30137" s="185"/>
    </row>
    <row r="30138">
      <c r="D30138" s="185"/>
      <c r="E30138" s="185" t="s">
        <v>470</v>
      </c>
      <c r="H30138" s="185"/>
    </row>
    <row r="30139">
      <c r="D30139" s="185"/>
      <c r="E30139" s="185" t="s">
        <v>470</v>
      </c>
      <c r="H30139" s="185"/>
    </row>
    <row r="30140">
      <c r="D30140" s="185"/>
      <c r="E30140" s="185" t="s">
        <v>470</v>
      </c>
      <c r="H30140" s="185"/>
    </row>
    <row r="30141">
      <c r="D30141" s="185"/>
      <c r="E30141" s="185" t="s">
        <v>470</v>
      </c>
      <c r="H30141" s="185"/>
    </row>
    <row r="30142">
      <c r="D30142" s="185"/>
      <c r="E30142" s="185" t="s">
        <v>470</v>
      </c>
      <c r="H30142" s="185"/>
    </row>
    <row r="30143">
      <c r="D30143" s="185"/>
      <c r="E30143" s="185" t="s">
        <v>470</v>
      </c>
      <c r="H30143" s="185"/>
    </row>
    <row r="30144">
      <c r="D30144" s="185"/>
      <c r="E30144" s="185" t="s">
        <v>470</v>
      </c>
      <c r="H30144" s="185"/>
    </row>
    <row r="30145">
      <c r="D30145" s="185"/>
      <c r="E30145" s="185" t="s">
        <v>470</v>
      </c>
      <c r="H30145" s="185"/>
    </row>
    <row r="30146">
      <c r="D30146" s="185"/>
      <c r="E30146" s="185" t="s">
        <v>470</v>
      </c>
      <c r="H30146" s="185"/>
    </row>
    <row r="30147">
      <c r="D30147" s="185"/>
      <c r="E30147" s="185" t="s">
        <v>470</v>
      </c>
      <c r="H30147" s="185"/>
    </row>
    <row r="30148">
      <c r="D30148" s="185"/>
      <c r="E30148" s="185" t="s">
        <v>470</v>
      </c>
      <c r="H30148" s="185"/>
    </row>
    <row r="30149">
      <c r="D30149" s="185"/>
      <c r="E30149" s="185" t="s">
        <v>470</v>
      </c>
      <c r="H30149" s="185"/>
    </row>
    <row r="30150">
      <c r="D30150" s="185"/>
      <c r="E30150" s="185" t="s">
        <v>470</v>
      </c>
      <c r="H30150" s="185"/>
    </row>
    <row r="30151">
      <c r="D30151" s="185"/>
      <c r="E30151" s="185" t="s">
        <v>470</v>
      </c>
      <c r="H30151" s="185"/>
    </row>
    <row r="30152">
      <c r="D30152" s="185"/>
      <c r="E30152" s="185" t="s">
        <v>470</v>
      </c>
      <c r="H30152" s="185"/>
    </row>
    <row r="30153">
      <c r="D30153" s="185"/>
      <c r="E30153" s="185" t="s">
        <v>470</v>
      </c>
      <c r="H30153" s="185"/>
    </row>
    <row r="30154">
      <c r="D30154" s="185"/>
      <c r="E30154" s="185" t="s">
        <v>470</v>
      </c>
      <c r="H30154" s="185"/>
    </row>
    <row r="30155">
      <c r="D30155" s="185"/>
      <c r="E30155" s="185" t="s">
        <v>470</v>
      </c>
      <c r="H30155" s="185"/>
    </row>
    <row r="30156">
      <c r="D30156" s="185"/>
      <c r="E30156" s="185" t="s">
        <v>470</v>
      </c>
      <c r="H30156" s="185"/>
    </row>
    <row r="30157">
      <c r="D30157" s="185"/>
      <c r="E30157" s="185" t="s">
        <v>470</v>
      </c>
      <c r="H30157" s="185"/>
    </row>
    <row r="30158">
      <c r="D30158" s="185"/>
      <c r="E30158" s="185" t="s">
        <v>470</v>
      </c>
      <c r="H30158" s="185"/>
    </row>
    <row r="30159">
      <c r="D30159" s="185"/>
      <c r="E30159" s="185" t="s">
        <v>470</v>
      </c>
      <c r="H30159" s="185"/>
    </row>
    <row r="30160">
      <c r="D30160" s="185"/>
      <c r="E30160" s="185" t="s">
        <v>470</v>
      </c>
      <c r="H30160" s="185"/>
    </row>
    <row r="30161">
      <c r="D30161" s="185"/>
      <c r="E30161" s="185" t="s">
        <v>470</v>
      </c>
      <c r="H30161" s="185"/>
    </row>
    <row r="30162">
      <c r="D30162" s="185"/>
      <c r="E30162" s="185" t="s">
        <v>470</v>
      </c>
      <c r="H30162" s="185"/>
    </row>
    <row r="30163">
      <c r="D30163" s="185"/>
      <c r="E30163" s="185" t="s">
        <v>470</v>
      </c>
      <c r="H30163" s="185"/>
    </row>
    <row r="30164">
      <c r="D30164" s="185"/>
      <c r="E30164" s="185" t="s">
        <v>470</v>
      </c>
      <c r="H30164" s="185"/>
    </row>
    <row r="30165">
      <c r="D30165" s="185"/>
      <c r="E30165" s="185" t="s">
        <v>470</v>
      </c>
      <c r="H30165" s="185"/>
    </row>
    <row r="30166">
      <c r="D30166" s="185"/>
      <c r="E30166" s="185" t="s">
        <v>470</v>
      </c>
      <c r="H30166" s="185"/>
    </row>
    <row r="30167">
      <c r="D30167" s="185"/>
      <c r="E30167" s="185" t="s">
        <v>470</v>
      </c>
      <c r="H30167" s="185"/>
    </row>
    <row r="30168">
      <c r="D30168" s="185"/>
      <c r="E30168" s="185" t="s">
        <v>470</v>
      </c>
      <c r="H30168" s="185"/>
    </row>
    <row r="30169">
      <c r="D30169" s="185"/>
      <c r="E30169" s="185" t="s">
        <v>470</v>
      </c>
      <c r="H30169" s="185"/>
    </row>
    <row r="30170">
      <c r="D30170" s="185"/>
      <c r="E30170" s="185" t="s">
        <v>470</v>
      </c>
      <c r="H30170" s="185"/>
    </row>
    <row r="30171">
      <c r="D30171" s="185"/>
      <c r="E30171" s="185" t="s">
        <v>470</v>
      </c>
      <c r="H30171" s="185"/>
    </row>
    <row r="30172">
      <c r="D30172" s="185"/>
      <c r="E30172" s="185" t="s">
        <v>470</v>
      </c>
      <c r="H30172" s="185"/>
    </row>
    <row r="30173">
      <c r="D30173" s="185"/>
      <c r="E30173" s="185" t="s">
        <v>470</v>
      </c>
      <c r="H30173" s="185"/>
    </row>
    <row r="30174">
      <c r="D30174" s="185"/>
      <c r="E30174" s="185" t="s">
        <v>470</v>
      </c>
      <c r="H30174" s="185"/>
    </row>
    <row r="30175">
      <c r="D30175" s="185"/>
      <c r="E30175" s="185" t="s">
        <v>470</v>
      </c>
      <c r="H30175" s="185"/>
    </row>
    <row r="30176">
      <c r="D30176" s="185"/>
      <c r="E30176" s="185" t="s">
        <v>470</v>
      </c>
      <c r="H30176" s="185"/>
    </row>
    <row r="30177">
      <c r="D30177" s="185"/>
      <c r="E30177" s="185" t="s">
        <v>470</v>
      </c>
      <c r="H30177" s="185"/>
    </row>
    <row r="30178">
      <c r="D30178" s="185"/>
      <c r="E30178" s="185" t="s">
        <v>470</v>
      </c>
      <c r="H30178" s="185"/>
    </row>
    <row r="30179">
      <c r="D30179" s="185"/>
      <c r="E30179" s="185" t="s">
        <v>470</v>
      </c>
      <c r="H30179" s="185"/>
    </row>
    <row r="30180">
      <c r="D30180" s="185"/>
      <c r="E30180" s="185" t="s">
        <v>470</v>
      </c>
      <c r="H30180" s="185"/>
    </row>
    <row r="30181">
      <c r="D30181" s="185"/>
      <c r="E30181" s="185" t="s">
        <v>470</v>
      </c>
      <c r="H30181" s="185"/>
    </row>
    <row r="30182">
      <c r="D30182" s="185"/>
      <c r="E30182" s="185" t="s">
        <v>470</v>
      </c>
      <c r="H30182" s="185"/>
    </row>
    <row r="30183">
      <c r="D30183" s="185"/>
      <c r="E30183" s="185" t="s">
        <v>470</v>
      </c>
      <c r="H30183" s="185"/>
    </row>
    <row r="30184">
      <c r="D30184" s="185"/>
      <c r="E30184" s="185" t="s">
        <v>470</v>
      </c>
      <c r="H30184" s="185"/>
    </row>
    <row r="30185">
      <c r="D30185" s="185"/>
      <c r="E30185" s="185" t="s">
        <v>470</v>
      </c>
      <c r="H30185" s="185"/>
    </row>
    <row r="30186">
      <c r="D30186" s="185"/>
      <c r="E30186" s="185" t="s">
        <v>470</v>
      </c>
      <c r="H30186" s="185"/>
    </row>
    <row r="30187">
      <c r="D30187" s="185"/>
      <c r="E30187" s="185" t="s">
        <v>470</v>
      </c>
      <c r="H30187" s="185"/>
    </row>
    <row r="30188">
      <c r="D30188" s="185"/>
      <c r="E30188" s="185" t="s">
        <v>470</v>
      </c>
      <c r="H30188" s="185"/>
    </row>
    <row r="30189">
      <c r="D30189" s="185"/>
      <c r="E30189" s="185" t="s">
        <v>470</v>
      </c>
      <c r="H30189" s="185"/>
    </row>
    <row r="30190">
      <c r="D30190" s="185"/>
      <c r="E30190" s="185" t="s">
        <v>470</v>
      </c>
      <c r="H30190" s="185"/>
    </row>
    <row r="30191">
      <c r="D30191" s="185"/>
      <c r="E30191" s="185" t="s">
        <v>470</v>
      </c>
      <c r="H30191" s="185"/>
    </row>
    <row r="30192">
      <c r="D30192" s="185"/>
      <c r="E30192" s="185" t="s">
        <v>470</v>
      </c>
      <c r="H30192" s="185"/>
    </row>
    <row r="30193">
      <c r="D30193" s="185"/>
      <c r="E30193" s="185" t="s">
        <v>470</v>
      </c>
      <c r="H30193" s="185"/>
    </row>
    <row r="30194">
      <c r="D30194" s="185"/>
      <c r="E30194" s="185" t="s">
        <v>470</v>
      </c>
      <c r="H30194" s="185"/>
    </row>
    <row r="30195">
      <c r="D30195" s="185"/>
      <c r="E30195" s="185" t="s">
        <v>470</v>
      </c>
      <c r="H30195" s="185"/>
    </row>
    <row r="30196">
      <c r="D30196" s="185"/>
      <c r="E30196" s="185" t="s">
        <v>470</v>
      </c>
      <c r="H30196" s="185"/>
    </row>
    <row r="30197">
      <c r="D30197" s="185"/>
      <c r="E30197" s="185" t="s">
        <v>470</v>
      </c>
      <c r="H30197" s="185"/>
    </row>
    <row r="30198">
      <c r="D30198" s="185"/>
      <c r="E30198" s="185" t="s">
        <v>470</v>
      </c>
      <c r="H30198" s="185"/>
    </row>
    <row r="30199">
      <c r="D30199" s="185"/>
      <c r="E30199" s="185" t="s">
        <v>470</v>
      </c>
      <c r="H30199" s="185"/>
    </row>
    <row r="30200">
      <c r="D30200" s="185"/>
      <c r="E30200" s="185" t="s">
        <v>470</v>
      </c>
      <c r="H30200" s="185"/>
    </row>
    <row r="30201">
      <c r="D30201" s="185"/>
      <c r="E30201" s="185" t="s">
        <v>470</v>
      </c>
      <c r="H30201" s="185"/>
    </row>
    <row r="30202">
      <c r="D30202" s="185"/>
      <c r="E30202" s="185" t="s">
        <v>470</v>
      </c>
      <c r="H30202" s="185"/>
    </row>
    <row r="30203">
      <c r="D30203" s="185"/>
      <c r="E30203" s="185" t="s">
        <v>470</v>
      </c>
      <c r="H30203" s="185"/>
    </row>
    <row r="30204">
      <c r="D30204" s="185"/>
      <c r="E30204" s="185" t="s">
        <v>470</v>
      </c>
      <c r="H30204" s="185"/>
    </row>
    <row r="30205">
      <c r="D30205" s="185"/>
      <c r="E30205" s="185" t="s">
        <v>470</v>
      </c>
      <c r="H30205" s="185"/>
    </row>
    <row r="30206">
      <c r="D30206" s="185"/>
      <c r="E30206" s="185" t="s">
        <v>470</v>
      </c>
      <c r="H30206" s="185"/>
    </row>
    <row r="30207">
      <c r="D30207" s="185"/>
      <c r="E30207" s="185" t="s">
        <v>470</v>
      </c>
      <c r="H30207" s="185"/>
    </row>
    <row r="30208">
      <c r="D30208" s="185"/>
      <c r="E30208" s="185" t="s">
        <v>470</v>
      </c>
      <c r="H30208" s="185"/>
    </row>
    <row r="30209">
      <c r="D30209" s="185"/>
      <c r="E30209" s="185" t="s">
        <v>470</v>
      </c>
      <c r="H30209" s="185"/>
    </row>
    <row r="30210">
      <c r="D30210" s="185"/>
      <c r="E30210" s="185" t="s">
        <v>470</v>
      </c>
      <c r="H30210" s="185"/>
    </row>
    <row r="30211">
      <c r="D30211" s="185"/>
      <c r="E30211" s="185" t="s">
        <v>470</v>
      </c>
      <c r="H30211" s="185"/>
    </row>
    <row r="30212">
      <c r="D30212" s="185"/>
      <c r="E30212" s="185" t="s">
        <v>470</v>
      </c>
      <c r="H30212" s="185"/>
    </row>
    <row r="30213">
      <c r="D30213" s="185"/>
      <c r="E30213" s="185" t="s">
        <v>470</v>
      </c>
      <c r="H30213" s="185"/>
    </row>
    <row r="30214">
      <c r="D30214" s="185"/>
      <c r="E30214" s="185" t="s">
        <v>470</v>
      </c>
      <c r="H30214" s="185"/>
    </row>
    <row r="30215">
      <c r="D30215" s="185"/>
      <c r="E30215" s="185" t="s">
        <v>470</v>
      </c>
      <c r="H30215" s="185"/>
    </row>
    <row r="30216">
      <c r="D30216" s="185"/>
      <c r="E30216" s="185" t="s">
        <v>470</v>
      </c>
      <c r="H30216" s="185"/>
    </row>
    <row r="30217">
      <c r="D30217" s="185"/>
      <c r="E30217" s="185" t="s">
        <v>470</v>
      </c>
      <c r="H30217" s="185"/>
    </row>
    <row r="30218">
      <c r="D30218" s="185"/>
      <c r="E30218" s="185" t="s">
        <v>470</v>
      </c>
      <c r="H30218" s="185"/>
    </row>
    <row r="30219">
      <c r="D30219" s="185"/>
      <c r="E30219" s="185" t="s">
        <v>470</v>
      </c>
      <c r="H30219" s="185"/>
    </row>
    <row r="30220">
      <c r="D30220" s="185"/>
      <c r="E30220" s="185" t="s">
        <v>470</v>
      </c>
      <c r="H30220" s="185"/>
    </row>
    <row r="30221">
      <c r="D30221" s="185"/>
      <c r="E30221" s="185" t="s">
        <v>470</v>
      </c>
      <c r="H30221" s="185"/>
    </row>
    <row r="30222">
      <c r="D30222" s="185"/>
      <c r="E30222" s="185" t="s">
        <v>470</v>
      </c>
      <c r="H30222" s="185"/>
    </row>
    <row r="30223">
      <c r="D30223" s="185"/>
      <c r="E30223" s="185" t="s">
        <v>470</v>
      </c>
      <c r="H30223" s="185"/>
    </row>
    <row r="30224">
      <c r="D30224" s="185"/>
      <c r="E30224" s="185" t="s">
        <v>470</v>
      </c>
      <c r="H30224" s="185"/>
    </row>
    <row r="30225">
      <c r="D30225" s="185"/>
      <c r="E30225" s="185" t="s">
        <v>470</v>
      </c>
      <c r="H30225" s="185"/>
    </row>
    <row r="30226">
      <c r="D30226" s="185"/>
      <c r="E30226" s="185" t="s">
        <v>470</v>
      </c>
      <c r="H30226" s="185"/>
    </row>
    <row r="30227">
      <c r="D30227" s="185"/>
      <c r="E30227" s="185" t="s">
        <v>470</v>
      </c>
      <c r="H30227" s="185"/>
    </row>
    <row r="30228">
      <c r="D30228" s="185"/>
      <c r="E30228" s="185" t="s">
        <v>470</v>
      </c>
      <c r="H30228" s="185"/>
    </row>
    <row r="30229">
      <c r="D30229" s="185"/>
      <c r="E30229" s="185" t="s">
        <v>470</v>
      </c>
      <c r="H30229" s="185"/>
    </row>
    <row r="30230">
      <c r="D30230" s="185"/>
      <c r="E30230" s="185" t="s">
        <v>470</v>
      </c>
      <c r="H30230" s="185"/>
    </row>
    <row r="30231">
      <c r="D30231" s="185"/>
      <c r="E30231" s="185" t="s">
        <v>470</v>
      </c>
      <c r="H30231" s="185"/>
    </row>
    <row r="30232">
      <c r="D30232" s="185"/>
      <c r="E30232" s="185" t="s">
        <v>470</v>
      </c>
      <c r="H30232" s="185"/>
    </row>
    <row r="30233">
      <c r="D30233" s="185"/>
      <c r="E30233" s="185" t="s">
        <v>470</v>
      </c>
      <c r="H30233" s="185"/>
    </row>
    <row r="30234">
      <c r="D30234" s="185"/>
      <c r="E30234" s="185" t="s">
        <v>470</v>
      </c>
      <c r="H30234" s="185"/>
    </row>
    <row r="30235">
      <c r="D30235" s="185"/>
      <c r="E30235" s="185" t="s">
        <v>470</v>
      </c>
      <c r="H30235" s="185"/>
    </row>
    <row r="30236">
      <c r="D30236" s="185"/>
      <c r="E30236" s="185" t="s">
        <v>470</v>
      </c>
      <c r="H30236" s="185"/>
    </row>
    <row r="30237">
      <c r="D30237" s="185"/>
      <c r="E30237" s="185" t="s">
        <v>470</v>
      </c>
      <c r="H30237" s="185"/>
    </row>
    <row r="30238">
      <c r="D30238" s="185"/>
      <c r="E30238" s="185" t="s">
        <v>470</v>
      </c>
      <c r="H30238" s="185"/>
    </row>
    <row r="30239">
      <c r="D30239" s="185"/>
      <c r="E30239" s="185" t="s">
        <v>470</v>
      </c>
      <c r="H30239" s="185"/>
    </row>
    <row r="30240">
      <c r="D30240" s="185"/>
      <c r="E30240" s="185" t="s">
        <v>470</v>
      </c>
      <c r="H30240" s="185"/>
    </row>
    <row r="30241">
      <c r="D30241" s="185"/>
      <c r="E30241" s="185" t="s">
        <v>470</v>
      </c>
      <c r="H30241" s="185"/>
    </row>
    <row r="30242">
      <c r="D30242" s="185"/>
      <c r="E30242" s="185" t="s">
        <v>470</v>
      </c>
      <c r="H30242" s="185"/>
    </row>
    <row r="30243">
      <c r="D30243" s="185"/>
      <c r="E30243" s="185" t="s">
        <v>470</v>
      </c>
      <c r="H30243" s="185"/>
    </row>
    <row r="30244">
      <c r="D30244" s="185"/>
      <c r="E30244" s="185" t="s">
        <v>470</v>
      </c>
      <c r="H30244" s="185"/>
    </row>
    <row r="30245">
      <c r="D30245" s="185"/>
      <c r="E30245" s="185" t="s">
        <v>470</v>
      </c>
      <c r="H30245" s="185"/>
    </row>
    <row r="30246">
      <c r="D30246" s="185"/>
      <c r="E30246" s="185" t="s">
        <v>470</v>
      </c>
      <c r="H30246" s="185"/>
    </row>
    <row r="30247">
      <c r="D30247" s="185"/>
      <c r="E30247" s="185" t="s">
        <v>470</v>
      </c>
      <c r="H30247" s="185"/>
    </row>
    <row r="30248">
      <c r="D30248" s="185"/>
      <c r="E30248" s="185" t="s">
        <v>470</v>
      </c>
      <c r="H30248" s="185"/>
    </row>
    <row r="30249">
      <c r="D30249" s="185"/>
      <c r="E30249" s="185" t="s">
        <v>470</v>
      </c>
      <c r="H30249" s="185"/>
    </row>
    <row r="30250">
      <c r="D30250" s="185"/>
      <c r="E30250" s="185" t="s">
        <v>470</v>
      </c>
      <c r="H30250" s="185"/>
    </row>
    <row r="30251">
      <c r="D30251" s="185"/>
      <c r="E30251" s="185" t="s">
        <v>470</v>
      </c>
      <c r="H30251" s="185"/>
    </row>
    <row r="30252">
      <c r="D30252" s="185"/>
      <c r="E30252" s="185" t="s">
        <v>470</v>
      </c>
      <c r="H30252" s="185"/>
    </row>
    <row r="30253">
      <c r="D30253" s="185"/>
      <c r="E30253" s="185" t="s">
        <v>470</v>
      </c>
      <c r="H30253" s="185"/>
    </row>
    <row r="30254">
      <c r="D30254" s="185"/>
      <c r="E30254" s="185" t="s">
        <v>470</v>
      </c>
      <c r="H30254" s="185"/>
    </row>
    <row r="30255">
      <c r="D30255" s="185"/>
      <c r="E30255" s="185" t="s">
        <v>470</v>
      </c>
      <c r="H30255" s="185"/>
    </row>
    <row r="30256">
      <c r="D30256" s="185"/>
      <c r="E30256" s="185" t="s">
        <v>470</v>
      </c>
      <c r="H30256" s="185"/>
    </row>
    <row r="30257">
      <c r="D30257" s="185"/>
      <c r="E30257" s="185" t="s">
        <v>470</v>
      </c>
      <c r="H30257" s="185"/>
    </row>
    <row r="30258">
      <c r="D30258" s="185"/>
      <c r="E30258" s="185" t="s">
        <v>470</v>
      </c>
      <c r="H30258" s="185"/>
    </row>
    <row r="30259">
      <c r="D30259" s="185"/>
      <c r="E30259" s="185" t="s">
        <v>470</v>
      </c>
      <c r="H30259" s="185"/>
    </row>
    <row r="30260">
      <c r="D30260" s="185"/>
      <c r="E30260" s="185" t="s">
        <v>470</v>
      </c>
      <c r="H30260" s="185"/>
    </row>
    <row r="30261">
      <c r="D30261" s="185"/>
      <c r="E30261" s="185" t="s">
        <v>470</v>
      </c>
      <c r="H30261" s="185"/>
    </row>
    <row r="30262">
      <c r="D30262" s="185"/>
      <c r="E30262" s="185" t="s">
        <v>470</v>
      </c>
      <c r="H30262" s="185"/>
    </row>
    <row r="30263">
      <c r="D30263" s="185"/>
      <c r="E30263" s="185" t="s">
        <v>470</v>
      </c>
      <c r="H30263" s="185"/>
    </row>
    <row r="30264">
      <c r="D30264" s="185"/>
      <c r="E30264" s="185" t="s">
        <v>470</v>
      </c>
      <c r="H30264" s="185"/>
    </row>
    <row r="30265">
      <c r="D30265" s="185"/>
      <c r="E30265" s="185" t="s">
        <v>470</v>
      </c>
      <c r="H30265" s="185"/>
    </row>
    <row r="30266">
      <c r="D30266" s="185"/>
      <c r="E30266" s="185" t="s">
        <v>470</v>
      </c>
      <c r="H30266" s="185"/>
    </row>
    <row r="30267">
      <c r="D30267" s="185"/>
      <c r="E30267" s="185" t="s">
        <v>470</v>
      </c>
      <c r="H30267" s="185"/>
    </row>
    <row r="30268">
      <c r="D30268" s="185"/>
      <c r="E30268" s="185" t="s">
        <v>470</v>
      </c>
      <c r="H30268" s="185"/>
    </row>
    <row r="30269">
      <c r="D30269" s="185"/>
      <c r="E30269" s="185" t="s">
        <v>470</v>
      </c>
      <c r="H30269" s="185"/>
    </row>
    <row r="30270">
      <c r="D30270" s="185"/>
      <c r="E30270" s="185" t="s">
        <v>470</v>
      </c>
      <c r="H30270" s="185"/>
    </row>
    <row r="30271">
      <c r="D30271" s="185"/>
      <c r="E30271" s="185" t="s">
        <v>470</v>
      </c>
      <c r="H30271" s="185"/>
    </row>
    <row r="30272">
      <c r="D30272" s="185"/>
      <c r="E30272" s="185" t="s">
        <v>470</v>
      </c>
      <c r="H30272" s="185"/>
    </row>
    <row r="30273">
      <c r="D30273" s="185"/>
      <c r="E30273" s="185" t="s">
        <v>470</v>
      </c>
      <c r="H30273" s="185"/>
    </row>
    <row r="30274">
      <c r="D30274" s="185"/>
      <c r="E30274" s="185" t="s">
        <v>470</v>
      </c>
      <c r="H30274" s="185"/>
    </row>
    <row r="30275">
      <c r="D30275" s="185"/>
      <c r="E30275" s="185" t="s">
        <v>470</v>
      </c>
      <c r="H30275" s="185"/>
    </row>
    <row r="30276">
      <c r="D30276" s="185"/>
      <c r="E30276" s="185" t="s">
        <v>470</v>
      </c>
      <c r="H30276" s="185"/>
    </row>
    <row r="30277">
      <c r="D30277" s="185"/>
      <c r="E30277" s="185" t="s">
        <v>470</v>
      </c>
      <c r="H30277" s="185"/>
    </row>
    <row r="30278">
      <c r="D30278" s="185"/>
      <c r="E30278" s="185" t="s">
        <v>470</v>
      </c>
      <c r="H30278" s="185"/>
    </row>
    <row r="30279">
      <c r="D30279" s="185"/>
      <c r="E30279" s="185" t="s">
        <v>470</v>
      </c>
      <c r="H30279" s="185"/>
    </row>
    <row r="30280">
      <c r="D30280" s="185"/>
      <c r="E30280" s="185" t="s">
        <v>470</v>
      </c>
      <c r="H30280" s="185"/>
    </row>
    <row r="30281">
      <c r="D30281" s="185"/>
      <c r="E30281" s="185" t="s">
        <v>470</v>
      </c>
      <c r="H30281" s="185"/>
    </row>
    <row r="30282">
      <c r="D30282" s="185"/>
      <c r="E30282" s="185" t="s">
        <v>470</v>
      </c>
      <c r="H30282" s="185"/>
    </row>
    <row r="30283">
      <c r="D30283" s="185"/>
      <c r="E30283" s="185" t="s">
        <v>470</v>
      </c>
      <c r="H30283" s="185"/>
    </row>
    <row r="30284">
      <c r="D30284" s="185"/>
      <c r="E30284" s="185" t="s">
        <v>470</v>
      </c>
      <c r="H30284" s="185"/>
    </row>
    <row r="30285">
      <c r="D30285" s="185"/>
      <c r="E30285" s="185" t="s">
        <v>470</v>
      </c>
      <c r="H30285" s="185"/>
    </row>
    <row r="30286">
      <c r="D30286" s="185"/>
      <c r="E30286" s="185" t="s">
        <v>470</v>
      </c>
      <c r="H30286" s="185"/>
    </row>
    <row r="30287">
      <c r="D30287" s="185"/>
      <c r="E30287" s="185" t="s">
        <v>470</v>
      </c>
      <c r="H30287" s="185"/>
    </row>
    <row r="30288">
      <c r="D30288" s="185"/>
      <c r="E30288" s="185" t="s">
        <v>470</v>
      </c>
      <c r="H30288" s="185"/>
    </row>
    <row r="30289">
      <c r="D30289" s="185"/>
      <c r="E30289" s="185" t="s">
        <v>470</v>
      </c>
      <c r="H30289" s="185"/>
    </row>
    <row r="30290">
      <c r="D30290" s="185"/>
      <c r="E30290" s="185" t="s">
        <v>470</v>
      </c>
      <c r="H30290" s="185"/>
    </row>
    <row r="30291">
      <c r="D30291" s="185"/>
      <c r="E30291" s="185" t="s">
        <v>470</v>
      </c>
      <c r="H30291" s="185"/>
    </row>
    <row r="30292">
      <c r="D30292" s="185"/>
      <c r="E30292" s="185" t="s">
        <v>470</v>
      </c>
      <c r="H30292" s="185"/>
    </row>
    <row r="30293">
      <c r="D30293" s="185"/>
      <c r="E30293" s="185" t="s">
        <v>470</v>
      </c>
      <c r="H30293" s="185"/>
    </row>
    <row r="30294">
      <c r="D30294" s="185"/>
      <c r="E30294" s="185" t="s">
        <v>470</v>
      </c>
      <c r="H30294" s="185"/>
    </row>
    <row r="30295">
      <c r="D30295" s="185"/>
      <c r="E30295" s="185" t="s">
        <v>470</v>
      </c>
      <c r="H30295" s="185"/>
    </row>
    <row r="30296">
      <c r="D30296" s="185"/>
      <c r="E30296" s="185" t="s">
        <v>470</v>
      </c>
      <c r="H30296" s="185"/>
    </row>
    <row r="30297">
      <c r="D30297" s="185"/>
      <c r="E30297" s="185" t="s">
        <v>470</v>
      </c>
      <c r="H30297" s="185"/>
    </row>
    <row r="30298">
      <c r="D30298" s="185"/>
      <c r="E30298" s="185" t="s">
        <v>470</v>
      </c>
      <c r="H30298" s="185"/>
    </row>
    <row r="30299">
      <c r="D30299" s="185"/>
      <c r="E30299" s="185" t="s">
        <v>470</v>
      </c>
      <c r="H30299" s="185"/>
    </row>
    <row r="30300">
      <c r="D30300" s="185"/>
      <c r="E30300" s="185" t="s">
        <v>470</v>
      </c>
      <c r="H30300" s="185"/>
    </row>
    <row r="30301">
      <c r="D30301" s="185"/>
      <c r="E30301" s="185" t="s">
        <v>470</v>
      </c>
      <c r="H30301" s="185"/>
    </row>
    <row r="30302">
      <c r="D30302" s="185"/>
      <c r="E30302" s="185" t="s">
        <v>470</v>
      </c>
      <c r="H30302" s="185"/>
    </row>
    <row r="30303">
      <c r="D30303" s="185"/>
      <c r="E30303" s="185" t="s">
        <v>470</v>
      </c>
      <c r="H30303" s="185"/>
    </row>
    <row r="30304">
      <c r="D30304" s="185"/>
      <c r="E30304" s="185" t="s">
        <v>470</v>
      </c>
      <c r="H30304" s="185"/>
    </row>
    <row r="30305">
      <c r="D30305" s="185"/>
      <c r="E30305" s="185" t="s">
        <v>470</v>
      </c>
      <c r="H30305" s="185"/>
    </row>
    <row r="30306">
      <c r="D30306" s="185"/>
      <c r="E30306" s="185" t="s">
        <v>470</v>
      </c>
      <c r="H30306" s="185"/>
    </row>
    <row r="30307">
      <c r="D30307" s="185"/>
      <c r="E30307" s="185" t="s">
        <v>470</v>
      </c>
      <c r="H30307" s="185"/>
    </row>
    <row r="30308">
      <c r="D30308" s="185"/>
      <c r="E30308" s="185" t="s">
        <v>470</v>
      </c>
      <c r="H30308" s="185"/>
    </row>
    <row r="30309">
      <c r="D30309" s="185"/>
      <c r="E30309" s="185" t="s">
        <v>470</v>
      </c>
      <c r="H30309" s="185"/>
    </row>
    <row r="30310">
      <c r="D30310" s="185"/>
      <c r="E30310" s="185" t="s">
        <v>470</v>
      </c>
      <c r="H30310" s="185"/>
    </row>
    <row r="30311">
      <c r="D30311" s="185"/>
      <c r="E30311" s="185" t="s">
        <v>470</v>
      </c>
      <c r="H30311" s="185"/>
    </row>
    <row r="30312">
      <c r="D30312" s="185"/>
      <c r="E30312" s="185" t="s">
        <v>470</v>
      </c>
      <c r="H30312" s="185"/>
    </row>
    <row r="30313">
      <c r="D30313" s="185"/>
      <c r="E30313" s="185" t="s">
        <v>470</v>
      </c>
      <c r="H30313" s="185"/>
    </row>
    <row r="30314">
      <c r="D30314" s="185"/>
      <c r="E30314" s="185" t="s">
        <v>470</v>
      </c>
      <c r="H30314" s="185"/>
    </row>
    <row r="30315">
      <c r="D30315" s="185"/>
      <c r="E30315" s="185" t="s">
        <v>470</v>
      </c>
      <c r="H30315" s="185"/>
    </row>
    <row r="30316">
      <c r="D30316" s="185"/>
      <c r="E30316" s="185" t="s">
        <v>470</v>
      </c>
      <c r="H30316" s="185"/>
    </row>
    <row r="30317">
      <c r="D30317" s="185"/>
      <c r="E30317" s="185" t="s">
        <v>470</v>
      </c>
      <c r="H30317" s="185"/>
    </row>
    <row r="30318">
      <c r="D30318" s="185"/>
      <c r="E30318" s="185" t="s">
        <v>470</v>
      </c>
      <c r="H30318" s="185"/>
    </row>
    <row r="30319">
      <c r="D30319" s="185"/>
      <c r="E30319" s="185" t="s">
        <v>470</v>
      </c>
      <c r="H30319" s="185"/>
    </row>
    <row r="30320">
      <c r="D30320" s="185"/>
      <c r="E30320" s="185" t="s">
        <v>470</v>
      </c>
      <c r="H30320" s="185"/>
    </row>
    <row r="30321">
      <c r="D30321" s="185"/>
      <c r="E30321" s="185" t="s">
        <v>470</v>
      </c>
      <c r="H30321" s="185"/>
    </row>
    <row r="30322">
      <c r="D30322" s="185"/>
      <c r="E30322" s="185" t="s">
        <v>470</v>
      </c>
      <c r="H30322" s="185"/>
    </row>
    <row r="30323">
      <c r="D30323" s="185"/>
      <c r="E30323" s="185" t="s">
        <v>470</v>
      </c>
      <c r="H30323" s="185"/>
    </row>
    <row r="30324">
      <c r="D30324" s="185"/>
      <c r="E30324" s="185" t="s">
        <v>470</v>
      </c>
      <c r="H30324" s="185"/>
    </row>
    <row r="30325">
      <c r="D30325" s="185"/>
      <c r="E30325" s="185" t="s">
        <v>470</v>
      </c>
      <c r="H30325" s="185"/>
    </row>
    <row r="30326">
      <c r="D30326" s="185"/>
      <c r="E30326" s="185" t="s">
        <v>470</v>
      </c>
      <c r="H30326" s="185"/>
    </row>
    <row r="30327">
      <c r="D30327" s="185"/>
      <c r="E30327" s="185" t="s">
        <v>470</v>
      </c>
      <c r="H30327" s="185"/>
    </row>
    <row r="30328">
      <c r="D30328" s="185"/>
      <c r="E30328" s="185" t="s">
        <v>470</v>
      </c>
      <c r="H30328" s="185"/>
    </row>
    <row r="30329">
      <c r="D30329" s="185"/>
      <c r="E30329" s="185" t="s">
        <v>470</v>
      </c>
      <c r="H30329" s="185"/>
    </row>
    <row r="30330">
      <c r="D30330" s="185"/>
      <c r="E30330" s="185" t="s">
        <v>470</v>
      </c>
      <c r="H30330" s="185"/>
    </row>
    <row r="30331">
      <c r="D30331" s="185"/>
      <c r="E30331" s="185" t="s">
        <v>470</v>
      </c>
      <c r="H30331" s="185"/>
    </row>
    <row r="30332">
      <c r="D30332" s="185"/>
      <c r="E30332" s="185" t="s">
        <v>470</v>
      </c>
      <c r="H30332" s="185"/>
    </row>
    <row r="30333">
      <c r="D30333" s="185"/>
      <c r="E30333" s="185" t="s">
        <v>470</v>
      </c>
      <c r="H30333" s="185"/>
    </row>
    <row r="30334">
      <c r="D30334" s="185"/>
      <c r="E30334" s="185" t="s">
        <v>470</v>
      </c>
      <c r="H30334" s="185"/>
    </row>
    <row r="30335">
      <c r="D30335" s="185"/>
      <c r="E30335" s="185" t="s">
        <v>470</v>
      </c>
      <c r="H30335" s="185"/>
    </row>
    <row r="30336">
      <c r="D30336" s="185"/>
      <c r="E30336" s="185" t="s">
        <v>470</v>
      </c>
      <c r="H30336" s="185"/>
    </row>
    <row r="30337">
      <c r="D30337" s="185"/>
      <c r="E30337" s="185" t="s">
        <v>470</v>
      </c>
      <c r="H30337" s="185"/>
    </row>
    <row r="30338">
      <c r="D30338" s="185"/>
      <c r="E30338" s="185" t="s">
        <v>470</v>
      </c>
      <c r="H30338" s="185"/>
    </row>
    <row r="30339">
      <c r="D30339" s="185"/>
      <c r="E30339" s="185" t="s">
        <v>470</v>
      </c>
      <c r="H30339" s="185"/>
    </row>
    <row r="30340">
      <c r="D30340" s="185"/>
      <c r="E30340" s="185" t="s">
        <v>470</v>
      </c>
      <c r="H30340" s="185"/>
    </row>
    <row r="30341">
      <c r="D30341" s="185"/>
      <c r="E30341" s="185" t="s">
        <v>470</v>
      </c>
      <c r="H30341" s="185"/>
    </row>
    <row r="30342">
      <c r="D30342" s="185"/>
      <c r="E30342" s="185" t="s">
        <v>470</v>
      </c>
      <c r="H30342" s="185"/>
    </row>
    <row r="30343">
      <c r="D30343" s="185"/>
      <c r="E30343" s="185" t="s">
        <v>470</v>
      </c>
      <c r="H30343" s="185"/>
    </row>
    <row r="30344">
      <c r="D30344" s="185"/>
      <c r="E30344" s="185" t="s">
        <v>470</v>
      </c>
      <c r="H30344" s="185"/>
    </row>
    <row r="30345">
      <c r="D30345" s="185"/>
      <c r="E30345" s="185" t="s">
        <v>470</v>
      </c>
      <c r="H30345" s="185"/>
    </row>
    <row r="30346">
      <c r="D30346" s="185"/>
      <c r="E30346" s="185" t="s">
        <v>470</v>
      </c>
      <c r="H30346" s="185"/>
    </row>
    <row r="30347">
      <c r="D30347" s="185"/>
      <c r="E30347" s="185" t="s">
        <v>470</v>
      </c>
      <c r="H30347" s="185"/>
    </row>
    <row r="30348">
      <c r="D30348" s="185"/>
      <c r="E30348" s="185" t="s">
        <v>470</v>
      </c>
      <c r="H30348" s="185"/>
    </row>
    <row r="30349">
      <c r="D30349" s="185"/>
      <c r="E30349" s="185" t="s">
        <v>470</v>
      </c>
      <c r="H30349" s="185"/>
    </row>
    <row r="30350">
      <c r="D30350" s="185"/>
      <c r="E30350" s="185" t="s">
        <v>470</v>
      </c>
      <c r="H30350" s="185"/>
    </row>
    <row r="30351">
      <c r="D30351" s="185"/>
      <c r="E30351" s="185" t="s">
        <v>470</v>
      </c>
      <c r="H30351" s="185"/>
    </row>
    <row r="30352">
      <c r="D30352" s="185"/>
      <c r="E30352" s="185" t="s">
        <v>470</v>
      </c>
      <c r="H30352" s="185"/>
    </row>
    <row r="30353">
      <c r="D30353" s="185"/>
      <c r="E30353" s="185" t="s">
        <v>470</v>
      </c>
      <c r="H30353" s="185"/>
    </row>
    <row r="30354">
      <c r="D30354" s="185"/>
      <c r="E30354" s="185" t="s">
        <v>470</v>
      </c>
      <c r="H30354" s="185"/>
    </row>
    <row r="30355">
      <c r="D30355" s="185"/>
      <c r="E30355" s="185" t="s">
        <v>470</v>
      </c>
      <c r="H30355" s="185"/>
    </row>
    <row r="30356">
      <c r="D30356" s="185"/>
      <c r="E30356" s="185" t="s">
        <v>470</v>
      </c>
      <c r="H30356" s="185"/>
    </row>
    <row r="30357">
      <c r="D30357" s="185"/>
      <c r="E30357" s="185" t="s">
        <v>470</v>
      </c>
      <c r="H30357" s="185"/>
    </row>
    <row r="30358">
      <c r="D30358" s="185"/>
      <c r="E30358" s="185" t="s">
        <v>470</v>
      </c>
      <c r="H30358" s="185"/>
    </row>
    <row r="30359">
      <c r="D30359" s="185"/>
      <c r="E30359" s="185" t="s">
        <v>470</v>
      </c>
      <c r="H30359" s="185"/>
    </row>
    <row r="30360">
      <c r="D30360" s="185"/>
      <c r="E30360" s="185" t="s">
        <v>470</v>
      </c>
      <c r="H30360" s="185"/>
    </row>
    <row r="30361">
      <c r="D30361" s="185"/>
      <c r="E30361" s="185" t="s">
        <v>470</v>
      </c>
      <c r="H30361" s="185"/>
    </row>
    <row r="30362">
      <c r="D30362" s="185"/>
      <c r="E30362" s="185" t="s">
        <v>470</v>
      </c>
      <c r="H30362" s="185"/>
    </row>
    <row r="30363">
      <c r="D30363" s="185"/>
      <c r="E30363" s="185" t="s">
        <v>470</v>
      </c>
      <c r="H30363" s="185"/>
    </row>
    <row r="30364">
      <c r="D30364" s="185"/>
      <c r="E30364" s="185" t="s">
        <v>470</v>
      </c>
      <c r="H30364" s="185"/>
    </row>
    <row r="30365">
      <c r="D30365" s="185"/>
      <c r="E30365" s="185" t="s">
        <v>470</v>
      </c>
      <c r="H30365" s="185"/>
    </row>
    <row r="30366">
      <c r="D30366" s="185"/>
      <c r="E30366" s="185" t="s">
        <v>470</v>
      </c>
      <c r="H30366" s="185"/>
    </row>
    <row r="30367">
      <c r="D30367" s="185"/>
      <c r="E30367" s="185" t="s">
        <v>470</v>
      </c>
      <c r="H30367" s="185"/>
    </row>
    <row r="30368">
      <c r="D30368" s="185"/>
      <c r="E30368" s="185" t="s">
        <v>470</v>
      </c>
      <c r="H30368" s="185"/>
    </row>
    <row r="30369">
      <c r="D30369" s="185"/>
      <c r="E30369" s="185" t="s">
        <v>470</v>
      </c>
      <c r="H30369" s="185"/>
    </row>
    <row r="30370">
      <c r="D30370" s="185"/>
      <c r="E30370" s="185" t="s">
        <v>470</v>
      </c>
      <c r="H30370" s="185"/>
    </row>
    <row r="30371">
      <c r="D30371" s="185"/>
      <c r="E30371" s="185" t="s">
        <v>470</v>
      </c>
      <c r="H30371" s="185"/>
    </row>
    <row r="30372">
      <c r="D30372" s="185"/>
      <c r="E30372" s="185" t="s">
        <v>470</v>
      </c>
      <c r="H30372" s="185"/>
    </row>
    <row r="30373">
      <c r="D30373" s="185"/>
      <c r="E30373" s="185" t="s">
        <v>470</v>
      </c>
      <c r="H30373" s="185"/>
    </row>
    <row r="30374">
      <c r="D30374" s="185"/>
      <c r="E30374" s="185" t="s">
        <v>470</v>
      </c>
      <c r="H30374" s="185"/>
    </row>
    <row r="30375">
      <c r="D30375" s="185"/>
      <c r="E30375" s="185" t="s">
        <v>470</v>
      </c>
      <c r="H30375" s="185"/>
    </row>
    <row r="30376">
      <c r="D30376" s="185"/>
      <c r="E30376" s="185" t="s">
        <v>470</v>
      </c>
      <c r="H30376" s="185"/>
    </row>
    <row r="30377">
      <c r="D30377" s="185"/>
      <c r="E30377" s="185" t="s">
        <v>470</v>
      </c>
      <c r="H30377" s="185"/>
    </row>
    <row r="30378">
      <c r="D30378" s="185"/>
      <c r="E30378" s="185" t="s">
        <v>470</v>
      </c>
      <c r="H30378" s="185"/>
    </row>
    <row r="30379">
      <c r="D30379" s="185"/>
      <c r="E30379" s="185" t="s">
        <v>470</v>
      </c>
      <c r="H30379" s="185"/>
    </row>
    <row r="30380">
      <c r="D30380" s="185"/>
      <c r="E30380" s="185" t="s">
        <v>470</v>
      </c>
      <c r="H30380" s="185"/>
    </row>
    <row r="30381">
      <c r="D30381" s="185"/>
      <c r="E30381" s="185" t="s">
        <v>470</v>
      </c>
      <c r="H30381" s="185"/>
    </row>
    <row r="30382">
      <c r="D30382" s="185"/>
      <c r="E30382" s="185" t="s">
        <v>470</v>
      </c>
      <c r="H30382" s="185"/>
    </row>
    <row r="30383">
      <c r="D30383" s="185"/>
      <c r="E30383" s="185" t="s">
        <v>470</v>
      </c>
      <c r="H30383" s="185"/>
    </row>
    <row r="30384">
      <c r="D30384" s="185"/>
      <c r="E30384" s="185" t="s">
        <v>470</v>
      </c>
      <c r="H30384" s="185"/>
    </row>
    <row r="30385">
      <c r="D30385" s="185"/>
      <c r="E30385" s="185" t="s">
        <v>470</v>
      </c>
      <c r="H30385" s="185"/>
    </row>
    <row r="30386">
      <c r="D30386" s="185"/>
      <c r="E30386" s="185" t="s">
        <v>470</v>
      </c>
      <c r="H30386" s="185"/>
    </row>
    <row r="30387">
      <c r="D30387" s="185"/>
      <c r="E30387" s="185" t="s">
        <v>470</v>
      </c>
      <c r="H30387" s="185"/>
    </row>
    <row r="30388">
      <c r="D30388" s="185"/>
      <c r="E30388" s="185" t="s">
        <v>470</v>
      </c>
      <c r="H30388" s="185"/>
    </row>
    <row r="30389">
      <c r="D30389" s="185"/>
      <c r="E30389" s="185" t="s">
        <v>470</v>
      </c>
      <c r="H30389" s="185"/>
    </row>
    <row r="30390">
      <c r="D30390" s="185"/>
      <c r="E30390" s="185" t="s">
        <v>470</v>
      </c>
      <c r="H30390" s="185"/>
    </row>
    <row r="30391">
      <c r="D30391" s="185"/>
      <c r="E30391" s="185" t="s">
        <v>470</v>
      </c>
      <c r="H30391" s="185"/>
    </row>
    <row r="30392">
      <c r="D30392" s="185"/>
      <c r="E30392" s="185" t="s">
        <v>470</v>
      </c>
      <c r="H30392" s="185"/>
    </row>
    <row r="30393">
      <c r="D30393" s="185"/>
      <c r="E30393" s="185" t="s">
        <v>470</v>
      </c>
      <c r="H30393" s="185"/>
    </row>
    <row r="30394">
      <c r="D30394" s="185"/>
      <c r="E30394" s="185" t="s">
        <v>470</v>
      </c>
      <c r="H30394" s="185"/>
    </row>
    <row r="30395">
      <c r="D30395" s="185"/>
      <c r="E30395" s="185" t="s">
        <v>470</v>
      </c>
      <c r="H30395" s="185"/>
    </row>
    <row r="30396">
      <c r="D30396" s="185"/>
      <c r="E30396" s="185" t="s">
        <v>470</v>
      </c>
      <c r="H30396" s="185"/>
    </row>
    <row r="30397">
      <c r="D30397" s="185"/>
      <c r="E30397" s="185" t="s">
        <v>470</v>
      </c>
      <c r="H30397" s="185"/>
    </row>
    <row r="30398">
      <c r="D30398" s="185"/>
      <c r="E30398" s="185" t="s">
        <v>470</v>
      </c>
      <c r="H30398" s="185"/>
    </row>
    <row r="30399">
      <c r="D30399" s="185"/>
      <c r="E30399" s="185" t="s">
        <v>470</v>
      </c>
      <c r="H30399" s="185"/>
    </row>
    <row r="30400">
      <c r="D30400" s="185"/>
      <c r="E30400" s="185" t="s">
        <v>470</v>
      </c>
      <c r="H30400" s="185"/>
    </row>
    <row r="30401">
      <c r="D30401" s="185"/>
      <c r="E30401" s="185" t="s">
        <v>470</v>
      </c>
      <c r="H30401" s="185"/>
    </row>
    <row r="30402">
      <c r="D30402" s="185"/>
      <c r="E30402" s="185" t="s">
        <v>470</v>
      </c>
      <c r="H30402" s="185"/>
    </row>
    <row r="30403">
      <c r="D30403" s="185"/>
      <c r="E30403" s="185" t="s">
        <v>470</v>
      </c>
      <c r="H30403" s="185"/>
    </row>
    <row r="30404">
      <c r="D30404" s="185"/>
      <c r="E30404" s="185" t="s">
        <v>470</v>
      </c>
      <c r="H30404" s="185"/>
    </row>
    <row r="30405">
      <c r="D30405" s="185"/>
      <c r="E30405" s="185" t="s">
        <v>470</v>
      </c>
      <c r="H30405" s="185"/>
    </row>
    <row r="30406">
      <c r="D30406" s="185"/>
      <c r="E30406" s="185" t="s">
        <v>470</v>
      </c>
      <c r="H30406" s="185"/>
    </row>
    <row r="30407">
      <c r="D30407" s="185"/>
      <c r="E30407" s="185" t="s">
        <v>470</v>
      </c>
      <c r="H30407" s="185"/>
    </row>
    <row r="30408">
      <c r="D30408" s="185"/>
      <c r="E30408" s="185" t="s">
        <v>470</v>
      </c>
      <c r="H30408" s="185"/>
    </row>
    <row r="30409">
      <c r="D30409" s="185"/>
      <c r="E30409" s="185" t="s">
        <v>470</v>
      </c>
      <c r="H30409" s="185"/>
    </row>
    <row r="30410">
      <c r="D30410" s="185"/>
      <c r="E30410" s="185" t="s">
        <v>470</v>
      </c>
      <c r="H30410" s="185"/>
    </row>
    <row r="30411">
      <c r="D30411" s="185"/>
      <c r="E30411" s="185" t="s">
        <v>470</v>
      </c>
      <c r="H30411" s="185"/>
    </row>
    <row r="30412">
      <c r="D30412" s="185"/>
      <c r="E30412" s="185" t="s">
        <v>470</v>
      </c>
      <c r="H30412" s="185"/>
    </row>
    <row r="30413">
      <c r="D30413" s="185"/>
      <c r="E30413" s="185" t="s">
        <v>470</v>
      </c>
      <c r="H30413" s="185"/>
    </row>
    <row r="30414">
      <c r="D30414" s="185"/>
      <c r="E30414" s="185" t="s">
        <v>470</v>
      </c>
      <c r="H30414" s="185"/>
    </row>
    <row r="30415">
      <c r="D30415" s="185"/>
      <c r="E30415" s="185" t="s">
        <v>470</v>
      </c>
      <c r="H30415" s="185"/>
    </row>
    <row r="30416">
      <c r="D30416" s="185"/>
      <c r="E30416" s="185" t="s">
        <v>470</v>
      </c>
      <c r="H30416" s="185"/>
    </row>
    <row r="30417">
      <c r="D30417" s="185"/>
      <c r="E30417" s="185" t="s">
        <v>470</v>
      </c>
      <c r="H30417" s="185"/>
    </row>
    <row r="30418">
      <c r="D30418" s="185"/>
      <c r="E30418" s="185" t="s">
        <v>470</v>
      </c>
      <c r="H30418" s="185"/>
    </row>
    <row r="30419">
      <c r="D30419" s="185"/>
      <c r="E30419" s="185" t="s">
        <v>470</v>
      </c>
      <c r="H30419" s="185"/>
    </row>
    <row r="30420">
      <c r="D30420" s="185"/>
      <c r="E30420" s="185" t="s">
        <v>470</v>
      </c>
      <c r="H30420" s="185"/>
    </row>
    <row r="30421">
      <c r="D30421" s="185"/>
      <c r="E30421" s="185" t="s">
        <v>470</v>
      </c>
      <c r="H30421" s="185"/>
    </row>
    <row r="30422">
      <c r="D30422" s="185"/>
      <c r="E30422" s="185" t="s">
        <v>470</v>
      </c>
      <c r="H30422" s="185"/>
    </row>
    <row r="30423">
      <c r="D30423" s="185"/>
      <c r="E30423" s="185" t="s">
        <v>470</v>
      </c>
      <c r="H30423" s="185"/>
    </row>
    <row r="30424">
      <c r="D30424" s="185"/>
      <c r="E30424" s="185" t="s">
        <v>470</v>
      </c>
      <c r="H30424" s="185"/>
    </row>
    <row r="30425">
      <c r="D30425" s="185"/>
      <c r="E30425" s="185" t="s">
        <v>470</v>
      </c>
      <c r="H30425" s="185"/>
    </row>
    <row r="30426">
      <c r="D30426" s="185"/>
      <c r="E30426" s="185" t="s">
        <v>470</v>
      </c>
      <c r="H30426" s="185"/>
    </row>
    <row r="30427">
      <c r="D30427" s="185"/>
      <c r="E30427" s="185" t="s">
        <v>470</v>
      </c>
      <c r="H30427" s="185"/>
    </row>
    <row r="30428">
      <c r="D30428" s="185"/>
      <c r="E30428" s="185" t="s">
        <v>470</v>
      </c>
      <c r="H30428" s="185"/>
    </row>
    <row r="30429">
      <c r="D30429" s="185"/>
      <c r="E30429" s="185" t="s">
        <v>470</v>
      </c>
      <c r="H30429" s="185"/>
    </row>
    <row r="30430">
      <c r="D30430" s="185"/>
      <c r="E30430" s="185" t="s">
        <v>470</v>
      </c>
      <c r="H30430" s="185"/>
    </row>
    <row r="30431">
      <c r="D30431" s="185"/>
      <c r="E30431" s="185" t="s">
        <v>470</v>
      </c>
      <c r="H30431" s="185"/>
    </row>
    <row r="30432">
      <c r="D30432" s="185"/>
      <c r="E30432" s="185" t="s">
        <v>470</v>
      </c>
      <c r="H30432" s="185"/>
    </row>
    <row r="30433">
      <c r="D30433" s="185"/>
      <c r="E30433" s="185" t="s">
        <v>470</v>
      </c>
      <c r="H30433" s="185"/>
    </row>
    <row r="30434">
      <c r="D30434" s="185"/>
      <c r="E30434" s="185" t="s">
        <v>470</v>
      </c>
      <c r="H30434" s="185"/>
    </row>
    <row r="30435">
      <c r="D30435" s="185"/>
      <c r="E30435" s="185" t="s">
        <v>470</v>
      </c>
      <c r="H30435" s="185"/>
    </row>
    <row r="30436">
      <c r="D30436" s="185"/>
      <c r="E30436" s="185" t="s">
        <v>470</v>
      </c>
      <c r="H30436" s="185"/>
    </row>
    <row r="30437">
      <c r="D30437" s="185"/>
      <c r="E30437" s="185" t="s">
        <v>470</v>
      </c>
      <c r="H30437" s="185"/>
    </row>
    <row r="30438">
      <c r="D30438" s="185"/>
      <c r="E30438" s="185" t="s">
        <v>470</v>
      </c>
      <c r="H30438" s="185"/>
    </row>
    <row r="30439">
      <c r="D30439" s="185"/>
      <c r="E30439" s="185" t="s">
        <v>470</v>
      </c>
      <c r="H30439" s="185"/>
    </row>
    <row r="30440">
      <c r="D30440" s="185"/>
      <c r="E30440" s="185" t="s">
        <v>470</v>
      </c>
      <c r="H30440" s="185"/>
    </row>
    <row r="30441">
      <c r="D30441" s="185"/>
      <c r="E30441" s="185" t="s">
        <v>470</v>
      </c>
      <c r="H30441" s="185"/>
    </row>
    <row r="30442">
      <c r="D30442" s="185"/>
      <c r="E30442" s="185" t="s">
        <v>470</v>
      </c>
      <c r="H30442" s="185"/>
    </row>
    <row r="30443">
      <c r="D30443" s="185"/>
      <c r="E30443" s="185" t="s">
        <v>470</v>
      </c>
      <c r="H30443" s="185"/>
    </row>
    <row r="30444">
      <c r="D30444" s="185"/>
      <c r="E30444" s="185" t="s">
        <v>470</v>
      </c>
      <c r="H30444" s="185"/>
    </row>
    <row r="30445">
      <c r="D30445" s="185"/>
      <c r="E30445" s="185" t="s">
        <v>470</v>
      </c>
      <c r="H30445" s="185"/>
    </row>
    <row r="30446">
      <c r="D30446" s="185"/>
      <c r="E30446" s="185" t="s">
        <v>470</v>
      </c>
      <c r="H30446" s="185"/>
    </row>
    <row r="30447">
      <c r="D30447" s="185"/>
      <c r="E30447" s="185" t="s">
        <v>470</v>
      </c>
      <c r="H30447" s="185"/>
    </row>
    <row r="30448">
      <c r="D30448" s="185"/>
      <c r="E30448" s="185" t="s">
        <v>470</v>
      </c>
      <c r="H30448" s="185"/>
    </row>
    <row r="30449">
      <c r="D30449" s="185"/>
      <c r="E30449" s="185" t="s">
        <v>470</v>
      </c>
      <c r="H30449" s="185"/>
    </row>
    <row r="30450">
      <c r="D30450" s="185"/>
      <c r="E30450" s="185" t="s">
        <v>470</v>
      </c>
      <c r="H30450" s="185"/>
    </row>
    <row r="30451">
      <c r="D30451" s="185"/>
      <c r="E30451" s="185" t="s">
        <v>470</v>
      </c>
      <c r="H30451" s="185"/>
    </row>
    <row r="30452">
      <c r="D30452" s="185"/>
      <c r="E30452" s="185" t="s">
        <v>470</v>
      </c>
      <c r="H30452" s="185"/>
    </row>
    <row r="30453">
      <c r="D30453" s="185"/>
      <c r="E30453" s="185" t="s">
        <v>470</v>
      </c>
      <c r="H30453" s="185"/>
    </row>
    <row r="30454">
      <c r="D30454" s="185"/>
      <c r="E30454" s="185" t="s">
        <v>470</v>
      </c>
      <c r="H30454" s="185"/>
    </row>
    <row r="30455">
      <c r="D30455" s="185"/>
      <c r="E30455" s="185" t="s">
        <v>470</v>
      </c>
      <c r="H30455" s="185"/>
    </row>
    <row r="30456">
      <c r="D30456" s="185"/>
      <c r="E30456" s="185" t="s">
        <v>470</v>
      </c>
      <c r="H30456" s="185"/>
    </row>
    <row r="30457">
      <c r="D30457" s="185"/>
      <c r="E30457" s="185" t="s">
        <v>470</v>
      </c>
      <c r="H30457" s="185"/>
    </row>
    <row r="30458">
      <c r="D30458" s="185"/>
      <c r="E30458" s="185" t="s">
        <v>470</v>
      </c>
      <c r="H30458" s="185"/>
    </row>
    <row r="30459">
      <c r="D30459" s="185"/>
      <c r="E30459" s="185" t="s">
        <v>470</v>
      </c>
      <c r="H30459" s="185"/>
    </row>
    <row r="30460">
      <c r="D30460" s="185"/>
      <c r="E30460" s="185" t="s">
        <v>470</v>
      </c>
      <c r="H30460" s="185"/>
    </row>
    <row r="30461">
      <c r="D30461" s="185"/>
      <c r="E30461" s="185" t="s">
        <v>470</v>
      </c>
      <c r="H30461" s="185"/>
    </row>
    <row r="30462">
      <c r="D30462" s="185"/>
      <c r="E30462" s="185" t="s">
        <v>470</v>
      </c>
      <c r="H30462" s="185"/>
    </row>
    <row r="30463">
      <c r="D30463" s="185"/>
      <c r="E30463" s="185" t="s">
        <v>470</v>
      </c>
      <c r="H30463" s="185"/>
    </row>
    <row r="30464">
      <c r="D30464" s="185"/>
      <c r="E30464" s="185" t="s">
        <v>470</v>
      </c>
      <c r="H30464" s="185"/>
    </row>
    <row r="30465">
      <c r="D30465" s="185"/>
      <c r="E30465" s="185" t="s">
        <v>470</v>
      </c>
      <c r="H30465" s="185"/>
    </row>
    <row r="30466">
      <c r="D30466" s="185"/>
      <c r="E30466" s="185" t="s">
        <v>470</v>
      </c>
      <c r="H30466" s="185"/>
    </row>
    <row r="30467">
      <c r="D30467" s="185"/>
      <c r="E30467" s="185" t="s">
        <v>470</v>
      </c>
      <c r="H30467" s="185"/>
    </row>
    <row r="30468">
      <c r="D30468" s="185"/>
      <c r="E30468" s="185" t="s">
        <v>470</v>
      </c>
      <c r="H30468" s="185"/>
    </row>
    <row r="30469">
      <c r="D30469" s="185"/>
      <c r="E30469" s="185" t="s">
        <v>470</v>
      </c>
      <c r="H30469" s="185"/>
    </row>
    <row r="30470">
      <c r="D30470" s="185"/>
      <c r="E30470" s="185" t="s">
        <v>470</v>
      </c>
      <c r="H30470" s="185"/>
    </row>
    <row r="30471">
      <c r="D30471" s="185"/>
      <c r="E30471" s="185" t="s">
        <v>470</v>
      </c>
      <c r="H30471" s="185"/>
    </row>
    <row r="30472">
      <c r="D30472" s="185"/>
      <c r="E30472" s="185" t="s">
        <v>470</v>
      </c>
      <c r="H30472" s="185"/>
    </row>
    <row r="30473">
      <c r="D30473" s="185"/>
      <c r="E30473" s="185" t="s">
        <v>470</v>
      </c>
      <c r="H30473" s="185"/>
    </row>
    <row r="30474">
      <c r="D30474" s="185"/>
      <c r="E30474" s="185" t="s">
        <v>470</v>
      </c>
      <c r="H30474" s="185"/>
    </row>
    <row r="30475">
      <c r="D30475" s="185"/>
      <c r="E30475" s="185" t="s">
        <v>470</v>
      </c>
      <c r="H30475" s="185"/>
    </row>
    <row r="30476">
      <c r="D30476" s="185"/>
      <c r="E30476" s="185" t="s">
        <v>470</v>
      </c>
      <c r="H30476" s="185"/>
    </row>
    <row r="30477">
      <c r="D30477" s="185"/>
      <c r="E30477" s="185" t="s">
        <v>470</v>
      </c>
      <c r="H30477" s="185"/>
    </row>
    <row r="30478">
      <c r="D30478" s="185"/>
      <c r="E30478" s="185" t="s">
        <v>470</v>
      </c>
      <c r="H30478" s="185"/>
    </row>
    <row r="30479">
      <c r="D30479" s="185"/>
      <c r="E30479" s="185" t="s">
        <v>470</v>
      </c>
      <c r="H30479" s="185"/>
    </row>
    <row r="30480">
      <c r="D30480" s="185"/>
      <c r="E30480" s="185" t="s">
        <v>470</v>
      </c>
      <c r="H30480" s="185"/>
    </row>
    <row r="30481">
      <c r="D30481" s="185"/>
      <c r="E30481" s="185" t="s">
        <v>470</v>
      </c>
      <c r="H30481" s="185"/>
    </row>
    <row r="30482">
      <c r="D30482" s="185"/>
      <c r="E30482" s="185" t="s">
        <v>470</v>
      </c>
      <c r="H30482" s="185"/>
    </row>
    <row r="30483">
      <c r="D30483" s="185"/>
      <c r="E30483" s="185" t="s">
        <v>470</v>
      </c>
      <c r="H30483" s="185"/>
    </row>
    <row r="30484">
      <c r="D30484" s="185"/>
      <c r="E30484" s="185" t="s">
        <v>470</v>
      </c>
      <c r="H30484" s="185"/>
    </row>
    <row r="30485">
      <c r="D30485" s="185"/>
      <c r="E30485" s="185" t="s">
        <v>470</v>
      </c>
      <c r="H30485" s="185"/>
    </row>
    <row r="30486">
      <c r="D30486" s="185"/>
      <c r="E30486" s="185" t="s">
        <v>470</v>
      </c>
      <c r="H30486" s="185"/>
    </row>
    <row r="30487">
      <c r="D30487" s="185"/>
      <c r="E30487" s="185" t="s">
        <v>470</v>
      </c>
      <c r="H30487" s="185"/>
    </row>
    <row r="30488">
      <c r="D30488" s="185"/>
      <c r="E30488" s="185" t="s">
        <v>470</v>
      </c>
      <c r="H30488" s="185"/>
    </row>
    <row r="30489">
      <c r="D30489" s="185"/>
      <c r="E30489" s="185" t="s">
        <v>470</v>
      </c>
      <c r="H30489" s="185"/>
    </row>
    <row r="30490">
      <c r="D30490" s="185"/>
      <c r="E30490" s="185" t="s">
        <v>470</v>
      </c>
      <c r="H30490" s="185"/>
    </row>
    <row r="30491">
      <c r="D30491" s="185"/>
      <c r="E30491" s="185" t="s">
        <v>470</v>
      </c>
      <c r="H30491" s="185"/>
    </row>
    <row r="30492">
      <c r="D30492" s="185"/>
      <c r="E30492" s="185" t="s">
        <v>470</v>
      </c>
      <c r="H30492" s="185"/>
    </row>
    <row r="30493">
      <c r="D30493" s="185"/>
      <c r="E30493" s="185" t="s">
        <v>470</v>
      </c>
      <c r="H30493" s="185"/>
    </row>
    <row r="30494">
      <c r="D30494" s="185"/>
      <c r="E30494" s="185" t="s">
        <v>470</v>
      </c>
      <c r="H30494" s="185"/>
    </row>
    <row r="30495">
      <c r="D30495" s="185"/>
      <c r="E30495" s="185" t="s">
        <v>470</v>
      </c>
      <c r="H30495" s="185"/>
    </row>
    <row r="30496">
      <c r="D30496" s="185"/>
      <c r="E30496" s="185" t="s">
        <v>470</v>
      </c>
      <c r="H30496" s="185"/>
    </row>
    <row r="30497">
      <c r="D30497" s="185"/>
      <c r="E30497" s="185" t="s">
        <v>470</v>
      </c>
      <c r="H30497" s="185"/>
    </row>
    <row r="30498">
      <c r="D30498" s="185"/>
      <c r="E30498" s="185" t="s">
        <v>470</v>
      </c>
      <c r="H30498" s="185"/>
    </row>
    <row r="30499">
      <c r="D30499" s="185"/>
      <c r="E30499" s="185" t="s">
        <v>470</v>
      </c>
      <c r="H30499" s="185"/>
    </row>
    <row r="30500">
      <c r="D30500" s="185"/>
      <c r="E30500" s="185" t="s">
        <v>470</v>
      </c>
      <c r="H30500" s="185"/>
    </row>
    <row r="30501">
      <c r="D30501" s="185"/>
      <c r="E30501" s="185" t="s">
        <v>470</v>
      </c>
      <c r="H30501" s="185"/>
    </row>
    <row r="30502">
      <c r="D30502" s="185"/>
      <c r="E30502" s="185" t="s">
        <v>470</v>
      </c>
      <c r="H30502" s="185"/>
    </row>
    <row r="30503">
      <c r="D30503" s="185"/>
      <c r="E30503" s="185" t="s">
        <v>470</v>
      </c>
      <c r="H30503" s="185"/>
    </row>
    <row r="30504">
      <c r="D30504" s="185"/>
      <c r="E30504" s="185" t="s">
        <v>470</v>
      </c>
      <c r="H30504" s="185"/>
    </row>
    <row r="30505">
      <c r="D30505" s="185"/>
      <c r="E30505" s="185" t="s">
        <v>470</v>
      </c>
      <c r="H30505" s="185"/>
    </row>
    <row r="30506">
      <c r="D30506" s="185"/>
      <c r="E30506" s="185" t="s">
        <v>470</v>
      </c>
      <c r="H30506" s="185"/>
    </row>
    <row r="30507">
      <c r="D30507" s="185"/>
      <c r="E30507" s="185" t="s">
        <v>470</v>
      </c>
      <c r="H30507" s="185"/>
    </row>
    <row r="30508">
      <c r="D30508" s="185"/>
      <c r="E30508" s="185" t="s">
        <v>470</v>
      </c>
      <c r="H30508" s="185"/>
    </row>
    <row r="30509">
      <c r="D30509" s="185"/>
      <c r="E30509" s="185" t="s">
        <v>470</v>
      </c>
      <c r="H30509" s="185"/>
    </row>
    <row r="30510">
      <c r="D30510" s="185"/>
      <c r="E30510" s="185" t="s">
        <v>470</v>
      </c>
      <c r="H30510" s="185"/>
    </row>
    <row r="30511">
      <c r="D30511" s="185"/>
      <c r="E30511" s="185" t="s">
        <v>470</v>
      </c>
      <c r="H30511" s="185"/>
    </row>
    <row r="30512">
      <c r="D30512" s="185"/>
      <c r="E30512" s="185" t="s">
        <v>470</v>
      </c>
      <c r="H30512" s="185"/>
    </row>
    <row r="30513">
      <c r="D30513" s="185"/>
      <c r="E30513" s="185" t="s">
        <v>470</v>
      </c>
      <c r="H30513" s="185"/>
    </row>
    <row r="30514">
      <c r="D30514" s="185"/>
      <c r="E30514" s="185" t="s">
        <v>470</v>
      </c>
      <c r="H30514" s="185"/>
    </row>
    <row r="30515">
      <c r="D30515" s="185"/>
      <c r="E30515" s="185" t="s">
        <v>470</v>
      </c>
      <c r="H30515" s="185"/>
    </row>
    <row r="30516">
      <c r="D30516" s="185"/>
      <c r="E30516" s="185" t="s">
        <v>470</v>
      </c>
      <c r="H30516" s="185"/>
    </row>
    <row r="30517">
      <c r="D30517" s="185"/>
      <c r="E30517" s="185" t="s">
        <v>470</v>
      </c>
      <c r="H30517" s="185"/>
    </row>
    <row r="30518">
      <c r="D30518" s="185"/>
      <c r="E30518" s="185" t="s">
        <v>470</v>
      </c>
      <c r="H30518" s="185"/>
    </row>
    <row r="30519">
      <c r="D30519" s="185"/>
      <c r="E30519" s="185" t="s">
        <v>470</v>
      </c>
      <c r="H30519" s="185"/>
    </row>
    <row r="30520">
      <c r="D30520" s="185"/>
      <c r="E30520" s="185" t="s">
        <v>470</v>
      </c>
      <c r="H30520" s="185"/>
    </row>
    <row r="30521">
      <c r="D30521" s="185"/>
      <c r="E30521" s="185" t="s">
        <v>470</v>
      </c>
      <c r="H30521" s="185"/>
    </row>
    <row r="30522">
      <c r="D30522" s="185"/>
      <c r="E30522" s="185" t="s">
        <v>470</v>
      </c>
      <c r="H30522" s="185"/>
    </row>
    <row r="30523">
      <c r="D30523" s="185"/>
      <c r="E30523" s="185" t="s">
        <v>470</v>
      </c>
      <c r="H30523" s="185"/>
    </row>
    <row r="30524">
      <c r="D30524" s="185"/>
      <c r="E30524" s="185" t="s">
        <v>470</v>
      </c>
      <c r="H30524" s="185"/>
    </row>
    <row r="30525">
      <c r="D30525" s="185"/>
      <c r="E30525" s="185" t="s">
        <v>470</v>
      </c>
      <c r="H30525" s="185"/>
    </row>
    <row r="30526">
      <c r="D30526" s="185"/>
      <c r="E30526" s="185" t="s">
        <v>470</v>
      </c>
      <c r="H30526" s="185"/>
    </row>
    <row r="30527">
      <c r="D30527" s="185"/>
      <c r="E30527" s="185" t="s">
        <v>470</v>
      </c>
      <c r="H30527" s="185"/>
    </row>
    <row r="30528">
      <c r="D30528" s="185"/>
      <c r="E30528" s="185" t="s">
        <v>470</v>
      </c>
      <c r="H30528" s="185"/>
    </row>
    <row r="30529">
      <c r="D30529" s="185"/>
      <c r="E30529" s="185" t="s">
        <v>470</v>
      </c>
      <c r="H30529" s="185"/>
    </row>
    <row r="30530">
      <c r="D30530" s="185"/>
      <c r="E30530" s="185" t="s">
        <v>470</v>
      </c>
      <c r="H30530" s="185"/>
    </row>
    <row r="30531">
      <c r="D30531" s="185"/>
      <c r="E30531" s="185" t="s">
        <v>470</v>
      </c>
      <c r="H30531" s="185"/>
    </row>
    <row r="30532">
      <c r="D30532" s="185"/>
      <c r="E30532" s="185" t="s">
        <v>470</v>
      </c>
      <c r="H30532" s="185"/>
    </row>
    <row r="30533">
      <c r="D30533" s="185"/>
      <c r="E30533" s="185" t="s">
        <v>470</v>
      </c>
      <c r="H30533" s="185"/>
    </row>
    <row r="30534">
      <c r="D30534" s="185"/>
      <c r="E30534" s="185" t="s">
        <v>470</v>
      </c>
      <c r="H30534" s="185"/>
    </row>
    <row r="30535">
      <c r="D30535" s="185"/>
      <c r="E30535" s="185" t="s">
        <v>470</v>
      </c>
      <c r="H30535" s="185"/>
    </row>
    <row r="30536">
      <c r="D30536" s="185"/>
      <c r="E30536" s="185" t="s">
        <v>470</v>
      </c>
      <c r="H30536" s="185"/>
    </row>
    <row r="30537">
      <c r="D30537" s="185"/>
      <c r="E30537" s="185" t="s">
        <v>470</v>
      </c>
      <c r="H30537" s="185"/>
    </row>
    <row r="30538">
      <c r="D30538" s="185"/>
      <c r="E30538" s="185" t="s">
        <v>470</v>
      </c>
      <c r="H30538" s="185"/>
    </row>
    <row r="30539">
      <c r="D30539" s="185"/>
      <c r="E30539" s="185" t="s">
        <v>470</v>
      </c>
      <c r="H30539" s="185"/>
    </row>
    <row r="30540">
      <c r="D30540" s="185"/>
      <c r="E30540" s="185" t="s">
        <v>470</v>
      </c>
      <c r="H30540" s="185"/>
    </row>
    <row r="30541">
      <c r="D30541" s="185"/>
      <c r="E30541" s="185" t="s">
        <v>470</v>
      </c>
      <c r="H30541" s="185"/>
    </row>
    <row r="30542">
      <c r="D30542" s="185"/>
      <c r="E30542" s="185" t="s">
        <v>470</v>
      </c>
      <c r="H30542" s="185"/>
    </row>
    <row r="30543">
      <c r="D30543" s="185"/>
      <c r="E30543" s="185" t="s">
        <v>470</v>
      </c>
      <c r="H30543" s="185"/>
    </row>
    <row r="30544">
      <c r="D30544" s="185"/>
      <c r="E30544" s="185" t="s">
        <v>470</v>
      </c>
      <c r="H30544" s="185"/>
    </row>
    <row r="30545">
      <c r="D30545" s="185"/>
      <c r="E30545" s="185" t="s">
        <v>470</v>
      </c>
      <c r="H30545" s="185"/>
    </row>
    <row r="30546">
      <c r="D30546" s="185"/>
      <c r="E30546" s="185" t="s">
        <v>470</v>
      </c>
      <c r="H30546" s="185"/>
    </row>
    <row r="30547">
      <c r="D30547" s="185"/>
      <c r="E30547" s="185" t="s">
        <v>470</v>
      </c>
      <c r="H30547" s="185"/>
    </row>
    <row r="30548">
      <c r="D30548" s="185"/>
      <c r="E30548" s="185" t="s">
        <v>470</v>
      </c>
      <c r="H30548" s="185"/>
    </row>
    <row r="30549">
      <c r="D30549" s="185"/>
      <c r="E30549" s="185" t="s">
        <v>470</v>
      </c>
      <c r="H30549" s="185"/>
    </row>
    <row r="30550">
      <c r="D30550" s="185"/>
      <c r="E30550" s="185" t="s">
        <v>470</v>
      </c>
      <c r="H30550" s="185"/>
    </row>
    <row r="30551">
      <c r="D30551" s="185"/>
      <c r="E30551" s="185" t="s">
        <v>470</v>
      </c>
      <c r="H30551" s="185"/>
    </row>
    <row r="30552">
      <c r="D30552" s="185"/>
      <c r="E30552" s="185" t="s">
        <v>470</v>
      </c>
      <c r="H30552" s="185"/>
    </row>
    <row r="30553">
      <c r="D30553" s="185"/>
      <c r="E30553" s="185" t="s">
        <v>470</v>
      </c>
      <c r="H30553" s="185"/>
    </row>
    <row r="30554">
      <c r="D30554" s="185"/>
      <c r="E30554" s="185" t="s">
        <v>470</v>
      </c>
      <c r="H30554" s="185"/>
    </row>
    <row r="30555">
      <c r="D30555" s="185"/>
      <c r="E30555" s="185" t="s">
        <v>470</v>
      </c>
      <c r="H30555" s="185"/>
    </row>
    <row r="30556">
      <c r="D30556" s="185"/>
      <c r="E30556" s="185" t="s">
        <v>470</v>
      </c>
      <c r="H30556" s="185"/>
    </row>
    <row r="30557">
      <c r="D30557" s="185"/>
      <c r="E30557" s="185" t="s">
        <v>470</v>
      </c>
      <c r="H30557" s="185"/>
    </row>
    <row r="30558">
      <c r="D30558" s="185"/>
      <c r="E30558" s="185" t="s">
        <v>470</v>
      </c>
      <c r="H30558" s="185"/>
    </row>
    <row r="30559">
      <c r="D30559" s="185"/>
      <c r="E30559" s="185" t="s">
        <v>470</v>
      </c>
      <c r="H30559" s="185"/>
    </row>
    <row r="30560">
      <c r="D30560" s="185"/>
      <c r="E30560" s="185" t="s">
        <v>470</v>
      </c>
      <c r="H30560" s="185"/>
    </row>
    <row r="30561">
      <c r="D30561" s="185"/>
      <c r="E30561" s="185" t="s">
        <v>470</v>
      </c>
      <c r="H30561" s="185"/>
    </row>
    <row r="30562">
      <c r="D30562" s="185"/>
      <c r="E30562" s="185" t="s">
        <v>470</v>
      </c>
      <c r="H30562" s="185"/>
    </row>
    <row r="30563">
      <c r="D30563" s="185"/>
      <c r="E30563" s="185" t="s">
        <v>470</v>
      </c>
      <c r="H30563" s="185"/>
    </row>
    <row r="30564">
      <c r="D30564" s="185"/>
      <c r="E30564" s="185" t="s">
        <v>470</v>
      </c>
      <c r="H30564" s="185"/>
    </row>
    <row r="30565">
      <c r="D30565" s="185"/>
      <c r="E30565" s="185" t="s">
        <v>470</v>
      </c>
      <c r="H30565" s="185"/>
    </row>
    <row r="30566">
      <c r="D30566" s="185"/>
      <c r="E30566" s="185" t="s">
        <v>470</v>
      </c>
      <c r="H30566" s="185"/>
    </row>
    <row r="30567">
      <c r="D30567" s="185"/>
      <c r="E30567" s="185" t="s">
        <v>470</v>
      </c>
      <c r="H30567" s="185"/>
    </row>
    <row r="30568">
      <c r="D30568" s="185"/>
      <c r="E30568" s="185" t="s">
        <v>470</v>
      </c>
      <c r="H30568" s="185"/>
    </row>
    <row r="30569">
      <c r="D30569" s="185"/>
      <c r="E30569" s="185" t="s">
        <v>470</v>
      </c>
      <c r="H30569" s="185"/>
    </row>
    <row r="30570">
      <c r="D30570" s="185"/>
      <c r="E30570" s="185" t="s">
        <v>470</v>
      </c>
      <c r="H30570" s="185"/>
    </row>
    <row r="30571">
      <c r="D30571" s="185"/>
      <c r="E30571" s="185" t="s">
        <v>470</v>
      </c>
      <c r="H30571" s="185"/>
    </row>
    <row r="30572">
      <c r="D30572" s="185"/>
      <c r="E30572" s="185" t="s">
        <v>470</v>
      </c>
      <c r="H30572" s="185"/>
    </row>
    <row r="30573">
      <c r="D30573" s="185"/>
      <c r="E30573" s="185" t="s">
        <v>470</v>
      </c>
      <c r="H30573" s="185"/>
    </row>
    <row r="30574">
      <c r="D30574" s="185"/>
      <c r="E30574" s="185" t="s">
        <v>470</v>
      </c>
      <c r="H30574" s="185"/>
    </row>
    <row r="30575">
      <c r="D30575" s="185"/>
      <c r="E30575" s="185" t="s">
        <v>470</v>
      </c>
      <c r="H30575" s="185"/>
    </row>
    <row r="30576">
      <c r="D30576" s="185"/>
      <c r="E30576" s="185" t="s">
        <v>470</v>
      </c>
      <c r="H30576" s="185"/>
    </row>
    <row r="30577">
      <c r="D30577" s="185"/>
      <c r="E30577" s="185" t="s">
        <v>470</v>
      </c>
      <c r="H30577" s="185"/>
    </row>
    <row r="30578">
      <c r="D30578" s="185"/>
      <c r="E30578" s="185" t="s">
        <v>470</v>
      </c>
      <c r="H30578" s="185"/>
    </row>
    <row r="30579">
      <c r="D30579" s="185"/>
      <c r="E30579" s="185" t="s">
        <v>470</v>
      </c>
      <c r="H30579" s="185"/>
    </row>
    <row r="30580">
      <c r="D30580" s="185"/>
      <c r="E30580" s="185" t="s">
        <v>470</v>
      </c>
      <c r="H30580" s="185"/>
    </row>
    <row r="30581">
      <c r="D30581" s="185"/>
      <c r="E30581" s="185" t="s">
        <v>470</v>
      </c>
      <c r="H30581" s="185"/>
    </row>
    <row r="30582">
      <c r="D30582" s="185"/>
      <c r="E30582" s="185" t="s">
        <v>470</v>
      </c>
      <c r="H30582" s="185"/>
    </row>
    <row r="30583">
      <c r="D30583" s="185"/>
      <c r="E30583" s="185" t="s">
        <v>470</v>
      </c>
      <c r="H30583" s="185"/>
    </row>
    <row r="30584">
      <c r="D30584" s="185"/>
      <c r="E30584" s="185" t="s">
        <v>470</v>
      </c>
      <c r="H30584" s="185"/>
    </row>
    <row r="30585">
      <c r="D30585" s="185"/>
      <c r="E30585" s="185" t="s">
        <v>470</v>
      </c>
      <c r="H30585" s="185"/>
    </row>
    <row r="30586">
      <c r="D30586" s="185"/>
      <c r="E30586" s="185" t="s">
        <v>470</v>
      </c>
      <c r="H30586" s="185"/>
    </row>
    <row r="30587">
      <c r="D30587" s="185"/>
      <c r="E30587" s="185" t="s">
        <v>470</v>
      </c>
      <c r="H30587" s="185"/>
    </row>
    <row r="30588">
      <c r="D30588" s="185"/>
      <c r="E30588" s="185" t="s">
        <v>470</v>
      </c>
      <c r="H30588" s="185"/>
    </row>
    <row r="30589">
      <c r="D30589" s="185"/>
      <c r="E30589" s="185" t="s">
        <v>470</v>
      </c>
      <c r="H30589" s="185"/>
    </row>
    <row r="30590">
      <c r="D30590" s="185"/>
      <c r="E30590" s="185" t="s">
        <v>470</v>
      </c>
      <c r="H30590" s="185"/>
    </row>
    <row r="30591">
      <c r="D30591" s="185"/>
      <c r="E30591" s="185" t="s">
        <v>470</v>
      </c>
      <c r="H30591" s="185"/>
    </row>
    <row r="30592">
      <c r="D30592" s="185"/>
      <c r="E30592" s="185" t="s">
        <v>470</v>
      </c>
      <c r="H30592" s="185"/>
    </row>
    <row r="30593">
      <c r="D30593" s="185"/>
      <c r="E30593" s="185" t="s">
        <v>470</v>
      </c>
      <c r="H30593" s="185"/>
    </row>
    <row r="30594">
      <c r="D30594" s="185"/>
      <c r="E30594" s="185" t="s">
        <v>470</v>
      </c>
      <c r="H30594" s="185"/>
    </row>
    <row r="30595">
      <c r="D30595" s="185"/>
      <c r="E30595" s="185" t="s">
        <v>470</v>
      </c>
      <c r="H30595" s="185"/>
    </row>
    <row r="30596">
      <c r="D30596" s="185"/>
      <c r="E30596" s="185" t="s">
        <v>470</v>
      </c>
      <c r="H30596" s="185"/>
    </row>
    <row r="30597">
      <c r="D30597" s="185"/>
      <c r="E30597" s="185" t="s">
        <v>470</v>
      </c>
      <c r="H30597" s="185"/>
    </row>
    <row r="30598">
      <c r="D30598" s="185"/>
      <c r="E30598" s="185" t="s">
        <v>470</v>
      </c>
      <c r="H30598" s="185"/>
    </row>
    <row r="30599">
      <c r="D30599" s="185"/>
      <c r="E30599" s="185" t="s">
        <v>470</v>
      </c>
      <c r="H30599" s="185"/>
    </row>
    <row r="30600">
      <c r="D30600" s="185"/>
      <c r="E30600" s="185" t="s">
        <v>470</v>
      </c>
      <c r="H30600" s="185"/>
    </row>
    <row r="30601">
      <c r="D30601" s="185"/>
      <c r="E30601" s="185" t="s">
        <v>470</v>
      </c>
      <c r="H30601" s="185"/>
    </row>
    <row r="30602">
      <c r="D30602" s="185"/>
      <c r="E30602" s="185" t="s">
        <v>470</v>
      </c>
      <c r="H30602" s="185"/>
    </row>
    <row r="30603">
      <c r="D30603" s="185"/>
      <c r="E30603" s="185" t="s">
        <v>470</v>
      </c>
      <c r="H30603" s="185"/>
    </row>
    <row r="30604">
      <c r="D30604" s="185"/>
      <c r="E30604" s="185" t="s">
        <v>470</v>
      </c>
      <c r="H30604" s="185"/>
    </row>
    <row r="30605">
      <c r="D30605" s="185"/>
      <c r="E30605" s="185" t="s">
        <v>470</v>
      </c>
      <c r="H30605" s="185"/>
    </row>
    <row r="30606">
      <c r="D30606" s="185"/>
      <c r="E30606" s="185" t="s">
        <v>470</v>
      </c>
      <c r="H30606" s="185"/>
    </row>
    <row r="30607">
      <c r="D30607" s="185"/>
      <c r="E30607" s="185" t="s">
        <v>470</v>
      </c>
      <c r="H30607" s="185"/>
    </row>
    <row r="30608">
      <c r="D30608" s="185"/>
      <c r="E30608" s="185" t="s">
        <v>470</v>
      </c>
      <c r="H30608" s="185"/>
    </row>
    <row r="30609">
      <c r="D30609" s="185"/>
      <c r="E30609" s="185" t="s">
        <v>470</v>
      </c>
      <c r="H30609" s="185"/>
    </row>
    <row r="30610">
      <c r="D30610" s="185"/>
      <c r="E30610" s="185" t="s">
        <v>470</v>
      </c>
      <c r="H30610" s="185"/>
    </row>
    <row r="30611">
      <c r="D30611" s="185"/>
      <c r="E30611" s="185" t="s">
        <v>470</v>
      </c>
      <c r="H30611" s="185"/>
    </row>
    <row r="30612">
      <c r="D30612" s="185"/>
      <c r="E30612" s="185" t="s">
        <v>470</v>
      </c>
      <c r="H30612" s="185"/>
    </row>
    <row r="30613">
      <c r="D30613" s="185"/>
      <c r="E30613" s="185" t="s">
        <v>470</v>
      </c>
      <c r="H30613" s="185"/>
    </row>
    <row r="30614">
      <c r="D30614" s="185"/>
      <c r="E30614" s="185" t="s">
        <v>470</v>
      </c>
      <c r="H30614" s="185"/>
    </row>
    <row r="30615">
      <c r="D30615" s="185"/>
      <c r="E30615" s="185" t="s">
        <v>470</v>
      </c>
      <c r="H30615" s="185"/>
    </row>
    <row r="30616">
      <c r="D30616" s="185"/>
      <c r="E30616" s="185" t="s">
        <v>470</v>
      </c>
      <c r="H30616" s="185"/>
    </row>
    <row r="30617">
      <c r="D30617" s="185"/>
      <c r="E30617" s="185" t="s">
        <v>470</v>
      </c>
      <c r="H30617" s="185"/>
    </row>
    <row r="30618">
      <c r="D30618" s="185"/>
      <c r="E30618" s="185" t="s">
        <v>470</v>
      </c>
      <c r="H30618" s="185"/>
    </row>
    <row r="30619">
      <c r="D30619" s="185"/>
      <c r="E30619" s="185" t="s">
        <v>470</v>
      </c>
      <c r="H30619" s="185"/>
    </row>
    <row r="30620">
      <c r="D30620" s="185"/>
      <c r="E30620" s="185" t="s">
        <v>470</v>
      </c>
      <c r="H30620" s="185"/>
    </row>
    <row r="30621">
      <c r="D30621" s="185"/>
      <c r="E30621" s="185" t="s">
        <v>470</v>
      </c>
      <c r="H30621" s="185"/>
    </row>
    <row r="30622">
      <c r="D30622" s="185"/>
      <c r="E30622" s="185" t="s">
        <v>470</v>
      </c>
      <c r="H30622" s="185"/>
    </row>
    <row r="30623">
      <c r="D30623" s="185"/>
      <c r="E30623" s="185" t="s">
        <v>470</v>
      </c>
      <c r="H30623" s="185"/>
    </row>
    <row r="30624">
      <c r="D30624" s="185"/>
      <c r="E30624" s="185" t="s">
        <v>470</v>
      </c>
      <c r="H30624" s="185"/>
    </row>
    <row r="30625">
      <c r="D30625" s="185"/>
      <c r="E30625" s="185" t="s">
        <v>470</v>
      </c>
      <c r="H30625" s="185"/>
    </row>
    <row r="30626">
      <c r="D30626" s="185"/>
      <c r="E30626" s="185" t="s">
        <v>470</v>
      </c>
      <c r="H30626" s="185"/>
    </row>
    <row r="30627">
      <c r="D30627" s="185"/>
      <c r="E30627" s="185" t="s">
        <v>470</v>
      </c>
      <c r="H30627" s="185"/>
    </row>
    <row r="30628">
      <c r="D30628" s="185"/>
      <c r="E30628" s="185" t="s">
        <v>470</v>
      </c>
      <c r="H30628" s="185"/>
    </row>
    <row r="30629">
      <c r="D30629" s="185"/>
      <c r="E30629" s="185" t="s">
        <v>470</v>
      </c>
      <c r="H30629" s="185"/>
    </row>
    <row r="30630">
      <c r="D30630" s="185"/>
      <c r="E30630" s="185" t="s">
        <v>470</v>
      </c>
      <c r="H30630" s="185"/>
    </row>
    <row r="30631">
      <c r="D30631" s="185"/>
      <c r="E30631" s="185" t="s">
        <v>470</v>
      </c>
      <c r="H30631" s="185"/>
    </row>
    <row r="30632">
      <c r="D30632" s="185"/>
      <c r="E30632" s="185" t="s">
        <v>470</v>
      </c>
      <c r="H30632" s="185"/>
    </row>
    <row r="30633">
      <c r="D30633" s="185"/>
      <c r="E30633" s="185" t="s">
        <v>470</v>
      </c>
      <c r="H30633" s="185"/>
    </row>
    <row r="30634">
      <c r="D30634" s="185"/>
      <c r="E30634" s="185" t="s">
        <v>470</v>
      </c>
      <c r="H30634" s="185"/>
    </row>
    <row r="30635">
      <c r="D30635" s="185"/>
      <c r="E30635" s="185" t="s">
        <v>470</v>
      </c>
      <c r="H30635" s="185"/>
    </row>
    <row r="30636">
      <c r="D30636" s="185"/>
      <c r="E30636" s="185" t="s">
        <v>470</v>
      </c>
      <c r="H30636" s="185"/>
    </row>
    <row r="30637">
      <c r="D30637" s="185"/>
      <c r="E30637" s="185" t="s">
        <v>470</v>
      </c>
      <c r="H30637" s="185"/>
    </row>
    <row r="30638">
      <c r="D30638" s="185"/>
      <c r="E30638" s="185" t="s">
        <v>470</v>
      </c>
      <c r="H30638" s="185"/>
    </row>
    <row r="30639">
      <c r="D30639" s="185"/>
      <c r="E30639" s="185" t="s">
        <v>470</v>
      </c>
      <c r="H30639" s="185"/>
    </row>
    <row r="30640">
      <c r="D30640" s="185"/>
      <c r="E30640" s="185" t="s">
        <v>470</v>
      </c>
      <c r="H30640" s="185"/>
    </row>
    <row r="30641">
      <c r="D30641" s="185"/>
      <c r="E30641" s="185" t="s">
        <v>470</v>
      </c>
      <c r="H30641" s="185"/>
    </row>
    <row r="30642">
      <c r="D30642" s="185"/>
      <c r="E30642" s="185" t="s">
        <v>470</v>
      </c>
      <c r="H30642" s="185"/>
    </row>
    <row r="30643">
      <c r="D30643" s="185"/>
      <c r="E30643" s="185" t="s">
        <v>470</v>
      </c>
      <c r="H30643" s="185"/>
    </row>
    <row r="30644">
      <c r="D30644" s="185"/>
      <c r="E30644" s="185" t="s">
        <v>470</v>
      </c>
      <c r="H30644" s="185"/>
    </row>
    <row r="30645">
      <c r="D30645" s="185"/>
      <c r="E30645" s="185" t="s">
        <v>470</v>
      </c>
      <c r="H30645" s="185"/>
    </row>
    <row r="30646">
      <c r="D30646" s="185"/>
      <c r="E30646" s="185" t="s">
        <v>470</v>
      </c>
      <c r="H30646" s="185"/>
    </row>
    <row r="30647">
      <c r="D30647" s="185"/>
      <c r="E30647" s="185" t="s">
        <v>470</v>
      </c>
      <c r="H30647" s="185"/>
    </row>
    <row r="30648">
      <c r="D30648" s="185"/>
      <c r="E30648" s="185" t="s">
        <v>470</v>
      </c>
      <c r="H30648" s="185"/>
    </row>
    <row r="30649">
      <c r="D30649" s="185"/>
      <c r="E30649" s="185" t="s">
        <v>470</v>
      </c>
      <c r="H30649" s="185"/>
    </row>
    <row r="30650">
      <c r="D30650" s="185"/>
      <c r="E30650" s="185" t="s">
        <v>470</v>
      </c>
      <c r="H30650" s="185"/>
    </row>
    <row r="30651">
      <c r="D30651" s="185"/>
      <c r="E30651" s="185" t="s">
        <v>470</v>
      </c>
      <c r="H30651" s="185"/>
    </row>
    <row r="30652">
      <c r="D30652" s="185"/>
      <c r="E30652" s="185" t="s">
        <v>470</v>
      </c>
      <c r="H30652" s="185"/>
    </row>
    <row r="30653">
      <c r="D30653" s="185"/>
      <c r="E30653" s="185" t="s">
        <v>470</v>
      </c>
      <c r="H30653" s="185"/>
    </row>
    <row r="30654">
      <c r="D30654" s="185"/>
      <c r="E30654" s="185" t="s">
        <v>470</v>
      </c>
      <c r="H30654" s="185"/>
    </row>
    <row r="30655">
      <c r="D30655" s="185"/>
      <c r="E30655" s="185" t="s">
        <v>470</v>
      </c>
      <c r="H30655" s="185"/>
    </row>
    <row r="30656">
      <c r="D30656" s="185"/>
      <c r="E30656" s="185" t="s">
        <v>470</v>
      </c>
      <c r="H30656" s="185"/>
    </row>
    <row r="30657">
      <c r="D30657" s="185"/>
      <c r="E30657" s="185" t="s">
        <v>470</v>
      </c>
      <c r="H30657" s="185"/>
    </row>
    <row r="30658">
      <c r="D30658" s="185"/>
      <c r="E30658" s="185" t="s">
        <v>470</v>
      </c>
      <c r="H30658" s="185"/>
    </row>
    <row r="30659">
      <c r="D30659" s="185"/>
      <c r="E30659" s="185" t="s">
        <v>470</v>
      </c>
      <c r="H30659" s="185"/>
    </row>
    <row r="30660">
      <c r="D30660" s="185"/>
      <c r="E30660" s="185" t="s">
        <v>470</v>
      </c>
      <c r="H30660" s="185"/>
    </row>
    <row r="30661">
      <c r="D30661" s="185"/>
      <c r="E30661" s="185" t="s">
        <v>470</v>
      </c>
      <c r="H30661" s="185"/>
    </row>
    <row r="30662">
      <c r="D30662" s="185"/>
      <c r="E30662" s="185" t="s">
        <v>470</v>
      </c>
      <c r="H30662" s="185"/>
    </row>
    <row r="30663">
      <c r="D30663" s="185"/>
      <c r="E30663" s="185" t="s">
        <v>470</v>
      </c>
      <c r="H30663" s="185"/>
    </row>
    <row r="30664">
      <c r="D30664" s="185"/>
      <c r="E30664" s="185" t="s">
        <v>470</v>
      </c>
      <c r="H30664" s="185"/>
    </row>
    <row r="30665">
      <c r="D30665" s="185"/>
      <c r="E30665" s="185" t="s">
        <v>470</v>
      </c>
      <c r="H30665" s="185"/>
    </row>
    <row r="30666">
      <c r="D30666" s="185"/>
      <c r="E30666" s="185" t="s">
        <v>470</v>
      </c>
      <c r="H30666" s="185"/>
    </row>
    <row r="30667">
      <c r="D30667" s="185"/>
      <c r="E30667" s="185" t="s">
        <v>470</v>
      </c>
      <c r="H30667" s="185"/>
    </row>
    <row r="30668">
      <c r="D30668" s="185"/>
      <c r="E30668" s="185" t="s">
        <v>470</v>
      </c>
      <c r="H30668" s="185"/>
    </row>
    <row r="30669">
      <c r="D30669" s="185"/>
      <c r="E30669" s="185" t="s">
        <v>470</v>
      </c>
      <c r="H30669" s="185"/>
    </row>
    <row r="30670">
      <c r="D30670" s="185"/>
      <c r="E30670" s="185" t="s">
        <v>470</v>
      </c>
      <c r="H30670" s="185"/>
    </row>
    <row r="30671">
      <c r="D30671" s="185"/>
      <c r="E30671" s="185" t="s">
        <v>470</v>
      </c>
      <c r="H30671" s="185"/>
    </row>
    <row r="30672">
      <c r="D30672" s="185"/>
      <c r="E30672" s="185" t="s">
        <v>470</v>
      </c>
      <c r="H30672" s="185"/>
    </row>
    <row r="30673">
      <c r="D30673" s="185"/>
      <c r="E30673" s="185" t="s">
        <v>470</v>
      </c>
      <c r="H30673" s="185"/>
    </row>
    <row r="30674">
      <c r="D30674" s="185"/>
      <c r="E30674" s="185" t="s">
        <v>470</v>
      </c>
      <c r="H30674" s="185"/>
    </row>
    <row r="30675">
      <c r="D30675" s="185"/>
      <c r="E30675" s="185" t="s">
        <v>470</v>
      </c>
      <c r="H30675" s="185"/>
    </row>
    <row r="30676">
      <c r="D30676" s="185"/>
      <c r="E30676" s="185" t="s">
        <v>470</v>
      </c>
      <c r="H30676" s="185"/>
    </row>
    <row r="30677">
      <c r="D30677" s="185"/>
      <c r="E30677" s="185" t="s">
        <v>470</v>
      </c>
      <c r="H30677" s="185"/>
    </row>
    <row r="30678">
      <c r="D30678" s="185"/>
      <c r="E30678" s="185" t="s">
        <v>470</v>
      </c>
      <c r="H30678" s="185"/>
    </row>
    <row r="30679">
      <c r="D30679" s="185"/>
      <c r="E30679" s="185" t="s">
        <v>470</v>
      </c>
      <c r="H30679" s="185"/>
    </row>
    <row r="30680">
      <c r="D30680" s="185"/>
      <c r="E30680" s="185" t="s">
        <v>470</v>
      </c>
      <c r="H30680" s="185"/>
    </row>
    <row r="30681">
      <c r="D30681" s="185"/>
      <c r="E30681" s="185" t="s">
        <v>470</v>
      </c>
      <c r="H30681" s="185"/>
    </row>
    <row r="30682">
      <c r="D30682" s="185"/>
      <c r="E30682" s="185" t="s">
        <v>470</v>
      </c>
      <c r="H30682" s="185"/>
    </row>
    <row r="30683">
      <c r="D30683" s="185"/>
      <c r="E30683" s="185" t="s">
        <v>470</v>
      </c>
      <c r="H30683" s="185"/>
    </row>
    <row r="30684">
      <c r="D30684" s="185"/>
      <c r="E30684" s="185" t="s">
        <v>470</v>
      </c>
      <c r="H30684" s="185"/>
    </row>
    <row r="30685">
      <c r="D30685" s="185"/>
      <c r="E30685" s="185" t="s">
        <v>470</v>
      </c>
      <c r="H30685" s="185"/>
    </row>
    <row r="30686">
      <c r="D30686" s="185"/>
      <c r="E30686" s="185" t="s">
        <v>470</v>
      </c>
      <c r="H30686" s="185"/>
    </row>
    <row r="30687">
      <c r="D30687" s="185"/>
      <c r="E30687" s="185" t="s">
        <v>470</v>
      </c>
      <c r="H30687" s="185"/>
    </row>
    <row r="30688">
      <c r="D30688" s="185"/>
      <c r="E30688" s="185" t="s">
        <v>470</v>
      </c>
      <c r="H30688" s="185"/>
    </row>
    <row r="30689">
      <c r="D30689" s="185"/>
      <c r="E30689" s="185" t="s">
        <v>470</v>
      </c>
      <c r="H30689" s="185"/>
    </row>
    <row r="30690">
      <c r="D30690" s="185"/>
      <c r="E30690" s="185" t="s">
        <v>470</v>
      </c>
      <c r="H30690" s="185"/>
    </row>
    <row r="30691">
      <c r="D30691" s="185"/>
      <c r="E30691" s="185" t="s">
        <v>470</v>
      </c>
      <c r="H30691" s="185"/>
    </row>
    <row r="30692">
      <c r="D30692" s="185"/>
      <c r="E30692" s="185" t="s">
        <v>470</v>
      </c>
      <c r="H30692" s="185"/>
    </row>
    <row r="30693">
      <c r="D30693" s="185"/>
      <c r="E30693" s="185" t="s">
        <v>470</v>
      </c>
      <c r="H30693" s="185"/>
    </row>
    <row r="30694">
      <c r="D30694" s="185"/>
      <c r="E30694" s="185" t="s">
        <v>470</v>
      </c>
      <c r="H30694" s="185"/>
    </row>
    <row r="30695">
      <c r="D30695" s="185"/>
      <c r="E30695" s="185" t="s">
        <v>470</v>
      </c>
      <c r="H30695" s="185"/>
    </row>
    <row r="30696">
      <c r="D30696" s="185"/>
      <c r="E30696" s="185" t="s">
        <v>470</v>
      </c>
      <c r="H30696" s="185"/>
    </row>
    <row r="30697">
      <c r="D30697" s="185"/>
      <c r="E30697" s="185" t="s">
        <v>470</v>
      </c>
      <c r="H30697" s="185"/>
    </row>
    <row r="30698">
      <c r="D30698" s="185"/>
      <c r="E30698" s="185" t="s">
        <v>470</v>
      </c>
      <c r="H30698" s="185"/>
    </row>
    <row r="30699">
      <c r="D30699" s="185"/>
      <c r="E30699" s="185" t="s">
        <v>470</v>
      </c>
      <c r="H30699" s="185"/>
    </row>
    <row r="30700">
      <c r="D30700" s="185"/>
      <c r="E30700" s="185" t="s">
        <v>470</v>
      </c>
      <c r="H30700" s="185"/>
    </row>
    <row r="30701">
      <c r="D30701" s="185"/>
      <c r="E30701" s="185" t="s">
        <v>470</v>
      </c>
      <c r="H30701" s="185"/>
    </row>
    <row r="30702">
      <c r="D30702" s="185"/>
      <c r="E30702" s="185" t="s">
        <v>470</v>
      </c>
      <c r="H30702" s="185"/>
    </row>
    <row r="30703">
      <c r="D30703" s="185"/>
      <c r="E30703" s="185" t="s">
        <v>470</v>
      </c>
      <c r="H30703" s="185"/>
    </row>
    <row r="30704">
      <c r="D30704" s="185"/>
      <c r="E30704" s="185" t="s">
        <v>470</v>
      </c>
      <c r="H30704" s="185"/>
    </row>
    <row r="30705">
      <c r="D30705" s="185"/>
      <c r="E30705" s="185" t="s">
        <v>470</v>
      </c>
      <c r="H30705" s="185"/>
    </row>
    <row r="30706">
      <c r="D30706" s="185"/>
      <c r="E30706" s="185" t="s">
        <v>470</v>
      </c>
      <c r="H30706" s="185"/>
    </row>
    <row r="30707">
      <c r="D30707" s="185"/>
      <c r="E30707" s="185" t="s">
        <v>470</v>
      </c>
      <c r="H30707" s="185"/>
    </row>
    <row r="30708">
      <c r="D30708" s="185"/>
      <c r="E30708" s="185" t="s">
        <v>470</v>
      </c>
      <c r="H30708" s="185"/>
    </row>
    <row r="30709">
      <c r="D30709" s="185"/>
      <c r="E30709" s="185" t="s">
        <v>470</v>
      </c>
      <c r="H30709" s="185"/>
    </row>
    <row r="30710">
      <c r="D30710" s="185"/>
      <c r="E30710" s="185" t="s">
        <v>470</v>
      </c>
      <c r="H30710" s="185"/>
    </row>
    <row r="30711">
      <c r="D30711" s="185"/>
      <c r="E30711" s="185" t="s">
        <v>470</v>
      </c>
      <c r="H30711" s="185"/>
    </row>
    <row r="30712">
      <c r="D30712" s="185"/>
      <c r="E30712" s="185" t="s">
        <v>470</v>
      </c>
      <c r="H30712" s="185"/>
    </row>
    <row r="30713">
      <c r="D30713" s="185"/>
      <c r="E30713" s="185" t="s">
        <v>470</v>
      </c>
      <c r="H30713" s="185"/>
    </row>
    <row r="30714">
      <c r="D30714" s="185"/>
      <c r="E30714" s="185" t="s">
        <v>470</v>
      </c>
      <c r="H30714" s="185"/>
    </row>
    <row r="30715">
      <c r="D30715" s="185"/>
      <c r="E30715" s="185" t="s">
        <v>470</v>
      </c>
      <c r="H30715" s="185"/>
    </row>
    <row r="30716">
      <c r="D30716" s="185"/>
      <c r="E30716" s="185" t="s">
        <v>470</v>
      </c>
      <c r="H30716" s="185"/>
    </row>
    <row r="30717">
      <c r="D30717" s="185"/>
      <c r="E30717" s="185" t="s">
        <v>470</v>
      </c>
      <c r="H30717" s="185"/>
    </row>
    <row r="30718">
      <c r="D30718" s="185"/>
      <c r="E30718" s="185" t="s">
        <v>470</v>
      </c>
      <c r="H30718" s="185"/>
    </row>
    <row r="30719">
      <c r="D30719" s="185"/>
      <c r="E30719" s="185" t="s">
        <v>470</v>
      </c>
      <c r="H30719" s="185"/>
    </row>
    <row r="30720">
      <c r="D30720" s="185"/>
      <c r="E30720" s="185" t="s">
        <v>470</v>
      </c>
      <c r="H30720" s="185"/>
    </row>
    <row r="30721">
      <c r="D30721" s="185"/>
      <c r="E30721" s="185" t="s">
        <v>470</v>
      </c>
      <c r="H30721" s="185"/>
    </row>
    <row r="30722">
      <c r="D30722" s="185"/>
      <c r="E30722" s="185" t="s">
        <v>470</v>
      </c>
      <c r="H30722" s="185"/>
    </row>
    <row r="30723">
      <c r="D30723" s="185"/>
      <c r="E30723" s="185" t="s">
        <v>470</v>
      </c>
      <c r="H30723" s="185"/>
    </row>
    <row r="30724">
      <c r="D30724" s="185"/>
      <c r="E30724" s="185" t="s">
        <v>470</v>
      </c>
      <c r="H30724" s="185"/>
    </row>
    <row r="30725">
      <c r="D30725" s="185"/>
      <c r="E30725" s="185" t="s">
        <v>470</v>
      </c>
      <c r="H30725" s="185"/>
    </row>
    <row r="30726">
      <c r="D30726" s="185"/>
      <c r="E30726" s="185" t="s">
        <v>470</v>
      </c>
      <c r="H30726" s="185"/>
    </row>
    <row r="30727">
      <c r="D30727" s="185"/>
      <c r="E30727" s="185" t="s">
        <v>470</v>
      </c>
      <c r="H30727" s="185"/>
    </row>
    <row r="30728">
      <c r="D30728" s="185"/>
      <c r="E30728" s="185" t="s">
        <v>470</v>
      </c>
      <c r="H30728" s="185"/>
    </row>
    <row r="30729">
      <c r="D30729" s="185"/>
      <c r="E30729" s="185" t="s">
        <v>470</v>
      </c>
      <c r="H30729" s="185"/>
    </row>
    <row r="30730">
      <c r="D30730" s="185"/>
      <c r="E30730" s="185" t="s">
        <v>470</v>
      </c>
      <c r="H30730" s="185"/>
    </row>
    <row r="30731">
      <c r="D30731" s="185"/>
      <c r="E30731" s="185" t="s">
        <v>470</v>
      </c>
      <c r="H30731" s="185"/>
    </row>
    <row r="30732">
      <c r="D30732" s="185"/>
      <c r="E30732" s="185" t="s">
        <v>470</v>
      </c>
      <c r="H30732" s="185"/>
    </row>
    <row r="30733">
      <c r="D30733" s="185"/>
      <c r="E30733" s="185" t="s">
        <v>470</v>
      </c>
      <c r="H30733" s="185"/>
    </row>
    <row r="30734">
      <c r="D30734" s="185"/>
      <c r="E30734" s="185" t="s">
        <v>470</v>
      </c>
      <c r="H30734" s="185"/>
    </row>
    <row r="30735">
      <c r="D30735" s="185"/>
      <c r="E30735" s="185" t="s">
        <v>470</v>
      </c>
      <c r="H30735" s="185"/>
    </row>
    <row r="30736">
      <c r="D30736" s="185"/>
      <c r="E30736" s="185" t="s">
        <v>470</v>
      </c>
      <c r="H30736" s="185"/>
    </row>
    <row r="30737">
      <c r="D30737" s="185"/>
      <c r="E30737" s="185" t="s">
        <v>470</v>
      </c>
      <c r="H30737" s="185"/>
    </row>
    <row r="30738">
      <c r="D30738" s="185"/>
      <c r="E30738" s="185" t="s">
        <v>470</v>
      </c>
      <c r="H30738" s="185"/>
    </row>
    <row r="30739">
      <c r="D30739" s="185"/>
      <c r="E30739" s="185" t="s">
        <v>470</v>
      </c>
      <c r="H30739" s="185"/>
    </row>
    <row r="30740">
      <c r="D30740" s="185"/>
      <c r="E30740" s="185" t="s">
        <v>470</v>
      </c>
      <c r="H30740" s="185"/>
    </row>
    <row r="30741">
      <c r="D30741" s="185"/>
      <c r="E30741" s="185" t="s">
        <v>470</v>
      </c>
      <c r="H30741" s="185"/>
    </row>
    <row r="30742">
      <c r="D30742" s="185"/>
      <c r="E30742" s="185" t="s">
        <v>470</v>
      </c>
      <c r="H30742" s="185"/>
    </row>
    <row r="30743">
      <c r="D30743" s="185"/>
      <c r="E30743" s="185" t="s">
        <v>470</v>
      </c>
      <c r="H30743" s="185"/>
    </row>
    <row r="30744">
      <c r="D30744" s="185"/>
      <c r="E30744" s="185" t="s">
        <v>470</v>
      </c>
      <c r="H30744" s="185"/>
    </row>
    <row r="30745">
      <c r="D30745" s="185"/>
      <c r="E30745" s="185" t="s">
        <v>470</v>
      </c>
      <c r="H30745" s="185"/>
    </row>
    <row r="30746">
      <c r="D30746" s="185"/>
      <c r="E30746" s="185" t="s">
        <v>470</v>
      </c>
      <c r="H30746" s="185"/>
    </row>
    <row r="30747">
      <c r="D30747" s="185"/>
      <c r="E30747" s="185" t="s">
        <v>470</v>
      </c>
      <c r="H30747" s="185"/>
    </row>
    <row r="30748">
      <c r="D30748" s="185"/>
      <c r="E30748" s="185" t="s">
        <v>470</v>
      </c>
      <c r="H30748" s="185"/>
    </row>
    <row r="30749">
      <c r="D30749" s="185"/>
      <c r="E30749" s="185" t="s">
        <v>470</v>
      </c>
      <c r="H30749" s="185"/>
    </row>
    <row r="30750">
      <c r="D30750" s="185"/>
      <c r="E30750" s="185" t="s">
        <v>470</v>
      </c>
      <c r="H30750" s="185"/>
    </row>
    <row r="30751">
      <c r="D30751" s="185"/>
      <c r="E30751" s="185" t="s">
        <v>470</v>
      </c>
      <c r="H30751" s="185"/>
    </row>
    <row r="30752">
      <c r="D30752" s="185"/>
      <c r="E30752" s="185" t="s">
        <v>470</v>
      </c>
      <c r="H30752" s="185"/>
    </row>
    <row r="30753">
      <c r="D30753" s="185"/>
      <c r="E30753" s="185" t="s">
        <v>470</v>
      </c>
      <c r="H30753" s="185"/>
    </row>
    <row r="30754">
      <c r="D30754" s="185"/>
      <c r="E30754" s="185" t="s">
        <v>470</v>
      </c>
      <c r="H30754" s="185"/>
    </row>
    <row r="30755">
      <c r="D30755" s="185"/>
      <c r="E30755" s="185" t="s">
        <v>470</v>
      </c>
      <c r="H30755" s="185"/>
    </row>
    <row r="30756">
      <c r="D30756" s="185"/>
      <c r="E30756" s="185" t="s">
        <v>470</v>
      </c>
      <c r="H30756" s="185"/>
    </row>
    <row r="30757">
      <c r="D30757" s="185"/>
      <c r="E30757" s="185" t="s">
        <v>470</v>
      </c>
      <c r="H30757" s="185"/>
    </row>
    <row r="30758">
      <c r="D30758" s="185"/>
      <c r="E30758" s="185" t="s">
        <v>470</v>
      </c>
      <c r="H30758" s="185"/>
    </row>
    <row r="30759">
      <c r="D30759" s="185"/>
      <c r="E30759" s="185" t="s">
        <v>470</v>
      </c>
      <c r="H30759" s="185"/>
    </row>
    <row r="30760">
      <c r="D30760" s="185"/>
      <c r="E30760" s="185" t="s">
        <v>470</v>
      </c>
      <c r="H30760" s="185"/>
    </row>
    <row r="30761">
      <c r="D30761" s="185"/>
      <c r="E30761" s="185" t="s">
        <v>470</v>
      </c>
      <c r="H30761" s="185"/>
    </row>
    <row r="30762">
      <c r="D30762" s="185"/>
      <c r="E30762" s="185" t="s">
        <v>470</v>
      </c>
      <c r="H30762" s="185"/>
    </row>
    <row r="30763">
      <c r="D30763" s="185"/>
      <c r="E30763" s="185" t="s">
        <v>470</v>
      </c>
      <c r="H30763" s="185"/>
    </row>
    <row r="30764">
      <c r="D30764" s="185"/>
      <c r="E30764" s="185" t="s">
        <v>470</v>
      </c>
      <c r="H30764" s="185"/>
    </row>
    <row r="30765">
      <c r="D30765" s="185"/>
      <c r="E30765" s="185" t="s">
        <v>470</v>
      </c>
      <c r="H30765" s="185"/>
    </row>
    <row r="30766">
      <c r="D30766" s="185"/>
      <c r="E30766" s="185" t="s">
        <v>470</v>
      </c>
      <c r="H30766" s="185"/>
    </row>
    <row r="30767">
      <c r="D30767" s="185"/>
      <c r="E30767" s="185" t="s">
        <v>470</v>
      </c>
      <c r="H30767" s="185"/>
    </row>
    <row r="30768">
      <c r="D30768" s="185"/>
      <c r="E30768" s="185" t="s">
        <v>470</v>
      </c>
      <c r="H30768" s="185"/>
    </row>
    <row r="30769">
      <c r="D30769" s="185"/>
      <c r="E30769" s="185" t="s">
        <v>470</v>
      </c>
      <c r="H30769" s="185"/>
    </row>
    <row r="30770">
      <c r="D30770" s="185"/>
      <c r="E30770" s="185" t="s">
        <v>470</v>
      </c>
      <c r="H30770" s="185"/>
    </row>
    <row r="30771">
      <c r="D30771" s="185"/>
      <c r="E30771" s="185" t="s">
        <v>470</v>
      </c>
      <c r="H30771" s="185"/>
    </row>
    <row r="30772">
      <c r="D30772" s="185"/>
      <c r="E30772" s="185" t="s">
        <v>470</v>
      </c>
      <c r="H30772" s="185"/>
    </row>
    <row r="30773">
      <c r="D30773" s="185"/>
      <c r="E30773" s="185" t="s">
        <v>470</v>
      </c>
      <c r="H30773" s="185"/>
    </row>
    <row r="30774">
      <c r="D30774" s="185"/>
      <c r="E30774" s="185" t="s">
        <v>470</v>
      </c>
      <c r="H30774" s="185"/>
    </row>
    <row r="30775">
      <c r="D30775" s="185"/>
      <c r="E30775" s="185" t="s">
        <v>470</v>
      </c>
      <c r="H30775" s="185"/>
    </row>
    <row r="30776">
      <c r="D30776" s="185"/>
      <c r="E30776" s="185" t="s">
        <v>470</v>
      </c>
      <c r="H30776" s="185"/>
    </row>
    <row r="30777">
      <c r="D30777" s="185"/>
      <c r="E30777" s="185" t="s">
        <v>470</v>
      </c>
      <c r="H30777" s="185"/>
    </row>
    <row r="30778">
      <c r="D30778" s="185"/>
      <c r="E30778" s="185" t="s">
        <v>470</v>
      </c>
      <c r="H30778" s="185"/>
    </row>
    <row r="30779">
      <c r="D30779" s="185"/>
      <c r="E30779" s="185" t="s">
        <v>470</v>
      </c>
      <c r="H30779" s="185"/>
    </row>
    <row r="30780">
      <c r="D30780" s="185"/>
      <c r="E30780" s="185" t="s">
        <v>470</v>
      </c>
      <c r="H30780" s="185"/>
    </row>
    <row r="30781">
      <c r="D30781" s="185"/>
      <c r="E30781" s="185" t="s">
        <v>470</v>
      </c>
      <c r="H30781" s="185"/>
    </row>
    <row r="30782">
      <c r="D30782" s="185"/>
      <c r="E30782" s="185" t="s">
        <v>470</v>
      </c>
      <c r="H30782" s="185"/>
    </row>
    <row r="30783">
      <c r="D30783" s="185"/>
      <c r="E30783" s="185" t="s">
        <v>470</v>
      </c>
      <c r="H30783" s="185"/>
    </row>
    <row r="30784">
      <c r="D30784" s="185"/>
      <c r="E30784" s="185" t="s">
        <v>470</v>
      </c>
      <c r="H30784" s="185"/>
    </row>
    <row r="30785">
      <c r="D30785" s="185"/>
      <c r="E30785" s="185" t="s">
        <v>470</v>
      </c>
      <c r="H30785" s="185"/>
    </row>
    <row r="30786">
      <c r="D30786" s="185"/>
      <c r="E30786" s="185" t="s">
        <v>470</v>
      </c>
      <c r="H30786" s="185"/>
    </row>
    <row r="30787">
      <c r="D30787" s="185"/>
      <c r="E30787" s="185" t="s">
        <v>470</v>
      </c>
      <c r="H30787" s="185"/>
    </row>
    <row r="30788">
      <c r="D30788" s="185"/>
      <c r="E30788" s="185" t="s">
        <v>470</v>
      </c>
      <c r="H30788" s="185"/>
    </row>
    <row r="30789">
      <c r="D30789" s="185"/>
      <c r="E30789" s="185" t="s">
        <v>470</v>
      </c>
      <c r="H30789" s="185"/>
    </row>
    <row r="30790">
      <c r="D30790" s="185"/>
      <c r="E30790" s="185" t="s">
        <v>470</v>
      </c>
      <c r="H30790" s="185"/>
    </row>
    <row r="30791">
      <c r="D30791" s="185"/>
      <c r="E30791" s="185" t="s">
        <v>470</v>
      </c>
      <c r="H30791" s="185"/>
    </row>
    <row r="30792">
      <c r="D30792" s="185"/>
      <c r="E30792" s="185" t="s">
        <v>470</v>
      </c>
      <c r="H30792" s="185"/>
    </row>
    <row r="30793">
      <c r="D30793" s="185"/>
      <c r="E30793" s="185" t="s">
        <v>470</v>
      </c>
      <c r="H30793" s="185"/>
    </row>
    <row r="30794">
      <c r="D30794" s="185"/>
      <c r="E30794" s="185" t="s">
        <v>470</v>
      </c>
      <c r="H30794" s="185"/>
    </row>
    <row r="30795">
      <c r="D30795" s="185"/>
      <c r="E30795" s="185" t="s">
        <v>470</v>
      </c>
      <c r="H30795" s="185"/>
    </row>
    <row r="30796">
      <c r="D30796" s="185"/>
      <c r="E30796" s="185" t="s">
        <v>470</v>
      </c>
      <c r="H30796" s="185"/>
    </row>
    <row r="30797">
      <c r="D30797" s="185"/>
      <c r="E30797" s="185" t="s">
        <v>470</v>
      </c>
      <c r="H30797" s="185"/>
    </row>
    <row r="30798">
      <c r="D30798" s="185"/>
      <c r="E30798" s="185" t="s">
        <v>470</v>
      </c>
      <c r="H30798" s="185"/>
    </row>
    <row r="30799">
      <c r="D30799" s="185"/>
      <c r="E30799" s="185" t="s">
        <v>470</v>
      </c>
      <c r="H30799" s="185"/>
    </row>
    <row r="30800">
      <c r="D30800" s="185"/>
      <c r="E30800" s="185" t="s">
        <v>470</v>
      </c>
      <c r="H30800" s="185"/>
    </row>
    <row r="30801">
      <c r="D30801" s="185"/>
      <c r="E30801" s="185" t="s">
        <v>470</v>
      </c>
      <c r="H30801" s="185"/>
    </row>
    <row r="30802">
      <c r="D30802" s="185"/>
      <c r="E30802" s="185" t="s">
        <v>470</v>
      </c>
      <c r="H30802" s="185"/>
    </row>
    <row r="30803">
      <c r="D30803" s="185"/>
      <c r="E30803" s="185" t="s">
        <v>470</v>
      </c>
      <c r="H30803" s="185"/>
    </row>
    <row r="30804">
      <c r="D30804" s="185"/>
      <c r="E30804" s="185" t="s">
        <v>470</v>
      </c>
      <c r="H30804" s="185"/>
    </row>
    <row r="30805">
      <c r="D30805" s="185"/>
      <c r="E30805" s="185" t="s">
        <v>470</v>
      </c>
      <c r="H30805" s="185"/>
    </row>
    <row r="30806">
      <c r="D30806" s="185"/>
      <c r="E30806" s="185" t="s">
        <v>470</v>
      </c>
      <c r="H30806" s="185"/>
    </row>
    <row r="30807">
      <c r="D30807" s="185"/>
      <c r="E30807" s="185" t="s">
        <v>470</v>
      </c>
      <c r="H30807" s="185"/>
    </row>
    <row r="30808">
      <c r="D30808" s="185"/>
      <c r="E30808" s="185" t="s">
        <v>470</v>
      </c>
      <c r="H30808" s="185"/>
    </row>
    <row r="30809">
      <c r="D30809" s="185"/>
      <c r="E30809" s="185" t="s">
        <v>470</v>
      </c>
      <c r="H30809" s="185"/>
    </row>
    <row r="30810">
      <c r="D30810" s="185"/>
      <c r="E30810" s="185" t="s">
        <v>470</v>
      </c>
      <c r="H30810" s="185"/>
    </row>
    <row r="30811">
      <c r="D30811" s="185"/>
      <c r="E30811" s="185" t="s">
        <v>470</v>
      </c>
      <c r="H30811" s="185"/>
    </row>
    <row r="30812">
      <c r="D30812" s="185"/>
      <c r="E30812" s="185" t="s">
        <v>470</v>
      </c>
      <c r="H30812" s="185"/>
    </row>
    <row r="30813">
      <c r="D30813" s="185"/>
      <c r="E30813" s="185" t="s">
        <v>470</v>
      </c>
      <c r="H30813" s="185"/>
    </row>
    <row r="30814">
      <c r="D30814" s="185"/>
      <c r="E30814" s="185" t="s">
        <v>470</v>
      </c>
      <c r="H30814" s="185"/>
    </row>
    <row r="30815">
      <c r="D30815" s="185"/>
      <c r="E30815" s="185" t="s">
        <v>470</v>
      </c>
      <c r="H30815" s="185"/>
    </row>
    <row r="30816">
      <c r="D30816" s="185"/>
      <c r="E30816" s="185" t="s">
        <v>470</v>
      </c>
      <c r="H30816" s="185"/>
    </row>
    <row r="30817">
      <c r="D30817" s="185"/>
      <c r="E30817" s="185" t="s">
        <v>470</v>
      </c>
      <c r="H30817" s="185"/>
    </row>
    <row r="30818">
      <c r="D30818" s="185"/>
      <c r="E30818" s="185" t="s">
        <v>470</v>
      </c>
      <c r="H30818" s="185"/>
    </row>
    <row r="30819">
      <c r="D30819" s="185"/>
      <c r="E30819" s="185" t="s">
        <v>470</v>
      </c>
      <c r="H30819" s="185"/>
    </row>
    <row r="30820">
      <c r="D30820" s="185"/>
      <c r="E30820" s="185" t="s">
        <v>470</v>
      </c>
      <c r="H30820" s="185"/>
    </row>
    <row r="30821">
      <c r="D30821" s="185"/>
      <c r="E30821" s="185" t="s">
        <v>470</v>
      </c>
      <c r="H30821" s="185"/>
    </row>
    <row r="30822">
      <c r="D30822" s="185"/>
      <c r="E30822" s="185" t="s">
        <v>470</v>
      </c>
      <c r="H30822" s="185"/>
    </row>
    <row r="30823">
      <c r="D30823" s="185"/>
      <c r="E30823" s="185" t="s">
        <v>470</v>
      </c>
      <c r="H30823" s="185"/>
    </row>
    <row r="30824">
      <c r="D30824" s="185"/>
      <c r="E30824" s="185" t="s">
        <v>470</v>
      </c>
      <c r="H30824" s="185"/>
    </row>
    <row r="30825">
      <c r="D30825" s="185"/>
      <c r="E30825" s="185" t="s">
        <v>470</v>
      </c>
      <c r="H30825" s="185"/>
    </row>
    <row r="30826">
      <c r="D30826" s="185"/>
      <c r="E30826" s="185" t="s">
        <v>470</v>
      </c>
      <c r="H30826" s="185"/>
    </row>
    <row r="30827">
      <c r="D30827" s="185"/>
      <c r="E30827" s="185" t="s">
        <v>470</v>
      </c>
      <c r="H30827" s="185"/>
    </row>
    <row r="30828">
      <c r="D30828" s="185"/>
      <c r="E30828" s="185" t="s">
        <v>470</v>
      </c>
      <c r="H30828" s="185"/>
    </row>
    <row r="30829">
      <c r="D30829" s="185"/>
      <c r="E30829" s="185" t="s">
        <v>470</v>
      </c>
      <c r="H30829" s="185"/>
    </row>
    <row r="30830">
      <c r="D30830" s="185"/>
      <c r="E30830" s="185" t="s">
        <v>470</v>
      </c>
      <c r="H30830" s="185"/>
    </row>
    <row r="30831">
      <c r="D30831" s="185"/>
      <c r="E30831" s="185" t="s">
        <v>470</v>
      </c>
      <c r="H30831" s="185"/>
    </row>
    <row r="30832">
      <c r="D30832" s="185"/>
      <c r="E30832" s="185" t="s">
        <v>470</v>
      </c>
      <c r="H30832" s="185"/>
    </row>
    <row r="30833">
      <c r="D30833" s="185"/>
      <c r="E30833" s="185" t="s">
        <v>470</v>
      </c>
      <c r="H30833" s="185"/>
    </row>
    <row r="30834">
      <c r="D30834" s="185"/>
      <c r="E30834" s="185" t="s">
        <v>470</v>
      </c>
      <c r="H30834" s="185"/>
    </row>
    <row r="30835">
      <c r="D30835" s="185"/>
      <c r="E30835" s="185" t="s">
        <v>470</v>
      </c>
      <c r="H30835" s="185"/>
    </row>
    <row r="30836">
      <c r="D30836" s="185"/>
      <c r="E30836" s="185" t="s">
        <v>470</v>
      </c>
      <c r="H30836" s="185"/>
    </row>
    <row r="30837">
      <c r="D30837" s="185"/>
      <c r="E30837" s="185" t="s">
        <v>470</v>
      </c>
      <c r="H30837" s="185"/>
    </row>
    <row r="30838">
      <c r="D30838" s="185"/>
      <c r="E30838" s="185" t="s">
        <v>470</v>
      </c>
      <c r="H30838" s="185"/>
    </row>
    <row r="30839">
      <c r="D30839" s="185"/>
      <c r="E30839" s="185" t="s">
        <v>470</v>
      </c>
      <c r="H30839" s="185"/>
    </row>
    <row r="30840">
      <c r="D30840" s="185"/>
      <c r="E30840" s="185" t="s">
        <v>470</v>
      </c>
      <c r="H30840" s="185"/>
    </row>
    <row r="30841">
      <c r="D30841" s="185"/>
      <c r="E30841" s="185" t="s">
        <v>470</v>
      </c>
      <c r="H30841" s="185"/>
    </row>
    <row r="30842">
      <c r="D30842" s="185"/>
      <c r="E30842" s="185" t="s">
        <v>470</v>
      </c>
      <c r="H30842" s="185"/>
    </row>
    <row r="30843">
      <c r="D30843" s="185"/>
      <c r="E30843" s="185" t="s">
        <v>470</v>
      </c>
      <c r="H30843" s="185"/>
    </row>
    <row r="30844">
      <c r="D30844" s="185"/>
      <c r="E30844" s="185" t="s">
        <v>470</v>
      </c>
      <c r="H30844" s="185"/>
    </row>
    <row r="30845">
      <c r="D30845" s="185"/>
      <c r="E30845" s="185" t="s">
        <v>470</v>
      </c>
      <c r="H30845" s="185"/>
    </row>
    <row r="30846">
      <c r="D30846" s="185"/>
      <c r="E30846" s="185" t="s">
        <v>470</v>
      </c>
      <c r="H30846" s="185"/>
    </row>
    <row r="30847">
      <c r="D30847" s="185"/>
      <c r="E30847" s="185" t="s">
        <v>470</v>
      </c>
      <c r="H30847" s="185"/>
    </row>
    <row r="30848">
      <c r="D30848" s="185"/>
      <c r="E30848" s="185" t="s">
        <v>470</v>
      </c>
      <c r="H30848" s="185"/>
    </row>
    <row r="30849">
      <c r="D30849" s="185"/>
      <c r="E30849" s="185" t="s">
        <v>470</v>
      </c>
      <c r="H30849" s="185"/>
    </row>
    <row r="30850">
      <c r="D30850" s="185"/>
      <c r="E30850" s="185" t="s">
        <v>470</v>
      </c>
      <c r="H30850" s="185"/>
    </row>
    <row r="30851">
      <c r="D30851" s="185"/>
      <c r="E30851" s="185" t="s">
        <v>470</v>
      </c>
      <c r="H30851" s="185"/>
    </row>
    <row r="30852">
      <c r="D30852" s="185"/>
      <c r="E30852" s="185" t="s">
        <v>470</v>
      </c>
      <c r="H30852" s="185"/>
    </row>
    <row r="30853">
      <c r="D30853" s="185"/>
      <c r="E30853" s="185" t="s">
        <v>470</v>
      </c>
      <c r="H30853" s="185"/>
    </row>
    <row r="30854">
      <c r="D30854" s="185"/>
      <c r="E30854" s="185" t="s">
        <v>470</v>
      </c>
      <c r="H30854" s="185"/>
    </row>
    <row r="30855">
      <c r="D30855" s="185"/>
      <c r="E30855" s="185" t="s">
        <v>470</v>
      </c>
      <c r="H30855" s="185"/>
    </row>
    <row r="30856">
      <c r="D30856" s="185"/>
      <c r="E30856" s="185" t="s">
        <v>470</v>
      </c>
      <c r="H30856" s="185"/>
    </row>
    <row r="30857">
      <c r="D30857" s="185"/>
      <c r="E30857" s="185" t="s">
        <v>470</v>
      </c>
      <c r="H30857" s="185"/>
    </row>
    <row r="30858">
      <c r="D30858" s="185"/>
      <c r="E30858" s="185" t="s">
        <v>470</v>
      </c>
      <c r="H30858" s="185"/>
    </row>
    <row r="30859">
      <c r="D30859" s="185"/>
      <c r="E30859" s="185" t="s">
        <v>470</v>
      </c>
      <c r="H30859" s="185"/>
    </row>
    <row r="30860">
      <c r="D30860" s="185"/>
      <c r="E30860" s="185" t="s">
        <v>470</v>
      </c>
      <c r="H30860" s="185"/>
    </row>
    <row r="30861">
      <c r="D30861" s="185"/>
      <c r="E30861" s="185" t="s">
        <v>470</v>
      </c>
      <c r="H30861" s="185"/>
    </row>
    <row r="30862">
      <c r="D30862" s="185"/>
      <c r="E30862" s="185" t="s">
        <v>470</v>
      </c>
      <c r="H30862" s="185"/>
    </row>
    <row r="30863">
      <c r="D30863" s="185"/>
      <c r="E30863" s="185" t="s">
        <v>470</v>
      </c>
      <c r="H30863" s="185"/>
    </row>
    <row r="30864">
      <c r="D30864" s="185"/>
      <c r="E30864" s="185" t="s">
        <v>470</v>
      </c>
      <c r="H30864" s="185"/>
    </row>
    <row r="30865">
      <c r="D30865" s="185"/>
      <c r="E30865" s="185" t="s">
        <v>470</v>
      </c>
      <c r="H30865" s="185"/>
    </row>
    <row r="30866">
      <c r="D30866" s="185"/>
      <c r="E30866" s="185" t="s">
        <v>470</v>
      </c>
      <c r="H30866" s="185"/>
    </row>
    <row r="30867">
      <c r="D30867" s="185"/>
      <c r="E30867" s="185" t="s">
        <v>470</v>
      </c>
      <c r="H30867" s="185"/>
    </row>
    <row r="30868">
      <c r="D30868" s="185"/>
      <c r="E30868" s="185" t="s">
        <v>470</v>
      </c>
      <c r="H30868" s="185"/>
    </row>
    <row r="30869">
      <c r="D30869" s="185"/>
      <c r="E30869" s="185" t="s">
        <v>470</v>
      </c>
      <c r="H30869" s="185"/>
    </row>
    <row r="30870">
      <c r="D30870" s="185"/>
      <c r="E30870" s="185" t="s">
        <v>470</v>
      </c>
      <c r="H30870" s="185"/>
    </row>
    <row r="30871">
      <c r="D30871" s="185"/>
      <c r="E30871" s="185" t="s">
        <v>470</v>
      </c>
      <c r="H30871" s="185"/>
    </row>
    <row r="30872">
      <c r="D30872" s="185"/>
      <c r="E30872" s="185" t="s">
        <v>470</v>
      </c>
      <c r="H30872" s="185"/>
    </row>
    <row r="30873">
      <c r="D30873" s="185"/>
      <c r="E30873" s="185" t="s">
        <v>470</v>
      </c>
      <c r="H30873" s="185"/>
    </row>
    <row r="30874">
      <c r="D30874" s="185"/>
      <c r="E30874" s="185" t="s">
        <v>470</v>
      </c>
      <c r="H30874" s="185"/>
    </row>
    <row r="30875">
      <c r="D30875" s="185"/>
      <c r="E30875" s="185" t="s">
        <v>470</v>
      </c>
      <c r="H30875" s="185"/>
    </row>
    <row r="30876">
      <c r="D30876" s="185"/>
      <c r="E30876" s="185" t="s">
        <v>470</v>
      </c>
      <c r="H30876" s="185"/>
    </row>
    <row r="30877">
      <c r="D30877" s="185"/>
      <c r="E30877" s="185" t="s">
        <v>470</v>
      </c>
      <c r="H30877" s="185"/>
    </row>
    <row r="30878">
      <c r="D30878" s="185"/>
      <c r="E30878" s="185" t="s">
        <v>470</v>
      </c>
      <c r="H30878" s="185"/>
    </row>
    <row r="30879">
      <c r="D30879" s="185"/>
      <c r="E30879" s="185" t="s">
        <v>470</v>
      </c>
      <c r="H30879" s="185"/>
    </row>
    <row r="30880">
      <c r="D30880" s="185"/>
      <c r="E30880" s="185" t="s">
        <v>470</v>
      </c>
      <c r="H30880" s="185"/>
    </row>
    <row r="30881">
      <c r="D30881" s="185"/>
      <c r="E30881" s="185" t="s">
        <v>470</v>
      </c>
      <c r="H30881" s="185"/>
    </row>
    <row r="30882">
      <c r="D30882" s="185"/>
      <c r="E30882" s="185" t="s">
        <v>470</v>
      </c>
      <c r="H30882" s="185"/>
    </row>
    <row r="30883">
      <c r="D30883" s="185"/>
      <c r="E30883" s="185" t="s">
        <v>470</v>
      </c>
      <c r="H30883" s="185"/>
    </row>
    <row r="30884">
      <c r="D30884" s="185"/>
      <c r="E30884" s="185" t="s">
        <v>470</v>
      </c>
      <c r="H30884" s="185"/>
    </row>
    <row r="30885">
      <c r="D30885" s="185"/>
      <c r="E30885" s="185" t="s">
        <v>470</v>
      </c>
      <c r="H30885" s="185"/>
    </row>
    <row r="30886">
      <c r="D30886" s="185"/>
      <c r="E30886" s="185" t="s">
        <v>470</v>
      </c>
      <c r="H30886" s="185"/>
    </row>
    <row r="30887">
      <c r="D30887" s="185"/>
      <c r="E30887" s="185" t="s">
        <v>470</v>
      </c>
      <c r="H30887" s="185"/>
    </row>
    <row r="30888">
      <c r="D30888" s="185"/>
      <c r="E30888" s="185" t="s">
        <v>470</v>
      </c>
      <c r="H30888" s="185"/>
    </row>
    <row r="30889">
      <c r="D30889" s="185"/>
      <c r="E30889" s="185" t="s">
        <v>470</v>
      </c>
      <c r="H30889" s="185"/>
    </row>
    <row r="30890">
      <c r="D30890" s="185"/>
      <c r="E30890" s="185" t="s">
        <v>470</v>
      </c>
      <c r="H30890" s="185"/>
    </row>
    <row r="30891">
      <c r="D30891" s="185"/>
      <c r="E30891" s="185" t="s">
        <v>470</v>
      </c>
      <c r="H30891" s="185"/>
    </row>
    <row r="30892">
      <c r="D30892" s="185"/>
      <c r="E30892" s="185" t="s">
        <v>470</v>
      </c>
      <c r="H30892" s="185"/>
    </row>
    <row r="30893">
      <c r="D30893" s="185"/>
      <c r="E30893" s="185" t="s">
        <v>470</v>
      </c>
      <c r="H30893" s="185"/>
    </row>
    <row r="30894">
      <c r="D30894" s="185"/>
      <c r="E30894" s="185" t="s">
        <v>470</v>
      </c>
      <c r="H30894" s="185"/>
    </row>
    <row r="30895">
      <c r="D30895" s="185"/>
      <c r="E30895" s="185" t="s">
        <v>470</v>
      </c>
      <c r="H30895" s="185"/>
    </row>
    <row r="30896">
      <c r="D30896" s="185"/>
      <c r="E30896" s="185" t="s">
        <v>470</v>
      </c>
      <c r="H30896" s="185"/>
    </row>
    <row r="30897">
      <c r="D30897" s="185"/>
      <c r="E30897" s="185" t="s">
        <v>470</v>
      </c>
      <c r="H30897" s="185"/>
    </row>
    <row r="30898">
      <c r="D30898" s="185"/>
      <c r="E30898" s="185" t="s">
        <v>470</v>
      </c>
      <c r="H30898" s="185"/>
    </row>
    <row r="30899">
      <c r="D30899" s="185"/>
      <c r="E30899" s="185" t="s">
        <v>470</v>
      </c>
      <c r="H30899" s="185"/>
    </row>
    <row r="30900">
      <c r="D30900" s="185"/>
      <c r="E30900" s="185" t="s">
        <v>470</v>
      </c>
      <c r="H30900" s="185"/>
    </row>
    <row r="30901">
      <c r="D30901" s="185"/>
      <c r="E30901" s="185" t="s">
        <v>470</v>
      </c>
      <c r="H30901" s="185"/>
    </row>
    <row r="30902">
      <c r="D30902" s="185"/>
      <c r="E30902" s="185" t="s">
        <v>470</v>
      </c>
      <c r="H30902" s="185"/>
    </row>
    <row r="30903">
      <c r="D30903" s="185"/>
      <c r="E30903" s="185" t="s">
        <v>470</v>
      </c>
      <c r="H30903" s="185"/>
    </row>
    <row r="30904">
      <c r="D30904" s="185"/>
      <c r="E30904" s="185" t="s">
        <v>470</v>
      </c>
      <c r="H30904" s="185"/>
    </row>
    <row r="30905">
      <c r="D30905" s="185"/>
      <c r="E30905" s="185" t="s">
        <v>470</v>
      </c>
      <c r="H30905" s="185"/>
    </row>
    <row r="30906">
      <c r="D30906" s="185"/>
      <c r="E30906" s="185" t="s">
        <v>470</v>
      </c>
      <c r="H30906" s="185"/>
    </row>
    <row r="30907">
      <c r="D30907" s="185"/>
      <c r="E30907" s="185" t="s">
        <v>470</v>
      </c>
      <c r="H30907" s="185"/>
    </row>
    <row r="30908">
      <c r="D30908" s="185"/>
      <c r="E30908" s="185" t="s">
        <v>470</v>
      </c>
      <c r="H30908" s="185"/>
    </row>
    <row r="30909">
      <c r="D30909" s="185"/>
      <c r="E30909" s="185" t="s">
        <v>470</v>
      </c>
      <c r="H30909" s="185"/>
    </row>
    <row r="30910">
      <c r="D30910" s="185"/>
      <c r="E30910" s="185" t="s">
        <v>470</v>
      </c>
      <c r="H30910" s="185"/>
    </row>
    <row r="30911">
      <c r="D30911" s="185"/>
      <c r="E30911" s="185" t="s">
        <v>470</v>
      </c>
      <c r="H30911" s="185"/>
    </row>
    <row r="30912">
      <c r="D30912" s="185"/>
      <c r="E30912" s="185" t="s">
        <v>470</v>
      </c>
      <c r="H30912" s="185"/>
    </row>
    <row r="30913">
      <c r="D30913" s="185"/>
      <c r="E30913" s="185" t="s">
        <v>470</v>
      </c>
      <c r="H30913" s="185"/>
    </row>
    <row r="30914">
      <c r="D30914" s="185"/>
      <c r="E30914" s="185" t="s">
        <v>470</v>
      </c>
      <c r="H30914" s="185"/>
    </row>
    <row r="30915">
      <c r="D30915" s="185"/>
      <c r="E30915" s="185" t="s">
        <v>470</v>
      </c>
      <c r="H30915" s="185"/>
    </row>
    <row r="30916">
      <c r="D30916" s="185"/>
      <c r="E30916" s="185" t="s">
        <v>470</v>
      </c>
      <c r="H30916" s="185"/>
    </row>
    <row r="30917">
      <c r="D30917" s="185"/>
      <c r="E30917" s="185" t="s">
        <v>470</v>
      </c>
      <c r="H30917" s="185"/>
    </row>
    <row r="30918">
      <c r="D30918" s="185"/>
      <c r="E30918" s="185" t="s">
        <v>470</v>
      </c>
      <c r="H30918" s="185"/>
    </row>
    <row r="30919">
      <c r="D30919" s="185"/>
      <c r="E30919" s="185" t="s">
        <v>470</v>
      </c>
      <c r="H30919" s="185"/>
    </row>
    <row r="30920">
      <c r="D30920" s="185"/>
      <c r="E30920" s="185" t="s">
        <v>470</v>
      </c>
      <c r="H30920" s="185"/>
    </row>
    <row r="30921">
      <c r="D30921" s="185"/>
      <c r="E30921" s="185" t="s">
        <v>470</v>
      </c>
      <c r="H30921" s="185"/>
    </row>
    <row r="30922">
      <c r="D30922" s="185"/>
      <c r="E30922" s="185" t="s">
        <v>470</v>
      </c>
      <c r="H30922" s="185"/>
    </row>
    <row r="30923">
      <c r="D30923" s="185"/>
      <c r="E30923" s="185" t="s">
        <v>470</v>
      </c>
      <c r="H30923" s="185"/>
    </row>
    <row r="30924">
      <c r="D30924" s="185"/>
      <c r="E30924" s="185" t="s">
        <v>470</v>
      </c>
      <c r="H30924" s="185"/>
    </row>
    <row r="30925">
      <c r="D30925" s="185"/>
      <c r="E30925" s="185" t="s">
        <v>470</v>
      </c>
      <c r="H30925" s="185"/>
    </row>
    <row r="30926">
      <c r="D30926" s="185"/>
      <c r="E30926" s="185" t="s">
        <v>470</v>
      </c>
      <c r="H30926" s="185"/>
    </row>
    <row r="30927">
      <c r="D30927" s="185"/>
      <c r="E30927" s="185" t="s">
        <v>470</v>
      </c>
      <c r="H30927" s="185"/>
    </row>
    <row r="30928">
      <c r="D30928" s="185"/>
      <c r="E30928" s="185" t="s">
        <v>470</v>
      </c>
      <c r="H30928" s="185"/>
    </row>
    <row r="30929">
      <c r="D30929" s="185"/>
      <c r="E30929" s="185" t="s">
        <v>470</v>
      </c>
      <c r="H30929" s="185"/>
    </row>
    <row r="30930">
      <c r="D30930" s="185"/>
      <c r="E30930" s="185" t="s">
        <v>470</v>
      </c>
      <c r="H30930" s="185"/>
    </row>
    <row r="30931">
      <c r="D30931" s="185"/>
      <c r="E30931" s="185" t="s">
        <v>470</v>
      </c>
      <c r="H30931" s="185"/>
    </row>
    <row r="30932">
      <c r="D30932" s="185"/>
      <c r="E30932" s="185" t="s">
        <v>470</v>
      </c>
      <c r="H30932" s="185"/>
    </row>
    <row r="30933">
      <c r="D30933" s="185"/>
      <c r="E30933" s="185" t="s">
        <v>470</v>
      </c>
      <c r="H30933" s="185"/>
    </row>
    <row r="30934">
      <c r="D30934" s="185"/>
      <c r="E30934" s="185" t="s">
        <v>470</v>
      </c>
      <c r="H30934" s="185"/>
    </row>
    <row r="30935">
      <c r="D30935" s="185"/>
      <c r="E30935" s="185" t="s">
        <v>470</v>
      </c>
      <c r="H30935" s="185"/>
    </row>
    <row r="30936">
      <c r="D30936" s="185"/>
      <c r="E30936" s="185" t="s">
        <v>470</v>
      </c>
      <c r="H30936" s="185"/>
    </row>
    <row r="30937">
      <c r="D30937" s="185"/>
      <c r="E30937" s="185" t="s">
        <v>470</v>
      </c>
      <c r="H30937" s="185"/>
    </row>
    <row r="30938">
      <c r="D30938" s="185"/>
      <c r="E30938" s="185" t="s">
        <v>470</v>
      </c>
      <c r="H30938" s="185"/>
    </row>
    <row r="30939">
      <c r="D30939" s="185"/>
      <c r="E30939" s="185" t="s">
        <v>470</v>
      </c>
      <c r="H30939" s="185"/>
    </row>
    <row r="30940">
      <c r="D30940" s="185"/>
      <c r="E30940" s="185" t="s">
        <v>470</v>
      </c>
      <c r="H30940" s="185"/>
    </row>
    <row r="30941">
      <c r="D30941" s="185"/>
      <c r="E30941" s="185" t="s">
        <v>470</v>
      </c>
      <c r="H30941" s="185"/>
    </row>
    <row r="30942">
      <c r="D30942" s="185"/>
      <c r="E30942" s="185" t="s">
        <v>470</v>
      </c>
      <c r="H30942" s="185"/>
    </row>
    <row r="30943">
      <c r="D30943" s="185"/>
      <c r="E30943" s="185" t="s">
        <v>470</v>
      </c>
      <c r="H30943" s="185"/>
    </row>
    <row r="30944">
      <c r="D30944" s="185"/>
      <c r="E30944" s="185" t="s">
        <v>470</v>
      </c>
      <c r="H30944" s="185"/>
    </row>
    <row r="30945">
      <c r="D30945" s="185"/>
      <c r="E30945" s="185" t="s">
        <v>470</v>
      </c>
      <c r="H30945" s="185"/>
    </row>
    <row r="30946">
      <c r="D30946" s="185"/>
      <c r="E30946" s="185" t="s">
        <v>470</v>
      </c>
      <c r="H30946" s="185"/>
    </row>
    <row r="30947">
      <c r="D30947" s="185"/>
      <c r="E30947" s="185" t="s">
        <v>470</v>
      </c>
      <c r="H30947" s="185"/>
    </row>
    <row r="30948">
      <c r="D30948" s="185"/>
      <c r="E30948" s="185" t="s">
        <v>470</v>
      </c>
      <c r="H30948" s="185"/>
    </row>
    <row r="30949">
      <c r="D30949" s="185"/>
      <c r="E30949" s="185" t="s">
        <v>470</v>
      </c>
      <c r="H30949" s="185"/>
    </row>
    <row r="30950">
      <c r="D30950" s="185"/>
      <c r="E30950" s="185" t="s">
        <v>470</v>
      </c>
      <c r="H30950" s="185"/>
    </row>
    <row r="30951">
      <c r="D30951" s="185"/>
      <c r="E30951" s="185" t="s">
        <v>470</v>
      </c>
      <c r="H30951" s="185"/>
    </row>
    <row r="30952">
      <c r="D30952" s="185"/>
      <c r="E30952" s="185" t="s">
        <v>470</v>
      </c>
      <c r="H30952" s="185"/>
    </row>
    <row r="30953">
      <c r="D30953" s="185"/>
      <c r="E30953" s="185" t="s">
        <v>470</v>
      </c>
      <c r="H30953" s="185"/>
    </row>
    <row r="30954">
      <c r="D30954" s="185"/>
      <c r="E30954" s="185" t="s">
        <v>470</v>
      </c>
      <c r="H30954" s="185"/>
    </row>
    <row r="30955">
      <c r="D30955" s="185"/>
      <c r="E30955" s="185" t="s">
        <v>470</v>
      </c>
      <c r="H30955" s="185"/>
    </row>
    <row r="30956">
      <c r="D30956" s="185"/>
      <c r="E30956" s="185" t="s">
        <v>470</v>
      </c>
      <c r="H30956" s="185"/>
    </row>
    <row r="30957">
      <c r="D30957" s="185"/>
      <c r="E30957" s="185" t="s">
        <v>470</v>
      </c>
      <c r="H30957" s="185"/>
    </row>
    <row r="30958">
      <c r="D30958" s="185"/>
      <c r="E30958" s="185" t="s">
        <v>470</v>
      </c>
      <c r="H30958" s="185"/>
    </row>
    <row r="30959">
      <c r="D30959" s="185"/>
      <c r="E30959" s="185" t="s">
        <v>470</v>
      </c>
      <c r="H30959" s="185"/>
    </row>
    <row r="30960">
      <c r="D30960" s="185"/>
      <c r="E30960" s="185" t="s">
        <v>470</v>
      </c>
      <c r="H30960" s="185"/>
    </row>
    <row r="30961">
      <c r="D30961" s="185"/>
      <c r="E30961" s="185" t="s">
        <v>470</v>
      </c>
      <c r="H30961" s="185"/>
    </row>
    <row r="30962">
      <c r="D30962" s="185"/>
      <c r="E30962" s="185" t="s">
        <v>470</v>
      </c>
      <c r="H30962" s="185"/>
    </row>
    <row r="30963">
      <c r="D30963" s="185"/>
      <c r="E30963" s="185" t="s">
        <v>470</v>
      </c>
      <c r="H30963" s="185"/>
    </row>
    <row r="30964">
      <c r="D30964" s="185"/>
      <c r="E30964" s="185" t="s">
        <v>470</v>
      </c>
      <c r="H30964" s="185"/>
    </row>
    <row r="30965">
      <c r="D30965" s="185"/>
      <c r="E30965" s="185" t="s">
        <v>470</v>
      </c>
      <c r="H30965" s="185"/>
    </row>
    <row r="30966">
      <c r="D30966" s="185"/>
      <c r="E30966" s="185" t="s">
        <v>470</v>
      </c>
      <c r="H30966" s="185"/>
    </row>
    <row r="30967">
      <c r="D30967" s="185"/>
      <c r="E30967" s="185" t="s">
        <v>470</v>
      </c>
      <c r="H30967" s="185"/>
    </row>
    <row r="30968">
      <c r="D30968" s="185"/>
      <c r="E30968" s="185" t="s">
        <v>470</v>
      </c>
      <c r="H30968" s="185"/>
    </row>
    <row r="30969">
      <c r="D30969" s="185"/>
      <c r="E30969" s="185" t="s">
        <v>470</v>
      </c>
      <c r="H30969" s="185"/>
    </row>
    <row r="30970">
      <c r="D30970" s="185"/>
      <c r="E30970" s="185" t="s">
        <v>470</v>
      </c>
      <c r="H30970" s="185"/>
    </row>
    <row r="30971">
      <c r="D30971" s="185"/>
      <c r="E30971" s="185" t="s">
        <v>470</v>
      </c>
      <c r="H30971" s="185"/>
    </row>
    <row r="30972">
      <c r="D30972" s="185"/>
      <c r="E30972" s="185" t="s">
        <v>470</v>
      </c>
      <c r="H30972" s="185"/>
    </row>
    <row r="30973">
      <c r="D30973" s="185"/>
      <c r="E30973" s="185" t="s">
        <v>470</v>
      </c>
      <c r="H30973" s="185"/>
    </row>
    <row r="30974">
      <c r="D30974" s="185"/>
      <c r="E30974" s="185" t="s">
        <v>470</v>
      </c>
      <c r="H30974" s="185"/>
    </row>
    <row r="30975">
      <c r="D30975" s="185"/>
      <c r="E30975" s="185" t="s">
        <v>470</v>
      </c>
      <c r="H30975" s="185"/>
    </row>
    <row r="30976">
      <c r="D30976" s="185"/>
      <c r="E30976" s="185" t="s">
        <v>470</v>
      </c>
      <c r="H30976" s="185"/>
    </row>
    <row r="30977">
      <c r="D30977" s="185"/>
      <c r="E30977" s="185" t="s">
        <v>470</v>
      </c>
      <c r="H30977" s="185"/>
    </row>
    <row r="30978">
      <c r="D30978" s="185"/>
      <c r="E30978" s="185" t="s">
        <v>470</v>
      </c>
      <c r="H30978" s="185"/>
    </row>
    <row r="30979">
      <c r="D30979" s="185"/>
      <c r="E30979" s="185" t="s">
        <v>470</v>
      </c>
      <c r="H30979" s="185"/>
    </row>
    <row r="30980">
      <c r="D30980" s="185"/>
      <c r="E30980" s="185" t="s">
        <v>470</v>
      </c>
      <c r="H30980" s="185"/>
    </row>
    <row r="30981">
      <c r="D30981" s="185"/>
      <c r="E30981" s="185" t="s">
        <v>470</v>
      </c>
      <c r="H30981" s="185"/>
    </row>
    <row r="30982">
      <c r="D30982" s="185"/>
      <c r="E30982" s="185" t="s">
        <v>470</v>
      </c>
      <c r="H30982" s="185"/>
    </row>
    <row r="30983">
      <c r="D30983" s="185"/>
      <c r="E30983" s="185" t="s">
        <v>470</v>
      </c>
      <c r="H30983" s="185"/>
    </row>
    <row r="30984">
      <c r="D30984" s="185"/>
      <c r="E30984" s="185" t="s">
        <v>470</v>
      </c>
      <c r="H30984" s="185"/>
    </row>
    <row r="30985">
      <c r="D30985" s="185"/>
      <c r="E30985" s="185" t="s">
        <v>470</v>
      </c>
      <c r="H30985" s="185"/>
    </row>
    <row r="30986">
      <c r="D30986" s="185"/>
      <c r="E30986" s="185" t="s">
        <v>470</v>
      </c>
      <c r="H30986" s="185"/>
    </row>
    <row r="30987">
      <c r="D30987" s="185"/>
      <c r="E30987" s="185" t="s">
        <v>470</v>
      </c>
      <c r="H30987" s="185"/>
    </row>
    <row r="30988">
      <c r="D30988" s="185"/>
      <c r="E30988" s="185" t="s">
        <v>470</v>
      </c>
      <c r="H30988" s="185"/>
    </row>
    <row r="30989">
      <c r="D30989" s="185"/>
      <c r="E30989" s="185" t="s">
        <v>470</v>
      </c>
      <c r="H30989" s="185"/>
    </row>
    <row r="30990">
      <c r="D30990" s="185"/>
      <c r="E30990" s="185" t="s">
        <v>470</v>
      </c>
      <c r="H30990" s="185"/>
    </row>
    <row r="30991">
      <c r="D30991" s="185"/>
      <c r="E30991" s="185" t="s">
        <v>470</v>
      </c>
      <c r="H30991" s="185"/>
    </row>
    <row r="30992">
      <c r="D30992" s="185"/>
      <c r="E30992" s="185" t="s">
        <v>470</v>
      </c>
      <c r="H30992" s="185"/>
    </row>
    <row r="30993">
      <c r="D30993" s="185"/>
      <c r="E30993" s="185" t="s">
        <v>470</v>
      </c>
      <c r="H30993" s="185"/>
    </row>
    <row r="30994">
      <c r="D30994" s="185"/>
      <c r="E30994" s="185" t="s">
        <v>470</v>
      </c>
      <c r="H30994" s="185"/>
    </row>
    <row r="30995">
      <c r="D30995" s="185"/>
      <c r="E30995" s="185" t="s">
        <v>470</v>
      </c>
      <c r="H30995" s="185"/>
    </row>
    <row r="30996">
      <c r="D30996" s="185"/>
      <c r="E30996" s="185" t="s">
        <v>470</v>
      </c>
      <c r="H30996" s="185"/>
    </row>
    <row r="30997">
      <c r="D30997" s="185"/>
      <c r="E30997" s="185" t="s">
        <v>470</v>
      </c>
      <c r="H30997" s="185"/>
    </row>
    <row r="30998">
      <c r="D30998" s="185"/>
      <c r="E30998" s="185" t="s">
        <v>470</v>
      </c>
      <c r="H30998" s="185"/>
    </row>
    <row r="30999">
      <c r="D30999" s="185"/>
      <c r="E30999" s="185" t="s">
        <v>470</v>
      </c>
      <c r="H30999" s="185"/>
    </row>
    <row r="31000">
      <c r="D31000" s="185"/>
      <c r="E31000" s="185" t="s">
        <v>470</v>
      </c>
      <c r="H31000" s="185"/>
    </row>
    <row r="31001">
      <c r="D31001" s="185"/>
      <c r="E31001" s="185" t="s">
        <v>470</v>
      </c>
      <c r="H31001" s="185"/>
    </row>
    <row r="31002">
      <c r="D31002" s="185"/>
      <c r="E31002" s="185" t="s">
        <v>470</v>
      </c>
      <c r="H31002" s="185"/>
    </row>
    <row r="31003">
      <c r="D31003" s="185"/>
      <c r="E31003" s="185" t="s">
        <v>470</v>
      </c>
      <c r="H31003" s="185"/>
    </row>
    <row r="31004">
      <c r="D31004" s="185"/>
      <c r="E31004" s="185" t="s">
        <v>470</v>
      </c>
      <c r="H31004" s="185"/>
    </row>
    <row r="31005">
      <c r="D31005" s="185"/>
      <c r="E31005" s="185" t="s">
        <v>470</v>
      </c>
      <c r="H31005" s="185"/>
    </row>
    <row r="31006">
      <c r="D31006" s="185"/>
      <c r="E31006" s="185" t="s">
        <v>470</v>
      </c>
      <c r="H31006" s="185"/>
    </row>
    <row r="31007">
      <c r="D31007" s="185"/>
      <c r="E31007" s="185" t="s">
        <v>470</v>
      </c>
      <c r="H31007" s="185"/>
    </row>
    <row r="31008">
      <c r="D31008" s="185"/>
      <c r="E31008" s="185" t="s">
        <v>470</v>
      </c>
      <c r="H31008" s="185"/>
    </row>
    <row r="31009">
      <c r="D31009" s="185"/>
      <c r="E31009" s="185" t="s">
        <v>470</v>
      </c>
      <c r="H31009" s="185"/>
    </row>
    <row r="31010">
      <c r="D31010" s="185"/>
      <c r="E31010" s="185" t="s">
        <v>470</v>
      </c>
      <c r="H31010" s="185"/>
    </row>
    <row r="31011">
      <c r="D31011" s="185"/>
      <c r="E31011" s="185" t="s">
        <v>470</v>
      </c>
      <c r="H31011" s="185"/>
    </row>
    <row r="31012">
      <c r="D31012" s="185"/>
      <c r="E31012" s="185" t="s">
        <v>470</v>
      </c>
      <c r="H31012" s="185"/>
    </row>
    <row r="31013">
      <c r="D31013" s="185"/>
      <c r="E31013" s="185" t="s">
        <v>470</v>
      </c>
      <c r="H31013" s="185"/>
    </row>
    <row r="31014">
      <c r="D31014" s="185"/>
      <c r="E31014" s="185" t="s">
        <v>470</v>
      </c>
      <c r="H31014" s="185"/>
    </row>
    <row r="31015">
      <c r="D31015" s="185"/>
      <c r="E31015" s="185" t="s">
        <v>470</v>
      </c>
      <c r="H31015" s="185"/>
    </row>
    <row r="31016">
      <c r="D31016" s="185"/>
      <c r="E31016" s="185" t="s">
        <v>470</v>
      </c>
      <c r="H31016" s="185"/>
    </row>
    <row r="31017">
      <c r="D31017" s="185"/>
      <c r="E31017" s="185" t="s">
        <v>470</v>
      </c>
      <c r="H31017" s="185"/>
    </row>
    <row r="31018">
      <c r="D31018" s="185"/>
      <c r="E31018" s="185" t="s">
        <v>470</v>
      </c>
      <c r="H31018" s="185"/>
    </row>
    <row r="31019">
      <c r="D31019" s="185"/>
      <c r="E31019" s="185" t="s">
        <v>470</v>
      </c>
      <c r="H31019" s="185"/>
    </row>
    <row r="31020">
      <c r="D31020" s="185"/>
      <c r="E31020" s="185" t="s">
        <v>470</v>
      </c>
      <c r="H31020" s="185"/>
    </row>
    <row r="31021">
      <c r="D31021" s="185"/>
      <c r="E31021" s="185" t="s">
        <v>470</v>
      </c>
      <c r="H31021" s="185"/>
    </row>
    <row r="31022">
      <c r="D31022" s="185"/>
      <c r="E31022" s="185" t="s">
        <v>470</v>
      </c>
      <c r="H31022" s="185"/>
    </row>
    <row r="31023">
      <c r="D31023" s="185"/>
      <c r="E31023" s="185" t="s">
        <v>470</v>
      </c>
      <c r="H31023" s="185"/>
    </row>
    <row r="31024">
      <c r="D31024" s="185"/>
      <c r="E31024" s="185" t="s">
        <v>470</v>
      </c>
      <c r="H31024" s="185"/>
    </row>
    <row r="31025">
      <c r="D31025" s="185"/>
      <c r="E31025" s="185" t="s">
        <v>470</v>
      </c>
      <c r="H31025" s="185"/>
    </row>
    <row r="31026">
      <c r="D31026" s="185"/>
      <c r="E31026" s="185" t="s">
        <v>470</v>
      </c>
      <c r="H31026" s="185"/>
    </row>
    <row r="31027">
      <c r="D31027" s="185"/>
      <c r="E31027" s="185" t="s">
        <v>470</v>
      </c>
      <c r="H31027" s="185"/>
    </row>
    <row r="31028">
      <c r="D31028" s="185"/>
      <c r="E31028" s="185" t="s">
        <v>470</v>
      </c>
      <c r="H31028" s="185"/>
    </row>
    <row r="31029">
      <c r="D31029" s="185"/>
      <c r="E31029" s="185" t="s">
        <v>470</v>
      </c>
      <c r="H31029" s="185"/>
    </row>
    <row r="31030">
      <c r="D31030" s="185"/>
      <c r="E31030" s="185" t="s">
        <v>470</v>
      </c>
      <c r="H31030" s="185"/>
    </row>
    <row r="31031">
      <c r="D31031" s="185"/>
      <c r="E31031" s="185" t="s">
        <v>470</v>
      </c>
      <c r="H31031" s="185"/>
    </row>
    <row r="31032">
      <c r="D31032" s="185"/>
      <c r="E31032" s="185" t="s">
        <v>470</v>
      </c>
      <c r="H31032" s="185"/>
    </row>
    <row r="31033">
      <c r="D31033" s="185"/>
      <c r="E31033" s="185" t="s">
        <v>470</v>
      </c>
      <c r="H31033" s="185"/>
    </row>
    <row r="31034">
      <c r="D31034" s="185"/>
      <c r="E31034" s="185" t="s">
        <v>470</v>
      </c>
      <c r="H31034" s="185"/>
    </row>
    <row r="31035">
      <c r="D31035" s="185"/>
      <c r="E31035" s="185" t="s">
        <v>470</v>
      </c>
      <c r="H31035" s="185"/>
    </row>
    <row r="31036">
      <c r="D31036" s="185"/>
      <c r="E31036" s="185" t="s">
        <v>470</v>
      </c>
      <c r="H31036" s="185"/>
    </row>
    <row r="31037">
      <c r="D31037" s="185"/>
      <c r="E31037" s="185" t="s">
        <v>470</v>
      </c>
      <c r="H31037" s="185"/>
    </row>
    <row r="31038">
      <c r="D31038" s="185"/>
      <c r="E31038" s="185" t="s">
        <v>470</v>
      </c>
      <c r="H31038" s="185"/>
    </row>
    <row r="31039">
      <c r="D31039" s="185"/>
      <c r="E31039" s="185" t="s">
        <v>470</v>
      </c>
      <c r="H31039" s="185"/>
    </row>
    <row r="31040">
      <c r="D31040" s="185"/>
      <c r="E31040" s="185" t="s">
        <v>470</v>
      </c>
      <c r="H31040" s="185"/>
    </row>
    <row r="31041">
      <c r="D31041" s="185"/>
      <c r="E31041" s="185" t="s">
        <v>470</v>
      </c>
      <c r="H31041" s="185"/>
    </row>
    <row r="31042">
      <c r="D31042" s="185"/>
      <c r="E31042" s="185" t="s">
        <v>470</v>
      </c>
      <c r="H31042" s="185"/>
    </row>
    <row r="31043">
      <c r="D31043" s="185"/>
      <c r="E31043" s="185" t="s">
        <v>470</v>
      </c>
      <c r="H31043" s="185"/>
    </row>
    <row r="31044">
      <c r="D31044" s="185"/>
      <c r="E31044" s="185" t="s">
        <v>470</v>
      </c>
      <c r="H31044" s="185"/>
    </row>
    <row r="31045">
      <c r="D31045" s="185"/>
      <c r="E31045" s="185" t="s">
        <v>470</v>
      </c>
      <c r="H31045" s="185"/>
    </row>
    <row r="31046">
      <c r="D31046" s="185"/>
      <c r="E31046" s="185" t="s">
        <v>470</v>
      </c>
      <c r="H31046" s="185"/>
    </row>
    <row r="31047">
      <c r="D31047" s="185"/>
      <c r="E31047" s="185" t="s">
        <v>470</v>
      </c>
      <c r="H31047" s="185"/>
    </row>
    <row r="31048">
      <c r="D31048" s="185"/>
      <c r="E31048" s="185" t="s">
        <v>470</v>
      </c>
      <c r="H31048" s="185"/>
    </row>
    <row r="31049">
      <c r="D31049" s="185"/>
      <c r="E31049" s="185" t="s">
        <v>470</v>
      </c>
      <c r="H31049" s="185"/>
    </row>
    <row r="31050">
      <c r="D31050" s="185"/>
      <c r="E31050" s="185" t="s">
        <v>470</v>
      </c>
      <c r="H31050" s="185"/>
    </row>
    <row r="31051">
      <c r="D31051" s="185"/>
      <c r="E31051" s="185" t="s">
        <v>470</v>
      </c>
      <c r="H31051" s="185"/>
    </row>
    <row r="31052">
      <c r="D31052" s="185"/>
      <c r="E31052" s="185" t="s">
        <v>470</v>
      </c>
      <c r="H31052" s="185"/>
    </row>
    <row r="31053">
      <c r="D31053" s="185"/>
      <c r="E31053" s="185" t="s">
        <v>470</v>
      </c>
      <c r="H31053" s="185"/>
    </row>
    <row r="31054">
      <c r="D31054" s="185"/>
      <c r="E31054" s="185" t="s">
        <v>470</v>
      </c>
      <c r="H31054" s="185"/>
    </row>
    <row r="31055">
      <c r="D31055" s="185"/>
      <c r="E31055" s="185" t="s">
        <v>470</v>
      </c>
      <c r="H31055" s="185"/>
    </row>
    <row r="31056">
      <c r="D31056" s="185"/>
      <c r="E31056" s="185" t="s">
        <v>470</v>
      </c>
      <c r="H31056" s="185"/>
    </row>
    <row r="31057">
      <c r="D31057" s="185"/>
      <c r="E31057" s="185" t="s">
        <v>470</v>
      </c>
      <c r="H31057" s="185"/>
    </row>
    <row r="31058">
      <c r="D31058" s="185"/>
      <c r="E31058" s="185" t="s">
        <v>470</v>
      </c>
      <c r="H31058" s="185"/>
    </row>
    <row r="31059">
      <c r="D31059" s="185"/>
      <c r="E31059" s="185" t="s">
        <v>470</v>
      </c>
      <c r="H31059" s="185"/>
    </row>
    <row r="31060">
      <c r="D31060" s="185"/>
      <c r="E31060" s="185" t="s">
        <v>470</v>
      </c>
      <c r="H31060" s="185"/>
    </row>
    <row r="31061">
      <c r="D31061" s="185"/>
      <c r="E31061" s="185" t="s">
        <v>470</v>
      </c>
      <c r="H31061" s="185"/>
    </row>
    <row r="31062">
      <c r="D31062" s="185"/>
      <c r="E31062" s="185" t="s">
        <v>470</v>
      </c>
      <c r="H31062" s="185"/>
    </row>
    <row r="31063">
      <c r="D31063" s="185"/>
      <c r="E31063" s="185" t="s">
        <v>470</v>
      </c>
      <c r="H31063" s="185"/>
    </row>
    <row r="31064">
      <c r="D31064" s="185"/>
      <c r="E31064" s="185" t="s">
        <v>470</v>
      </c>
      <c r="H31064" s="185"/>
    </row>
    <row r="31065">
      <c r="D31065" s="185"/>
      <c r="E31065" s="185" t="s">
        <v>470</v>
      </c>
      <c r="H31065" s="185"/>
    </row>
    <row r="31066">
      <c r="D31066" s="185"/>
      <c r="E31066" s="185" t="s">
        <v>470</v>
      </c>
      <c r="H31066" s="185"/>
    </row>
    <row r="31067">
      <c r="D31067" s="185"/>
      <c r="E31067" s="185" t="s">
        <v>470</v>
      </c>
      <c r="H31067" s="185"/>
    </row>
    <row r="31068">
      <c r="D31068" s="185"/>
      <c r="E31068" s="185" t="s">
        <v>470</v>
      </c>
      <c r="H31068" s="185"/>
    </row>
    <row r="31069">
      <c r="D31069" s="185"/>
      <c r="E31069" s="185" t="s">
        <v>470</v>
      </c>
      <c r="H31069" s="185"/>
    </row>
    <row r="31070">
      <c r="D31070" s="185"/>
      <c r="E31070" s="185" t="s">
        <v>470</v>
      </c>
      <c r="H31070" s="185"/>
    </row>
    <row r="31071">
      <c r="D31071" s="185"/>
      <c r="E31071" s="185" t="s">
        <v>470</v>
      </c>
      <c r="H31071" s="185"/>
    </row>
    <row r="31072">
      <c r="D31072" s="185"/>
      <c r="E31072" s="185" t="s">
        <v>470</v>
      </c>
      <c r="H31072" s="185"/>
    </row>
    <row r="31073">
      <c r="D31073" s="185"/>
      <c r="E31073" s="185" t="s">
        <v>470</v>
      </c>
      <c r="H31073" s="185"/>
    </row>
    <row r="31074">
      <c r="D31074" s="185"/>
      <c r="E31074" s="185" t="s">
        <v>470</v>
      </c>
      <c r="H31074" s="185"/>
    </row>
    <row r="31075">
      <c r="D31075" s="185"/>
      <c r="E31075" s="185" t="s">
        <v>470</v>
      </c>
      <c r="H31075" s="185"/>
    </row>
    <row r="31076">
      <c r="D31076" s="185"/>
      <c r="E31076" s="185" t="s">
        <v>470</v>
      </c>
      <c r="H31076" s="185"/>
    </row>
    <row r="31077">
      <c r="D31077" s="185"/>
      <c r="E31077" s="185" t="s">
        <v>470</v>
      </c>
      <c r="H31077" s="185"/>
    </row>
    <row r="31078">
      <c r="D31078" s="185"/>
      <c r="E31078" s="185" t="s">
        <v>470</v>
      </c>
      <c r="H31078" s="185"/>
    </row>
    <row r="31079">
      <c r="D31079" s="185"/>
      <c r="E31079" s="185" t="s">
        <v>470</v>
      </c>
      <c r="H31079" s="185"/>
    </row>
    <row r="31080">
      <c r="D31080" s="185"/>
      <c r="E31080" s="185" t="s">
        <v>470</v>
      </c>
      <c r="H31080" s="185"/>
    </row>
    <row r="31081">
      <c r="D31081" s="185"/>
      <c r="E31081" s="185" t="s">
        <v>470</v>
      </c>
      <c r="H31081" s="185"/>
    </row>
    <row r="31082">
      <c r="D31082" s="185"/>
      <c r="E31082" s="185" t="s">
        <v>470</v>
      </c>
      <c r="H31082" s="185"/>
    </row>
    <row r="31083">
      <c r="D31083" s="185"/>
      <c r="E31083" s="185" t="s">
        <v>470</v>
      </c>
      <c r="H31083" s="185"/>
    </row>
    <row r="31084">
      <c r="D31084" s="185"/>
      <c r="E31084" s="185" t="s">
        <v>470</v>
      </c>
      <c r="H31084" s="185"/>
    </row>
    <row r="31085">
      <c r="D31085" s="185"/>
      <c r="E31085" s="185" t="s">
        <v>470</v>
      </c>
      <c r="H31085" s="185"/>
    </row>
    <row r="31086">
      <c r="D31086" s="185"/>
      <c r="E31086" s="185" t="s">
        <v>470</v>
      </c>
      <c r="H31086" s="185"/>
    </row>
    <row r="31087">
      <c r="D31087" s="185"/>
      <c r="E31087" s="185" t="s">
        <v>470</v>
      </c>
      <c r="H31087" s="185"/>
    </row>
    <row r="31088">
      <c r="D31088" s="185"/>
      <c r="E31088" s="185" t="s">
        <v>470</v>
      </c>
      <c r="H31088" s="185"/>
    </row>
    <row r="31089">
      <c r="D31089" s="185"/>
      <c r="E31089" s="185" t="s">
        <v>470</v>
      </c>
      <c r="H31089" s="185"/>
    </row>
    <row r="31090">
      <c r="D31090" s="185"/>
      <c r="E31090" s="185" t="s">
        <v>470</v>
      </c>
      <c r="H31090" s="185"/>
    </row>
    <row r="31091">
      <c r="D31091" s="185"/>
      <c r="E31091" s="185" t="s">
        <v>470</v>
      </c>
      <c r="H31091" s="185"/>
    </row>
    <row r="31092">
      <c r="D31092" s="185"/>
      <c r="E31092" s="185" t="s">
        <v>470</v>
      </c>
      <c r="H31092" s="185"/>
    </row>
    <row r="31093">
      <c r="D31093" s="185"/>
      <c r="E31093" s="185" t="s">
        <v>470</v>
      </c>
      <c r="H31093" s="185"/>
    </row>
    <row r="31094">
      <c r="D31094" s="185"/>
      <c r="E31094" s="185" t="s">
        <v>470</v>
      </c>
      <c r="H31094" s="185"/>
    </row>
    <row r="31095">
      <c r="D31095" s="185"/>
      <c r="E31095" s="185" t="s">
        <v>470</v>
      </c>
      <c r="H31095" s="185"/>
    </row>
    <row r="31096">
      <c r="D31096" s="185"/>
      <c r="E31096" s="185" t="s">
        <v>470</v>
      </c>
      <c r="H31096" s="185"/>
    </row>
    <row r="31097">
      <c r="D31097" s="185"/>
      <c r="E31097" s="185" t="s">
        <v>470</v>
      </c>
      <c r="H31097" s="185"/>
    </row>
    <row r="31098">
      <c r="D31098" s="185"/>
      <c r="E31098" s="185" t="s">
        <v>470</v>
      </c>
      <c r="H31098" s="185"/>
    </row>
    <row r="31099">
      <c r="D31099" s="185"/>
      <c r="E31099" s="185" t="s">
        <v>470</v>
      </c>
      <c r="H31099" s="185"/>
    </row>
    <row r="31100">
      <c r="D31100" s="185"/>
      <c r="E31100" s="185" t="s">
        <v>470</v>
      </c>
      <c r="H31100" s="185"/>
    </row>
    <row r="31101">
      <c r="D31101" s="185"/>
      <c r="E31101" s="185" t="s">
        <v>470</v>
      </c>
      <c r="H31101" s="185"/>
    </row>
    <row r="31102">
      <c r="D31102" s="185"/>
      <c r="E31102" s="185" t="s">
        <v>470</v>
      </c>
      <c r="H31102" s="185"/>
    </row>
    <row r="31103">
      <c r="D31103" s="185"/>
      <c r="E31103" s="185" t="s">
        <v>470</v>
      </c>
      <c r="H31103" s="185"/>
    </row>
    <row r="31104">
      <c r="D31104" s="185"/>
      <c r="E31104" s="185" t="s">
        <v>470</v>
      </c>
      <c r="H31104" s="185"/>
    </row>
    <row r="31105">
      <c r="D31105" s="185"/>
      <c r="E31105" s="185" t="s">
        <v>470</v>
      </c>
      <c r="H31105" s="185"/>
    </row>
    <row r="31106">
      <c r="D31106" s="185"/>
      <c r="E31106" s="185" t="s">
        <v>470</v>
      </c>
      <c r="H31106" s="185"/>
    </row>
    <row r="31107">
      <c r="D31107" s="185"/>
      <c r="E31107" s="185" t="s">
        <v>470</v>
      </c>
      <c r="H31107" s="185"/>
    </row>
    <row r="31108">
      <c r="D31108" s="185"/>
      <c r="E31108" s="185" t="s">
        <v>470</v>
      </c>
      <c r="H31108" s="185"/>
    </row>
    <row r="31109">
      <c r="D31109" s="185"/>
      <c r="E31109" s="185" t="s">
        <v>470</v>
      </c>
      <c r="H31109" s="185"/>
    </row>
    <row r="31110">
      <c r="D31110" s="185"/>
      <c r="E31110" s="185" t="s">
        <v>470</v>
      </c>
      <c r="H31110" s="185"/>
    </row>
    <row r="31111">
      <c r="D31111" s="185"/>
      <c r="E31111" s="185" t="s">
        <v>470</v>
      </c>
      <c r="H31111" s="185"/>
    </row>
    <row r="31112">
      <c r="D31112" s="185"/>
      <c r="E31112" s="185" t="s">
        <v>470</v>
      </c>
      <c r="H31112" s="185"/>
    </row>
    <row r="31113">
      <c r="D31113" s="185"/>
      <c r="E31113" s="185" t="s">
        <v>470</v>
      </c>
      <c r="H31113" s="185"/>
    </row>
    <row r="31114">
      <c r="D31114" s="185"/>
      <c r="E31114" s="185" t="s">
        <v>470</v>
      </c>
      <c r="H31114" s="185"/>
    </row>
    <row r="31115">
      <c r="D31115" s="185"/>
      <c r="E31115" s="185" t="s">
        <v>470</v>
      </c>
      <c r="H31115" s="185"/>
    </row>
    <row r="31116">
      <c r="D31116" s="185"/>
      <c r="E31116" s="185" t="s">
        <v>470</v>
      </c>
      <c r="H31116" s="185"/>
    </row>
    <row r="31117">
      <c r="D31117" s="185"/>
      <c r="E31117" s="185" t="s">
        <v>470</v>
      </c>
      <c r="H31117" s="185"/>
    </row>
    <row r="31118">
      <c r="D31118" s="185"/>
      <c r="E31118" s="185" t="s">
        <v>470</v>
      </c>
      <c r="H31118" s="185"/>
    </row>
    <row r="31119">
      <c r="D31119" s="185"/>
      <c r="E31119" s="185" t="s">
        <v>470</v>
      </c>
      <c r="H31119" s="185"/>
    </row>
    <row r="31120">
      <c r="D31120" s="185"/>
      <c r="E31120" s="185" t="s">
        <v>470</v>
      </c>
      <c r="H31120" s="185"/>
    </row>
    <row r="31121">
      <c r="D31121" s="185"/>
      <c r="E31121" s="185" t="s">
        <v>470</v>
      </c>
      <c r="H31121" s="185"/>
    </row>
    <row r="31122">
      <c r="D31122" s="185"/>
      <c r="E31122" s="185" t="s">
        <v>470</v>
      </c>
      <c r="H31122" s="185"/>
    </row>
    <row r="31123">
      <c r="D31123" s="185"/>
      <c r="E31123" s="185" t="s">
        <v>470</v>
      </c>
      <c r="H31123" s="185"/>
    </row>
    <row r="31124">
      <c r="D31124" s="185"/>
      <c r="E31124" s="185" t="s">
        <v>470</v>
      </c>
      <c r="H31124" s="185"/>
    </row>
    <row r="31125">
      <c r="D31125" s="185"/>
      <c r="E31125" s="185" t="s">
        <v>470</v>
      </c>
      <c r="H31125" s="185"/>
    </row>
    <row r="31126">
      <c r="D31126" s="185"/>
      <c r="E31126" s="185" t="s">
        <v>470</v>
      </c>
      <c r="H31126" s="185"/>
    </row>
    <row r="31127">
      <c r="D31127" s="185"/>
      <c r="E31127" s="185" t="s">
        <v>470</v>
      </c>
      <c r="H31127" s="185"/>
    </row>
    <row r="31128">
      <c r="D31128" s="185"/>
      <c r="E31128" s="185" t="s">
        <v>470</v>
      </c>
      <c r="H31128" s="185"/>
    </row>
    <row r="31129">
      <c r="D31129" s="185"/>
      <c r="E31129" s="185" t="s">
        <v>470</v>
      </c>
      <c r="H31129" s="185"/>
    </row>
    <row r="31130">
      <c r="D31130" s="185"/>
      <c r="E31130" s="185" t="s">
        <v>470</v>
      </c>
      <c r="H31130" s="185"/>
    </row>
    <row r="31131">
      <c r="D31131" s="185"/>
      <c r="E31131" s="185" t="s">
        <v>470</v>
      </c>
      <c r="H31131" s="185"/>
    </row>
    <row r="31132">
      <c r="D31132" s="185"/>
      <c r="E31132" s="185" t="s">
        <v>470</v>
      </c>
      <c r="H31132" s="185"/>
    </row>
    <row r="31133">
      <c r="D31133" s="185"/>
      <c r="E31133" s="185" t="s">
        <v>470</v>
      </c>
      <c r="H31133" s="185"/>
    </row>
    <row r="31134">
      <c r="D31134" s="185"/>
      <c r="E31134" s="185" t="s">
        <v>470</v>
      </c>
      <c r="H31134" s="185"/>
    </row>
    <row r="31135">
      <c r="D31135" s="185"/>
      <c r="E31135" s="185" t="s">
        <v>470</v>
      </c>
      <c r="H31135" s="185"/>
    </row>
    <row r="31136">
      <c r="D31136" s="185"/>
      <c r="E31136" s="185" t="s">
        <v>470</v>
      </c>
      <c r="H31136" s="185"/>
    </row>
    <row r="31137">
      <c r="D31137" s="185"/>
      <c r="E31137" s="185" t="s">
        <v>470</v>
      </c>
      <c r="H31137" s="185"/>
    </row>
    <row r="31138">
      <c r="D31138" s="185"/>
      <c r="E31138" s="185" t="s">
        <v>470</v>
      </c>
      <c r="H31138" s="185"/>
    </row>
    <row r="31139">
      <c r="D31139" s="185"/>
      <c r="E31139" s="185" t="s">
        <v>470</v>
      </c>
      <c r="H31139" s="185"/>
    </row>
    <row r="31140">
      <c r="D31140" s="185"/>
      <c r="E31140" s="185" t="s">
        <v>470</v>
      </c>
      <c r="H31140" s="185"/>
    </row>
    <row r="31141">
      <c r="D31141" s="185"/>
      <c r="E31141" s="185" t="s">
        <v>470</v>
      </c>
      <c r="H31141" s="185"/>
    </row>
    <row r="31142">
      <c r="D31142" s="185"/>
      <c r="E31142" s="185" t="s">
        <v>470</v>
      </c>
      <c r="H31142" s="185"/>
    </row>
    <row r="31143">
      <c r="D31143" s="185"/>
      <c r="E31143" s="185" t="s">
        <v>470</v>
      </c>
      <c r="H31143" s="185"/>
    </row>
    <row r="31144">
      <c r="D31144" s="185"/>
      <c r="E31144" s="185" t="s">
        <v>470</v>
      </c>
      <c r="H31144" s="185"/>
    </row>
    <row r="31145">
      <c r="D31145" s="185"/>
      <c r="E31145" s="185" t="s">
        <v>470</v>
      </c>
      <c r="H31145" s="185"/>
    </row>
    <row r="31146">
      <c r="D31146" s="185"/>
      <c r="E31146" s="185" t="s">
        <v>470</v>
      </c>
      <c r="H31146" s="185"/>
    </row>
    <row r="31147">
      <c r="D31147" s="185"/>
      <c r="E31147" s="185" t="s">
        <v>470</v>
      </c>
      <c r="H31147" s="185"/>
    </row>
    <row r="31148">
      <c r="D31148" s="185"/>
      <c r="E31148" s="185" t="s">
        <v>470</v>
      </c>
      <c r="H31148" s="185"/>
    </row>
    <row r="31149">
      <c r="D31149" s="185"/>
      <c r="E31149" s="185" t="s">
        <v>470</v>
      </c>
      <c r="H31149" s="185"/>
    </row>
    <row r="31150">
      <c r="D31150" s="185"/>
      <c r="E31150" s="185" t="s">
        <v>470</v>
      </c>
      <c r="H31150" s="185"/>
    </row>
    <row r="31151">
      <c r="D31151" s="185"/>
      <c r="E31151" s="185" t="s">
        <v>470</v>
      </c>
      <c r="H31151" s="185"/>
    </row>
    <row r="31152">
      <c r="D31152" s="185"/>
      <c r="E31152" s="185" t="s">
        <v>470</v>
      </c>
      <c r="H31152" s="185"/>
    </row>
    <row r="31153">
      <c r="D31153" s="185"/>
      <c r="E31153" s="185" t="s">
        <v>470</v>
      </c>
      <c r="H31153" s="185"/>
    </row>
    <row r="31154">
      <c r="D31154" s="185"/>
      <c r="E31154" s="185" t="s">
        <v>470</v>
      </c>
      <c r="H31154" s="185"/>
    </row>
    <row r="31155">
      <c r="D31155" s="185"/>
      <c r="E31155" s="185" t="s">
        <v>470</v>
      </c>
      <c r="H31155" s="185"/>
    </row>
    <row r="31156">
      <c r="D31156" s="185"/>
      <c r="E31156" s="185" t="s">
        <v>470</v>
      </c>
      <c r="H31156" s="185"/>
    </row>
    <row r="31157">
      <c r="D31157" s="185"/>
      <c r="E31157" s="185" t="s">
        <v>470</v>
      </c>
      <c r="H31157" s="185"/>
    </row>
    <row r="31158">
      <c r="D31158" s="185"/>
      <c r="E31158" s="185" t="s">
        <v>470</v>
      </c>
      <c r="H31158" s="185"/>
    </row>
    <row r="31159">
      <c r="D31159" s="185"/>
      <c r="E31159" s="185" t="s">
        <v>470</v>
      </c>
      <c r="H31159" s="185"/>
    </row>
    <row r="31160">
      <c r="D31160" s="185"/>
      <c r="E31160" s="185" t="s">
        <v>470</v>
      </c>
      <c r="H31160" s="185"/>
    </row>
    <row r="31161">
      <c r="D31161" s="185"/>
      <c r="E31161" s="185" t="s">
        <v>470</v>
      </c>
      <c r="H31161" s="185"/>
    </row>
    <row r="31162">
      <c r="D31162" s="185"/>
      <c r="E31162" s="185" t="s">
        <v>470</v>
      </c>
      <c r="H31162" s="185"/>
    </row>
    <row r="31163">
      <c r="D31163" s="185"/>
      <c r="E31163" s="185" t="s">
        <v>470</v>
      </c>
      <c r="H31163" s="185"/>
    </row>
    <row r="31164">
      <c r="D31164" s="185"/>
      <c r="E31164" s="185" t="s">
        <v>470</v>
      </c>
      <c r="H31164" s="185"/>
    </row>
    <row r="31165">
      <c r="D31165" s="185"/>
      <c r="E31165" s="185" t="s">
        <v>470</v>
      </c>
      <c r="H31165" s="185"/>
    </row>
    <row r="31166">
      <c r="D31166" s="185"/>
      <c r="E31166" s="185" t="s">
        <v>470</v>
      </c>
      <c r="H31166" s="185"/>
    </row>
    <row r="31167">
      <c r="D31167" s="185"/>
      <c r="E31167" s="185" t="s">
        <v>470</v>
      </c>
      <c r="H31167" s="185"/>
    </row>
    <row r="31168">
      <c r="D31168" s="185"/>
      <c r="E31168" s="185" t="s">
        <v>470</v>
      </c>
      <c r="H31168" s="185"/>
    </row>
    <row r="31169">
      <c r="D31169" s="185"/>
      <c r="E31169" s="185" t="s">
        <v>470</v>
      </c>
      <c r="H31169" s="185"/>
    </row>
    <row r="31170">
      <c r="D31170" s="185"/>
      <c r="E31170" s="185" t="s">
        <v>470</v>
      </c>
      <c r="H31170" s="185"/>
    </row>
    <row r="31171">
      <c r="D31171" s="185"/>
      <c r="E31171" s="185" t="s">
        <v>470</v>
      </c>
      <c r="H31171" s="185"/>
    </row>
    <row r="31172">
      <c r="D31172" s="185"/>
      <c r="E31172" s="185" t="s">
        <v>470</v>
      </c>
      <c r="H31172" s="185"/>
    </row>
    <row r="31173">
      <c r="D31173" s="185"/>
      <c r="E31173" s="185" t="s">
        <v>470</v>
      </c>
      <c r="H31173" s="185"/>
    </row>
    <row r="31174">
      <c r="D31174" s="185"/>
      <c r="E31174" s="185" t="s">
        <v>470</v>
      </c>
      <c r="H31174" s="185"/>
    </row>
    <row r="31175">
      <c r="D31175" s="185"/>
      <c r="E31175" s="185" t="s">
        <v>470</v>
      </c>
      <c r="H31175" s="185"/>
    </row>
    <row r="31176">
      <c r="D31176" s="185"/>
      <c r="E31176" s="185" t="s">
        <v>470</v>
      </c>
      <c r="H31176" s="185"/>
    </row>
    <row r="31177">
      <c r="D31177" s="185"/>
      <c r="E31177" s="185" t="s">
        <v>470</v>
      </c>
      <c r="H31177" s="185"/>
    </row>
    <row r="31178">
      <c r="D31178" s="185"/>
      <c r="E31178" s="185" t="s">
        <v>470</v>
      </c>
      <c r="H31178" s="185"/>
    </row>
    <row r="31179">
      <c r="D31179" s="185"/>
      <c r="E31179" s="185" t="s">
        <v>470</v>
      </c>
      <c r="H31179" s="185"/>
    </row>
    <row r="31180">
      <c r="D31180" s="185"/>
      <c r="E31180" s="185" t="s">
        <v>470</v>
      </c>
      <c r="H31180" s="185"/>
    </row>
    <row r="31181">
      <c r="D31181" s="185"/>
      <c r="E31181" s="185" t="s">
        <v>470</v>
      </c>
      <c r="H31181" s="185"/>
    </row>
    <row r="31182">
      <c r="D31182" s="185"/>
      <c r="E31182" s="185" t="s">
        <v>470</v>
      </c>
      <c r="H31182" s="185"/>
    </row>
    <row r="31183">
      <c r="D31183" s="185"/>
      <c r="E31183" s="185" t="s">
        <v>470</v>
      </c>
      <c r="H31183" s="185"/>
    </row>
    <row r="31184">
      <c r="D31184" s="185"/>
      <c r="E31184" s="185" t="s">
        <v>470</v>
      </c>
      <c r="H31184" s="185"/>
    </row>
    <row r="31185">
      <c r="D31185" s="185"/>
      <c r="E31185" s="185" t="s">
        <v>470</v>
      </c>
      <c r="H31185" s="185"/>
    </row>
    <row r="31186">
      <c r="D31186" s="185"/>
      <c r="E31186" s="185" t="s">
        <v>470</v>
      </c>
      <c r="H31186" s="185"/>
    </row>
    <row r="31187">
      <c r="D31187" s="185"/>
      <c r="E31187" s="185" t="s">
        <v>470</v>
      </c>
      <c r="H31187" s="185"/>
    </row>
    <row r="31188">
      <c r="D31188" s="185"/>
      <c r="E31188" s="185" t="s">
        <v>470</v>
      </c>
      <c r="H31188" s="185"/>
    </row>
    <row r="31189">
      <c r="D31189" s="185"/>
      <c r="E31189" s="185" t="s">
        <v>470</v>
      </c>
      <c r="H31189" s="185"/>
    </row>
    <row r="31190">
      <c r="D31190" s="185"/>
      <c r="E31190" s="185" t="s">
        <v>470</v>
      </c>
      <c r="H31190" s="185"/>
    </row>
    <row r="31191">
      <c r="D31191" s="185"/>
      <c r="E31191" s="185" t="s">
        <v>470</v>
      </c>
      <c r="H31191" s="185"/>
    </row>
    <row r="31192">
      <c r="D31192" s="185"/>
      <c r="E31192" s="185" t="s">
        <v>470</v>
      </c>
      <c r="H31192" s="185"/>
    </row>
    <row r="31193">
      <c r="D31193" s="185"/>
      <c r="E31193" s="185" t="s">
        <v>470</v>
      </c>
      <c r="H31193" s="185"/>
    </row>
    <row r="31194">
      <c r="D31194" s="185"/>
      <c r="E31194" s="185" t="s">
        <v>470</v>
      </c>
      <c r="H31194" s="185"/>
    </row>
    <row r="31195">
      <c r="D31195" s="185"/>
      <c r="E31195" s="185" t="s">
        <v>470</v>
      </c>
      <c r="H31195" s="185"/>
    </row>
    <row r="31196">
      <c r="D31196" s="185"/>
      <c r="E31196" s="185" t="s">
        <v>470</v>
      </c>
      <c r="H31196" s="185"/>
    </row>
    <row r="31197">
      <c r="D31197" s="185"/>
      <c r="E31197" s="185" t="s">
        <v>470</v>
      </c>
      <c r="H31197" s="185"/>
    </row>
    <row r="31198">
      <c r="D31198" s="185"/>
      <c r="E31198" s="185" t="s">
        <v>470</v>
      </c>
      <c r="H31198" s="185"/>
    </row>
    <row r="31199">
      <c r="D31199" s="185"/>
      <c r="E31199" s="185" t="s">
        <v>470</v>
      </c>
      <c r="H31199" s="185"/>
    </row>
    <row r="31200">
      <c r="D31200" s="185"/>
      <c r="E31200" s="185" t="s">
        <v>470</v>
      </c>
      <c r="H31200" s="185"/>
    </row>
    <row r="31201">
      <c r="D31201" s="185"/>
      <c r="E31201" s="185" t="s">
        <v>470</v>
      </c>
      <c r="H31201" s="185"/>
    </row>
    <row r="31202">
      <c r="D31202" s="185"/>
      <c r="E31202" s="185" t="s">
        <v>470</v>
      </c>
      <c r="H31202" s="185"/>
    </row>
    <row r="31203">
      <c r="D31203" s="185"/>
      <c r="E31203" s="185" t="s">
        <v>470</v>
      </c>
      <c r="H31203" s="185"/>
    </row>
    <row r="31204">
      <c r="D31204" s="185"/>
      <c r="E31204" s="185" t="s">
        <v>470</v>
      </c>
      <c r="H31204" s="185"/>
    </row>
    <row r="31205">
      <c r="D31205" s="185"/>
      <c r="E31205" s="185" t="s">
        <v>470</v>
      </c>
      <c r="H31205" s="185"/>
    </row>
    <row r="31206">
      <c r="D31206" s="185"/>
      <c r="E31206" s="185" t="s">
        <v>470</v>
      </c>
      <c r="H31206" s="185"/>
    </row>
    <row r="31207">
      <c r="D31207" s="185"/>
      <c r="E31207" s="185" t="s">
        <v>470</v>
      </c>
      <c r="H31207" s="185"/>
    </row>
    <row r="31208">
      <c r="D31208" s="185"/>
      <c r="E31208" s="185" t="s">
        <v>470</v>
      </c>
      <c r="H31208" s="185"/>
    </row>
    <row r="31209">
      <c r="D31209" s="185"/>
      <c r="E31209" s="185" t="s">
        <v>470</v>
      </c>
      <c r="H31209" s="185"/>
    </row>
    <row r="31210">
      <c r="D31210" s="185"/>
      <c r="E31210" s="185" t="s">
        <v>470</v>
      </c>
      <c r="H31210" s="185"/>
    </row>
    <row r="31211">
      <c r="D31211" s="185"/>
      <c r="E31211" s="185" t="s">
        <v>470</v>
      </c>
      <c r="H31211" s="185"/>
    </row>
    <row r="31212">
      <c r="D31212" s="185"/>
      <c r="E31212" s="185" t="s">
        <v>470</v>
      </c>
      <c r="H31212" s="185"/>
    </row>
    <row r="31213">
      <c r="D31213" s="185"/>
      <c r="E31213" s="185" t="s">
        <v>470</v>
      </c>
      <c r="H31213" s="185"/>
    </row>
    <row r="31214">
      <c r="D31214" s="185"/>
      <c r="E31214" s="185" t="s">
        <v>470</v>
      </c>
      <c r="H31214" s="185"/>
    </row>
    <row r="31215">
      <c r="D31215" s="185"/>
      <c r="E31215" s="185" t="s">
        <v>470</v>
      </c>
      <c r="H31215" s="185"/>
    </row>
    <row r="31216">
      <c r="D31216" s="185"/>
      <c r="E31216" s="185" t="s">
        <v>470</v>
      </c>
      <c r="H31216" s="185"/>
    </row>
    <row r="31217">
      <c r="D31217" s="185"/>
      <c r="E31217" s="185" t="s">
        <v>470</v>
      </c>
      <c r="H31217" s="185"/>
    </row>
    <row r="31218">
      <c r="D31218" s="185"/>
      <c r="E31218" s="185" t="s">
        <v>470</v>
      </c>
      <c r="H31218" s="185"/>
    </row>
    <row r="31219">
      <c r="D31219" s="185"/>
      <c r="E31219" s="185" t="s">
        <v>470</v>
      </c>
      <c r="H31219" s="185"/>
    </row>
    <row r="31220">
      <c r="D31220" s="185"/>
      <c r="E31220" s="185" t="s">
        <v>470</v>
      </c>
      <c r="H31220" s="185"/>
    </row>
    <row r="31221">
      <c r="D31221" s="185"/>
      <c r="E31221" s="185" t="s">
        <v>470</v>
      </c>
      <c r="H31221" s="185"/>
    </row>
    <row r="31222">
      <c r="D31222" s="185"/>
      <c r="E31222" s="185" t="s">
        <v>470</v>
      </c>
      <c r="H31222" s="185"/>
    </row>
    <row r="31223">
      <c r="D31223" s="185"/>
      <c r="E31223" s="185" t="s">
        <v>470</v>
      </c>
      <c r="H31223" s="185"/>
    </row>
    <row r="31224">
      <c r="D31224" s="185"/>
      <c r="E31224" s="185" t="s">
        <v>470</v>
      </c>
      <c r="H31224" s="185"/>
    </row>
    <row r="31225">
      <c r="D31225" s="185"/>
      <c r="E31225" s="185" t="s">
        <v>470</v>
      </c>
      <c r="H31225" s="185"/>
    </row>
    <row r="31226">
      <c r="D31226" s="185"/>
      <c r="E31226" s="185" t="s">
        <v>470</v>
      </c>
      <c r="H31226" s="185"/>
    </row>
    <row r="31227">
      <c r="D31227" s="185"/>
      <c r="E31227" s="185" t="s">
        <v>470</v>
      </c>
      <c r="H31227" s="185"/>
    </row>
    <row r="31228">
      <c r="D31228" s="185"/>
      <c r="E31228" s="185" t="s">
        <v>470</v>
      </c>
      <c r="H31228" s="185"/>
    </row>
    <row r="31229">
      <c r="D31229" s="185"/>
      <c r="E31229" s="185" t="s">
        <v>470</v>
      </c>
      <c r="H31229" s="185"/>
    </row>
    <row r="31230">
      <c r="D31230" s="185"/>
      <c r="E31230" s="185" t="s">
        <v>470</v>
      </c>
      <c r="H31230" s="185"/>
    </row>
    <row r="31231">
      <c r="D31231" s="185"/>
      <c r="E31231" s="185" t="s">
        <v>470</v>
      </c>
      <c r="H31231" s="185"/>
    </row>
    <row r="31232">
      <c r="D31232" s="185"/>
      <c r="E31232" s="185" t="s">
        <v>470</v>
      </c>
      <c r="H31232" s="185"/>
    </row>
    <row r="31233">
      <c r="D31233" s="185"/>
      <c r="E31233" s="185" t="s">
        <v>470</v>
      </c>
      <c r="H31233" s="185"/>
    </row>
    <row r="31234">
      <c r="D31234" s="185"/>
      <c r="E31234" s="185" t="s">
        <v>470</v>
      </c>
      <c r="H31234" s="185"/>
    </row>
    <row r="31235">
      <c r="D31235" s="185"/>
      <c r="E31235" s="185" t="s">
        <v>470</v>
      </c>
      <c r="H31235" s="185"/>
    </row>
    <row r="31236">
      <c r="D31236" s="185"/>
      <c r="E31236" s="185" t="s">
        <v>470</v>
      </c>
      <c r="H31236" s="185"/>
    </row>
    <row r="31237">
      <c r="D31237" s="185"/>
      <c r="E31237" s="185" t="s">
        <v>470</v>
      </c>
      <c r="H31237" s="185"/>
    </row>
    <row r="31238">
      <c r="D31238" s="185"/>
      <c r="E31238" s="185" t="s">
        <v>470</v>
      </c>
      <c r="H31238" s="185"/>
    </row>
    <row r="31239">
      <c r="D31239" s="185"/>
      <c r="E31239" s="185" t="s">
        <v>470</v>
      </c>
      <c r="H31239" s="185"/>
    </row>
    <row r="31240">
      <c r="D31240" s="185"/>
      <c r="E31240" s="185" t="s">
        <v>470</v>
      </c>
      <c r="H31240" s="185"/>
    </row>
    <row r="31241">
      <c r="D31241" s="185"/>
      <c r="E31241" s="185" t="s">
        <v>470</v>
      </c>
      <c r="H31241" s="185"/>
    </row>
    <row r="31242">
      <c r="D31242" s="185"/>
      <c r="E31242" s="185" t="s">
        <v>470</v>
      </c>
      <c r="H31242" s="185"/>
    </row>
    <row r="31243">
      <c r="D31243" s="185"/>
      <c r="E31243" s="185" t="s">
        <v>470</v>
      </c>
      <c r="H31243" s="185"/>
    </row>
    <row r="31244">
      <c r="D31244" s="185"/>
      <c r="E31244" s="185" t="s">
        <v>470</v>
      </c>
      <c r="H31244" s="185"/>
    </row>
    <row r="31245">
      <c r="D31245" s="185"/>
      <c r="E31245" s="185" t="s">
        <v>470</v>
      </c>
      <c r="H31245" s="185"/>
    </row>
    <row r="31246">
      <c r="D31246" s="185"/>
      <c r="E31246" s="185" t="s">
        <v>470</v>
      </c>
      <c r="H31246" s="185"/>
    </row>
    <row r="31247">
      <c r="D31247" s="185"/>
      <c r="E31247" s="185" t="s">
        <v>470</v>
      </c>
      <c r="H31247" s="185"/>
    </row>
    <row r="31248">
      <c r="D31248" s="185"/>
      <c r="E31248" s="185" t="s">
        <v>470</v>
      </c>
      <c r="H31248" s="185"/>
    </row>
    <row r="31249">
      <c r="D31249" s="185"/>
      <c r="E31249" s="185" t="s">
        <v>470</v>
      </c>
      <c r="H31249" s="185"/>
    </row>
    <row r="31250">
      <c r="D31250" s="185"/>
      <c r="E31250" s="185" t="s">
        <v>470</v>
      </c>
      <c r="H31250" s="185"/>
    </row>
    <row r="31251">
      <c r="D31251" s="185"/>
      <c r="E31251" s="185" t="s">
        <v>470</v>
      </c>
      <c r="H31251" s="185"/>
    </row>
    <row r="31252">
      <c r="D31252" s="185"/>
      <c r="E31252" s="185" t="s">
        <v>470</v>
      </c>
      <c r="H31252" s="185"/>
    </row>
    <row r="31253">
      <c r="D31253" s="185"/>
      <c r="E31253" s="185" t="s">
        <v>470</v>
      </c>
      <c r="H31253" s="185"/>
    </row>
    <row r="31254">
      <c r="D31254" s="185"/>
      <c r="E31254" s="185" t="s">
        <v>470</v>
      </c>
      <c r="H31254" s="185"/>
    </row>
    <row r="31255">
      <c r="D31255" s="185"/>
      <c r="E31255" s="185" t="s">
        <v>470</v>
      </c>
      <c r="H31255" s="185"/>
    </row>
    <row r="31256">
      <c r="D31256" s="185"/>
      <c r="E31256" s="185" t="s">
        <v>470</v>
      </c>
      <c r="H31256" s="185"/>
    </row>
    <row r="31257">
      <c r="D31257" s="185"/>
      <c r="E31257" s="185" t="s">
        <v>470</v>
      </c>
      <c r="H31257" s="185"/>
    </row>
    <row r="31258">
      <c r="D31258" s="185"/>
      <c r="E31258" s="185" t="s">
        <v>470</v>
      </c>
      <c r="H31258" s="185"/>
    </row>
    <row r="31259">
      <c r="D31259" s="185"/>
      <c r="E31259" s="185" t="s">
        <v>470</v>
      </c>
      <c r="H31259" s="185"/>
    </row>
    <row r="31260">
      <c r="D31260" s="185"/>
      <c r="E31260" s="185" t="s">
        <v>470</v>
      </c>
      <c r="H31260" s="185"/>
    </row>
    <row r="31261">
      <c r="D31261" s="185"/>
      <c r="E31261" s="185" t="s">
        <v>470</v>
      </c>
      <c r="H31261" s="185"/>
    </row>
    <row r="31262">
      <c r="D31262" s="185"/>
      <c r="E31262" s="185" t="s">
        <v>470</v>
      </c>
      <c r="H31262" s="185"/>
    </row>
    <row r="31263">
      <c r="D31263" s="185"/>
      <c r="E31263" s="185" t="s">
        <v>470</v>
      </c>
      <c r="H31263" s="185"/>
    </row>
    <row r="31264">
      <c r="D31264" s="185"/>
      <c r="E31264" s="185" t="s">
        <v>470</v>
      </c>
      <c r="H31264" s="185"/>
    </row>
    <row r="31265">
      <c r="D31265" s="185"/>
      <c r="E31265" s="185" t="s">
        <v>470</v>
      </c>
      <c r="H31265" s="185"/>
    </row>
    <row r="31266">
      <c r="D31266" s="185"/>
      <c r="E31266" s="185" t="s">
        <v>470</v>
      </c>
      <c r="H31266" s="185"/>
    </row>
    <row r="31267">
      <c r="D31267" s="185"/>
      <c r="E31267" s="185" t="s">
        <v>470</v>
      </c>
      <c r="H31267" s="185"/>
    </row>
    <row r="31268">
      <c r="D31268" s="185"/>
      <c r="E31268" s="185" t="s">
        <v>470</v>
      </c>
      <c r="H31268" s="185"/>
    </row>
    <row r="31269">
      <c r="D31269" s="185"/>
      <c r="E31269" s="185" t="s">
        <v>470</v>
      </c>
      <c r="H31269" s="185"/>
    </row>
    <row r="31270">
      <c r="D31270" s="185"/>
      <c r="E31270" s="185" t="s">
        <v>470</v>
      </c>
      <c r="H31270" s="185"/>
    </row>
    <row r="31271">
      <c r="D31271" s="185"/>
      <c r="E31271" s="185" t="s">
        <v>470</v>
      </c>
      <c r="H31271" s="185"/>
    </row>
    <row r="31272">
      <c r="D31272" s="185"/>
      <c r="E31272" s="185" t="s">
        <v>470</v>
      </c>
      <c r="H31272" s="185"/>
    </row>
    <row r="31273">
      <c r="D31273" s="185"/>
      <c r="E31273" s="185" t="s">
        <v>470</v>
      </c>
      <c r="H31273" s="185"/>
    </row>
    <row r="31274">
      <c r="D31274" s="185"/>
      <c r="E31274" s="185" t="s">
        <v>470</v>
      </c>
      <c r="H31274" s="185"/>
    </row>
    <row r="31275">
      <c r="D31275" s="185"/>
      <c r="E31275" s="185" t="s">
        <v>470</v>
      </c>
      <c r="H31275" s="185"/>
    </row>
    <row r="31276">
      <c r="D31276" s="185"/>
      <c r="E31276" s="185" t="s">
        <v>470</v>
      </c>
      <c r="H31276" s="185"/>
    </row>
    <row r="31277">
      <c r="D31277" s="185"/>
      <c r="E31277" s="185" t="s">
        <v>470</v>
      </c>
      <c r="H31277" s="185"/>
    </row>
    <row r="31278">
      <c r="D31278" s="185"/>
      <c r="E31278" s="185" t="s">
        <v>470</v>
      </c>
      <c r="H31278" s="185"/>
    </row>
    <row r="31279">
      <c r="D31279" s="185"/>
      <c r="E31279" s="185" t="s">
        <v>470</v>
      </c>
      <c r="H31279" s="185"/>
    </row>
    <row r="31280">
      <c r="D31280" s="185"/>
      <c r="E31280" s="185" t="s">
        <v>470</v>
      </c>
      <c r="H31280" s="185"/>
    </row>
    <row r="31281">
      <c r="D31281" s="185"/>
      <c r="E31281" s="185" t="s">
        <v>470</v>
      </c>
      <c r="H31281" s="185"/>
    </row>
    <row r="31282">
      <c r="D31282" s="185"/>
      <c r="E31282" s="185" t="s">
        <v>470</v>
      </c>
      <c r="H31282" s="185"/>
    </row>
    <row r="31283">
      <c r="D31283" s="185"/>
      <c r="E31283" s="185" t="s">
        <v>470</v>
      </c>
      <c r="H31283" s="185"/>
    </row>
    <row r="31284">
      <c r="D31284" s="185"/>
      <c r="E31284" s="185" t="s">
        <v>470</v>
      </c>
      <c r="H31284" s="185"/>
    </row>
    <row r="31285">
      <c r="D31285" s="185"/>
      <c r="E31285" s="185" t="s">
        <v>470</v>
      </c>
      <c r="H31285" s="185"/>
    </row>
    <row r="31286">
      <c r="D31286" s="185"/>
      <c r="E31286" s="185" t="s">
        <v>470</v>
      </c>
      <c r="H31286" s="185"/>
    </row>
    <row r="31287">
      <c r="D31287" s="185"/>
      <c r="E31287" s="185" t="s">
        <v>470</v>
      </c>
      <c r="H31287" s="185"/>
    </row>
    <row r="31288">
      <c r="D31288" s="185"/>
      <c r="E31288" s="185" t="s">
        <v>470</v>
      </c>
      <c r="H31288" s="185"/>
    </row>
    <row r="31289">
      <c r="D31289" s="185"/>
      <c r="E31289" s="185" t="s">
        <v>470</v>
      </c>
      <c r="H31289" s="185"/>
    </row>
    <row r="31290">
      <c r="D31290" s="185"/>
      <c r="E31290" s="185" t="s">
        <v>470</v>
      </c>
      <c r="H31290" s="185"/>
    </row>
    <row r="31291">
      <c r="D31291" s="185"/>
      <c r="E31291" s="185" t="s">
        <v>470</v>
      </c>
      <c r="H31291" s="185"/>
    </row>
    <row r="31292">
      <c r="D31292" s="185"/>
      <c r="E31292" s="185" t="s">
        <v>470</v>
      </c>
      <c r="H31292" s="185"/>
    </row>
    <row r="31293">
      <c r="D31293" s="185"/>
      <c r="E31293" s="185" t="s">
        <v>470</v>
      </c>
      <c r="H31293" s="185"/>
    </row>
    <row r="31294">
      <c r="D31294" s="185"/>
      <c r="E31294" s="185" t="s">
        <v>470</v>
      </c>
      <c r="H31294" s="185"/>
    </row>
    <row r="31295">
      <c r="D31295" s="185"/>
      <c r="E31295" s="185" t="s">
        <v>470</v>
      </c>
      <c r="H31295" s="185"/>
    </row>
    <row r="31296">
      <c r="D31296" s="185"/>
      <c r="E31296" s="185" t="s">
        <v>470</v>
      </c>
      <c r="H31296" s="185"/>
    </row>
    <row r="31297">
      <c r="D31297" s="185"/>
      <c r="E31297" s="185" t="s">
        <v>470</v>
      </c>
      <c r="H31297" s="185"/>
    </row>
    <row r="31298">
      <c r="D31298" s="185"/>
      <c r="E31298" s="185" t="s">
        <v>470</v>
      </c>
      <c r="H31298" s="185"/>
    </row>
    <row r="31299">
      <c r="D31299" s="185"/>
      <c r="E31299" s="185" t="s">
        <v>470</v>
      </c>
      <c r="H31299" s="185"/>
    </row>
    <row r="31300">
      <c r="D31300" s="185"/>
      <c r="E31300" s="185" t="s">
        <v>470</v>
      </c>
      <c r="H31300" s="185"/>
    </row>
    <row r="31301">
      <c r="D31301" s="185"/>
      <c r="E31301" s="185" t="s">
        <v>470</v>
      </c>
      <c r="H31301" s="185"/>
    </row>
    <row r="31302">
      <c r="D31302" s="185"/>
      <c r="E31302" s="185" t="s">
        <v>470</v>
      </c>
      <c r="H31302" s="185"/>
    </row>
    <row r="31303">
      <c r="D31303" s="185"/>
      <c r="E31303" s="185" t="s">
        <v>470</v>
      </c>
      <c r="H31303" s="185"/>
    </row>
    <row r="31304">
      <c r="D31304" s="185"/>
      <c r="E31304" s="185" t="s">
        <v>470</v>
      </c>
      <c r="H31304" s="185"/>
    </row>
    <row r="31305">
      <c r="D31305" s="185"/>
      <c r="E31305" s="185" t="s">
        <v>470</v>
      </c>
      <c r="H31305" s="185"/>
    </row>
    <row r="31306">
      <c r="D31306" s="185"/>
      <c r="E31306" s="185" t="s">
        <v>470</v>
      </c>
      <c r="H31306" s="185"/>
    </row>
    <row r="31307">
      <c r="D31307" s="185"/>
      <c r="E31307" s="185" t="s">
        <v>470</v>
      </c>
      <c r="H31307" s="185"/>
    </row>
    <row r="31308">
      <c r="D31308" s="185"/>
      <c r="E31308" s="185" t="s">
        <v>470</v>
      </c>
      <c r="H31308" s="185"/>
    </row>
    <row r="31309">
      <c r="D31309" s="185"/>
      <c r="E31309" s="185" t="s">
        <v>470</v>
      </c>
      <c r="H31309" s="185"/>
    </row>
    <row r="31310">
      <c r="D31310" s="185"/>
      <c r="E31310" s="185" t="s">
        <v>470</v>
      </c>
      <c r="H31310" s="185"/>
    </row>
    <row r="31311">
      <c r="D31311" s="185"/>
      <c r="E31311" s="185" t="s">
        <v>470</v>
      </c>
      <c r="H31311" s="185"/>
    </row>
    <row r="31312">
      <c r="D31312" s="185"/>
      <c r="E31312" s="185" t="s">
        <v>470</v>
      </c>
      <c r="H31312" s="185"/>
    </row>
    <row r="31313">
      <c r="D31313" s="185"/>
      <c r="E31313" s="185" t="s">
        <v>470</v>
      </c>
      <c r="H31313" s="185"/>
    </row>
    <row r="31314">
      <c r="D31314" s="185"/>
      <c r="E31314" s="185" t="s">
        <v>470</v>
      </c>
      <c r="H31314" s="185"/>
    </row>
    <row r="31315">
      <c r="D31315" s="185"/>
      <c r="E31315" s="185" t="s">
        <v>470</v>
      </c>
      <c r="H31315" s="185"/>
    </row>
    <row r="31316">
      <c r="D31316" s="185"/>
      <c r="E31316" s="185" t="s">
        <v>470</v>
      </c>
      <c r="H31316" s="185"/>
    </row>
    <row r="31317">
      <c r="D31317" s="185"/>
      <c r="E31317" s="185" t="s">
        <v>470</v>
      </c>
      <c r="H31317" s="185"/>
    </row>
    <row r="31318">
      <c r="D31318" s="185"/>
      <c r="E31318" s="185" t="s">
        <v>470</v>
      </c>
      <c r="H31318" s="185"/>
    </row>
    <row r="31319">
      <c r="D31319" s="185"/>
      <c r="E31319" s="185" t="s">
        <v>470</v>
      </c>
      <c r="H31319" s="185"/>
    </row>
    <row r="31320">
      <c r="D31320" s="185"/>
      <c r="E31320" s="185" t="s">
        <v>470</v>
      </c>
      <c r="H31320" s="185"/>
    </row>
    <row r="31321">
      <c r="D31321" s="185"/>
      <c r="E31321" s="185" t="s">
        <v>470</v>
      </c>
      <c r="H31321" s="185"/>
    </row>
    <row r="31322">
      <c r="D31322" s="185"/>
      <c r="E31322" s="185" t="s">
        <v>470</v>
      </c>
      <c r="H31322" s="185"/>
    </row>
    <row r="31323">
      <c r="D31323" s="185"/>
      <c r="E31323" s="185" t="s">
        <v>470</v>
      </c>
      <c r="H31323" s="185"/>
    </row>
    <row r="31324">
      <c r="D31324" s="185"/>
      <c r="E31324" s="185" t="s">
        <v>470</v>
      </c>
      <c r="H31324" s="185"/>
    </row>
    <row r="31325">
      <c r="D31325" s="185"/>
      <c r="E31325" s="185" t="s">
        <v>470</v>
      </c>
      <c r="H31325" s="185"/>
    </row>
    <row r="31326">
      <c r="D31326" s="185"/>
      <c r="E31326" s="185" t="s">
        <v>470</v>
      </c>
      <c r="H31326" s="185"/>
    </row>
    <row r="31327">
      <c r="D31327" s="185"/>
      <c r="E31327" s="185" t="s">
        <v>470</v>
      </c>
      <c r="H31327" s="185"/>
    </row>
    <row r="31328">
      <c r="D31328" s="185"/>
      <c r="E31328" s="185" t="s">
        <v>470</v>
      </c>
      <c r="H31328" s="185"/>
    </row>
    <row r="31329">
      <c r="D31329" s="185"/>
      <c r="E31329" s="185" t="s">
        <v>470</v>
      </c>
      <c r="H31329" s="185"/>
    </row>
    <row r="31330">
      <c r="D31330" s="185"/>
      <c r="E31330" s="185" t="s">
        <v>470</v>
      </c>
      <c r="H31330" s="185"/>
    </row>
    <row r="31331">
      <c r="D31331" s="185"/>
      <c r="E31331" s="185" t="s">
        <v>470</v>
      </c>
      <c r="H31331" s="185"/>
    </row>
    <row r="31332">
      <c r="D31332" s="185"/>
      <c r="E31332" s="185" t="s">
        <v>470</v>
      </c>
      <c r="H31332" s="185"/>
    </row>
    <row r="31333">
      <c r="D31333" s="185"/>
      <c r="E31333" s="185" t="s">
        <v>470</v>
      </c>
      <c r="H31333" s="185"/>
    </row>
    <row r="31334">
      <c r="D31334" s="185"/>
      <c r="E31334" s="185" t="s">
        <v>470</v>
      </c>
      <c r="H31334" s="185"/>
    </row>
    <row r="31335">
      <c r="D31335" s="185"/>
      <c r="E31335" s="185" t="s">
        <v>470</v>
      </c>
      <c r="H31335" s="185"/>
    </row>
    <row r="31336">
      <c r="D31336" s="185"/>
      <c r="E31336" s="185" t="s">
        <v>470</v>
      </c>
      <c r="H31336" s="185"/>
    </row>
    <row r="31337">
      <c r="D31337" s="185"/>
      <c r="E31337" s="185" t="s">
        <v>470</v>
      </c>
      <c r="H31337" s="185"/>
    </row>
    <row r="31338">
      <c r="D31338" s="185"/>
      <c r="E31338" s="185" t="s">
        <v>470</v>
      </c>
      <c r="H31338" s="185"/>
    </row>
    <row r="31339">
      <c r="D31339" s="185"/>
      <c r="E31339" s="185" t="s">
        <v>470</v>
      </c>
      <c r="H31339" s="185"/>
    </row>
    <row r="31340">
      <c r="D31340" s="185"/>
      <c r="E31340" s="185" t="s">
        <v>470</v>
      </c>
      <c r="H31340" s="185"/>
    </row>
    <row r="31341">
      <c r="D31341" s="185"/>
      <c r="E31341" s="185" t="s">
        <v>470</v>
      </c>
      <c r="H31341" s="185"/>
    </row>
    <row r="31342">
      <c r="D31342" s="185"/>
      <c r="E31342" s="185" t="s">
        <v>470</v>
      </c>
      <c r="H31342" s="185"/>
    </row>
    <row r="31343">
      <c r="D31343" s="185"/>
      <c r="E31343" s="185" t="s">
        <v>470</v>
      </c>
      <c r="H31343" s="185"/>
    </row>
    <row r="31344">
      <c r="D31344" s="185"/>
      <c r="E31344" s="185" t="s">
        <v>470</v>
      </c>
      <c r="H31344" s="185"/>
    </row>
    <row r="31345">
      <c r="D31345" s="185"/>
      <c r="E31345" s="185" t="s">
        <v>470</v>
      </c>
      <c r="H31345" s="185"/>
    </row>
    <row r="31346">
      <c r="D31346" s="185"/>
      <c r="E31346" s="185" t="s">
        <v>470</v>
      </c>
      <c r="H31346" s="185"/>
    </row>
    <row r="31347">
      <c r="D31347" s="185"/>
      <c r="E31347" s="185" t="s">
        <v>470</v>
      </c>
      <c r="H31347" s="185"/>
    </row>
    <row r="31348">
      <c r="D31348" s="185"/>
      <c r="E31348" s="185" t="s">
        <v>470</v>
      </c>
      <c r="H31348" s="185"/>
    </row>
    <row r="31349">
      <c r="D31349" s="185"/>
      <c r="E31349" s="185" t="s">
        <v>470</v>
      </c>
      <c r="H31349" s="185"/>
    </row>
    <row r="31350">
      <c r="D31350" s="185"/>
      <c r="E31350" s="185" t="s">
        <v>470</v>
      </c>
      <c r="H31350" s="185"/>
    </row>
    <row r="31351">
      <c r="D31351" s="185"/>
      <c r="E31351" s="185" t="s">
        <v>470</v>
      </c>
      <c r="H31351" s="185"/>
    </row>
    <row r="31352">
      <c r="D31352" s="185"/>
      <c r="E31352" s="185" t="s">
        <v>470</v>
      </c>
      <c r="H31352" s="185"/>
    </row>
    <row r="31353">
      <c r="D31353" s="185"/>
      <c r="E31353" s="185" t="s">
        <v>470</v>
      </c>
      <c r="H31353" s="185"/>
    </row>
    <row r="31354">
      <c r="D31354" s="185"/>
      <c r="E31354" s="185" t="s">
        <v>470</v>
      </c>
      <c r="H31354" s="185"/>
    </row>
    <row r="31355">
      <c r="D31355" s="185"/>
      <c r="E31355" s="185" t="s">
        <v>470</v>
      </c>
      <c r="H31355" s="185"/>
    </row>
    <row r="31356">
      <c r="D31356" s="185"/>
      <c r="E31356" s="185" t="s">
        <v>470</v>
      </c>
      <c r="H31356" s="185"/>
    </row>
    <row r="31357">
      <c r="D31357" s="185"/>
      <c r="E31357" s="185" t="s">
        <v>470</v>
      </c>
      <c r="H31357" s="185"/>
    </row>
    <row r="31358">
      <c r="D31358" s="185"/>
      <c r="E31358" s="185" t="s">
        <v>470</v>
      </c>
      <c r="H31358" s="185"/>
    </row>
    <row r="31359">
      <c r="D31359" s="185"/>
      <c r="E31359" s="185" t="s">
        <v>470</v>
      </c>
      <c r="H31359" s="185"/>
    </row>
    <row r="31360">
      <c r="D31360" s="185"/>
      <c r="E31360" s="185" t="s">
        <v>470</v>
      </c>
      <c r="H31360" s="185"/>
    </row>
    <row r="31361">
      <c r="D31361" s="185"/>
      <c r="E31361" s="185" t="s">
        <v>470</v>
      </c>
      <c r="H31361" s="185"/>
    </row>
    <row r="31362">
      <c r="D31362" s="185"/>
      <c r="E31362" s="185" t="s">
        <v>470</v>
      </c>
      <c r="H31362" s="185"/>
    </row>
    <row r="31363">
      <c r="D31363" s="185"/>
      <c r="E31363" s="185" t="s">
        <v>470</v>
      </c>
      <c r="H31363" s="185"/>
    </row>
    <row r="31364">
      <c r="D31364" s="185"/>
      <c r="E31364" s="185" t="s">
        <v>470</v>
      </c>
      <c r="H31364" s="185"/>
    </row>
    <row r="31365">
      <c r="D31365" s="185"/>
      <c r="E31365" s="185" t="s">
        <v>470</v>
      </c>
      <c r="H31365" s="185"/>
    </row>
    <row r="31366">
      <c r="D31366" s="185"/>
      <c r="E31366" s="185" t="s">
        <v>470</v>
      </c>
      <c r="H31366" s="185"/>
    </row>
    <row r="31367">
      <c r="D31367" s="185"/>
      <c r="E31367" s="185" t="s">
        <v>470</v>
      </c>
      <c r="H31367" s="185"/>
    </row>
    <row r="31368">
      <c r="D31368" s="185"/>
      <c r="E31368" s="185" t="s">
        <v>470</v>
      </c>
      <c r="H31368" s="185"/>
    </row>
    <row r="31369">
      <c r="D31369" s="185"/>
      <c r="E31369" s="185" t="s">
        <v>470</v>
      </c>
      <c r="H31369" s="185"/>
    </row>
    <row r="31370">
      <c r="D31370" s="185"/>
      <c r="E31370" s="185" t="s">
        <v>470</v>
      </c>
      <c r="H31370" s="185"/>
    </row>
    <row r="31371">
      <c r="D31371" s="185"/>
      <c r="E31371" s="185" t="s">
        <v>470</v>
      </c>
      <c r="H31371" s="185"/>
    </row>
    <row r="31372">
      <c r="D31372" s="185"/>
      <c r="E31372" s="185" t="s">
        <v>470</v>
      </c>
      <c r="H31372" s="185"/>
    </row>
    <row r="31373">
      <c r="D31373" s="185"/>
      <c r="E31373" s="185" t="s">
        <v>470</v>
      </c>
      <c r="H31373" s="185"/>
    </row>
    <row r="31374">
      <c r="D31374" s="185"/>
      <c r="E31374" s="185" t="s">
        <v>470</v>
      </c>
      <c r="H31374" s="185"/>
    </row>
    <row r="31375">
      <c r="D31375" s="185"/>
      <c r="E31375" s="185" t="s">
        <v>470</v>
      </c>
      <c r="H31375" s="185"/>
    </row>
    <row r="31376">
      <c r="D31376" s="185"/>
      <c r="E31376" s="185" t="s">
        <v>470</v>
      </c>
      <c r="H31376" s="185"/>
    </row>
    <row r="31377">
      <c r="D31377" s="185"/>
      <c r="E31377" s="185" t="s">
        <v>470</v>
      </c>
      <c r="H31377" s="185"/>
    </row>
    <row r="31378">
      <c r="D31378" s="185"/>
      <c r="E31378" s="185" t="s">
        <v>470</v>
      </c>
      <c r="H31378" s="185"/>
    </row>
    <row r="31379">
      <c r="D31379" s="185"/>
      <c r="E31379" s="185" t="s">
        <v>470</v>
      </c>
      <c r="H31379" s="185"/>
    </row>
    <row r="31380">
      <c r="D31380" s="185"/>
      <c r="E31380" s="185" t="s">
        <v>470</v>
      </c>
      <c r="H31380" s="185"/>
    </row>
    <row r="31381">
      <c r="D31381" s="185"/>
      <c r="E31381" s="185" t="s">
        <v>470</v>
      </c>
      <c r="H31381" s="185"/>
    </row>
    <row r="31382">
      <c r="D31382" s="185"/>
      <c r="E31382" s="185" t="s">
        <v>470</v>
      </c>
      <c r="H31382" s="185"/>
    </row>
    <row r="31383">
      <c r="D31383" s="185"/>
      <c r="E31383" s="185" t="s">
        <v>470</v>
      </c>
      <c r="H31383" s="185"/>
    </row>
    <row r="31384">
      <c r="D31384" s="185"/>
      <c r="E31384" s="185" t="s">
        <v>470</v>
      </c>
      <c r="H31384" s="185"/>
    </row>
    <row r="31385">
      <c r="D31385" s="185"/>
      <c r="E31385" s="185" t="s">
        <v>470</v>
      </c>
      <c r="H31385" s="185"/>
    </row>
    <row r="31386">
      <c r="D31386" s="185"/>
      <c r="E31386" s="185" t="s">
        <v>470</v>
      </c>
      <c r="H31386" s="185"/>
    </row>
    <row r="31387">
      <c r="D31387" s="185"/>
      <c r="E31387" s="185" t="s">
        <v>470</v>
      </c>
      <c r="H31387" s="185"/>
    </row>
    <row r="31388">
      <c r="D31388" s="185"/>
      <c r="E31388" s="185" t="s">
        <v>470</v>
      </c>
      <c r="H31388" s="185"/>
    </row>
    <row r="31389">
      <c r="D31389" s="185"/>
      <c r="E31389" s="185" t="s">
        <v>470</v>
      </c>
      <c r="H31389" s="185"/>
    </row>
    <row r="31390">
      <c r="D31390" s="185"/>
      <c r="E31390" s="185" t="s">
        <v>470</v>
      </c>
      <c r="H31390" s="185"/>
    </row>
    <row r="31391">
      <c r="D31391" s="185"/>
      <c r="E31391" s="185" t="s">
        <v>470</v>
      </c>
      <c r="H31391" s="185"/>
    </row>
    <row r="31392">
      <c r="D31392" s="185"/>
      <c r="E31392" s="185" t="s">
        <v>470</v>
      </c>
      <c r="H31392" s="185"/>
    </row>
    <row r="31393">
      <c r="D31393" s="185"/>
      <c r="E31393" s="185" t="s">
        <v>470</v>
      </c>
      <c r="H31393" s="185"/>
    </row>
    <row r="31394">
      <c r="D31394" s="185"/>
      <c r="E31394" s="185" t="s">
        <v>470</v>
      </c>
      <c r="H31394" s="185"/>
    </row>
    <row r="31395">
      <c r="D31395" s="185"/>
      <c r="E31395" s="185" t="s">
        <v>470</v>
      </c>
      <c r="H31395" s="185"/>
    </row>
    <row r="31396">
      <c r="D31396" s="185"/>
      <c r="E31396" s="185" t="s">
        <v>470</v>
      </c>
      <c r="H31396" s="185"/>
    </row>
    <row r="31397">
      <c r="D31397" s="185"/>
      <c r="E31397" s="185" t="s">
        <v>470</v>
      </c>
      <c r="H31397" s="185"/>
    </row>
    <row r="31398">
      <c r="D31398" s="185"/>
      <c r="E31398" s="185" t="s">
        <v>470</v>
      </c>
      <c r="H31398" s="185"/>
    </row>
    <row r="31399">
      <c r="D31399" s="185"/>
      <c r="E31399" s="185" t="s">
        <v>470</v>
      </c>
      <c r="H31399" s="185"/>
    </row>
    <row r="31400">
      <c r="D31400" s="185"/>
      <c r="E31400" s="185" t="s">
        <v>470</v>
      </c>
      <c r="H31400" s="185"/>
    </row>
    <row r="31401">
      <c r="D31401" s="185"/>
      <c r="E31401" s="185" t="s">
        <v>470</v>
      </c>
      <c r="H31401" s="185"/>
    </row>
    <row r="31402">
      <c r="D31402" s="185"/>
      <c r="E31402" s="185" t="s">
        <v>470</v>
      </c>
      <c r="H31402" s="185"/>
    </row>
    <row r="31403">
      <c r="D31403" s="185"/>
      <c r="E31403" s="185" t="s">
        <v>470</v>
      </c>
      <c r="H31403" s="185"/>
    </row>
    <row r="31404">
      <c r="D31404" s="185"/>
      <c r="E31404" s="185" t="s">
        <v>470</v>
      </c>
      <c r="H31404" s="185"/>
    </row>
    <row r="31405">
      <c r="D31405" s="185"/>
      <c r="E31405" s="185" t="s">
        <v>470</v>
      </c>
      <c r="H31405" s="185"/>
    </row>
    <row r="31406">
      <c r="D31406" s="185"/>
      <c r="E31406" s="185" t="s">
        <v>470</v>
      </c>
      <c r="H31406" s="185"/>
    </row>
    <row r="31407">
      <c r="D31407" s="185"/>
      <c r="E31407" s="185" t="s">
        <v>470</v>
      </c>
      <c r="H31407" s="185"/>
    </row>
    <row r="31408">
      <c r="D31408" s="185"/>
      <c r="E31408" s="185" t="s">
        <v>470</v>
      </c>
      <c r="H31408" s="185"/>
    </row>
    <row r="31409">
      <c r="D31409" s="185"/>
      <c r="E31409" s="185" t="s">
        <v>470</v>
      </c>
      <c r="H31409" s="185"/>
    </row>
    <row r="31410">
      <c r="D31410" s="185"/>
      <c r="E31410" s="185" t="s">
        <v>470</v>
      </c>
      <c r="H31410" s="185"/>
    </row>
    <row r="31411">
      <c r="D31411" s="185"/>
      <c r="E31411" s="185" t="s">
        <v>470</v>
      </c>
      <c r="H31411" s="185"/>
    </row>
    <row r="31412">
      <c r="D31412" s="185"/>
      <c r="E31412" s="185" t="s">
        <v>470</v>
      </c>
      <c r="H31412" s="185"/>
    </row>
    <row r="31413">
      <c r="D31413" s="185"/>
      <c r="E31413" s="185" t="s">
        <v>470</v>
      </c>
      <c r="H31413" s="185"/>
    </row>
    <row r="31414">
      <c r="D31414" s="185"/>
      <c r="E31414" s="185" t="s">
        <v>470</v>
      </c>
      <c r="H31414" s="185"/>
    </row>
    <row r="31415">
      <c r="D31415" s="185"/>
      <c r="E31415" s="185" t="s">
        <v>470</v>
      </c>
      <c r="H31415" s="185"/>
    </row>
    <row r="31416">
      <c r="D31416" s="185"/>
      <c r="E31416" s="185" t="s">
        <v>470</v>
      </c>
      <c r="H31416" s="185"/>
    </row>
    <row r="31417">
      <c r="D31417" s="185"/>
      <c r="E31417" s="185" t="s">
        <v>470</v>
      </c>
      <c r="H31417" s="185"/>
    </row>
    <row r="31418">
      <c r="D31418" s="185"/>
      <c r="E31418" s="185" t="s">
        <v>470</v>
      </c>
      <c r="H31418" s="185"/>
    </row>
    <row r="31419">
      <c r="D31419" s="185"/>
      <c r="E31419" s="185" t="s">
        <v>470</v>
      </c>
      <c r="H31419" s="185"/>
    </row>
    <row r="31420">
      <c r="D31420" s="185"/>
      <c r="E31420" s="185" t="s">
        <v>470</v>
      </c>
      <c r="H31420" s="185"/>
    </row>
    <row r="31421">
      <c r="D31421" s="185"/>
      <c r="E31421" s="185" t="s">
        <v>470</v>
      </c>
      <c r="H31421" s="185"/>
    </row>
    <row r="31422">
      <c r="D31422" s="185"/>
      <c r="E31422" s="185" t="s">
        <v>470</v>
      </c>
      <c r="H31422" s="185"/>
    </row>
    <row r="31423">
      <c r="D31423" s="185"/>
      <c r="E31423" s="185" t="s">
        <v>470</v>
      </c>
      <c r="H31423" s="185"/>
    </row>
    <row r="31424">
      <c r="D31424" s="185"/>
      <c r="E31424" s="185" t="s">
        <v>470</v>
      </c>
      <c r="H31424" s="185"/>
    </row>
    <row r="31425">
      <c r="D31425" s="185"/>
      <c r="E31425" s="185" t="s">
        <v>470</v>
      </c>
      <c r="H31425" s="185"/>
    </row>
    <row r="31426">
      <c r="D31426" s="185"/>
      <c r="E31426" s="185" t="s">
        <v>470</v>
      </c>
      <c r="H31426" s="185"/>
    </row>
    <row r="31427">
      <c r="D31427" s="185"/>
      <c r="E31427" s="185" t="s">
        <v>470</v>
      </c>
      <c r="H31427" s="185"/>
    </row>
    <row r="31428">
      <c r="D31428" s="185"/>
      <c r="E31428" s="185" t="s">
        <v>470</v>
      </c>
      <c r="H31428" s="185"/>
    </row>
    <row r="31429">
      <c r="D31429" s="185"/>
      <c r="E31429" s="185" t="s">
        <v>470</v>
      </c>
      <c r="H31429" s="185"/>
    </row>
    <row r="31430">
      <c r="D31430" s="185"/>
      <c r="E31430" s="185" t="s">
        <v>470</v>
      </c>
      <c r="H31430" s="185"/>
    </row>
    <row r="31431">
      <c r="D31431" s="185"/>
      <c r="E31431" s="185" t="s">
        <v>470</v>
      </c>
      <c r="H31431" s="185"/>
    </row>
    <row r="31432">
      <c r="D31432" s="185"/>
      <c r="E31432" s="185" t="s">
        <v>470</v>
      </c>
      <c r="H31432" s="185"/>
    </row>
    <row r="31433">
      <c r="D31433" s="185"/>
      <c r="E31433" s="185" t="s">
        <v>470</v>
      </c>
      <c r="H31433" s="185"/>
    </row>
    <row r="31434">
      <c r="D31434" s="185"/>
      <c r="E31434" s="185" t="s">
        <v>470</v>
      </c>
      <c r="H31434" s="185"/>
    </row>
    <row r="31435">
      <c r="D31435" s="185"/>
      <c r="E31435" s="185" t="s">
        <v>470</v>
      </c>
      <c r="H31435" s="185"/>
    </row>
    <row r="31436">
      <c r="D31436" s="185"/>
      <c r="E31436" s="185" t="s">
        <v>470</v>
      </c>
      <c r="H31436" s="185"/>
    </row>
    <row r="31437">
      <c r="D31437" s="185"/>
      <c r="E31437" s="185" t="s">
        <v>470</v>
      </c>
      <c r="H31437" s="185"/>
    </row>
    <row r="31438">
      <c r="D31438" s="185"/>
      <c r="E31438" s="185" t="s">
        <v>470</v>
      </c>
      <c r="H31438" s="185"/>
    </row>
    <row r="31439">
      <c r="D31439" s="185"/>
      <c r="E31439" s="185" t="s">
        <v>470</v>
      </c>
      <c r="H31439" s="185"/>
    </row>
    <row r="31440">
      <c r="D31440" s="185"/>
      <c r="E31440" s="185" t="s">
        <v>470</v>
      </c>
      <c r="H31440" s="185"/>
    </row>
    <row r="31441">
      <c r="D31441" s="185"/>
      <c r="E31441" s="185" t="s">
        <v>470</v>
      </c>
      <c r="H31441" s="185"/>
    </row>
    <row r="31442">
      <c r="D31442" s="185"/>
      <c r="E31442" s="185" t="s">
        <v>470</v>
      </c>
      <c r="H31442" s="185"/>
    </row>
    <row r="31443">
      <c r="D31443" s="185"/>
      <c r="E31443" s="185" t="s">
        <v>470</v>
      </c>
      <c r="H31443" s="185"/>
    </row>
    <row r="31444">
      <c r="D31444" s="185"/>
      <c r="E31444" s="185" t="s">
        <v>470</v>
      </c>
      <c r="H31444" s="185"/>
    </row>
    <row r="31445">
      <c r="D31445" s="185"/>
      <c r="E31445" s="185" t="s">
        <v>470</v>
      </c>
      <c r="H31445" s="185"/>
    </row>
    <row r="31446">
      <c r="D31446" s="185"/>
      <c r="E31446" s="185" t="s">
        <v>470</v>
      </c>
      <c r="H31446" s="185"/>
    </row>
    <row r="31447">
      <c r="D31447" s="185"/>
      <c r="E31447" s="185" t="s">
        <v>470</v>
      </c>
      <c r="H31447" s="185"/>
    </row>
    <row r="31448">
      <c r="D31448" s="185"/>
      <c r="E31448" s="185" t="s">
        <v>470</v>
      </c>
      <c r="H31448" s="185"/>
    </row>
    <row r="31449">
      <c r="D31449" s="185"/>
      <c r="E31449" s="185" t="s">
        <v>470</v>
      </c>
      <c r="H31449" s="185"/>
    </row>
    <row r="31450">
      <c r="D31450" s="185"/>
      <c r="E31450" s="185" t="s">
        <v>470</v>
      </c>
      <c r="H31450" s="185"/>
    </row>
    <row r="31451">
      <c r="D31451" s="185"/>
      <c r="E31451" s="185" t="s">
        <v>470</v>
      </c>
      <c r="H31451" s="185"/>
    </row>
    <row r="31452">
      <c r="D31452" s="185"/>
      <c r="E31452" s="185" t="s">
        <v>470</v>
      </c>
      <c r="H31452" s="185"/>
    </row>
    <row r="31453">
      <c r="D31453" s="185"/>
      <c r="E31453" s="185" t="s">
        <v>470</v>
      </c>
      <c r="H31453" s="185"/>
    </row>
    <row r="31454">
      <c r="D31454" s="185"/>
      <c r="E31454" s="185" t="s">
        <v>470</v>
      </c>
      <c r="H31454" s="185"/>
    </row>
    <row r="31455">
      <c r="D31455" s="185"/>
      <c r="E31455" s="185" t="s">
        <v>470</v>
      </c>
      <c r="H31455" s="185"/>
    </row>
    <row r="31456">
      <c r="D31456" s="185"/>
      <c r="E31456" s="185" t="s">
        <v>470</v>
      </c>
      <c r="H31456" s="185"/>
    </row>
    <row r="31457">
      <c r="D31457" s="185"/>
      <c r="E31457" s="185" t="s">
        <v>470</v>
      </c>
      <c r="H31457" s="185"/>
    </row>
    <row r="31458">
      <c r="D31458" s="185"/>
      <c r="E31458" s="185" t="s">
        <v>470</v>
      </c>
      <c r="H31458" s="185"/>
    </row>
    <row r="31459">
      <c r="D31459" s="185"/>
      <c r="E31459" s="185" t="s">
        <v>470</v>
      </c>
      <c r="H31459" s="185"/>
    </row>
    <row r="31460">
      <c r="D31460" s="185"/>
      <c r="E31460" s="185" t="s">
        <v>470</v>
      </c>
      <c r="H31460" s="185"/>
    </row>
    <row r="31461">
      <c r="D31461" s="185"/>
      <c r="E31461" s="185" t="s">
        <v>470</v>
      </c>
      <c r="H31461" s="185"/>
    </row>
    <row r="31462">
      <c r="D31462" s="185"/>
      <c r="E31462" s="185" t="s">
        <v>470</v>
      </c>
      <c r="H31462" s="185"/>
    </row>
    <row r="31463">
      <c r="D31463" s="185"/>
      <c r="E31463" s="185" t="s">
        <v>470</v>
      </c>
      <c r="H31463" s="185"/>
    </row>
    <row r="31464">
      <c r="D31464" s="185"/>
      <c r="E31464" s="185" t="s">
        <v>470</v>
      </c>
      <c r="H31464" s="185"/>
    </row>
    <row r="31465">
      <c r="D31465" s="185"/>
      <c r="E31465" s="185" t="s">
        <v>470</v>
      </c>
      <c r="H31465" s="185"/>
    </row>
    <row r="31466">
      <c r="D31466" s="185"/>
      <c r="E31466" s="185" t="s">
        <v>470</v>
      </c>
      <c r="H31466" s="185"/>
    </row>
    <row r="31467">
      <c r="D31467" s="185"/>
      <c r="E31467" s="185" t="s">
        <v>470</v>
      </c>
      <c r="H31467" s="185"/>
    </row>
    <row r="31468">
      <c r="D31468" s="185"/>
      <c r="E31468" s="185" t="s">
        <v>470</v>
      </c>
      <c r="H31468" s="185"/>
    </row>
    <row r="31469">
      <c r="D31469" s="185"/>
      <c r="E31469" s="185" t="s">
        <v>470</v>
      </c>
      <c r="H31469" s="185"/>
    </row>
    <row r="31470">
      <c r="D31470" s="185"/>
      <c r="E31470" s="185" t="s">
        <v>470</v>
      </c>
      <c r="H31470" s="185"/>
    </row>
    <row r="31471">
      <c r="D31471" s="185"/>
      <c r="E31471" s="185" t="s">
        <v>470</v>
      </c>
      <c r="H31471" s="185"/>
    </row>
    <row r="31472">
      <c r="D31472" s="185"/>
      <c r="E31472" s="185" t="s">
        <v>470</v>
      </c>
      <c r="H31472" s="185"/>
    </row>
    <row r="31473">
      <c r="D31473" s="185"/>
      <c r="E31473" s="185" t="s">
        <v>470</v>
      </c>
      <c r="H31473" s="185"/>
    </row>
    <row r="31474">
      <c r="D31474" s="185"/>
      <c r="E31474" s="185" t="s">
        <v>470</v>
      </c>
      <c r="H31474" s="185"/>
    </row>
    <row r="31475">
      <c r="D31475" s="185"/>
      <c r="E31475" s="185" t="s">
        <v>470</v>
      </c>
      <c r="H31475" s="185"/>
    </row>
    <row r="31476">
      <c r="D31476" s="185"/>
      <c r="E31476" s="185" t="s">
        <v>470</v>
      </c>
      <c r="H31476" s="185"/>
    </row>
    <row r="31477">
      <c r="D31477" s="185"/>
      <c r="E31477" s="185" t="s">
        <v>470</v>
      </c>
      <c r="H31477" s="185"/>
    </row>
    <row r="31478">
      <c r="D31478" s="185"/>
      <c r="E31478" s="185" t="s">
        <v>470</v>
      </c>
      <c r="H31478" s="185"/>
    </row>
    <row r="31479">
      <c r="D31479" s="185"/>
      <c r="E31479" s="185" t="s">
        <v>470</v>
      </c>
      <c r="H31479" s="185"/>
    </row>
    <row r="31480">
      <c r="D31480" s="185"/>
      <c r="E31480" s="185" t="s">
        <v>470</v>
      </c>
      <c r="H31480" s="185"/>
    </row>
    <row r="31481">
      <c r="D31481" s="185"/>
      <c r="E31481" s="185" t="s">
        <v>470</v>
      </c>
      <c r="H31481" s="185"/>
    </row>
    <row r="31482">
      <c r="D31482" s="185"/>
      <c r="E31482" s="185" t="s">
        <v>470</v>
      </c>
      <c r="H31482" s="185"/>
    </row>
    <row r="31483">
      <c r="D31483" s="185"/>
      <c r="E31483" s="185" t="s">
        <v>470</v>
      </c>
      <c r="H31483" s="185"/>
    </row>
    <row r="31484">
      <c r="D31484" s="185"/>
      <c r="E31484" s="185" t="s">
        <v>470</v>
      </c>
      <c r="H31484" s="185"/>
    </row>
    <row r="31485">
      <c r="D31485" s="185"/>
      <c r="E31485" s="185" t="s">
        <v>470</v>
      </c>
      <c r="H31485" s="185"/>
    </row>
    <row r="31486">
      <c r="D31486" s="185"/>
      <c r="E31486" s="185" t="s">
        <v>470</v>
      </c>
      <c r="H31486" s="185"/>
    </row>
    <row r="31487">
      <c r="D31487" s="185"/>
      <c r="E31487" s="185" t="s">
        <v>470</v>
      </c>
      <c r="H31487" s="185"/>
    </row>
    <row r="31488">
      <c r="D31488" s="185"/>
      <c r="E31488" s="185" t="s">
        <v>470</v>
      </c>
      <c r="H31488" s="185"/>
    </row>
    <row r="31489">
      <c r="D31489" s="185"/>
      <c r="E31489" s="185" t="s">
        <v>470</v>
      </c>
      <c r="H31489" s="185"/>
    </row>
    <row r="31490">
      <c r="D31490" s="185"/>
      <c r="E31490" s="185" t="s">
        <v>470</v>
      </c>
      <c r="H31490" s="185"/>
    </row>
    <row r="31491">
      <c r="D31491" s="185"/>
      <c r="E31491" s="185" t="s">
        <v>470</v>
      </c>
      <c r="H31491" s="185"/>
    </row>
    <row r="31492">
      <c r="D31492" s="185"/>
      <c r="E31492" s="185" t="s">
        <v>470</v>
      </c>
      <c r="H31492" s="185"/>
    </row>
    <row r="31493">
      <c r="D31493" s="185"/>
      <c r="E31493" s="185" t="s">
        <v>470</v>
      </c>
      <c r="H31493" s="185"/>
    </row>
    <row r="31494">
      <c r="D31494" s="185"/>
      <c r="E31494" s="185" t="s">
        <v>470</v>
      </c>
      <c r="H31494" s="185"/>
    </row>
    <row r="31495">
      <c r="D31495" s="185"/>
      <c r="E31495" s="185" t="s">
        <v>470</v>
      </c>
      <c r="H31495" s="185"/>
    </row>
    <row r="31496">
      <c r="D31496" s="185"/>
      <c r="E31496" s="185" t="s">
        <v>470</v>
      </c>
      <c r="H31496" s="185"/>
    </row>
    <row r="31497">
      <c r="D31497" s="185"/>
      <c r="E31497" s="185" t="s">
        <v>470</v>
      </c>
      <c r="H31497" s="185"/>
    </row>
    <row r="31498">
      <c r="D31498" s="185"/>
      <c r="E31498" s="185" t="s">
        <v>470</v>
      </c>
      <c r="H31498" s="185"/>
    </row>
    <row r="31499">
      <c r="D31499" s="185"/>
      <c r="E31499" s="185" t="s">
        <v>470</v>
      </c>
      <c r="H31499" s="185"/>
    </row>
    <row r="31500">
      <c r="D31500" s="185"/>
      <c r="E31500" s="185" t="s">
        <v>470</v>
      </c>
      <c r="H31500" s="185"/>
    </row>
    <row r="31501">
      <c r="D31501" s="185"/>
      <c r="E31501" s="185" t="s">
        <v>470</v>
      </c>
      <c r="H31501" s="185"/>
    </row>
    <row r="31502">
      <c r="D31502" s="185"/>
      <c r="E31502" s="185" t="s">
        <v>470</v>
      </c>
      <c r="H31502" s="185"/>
    </row>
    <row r="31503">
      <c r="D31503" s="185"/>
      <c r="E31503" s="185" t="s">
        <v>470</v>
      </c>
      <c r="H31503" s="185"/>
    </row>
    <row r="31504">
      <c r="D31504" s="185"/>
      <c r="E31504" s="185" t="s">
        <v>470</v>
      </c>
      <c r="H31504" s="185"/>
    </row>
    <row r="31505">
      <c r="D31505" s="185"/>
      <c r="E31505" s="185" t="s">
        <v>470</v>
      </c>
      <c r="H31505" s="185"/>
    </row>
    <row r="31506">
      <c r="D31506" s="185"/>
      <c r="E31506" s="185" t="s">
        <v>470</v>
      </c>
      <c r="H31506" s="185"/>
    </row>
    <row r="31507">
      <c r="D31507" s="185"/>
      <c r="E31507" s="185" t="s">
        <v>470</v>
      </c>
      <c r="H31507" s="185"/>
    </row>
    <row r="31508">
      <c r="D31508" s="185"/>
      <c r="E31508" s="185" t="s">
        <v>470</v>
      </c>
      <c r="H31508" s="185"/>
    </row>
    <row r="31509">
      <c r="D31509" s="185"/>
      <c r="E31509" s="185" t="s">
        <v>470</v>
      </c>
      <c r="H31509" s="185"/>
    </row>
    <row r="31510">
      <c r="D31510" s="185"/>
      <c r="E31510" s="185" t="s">
        <v>470</v>
      </c>
      <c r="H31510" s="185"/>
    </row>
    <row r="31511">
      <c r="D31511" s="185"/>
      <c r="E31511" s="185" t="s">
        <v>470</v>
      </c>
      <c r="H31511" s="185"/>
    </row>
    <row r="31512">
      <c r="D31512" s="185"/>
      <c r="E31512" s="185" t="s">
        <v>470</v>
      </c>
      <c r="H31512" s="185"/>
    </row>
    <row r="31513">
      <c r="D31513" s="185"/>
      <c r="E31513" s="185" t="s">
        <v>470</v>
      </c>
      <c r="H31513" s="185"/>
    </row>
    <row r="31514">
      <c r="D31514" s="185"/>
      <c r="E31514" s="185" t="s">
        <v>470</v>
      </c>
      <c r="H31514" s="185"/>
    </row>
    <row r="31515">
      <c r="D31515" s="185"/>
      <c r="E31515" s="185" t="s">
        <v>470</v>
      </c>
      <c r="H31515" s="185"/>
    </row>
    <row r="31516">
      <c r="D31516" s="185"/>
      <c r="E31516" s="185" t="s">
        <v>470</v>
      </c>
      <c r="H31516" s="185"/>
    </row>
    <row r="31517">
      <c r="D31517" s="185"/>
      <c r="E31517" s="185" t="s">
        <v>470</v>
      </c>
      <c r="H31517" s="185"/>
    </row>
    <row r="31518">
      <c r="D31518" s="185"/>
      <c r="E31518" s="185" t="s">
        <v>470</v>
      </c>
      <c r="H31518" s="185"/>
    </row>
    <row r="31519">
      <c r="D31519" s="185"/>
      <c r="E31519" s="185" t="s">
        <v>470</v>
      </c>
      <c r="H31519" s="185"/>
    </row>
    <row r="31520">
      <c r="D31520" s="185"/>
      <c r="E31520" s="185" t="s">
        <v>470</v>
      </c>
      <c r="H31520" s="185"/>
    </row>
    <row r="31521">
      <c r="D31521" s="185"/>
      <c r="E31521" s="185" t="s">
        <v>470</v>
      </c>
      <c r="H31521" s="185"/>
    </row>
    <row r="31522">
      <c r="D31522" s="185"/>
      <c r="E31522" s="185" t="s">
        <v>470</v>
      </c>
      <c r="H31522" s="185"/>
    </row>
    <row r="31523">
      <c r="D31523" s="185"/>
      <c r="E31523" s="185" t="s">
        <v>470</v>
      </c>
      <c r="H31523" s="185"/>
    </row>
    <row r="31524">
      <c r="D31524" s="185"/>
      <c r="E31524" s="185" t="s">
        <v>470</v>
      </c>
      <c r="H31524" s="185"/>
    </row>
    <row r="31525">
      <c r="D31525" s="185"/>
      <c r="E31525" s="185" t="s">
        <v>470</v>
      </c>
      <c r="H31525" s="185"/>
    </row>
    <row r="31526">
      <c r="D31526" s="185"/>
      <c r="E31526" s="185" t="s">
        <v>470</v>
      </c>
      <c r="H31526" s="185"/>
    </row>
    <row r="31527">
      <c r="D31527" s="185"/>
      <c r="E31527" s="185" t="s">
        <v>470</v>
      </c>
      <c r="H31527" s="185"/>
    </row>
    <row r="31528">
      <c r="D31528" s="185"/>
      <c r="E31528" s="185" t="s">
        <v>470</v>
      </c>
      <c r="H31528" s="185"/>
    </row>
    <row r="31529">
      <c r="D31529" s="185"/>
      <c r="E31529" s="185" t="s">
        <v>470</v>
      </c>
      <c r="H31529" s="185"/>
    </row>
    <row r="31530">
      <c r="D31530" s="185"/>
      <c r="E31530" s="185" t="s">
        <v>470</v>
      </c>
      <c r="H31530" s="185"/>
    </row>
    <row r="31531">
      <c r="D31531" s="185"/>
      <c r="E31531" s="185" t="s">
        <v>470</v>
      </c>
      <c r="H31531" s="185"/>
    </row>
    <row r="31532">
      <c r="D31532" s="185"/>
      <c r="E31532" s="185" t="s">
        <v>470</v>
      </c>
      <c r="H31532" s="185"/>
    </row>
    <row r="31533">
      <c r="D31533" s="185"/>
      <c r="E31533" s="185" t="s">
        <v>470</v>
      </c>
      <c r="H31533" s="185"/>
    </row>
    <row r="31534">
      <c r="D31534" s="185"/>
      <c r="E31534" s="185" t="s">
        <v>470</v>
      </c>
      <c r="H31534" s="185"/>
    </row>
    <row r="31535">
      <c r="D31535" s="185"/>
      <c r="E31535" s="185" t="s">
        <v>470</v>
      </c>
      <c r="H31535" s="185"/>
    </row>
    <row r="31536">
      <c r="D31536" s="185"/>
      <c r="E31536" s="185" t="s">
        <v>470</v>
      </c>
      <c r="H31536" s="185"/>
    </row>
    <row r="31537">
      <c r="D31537" s="185"/>
      <c r="E31537" s="185" t="s">
        <v>470</v>
      </c>
      <c r="H31537" s="185"/>
    </row>
    <row r="31538">
      <c r="D31538" s="185"/>
      <c r="E31538" s="185" t="s">
        <v>470</v>
      </c>
      <c r="H31538" s="185"/>
    </row>
    <row r="31539">
      <c r="D31539" s="185"/>
      <c r="E31539" s="185" t="s">
        <v>470</v>
      </c>
      <c r="H31539" s="185"/>
    </row>
    <row r="31540">
      <c r="D31540" s="185"/>
      <c r="E31540" s="185" t="s">
        <v>470</v>
      </c>
      <c r="H31540" s="185"/>
    </row>
    <row r="31541">
      <c r="D31541" s="185"/>
      <c r="E31541" s="185" t="s">
        <v>470</v>
      </c>
      <c r="H31541" s="185"/>
    </row>
    <row r="31542">
      <c r="D31542" s="185"/>
      <c r="E31542" s="185" t="s">
        <v>470</v>
      </c>
      <c r="H31542" s="185"/>
    </row>
    <row r="31543">
      <c r="D31543" s="185"/>
      <c r="E31543" s="185" t="s">
        <v>470</v>
      </c>
      <c r="H31543" s="185"/>
    </row>
    <row r="31544">
      <c r="D31544" s="185"/>
      <c r="E31544" s="185" t="s">
        <v>470</v>
      </c>
      <c r="H31544" s="185"/>
    </row>
    <row r="31545">
      <c r="D31545" s="185"/>
      <c r="E31545" s="185" t="s">
        <v>470</v>
      </c>
      <c r="H31545" s="185"/>
    </row>
    <row r="31546">
      <c r="D31546" s="185"/>
      <c r="E31546" s="185" t="s">
        <v>470</v>
      </c>
      <c r="H31546" s="185"/>
    </row>
    <row r="31547">
      <c r="D31547" s="185"/>
      <c r="E31547" s="185" t="s">
        <v>470</v>
      </c>
      <c r="H31547" s="185"/>
    </row>
    <row r="31548">
      <c r="D31548" s="185"/>
      <c r="E31548" s="185" t="s">
        <v>470</v>
      </c>
      <c r="H31548" s="185"/>
    </row>
    <row r="31549">
      <c r="D31549" s="185"/>
      <c r="E31549" s="185" t="s">
        <v>470</v>
      </c>
      <c r="H31549" s="185"/>
    </row>
    <row r="31550">
      <c r="D31550" s="185"/>
      <c r="E31550" s="185" t="s">
        <v>470</v>
      </c>
      <c r="H31550" s="185"/>
    </row>
    <row r="31551">
      <c r="D31551" s="185"/>
      <c r="E31551" s="185" t="s">
        <v>470</v>
      </c>
      <c r="H31551" s="185"/>
    </row>
    <row r="31552">
      <c r="D31552" s="185"/>
      <c r="E31552" s="185" t="s">
        <v>470</v>
      </c>
      <c r="H31552" s="185"/>
    </row>
    <row r="31553">
      <c r="D31553" s="185"/>
      <c r="E31553" s="185" t="s">
        <v>470</v>
      </c>
      <c r="H31553" s="185"/>
    </row>
    <row r="31554">
      <c r="D31554" s="185"/>
      <c r="E31554" s="185" t="s">
        <v>470</v>
      </c>
      <c r="H31554" s="185"/>
    </row>
    <row r="31555">
      <c r="D31555" s="185"/>
      <c r="E31555" s="185" t="s">
        <v>470</v>
      </c>
      <c r="H31555" s="185"/>
    </row>
    <row r="31556">
      <c r="D31556" s="185"/>
      <c r="E31556" s="185" t="s">
        <v>470</v>
      </c>
      <c r="H31556" s="185"/>
    </row>
    <row r="31557">
      <c r="D31557" s="185"/>
      <c r="E31557" s="185" t="s">
        <v>470</v>
      </c>
      <c r="H31557" s="185"/>
    </row>
    <row r="31558">
      <c r="D31558" s="185"/>
      <c r="E31558" s="185" t="s">
        <v>470</v>
      </c>
      <c r="H31558" s="185"/>
    </row>
    <row r="31559">
      <c r="D31559" s="185"/>
      <c r="E31559" s="185" t="s">
        <v>470</v>
      </c>
      <c r="H31559" s="185"/>
    </row>
    <row r="31560">
      <c r="D31560" s="185"/>
      <c r="E31560" s="185" t="s">
        <v>470</v>
      </c>
      <c r="H31560" s="185"/>
    </row>
    <row r="31561">
      <c r="D31561" s="185"/>
      <c r="E31561" s="185" t="s">
        <v>470</v>
      </c>
      <c r="H31561" s="185"/>
    </row>
    <row r="31562">
      <c r="D31562" s="185"/>
      <c r="E31562" s="185" t="s">
        <v>470</v>
      </c>
      <c r="H31562" s="185"/>
    </row>
    <row r="31563">
      <c r="D31563" s="185"/>
      <c r="E31563" s="185" t="s">
        <v>470</v>
      </c>
      <c r="H31563" s="185"/>
    </row>
    <row r="31564">
      <c r="D31564" s="185"/>
      <c r="E31564" s="185" t="s">
        <v>470</v>
      </c>
      <c r="H31564" s="185"/>
    </row>
    <row r="31565">
      <c r="D31565" s="185"/>
      <c r="E31565" s="185" t="s">
        <v>470</v>
      </c>
      <c r="H31565" s="185"/>
    </row>
    <row r="31566">
      <c r="D31566" s="185"/>
      <c r="E31566" s="185" t="s">
        <v>470</v>
      </c>
      <c r="H31566" s="185"/>
    </row>
    <row r="31567">
      <c r="D31567" s="185"/>
      <c r="E31567" s="185" t="s">
        <v>470</v>
      </c>
      <c r="H31567" s="185"/>
    </row>
    <row r="31568">
      <c r="D31568" s="185"/>
      <c r="E31568" s="185" t="s">
        <v>470</v>
      </c>
      <c r="H31568" s="185"/>
    </row>
    <row r="31569">
      <c r="D31569" s="185"/>
      <c r="E31569" s="185" t="s">
        <v>470</v>
      </c>
      <c r="H31569" s="185"/>
    </row>
    <row r="31570">
      <c r="D31570" s="185"/>
      <c r="E31570" s="185" t="s">
        <v>470</v>
      </c>
      <c r="H31570" s="185"/>
    </row>
    <row r="31571">
      <c r="D31571" s="185"/>
      <c r="E31571" s="185" t="s">
        <v>470</v>
      </c>
      <c r="H31571" s="185"/>
    </row>
    <row r="31572">
      <c r="D31572" s="185"/>
      <c r="E31572" s="185" t="s">
        <v>470</v>
      </c>
      <c r="H31572" s="185"/>
    </row>
    <row r="31573">
      <c r="D31573" s="185"/>
      <c r="E31573" s="185" t="s">
        <v>470</v>
      </c>
      <c r="H31573" s="185"/>
    </row>
    <row r="31574">
      <c r="D31574" s="185"/>
      <c r="E31574" s="185" t="s">
        <v>470</v>
      </c>
      <c r="H31574" s="185"/>
    </row>
    <row r="31575">
      <c r="D31575" s="185"/>
      <c r="E31575" s="185" t="s">
        <v>470</v>
      </c>
      <c r="H31575" s="185"/>
    </row>
    <row r="31576">
      <c r="D31576" s="185"/>
      <c r="E31576" s="185" t="s">
        <v>470</v>
      </c>
      <c r="H31576" s="185"/>
    </row>
    <row r="31577">
      <c r="D31577" s="185"/>
      <c r="E31577" s="185" t="s">
        <v>470</v>
      </c>
      <c r="H31577" s="185"/>
    </row>
    <row r="31578">
      <c r="D31578" s="185"/>
      <c r="E31578" s="185" t="s">
        <v>470</v>
      </c>
      <c r="H31578" s="185"/>
    </row>
    <row r="31579">
      <c r="D31579" s="185"/>
      <c r="E31579" s="185" t="s">
        <v>470</v>
      </c>
      <c r="H31579" s="185"/>
    </row>
    <row r="31580">
      <c r="D31580" s="185"/>
      <c r="E31580" s="185" t="s">
        <v>470</v>
      </c>
      <c r="H31580" s="185"/>
    </row>
    <row r="31581">
      <c r="D31581" s="185"/>
      <c r="E31581" s="185" t="s">
        <v>470</v>
      </c>
      <c r="H31581" s="185"/>
    </row>
    <row r="31582">
      <c r="D31582" s="185"/>
      <c r="E31582" s="185" t="s">
        <v>470</v>
      </c>
      <c r="H31582" s="185"/>
    </row>
    <row r="31583">
      <c r="D31583" s="185"/>
      <c r="E31583" s="185" t="s">
        <v>470</v>
      </c>
      <c r="H31583" s="185"/>
    </row>
    <row r="31584">
      <c r="D31584" s="185"/>
      <c r="E31584" s="185" t="s">
        <v>470</v>
      </c>
      <c r="H31584" s="185"/>
    </row>
    <row r="31585">
      <c r="D31585" s="185"/>
      <c r="E31585" s="185" t="s">
        <v>470</v>
      </c>
      <c r="H31585" s="185"/>
    </row>
    <row r="31586">
      <c r="D31586" s="185"/>
      <c r="E31586" s="185" t="s">
        <v>470</v>
      </c>
      <c r="H31586" s="185"/>
    </row>
    <row r="31587">
      <c r="D31587" s="185"/>
      <c r="E31587" s="185" t="s">
        <v>470</v>
      </c>
      <c r="H31587" s="185"/>
    </row>
    <row r="31588">
      <c r="D31588" s="185"/>
      <c r="E31588" s="185" t="s">
        <v>470</v>
      </c>
      <c r="H31588" s="185"/>
    </row>
    <row r="31589">
      <c r="D31589" s="185"/>
      <c r="E31589" s="185" t="s">
        <v>470</v>
      </c>
      <c r="H31589" s="185"/>
    </row>
    <row r="31590">
      <c r="D31590" s="185"/>
      <c r="E31590" s="185" t="s">
        <v>470</v>
      </c>
      <c r="H31590" s="185"/>
    </row>
    <row r="31591">
      <c r="D31591" s="185"/>
      <c r="E31591" s="185" t="s">
        <v>470</v>
      </c>
      <c r="H31591" s="185"/>
    </row>
    <row r="31592">
      <c r="D31592" s="185"/>
      <c r="E31592" s="185" t="s">
        <v>470</v>
      </c>
      <c r="H31592" s="185"/>
    </row>
    <row r="31593">
      <c r="D31593" s="185"/>
      <c r="E31593" s="185" t="s">
        <v>470</v>
      </c>
      <c r="H31593" s="185"/>
    </row>
    <row r="31594">
      <c r="D31594" s="185"/>
      <c r="E31594" s="185" t="s">
        <v>470</v>
      </c>
      <c r="H31594" s="185"/>
    </row>
    <row r="31595">
      <c r="D31595" s="185"/>
      <c r="E31595" s="185" t="s">
        <v>470</v>
      </c>
      <c r="H31595" s="185"/>
    </row>
    <row r="31596">
      <c r="D31596" s="185"/>
      <c r="E31596" s="185" t="s">
        <v>470</v>
      </c>
      <c r="H31596" s="185"/>
    </row>
    <row r="31597">
      <c r="D31597" s="185"/>
      <c r="E31597" s="185" t="s">
        <v>470</v>
      </c>
      <c r="H31597" s="185"/>
    </row>
    <row r="31598">
      <c r="D31598" s="185"/>
      <c r="E31598" s="185" t="s">
        <v>470</v>
      </c>
      <c r="H31598" s="185"/>
    </row>
    <row r="31599">
      <c r="D31599" s="185"/>
      <c r="E31599" s="185" t="s">
        <v>470</v>
      </c>
      <c r="H31599" s="185"/>
    </row>
    <row r="31600">
      <c r="D31600" s="185"/>
      <c r="E31600" s="185" t="s">
        <v>470</v>
      </c>
      <c r="H31600" s="185"/>
    </row>
    <row r="31601">
      <c r="D31601" s="185"/>
      <c r="E31601" s="185" t="s">
        <v>470</v>
      </c>
      <c r="H31601" s="185"/>
    </row>
    <row r="31602">
      <c r="D31602" s="185"/>
      <c r="E31602" s="185" t="s">
        <v>470</v>
      </c>
      <c r="H31602" s="185"/>
    </row>
    <row r="31603">
      <c r="D31603" s="185"/>
      <c r="E31603" s="185" t="s">
        <v>470</v>
      </c>
      <c r="H31603" s="185"/>
    </row>
    <row r="31604">
      <c r="D31604" s="185"/>
      <c r="E31604" s="185" t="s">
        <v>470</v>
      </c>
      <c r="H31604" s="185"/>
    </row>
    <row r="31605">
      <c r="D31605" s="185"/>
      <c r="E31605" s="185" t="s">
        <v>470</v>
      </c>
      <c r="H31605" s="185"/>
    </row>
    <row r="31606">
      <c r="D31606" s="185"/>
      <c r="E31606" s="185" t="s">
        <v>470</v>
      </c>
      <c r="H31606" s="185"/>
    </row>
    <row r="31607">
      <c r="D31607" s="185"/>
      <c r="E31607" s="185" t="s">
        <v>470</v>
      </c>
      <c r="H31607" s="185"/>
    </row>
    <row r="31608">
      <c r="D31608" s="185"/>
      <c r="E31608" s="185" t="s">
        <v>470</v>
      </c>
      <c r="H31608" s="185"/>
    </row>
    <row r="31609">
      <c r="D31609" s="185"/>
      <c r="E31609" s="185" t="s">
        <v>470</v>
      </c>
      <c r="H31609" s="185"/>
    </row>
    <row r="31610">
      <c r="D31610" s="185"/>
      <c r="E31610" s="185" t="s">
        <v>470</v>
      </c>
      <c r="H31610" s="185"/>
    </row>
    <row r="31611">
      <c r="D31611" s="185"/>
      <c r="E31611" s="185" t="s">
        <v>470</v>
      </c>
      <c r="H31611" s="185"/>
    </row>
    <row r="31612">
      <c r="D31612" s="185"/>
      <c r="E31612" s="185" t="s">
        <v>470</v>
      </c>
      <c r="H31612" s="185"/>
    </row>
    <row r="31613">
      <c r="D31613" s="185"/>
      <c r="E31613" s="185" t="s">
        <v>470</v>
      </c>
      <c r="H31613" s="185"/>
    </row>
    <row r="31614">
      <c r="D31614" s="185"/>
      <c r="E31614" s="185" t="s">
        <v>470</v>
      </c>
      <c r="H31614" s="185"/>
    </row>
    <row r="31615">
      <c r="D31615" s="185"/>
      <c r="E31615" s="185" t="s">
        <v>470</v>
      </c>
      <c r="H31615" s="185"/>
    </row>
    <row r="31616">
      <c r="D31616" s="185"/>
      <c r="E31616" s="185" t="s">
        <v>470</v>
      </c>
      <c r="H31616" s="185"/>
    </row>
    <row r="31617">
      <c r="D31617" s="185"/>
      <c r="E31617" s="185" t="s">
        <v>470</v>
      </c>
      <c r="H31617" s="185"/>
    </row>
    <row r="31618">
      <c r="D31618" s="185"/>
      <c r="E31618" s="185" t="s">
        <v>470</v>
      </c>
      <c r="H31618" s="185"/>
    </row>
    <row r="31619">
      <c r="D31619" s="185"/>
      <c r="E31619" s="185" t="s">
        <v>470</v>
      </c>
      <c r="H31619" s="185"/>
    </row>
    <row r="31620">
      <c r="D31620" s="185"/>
      <c r="E31620" s="185" t="s">
        <v>470</v>
      </c>
      <c r="H31620" s="185"/>
    </row>
    <row r="31621">
      <c r="D31621" s="185"/>
      <c r="E31621" s="185" t="s">
        <v>470</v>
      </c>
      <c r="H31621" s="185"/>
    </row>
    <row r="31622">
      <c r="D31622" s="185"/>
      <c r="E31622" s="185" t="s">
        <v>470</v>
      </c>
      <c r="H31622" s="185"/>
    </row>
    <row r="31623">
      <c r="D31623" s="185"/>
      <c r="E31623" s="185" t="s">
        <v>470</v>
      </c>
      <c r="H31623" s="185"/>
    </row>
    <row r="31624">
      <c r="D31624" s="185"/>
      <c r="E31624" s="185" t="s">
        <v>470</v>
      </c>
      <c r="H31624" s="185"/>
    </row>
    <row r="31625">
      <c r="D31625" s="185"/>
      <c r="E31625" s="185" t="s">
        <v>470</v>
      </c>
      <c r="H31625" s="185"/>
    </row>
    <row r="31626">
      <c r="D31626" s="185"/>
      <c r="E31626" s="185" t="s">
        <v>470</v>
      </c>
      <c r="H31626" s="185"/>
    </row>
    <row r="31627">
      <c r="D31627" s="185"/>
      <c r="E31627" s="185" t="s">
        <v>470</v>
      </c>
      <c r="H31627" s="185"/>
    </row>
    <row r="31628">
      <c r="D31628" s="185"/>
      <c r="E31628" s="185" t="s">
        <v>470</v>
      </c>
      <c r="H31628" s="185"/>
    </row>
    <row r="31629">
      <c r="D31629" s="185"/>
      <c r="E31629" s="185" t="s">
        <v>470</v>
      </c>
      <c r="H31629" s="185"/>
    </row>
    <row r="31630">
      <c r="D31630" s="185"/>
      <c r="E31630" s="185" t="s">
        <v>470</v>
      </c>
      <c r="H31630" s="185"/>
    </row>
    <row r="31631">
      <c r="D31631" s="185"/>
      <c r="E31631" s="185" t="s">
        <v>470</v>
      </c>
      <c r="H31631" s="185"/>
    </row>
    <row r="31632">
      <c r="D31632" s="185"/>
      <c r="E31632" s="185" t="s">
        <v>470</v>
      </c>
      <c r="H31632" s="185"/>
    </row>
    <row r="31633">
      <c r="D31633" s="185"/>
      <c r="E31633" s="185" t="s">
        <v>470</v>
      </c>
      <c r="H31633" s="185"/>
    </row>
    <row r="31634">
      <c r="D31634" s="185"/>
      <c r="E31634" s="185" t="s">
        <v>470</v>
      </c>
      <c r="H31634" s="185"/>
    </row>
    <row r="31635">
      <c r="D31635" s="185"/>
      <c r="E31635" s="185" t="s">
        <v>470</v>
      </c>
      <c r="H31635" s="185"/>
    </row>
    <row r="31636">
      <c r="D31636" s="185"/>
      <c r="E31636" s="185" t="s">
        <v>470</v>
      </c>
      <c r="H31636" s="185"/>
    </row>
    <row r="31637">
      <c r="D31637" s="185"/>
      <c r="E31637" s="185" t="s">
        <v>470</v>
      </c>
      <c r="H31637" s="185"/>
    </row>
    <row r="31638">
      <c r="D31638" s="185"/>
      <c r="E31638" s="185" t="s">
        <v>470</v>
      </c>
      <c r="H31638" s="185"/>
    </row>
    <row r="31639">
      <c r="D31639" s="185"/>
      <c r="E31639" s="185" t="s">
        <v>470</v>
      </c>
      <c r="H31639" s="185"/>
    </row>
    <row r="31640">
      <c r="D31640" s="185"/>
      <c r="E31640" s="185" t="s">
        <v>470</v>
      </c>
      <c r="H31640" s="185"/>
    </row>
    <row r="31641">
      <c r="D31641" s="185"/>
      <c r="E31641" s="185" t="s">
        <v>470</v>
      </c>
      <c r="H31641" s="185"/>
    </row>
    <row r="31642">
      <c r="D31642" s="185"/>
      <c r="E31642" s="185" t="s">
        <v>470</v>
      </c>
      <c r="H31642" s="185"/>
    </row>
    <row r="31643">
      <c r="D31643" s="185"/>
      <c r="E31643" s="185" t="s">
        <v>470</v>
      </c>
      <c r="H31643" s="185"/>
    </row>
    <row r="31644">
      <c r="D31644" s="185"/>
      <c r="E31644" s="185" t="s">
        <v>470</v>
      </c>
      <c r="H31644" s="185"/>
    </row>
    <row r="31645">
      <c r="D31645" s="185"/>
      <c r="E31645" s="185" t="s">
        <v>470</v>
      </c>
      <c r="H31645" s="185"/>
    </row>
    <row r="31646">
      <c r="D31646" s="185"/>
      <c r="E31646" s="185" t="s">
        <v>470</v>
      </c>
      <c r="H31646" s="185"/>
    </row>
    <row r="31647">
      <c r="D31647" s="185"/>
      <c r="E31647" s="185" t="s">
        <v>470</v>
      </c>
      <c r="H31647" s="185"/>
    </row>
    <row r="31648">
      <c r="D31648" s="185"/>
      <c r="E31648" s="185" t="s">
        <v>470</v>
      </c>
      <c r="H31648" s="185"/>
    </row>
    <row r="31649">
      <c r="D31649" s="185"/>
      <c r="E31649" s="185" t="s">
        <v>470</v>
      </c>
      <c r="H31649" s="185"/>
    </row>
    <row r="31650">
      <c r="D31650" s="185"/>
      <c r="E31650" s="185" t="s">
        <v>470</v>
      </c>
      <c r="H31650" s="185"/>
    </row>
    <row r="31651">
      <c r="D31651" s="185"/>
      <c r="E31651" s="185" t="s">
        <v>470</v>
      </c>
      <c r="H31651" s="185"/>
    </row>
    <row r="31652">
      <c r="D31652" s="185"/>
      <c r="E31652" s="185" t="s">
        <v>470</v>
      </c>
      <c r="H31652" s="185"/>
    </row>
    <row r="31653">
      <c r="D31653" s="185"/>
      <c r="E31653" s="185" t="s">
        <v>470</v>
      </c>
      <c r="H31653" s="185"/>
    </row>
    <row r="31654">
      <c r="D31654" s="185"/>
      <c r="E31654" s="185" t="s">
        <v>470</v>
      </c>
      <c r="H31654" s="185"/>
    </row>
    <row r="31655">
      <c r="D31655" s="185"/>
      <c r="E31655" s="185" t="s">
        <v>470</v>
      </c>
      <c r="H31655" s="185"/>
    </row>
    <row r="31656">
      <c r="D31656" s="185"/>
      <c r="E31656" s="185" t="s">
        <v>470</v>
      </c>
      <c r="H31656" s="185"/>
    </row>
    <row r="31657">
      <c r="D31657" s="185"/>
      <c r="E31657" s="185" t="s">
        <v>470</v>
      </c>
      <c r="H31657" s="185"/>
    </row>
    <row r="31658">
      <c r="D31658" s="185"/>
      <c r="E31658" s="185" t="s">
        <v>470</v>
      </c>
      <c r="H31658" s="185"/>
    </row>
    <row r="31659">
      <c r="D31659" s="185"/>
      <c r="E31659" s="185" t="s">
        <v>470</v>
      </c>
      <c r="H31659" s="185"/>
    </row>
    <row r="31660">
      <c r="D31660" s="185"/>
      <c r="E31660" s="185" t="s">
        <v>470</v>
      </c>
      <c r="H31660" s="185"/>
    </row>
    <row r="31661">
      <c r="D31661" s="185"/>
      <c r="E31661" s="185" t="s">
        <v>470</v>
      </c>
      <c r="H31661" s="185"/>
    </row>
    <row r="31662">
      <c r="D31662" s="185"/>
      <c r="E31662" s="185" t="s">
        <v>470</v>
      </c>
      <c r="H31662" s="185"/>
    </row>
    <row r="31663">
      <c r="D31663" s="185"/>
      <c r="E31663" s="185" t="s">
        <v>470</v>
      </c>
      <c r="H31663" s="185"/>
    </row>
    <row r="31664">
      <c r="D31664" s="185"/>
      <c r="E31664" s="185" t="s">
        <v>470</v>
      </c>
      <c r="H31664" s="185"/>
    </row>
    <row r="31665">
      <c r="D31665" s="185"/>
      <c r="E31665" s="185" t="s">
        <v>470</v>
      </c>
      <c r="H31665" s="185"/>
    </row>
    <row r="31666">
      <c r="D31666" s="185"/>
      <c r="E31666" s="185" t="s">
        <v>470</v>
      </c>
      <c r="H31666" s="185"/>
    </row>
    <row r="31667">
      <c r="D31667" s="185"/>
      <c r="E31667" s="185" t="s">
        <v>470</v>
      </c>
      <c r="H31667" s="185"/>
    </row>
    <row r="31668">
      <c r="D31668" s="185"/>
      <c r="E31668" s="185" t="s">
        <v>470</v>
      </c>
      <c r="H31668" s="185"/>
    </row>
    <row r="31669">
      <c r="D31669" s="185"/>
      <c r="E31669" s="185" t="s">
        <v>470</v>
      </c>
      <c r="H31669" s="185"/>
    </row>
    <row r="31670">
      <c r="D31670" s="185"/>
      <c r="E31670" s="185" t="s">
        <v>470</v>
      </c>
      <c r="H31670" s="185"/>
    </row>
    <row r="31671">
      <c r="D31671" s="185"/>
      <c r="E31671" s="185" t="s">
        <v>470</v>
      </c>
      <c r="H31671" s="185"/>
    </row>
    <row r="31672">
      <c r="D31672" s="185"/>
      <c r="E31672" s="185" t="s">
        <v>470</v>
      </c>
      <c r="H31672" s="185"/>
    </row>
    <row r="31673">
      <c r="D31673" s="185"/>
      <c r="E31673" s="185" t="s">
        <v>470</v>
      </c>
      <c r="H31673" s="185"/>
    </row>
    <row r="31674">
      <c r="D31674" s="185"/>
      <c r="E31674" s="185" t="s">
        <v>470</v>
      </c>
      <c r="H31674" s="185"/>
    </row>
    <row r="31675">
      <c r="D31675" s="185"/>
      <c r="E31675" s="185" t="s">
        <v>470</v>
      </c>
      <c r="H31675" s="185"/>
    </row>
    <row r="31676">
      <c r="D31676" s="185"/>
      <c r="E31676" s="185" t="s">
        <v>470</v>
      </c>
      <c r="H31676" s="185"/>
    </row>
    <row r="31677">
      <c r="D31677" s="185"/>
      <c r="E31677" s="185" t="s">
        <v>470</v>
      </c>
      <c r="H31677" s="185"/>
    </row>
    <row r="31678">
      <c r="D31678" s="185"/>
      <c r="E31678" s="185" t="s">
        <v>470</v>
      </c>
      <c r="H31678" s="185"/>
    </row>
    <row r="31679">
      <c r="D31679" s="185"/>
      <c r="E31679" s="185" t="s">
        <v>470</v>
      </c>
      <c r="H31679" s="185"/>
    </row>
    <row r="31680">
      <c r="D31680" s="185"/>
      <c r="E31680" s="185" t="s">
        <v>470</v>
      </c>
      <c r="H31680" s="185"/>
    </row>
    <row r="31681">
      <c r="D31681" s="185"/>
      <c r="E31681" s="185" t="s">
        <v>470</v>
      </c>
      <c r="H31681" s="185"/>
    </row>
    <row r="31682">
      <c r="D31682" s="185"/>
      <c r="E31682" s="185" t="s">
        <v>470</v>
      </c>
      <c r="H31682" s="185"/>
    </row>
    <row r="31683">
      <c r="D31683" s="185"/>
      <c r="E31683" s="185" t="s">
        <v>470</v>
      </c>
      <c r="H31683" s="185"/>
    </row>
    <row r="31684">
      <c r="D31684" s="185"/>
      <c r="E31684" s="185" t="s">
        <v>470</v>
      </c>
      <c r="H31684" s="185"/>
    </row>
    <row r="31685">
      <c r="D31685" s="185"/>
      <c r="E31685" s="185" t="s">
        <v>470</v>
      </c>
      <c r="H31685" s="185"/>
    </row>
    <row r="31686">
      <c r="D31686" s="185"/>
      <c r="E31686" s="185" t="s">
        <v>470</v>
      </c>
      <c r="H31686" s="185"/>
    </row>
    <row r="31687">
      <c r="D31687" s="185"/>
      <c r="E31687" s="185" t="s">
        <v>470</v>
      </c>
      <c r="H31687" s="185"/>
    </row>
    <row r="31688">
      <c r="D31688" s="185"/>
      <c r="E31688" s="185" t="s">
        <v>470</v>
      </c>
      <c r="H31688" s="185"/>
    </row>
    <row r="31689">
      <c r="D31689" s="185"/>
      <c r="E31689" s="185" t="s">
        <v>470</v>
      </c>
      <c r="H31689" s="185"/>
    </row>
    <row r="31690">
      <c r="D31690" s="185"/>
      <c r="E31690" s="185" t="s">
        <v>470</v>
      </c>
      <c r="H31690" s="185"/>
    </row>
    <row r="31691">
      <c r="D31691" s="185"/>
      <c r="E31691" s="185" t="s">
        <v>470</v>
      </c>
      <c r="H31691" s="185"/>
    </row>
    <row r="31692">
      <c r="D31692" s="185"/>
      <c r="E31692" s="185" t="s">
        <v>470</v>
      </c>
      <c r="H31692" s="185"/>
    </row>
    <row r="31693">
      <c r="D31693" s="185"/>
      <c r="E31693" s="185" t="s">
        <v>470</v>
      </c>
      <c r="H31693" s="185"/>
    </row>
    <row r="31694">
      <c r="D31694" s="185"/>
      <c r="E31694" s="185" t="s">
        <v>470</v>
      </c>
      <c r="H31694" s="185"/>
    </row>
    <row r="31695">
      <c r="D31695" s="185"/>
      <c r="E31695" s="185" t="s">
        <v>470</v>
      </c>
      <c r="H31695" s="185"/>
    </row>
    <row r="31696">
      <c r="D31696" s="185"/>
      <c r="E31696" s="185" t="s">
        <v>470</v>
      </c>
      <c r="H31696" s="185"/>
    </row>
    <row r="31697">
      <c r="D31697" s="185"/>
      <c r="E31697" s="185" t="s">
        <v>470</v>
      </c>
      <c r="H31697" s="185"/>
    </row>
    <row r="31698">
      <c r="D31698" s="185"/>
      <c r="E31698" s="185" t="s">
        <v>470</v>
      </c>
      <c r="H31698" s="185"/>
    </row>
    <row r="31699">
      <c r="D31699" s="185"/>
      <c r="E31699" s="185" t="s">
        <v>470</v>
      </c>
      <c r="H31699" s="185"/>
    </row>
    <row r="31700">
      <c r="D31700" s="185"/>
      <c r="E31700" s="185" t="s">
        <v>470</v>
      </c>
      <c r="H31700" s="185"/>
    </row>
    <row r="31701">
      <c r="D31701" s="185"/>
      <c r="E31701" s="185" t="s">
        <v>470</v>
      </c>
      <c r="H31701" s="185"/>
    </row>
    <row r="31702">
      <c r="D31702" s="185"/>
      <c r="E31702" s="185" t="s">
        <v>470</v>
      </c>
      <c r="H31702" s="185"/>
    </row>
    <row r="31703">
      <c r="D31703" s="185"/>
      <c r="E31703" s="185" t="s">
        <v>470</v>
      </c>
      <c r="H31703" s="185"/>
    </row>
    <row r="31704">
      <c r="D31704" s="185"/>
      <c r="E31704" s="185" t="s">
        <v>470</v>
      </c>
      <c r="H31704" s="185"/>
    </row>
    <row r="31705">
      <c r="D31705" s="185"/>
      <c r="E31705" s="185" t="s">
        <v>470</v>
      </c>
      <c r="H31705" s="185"/>
    </row>
    <row r="31706">
      <c r="D31706" s="185"/>
      <c r="E31706" s="185" t="s">
        <v>470</v>
      </c>
      <c r="H31706" s="185"/>
    </row>
    <row r="31707">
      <c r="D31707" s="185"/>
      <c r="E31707" s="185" t="s">
        <v>470</v>
      </c>
      <c r="H31707" s="185"/>
    </row>
    <row r="31708">
      <c r="D31708" s="185"/>
      <c r="E31708" s="185" t="s">
        <v>470</v>
      </c>
      <c r="H31708" s="185"/>
    </row>
    <row r="31709">
      <c r="D31709" s="185"/>
      <c r="E31709" s="185" t="s">
        <v>470</v>
      </c>
      <c r="H31709" s="185"/>
    </row>
    <row r="31710">
      <c r="D31710" s="185"/>
      <c r="E31710" s="185" t="s">
        <v>470</v>
      </c>
      <c r="H31710" s="185"/>
    </row>
    <row r="31711">
      <c r="D31711" s="185"/>
      <c r="E31711" s="185" t="s">
        <v>470</v>
      </c>
      <c r="H31711" s="185"/>
    </row>
    <row r="31712">
      <c r="D31712" s="185"/>
      <c r="E31712" s="185" t="s">
        <v>470</v>
      </c>
      <c r="H31712" s="185"/>
    </row>
    <row r="31713">
      <c r="D31713" s="185"/>
      <c r="E31713" s="185" t="s">
        <v>470</v>
      </c>
      <c r="H31713" s="185"/>
    </row>
    <row r="31714">
      <c r="D31714" s="185"/>
      <c r="E31714" s="185" t="s">
        <v>470</v>
      </c>
      <c r="H31714" s="185"/>
    </row>
    <row r="31715">
      <c r="D31715" s="185"/>
      <c r="E31715" s="185" t="s">
        <v>470</v>
      </c>
      <c r="H31715" s="185"/>
    </row>
    <row r="31716">
      <c r="D31716" s="185"/>
      <c r="E31716" s="185" t="s">
        <v>470</v>
      </c>
      <c r="H31716" s="185"/>
    </row>
    <row r="31717">
      <c r="D31717" s="185"/>
      <c r="E31717" s="185" t="s">
        <v>470</v>
      </c>
      <c r="H31717" s="185"/>
    </row>
    <row r="31718">
      <c r="D31718" s="185"/>
      <c r="E31718" s="185" t="s">
        <v>470</v>
      </c>
      <c r="H31718" s="185"/>
    </row>
    <row r="31719">
      <c r="D31719" s="185"/>
      <c r="E31719" s="185" t="s">
        <v>470</v>
      </c>
      <c r="H31719" s="185"/>
    </row>
    <row r="31720">
      <c r="D31720" s="185"/>
      <c r="E31720" s="185" t="s">
        <v>470</v>
      </c>
      <c r="H31720" s="185"/>
    </row>
    <row r="31721">
      <c r="D31721" s="185"/>
      <c r="E31721" s="185" t="s">
        <v>470</v>
      </c>
      <c r="H31721" s="185"/>
    </row>
    <row r="31722">
      <c r="D31722" s="185"/>
      <c r="E31722" s="185" t="s">
        <v>470</v>
      </c>
      <c r="H31722" s="185"/>
    </row>
    <row r="31723">
      <c r="D31723" s="185"/>
      <c r="E31723" s="185" t="s">
        <v>470</v>
      </c>
      <c r="H31723" s="185"/>
    </row>
    <row r="31724">
      <c r="D31724" s="185"/>
      <c r="E31724" s="185" t="s">
        <v>470</v>
      </c>
      <c r="H31724" s="185"/>
    </row>
    <row r="31725">
      <c r="D31725" s="185"/>
      <c r="E31725" s="185" t="s">
        <v>470</v>
      </c>
      <c r="H31725" s="185"/>
    </row>
    <row r="31726">
      <c r="D31726" s="185"/>
      <c r="E31726" s="185" t="s">
        <v>470</v>
      </c>
      <c r="H31726" s="185"/>
    </row>
    <row r="31727">
      <c r="D31727" s="185"/>
      <c r="E31727" s="185" t="s">
        <v>470</v>
      </c>
      <c r="H31727" s="185"/>
    </row>
    <row r="31728">
      <c r="D31728" s="185"/>
      <c r="E31728" s="185" t="s">
        <v>470</v>
      </c>
      <c r="H31728" s="185"/>
    </row>
    <row r="31729">
      <c r="D31729" s="185"/>
      <c r="E31729" s="185" t="s">
        <v>470</v>
      </c>
      <c r="H31729" s="185"/>
    </row>
    <row r="31730">
      <c r="D31730" s="185"/>
      <c r="E31730" s="185" t="s">
        <v>470</v>
      </c>
      <c r="H31730" s="185"/>
    </row>
    <row r="31731">
      <c r="D31731" s="185"/>
      <c r="E31731" s="185" t="s">
        <v>470</v>
      </c>
      <c r="H31731" s="185"/>
    </row>
    <row r="31732">
      <c r="D31732" s="185"/>
      <c r="E31732" s="185" t="s">
        <v>470</v>
      </c>
      <c r="H31732" s="185"/>
    </row>
    <row r="31733">
      <c r="D31733" s="185"/>
      <c r="E31733" s="185" t="s">
        <v>470</v>
      </c>
      <c r="H31733" s="185"/>
    </row>
    <row r="31734">
      <c r="D31734" s="185"/>
      <c r="E31734" s="185" t="s">
        <v>470</v>
      </c>
      <c r="H31734" s="185"/>
    </row>
    <row r="31735">
      <c r="D31735" s="185"/>
      <c r="E31735" s="185" t="s">
        <v>470</v>
      </c>
      <c r="H31735" s="185"/>
    </row>
    <row r="31736">
      <c r="D31736" s="185"/>
      <c r="E31736" s="185" t="s">
        <v>470</v>
      </c>
      <c r="H31736" s="185"/>
    </row>
    <row r="31737">
      <c r="D31737" s="185"/>
      <c r="E31737" s="185" t="s">
        <v>470</v>
      </c>
      <c r="H31737" s="185"/>
    </row>
    <row r="31738">
      <c r="D31738" s="185"/>
      <c r="E31738" s="185" t="s">
        <v>470</v>
      </c>
      <c r="H31738" s="185"/>
    </row>
    <row r="31739">
      <c r="D31739" s="185"/>
      <c r="E31739" s="185" t="s">
        <v>470</v>
      </c>
      <c r="H31739" s="185"/>
    </row>
    <row r="31740">
      <c r="D31740" s="185"/>
      <c r="E31740" s="185" t="s">
        <v>470</v>
      </c>
      <c r="H31740" s="185"/>
    </row>
    <row r="31741">
      <c r="D31741" s="185"/>
      <c r="E31741" s="185" t="s">
        <v>470</v>
      </c>
      <c r="H31741" s="185"/>
    </row>
    <row r="31742">
      <c r="D31742" s="185"/>
      <c r="E31742" s="185" t="s">
        <v>470</v>
      </c>
      <c r="H31742" s="185"/>
    </row>
    <row r="31743">
      <c r="D31743" s="185"/>
      <c r="E31743" s="185" t="s">
        <v>470</v>
      </c>
      <c r="H31743" s="185"/>
    </row>
    <row r="31744">
      <c r="D31744" s="185"/>
      <c r="E31744" s="185" t="s">
        <v>470</v>
      </c>
      <c r="H31744" s="185"/>
    </row>
    <row r="31745">
      <c r="D31745" s="185"/>
      <c r="E31745" s="185" t="s">
        <v>470</v>
      </c>
      <c r="H31745" s="185"/>
    </row>
    <row r="31746">
      <c r="D31746" s="185"/>
      <c r="E31746" s="185" t="s">
        <v>470</v>
      </c>
      <c r="H31746" s="185"/>
    </row>
    <row r="31747">
      <c r="D31747" s="185"/>
      <c r="E31747" s="185" t="s">
        <v>470</v>
      </c>
      <c r="H31747" s="185"/>
    </row>
    <row r="31748">
      <c r="D31748" s="185"/>
      <c r="E31748" s="185" t="s">
        <v>470</v>
      </c>
      <c r="H31748" s="185"/>
    </row>
    <row r="31749">
      <c r="D31749" s="185"/>
      <c r="E31749" s="185" t="s">
        <v>470</v>
      </c>
      <c r="H31749" s="185"/>
    </row>
    <row r="31750">
      <c r="D31750" s="185"/>
      <c r="E31750" s="185" t="s">
        <v>470</v>
      </c>
      <c r="H31750" s="185"/>
    </row>
    <row r="31751">
      <c r="D31751" s="185"/>
      <c r="E31751" s="185" t="s">
        <v>470</v>
      </c>
      <c r="H31751" s="185"/>
    </row>
    <row r="31752">
      <c r="D31752" s="185"/>
      <c r="E31752" s="185" t="s">
        <v>470</v>
      </c>
      <c r="H31752" s="185"/>
    </row>
    <row r="31753">
      <c r="D31753" s="185"/>
      <c r="E31753" s="185" t="s">
        <v>470</v>
      </c>
      <c r="H31753" s="185"/>
    </row>
    <row r="31754">
      <c r="D31754" s="185"/>
      <c r="E31754" s="185" t="s">
        <v>470</v>
      </c>
      <c r="H31754" s="185"/>
    </row>
    <row r="31755">
      <c r="D31755" s="185"/>
      <c r="E31755" s="185" t="s">
        <v>470</v>
      </c>
      <c r="H31755" s="185"/>
    </row>
    <row r="31756">
      <c r="D31756" s="185"/>
      <c r="E31756" s="185" t="s">
        <v>470</v>
      </c>
      <c r="H31756" s="185"/>
    </row>
    <row r="31757">
      <c r="D31757" s="185"/>
      <c r="E31757" s="185" t="s">
        <v>470</v>
      </c>
      <c r="H31757" s="185"/>
    </row>
    <row r="31758">
      <c r="D31758" s="185"/>
      <c r="E31758" s="185" t="s">
        <v>470</v>
      </c>
      <c r="H31758" s="185"/>
    </row>
    <row r="31759">
      <c r="D31759" s="185"/>
      <c r="E31759" s="185" t="s">
        <v>470</v>
      </c>
      <c r="H31759" s="185"/>
    </row>
    <row r="31760">
      <c r="D31760" s="185"/>
      <c r="E31760" s="185" t="s">
        <v>470</v>
      </c>
      <c r="H31760" s="185"/>
    </row>
    <row r="31761">
      <c r="D31761" s="185"/>
      <c r="E31761" s="185" t="s">
        <v>470</v>
      </c>
      <c r="H31761" s="185"/>
    </row>
    <row r="31762">
      <c r="D31762" s="185"/>
      <c r="E31762" s="185" t="s">
        <v>470</v>
      </c>
      <c r="H31762" s="185"/>
    </row>
    <row r="31763">
      <c r="D31763" s="185"/>
      <c r="E31763" s="185" t="s">
        <v>470</v>
      </c>
      <c r="H31763" s="185"/>
    </row>
    <row r="31764">
      <c r="D31764" s="185"/>
      <c r="E31764" s="185" t="s">
        <v>470</v>
      </c>
      <c r="H31764" s="185"/>
    </row>
    <row r="31765">
      <c r="D31765" s="185"/>
      <c r="E31765" s="185" t="s">
        <v>470</v>
      </c>
      <c r="H31765" s="185"/>
    </row>
    <row r="31766">
      <c r="D31766" s="185"/>
      <c r="E31766" s="185" t="s">
        <v>470</v>
      </c>
      <c r="H31766" s="185"/>
    </row>
    <row r="31767">
      <c r="D31767" s="185"/>
      <c r="E31767" s="185" t="s">
        <v>470</v>
      </c>
      <c r="H31767" s="185"/>
    </row>
    <row r="31768">
      <c r="D31768" s="185"/>
      <c r="E31768" s="185" t="s">
        <v>470</v>
      </c>
      <c r="H31768" s="185"/>
    </row>
    <row r="31769">
      <c r="D31769" s="185"/>
      <c r="E31769" s="185" t="s">
        <v>470</v>
      </c>
      <c r="H31769" s="185"/>
    </row>
    <row r="31770">
      <c r="D31770" s="185"/>
      <c r="E31770" s="185" t="s">
        <v>470</v>
      </c>
      <c r="H31770" s="185"/>
    </row>
    <row r="31771">
      <c r="D31771" s="185"/>
      <c r="E31771" s="185" t="s">
        <v>470</v>
      </c>
      <c r="H31771" s="185"/>
    </row>
    <row r="31772">
      <c r="D31772" s="185"/>
      <c r="E31772" s="185" t="s">
        <v>470</v>
      </c>
      <c r="H31772" s="185"/>
    </row>
    <row r="31773">
      <c r="D31773" s="185"/>
      <c r="E31773" s="185" t="s">
        <v>470</v>
      </c>
      <c r="H31773" s="185"/>
    </row>
    <row r="31774">
      <c r="D31774" s="185"/>
      <c r="E31774" s="185" t="s">
        <v>470</v>
      </c>
      <c r="H31774" s="185"/>
    </row>
    <row r="31775">
      <c r="D31775" s="185"/>
      <c r="E31775" s="185" t="s">
        <v>470</v>
      </c>
      <c r="H31775" s="185"/>
    </row>
    <row r="31776">
      <c r="D31776" s="185"/>
      <c r="E31776" s="185" t="s">
        <v>470</v>
      </c>
      <c r="H31776" s="185"/>
    </row>
    <row r="31777">
      <c r="D31777" s="185"/>
      <c r="E31777" s="185" t="s">
        <v>470</v>
      </c>
      <c r="H31777" s="185"/>
    </row>
    <row r="31778">
      <c r="D31778" s="185"/>
      <c r="E31778" s="185" t="s">
        <v>470</v>
      </c>
      <c r="H31778" s="185"/>
    </row>
    <row r="31779">
      <c r="D31779" s="185"/>
      <c r="E31779" s="185" t="s">
        <v>470</v>
      </c>
      <c r="H31779" s="185"/>
    </row>
    <row r="31780">
      <c r="D31780" s="185"/>
      <c r="E31780" s="185" t="s">
        <v>470</v>
      </c>
      <c r="H31780" s="185"/>
    </row>
    <row r="31781">
      <c r="D31781" s="185"/>
      <c r="E31781" s="185" t="s">
        <v>470</v>
      </c>
      <c r="H31781" s="185"/>
    </row>
    <row r="31782">
      <c r="D31782" s="185"/>
      <c r="E31782" s="185" t="s">
        <v>470</v>
      </c>
      <c r="H31782" s="185"/>
    </row>
    <row r="31783">
      <c r="D31783" s="185"/>
      <c r="E31783" s="185" t="s">
        <v>470</v>
      </c>
      <c r="H31783" s="185"/>
    </row>
    <row r="31784">
      <c r="D31784" s="185"/>
      <c r="E31784" s="185" t="s">
        <v>470</v>
      </c>
      <c r="H31784" s="185"/>
    </row>
    <row r="31785">
      <c r="D31785" s="185"/>
      <c r="E31785" s="185" t="s">
        <v>470</v>
      </c>
      <c r="H31785" s="185"/>
    </row>
    <row r="31786">
      <c r="D31786" s="185"/>
      <c r="E31786" s="185" t="s">
        <v>470</v>
      </c>
      <c r="H31786" s="185"/>
    </row>
    <row r="31787">
      <c r="D31787" s="185"/>
      <c r="E31787" s="185" t="s">
        <v>470</v>
      </c>
      <c r="H31787" s="185"/>
    </row>
    <row r="31788">
      <c r="D31788" s="185"/>
      <c r="E31788" s="185" t="s">
        <v>470</v>
      </c>
      <c r="H31788" s="185"/>
    </row>
    <row r="31789">
      <c r="D31789" s="185"/>
      <c r="E31789" s="185" t="s">
        <v>470</v>
      </c>
      <c r="H31789" s="185"/>
    </row>
    <row r="31790">
      <c r="D31790" s="185"/>
      <c r="E31790" s="185" t="s">
        <v>470</v>
      </c>
      <c r="H31790" s="185"/>
    </row>
    <row r="31791">
      <c r="D31791" s="185"/>
      <c r="E31791" s="185" t="s">
        <v>470</v>
      </c>
      <c r="H31791" s="185"/>
    </row>
    <row r="31792">
      <c r="D31792" s="185"/>
      <c r="E31792" s="185" t="s">
        <v>470</v>
      </c>
      <c r="H31792" s="185"/>
    </row>
    <row r="31793">
      <c r="D31793" s="185"/>
      <c r="E31793" s="185" t="s">
        <v>470</v>
      </c>
      <c r="H31793" s="185"/>
    </row>
    <row r="31794">
      <c r="D31794" s="185"/>
      <c r="E31794" s="185" t="s">
        <v>470</v>
      </c>
      <c r="H31794" s="185"/>
    </row>
    <row r="31795">
      <c r="D31795" s="185"/>
      <c r="E31795" s="185" t="s">
        <v>470</v>
      </c>
      <c r="H31795" s="185"/>
    </row>
    <row r="31796">
      <c r="D31796" s="185"/>
      <c r="E31796" s="185" t="s">
        <v>470</v>
      </c>
      <c r="H31796" s="185"/>
    </row>
    <row r="31797">
      <c r="D31797" s="185"/>
      <c r="E31797" s="185" t="s">
        <v>470</v>
      </c>
      <c r="H31797" s="185"/>
    </row>
    <row r="31798">
      <c r="D31798" s="185"/>
      <c r="E31798" s="185" t="s">
        <v>470</v>
      </c>
      <c r="H31798" s="185"/>
    </row>
    <row r="31799">
      <c r="D31799" s="185"/>
      <c r="E31799" s="185" t="s">
        <v>470</v>
      </c>
      <c r="H31799" s="185"/>
    </row>
    <row r="31800">
      <c r="D31800" s="185"/>
      <c r="E31800" s="185" t="s">
        <v>470</v>
      </c>
      <c r="H31800" s="185"/>
    </row>
    <row r="31801">
      <c r="D31801" s="185"/>
      <c r="E31801" s="185" t="s">
        <v>470</v>
      </c>
      <c r="H31801" s="185"/>
    </row>
    <row r="31802">
      <c r="D31802" s="185"/>
      <c r="E31802" s="185" t="s">
        <v>470</v>
      </c>
      <c r="H31802" s="185"/>
    </row>
    <row r="31803">
      <c r="D31803" s="185"/>
      <c r="E31803" s="185" t="s">
        <v>470</v>
      </c>
      <c r="H31803" s="185"/>
    </row>
    <row r="31804">
      <c r="D31804" s="185"/>
      <c r="E31804" s="185" t="s">
        <v>470</v>
      </c>
      <c r="H31804" s="185"/>
    </row>
    <row r="31805">
      <c r="D31805" s="185"/>
      <c r="E31805" s="185" t="s">
        <v>470</v>
      </c>
      <c r="H31805" s="185"/>
    </row>
    <row r="31806">
      <c r="D31806" s="185"/>
      <c r="E31806" s="185" t="s">
        <v>470</v>
      </c>
      <c r="H31806" s="185"/>
    </row>
    <row r="31807">
      <c r="D31807" s="185"/>
      <c r="E31807" s="185" t="s">
        <v>470</v>
      </c>
      <c r="H31807" s="185"/>
    </row>
    <row r="31808">
      <c r="D31808" s="185"/>
      <c r="E31808" s="185" t="s">
        <v>470</v>
      </c>
      <c r="H31808" s="185"/>
    </row>
    <row r="31809">
      <c r="D31809" s="185"/>
      <c r="E31809" s="185" t="s">
        <v>470</v>
      </c>
      <c r="H31809" s="185"/>
    </row>
    <row r="31810">
      <c r="D31810" s="185"/>
      <c r="E31810" s="185" t="s">
        <v>470</v>
      </c>
      <c r="H31810" s="185"/>
    </row>
    <row r="31811">
      <c r="D31811" s="185"/>
      <c r="E31811" s="185" t="s">
        <v>470</v>
      </c>
      <c r="H31811" s="185"/>
    </row>
    <row r="31812">
      <c r="D31812" s="185"/>
      <c r="E31812" s="185" t="s">
        <v>470</v>
      </c>
      <c r="H31812" s="185"/>
    </row>
    <row r="31813">
      <c r="D31813" s="185"/>
      <c r="E31813" s="185" t="s">
        <v>470</v>
      </c>
      <c r="H31813" s="185"/>
    </row>
    <row r="31814">
      <c r="D31814" s="185"/>
      <c r="E31814" s="185" t="s">
        <v>470</v>
      </c>
      <c r="H31814" s="185"/>
    </row>
    <row r="31815">
      <c r="D31815" s="185"/>
      <c r="E31815" s="185" t="s">
        <v>470</v>
      </c>
      <c r="H31815" s="185"/>
    </row>
    <row r="31816">
      <c r="D31816" s="185"/>
      <c r="E31816" s="185" t="s">
        <v>470</v>
      </c>
      <c r="H31816" s="185"/>
    </row>
    <row r="31817">
      <c r="D31817" s="185"/>
      <c r="E31817" s="185" t="s">
        <v>470</v>
      </c>
      <c r="H31817" s="185"/>
    </row>
    <row r="31818">
      <c r="D31818" s="185"/>
      <c r="E31818" s="185" t="s">
        <v>470</v>
      </c>
      <c r="H31818" s="185"/>
    </row>
    <row r="31819">
      <c r="D31819" s="185"/>
      <c r="E31819" s="185" t="s">
        <v>470</v>
      </c>
      <c r="H31819" s="185"/>
    </row>
    <row r="31820">
      <c r="D31820" s="185"/>
      <c r="E31820" s="185" t="s">
        <v>470</v>
      </c>
      <c r="H31820" s="185"/>
    </row>
    <row r="31821">
      <c r="D31821" s="185"/>
      <c r="E31821" s="185" t="s">
        <v>470</v>
      </c>
      <c r="H31821" s="185"/>
    </row>
    <row r="31822">
      <c r="D31822" s="185"/>
      <c r="E31822" s="185" t="s">
        <v>470</v>
      </c>
      <c r="H31822" s="185"/>
    </row>
    <row r="31823">
      <c r="D31823" s="185"/>
      <c r="E31823" s="185" t="s">
        <v>470</v>
      </c>
      <c r="H31823" s="185"/>
    </row>
    <row r="31824">
      <c r="D31824" s="185"/>
      <c r="E31824" s="185" t="s">
        <v>470</v>
      </c>
      <c r="H31824" s="185"/>
    </row>
    <row r="31825">
      <c r="D31825" s="185"/>
      <c r="E31825" s="185" t="s">
        <v>470</v>
      </c>
      <c r="H31825" s="185"/>
    </row>
    <row r="31826">
      <c r="D31826" s="185"/>
      <c r="E31826" s="185" t="s">
        <v>470</v>
      </c>
      <c r="H31826" s="185"/>
    </row>
    <row r="31827">
      <c r="D31827" s="185"/>
      <c r="E31827" s="185" t="s">
        <v>470</v>
      </c>
      <c r="H31827" s="185"/>
    </row>
    <row r="31828">
      <c r="D31828" s="185"/>
      <c r="E31828" s="185" t="s">
        <v>470</v>
      </c>
      <c r="H31828" s="185"/>
    </row>
    <row r="31829">
      <c r="D31829" s="185"/>
      <c r="E31829" s="185" t="s">
        <v>470</v>
      </c>
      <c r="H31829" s="185"/>
    </row>
    <row r="31830">
      <c r="D31830" s="185"/>
      <c r="E31830" s="185" t="s">
        <v>470</v>
      </c>
      <c r="H31830" s="185"/>
    </row>
    <row r="31831">
      <c r="D31831" s="185"/>
      <c r="E31831" s="185" t="s">
        <v>470</v>
      </c>
      <c r="H31831" s="185"/>
    </row>
    <row r="31832">
      <c r="D31832" s="185"/>
      <c r="E31832" s="185" t="s">
        <v>470</v>
      </c>
      <c r="H31832" s="185"/>
    </row>
    <row r="31833">
      <c r="D31833" s="185"/>
      <c r="E31833" s="185" t="s">
        <v>470</v>
      </c>
      <c r="H31833" s="185"/>
    </row>
    <row r="31834">
      <c r="D31834" s="185"/>
      <c r="E31834" s="185" t="s">
        <v>470</v>
      </c>
      <c r="H31834" s="185"/>
    </row>
    <row r="31835">
      <c r="D31835" s="185"/>
      <c r="E31835" s="185" t="s">
        <v>470</v>
      </c>
      <c r="H31835" s="185"/>
    </row>
    <row r="31836">
      <c r="D31836" s="185"/>
      <c r="E31836" s="185" t="s">
        <v>470</v>
      </c>
      <c r="H31836" s="185"/>
    </row>
    <row r="31837">
      <c r="D31837" s="185"/>
      <c r="E31837" s="185" t="s">
        <v>470</v>
      </c>
      <c r="H31837" s="185"/>
    </row>
    <row r="31838">
      <c r="D31838" s="185"/>
      <c r="E31838" s="185" t="s">
        <v>470</v>
      </c>
      <c r="H31838" s="185"/>
    </row>
    <row r="31839">
      <c r="D31839" s="185"/>
      <c r="E31839" s="185" t="s">
        <v>470</v>
      </c>
      <c r="H31839" s="185"/>
    </row>
    <row r="31840">
      <c r="D31840" s="185"/>
      <c r="E31840" s="185" t="s">
        <v>470</v>
      </c>
      <c r="H31840" s="185"/>
    </row>
    <row r="31841">
      <c r="D31841" s="185"/>
      <c r="E31841" s="185" t="s">
        <v>470</v>
      </c>
      <c r="H31841" s="185"/>
    </row>
    <row r="31842">
      <c r="D31842" s="185"/>
      <c r="E31842" s="185" t="s">
        <v>470</v>
      </c>
      <c r="H31842" s="185"/>
    </row>
    <row r="31843">
      <c r="D31843" s="185"/>
      <c r="E31843" s="185" t="s">
        <v>470</v>
      </c>
      <c r="H31843" s="185"/>
    </row>
    <row r="31844">
      <c r="D31844" s="185"/>
      <c r="E31844" s="185" t="s">
        <v>470</v>
      </c>
      <c r="H31844" s="185"/>
    </row>
    <row r="31845">
      <c r="D31845" s="185"/>
      <c r="E31845" s="185" t="s">
        <v>470</v>
      </c>
      <c r="H31845" s="185"/>
    </row>
    <row r="31846">
      <c r="D31846" s="185"/>
      <c r="E31846" s="185" t="s">
        <v>470</v>
      </c>
      <c r="H31846" s="185"/>
    </row>
    <row r="31847">
      <c r="D31847" s="185"/>
      <c r="E31847" s="185" t="s">
        <v>470</v>
      </c>
      <c r="H31847" s="185"/>
    </row>
    <row r="31848">
      <c r="D31848" s="185"/>
      <c r="E31848" s="185" t="s">
        <v>470</v>
      </c>
      <c r="H31848" s="185"/>
    </row>
    <row r="31849">
      <c r="D31849" s="185"/>
      <c r="E31849" s="185" t="s">
        <v>470</v>
      </c>
      <c r="H31849" s="185"/>
    </row>
    <row r="31850">
      <c r="D31850" s="185"/>
      <c r="E31850" s="185" t="s">
        <v>470</v>
      </c>
      <c r="H31850" s="185"/>
    </row>
    <row r="31851">
      <c r="D31851" s="185"/>
      <c r="E31851" s="185" t="s">
        <v>470</v>
      </c>
      <c r="H31851" s="185"/>
    </row>
    <row r="31852">
      <c r="D31852" s="185"/>
      <c r="E31852" s="185" t="s">
        <v>470</v>
      </c>
      <c r="H31852" s="185"/>
    </row>
    <row r="31853">
      <c r="D31853" s="185"/>
      <c r="E31853" s="185" t="s">
        <v>470</v>
      </c>
      <c r="H31853" s="185"/>
    </row>
    <row r="31854">
      <c r="D31854" s="185"/>
      <c r="E31854" s="185" t="s">
        <v>470</v>
      </c>
      <c r="H31854" s="185"/>
    </row>
    <row r="31855">
      <c r="D31855" s="185"/>
      <c r="E31855" s="185" t="s">
        <v>470</v>
      </c>
      <c r="H31855" s="185"/>
    </row>
    <row r="31856">
      <c r="D31856" s="185"/>
      <c r="E31856" s="185" t="s">
        <v>470</v>
      </c>
      <c r="H31856" s="185"/>
    </row>
    <row r="31857">
      <c r="D31857" s="185"/>
      <c r="E31857" s="185" t="s">
        <v>470</v>
      </c>
      <c r="H31857" s="185"/>
    </row>
    <row r="31858">
      <c r="D31858" s="185"/>
      <c r="E31858" s="185" t="s">
        <v>470</v>
      </c>
      <c r="H31858" s="185"/>
    </row>
    <row r="31859">
      <c r="D31859" s="185"/>
      <c r="E31859" s="185" t="s">
        <v>470</v>
      </c>
      <c r="H31859" s="185"/>
    </row>
    <row r="31860">
      <c r="D31860" s="185"/>
      <c r="E31860" s="185" t="s">
        <v>470</v>
      </c>
      <c r="H31860" s="185"/>
    </row>
    <row r="31861">
      <c r="D31861" s="185"/>
      <c r="E31861" s="185" t="s">
        <v>470</v>
      </c>
      <c r="H31861" s="185"/>
    </row>
    <row r="31862">
      <c r="D31862" s="185"/>
      <c r="E31862" s="185" t="s">
        <v>470</v>
      </c>
      <c r="H31862" s="185"/>
    </row>
    <row r="31863">
      <c r="D31863" s="185"/>
      <c r="E31863" s="185" t="s">
        <v>470</v>
      </c>
      <c r="H31863" s="185"/>
    </row>
    <row r="31864">
      <c r="D31864" s="185"/>
      <c r="E31864" s="185" t="s">
        <v>470</v>
      </c>
      <c r="H31864" s="185"/>
    </row>
    <row r="31865">
      <c r="D31865" s="185"/>
      <c r="E31865" s="185" t="s">
        <v>470</v>
      </c>
      <c r="H31865" s="185"/>
    </row>
    <row r="31866">
      <c r="D31866" s="185"/>
      <c r="E31866" s="185" t="s">
        <v>470</v>
      </c>
      <c r="H31866" s="185"/>
    </row>
    <row r="31867">
      <c r="D31867" s="185"/>
      <c r="E31867" s="185" t="s">
        <v>470</v>
      </c>
      <c r="H31867" s="185"/>
    </row>
    <row r="31868">
      <c r="D31868" s="185"/>
      <c r="E31868" s="185" t="s">
        <v>470</v>
      </c>
      <c r="H31868" s="185"/>
    </row>
    <row r="31869">
      <c r="D31869" s="185"/>
      <c r="E31869" s="185" t="s">
        <v>470</v>
      </c>
      <c r="H31869" s="185"/>
    </row>
    <row r="31870">
      <c r="D31870" s="185"/>
      <c r="E31870" s="185" t="s">
        <v>470</v>
      </c>
      <c r="H31870" s="185"/>
    </row>
    <row r="31871">
      <c r="D31871" s="185"/>
      <c r="E31871" s="185" t="s">
        <v>470</v>
      </c>
      <c r="H31871" s="185"/>
    </row>
    <row r="31872">
      <c r="D31872" s="185"/>
      <c r="E31872" s="185" t="s">
        <v>470</v>
      </c>
      <c r="H31872" s="185"/>
    </row>
    <row r="31873">
      <c r="D31873" s="185"/>
      <c r="E31873" s="185" t="s">
        <v>470</v>
      </c>
      <c r="H31873" s="185"/>
    </row>
    <row r="31874">
      <c r="D31874" s="185"/>
      <c r="E31874" s="185" t="s">
        <v>470</v>
      </c>
      <c r="H31874" s="185"/>
    </row>
    <row r="31875">
      <c r="D31875" s="185"/>
      <c r="E31875" s="185" t="s">
        <v>470</v>
      </c>
      <c r="H31875" s="185"/>
    </row>
    <row r="31876">
      <c r="D31876" s="185"/>
      <c r="E31876" s="185" t="s">
        <v>470</v>
      </c>
      <c r="H31876" s="185"/>
    </row>
    <row r="31877">
      <c r="D31877" s="185"/>
      <c r="E31877" s="185" t="s">
        <v>470</v>
      </c>
      <c r="H31877" s="185"/>
    </row>
    <row r="31878">
      <c r="D31878" s="185"/>
      <c r="E31878" s="185" t="s">
        <v>470</v>
      </c>
      <c r="H31878" s="185"/>
    </row>
    <row r="31879">
      <c r="D31879" s="185"/>
      <c r="E31879" s="185" t="s">
        <v>470</v>
      </c>
      <c r="H31879" s="185"/>
    </row>
    <row r="31880">
      <c r="D31880" s="185"/>
      <c r="E31880" s="185" t="s">
        <v>470</v>
      </c>
      <c r="H31880" s="185"/>
    </row>
    <row r="31881">
      <c r="D31881" s="185"/>
      <c r="E31881" s="185" t="s">
        <v>470</v>
      </c>
      <c r="H31881" s="185"/>
    </row>
    <row r="31882">
      <c r="D31882" s="185"/>
      <c r="E31882" s="185" t="s">
        <v>470</v>
      </c>
      <c r="H31882" s="185"/>
    </row>
    <row r="31883">
      <c r="D31883" s="185"/>
      <c r="E31883" s="185" t="s">
        <v>470</v>
      </c>
      <c r="H31883" s="185"/>
    </row>
    <row r="31884">
      <c r="D31884" s="185"/>
      <c r="E31884" s="185" t="s">
        <v>470</v>
      </c>
      <c r="H31884" s="185"/>
    </row>
    <row r="31885">
      <c r="D31885" s="185"/>
      <c r="E31885" s="185" t="s">
        <v>470</v>
      </c>
      <c r="H31885" s="185"/>
    </row>
    <row r="31886">
      <c r="D31886" s="185"/>
      <c r="E31886" s="185" t="s">
        <v>470</v>
      </c>
      <c r="H31886" s="185"/>
    </row>
    <row r="31887">
      <c r="D31887" s="185"/>
      <c r="E31887" s="185" t="s">
        <v>470</v>
      </c>
      <c r="H31887" s="185"/>
    </row>
    <row r="31888">
      <c r="D31888" s="185"/>
      <c r="E31888" s="185" t="s">
        <v>470</v>
      </c>
      <c r="H31888" s="185"/>
    </row>
    <row r="31889">
      <c r="D31889" s="185"/>
      <c r="E31889" s="185" t="s">
        <v>470</v>
      </c>
      <c r="H31889" s="185"/>
    </row>
    <row r="31890">
      <c r="D31890" s="185"/>
      <c r="E31890" s="185" t="s">
        <v>470</v>
      </c>
      <c r="H31890" s="185"/>
    </row>
    <row r="31891">
      <c r="D31891" s="185"/>
      <c r="E31891" s="185" t="s">
        <v>470</v>
      </c>
      <c r="H31891" s="185"/>
    </row>
    <row r="31892">
      <c r="D31892" s="185"/>
      <c r="E31892" s="185" t="s">
        <v>470</v>
      </c>
      <c r="H31892" s="185"/>
    </row>
    <row r="31893">
      <c r="D31893" s="185"/>
      <c r="E31893" s="185" t="s">
        <v>470</v>
      </c>
      <c r="H31893" s="185"/>
    </row>
    <row r="31894">
      <c r="D31894" s="185"/>
      <c r="E31894" s="185" t="s">
        <v>470</v>
      </c>
      <c r="H31894" s="185"/>
    </row>
    <row r="31895">
      <c r="D31895" s="185"/>
      <c r="E31895" s="185" t="s">
        <v>470</v>
      </c>
      <c r="H31895" s="185"/>
    </row>
    <row r="31896">
      <c r="D31896" s="185"/>
      <c r="E31896" s="185" t="s">
        <v>470</v>
      </c>
      <c r="H31896" s="185"/>
    </row>
    <row r="31897">
      <c r="D31897" s="185"/>
      <c r="E31897" s="185" t="s">
        <v>470</v>
      </c>
      <c r="H31897" s="185"/>
    </row>
    <row r="31898">
      <c r="D31898" s="185"/>
      <c r="E31898" s="185" t="s">
        <v>470</v>
      </c>
      <c r="H31898" s="185"/>
    </row>
    <row r="31899">
      <c r="D31899" s="185"/>
      <c r="E31899" s="185" t="s">
        <v>470</v>
      </c>
      <c r="H31899" s="185"/>
    </row>
    <row r="31900">
      <c r="D31900" s="185"/>
      <c r="E31900" s="185" t="s">
        <v>470</v>
      </c>
      <c r="H31900" s="185"/>
    </row>
    <row r="31901">
      <c r="D31901" s="185"/>
      <c r="E31901" s="185" t="s">
        <v>470</v>
      </c>
      <c r="H31901" s="185"/>
    </row>
    <row r="31902">
      <c r="D31902" s="185"/>
      <c r="E31902" s="185" t="s">
        <v>470</v>
      </c>
      <c r="H31902" s="185"/>
    </row>
    <row r="31903">
      <c r="D31903" s="185"/>
      <c r="E31903" s="185" t="s">
        <v>470</v>
      </c>
      <c r="H31903" s="185"/>
    </row>
    <row r="31904">
      <c r="D31904" s="185"/>
      <c r="E31904" s="185" t="s">
        <v>470</v>
      </c>
      <c r="H31904" s="185"/>
    </row>
    <row r="31905">
      <c r="D31905" s="185"/>
      <c r="E31905" s="185" t="s">
        <v>470</v>
      </c>
      <c r="H31905" s="185"/>
    </row>
    <row r="31906">
      <c r="D31906" s="185"/>
      <c r="E31906" s="185" t="s">
        <v>470</v>
      </c>
      <c r="H31906" s="185"/>
    </row>
    <row r="31907">
      <c r="D31907" s="185"/>
      <c r="E31907" s="185" t="s">
        <v>470</v>
      </c>
      <c r="H31907" s="185"/>
    </row>
    <row r="31908">
      <c r="D31908" s="185"/>
      <c r="E31908" s="185" t="s">
        <v>470</v>
      </c>
      <c r="H31908" s="185"/>
    </row>
    <row r="31909">
      <c r="D31909" s="185"/>
      <c r="E31909" s="185" t="s">
        <v>470</v>
      </c>
      <c r="H31909" s="185"/>
    </row>
    <row r="31910">
      <c r="D31910" s="185"/>
      <c r="E31910" s="185" t="s">
        <v>470</v>
      </c>
      <c r="H31910" s="185"/>
    </row>
    <row r="31911">
      <c r="D31911" s="185"/>
      <c r="E31911" s="185" t="s">
        <v>470</v>
      </c>
      <c r="H31911" s="185"/>
    </row>
    <row r="31912">
      <c r="D31912" s="185"/>
      <c r="E31912" s="185" t="s">
        <v>470</v>
      </c>
      <c r="H31912" s="185"/>
    </row>
    <row r="31913">
      <c r="D31913" s="185"/>
      <c r="E31913" s="185" t="s">
        <v>470</v>
      </c>
      <c r="H31913" s="185"/>
    </row>
    <row r="31914">
      <c r="D31914" s="185"/>
      <c r="E31914" s="185" t="s">
        <v>470</v>
      </c>
      <c r="H31914" s="185"/>
    </row>
    <row r="31915">
      <c r="D31915" s="185"/>
      <c r="E31915" s="185" t="s">
        <v>470</v>
      </c>
      <c r="H31915" s="185"/>
    </row>
    <row r="31916">
      <c r="D31916" s="185"/>
      <c r="E31916" s="185" t="s">
        <v>470</v>
      </c>
      <c r="H31916" s="185"/>
    </row>
    <row r="31917">
      <c r="D31917" s="185"/>
      <c r="E31917" s="185" t="s">
        <v>470</v>
      </c>
      <c r="H31917" s="185"/>
    </row>
    <row r="31918">
      <c r="D31918" s="185"/>
      <c r="E31918" s="185" t="s">
        <v>470</v>
      </c>
      <c r="H31918" s="185"/>
    </row>
    <row r="31919">
      <c r="D31919" s="185"/>
      <c r="E31919" s="185" t="s">
        <v>470</v>
      </c>
      <c r="H31919" s="185"/>
    </row>
    <row r="31920">
      <c r="D31920" s="185"/>
      <c r="E31920" s="185" t="s">
        <v>470</v>
      </c>
      <c r="H31920" s="185"/>
    </row>
    <row r="31921">
      <c r="D31921" s="185"/>
      <c r="E31921" s="185" t="s">
        <v>470</v>
      </c>
      <c r="H31921" s="185"/>
    </row>
    <row r="31922">
      <c r="D31922" s="185"/>
      <c r="E31922" s="185" t="s">
        <v>470</v>
      </c>
      <c r="H31922" s="185"/>
    </row>
    <row r="31923">
      <c r="D31923" s="185"/>
      <c r="E31923" s="185" t="s">
        <v>470</v>
      </c>
      <c r="H31923" s="185"/>
    </row>
    <row r="31924">
      <c r="D31924" s="185"/>
      <c r="E31924" s="185" t="s">
        <v>470</v>
      </c>
      <c r="H31924" s="185"/>
    </row>
    <row r="31925">
      <c r="D31925" s="185"/>
      <c r="E31925" s="185" t="s">
        <v>470</v>
      </c>
      <c r="H31925" s="185"/>
    </row>
    <row r="31926">
      <c r="D31926" s="185"/>
      <c r="E31926" s="185" t="s">
        <v>470</v>
      </c>
      <c r="H31926" s="185"/>
    </row>
    <row r="31927">
      <c r="D31927" s="185"/>
      <c r="E31927" s="185" t="s">
        <v>470</v>
      </c>
      <c r="H31927" s="185"/>
    </row>
    <row r="31928">
      <c r="D31928" s="185"/>
      <c r="E31928" s="185" t="s">
        <v>470</v>
      </c>
      <c r="H31928" s="185"/>
    </row>
    <row r="31929">
      <c r="D31929" s="185"/>
      <c r="E31929" s="185" t="s">
        <v>470</v>
      </c>
      <c r="H31929" s="185"/>
    </row>
    <row r="31930">
      <c r="D31930" s="185"/>
      <c r="E31930" s="185" t="s">
        <v>470</v>
      </c>
      <c r="H31930" s="185"/>
    </row>
    <row r="31931">
      <c r="D31931" s="185"/>
      <c r="E31931" s="185" t="s">
        <v>470</v>
      </c>
      <c r="H31931" s="185"/>
    </row>
    <row r="31932">
      <c r="D31932" s="185"/>
      <c r="E31932" s="185" t="s">
        <v>470</v>
      </c>
      <c r="H31932" s="185"/>
    </row>
    <row r="31933">
      <c r="D31933" s="185"/>
      <c r="E31933" s="185" t="s">
        <v>470</v>
      </c>
      <c r="H31933" s="185"/>
    </row>
    <row r="31934">
      <c r="D31934" s="185"/>
      <c r="E31934" s="185" t="s">
        <v>470</v>
      </c>
      <c r="H31934" s="185"/>
    </row>
    <row r="31935">
      <c r="D31935" s="185"/>
      <c r="E31935" s="185" t="s">
        <v>470</v>
      </c>
      <c r="H31935" s="185"/>
    </row>
    <row r="31936">
      <c r="D31936" s="185"/>
      <c r="E31936" s="185" t="s">
        <v>470</v>
      </c>
      <c r="H31936" s="185"/>
    </row>
    <row r="31937">
      <c r="D31937" s="185"/>
      <c r="E31937" s="185" t="s">
        <v>470</v>
      </c>
      <c r="H31937" s="185"/>
    </row>
    <row r="31938">
      <c r="D31938" s="185"/>
      <c r="E31938" s="185" t="s">
        <v>470</v>
      </c>
      <c r="H31938" s="185"/>
    </row>
    <row r="31939">
      <c r="D31939" s="185"/>
      <c r="E31939" s="185" t="s">
        <v>470</v>
      </c>
      <c r="H31939" s="185"/>
    </row>
    <row r="31940">
      <c r="D31940" s="185"/>
      <c r="E31940" s="185" t="s">
        <v>470</v>
      </c>
      <c r="H31940" s="185"/>
    </row>
    <row r="31941">
      <c r="D31941" s="185"/>
      <c r="E31941" s="185" t="s">
        <v>470</v>
      </c>
      <c r="H31941" s="185"/>
    </row>
    <row r="31942">
      <c r="D31942" s="185"/>
      <c r="E31942" s="185" t="s">
        <v>470</v>
      </c>
      <c r="H31942" s="185"/>
    </row>
    <row r="31943">
      <c r="D31943" s="185"/>
      <c r="E31943" s="185" t="s">
        <v>470</v>
      </c>
      <c r="H31943" s="185"/>
    </row>
    <row r="31944">
      <c r="D31944" s="185"/>
      <c r="E31944" s="185" t="s">
        <v>470</v>
      </c>
      <c r="H31944" s="185"/>
    </row>
    <row r="31945">
      <c r="D31945" s="185"/>
      <c r="E31945" s="185" t="s">
        <v>470</v>
      </c>
      <c r="H31945" s="185"/>
    </row>
    <row r="31946">
      <c r="D31946" s="185"/>
      <c r="E31946" s="185" t="s">
        <v>470</v>
      </c>
      <c r="H31946" s="185"/>
    </row>
    <row r="31947">
      <c r="D31947" s="185"/>
      <c r="E31947" s="185" t="s">
        <v>470</v>
      </c>
      <c r="H31947" s="185"/>
    </row>
    <row r="31948">
      <c r="D31948" s="185"/>
      <c r="E31948" s="185" t="s">
        <v>470</v>
      </c>
      <c r="H31948" s="185"/>
    </row>
    <row r="31949">
      <c r="D31949" s="185"/>
      <c r="E31949" s="185" t="s">
        <v>470</v>
      </c>
      <c r="H31949" s="185"/>
    </row>
    <row r="31950">
      <c r="D31950" s="185"/>
      <c r="E31950" s="185" t="s">
        <v>470</v>
      </c>
      <c r="H31950" s="185"/>
    </row>
    <row r="31951">
      <c r="D31951" s="185"/>
      <c r="E31951" s="185" t="s">
        <v>470</v>
      </c>
      <c r="H31951" s="185"/>
    </row>
    <row r="31952">
      <c r="D31952" s="185"/>
      <c r="E31952" s="185" t="s">
        <v>470</v>
      </c>
      <c r="H31952" s="185"/>
    </row>
    <row r="31953">
      <c r="D31953" s="185"/>
      <c r="E31953" s="185" t="s">
        <v>470</v>
      </c>
      <c r="H31953" s="185"/>
    </row>
    <row r="31954">
      <c r="D31954" s="185"/>
      <c r="E31954" s="185" t="s">
        <v>470</v>
      </c>
      <c r="H31954" s="185"/>
    </row>
    <row r="31955">
      <c r="D31955" s="185"/>
      <c r="E31955" s="185" t="s">
        <v>470</v>
      </c>
      <c r="H31955" s="185"/>
    </row>
    <row r="31956">
      <c r="D31956" s="185"/>
      <c r="E31956" s="185" t="s">
        <v>470</v>
      </c>
      <c r="H31956" s="185"/>
    </row>
    <row r="31957">
      <c r="D31957" s="185"/>
      <c r="E31957" s="185" t="s">
        <v>470</v>
      </c>
      <c r="H31957" s="185"/>
    </row>
    <row r="31958">
      <c r="D31958" s="185"/>
      <c r="E31958" s="185" t="s">
        <v>470</v>
      </c>
      <c r="H31958" s="185"/>
    </row>
    <row r="31959">
      <c r="D31959" s="185"/>
      <c r="E31959" s="185" t="s">
        <v>470</v>
      </c>
      <c r="H31959" s="185"/>
    </row>
    <row r="31960">
      <c r="D31960" s="185"/>
      <c r="E31960" s="185" t="s">
        <v>470</v>
      </c>
      <c r="H31960" s="185"/>
    </row>
    <row r="31961">
      <c r="D31961" s="185"/>
      <c r="E31961" s="185" t="s">
        <v>470</v>
      </c>
      <c r="H31961" s="185"/>
    </row>
    <row r="31962">
      <c r="D31962" s="185"/>
      <c r="E31962" s="185" t="s">
        <v>470</v>
      </c>
      <c r="H31962" s="185"/>
    </row>
    <row r="31963">
      <c r="D31963" s="185"/>
      <c r="E31963" s="185" t="s">
        <v>470</v>
      </c>
      <c r="H31963" s="185"/>
    </row>
    <row r="31964">
      <c r="D31964" s="185"/>
      <c r="E31964" s="185" t="s">
        <v>470</v>
      </c>
      <c r="H31964" s="185"/>
    </row>
    <row r="31965">
      <c r="D31965" s="185"/>
      <c r="E31965" s="185" t="s">
        <v>470</v>
      </c>
      <c r="H31965" s="185"/>
    </row>
    <row r="31966">
      <c r="D31966" s="185"/>
      <c r="E31966" s="185" t="s">
        <v>470</v>
      </c>
      <c r="H31966" s="185"/>
    </row>
    <row r="31967">
      <c r="D31967" s="185"/>
      <c r="E31967" s="185" t="s">
        <v>470</v>
      </c>
      <c r="H31967" s="185"/>
    </row>
    <row r="31968">
      <c r="D31968" s="185"/>
      <c r="E31968" s="185" t="s">
        <v>470</v>
      </c>
      <c r="H31968" s="185"/>
    </row>
    <row r="31969">
      <c r="D31969" s="185"/>
      <c r="E31969" s="185" t="s">
        <v>470</v>
      </c>
      <c r="H31969" s="185"/>
    </row>
    <row r="31970">
      <c r="D31970" s="185"/>
      <c r="E31970" s="185" t="s">
        <v>470</v>
      </c>
      <c r="H31970" s="185"/>
    </row>
    <row r="31971">
      <c r="D31971" s="185"/>
      <c r="E31971" s="185" t="s">
        <v>470</v>
      </c>
      <c r="H31971" s="185"/>
    </row>
    <row r="31972">
      <c r="D31972" s="185"/>
      <c r="E31972" s="185" t="s">
        <v>470</v>
      </c>
      <c r="H31972" s="185"/>
    </row>
    <row r="31973">
      <c r="D31973" s="185"/>
      <c r="E31973" s="185" t="s">
        <v>470</v>
      </c>
      <c r="H31973" s="185"/>
    </row>
    <row r="31974">
      <c r="D31974" s="185"/>
      <c r="E31974" s="185" t="s">
        <v>470</v>
      </c>
      <c r="H31974" s="185"/>
    </row>
    <row r="31975">
      <c r="D31975" s="185"/>
      <c r="E31975" s="185" t="s">
        <v>470</v>
      </c>
      <c r="H31975" s="185"/>
    </row>
    <row r="31976">
      <c r="D31976" s="185"/>
      <c r="E31976" s="185" t="s">
        <v>470</v>
      </c>
      <c r="H31976" s="185"/>
    </row>
    <row r="31977">
      <c r="D31977" s="185"/>
      <c r="E31977" s="185" t="s">
        <v>470</v>
      </c>
      <c r="H31977" s="185"/>
    </row>
    <row r="31978">
      <c r="D31978" s="185"/>
      <c r="E31978" s="185" t="s">
        <v>470</v>
      </c>
      <c r="H31978" s="185"/>
    </row>
    <row r="31979">
      <c r="D31979" s="185"/>
      <c r="E31979" s="185" t="s">
        <v>470</v>
      </c>
      <c r="H31979" s="185"/>
    </row>
    <row r="31980">
      <c r="D31980" s="185"/>
      <c r="E31980" s="185" t="s">
        <v>470</v>
      </c>
      <c r="H31980" s="185"/>
    </row>
    <row r="31981">
      <c r="D31981" s="185"/>
      <c r="E31981" s="185" t="s">
        <v>470</v>
      </c>
      <c r="H31981" s="185"/>
    </row>
    <row r="31982">
      <c r="D31982" s="185"/>
      <c r="E31982" s="185" t="s">
        <v>470</v>
      </c>
      <c r="H31982" s="185"/>
    </row>
    <row r="31983">
      <c r="D31983" s="185"/>
      <c r="E31983" s="185" t="s">
        <v>470</v>
      </c>
      <c r="H31983" s="185"/>
    </row>
    <row r="31984">
      <c r="D31984" s="185"/>
      <c r="E31984" s="185" t="s">
        <v>470</v>
      </c>
      <c r="H31984" s="185"/>
    </row>
    <row r="31985">
      <c r="D31985" s="185"/>
      <c r="E31985" s="185" t="s">
        <v>470</v>
      </c>
      <c r="H31985" s="185"/>
    </row>
    <row r="31986">
      <c r="D31986" s="185"/>
      <c r="E31986" s="185" t="s">
        <v>470</v>
      </c>
      <c r="H31986" s="185"/>
    </row>
    <row r="31987">
      <c r="D31987" s="185"/>
      <c r="E31987" s="185" t="s">
        <v>470</v>
      </c>
      <c r="H31987" s="185"/>
    </row>
    <row r="31988">
      <c r="D31988" s="185"/>
      <c r="E31988" s="185" t="s">
        <v>470</v>
      </c>
      <c r="H31988" s="185"/>
    </row>
    <row r="31989">
      <c r="D31989" s="185"/>
      <c r="E31989" s="185" t="s">
        <v>470</v>
      </c>
      <c r="H31989" s="185"/>
    </row>
    <row r="31990">
      <c r="D31990" s="185"/>
      <c r="E31990" s="185" t="s">
        <v>470</v>
      </c>
      <c r="H31990" s="185"/>
    </row>
    <row r="31991">
      <c r="D31991" s="185"/>
      <c r="E31991" s="185" t="s">
        <v>470</v>
      </c>
      <c r="H31991" s="185"/>
    </row>
    <row r="31992">
      <c r="D31992" s="185"/>
      <c r="E31992" s="185" t="s">
        <v>470</v>
      </c>
      <c r="H31992" s="185"/>
    </row>
    <row r="31993">
      <c r="D31993" s="185"/>
      <c r="E31993" s="185" t="s">
        <v>470</v>
      </c>
      <c r="H31993" s="185"/>
    </row>
    <row r="31994">
      <c r="D31994" s="185"/>
      <c r="E31994" s="185" t="s">
        <v>470</v>
      </c>
      <c r="H31994" s="185"/>
    </row>
    <row r="31995">
      <c r="D31995" s="185"/>
      <c r="E31995" s="185" t="s">
        <v>470</v>
      </c>
      <c r="H31995" s="185"/>
    </row>
    <row r="31996">
      <c r="D31996" s="185"/>
      <c r="E31996" s="185" t="s">
        <v>470</v>
      </c>
      <c r="H31996" s="185"/>
    </row>
    <row r="31997">
      <c r="D31997" s="185"/>
      <c r="E31997" s="185" t="s">
        <v>470</v>
      </c>
      <c r="H31997" s="185"/>
    </row>
    <row r="31998">
      <c r="D31998" s="185"/>
      <c r="E31998" s="185" t="s">
        <v>470</v>
      </c>
      <c r="H31998" s="185"/>
    </row>
    <row r="31999">
      <c r="D31999" s="185"/>
      <c r="E31999" s="185" t="s">
        <v>470</v>
      </c>
      <c r="H31999" s="185"/>
    </row>
    <row r="32000">
      <c r="D32000" s="185"/>
      <c r="E32000" s="185" t="s">
        <v>470</v>
      </c>
      <c r="H32000" s="185"/>
    </row>
    <row r="32001">
      <c r="D32001" s="185"/>
      <c r="E32001" s="185" t="s">
        <v>470</v>
      </c>
      <c r="H32001" s="185"/>
    </row>
    <row r="32002">
      <c r="D32002" s="185"/>
      <c r="E32002" s="185" t="s">
        <v>470</v>
      </c>
      <c r="H32002" s="185"/>
    </row>
    <row r="32003">
      <c r="D32003" s="185"/>
      <c r="E32003" s="185" t="s">
        <v>470</v>
      </c>
      <c r="H32003" s="185"/>
    </row>
    <row r="32004">
      <c r="D32004" s="185"/>
      <c r="E32004" s="185" t="s">
        <v>470</v>
      </c>
      <c r="H32004" s="185"/>
    </row>
    <row r="32005">
      <c r="D32005" s="185"/>
      <c r="E32005" s="185" t="s">
        <v>470</v>
      </c>
      <c r="H32005" s="185"/>
    </row>
    <row r="32006">
      <c r="D32006" s="185"/>
      <c r="E32006" s="185" t="s">
        <v>470</v>
      </c>
      <c r="H32006" s="185"/>
    </row>
    <row r="32007">
      <c r="D32007" s="185"/>
      <c r="E32007" s="185" t="s">
        <v>470</v>
      </c>
      <c r="H32007" s="185"/>
    </row>
    <row r="32008">
      <c r="D32008" s="185"/>
      <c r="E32008" s="185" t="s">
        <v>470</v>
      </c>
      <c r="H32008" s="185"/>
    </row>
    <row r="32009">
      <c r="D32009" s="185"/>
      <c r="E32009" s="185" t="s">
        <v>470</v>
      </c>
      <c r="H32009" s="185"/>
    </row>
    <row r="32010">
      <c r="D32010" s="185"/>
      <c r="E32010" s="185" t="s">
        <v>470</v>
      </c>
      <c r="H32010" s="185"/>
    </row>
    <row r="32011">
      <c r="D32011" s="185"/>
      <c r="E32011" s="185" t="s">
        <v>470</v>
      </c>
      <c r="H32011" s="185"/>
    </row>
    <row r="32012">
      <c r="D32012" s="185"/>
      <c r="E32012" s="185" t="s">
        <v>470</v>
      </c>
      <c r="H32012" s="185"/>
    </row>
    <row r="32013">
      <c r="D32013" s="185"/>
      <c r="E32013" s="185" t="s">
        <v>470</v>
      </c>
      <c r="H32013" s="185"/>
    </row>
    <row r="32014">
      <c r="D32014" s="185"/>
      <c r="E32014" s="185" t="s">
        <v>470</v>
      </c>
      <c r="H32014" s="185"/>
    </row>
    <row r="32015">
      <c r="D32015" s="185"/>
      <c r="E32015" s="185" t="s">
        <v>470</v>
      </c>
      <c r="H32015" s="185"/>
    </row>
    <row r="32016">
      <c r="D32016" s="185"/>
      <c r="E32016" s="185" t="s">
        <v>470</v>
      </c>
      <c r="H32016" s="185"/>
    </row>
    <row r="32017">
      <c r="D32017" s="185"/>
      <c r="E32017" s="185" t="s">
        <v>470</v>
      </c>
      <c r="H32017" s="185"/>
    </row>
    <row r="32018">
      <c r="D32018" s="185"/>
      <c r="E32018" s="185" t="s">
        <v>470</v>
      </c>
      <c r="H32018" s="185"/>
    </row>
    <row r="32019">
      <c r="D32019" s="185"/>
      <c r="E32019" s="185" t="s">
        <v>470</v>
      </c>
      <c r="H32019" s="185"/>
    </row>
    <row r="32020">
      <c r="D32020" s="185"/>
      <c r="E32020" s="185" t="s">
        <v>470</v>
      </c>
      <c r="H32020" s="185"/>
    </row>
    <row r="32021">
      <c r="D32021" s="185"/>
      <c r="E32021" s="185" t="s">
        <v>470</v>
      </c>
      <c r="H32021" s="185"/>
    </row>
    <row r="32022">
      <c r="D32022" s="185"/>
      <c r="E32022" s="185" t="s">
        <v>470</v>
      </c>
      <c r="H32022" s="185"/>
    </row>
    <row r="32023">
      <c r="D32023" s="185"/>
      <c r="E32023" s="185" t="s">
        <v>470</v>
      </c>
      <c r="H32023" s="185"/>
    </row>
    <row r="32024">
      <c r="D32024" s="185"/>
      <c r="E32024" s="185" t="s">
        <v>470</v>
      </c>
      <c r="H32024" s="185"/>
    </row>
    <row r="32025">
      <c r="D32025" s="185"/>
      <c r="E32025" s="185" t="s">
        <v>470</v>
      </c>
      <c r="H32025" s="185"/>
    </row>
    <row r="32026">
      <c r="D32026" s="185"/>
      <c r="E32026" s="185" t="s">
        <v>470</v>
      </c>
      <c r="H32026" s="185"/>
    </row>
    <row r="32027">
      <c r="D32027" s="185"/>
      <c r="E32027" s="185" t="s">
        <v>470</v>
      </c>
      <c r="H32027" s="185"/>
    </row>
    <row r="32028">
      <c r="D32028" s="185"/>
      <c r="E32028" s="185" t="s">
        <v>470</v>
      </c>
      <c r="H32028" s="185"/>
    </row>
    <row r="32029">
      <c r="D32029" s="185"/>
      <c r="E32029" s="185" t="s">
        <v>470</v>
      </c>
      <c r="H32029" s="185"/>
    </row>
    <row r="32030">
      <c r="D32030" s="185"/>
      <c r="E32030" s="185" t="s">
        <v>470</v>
      </c>
      <c r="H32030" s="185"/>
    </row>
    <row r="32031">
      <c r="D32031" s="185"/>
      <c r="E32031" s="185" t="s">
        <v>470</v>
      </c>
      <c r="H32031" s="185"/>
    </row>
    <row r="32032">
      <c r="D32032" s="185"/>
      <c r="E32032" s="185" t="s">
        <v>470</v>
      </c>
      <c r="H32032" s="185"/>
    </row>
    <row r="32033">
      <c r="D32033" s="185"/>
      <c r="E32033" s="185" t="s">
        <v>470</v>
      </c>
      <c r="H32033" s="185"/>
    </row>
    <row r="32034">
      <c r="D32034" s="185"/>
      <c r="E32034" s="185" t="s">
        <v>470</v>
      </c>
      <c r="H32034" s="185"/>
    </row>
    <row r="32035">
      <c r="D32035" s="185"/>
      <c r="E32035" s="185" t="s">
        <v>470</v>
      </c>
      <c r="H32035" s="185"/>
    </row>
    <row r="32036">
      <c r="D32036" s="185"/>
      <c r="E32036" s="185" t="s">
        <v>470</v>
      </c>
      <c r="H32036" s="185"/>
    </row>
    <row r="32037">
      <c r="D32037" s="185"/>
      <c r="E32037" s="185" t="s">
        <v>470</v>
      </c>
      <c r="H32037" s="185"/>
    </row>
    <row r="32038">
      <c r="D32038" s="185"/>
      <c r="E32038" s="185" t="s">
        <v>470</v>
      </c>
      <c r="H32038" s="185"/>
    </row>
    <row r="32039">
      <c r="D32039" s="185"/>
      <c r="E32039" s="185" t="s">
        <v>470</v>
      </c>
      <c r="H32039" s="185"/>
    </row>
    <row r="32040">
      <c r="D32040" s="185"/>
      <c r="E32040" s="185" t="s">
        <v>470</v>
      </c>
      <c r="H32040" s="185"/>
    </row>
    <row r="32041">
      <c r="D32041" s="185"/>
      <c r="E32041" s="185" t="s">
        <v>470</v>
      </c>
      <c r="H32041" s="185"/>
    </row>
    <row r="32042">
      <c r="D32042" s="185"/>
      <c r="E32042" s="185" t="s">
        <v>470</v>
      </c>
      <c r="H32042" s="185"/>
    </row>
    <row r="32043">
      <c r="D32043" s="185"/>
      <c r="E32043" s="185" t="s">
        <v>470</v>
      </c>
      <c r="H32043" s="185"/>
    </row>
    <row r="32044">
      <c r="D32044" s="185"/>
      <c r="E32044" s="185" t="s">
        <v>470</v>
      </c>
      <c r="H32044" s="185"/>
    </row>
    <row r="32045">
      <c r="D32045" s="185"/>
      <c r="E32045" s="185" t="s">
        <v>470</v>
      </c>
      <c r="H32045" s="185"/>
    </row>
    <row r="32046">
      <c r="D32046" s="185"/>
      <c r="E32046" s="185" t="s">
        <v>470</v>
      </c>
      <c r="H32046" s="185"/>
    </row>
    <row r="32047">
      <c r="D32047" s="185"/>
      <c r="E32047" s="185" t="s">
        <v>470</v>
      </c>
      <c r="H32047" s="185"/>
    </row>
    <row r="32048">
      <c r="D32048" s="185"/>
      <c r="E32048" s="185" t="s">
        <v>470</v>
      </c>
      <c r="H32048" s="185"/>
    </row>
    <row r="32049">
      <c r="D32049" s="185"/>
      <c r="E32049" s="185" t="s">
        <v>470</v>
      </c>
      <c r="H32049" s="185"/>
    </row>
    <row r="32050">
      <c r="D32050" s="185"/>
      <c r="E32050" s="185" t="s">
        <v>470</v>
      </c>
      <c r="H32050" s="185"/>
    </row>
    <row r="32051">
      <c r="D32051" s="185"/>
      <c r="E32051" s="185" t="s">
        <v>470</v>
      </c>
      <c r="H32051" s="185"/>
    </row>
    <row r="32052">
      <c r="D32052" s="185"/>
      <c r="E32052" s="185" t="s">
        <v>470</v>
      </c>
      <c r="H32052" s="185"/>
    </row>
    <row r="32053">
      <c r="D32053" s="185"/>
      <c r="E32053" s="185" t="s">
        <v>470</v>
      </c>
      <c r="H32053" s="185"/>
    </row>
    <row r="32054">
      <c r="D32054" s="185"/>
      <c r="E32054" s="185" t="s">
        <v>470</v>
      </c>
      <c r="H32054" s="185"/>
    </row>
    <row r="32055">
      <c r="D32055" s="185"/>
      <c r="E32055" s="185" t="s">
        <v>470</v>
      </c>
      <c r="H32055" s="185"/>
    </row>
    <row r="32056">
      <c r="D32056" s="185"/>
      <c r="E32056" s="185" t="s">
        <v>470</v>
      </c>
      <c r="H32056" s="185"/>
    </row>
    <row r="32057">
      <c r="D32057" s="185"/>
      <c r="E32057" s="185" t="s">
        <v>470</v>
      </c>
      <c r="H32057" s="185"/>
    </row>
    <row r="32058">
      <c r="D32058" s="185"/>
      <c r="E32058" s="185" t="s">
        <v>470</v>
      </c>
      <c r="H32058" s="185"/>
    </row>
    <row r="32059">
      <c r="D32059" s="185"/>
      <c r="E32059" s="185" t="s">
        <v>470</v>
      </c>
      <c r="H32059" s="185"/>
    </row>
    <row r="32060">
      <c r="D32060" s="185"/>
      <c r="E32060" s="185" t="s">
        <v>470</v>
      </c>
      <c r="H32060" s="185"/>
    </row>
    <row r="32061">
      <c r="D32061" s="185"/>
      <c r="E32061" s="185" t="s">
        <v>470</v>
      </c>
      <c r="H32061" s="185"/>
    </row>
    <row r="32062">
      <c r="D32062" s="185"/>
      <c r="E32062" s="185" t="s">
        <v>470</v>
      </c>
      <c r="H32062" s="185"/>
    </row>
    <row r="32063">
      <c r="D32063" s="185"/>
      <c r="E32063" s="185" t="s">
        <v>470</v>
      </c>
      <c r="H32063" s="185"/>
    </row>
    <row r="32064">
      <c r="D32064" s="185"/>
      <c r="E32064" s="185" t="s">
        <v>470</v>
      </c>
      <c r="H32064" s="185"/>
    </row>
    <row r="32065">
      <c r="D32065" s="185"/>
      <c r="E32065" s="185" t="s">
        <v>470</v>
      </c>
      <c r="H32065" s="185"/>
    </row>
    <row r="32066">
      <c r="D32066" s="185"/>
      <c r="E32066" s="185" t="s">
        <v>470</v>
      </c>
      <c r="H32066" s="185"/>
    </row>
    <row r="32067">
      <c r="D32067" s="185"/>
      <c r="E32067" s="185" t="s">
        <v>470</v>
      </c>
      <c r="H32067" s="185"/>
    </row>
    <row r="32068">
      <c r="D32068" s="185"/>
      <c r="E32068" s="185" t="s">
        <v>470</v>
      </c>
      <c r="H32068" s="185"/>
    </row>
    <row r="32069">
      <c r="D32069" s="185"/>
      <c r="E32069" s="185" t="s">
        <v>470</v>
      </c>
      <c r="H32069" s="185"/>
    </row>
    <row r="32070">
      <c r="D32070" s="185"/>
      <c r="E32070" s="185" t="s">
        <v>470</v>
      </c>
      <c r="H32070" s="185"/>
    </row>
    <row r="32071">
      <c r="D32071" s="185"/>
      <c r="E32071" s="185" t="s">
        <v>470</v>
      </c>
      <c r="H32071" s="185"/>
    </row>
    <row r="32072">
      <c r="D32072" s="185"/>
      <c r="E32072" s="185" t="s">
        <v>470</v>
      </c>
      <c r="H32072" s="185"/>
    </row>
    <row r="32073">
      <c r="D32073" s="185"/>
      <c r="E32073" s="185" t="s">
        <v>470</v>
      </c>
      <c r="H32073" s="185"/>
    </row>
    <row r="32074">
      <c r="D32074" s="185"/>
      <c r="E32074" s="185" t="s">
        <v>470</v>
      </c>
      <c r="H32074" s="185"/>
    </row>
    <row r="32075">
      <c r="D32075" s="185"/>
      <c r="E32075" s="185" t="s">
        <v>470</v>
      </c>
      <c r="H32075" s="185"/>
    </row>
    <row r="32076">
      <c r="D32076" s="185"/>
      <c r="E32076" s="185" t="s">
        <v>470</v>
      </c>
      <c r="H32076" s="185"/>
    </row>
    <row r="32077">
      <c r="D32077" s="185"/>
      <c r="E32077" s="185" t="s">
        <v>470</v>
      </c>
      <c r="H32077" s="185"/>
    </row>
    <row r="32078">
      <c r="D32078" s="185"/>
      <c r="E32078" s="185" t="s">
        <v>470</v>
      </c>
      <c r="H32078" s="185"/>
    </row>
    <row r="32079">
      <c r="D32079" s="185"/>
      <c r="E32079" s="185" t="s">
        <v>470</v>
      </c>
      <c r="H32079" s="185"/>
    </row>
    <row r="32080">
      <c r="D32080" s="185"/>
      <c r="E32080" s="185" t="s">
        <v>470</v>
      </c>
      <c r="H32080" s="185"/>
    </row>
    <row r="32081">
      <c r="D32081" s="185"/>
      <c r="E32081" s="185" t="s">
        <v>470</v>
      </c>
      <c r="H32081" s="185"/>
    </row>
    <row r="32082">
      <c r="D32082" s="185"/>
      <c r="E32082" s="185" t="s">
        <v>470</v>
      </c>
      <c r="H32082" s="185"/>
    </row>
    <row r="32083">
      <c r="D32083" s="185"/>
      <c r="E32083" s="185" t="s">
        <v>470</v>
      </c>
      <c r="H32083" s="185"/>
    </row>
    <row r="32084">
      <c r="D32084" s="185"/>
      <c r="E32084" s="185" t="s">
        <v>470</v>
      </c>
      <c r="H32084" s="185"/>
    </row>
    <row r="32085">
      <c r="D32085" s="185"/>
      <c r="E32085" s="185" t="s">
        <v>470</v>
      </c>
      <c r="H32085" s="185"/>
    </row>
    <row r="32086">
      <c r="D32086" s="185"/>
      <c r="E32086" s="185" t="s">
        <v>470</v>
      </c>
      <c r="H32086" s="185"/>
    </row>
    <row r="32087">
      <c r="D32087" s="185"/>
      <c r="E32087" s="185" t="s">
        <v>470</v>
      </c>
      <c r="H32087" s="185"/>
    </row>
    <row r="32088">
      <c r="D32088" s="185"/>
      <c r="E32088" s="185" t="s">
        <v>470</v>
      </c>
      <c r="H32088" s="185"/>
    </row>
    <row r="32089">
      <c r="D32089" s="185"/>
      <c r="E32089" s="185" t="s">
        <v>470</v>
      </c>
      <c r="H32089" s="185"/>
    </row>
    <row r="32090">
      <c r="D32090" s="185"/>
      <c r="E32090" s="185" t="s">
        <v>470</v>
      </c>
      <c r="H32090" s="185"/>
    </row>
    <row r="32091">
      <c r="D32091" s="185"/>
      <c r="E32091" s="185" t="s">
        <v>470</v>
      </c>
      <c r="H32091" s="185"/>
    </row>
    <row r="32092">
      <c r="D32092" s="185"/>
      <c r="E32092" s="185" t="s">
        <v>470</v>
      </c>
      <c r="H32092" s="185"/>
    </row>
    <row r="32093">
      <c r="D32093" s="185"/>
      <c r="E32093" s="185" t="s">
        <v>470</v>
      </c>
      <c r="H32093" s="185"/>
    </row>
    <row r="32094">
      <c r="D32094" s="185"/>
      <c r="E32094" s="185" t="s">
        <v>470</v>
      </c>
      <c r="H32094" s="185"/>
    </row>
    <row r="32095">
      <c r="D32095" s="185"/>
      <c r="E32095" s="185" t="s">
        <v>470</v>
      </c>
      <c r="H32095" s="185"/>
    </row>
    <row r="32096">
      <c r="D32096" s="185"/>
      <c r="E32096" s="185" t="s">
        <v>470</v>
      </c>
      <c r="H32096" s="185"/>
    </row>
    <row r="32097">
      <c r="D32097" s="185"/>
      <c r="E32097" s="185" t="s">
        <v>470</v>
      </c>
      <c r="H32097" s="185"/>
    </row>
    <row r="32098">
      <c r="D32098" s="185"/>
      <c r="E32098" s="185" t="s">
        <v>470</v>
      </c>
      <c r="H32098" s="185"/>
    </row>
    <row r="32099">
      <c r="D32099" s="185"/>
      <c r="E32099" s="185" t="s">
        <v>470</v>
      </c>
      <c r="H32099" s="185"/>
    </row>
    <row r="32100">
      <c r="D32100" s="185"/>
      <c r="E32100" s="185" t="s">
        <v>470</v>
      </c>
      <c r="H32100" s="185"/>
    </row>
    <row r="32101">
      <c r="D32101" s="185"/>
      <c r="E32101" s="185" t="s">
        <v>470</v>
      </c>
      <c r="H32101" s="185"/>
    </row>
    <row r="32102">
      <c r="D32102" s="185"/>
      <c r="E32102" s="185" t="s">
        <v>470</v>
      </c>
      <c r="H32102" s="185"/>
    </row>
    <row r="32103">
      <c r="D32103" s="185"/>
      <c r="E32103" s="185" t="s">
        <v>470</v>
      </c>
      <c r="H32103" s="185"/>
    </row>
    <row r="32104">
      <c r="D32104" s="185"/>
      <c r="E32104" s="185" t="s">
        <v>470</v>
      </c>
      <c r="H32104" s="185"/>
    </row>
    <row r="32105">
      <c r="D32105" s="185"/>
      <c r="E32105" s="185" t="s">
        <v>470</v>
      </c>
      <c r="H32105" s="185"/>
    </row>
    <row r="32106">
      <c r="D32106" s="185"/>
      <c r="E32106" s="185" t="s">
        <v>470</v>
      </c>
      <c r="H32106" s="185"/>
    </row>
    <row r="32107">
      <c r="D32107" s="185"/>
      <c r="E32107" s="185" t="s">
        <v>470</v>
      </c>
      <c r="H32107" s="185"/>
    </row>
    <row r="32108">
      <c r="D32108" s="185"/>
      <c r="E32108" s="185" t="s">
        <v>470</v>
      </c>
      <c r="H32108" s="185"/>
    </row>
    <row r="32109">
      <c r="D32109" s="185"/>
      <c r="E32109" s="185" t="s">
        <v>470</v>
      </c>
      <c r="H32109" s="185"/>
    </row>
    <row r="32110">
      <c r="D32110" s="185"/>
      <c r="E32110" s="185" t="s">
        <v>470</v>
      </c>
      <c r="H32110" s="185"/>
    </row>
    <row r="32111">
      <c r="D32111" s="185"/>
      <c r="E32111" s="185" t="s">
        <v>470</v>
      </c>
      <c r="H32111" s="185"/>
    </row>
    <row r="32112">
      <c r="D32112" s="185"/>
      <c r="E32112" s="185" t="s">
        <v>470</v>
      </c>
      <c r="H32112" s="185"/>
    </row>
    <row r="32113">
      <c r="D32113" s="185"/>
      <c r="E32113" s="185" t="s">
        <v>470</v>
      </c>
      <c r="H32113" s="185"/>
    </row>
    <row r="32114">
      <c r="D32114" s="185"/>
      <c r="E32114" s="185" t="s">
        <v>470</v>
      </c>
      <c r="H32114" s="185"/>
    </row>
    <row r="32115">
      <c r="D32115" s="185"/>
      <c r="E32115" s="185" t="s">
        <v>470</v>
      </c>
      <c r="H32115" s="185"/>
    </row>
    <row r="32116">
      <c r="D32116" s="185"/>
      <c r="E32116" s="185" t="s">
        <v>470</v>
      </c>
      <c r="H32116" s="185"/>
    </row>
    <row r="32117">
      <c r="D32117" s="185"/>
      <c r="E32117" s="185" t="s">
        <v>470</v>
      </c>
      <c r="H32117" s="185"/>
    </row>
    <row r="32118">
      <c r="D32118" s="185"/>
      <c r="E32118" s="185" t="s">
        <v>470</v>
      </c>
      <c r="H32118" s="185"/>
    </row>
    <row r="32119">
      <c r="D32119" s="185"/>
      <c r="E32119" s="185" t="s">
        <v>470</v>
      </c>
      <c r="H32119" s="185"/>
    </row>
    <row r="32120">
      <c r="D32120" s="185"/>
      <c r="E32120" s="185" t="s">
        <v>470</v>
      </c>
      <c r="H32120" s="185"/>
    </row>
    <row r="32121">
      <c r="D32121" s="185"/>
      <c r="E32121" s="185" t="s">
        <v>470</v>
      </c>
      <c r="H32121" s="185"/>
    </row>
    <row r="32122">
      <c r="D32122" s="185"/>
      <c r="E32122" s="185" t="s">
        <v>470</v>
      </c>
      <c r="H32122" s="185"/>
    </row>
    <row r="32123">
      <c r="D32123" s="185"/>
      <c r="E32123" s="185" t="s">
        <v>470</v>
      </c>
      <c r="H32123" s="185"/>
    </row>
    <row r="32124">
      <c r="D32124" s="185"/>
      <c r="E32124" s="185" t="s">
        <v>470</v>
      </c>
      <c r="H32124" s="185"/>
    </row>
    <row r="32125">
      <c r="D32125" s="185"/>
      <c r="E32125" s="185" t="s">
        <v>470</v>
      </c>
      <c r="H32125" s="185"/>
    </row>
    <row r="32126">
      <c r="D32126" s="185"/>
      <c r="E32126" s="185" t="s">
        <v>470</v>
      </c>
      <c r="H32126" s="185"/>
    </row>
    <row r="32127">
      <c r="D32127" s="185"/>
      <c r="E32127" s="185" t="s">
        <v>470</v>
      </c>
      <c r="H32127" s="185"/>
    </row>
    <row r="32128">
      <c r="D32128" s="185"/>
      <c r="E32128" s="185" t="s">
        <v>470</v>
      </c>
      <c r="H32128" s="185"/>
    </row>
    <row r="32129">
      <c r="D32129" s="185"/>
      <c r="E32129" s="185" t="s">
        <v>470</v>
      </c>
      <c r="H32129" s="185"/>
    </row>
    <row r="32130">
      <c r="D32130" s="185"/>
      <c r="E32130" s="185" t="s">
        <v>470</v>
      </c>
      <c r="H32130" s="185"/>
    </row>
    <row r="32131">
      <c r="D32131" s="185"/>
      <c r="E32131" s="185" t="s">
        <v>470</v>
      </c>
      <c r="H32131" s="185"/>
    </row>
    <row r="32132">
      <c r="D32132" s="185"/>
      <c r="E32132" s="185" t="s">
        <v>470</v>
      </c>
      <c r="H32132" s="185"/>
    </row>
    <row r="32133">
      <c r="D32133" s="185"/>
      <c r="E32133" s="185" t="s">
        <v>470</v>
      </c>
      <c r="H32133" s="185"/>
    </row>
    <row r="32134">
      <c r="D32134" s="185"/>
      <c r="E32134" s="185" t="s">
        <v>470</v>
      </c>
      <c r="H32134" s="185"/>
    </row>
    <row r="32135">
      <c r="D32135" s="185"/>
      <c r="E32135" s="185" t="s">
        <v>470</v>
      </c>
      <c r="H32135" s="185"/>
    </row>
    <row r="32136">
      <c r="D32136" s="185"/>
      <c r="E32136" s="185" t="s">
        <v>470</v>
      </c>
      <c r="H32136" s="185"/>
    </row>
    <row r="32137">
      <c r="D32137" s="185"/>
      <c r="E32137" s="185" t="s">
        <v>470</v>
      </c>
      <c r="H32137" s="185"/>
    </row>
    <row r="32138">
      <c r="D32138" s="185"/>
      <c r="E32138" s="185" t="s">
        <v>470</v>
      </c>
      <c r="H32138" s="185"/>
    </row>
    <row r="32139">
      <c r="D32139" s="185"/>
      <c r="E32139" s="185" t="s">
        <v>470</v>
      </c>
      <c r="H32139" s="185"/>
    </row>
    <row r="32140">
      <c r="D32140" s="185"/>
      <c r="E32140" s="185" t="s">
        <v>470</v>
      </c>
      <c r="H32140" s="185"/>
    </row>
    <row r="32141">
      <c r="D32141" s="185"/>
      <c r="E32141" s="185" t="s">
        <v>470</v>
      </c>
      <c r="H32141" s="185"/>
    </row>
    <row r="32142">
      <c r="D32142" s="185"/>
      <c r="E32142" s="185" t="s">
        <v>470</v>
      </c>
      <c r="H32142" s="185"/>
    </row>
    <row r="32143">
      <c r="D32143" s="185"/>
      <c r="E32143" s="185" t="s">
        <v>470</v>
      </c>
      <c r="H32143" s="185"/>
    </row>
    <row r="32144">
      <c r="D32144" s="185"/>
      <c r="E32144" s="185" t="s">
        <v>470</v>
      </c>
      <c r="H32144" s="185"/>
    </row>
    <row r="32145">
      <c r="D32145" s="185"/>
      <c r="E32145" s="185" t="s">
        <v>470</v>
      </c>
      <c r="H32145" s="185"/>
    </row>
    <row r="32146">
      <c r="D32146" s="185"/>
      <c r="E32146" s="185" t="s">
        <v>470</v>
      </c>
      <c r="H32146" s="185"/>
    </row>
    <row r="32147">
      <c r="D32147" s="185"/>
      <c r="E32147" s="185" t="s">
        <v>470</v>
      </c>
      <c r="H32147" s="185"/>
    </row>
    <row r="32148">
      <c r="D32148" s="185"/>
      <c r="E32148" s="185" t="s">
        <v>470</v>
      </c>
      <c r="H32148" s="185"/>
    </row>
    <row r="32149">
      <c r="D32149" s="185"/>
      <c r="E32149" s="185" t="s">
        <v>470</v>
      </c>
      <c r="H32149" s="185"/>
    </row>
    <row r="32150">
      <c r="D32150" s="185"/>
      <c r="E32150" s="185" t="s">
        <v>470</v>
      </c>
      <c r="H32150" s="185"/>
    </row>
    <row r="32151">
      <c r="D32151" s="185"/>
      <c r="E32151" s="185" t="s">
        <v>470</v>
      </c>
      <c r="H32151" s="185"/>
    </row>
    <row r="32152">
      <c r="D32152" s="185"/>
      <c r="E32152" s="185" t="s">
        <v>470</v>
      </c>
      <c r="H32152" s="185"/>
    </row>
    <row r="32153">
      <c r="D32153" s="185"/>
      <c r="E32153" s="185" t="s">
        <v>470</v>
      </c>
      <c r="H32153" s="185"/>
    </row>
    <row r="32154">
      <c r="D32154" s="185"/>
      <c r="E32154" s="185" t="s">
        <v>470</v>
      </c>
      <c r="H32154" s="185"/>
    </row>
    <row r="32155">
      <c r="D32155" s="185"/>
      <c r="E32155" s="185" t="s">
        <v>470</v>
      </c>
      <c r="H32155" s="185"/>
    </row>
    <row r="32156">
      <c r="D32156" s="185"/>
      <c r="E32156" s="185" t="s">
        <v>470</v>
      </c>
      <c r="H32156" s="185"/>
    </row>
    <row r="32157">
      <c r="D32157" s="185"/>
      <c r="E32157" s="185" t="s">
        <v>470</v>
      </c>
      <c r="H32157" s="185"/>
    </row>
    <row r="32158">
      <c r="D32158" s="185"/>
      <c r="E32158" s="185" t="s">
        <v>470</v>
      </c>
      <c r="H32158" s="185"/>
    </row>
    <row r="32159">
      <c r="D32159" s="185"/>
      <c r="E32159" s="185" t="s">
        <v>470</v>
      </c>
      <c r="H32159" s="185"/>
    </row>
    <row r="32160">
      <c r="D32160" s="185"/>
      <c r="E32160" s="185" t="s">
        <v>470</v>
      </c>
      <c r="H32160" s="185"/>
    </row>
    <row r="32161">
      <c r="D32161" s="185"/>
      <c r="E32161" s="185" t="s">
        <v>470</v>
      </c>
      <c r="H32161" s="185"/>
    </row>
    <row r="32162">
      <c r="D32162" s="185"/>
      <c r="E32162" s="185" t="s">
        <v>470</v>
      </c>
      <c r="H32162" s="185"/>
    </row>
    <row r="32163">
      <c r="D32163" s="185"/>
      <c r="E32163" s="185" t="s">
        <v>470</v>
      </c>
      <c r="H32163" s="185"/>
    </row>
    <row r="32164">
      <c r="D32164" s="185"/>
      <c r="E32164" s="185" t="s">
        <v>470</v>
      </c>
      <c r="H32164" s="185"/>
    </row>
    <row r="32165">
      <c r="D32165" s="185"/>
      <c r="E32165" s="185" t="s">
        <v>470</v>
      </c>
      <c r="H32165" s="185"/>
    </row>
    <row r="32166">
      <c r="D32166" s="185"/>
      <c r="E32166" s="185" t="s">
        <v>470</v>
      </c>
      <c r="H32166" s="185"/>
    </row>
    <row r="32167">
      <c r="D32167" s="185"/>
      <c r="E32167" s="185" t="s">
        <v>470</v>
      </c>
      <c r="H32167" s="185"/>
    </row>
    <row r="32168">
      <c r="D32168" s="185"/>
      <c r="E32168" s="185" t="s">
        <v>470</v>
      </c>
      <c r="H32168" s="185"/>
    </row>
    <row r="32169">
      <c r="D32169" s="185"/>
      <c r="E32169" s="185" t="s">
        <v>470</v>
      </c>
      <c r="H32169" s="185"/>
    </row>
    <row r="32170">
      <c r="D32170" s="185"/>
      <c r="E32170" s="185" t="s">
        <v>470</v>
      </c>
      <c r="H32170" s="185"/>
    </row>
    <row r="32171">
      <c r="D32171" s="185"/>
      <c r="E32171" s="185" t="s">
        <v>470</v>
      </c>
      <c r="H32171" s="185"/>
    </row>
    <row r="32172">
      <c r="D32172" s="185"/>
      <c r="E32172" s="185" t="s">
        <v>470</v>
      </c>
      <c r="H32172" s="185"/>
    </row>
    <row r="32173">
      <c r="D32173" s="185"/>
      <c r="E32173" s="185" t="s">
        <v>470</v>
      </c>
      <c r="H32173" s="185"/>
    </row>
    <row r="32174">
      <c r="D32174" s="185"/>
      <c r="E32174" s="185" t="s">
        <v>470</v>
      </c>
      <c r="H32174" s="185"/>
    </row>
    <row r="32175">
      <c r="D32175" s="185"/>
      <c r="E32175" s="185" t="s">
        <v>470</v>
      </c>
      <c r="H32175" s="185"/>
    </row>
    <row r="32176">
      <c r="D32176" s="185"/>
      <c r="E32176" s="185" t="s">
        <v>470</v>
      </c>
      <c r="H32176" s="185"/>
    </row>
    <row r="32177">
      <c r="D32177" s="185"/>
      <c r="E32177" s="185" t="s">
        <v>470</v>
      </c>
      <c r="H32177" s="185"/>
    </row>
    <row r="32178">
      <c r="D32178" s="185"/>
      <c r="E32178" s="185" t="s">
        <v>470</v>
      </c>
      <c r="H32178" s="185"/>
    </row>
    <row r="32179">
      <c r="D32179" s="185"/>
      <c r="E32179" s="185" t="s">
        <v>470</v>
      </c>
      <c r="H32179" s="185"/>
    </row>
    <row r="32180">
      <c r="D32180" s="185"/>
      <c r="E32180" s="185" t="s">
        <v>470</v>
      </c>
      <c r="H32180" s="185"/>
    </row>
    <row r="32181">
      <c r="D32181" s="185"/>
      <c r="E32181" s="185" t="s">
        <v>470</v>
      </c>
      <c r="H32181" s="185"/>
    </row>
    <row r="32182">
      <c r="D32182" s="185"/>
      <c r="E32182" s="185" t="s">
        <v>470</v>
      </c>
      <c r="H32182" s="185"/>
    </row>
    <row r="32183">
      <c r="D32183" s="185"/>
      <c r="E32183" s="185" t="s">
        <v>470</v>
      </c>
      <c r="H32183" s="185"/>
    </row>
    <row r="32184">
      <c r="D32184" s="185"/>
      <c r="E32184" s="185" t="s">
        <v>470</v>
      </c>
      <c r="H32184" s="185"/>
    </row>
    <row r="32185">
      <c r="D32185" s="185"/>
      <c r="E32185" s="185" t="s">
        <v>470</v>
      </c>
      <c r="H32185" s="185"/>
    </row>
    <row r="32186">
      <c r="D32186" s="185"/>
      <c r="E32186" s="185" t="s">
        <v>470</v>
      </c>
      <c r="H32186" s="185"/>
    </row>
    <row r="32187">
      <c r="D32187" s="185"/>
      <c r="E32187" s="185" t="s">
        <v>470</v>
      </c>
      <c r="H32187" s="185"/>
    </row>
    <row r="32188">
      <c r="D32188" s="185"/>
      <c r="E32188" s="185" t="s">
        <v>470</v>
      </c>
      <c r="H32188" s="185"/>
    </row>
    <row r="32189">
      <c r="D32189" s="185"/>
      <c r="E32189" s="185" t="s">
        <v>470</v>
      </c>
      <c r="H32189" s="185"/>
    </row>
    <row r="32190">
      <c r="D32190" s="185"/>
      <c r="E32190" s="185" t="s">
        <v>470</v>
      </c>
      <c r="H32190" s="185"/>
    </row>
    <row r="32191">
      <c r="D32191" s="185"/>
      <c r="E32191" s="185" t="s">
        <v>470</v>
      </c>
      <c r="H32191" s="185"/>
    </row>
    <row r="32192">
      <c r="D32192" s="185"/>
      <c r="E32192" s="185" t="s">
        <v>470</v>
      </c>
      <c r="H32192" s="185"/>
    </row>
    <row r="32193">
      <c r="D32193" s="185"/>
      <c r="E32193" s="185" t="s">
        <v>470</v>
      </c>
      <c r="H32193" s="185"/>
    </row>
    <row r="32194">
      <c r="D32194" s="185"/>
      <c r="E32194" s="185" t="s">
        <v>470</v>
      </c>
      <c r="H32194" s="185"/>
    </row>
    <row r="32195">
      <c r="D32195" s="185"/>
      <c r="E32195" s="185" t="s">
        <v>470</v>
      </c>
      <c r="H32195" s="185"/>
    </row>
    <row r="32196">
      <c r="D32196" s="185"/>
      <c r="E32196" s="185" t="s">
        <v>470</v>
      </c>
      <c r="H32196" s="185"/>
    </row>
    <row r="32197">
      <c r="D32197" s="185"/>
      <c r="E32197" s="185" t="s">
        <v>470</v>
      </c>
      <c r="H32197" s="185"/>
    </row>
    <row r="32198">
      <c r="D32198" s="185"/>
      <c r="E32198" s="185" t="s">
        <v>470</v>
      </c>
      <c r="H32198" s="185"/>
    </row>
    <row r="32199">
      <c r="D32199" s="185"/>
      <c r="E32199" s="185" t="s">
        <v>470</v>
      </c>
      <c r="H32199" s="185"/>
    </row>
    <row r="32200">
      <c r="D32200" s="185"/>
      <c r="E32200" s="185" t="s">
        <v>470</v>
      </c>
      <c r="H32200" s="185"/>
    </row>
    <row r="32201">
      <c r="D32201" s="185"/>
      <c r="E32201" s="185" t="s">
        <v>470</v>
      </c>
      <c r="H32201" s="185"/>
    </row>
    <row r="32202">
      <c r="D32202" s="185"/>
      <c r="E32202" s="185" t="s">
        <v>470</v>
      </c>
      <c r="H32202" s="185"/>
    </row>
    <row r="32203">
      <c r="D32203" s="185"/>
      <c r="E32203" s="185" t="s">
        <v>470</v>
      </c>
      <c r="H32203" s="185"/>
    </row>
    <row r="32204">
      <c r="D32204" s="185"/>
      <c r="E32204" s="185" t="s">
        <v>470</v>
      </c>
      <c r="H32204" s="185"/>
    </row>
    <row r="32205">
      <c r="D32205" s="185"/>
      <c r="E32205" s="185" t="s">
        <v>470</v>
      </c>
      <c r="H32205" s="185"/>
    </row>
    <row r="32206">
      <c r="D32206" s="185"/>
      <c r="E32206" s="185" t="s">
        <v>470</v>
      </c>
      <c r="H32206" s="185"/>
    </row>
    <row r="32207">
      <c r="D32207" s="185"/>
      <c r="E32207" s="185" t="s">
        <v>470</v>
      </c>
      <c r="H32207" s="185"/>
    </row>
    <row r="32208">
      <c r="D32208" s="185"/>
      <c r="E32208" s="185" t="s">
        <v>470</v>
      </c>
      <c r="H32208" s="185"/>
    </row>
    <row r="32209">
      <c r="D32209" s="185"/>
      <c r="E32209" s="185" t="s">
        <v>470</v>
      </c>
      <c r="H32209" s="185"/>
    </row>
    <row r="32210">
      <c r="D32210" s="185"/>
      <c r="E32210" s="185" t="s">
        <v>470</v>
      </c>
      <c r="H32210" s="185"/>
    </row>
    <row r="32211">
      <c r="D32211" s="185"/>
      <c r="E32211" s="185" t="s">
        <v>470</v>
      </c>
      <c r="H32211" s="185"/>
    </row>
    <row r="32212">
      <c r="D32212" s="185"/>
      <c r="E32212" s="185" t="s">
        <v>470</v>
      </c>
      <c r="H32212" s="185"/>
    </row>
    <row r="32213">
      <c r="D32213" s="185"/>
      <c r="E32213" s="185" t="s">
        <v>470</v>
      </c>
      <c r="H32213" s="185"/>
    </row>
    <row r="32214">
      <c r="D32214" s="185"/>
      <c r="E32214" s="185" t="s">
        <v>470</v>
      </c>
      <c r="H32214" s="185"/>
    </row>
    <row r="32215">
      <c r="D32215" s="185"/>
      <c r="E32215" s="185" t="s">
        <v>470</v>
      </c>
      <c r="H32215" s="185"/>
    </row>
    <row r="32216">
      <c r="D32216" s="185"/>
      <c r="E32216" s="185" t="s">
        <v>470</v>
      </c>
      <c r="H32216" s="185"/>
    </row>
    <row r="32217">
      <c r="D32217" s="185"/>
      <c r="E32217" s="185" t="s">
        <v>470</v>
      </c>
      <c r="H32217" s="185"/>
    </row>
    <row r="32218">
      <c r="D32218" s="185"/>
      <c r="E32218" s="185" t="s">
        <v>470</v>
      </c>
      <c r="H32218" s="185"/>
    </row>
    <row r="32219">
      <c r="D32219" s="185"/>
      <c r="E32219" s="185" t="s">
        <v>470</v>
      </c>
      <c r="H32219" s="185"/>
    </row>
    <row r="32220">
      <c r="D32220" s="185"/>
      <c r="E32220" s="185" t="s">
        <v>470</v>
      </c>
      <c r="H32220" s="185"/>
    </row>
    <row r="32221">
      <c r="D32221" s="185"/>
      <c r="E32221" s="185" t="s">
        <v>470</v>
      </c>
      <c r="H32221" s="185"/>
    </row>
    <row r="32222">
      <c r="D32222" s="185"/>
      <c r="E32222" s="185" t="s">
        <v>470</v>
      </c>
      <c r="H32222" s="185"/>
    </row>
    <row r="32223">
      <c r="D32223" s="185"/>
      <c r="E32223" s="185" t="s">
        <v>470</v>
      </c>
      <c r="H32223" s="185"/>
    </row>
    <row r="32224">
      <c r="D32224" s="185"/>
      <c r="E32224" s="185" t="s">
        <v>470</v>
      </c>
      <c r="H32224" s="185"/>
    </row>
    <row r="32225">
      <c r="D32225" s="185"/>
      <c r="E32225" s="185" t="s">
        <v>470</v>
      </c>
      <c r="H32225" s="185"/>
    </row>
    <row r="32226">
      <c r="D32226" s="185"/>
      <c r="E32226" s="185" t="s">
        <v>470</v>
      </c>
      <c r="H32226" s="185"/>
    </row>
    <row r="32227">
      <c r="D32227" s="185"/>
      <c r="E32227" s="185" t="s">
        <v>470</v>
      </c>
      <c r="H32227" s="185"/>
    </row>
    <row r="32228">
      <c r="D32228" s="185"/>
      <c r="E32228" s="185" t="s">
        <v>470</v>
      </c>
      <c r="H32228" s="185"/>
    </row>
    <row r="32229">
      <c r="D32229" s="185"/>
      <c r="E32229" s="185" t="s">
        <v>470</v>
      </c>
      <c r="H32229" s="185"/>
    </row>
    <row r="32230">
      <c r="D32230" s="185"/>
      <c r="E32230" s="185" t="s">
        <v>470</v>
      </c>
      <c r="H32230" s="185"/>
    </row>
    <row r="32231">
      <c r="D32231" s="185"/>
      <c r="E32231" s="185" t="s">
        <v>470</v>
      </c>
      <c r="H32231" s="185"/>
    </row>
    <row r="32232">
      <c r="D32232" s="185"/>
      <c r="E32232" s="185" t="s">
        <v>470</v>
      </c>
      <c r="H32232" s="185"/>
    </row>
    <row r="32233">
      <c r="D32233" s="185"/>
      <c r="E32233" s="185" t="s">
        <v>470</v>
      </c>
      <c r="H32233" s="185"/>
    </row>
    <row r="32234">
      <c r="D32234" s="185"/>
      <c r="E32234" s="185" t="s">
        <v>470</v>
      </c>
      <c r="H32234" s="185"/>
    </row>
    <row r="32235">
      <c r="D32235" s="185"/>
      <c r="E32235" s="185" t="s">
        <v>470</v>
      </c>
      <c r="H32235" s="185"/>
    </row>
    <row r="32236">
      <c r="D32236" s="185"/>
      <c r="E32236" s="185" t="s">
        <v>470</v>
      </c>
      <c r="H32236" s="185"/>
    </row>
    <row r="32237">
      <c r="D32237" s="185"/>
      <c r="E32237" s="185" t="s">
        <v>470</v>
      </c>
      <c r="H32237" s="185"/>
    </row>
    <row r="32238">
      <c r="D32238" s="185"/>
      <c r="E32238" s="185" t="s">
        <v>470</v>
      </c>
      <c r="H32238" s="185"/>
    </row>
    <row r="32239">
      <c r="D32239" s="185"/>
      <c r="E32239" s="185" t="s">
        <v>470</v>
      </c>
      <c r="H32239" s="185"/>
    </row>
    <row r="32240">
      <c r="D32240" s="185"/>
      <c r="E32240" s="185" t="s">
        <v>470</v>
      </c>
      <c r="H32240" s="185"/>
    </row>
    <row r="32241">
      <c r="D32241" s="185"/>
      <c r="E32241" s="185" t="s">
        <v>470</v>
      </c>
      <c r="H32241" s="185"/>
    </row>
    <row r="32242">
      <c r="D32242" s="185"/>
      <c r="E32242" s="185" t="s">
        <v>470</v>
      </c>
      <c r="H32242" s="185"/>
    </row>
    <row r="32243">
      <c r="D32243" s="185"/>
      <c r="E32243" s="185" t="s">
        <v>470</v>
      </c>
      <c r="H32243" s="185"/>
    </row>
    <row r="32244">
      <c r="D32244" s="185"/>
      <c r="E32244" s="185" t="s">
        <v>470</v>
      </c>
      <c r="H32244" s="185"/>
    </row>
    <row r="32245">
      <c r="D32245" s="185"/>
      <c r="E32245" s="185" t="s">
        <v>470</v>
      </c>
      <c r="H32245" s="185"/>
    </row>
    <row r="32246">
      <c r="D32246" s="185"/>
      <c r="E32246" s="185" t="s">
        <v>470</v>
      </c>
      <c r="H32246" s="185"/>
    </row>
    <row r="32247">
      <c r="D32247" s="185"/>
      <c r="E32247" s="185" t="s">
        <v>470</v>
      </c>
      <c r="H32247" s="185"/>
    </row>
    <row r="32248">
      <c r="D32248" s="185"/>
      <c r="E32248" s="185" t="s">
        <v>470</v>
      </c>
      <c r="H32248" s="185"/>
    </row>
    <row r="32249">
      <c r="D32249" s="185"/>
      <c r="E32249" s="185" t="s">
        <v>470</v>
      </c>
      <c r="H32249" s="185"/>
    </row>
    <row r="32250">
      <c r="D32250" s="185"/>
      <c r="E32250" s="185" t="s">
        <v>470</v>
      </c>
      <c r="H32250" s="185"/>
    </row>
    <row r="32251">
      <c r="D32251" s="185"/>
      <c r="E32251" s="185" t="s">
        <v>470</v>
      </c>
      <c r="H32251" s="185"/>
    </row>
    <row r="32252">
      <c r="D32252" s="185"/>
      <c r="E32252" s="185" t="s">
        <v>470</v>
      </c>
      <c r="H32252" s="185"/>
    </row>
    <row r="32253">
      <c r="D32253" s="185"/>
      <c r="E32253" s="185" t="s">
        <v>470</v>
      </c>
      <c r="H32253" s="185"/>
    </row>
    <row r="32254">
      <c r="D32254" s="185"/>
      <c r="E32254" s="185" t="s">
        <v>470</v>
      </c>
      <c r="H32254" s="185"/>
    </row>
    <row r="32255">
      <c r="D32255" s="185"/>
      <c r="E32255" s="185" t="s">
        <v>470</v>
      </c>
      <c r="H32255" s="185"/>
    </row>
    <row r="32256">
      <c r="D32256" s="185"/>
      <c r="E32256" s="185" t="s">
        <v>470</v>
      </c>
      <c r="H32256" s="185"/>
    </row>
    <row r="32257">
      <c r="D32257" s="185"/>
      <c r="E32257" s="185" t="s">
        <v>470</v>
      </c>
      <c r="H32257" s="185"/>
    </row>
    <row r="32258">
      <c r="D32258" s="185"/>
      <c r="E32258" s="185" t="s">
        <v>470</v>
      </c>
      <c r="H32258" s="185"/>
    </row>
    <row r="32259">
      <c r="D32259" s="185"/>
      <c r="E32259" s="185" t="s">
        <v>470</v>
      </c>
      <c r="H32259" s="185"/>
    </row>
    <row r="32260">
      <c r="D32260" s="185"/>
      <c r="E32260" s="185" t="s">
        <v>470</v>
      </c>
      <c r="H32260" s="185"/>
    </row>
    <row r="32261">
      <c r="D32261" s="185"/>
      <c r="E32261" s="185" t="s">
        <v>470</v>
      </c>
      <c r="H32261" s="185"/>
    </row>
    <row r="32262">
      <c r="D32262" s="185"/>
      <c r="E32262" s="185" t="s">
        <v>470</v>
      </c>
      <c r="H32262" s="185"/>
    </row>
    <row r="32263">
      <c r="D32263" s="185"/>
      <c r="E32263" s="185" t="s">
        <v>470</v>
      </c>
      <c r="H32263" s="185"/>
    </row>
    <row r="32264">
      <c r="D32264" s="185"/>
      <c r="E32264" s="185" t="s">
        <v>470</v>
      </c>
      <c r="H32264" s="185"/>
    </row>
    <row r="32265">
      <c r="D32265" s="185"/>
      <c r="E32265" s="185" t="s">
        <v>470</v>
      </c>
      <c r="H32265" s="185"/>
    </row>
    <row r="32266">
      <c r="D32266" s="185"/>
      <c r="E32266" s="185" t="s">
        <v>470</v>
      </c>
      <c r="H32266" s="185"/>
    </row>
    <row r="32267">
      <c r="D32267" s="185"/>
      <c r="E32267" s="185" t="s">
        <v>470</v>
      </c>
      <c r="H32267" s="185"/>
    </row>
    <row r="32268">
      <c r="D32268" s="185"/>
      <c r="E32268" s="185" t="s">
        <v>470</v>
      </c>
      <c r="H32268" s="185"/>
    </row>
    <row r="32269">
      <c r="D32269" s="185"/>
      <c r="E32269" s="185" t="s">
        <v>470</v>
      </c>
      <c r="H32269" s="185"/>
    </row>
    <row r="32270">
      <c r="D32270" s="185"/>
      <c r="E32270" s="185" t="s">
        <v>470</v>
      </c>
      <c r="H32270" s="185"/>
    </row>
    <row r="32271">
      <c r="D32271" s="185"/>
      <c r="E32271" s="185" t="s">
        <v>470</v>
      </c>
      <c r="H32271" s="185"/>
    </row>
    <row r="32272">
      <c r="D32272" s="185"/>
      <c r="E32272" s="185" t="s">
        <v>470</v>
      </c>
      <c r="H32272" s="185"/>
    </row>
    <row r="32273">
      <c r="D32273" s="185"/>
      <c r="E32273" s="185" t="s">
        <v>470</v>
      </c>
      <c r="H32273" s="185"/>
    </row>
    <row r="32274">
      <c r="D32274" s="185"/>
      <c r="E32274" s="185" t="s">
        <v>470</v>
      </c>
      <c r="H32274" s="185"/>
    </row>
    <row r="32275">
      <c r="D32275" s="185"/>
      <c r="E32275" s="185" t="s">
        <v>470</v>
      </c>
      <c r="H32275" s="185"/>
    </row>
    <row r="32276">
      <c r="D32276" s="185"/>
      <c r="E32276" s="185" t="s">
        <v>470</v>
      </c>
      <c r="H32276" s="185"/>
    </row>
    <row r="32277">
      <c r="D32277" s="185"/>
      <c r="E32277" s="185" t="s">
        <v>470</v>
      </c>
      <c r="H32277" s="185"/>
    </row>
    <row r="32278">
      <c r="D32278" s="185"/>
      <c r="E32278" s="185" t="s">
        <v>470</v>
      </c>
      <c r="H32278" s="185"/>
    </row>
    <row r="32279">
      <c r="D32279" s="185"/>
      <c r="E32279" s="185" t="s">
        <v>470</v>
      </c>
      <c r="H32279" s="185"/>
    </row>
    <row r="32280">
      <c r="D32280" s="185"/>
      <c r="E32280" s="185" t="s">
        <v>470</v>
      </c>
      <c r="H32280" s="185"/>
    </row>
    <row r="32281">
      <c r="D32281" s="185"/>
      <c r="E32281" s="185" t="s">
        <v>470</v>
      </c>
      <c r="H32281" s="185"/>
    </row>
    <row r="32282">
      <c r="D32282" s="185"/>
      <c r="E32282" s="185" t="s">
        <v>470</v>
      </c>
      <c r="H32282" s="185"/>
    </row>
    <row r="32283">
      <c r="D32283" s="185"/>
      <c r="E32283" s="185" t="s">
        <v>470</v>
      </c>
      <c r="H32283" s="185"/>
    </row>
    <row r="32284">
      <c r="D32284" s="185"/>
      <c r="E32284" s="185" t="s">
        <v>470</v>
      </c>
      <c r="H32284" s="185"/>
    </row>
    <row r="32285">
      <c r="D32285" s="185"/>
      <c r="E32285" s="185" t="s">
        <v>470</v>
      </c>
      <c r="H32285" s="185"/>
    </row>
    <row r="32286">
      <c r="D32286" s="185"/>
      <c r="E32286" s="185" t="s">
        <v>470</v>
      </c>
      <c r="H32286" s="185"/>
    </row>
    <row r="32287">
      <c r="D32287" s="185"/>
      <c r="E32287" s="185" t="s">
        <v>470</v>
      </c>
      <c r="H32287" s="185"/>
    </row>
    <row r="32288">
      <c r="D32288" s="185"/>
      <c r="E32288" s="185" t="s">
        <v>470</v>
      </c>
      <c r="H32288" s="185"/>
    </row>
    <row r="32289">
      <c r="D32289" s="185"/>
      <c r="E32289" s="185" t="s">
        <v>470</v>
      </c>
      <c r="H32289" s="185"/>
    </row>
    <row r="32290">
      <c r="D32290" s="185"/>
      <c r="E32290" s="185" t="s">
        <v>470</v>
      </c>
      <c r="H32290" s="185"/>
    </row>
    <row r="32291">
      <c r="D32291" s="185"/>
      <c r="E32291" s="185" t="s">
        <v>470</v>
      </c>
      <c r="H32291" s="185"/>
    </row>
    <row r="32292">
      <c r="D32292" s="185"/>
      <c r="E32292" s="185" t="s">
        <v>470</v>
      </c>
      <c r="H32292" s="185"/>
    </row>
    <row r="32293">
      <c r="D32293" s="185"/>
      <c r="E32293" s="185" t="s">
        <v>470</v>
      </c>
      <c r="H32293" s="185"/>
    </row>
    <row r="32294">
      <c r="D32294" s="185"/>
      <c r="E32294" s="185" t="s">
        <v>470</v>
      </c>
      <c r="H32294" s="185"/>
    </row>
    <row r="32295">
      <c r="D32295" s="185"/>
      <c r="E32295" s="185" t="s">
        <v>470</v>
      </c>
      <c r="H32295" s="185"/>
    </row>
    <row r="32296">
      <c r="D32296" s="185"/>
      <c r="E32296" s="185" t="s">
        <v>470</v>
      </c>
      <c r="H32296" s="185"/>
    </row>
    <row r="32297">
      <c r="D32297" s="185"/>
      <c r="E32297" s="185" t="s">
        <v>470</v>
      </c>
      <c r="H32297" s="185"/>
    </row>
    <row r="32298">
      <c r="D32298" s="185"/>
      <c r="E32298" s="185" t="s">
        <v>470</v>
      </c>
      <c r="H32298" s="185"/>
    </row>
    <row r="32299">
      <c r="D32299" s="185"/>
      <c r="E32299" s="185" t="s">
        <v>470</v>
      </c>
      <c r="H32299" s="185"/>
    </row>
    <row r="32300">
      <c r="D32300" s="185"/>
      <c r="E32300" s="185" t="s">
        <v>470</v>
      </c>
      <c r="H32300" s="185"/>
    </row>
    <row r="32301">
      <c r="D32301" s="185"/>
      <c r="E32301" s="185" t="s">
        <v>470</v>
      </c>
      <c r="H32301" s="185"/>
    </row>
    <row r="32302">
      <c r="D32302" s="185"/>
      <c r="E32302" s="185" t="s">
        <v>470</v>
      </c>
      <c r="H32302" s="185"/>
    </row>
    <row r="32303">
      <c r="D32303" s="185"/>
      <c r="E32303" s="185" t="s">
        <v>470</v>
      </c>
      <c r="H32303" s="185"/>
    </row>
    <row r="32304">
      <c r="D32304" s="185"/>
      <c r="E32304" s="185" t="s">
        <v>470</v>
      </c>
      <c r="H32304" s="185"/>
    </row>
    <row r="32305">
      <c r="D32305" s="185"/>
      <c r="E32305" s="185" t="s">
        <v>470</v>
      </c>
      <c r="H32305" s="185"/>
    </row>
    <row r="32306">
      <c r="D32306" s="185"/>
      <c r="E32306" s="185" t="s">
        <v>470</v>
      </c>
      <c r="H32306" s="185"/>
    </row>
    <row r="32307">
      <c r="D32307" s="185"/>
      <c r="E32307" s="185" t="s">
        <v>470</v>
      </c>
      <c r="H32307" s="185"/>
    </row>
    <row r="32308">
      <c r="D32308" s="185"/>
      <c r="E32308" s="185" t="s">
        <v>470</v>
      </c>
      <c r="H32308" s="185"/>
    </row>
    <row r="32309">
      <c r="D32309" s="185"/>
      <c r="E32309" s="185" t="s">
        <v>470</v>
      </c>
      <c r="H32309" s="185"/>
    </row>
    <row r="32310">
      <c r="D32310" s="185"/>
      <c r="E32310" s="185" t="s">
        <v>470</v>
      </c>
      <c r="H32310" s="185"/>
    </row>
    <row r="32311">
      <c r="D32311" s="185"/>
      <c r="E32311" s="185" t="s">
        <v>470</v>
      </c>
      <c r="H32311" s="185"/>
    </row>
    <row r="32312">
      <c r="D32312" s="185"/>
      <c r="E32312" s="185" t="s">
        <v>470</v>
      </c>
      <c r="H32312" s="185"/>
    </row>
    <row r="32313">
      <c r="D32313" s="185"/>
      <c r="E32313" s="185" t="s">
        <v>470</v>
      </c>
      <c r="H32313" s="185"/>
    </row>
    <row r="32314">
      <c r="D32314" s="185"/>
      <c r="E32314" s="185" t="s">
        <v>470</v>
      </c>
      <c r="H32314" s="185"/>
    </row>
    <row r="32315">
      <c r="D32315" s="185"/>
      <c r="E32315" s="185" t="s">
        <v>470</v>
      </c>
      <c r="H32315" s="185"/>
    </row>
    <row r="32316">
      <c r="D32316" s="185"/>
      <c r="E32316" s="185" t="s">
        <v>470</v>
      </c>
      <c r="H32316" s="185"/>
    </row>
    <row r="32317">
      <c r="D32317" s="185"/>
      <c r="E32317" s="185" t="s">
        <v>470</v>
      </c>
      <c r="H32317" s="185"/>
    </row>
    <row r="32318">
      <c r="D32318" s="185"/>
      <c r="E32318" s="185" t="s">
        <v>470</v>
      </c>
      <c r="H32318" s="185"/>
    </row>
    <row r="32319">
      <c r="D32319" s="185"/>
      <c r="E32319" s="185" t="s">
        <v>470</v>
      </c>
      <c r="H32319" s="185"/>
    </row>
    <row r="32320">
      <c r="D32320" s="185"/>
      <c r="E32320" s="185" t="s">
        <v>470</v>
      </c>
      <c r="H32320" s="185"/>
    </row>
    <row r="32321">
      <c r="D32321" s="185"/>
      <c r="E32321" s="185" t="s">
        <v>470</v>
      </c>
      <c r="H32321" s="185"/>
    </row>
    <row r="32322">
      <c r="D32322" s="185"/>
      <c r="E32322" s="185" t="s">
        <v>470</v>
      </c>
      <c r="H32322" s="185"/>
    </row>
    <row r="32323">
      <c r="D32323" s="185"/>
      <c r="E32323" s="185" t="s">
        <v>470</v>
      </c>
      <c r="H32323" s="185"/>
    </row>
    <row r="32324">
      <c r="D32324" s="185"/>
      <c r="E32324" s="185" t="s">
        <v>470</v>
      </c>
      <c r="H32324" s="185"/>
    </row>
    <row r="32325">
      <c r="D32325" s="185"/>
      <c r="E32325" s="185" t="s">
        <v>470</v>
      </c>
      <c r="H32325" s="185"/>
    </row>
    <row r="32326">
      <c r="D32326" s="185"/>
      <c r="E32326" s="185" t="s">
        <v>470</v>
      </c>
      <c r="H32326" s="185"/>
    </row>
    <row r="32327">
      <c r="D32327" s="185"/>
      <c r="E32327" s="185" t="s">
        <v>470</v>
      </c>
      <c r="H32327" s="185"/>
    </row>
    <row r="32328">
      <c r="D32328" s="185"/>
      <c r="E32328" s="185" t="s">
        <v>470</v>
      </c>
      <c r="H32328" s="185"/>
    </row>
    <row r="32329">
      <c r="D32329" s="185"/>
      <c r="E32329" s="185" t="s">
        <v>470</v>
      </c>
      <c r="H32329" s="185"/>
    </row>
    <row r="32330">
      <c r="D32330" s="185"/>
      <c r="E32330" s="185" t="s">
        <v>470</v>
      </c>
      <c r="H32330" s="185"/>
    </row>
    <row r="32331">
      <c r="D32331" s="185"/>
      <c r="E32331" s="185" t="s">
        <v>470</v>
      </c>
      <c r="H32331" s="185"/>
    </row>
    <row r="32332">
      <c r="D32332" s="185"/>
      <c r="E32332" s="185" t="s">
        <v>470</v>
      </c>
      <c r="H32332" s="185"/>
    </row>
    <row r="32333">
      <c r="D32333" s="185"/>
      <c r="E32333" s="185" t="s">
        <v>470</v>
      </c>
      <c r="H32333" s="185"/>
    </row>
    <row r="32334">
      <c r="D32334" s="185"/>
      <c r="E32334" s="185" t="s">
        <v>470</v>
      </c>
      <c r="H32334" s="185"/>
    </row>
    <row r="32335">
      <c r="D32335" s="185"/>
      <c r="E32335" s="185" t="s">
        <v>470</v>
      </c>
      <c r="H32335" s="185"/>
    </row>
    <row r="32336">
      <c r="D32336" s="185"/>
      <c r="E32336" s="185" t="s">
        <v>470</v>
      </c>
      <c r="H32336" s="185"/>
    </row>
    <row r="32337">
      <c r="D32337" s="185"/>
      <c r="E32337" s="185" t="s">
        <v>470</v>
      </c>
      <c r="H32337" s="185"/>
    </row>
    <row r="32338">
      <c r="D32338" s="185"/>
      <c r="E32338" s="185" t="s">
        <v>470</v>
      </c>
      <c r="H32338" s="185"/>
    </row>
    <row r="32339">
      <c r="D32339" s="185"/>
      <c r="E32339" s="185" t="s">
        <v>470</v>
      </c>
      <c r="H32339" s="185"/>
    </row>
    <row r="32340">
      <c r="D32340" s="185"/>
      <c r="E32340" s="185" t="s">
        <v>470</v>
      </c>
      <c r="H32340" s="185"/>
    </row>
    <row r="32341">
      <c r="D32341" s="185"/>
      <c r="E32341" s="185" t="s">
        <v>470</v>
      </c>
      <c r="H32341" s="185"/>
    </row>
    <row r="32342">
      <c r="D32342" s="185"/>
      <c r="E32342" s="185" t="s">
        <v>470</v>
      </c>
      <c r="H32342" s="185"/>
    </row>
    <row r="32343">
      <c r="D32343" s="185"/>
      <c r="E32343" s="185" t="s">
        <v>470</v>
      </c>
      <c r="H32343" s="185"/>
    </row>
    <row r="32344">
      <c r="D32344" s="185"/>
      <c r="E32344" s="185" t="s">
        <v>470</v>
      </c>
      <c r="H32344" s="185"/>
    </row>
    <row r="32345">
      <c r="D32345" s="185"/>
      <c r="E32345" s="185" t="s">
        <v>470</v>
      </c>
      <c r="H32345" s="185"/>
    </row>
    <row r="32346">
      <c r="D32346" s="185"/>
      <c r="E32346" s="185" t="s">
        <v>470</v>
      </c>
      <c r="H32346" s="185"/>
    </row>
    <row r="32347">
      <c r="D32347" s="185"/>
      <c r="E32347" s="185" t="s">
        <v>470</v>
      </c>
      <c r="H32347" s="185"/>
    </row>
    <row r="32348">
      <c r="D32348" s="185"/>
      <c r="E32348" s="185" t="s">
        <v>470</v>
      </c>
      <c r="H32348" s="185"/>
    </row>
    <row r="32349">
      <c r="D32349" s="185"/>
      <c r="E32349" s="185" t="s">
        <v>470</v>
      </c>
      <c r="H32349" s="185"/>
    </row>
    <row r="32350">
      <c r="D32350" s="185"/>
      <c r="E32350" s="185" t="s">
        <v>470</v>
      </c>
      <c r="H32350" s="185"/>
    </row>
    <row r="32351">
      <c r="D32351" s="185"/>
      <c r="E32351" s="185" t="s">
        <v>470</v>
      </c>
      <c r="H32351" s="185"/>
    </row>
    <row r="32352">
      <c r="D32352" s="185"/>
      <c r="E32352" s="185" t="s">
        <v>470</v>
      </c>
      <c r="H32352" s="185"/>
    </row>
    <row r="32353">
      <c r="D32353" s="185"/>
      <c r="E32353" s="185" t="s">
        <v>470</v>
      </c>
      <c r="H32353" s="185"/>
    </row>
    <row r="32354">
      <c r="D32354" s="185"/>
      <c r="E32354" s="185" t="s">
        <v>470</v>
      </c>
      <c r="H32354" s="185"/>
    </row>
    <row r="32355">
      <c r="D32355" s="185"/>
      <c r="E32355" s="185" t="s">
        <v>470</v>
      </c>
      <c r="H32355" s="185"/>
    </row>
    <row r="32356">
      <c r="D32356" s="185"/>
      <c r="E32356" s="185" t="s">
        <v>470</v>
      </c>
      <c r="H32356" s="185"/>
    </row>
    <row r="32357">
      <c r="D32357" s="185"/>
      <c r="E32357" s="185" t="s">
        <v>470</v>
      </c>
      <c r="H32357" s="185"/>
    </row>
    <row r="32358">
      <c r="D32358" s="185"/>
      <c r="E32358" s="185" t="s">
        <v>470</v>
      </c>
      <c r="H32358" s="185"/>
    </row>
    <row r="32359">
      <c r="D32359" s="185"/>
      <c r="E32359" s="185" t="s">
        <v>470</v>
      </c>
      <c r="H32359" s="185"/>
    </row>
    <row r="32360">
      <c r="D32360" s="185"/>
      <c r="E32360" s="185" t="s">
        <v>470</v>
      </c>
      <c r="H32360" s="185"/>
    </row>
    <row r="32361">
      <c r="D32361" s="185"/>
      <c r="E32361" s="185" t="s">
        <v>470</v>
      </c>
      <c r="H32361" s="185"/>
    </row>
    <row r="32362">
      <c r="D32362" s="185"/>
      <c r="E32362" s="185" t="s">
        <v>470</v>
      </c>
      <c r="H32362" s="185"/>
    </row>
    <row r="32363">
      <c r="D32363" s="185"/>
      <c r="E32363" s="185" t="s">
        <v>470</v>
      </c>
      <c r="H32363" s="185"/>
    </row>
    <row r="32364">
      <c r="D32364" s="185"/>
      <c r="E32364" s="185" t="s">
        <v>470</v>
      </c>
      <c r="H32364" s="185"/>
    </row>
    <row r="32365">
      <c r="D32365" s="185"/>
      <c r="E32365" s="185" t="s">
        <v>470</v>
      </c>
      <c r="H32365" s="185"/>
    </row>
    <row r="32366">
      <c r="D32366" s="185"/>
      <c r="E32366" s="185" t="s">
        <v>470</v>
      </c>
      <c r="H32366" s="185"/>
    </row>
    <row r="32367">
      <c r="D32367" s="185"/>
      <c r="E32367" s="185" t="s">
        <v>470</v>
      </c>
      <c r="H32367" s="185"/>
    </row>
    <row r="32368">
      <c r="D32368" s="185"/>
      <c r="E32368" s="185" t="s">
        <v>470</v>
      </c>
      <c r="H32368" s="185"/>
    </row>
    <row r="32369">
      <c r="D32369" s="185"/>
      <c r="E32369" s="185" t="s">
        <v>470</v>
      </c>
      <c r="H32369" s="185"/>
    </row>
    <row r="32370">
      <c r="D32370" s="185"/>
      <c r="E32370" s="185" t="s">
        <v>470</v>
      </c>
      <c r="H32370" s="185"/>
    </row>
    <row r="32371">
      <c r="D32371" s="185"/>
      <c r="E32371" s="185" t="s">
        <v>470</v>
      </c>
      <c r="H32371" s="185"/>
    </row>
    <row r="32372">
      <c r="D32372" s="185"/>
      <c r="E32372" s="185" t="s">
        <v>470</v>
      </c>
      <c r="H32372" s="185"/>
    </row>
    <row r="32373">
      <c r="D32373" s="185"/>
      <c r="E32373" s="185" t="s">
        <v>470</v>
      </c>
      <c r="H32373" s="185"/>
    </row>
    <row r="32374">
      <c r="D32374" s="185"/>
      <c r="E32374" s="185" t="s">
        <v>470</v>
      </c>
      <c r="H32374" s="185"/>
    </row>
    <row r="32375">
      <c r="D32375" s="185"/>
      <c r="E32375" s="185" t="s">
        <v>470</v>
      </c>
      <c r="H32375" s="185"/>
    </row>
    <row r="32376">
      <c r="D32376" s="185"/>
      <c r="E32376" s="185" t="s">
        <v>470</v>
      </c>
      <c r="H32376" s="185"/>
    </row>
    <row r="32377">
      <c r="D32377" s="185"/>
      <c r="E32377" s="185" t="s">
        <v>470</v>
      </c>
      <c r="H32377" s="185"/>
    </row>
    <row r="32378">
      <c r="D32378" s="185"/>
      <c r="E32378" s="185" t="s">
        <v>470</v>
      </c>
      <c r="H32378" s="185"/>
    </row>
    <row r="32379">
      <c r="D32379" s="185"/>
      <c r="E32379" s="185" t="s">
        <v>470</v>
      </c>
      <c r="H32379" s="185"/>
    </row>
    <row r="32380">
      <c r="D32380" s="185"/>
      <c r="E32380" s="185" t="s">
        <v>470</v>
      </c>
      <c r="H32380" s="185"/>
    </row>
    <row r="32381">
      <c r="D32381" s="185"/>
      <c r="E32381" s="185" t="s">
        <v>470</v>
      </c>
      <c r="H32381" s="185"/>
    </row>
    <row r="32382">
      <c r="D32382" s="185"/>
      <c r="E32382" s="185" t="s">
        <v>470</v>
      </c>
      <c r="H32382" s="185"/>
    </row>
    <row r="32383">
      <c r="D32383" s="185"/>
      <c r="E32383" s="185" t="s">
        <v>470</v>
      </c>
      <c r="H32383" s="185"/>
    </row>
    <row r="32384">
      <c r="D32384" s="185"/>
      <c r="E32384" s="185" t="s">
        <v>470</v>
      </c>
      <c r="H32384" s="185"/>
    </row>
    <row r="32385">
      <c r="D32385" s="185"/>
      <c r="E32385" s="185" t="s">
        <v>470</v>
      </c>
      <c r="H32385" s="185"/>
    </row>
    <row r="32386">
      <c r="D32386" s="185"/>
      <c r="E32386" s="185" t="s">
        <v>470</v>
      </c>
      <c r="H32386" s="185"/>
    </row>
    <row r="32387">
      <c r="D32387" s="185"/>
      <c r="E32387" s="185" t="s">
        <v>470</v>
      </c>
      <c r="H32387" s="185"/>
    </row>
    <row r="32388">
      <c r="D32388" s="185"/>
      <c r="E32388" s="185" t="s">
        <v>470</v>
      </c>
      <c r="H32388" s="185"/>
    </row>
    <row r="32389">
      <c r="D32389" s="185"/>
      <c r="E32389" s="185" t="s">
        <v>470</v>
      </c>
      <c r="H32389" s="185"/>
    </row>
    <row r="32390">
      <c r="D32390" s="185"/>
      <c r="E32390" s="185" t="s">
        <v>470</v>
      </c>
      <c r="H32390" s="185"/>
    </row>
    <row r="32391">
      <c r="D32391" s="185"/>
      <c r="E32391" s="185" t="s">
        <v>470</v>
      </c>
      <c r="H32391" s="185"/>
    </row>
    <row r="32392">
      <c r="D32392" s="185"/>
      <c r="E32392" s="185" t="s">
        <v>470</v>
      </c>
      <c r="H32392" s="185"/>
    </row>
    <row r="32393">
      <c r="D32393" s="185"/>
      <c r="E32393" s="185" t="s">
        <v>470</v>
      </c>
      <c r="H32393" s="185"/>
    </row>
    <row r="32394">
      <c r="D32394" s="185"/>
      <c r="E32394" s="185" t="s">
        <v>470</v>
      </c>
      <c r="H32394" s="185"/>
    </row>
    <row r="32395">
      <c r="D32395" s="185"/>
      <c r="E32395" s="185" t="s">
        <v>470</v>
      </c>
      <c r="H32395" s="185"/>
    </row>
    <row r="32396">
      <c r="D32396" s="185"/>
      <c r="E32396" s="185" t="s">
        <v>470</v>
      </c>
      <c r="H32396" s="185"/>
    </row>
    <row r="32397">
      <c r="D32397" s="185"/>
      <c r="E32397" s="185" t="s">
        <v>470</v>
      </c>
      <c r="H32397" s="185"/>
    </row>
    <row r="32398">
      <c r="D32398" s="185"/>
      <c r="E32398" s="185" t="s">
        <v>470</v>
      </c>
      <c r="H32398" s="185"/>
    </row>
    <row r="32399">
      <c r="D32399" s="185"/>
      <c r="E32399" s="185" t="s">
        <v>470</v>
      </c>
      <c r="H32399" s="185"/>
    </row>
    <row r="32400">
      <c r="D32400" s="185"/>
      <c r="E32400" s="185" t="s">
        <v>470</v>
      </c>
      <c r="H32400" s="185"/>
    </row>
    <row r="32401">
      <c r="D32401" s="185"/>
      <c r="E32401" s="185" t="s">
        <v>470</v>
      </c>
      <c r="H32401" s="185"/>
    </row>
    <row r="32402">
      <c r="D32402" s="185"/>
      <c r="E32402" s="185" t="s">
        <v>470</v>
      </c>
      <c r="H32402" s="185"/>
    </row>
    <row r="32403">
      <c r="D32403" s="185"/>
      <c r="E32403" s="185" t="s">
        <v>470</v>
      </c>
      <c r="H32403" s="185"/>
    </row>
    <row r="32404">
      <c r="D32404" s="185"/>
      <c r="E32404" s="185" t="s">
        <v>470</v>
      </c>
      <c r="H32404" s="185"/>
    </row>
    <row r="32405">
      <c r="D32405" s="185"/>
      <c r="E32405" s="185" t="s">
        <v>470</v>
      </c>
      <c r="H32405" s="185"/>
    </row>
    <row r="32406">
      <c r="D32406" s="185"/>
      <c r="E32406" s="185" t="s">
        <v>470</v>
      </c>
      <c r="H32406" s="185"/>
    </row>
    <row r="32407">
      <c r="D32407" s="185"/>
      <c r="E32407" s="185" t="s">
        <v>470</v>
      </c>
      <c r="H32407" s="185"/>
    </row>
    <row r="32408">
      <c r="D32408" s="185"/>
      <c r="E32408" s="185" t="s">
        <v>470</v>
      </c>
      <c r="H32408" s="185"/>
    </row>
    <row r="32409">
      <c r="D32409" s="185"/>
      <c r="E32409" s="185" t="s">
        <v>470</v>
      </c>
      <c r="H32409" s="185"/>
    </row>
    <row r="32410">
      <c r="D32410" s="185"/>
      <c r="E32410" s="185" t="s">
        <v>470</v>
      </c>
      <c r="H32410" s="185"/>
    </row>
    <row r="32411">
      <c r="D32411" s="185"/>
      <c r="E32411" s="185" t="s">
        <v>470</v>
      </c>
      <c r="H32411" s="185"/>
    </row>
    <row r="32412">
      <c r="D32412" s="185"/>
      <c r="E32412" s="185" t="s">
        <v>470</v>
      </c>
      <c r="H32412" s="185"/>
    </row>
    <row r="32413">
      <c r="D32413" s="185"/>
      <c r="E32413" s="185" t="s">
        <v>470</v>
      </c>
      <c r="H32413" s="185"/>
    </row>
    <row r="32414">
      <c r="D32414" s="185"/>
      <c r="E32414" s="185" t="s">
        <v>470</v>
      </c>
      <c r="H32414" s="185"/>
    </row>
    <row r="32415">
      <c r="D32415" s="185"/>
      <c r="E32415" s="185" t="s">
        <v>470</v>
      </c>
      <c r="H32415" s="185"/>
    </row>
    <row r="32416">
      <c r="D32416" s="185"/>
      <c r="E32416" s="185" t="s">
        <v>470</v>
      </c>
      <c r="H32416" s="185"/>
    </row>
    <row r="32417">
      <c r="D32417" s="185"/>
      <c r="E32417" s="185" t="s">
        <v>470</v>
      </c>
      <c r="H32417" s="185"/>
    </row>
    <row r="32418">
      <c r="D32418" s="185"/>
      <c r="E32418" s="185" t="s">
        <v>470</v>
      </c>
      <c r="H32418" s="185"/>
    </row>
    <row r="32419">
      <c r="D32419" s="185"/>
      <c r="E32419" s="185" t="s">
        <v>470</v>
      </c>
      <c r="H32419" s="185"/>
    </row>
    <row r="32420">
      <c r="D32420" s="185"/>
      <c r="E32420" s="185" t="s">
        <v>470</v>
      </c>
      <c r="H32420" s="185"/>
    </row>
    <row r="32421">
      <c r="D32421" s="185"/>
      <c r="E32421" s="185" t="s">
        <v>470</v>
      </c>
      <c r="H32421" s="185"/>
    </row>
    <row r="32422">
      <c r="D32422" s="185"/>
      <c r="E32422" s="185" t="s">
        <v>470</v>
      </c>
      <c r="H32422" s="185"/>
    </row>
    <row r="32423">
      <c r="D32423" s="185"/>
      <c r="E32423" s="185" t="s">
        <v>470</v>
      </c>
      <c r="H32423" s="185"/>
    </row>
    <row r="32424">
      <c r="D32424" s="185"/>
      <c r="E32424" s="185" t="s">
        <v>470</v>
      </c>
      <c r="H32424" s="185"/>
    </row>
    <row r="32425">
      <c r="D32425" s="185"/>
      <c r="E32425" s="185" t="s">
        <v>470</v>
      </c>
      <c r="H32425" s="185"/>
    </row>
    <row r="32426">
      <c r="D32426" s="185"/>
      <c r="E32426" s="185" t="s">
        <v>470</v>
      </c>
      <c r="H32426" s="185"/>
    </row>
    <row r="32427">
      <c r="D32427" s="185"/>
      <c r="E32427" s="185" t="s">
        <v>470</v>
      </c>
      <c r="H32427" s="185"/>
    </row>
    <row r="32428">
      <c r="D32428" s="185"/>
      <c r="E32428" s="185" t="s">
        <v>470</v>
      </c>
      <c r="H32428" s="185"/>
    </row>
    <row r="32429">
      <c r="D32429" s="185"/>
      <c r="E32429" s="185" t="s">
        <v>470</v>
      </c>
      <c r="H32429" s="185"/>
    </row>
    <row r="32430">
      <c r="D32430" s="185"/>
      <c r="E32430" s="185" t="s">
        <v>470</v>
      </c>
      <c r="H32430" s="185"/>
    </row>
    <row r="32431">
      <c r="D32431" s="185"/>
      <c r="E32431" s="185" t="s">
        <v>470</v>
      </c>
      <c r="H32431" s="185"/>
    </row>
    <row r="32432">
      <c r="D32432" s="185"/>
      <c r="E32432" s="185" t="s">
        <v>470</v>
      </c>
      <c r="H32432" s="185"/>
    </row>
    <row r="32433">
      <c r="D32433" s="185"/>
      <c r="E32433" s="185" t="s">
        <v>470</v>
      </c>
      <c r="H32433" s="185"/>
    </row>
    <row r="32434">
      <c r="D32434" s="185"/>
      <c r="E32434" s="185" t="s">
        <v>470</v>
      </c>
      <c r="H32434" s="185"/>
    </row>
    <row r="32435">
      <c r="D32435" s="185"/>
      <c r="E32435" s="185" t="s">
        <v>470</v>
      </c>
      <c r="H32435" s="185"/>
    </row>
    <row r="32436">
      <c r="D32436" s="185"/>
      <c r="E32436" s="185" t="s">
        <v>470</v>
      </c>
      <c r="H32436" s="185"/>
    </row>
    <row r="32437">
      <c r="D32437" s="185"/>
      <c r="E32437" s="185" t="s">
        <v>470</v>
      </c>
      <c r="H32437" s="185"/>
    </row>
    <row r="32438">
      <c r="D32438" s="185"/>
      <c r="E32438" s="185" t="s">
        <v>470</v>
      </c>
      <c r="H32438" s="185"/>
    </row>
    <row r="32439">
      <c r="D32439" s="185"/>
      <c r="E32439" s="185" t="s">
        <v>470</v>
      </c>
      <c r="H32439" s="185"/>
    </row>
    <row r="32440">
      <c r="D32440" s="185"/>
      <c r="E32440" s="185" t="s">
        <v>470</v>
      </c>
      <c r="H32440" s="185"/>
    </row>
    <row r="32441">
      <c r="D32441" s="185"/>
      <c r="E32441" s="185" t="s">
        <v>470</v>
      </c>
      <c r="H32441" s="185"/>
    </row>
    <row r="32442">
      <c r="D32442" s="185"/>
      <c r="E32442" s="185" t="s">
        <v>470</v>
      </c>
      <c r="H32442" s="185"/>
    </row>
    <row r="32443">
      <c r="D32443" s="185"/>
      <c r="E32443" s="185" t="s">
        <v>470</v>
      </c>
      <c r="H32443" s="185"/>
    </row>
    <row r="32444">
      <c r="D32444" s="185"/>
      <c r="E32444" s="185" t="s">
        <v>470</v>
      </c>
      <c r="H32444" s="185"/>
    </row>
    <row r="32445">
      <c r="D32445" s="185"/>
      <c r="E32445" s="185" t="s">
        <v>470</v>
      </c>
      <c r="H32445" s="185"/>
    </row>
    <row r="32446">
      <c r="D32446" s="185"/>
      <c r="E32446" s="185" t="s">
        <v>470</v>
      </c>
      <c r="H32446" s="185"/>
    </row>
    <row r="32447">
      <c r="D32447" s="185"/>
      <c r="E32447" s="185" t="s">
        <v>470</v>
      </c>
      <c r="H32447" s="185"/>
    </row>
    <row r="32448">
      <c r="D32448" s="185"/>
      <c r="E32448" s="185" t="s">
        <v>470</v>
      </c>
      <c r="H32448" s="185"/>
    </row>
    <row r="32449">
      <c r="D32449" s="185"/>
      <c r="E32449" s="185" t="s">
        <v>470</v>
      </c>
      <c r="H32449" s="185"/>
    </row>
    <row r="32450">
      <c r="D32450" s="185"/>
      <c r="E32450" s="185" t="s">
        <v>470</v>
      </c>
      <c r="H32450" s="185"/>
    </row>
    <row r="32451">
      <c r="D32451" s="185"/>
      <c r="E32451" s="185" t="s">
        <v>470</v>
      </c>
      <c r="H32451" s="185"/>
    </row>
    <row r="32452">
      <c r="D32452" s="185"/>
      <c r="E32452" s="185" t="s">
        <v>470</v>
      </c>
      <c r="H32452" s="185"/>
    </row>
    <row r="32453">
      <c r="D32453" s="185"/>
      <c r="E32453" s="185" t="s">
        <v>470</v>
      </c>
      <c r="H32453" s="185"/>
    </row>
    <row r="32454">
      <c r="D32454" s="185"/>
      <c r="E32454" s="185" t="s">
        <v>470</v>
      </c>
      <c r="H32454" s="185"/>
    </row>
    <row r="32455">
      <c r="D32455" s="185"/>
      <c r="E32455" s="185" t="s">
        <v>470</v>
      </c>
      <c r="H32455" s="185"/>
    </row>
    <row r="32456">
      <c r="D32456" s="185"/>
      <c r="E32456" s="185" t="s">
        <v>470</v>
      </c>
      <c r="H32456" s="185"/>
    </row>
    <row r="32457">
      <c r="D32457" s="185"/>
      <c r="E32457" s="185" t="s">
        <v>470</v>
      </c>
      <c r="H32457" s="185"/>
    </row>
    <row r="32458">
      <c r="D32458" s="185"/>
      <c r="E32458" s="185" t="s">
        <v>470</v>
      </c>
      <c r="H32458" s="185"/>
    </row>
    <row r="32459">
      <c r="D32459" s="185"/>
      <c r="E32459" s="185" t="s">
        <v>470</v>
      </c>
      <c r="H32459" s="185"/>
    </row>
    <row r="32460">
      <c r="D32460" s="185"/>
      <c r="E32460" s="185" t="s">
        <v>470</v>
      </c>
      <c r="H32460" s="185"/>
    </row>
    <row r="32461">
      <c r="D32461" s="185"/>
      <c r="E32461" s="185" t="s">
        <v>470</v>
      </c>
      <c r="H32461" s="185"/>
    </row>
    <row r="32462">
      <c r="D32462" s="185"/>
      <c r="E32462" s="185" t="s">
        <v>470</v>
      </c>
      <c r="H32462" s="185"/>
    </row>
    <row r="32463">
      <c r="D32463" s="185"/>
      <c r="E32463" s="185" t="s">
        <v>470</v>
      </c>
      <c r="H32463" s="185"/>
    </row>
    <row r="32464">
      <c r="D32464" s="185"/>
      <c r="E32464" s="185" t="s">
        <v>470</v>
      </c>
      <c r="H32464" s="185"/>
    </row>
    <row r="32465">
      <c r="D32465" s="185"/>
      <c r="E32465" s="185" t="s">
        <v>470</v>
      </c>
      <c r="H32465" s="185"/>
    </row>
    <row r="32466">
      <c r="D32466" s="185"/>
      <c r="E32466" s="185" t="s">
        <v>470</v>
      </c>
      <c r="H32466" s="185"/>
    </row>
    <row r="32467">
      <c r="D32467" s="185"/>
      <c r="E32467" s="185" t="s">
        <v>470</v>
      </c>
      <c r="H32467" s="185"/>
    </row>
    <row r="32468">
      <c r="D32468" s="185"/>
      <c r="E32468" s="185" t="s">
        <v>470</v>
      </c>
      <c r="H32468" s="185"/>
    </row>
    <row r="32469">
      <c r="D32469" s="185"/>
      <c r="E32469" s="185" t="s">
        <v>470</v>
      </c>
      <c r="H32469" s="185"/>
    </row>
    <row r="32470">
      <c r="D32470" s="185"/>
      <c r="E32470" s="185" t="s">
        <v>470</v>
      </c>
      <c r="H32470" s="185"/>
    </row>
    <row r="32471">
      <c r="D32471" s="185"/>
      <c r="E32471" s="185" t="s">
        <v>470</v>
      </c>
      <c r="H32471" s="185"/>
    </row>
    <row r="32472">
      <c r="D32472" s="185"/>
      <c r="E32472" s="185" t="s">
        <v>470</v>
      </c>
      <c r="H32472" s="185"/>
    </row>
    <row r="32473">
      <c r="D32473" s="185"/>
      <c r="E32473" s="185" t="s">
        <v>470</v>
      </c>
      <c r="H32473" s="185"/>
    </row>
    <row r="32474">
      <c r="D32474" s="185"/>
      <c r="E32474" s="185" t="s">
        <v>470</v>
      </c>
      <c r="H32474" s="185"/>
    </row>
    <row r="32475">
      <c r="D32475" s="185"/>
      <c r="E32475" s="185" t="s">
        <v>470</v>
      </c>
      <c r="H32475" s="185"/>
    </row>
    <row r="32476">
      <c r="D32476" s="185"/>
      <c r="E32476" s="185" t="s">
        <v>470</v>
      </c>
      <c r="H32476" s="185"/>
    </row>
    <row r="32477">
      <c r="D32477" s="185"/>
      <c r="E32477" s="185" t="s">
        <v>470</v>
      </c>
      <c r="H32477" s="185"/>
    </row>
    <row r="32478">
      <c r="D32478" s="185"/>
      <c r="E32478" s="185" t="s">
        <v>470</v>
      </c>
      <c r="H32478" s="185"/>
    </row>
    <row r="32479">
      <c r="D32479" s="185"/>
      <c r="E32479" s="185" t="s">
        <v>470</v>
      </c>
      <c r="H32479" s="185"/>
    </row>
    <row r="32480">
      <c r="D32480" s="185"/>
      <c r="E32480" s="185" t="s">
        <v>470</v>
      </c>
      <c r="H32480" s="185"/>
    </row>
    <row r="32481">
      <c r="D32481" s="185"/>
      <c r="E32481" s="185" t="s">
        <v>470</v>
      </c>
      <c r="H32481" s="185"/>
    </row>
    <row r="32482">
      <c r="D32482" s="185"/>
      <c r="E32482" s="185" t="s">
        <v>470</v>
      </c>
      <c r="H32482" s="185"/>
    </row>
    <row r="32483">
      <c r="D32483" s="185"/>
      <c r="E32483" s="185" t="s">
        <v>470</v>
      </c>
      <c r="H32483" s="185"/>
    </row>
    <row r="32484">
      <c r="D32484" s="185"/>
      <c r="E32484" s="185" t="s">
        <v>470</v>
      </c>
      <c r="H32484" s="185"/>
    </row>
    <row r="32485">
      <c r="D32485" s="185"/>
      <c r="E32485" s="185" t="s">
        <v>470</v>
      </c>
      <c r="H32485" s="185"/>
    </row>
    <row r="32486">
      <c r="D32486" s="185"/>
      <c r="E32486" s="185" t="s">
        <v>470</v>
      </c>
      <c r="H32486" s="185"/>
    </row>
    <row r="32487">
      <c r="D32487" s="185"/>
      <c r="E32487" s="185" t="s">
        <v>470</v>
      </c>
      <c r="H32487" s="185"/>
    </row>
    <row r="32488">
      <c r="D32488" s="185"/>
      <c r="E32488" s="185" t="s">
        <v>470</v>
      </c>
      <c r="H32488" s="185"/>
    </row>
    <row r="32489">
      <c r="D32489" s="185"/>
      <c r="E32489" s="185" t="s">
        <v>470</v>
      </c>
      <c r="H32489" s="185"/>
    </row>
    <row r="32490">
      <c r="D32490" s="185"/>
      <c r="E32490" s="185" t="s">
        <v>470</v>
      </c>
      <c r="H32490" s="185"/>
    </row>
    <row r="32491">
      <c r="D32491" s="185"/>
      <c r="E32491" s="185" t="s">
        <v>470</v>
      </c>
      <c r="H32491" s="185"/>
    </row>
    <row r="32492">
      <c r="D32492" s="185"/>
      <c r="E32492" s="185" t="s">
        <v>470</v>
      </c>
      <c r="H32492" s="185"/>
    </row>
    <row r="32493">
      <c r="D32493" s="185"/>
      <c r="E32493" s="185" t="s">
        <v>470</v>
      </c>
      <c r="H32493" s="185"/>
    </row>
    <row r="32494">
      <c r="D32494" s="185"/>
      <c r="E32494" s="185" t="s">
        <v>470</v>
      </c>
      <c r="H32494" s="185"/>
    </row>
    <row r="32495">
      <c r="D32495" s="185"/>
      <c r="E32495" s="185" t="s">
        <v>470</v>
      </c>
      <c r="H32495" s="185"/>
    </row>
    <row r="32496">
      <c r="D32496" s="185"/>
      <c r="E32496" s="185" t="s">
        <v>470</v>
      </c>
      <c r="H32496" s="185"/>
    </row>
    <row r="32497">
      <c r="D32497" s="185"/>
      <c r="E32497" s="185" t="s">
        <v>470</v>
      </c>
      <c r="H32497" s="185"/>
    </row>
    <row r="32498">
      <c r="D32498" s="185"/>
      <c r="E32498" s="185" t="s">
        <v>470</v>
      </c>
      <c r="H32498" s="185"/>
    </row>
    <row r="32499">
      <c r="D32499" s="185"/>
      <c r="E32499" s="185" t="s">
        <v>470</v>
      </c>
      <c r="H32499" s="185"/>
    </row>
    <row r="32500">
      <c r="D32500" s="185"/>
      <c r="E32500" s="185" t="s">
        <v>470</v>
      </c>
      <c r="H32500" s="185"/>
    </row>
    <row r="32501">
      <c r="D32501" s="185"/>
      <c r="E32501" s="185" t="s">
        <v>470</v>
      </c>
      <c r="H32501" s="185"/>
    </row>
    <row r="32502">
      <c r="D32502" s="185"/>
      <c r="E32502" s="185" t="s">
        <v>470</v>
      </c>
      <c r="H32502" s="185"/>
    </row>
    <row r="32503">
      <c r="D32503" s="185"/>
      <c r="E32503" s="185" t="s">
        <v>470</v>
      </c>
      <c r="H32503" s="185"/>
    </row>
    <row r="32504">
      <c r="D32504" s="185"/>
      <c r="E32504" s="185" t="s">
        <v>470</v>
      </c>
      <c r="H32504" s="185"/>
    </row>
    <row r="32505">
      <c r="D32505" s="185"/>
      <c r="E32505" s="185" t="s">
        <v>470</v>
      </c>
      <c r="H32505" s="185"/>
    </row>
    <row r="32506">
      <c r="D32506" s="185"/>
      <c r="E32506" s="185" t="s">
        <v>470</v>
      </c>
      <c r="H32506" s="185"/>
    </row>
    <row r="32507">
      <c r="D32507" s="185"/>
      <c r="E32507" s="185" t="s">
        <v>470</v>
      </c>
      <c r="H32507" s="185"/>
    </row>
    <row r="32508">
      <c r="D32508" s="185"/>
      <c r="E32508" s="185" t="s">
        <v>470</v>
      </c>
      <c r="H32508" s="185"/>
    </row>
    <row r="32509">
      <c r="D32509" s="185"/>
      <c r="E32509" s="185" t="s">
        <v>470</v>
      </c>
      <c r="H32509" s="185"/>
    </row>
    <row r="32510">
      <c r="D32510" s="185"/>
      <c r="E32510" s="185" t="s">
        <v>470</v>
      </c>
      <c r="H32510" s="185"/>
    </row>
    <row r="32511">
      <c r="D32511" s="185"/>
      <c r="E32511" s="185" t="s">
        <v>470</v>
      </c>
      <c r="H32511" s="185"/>
    </row>
    <row r="32512">
      <c r="D32512" s="185"/>
      <c r="E32512" s="185" t="s">
        <v>470</v>
      </c>
      <c r="H32512" s="185"/>
    </row>
    <row r="32513">
      <c r="D32513" s="185"/>
      <c r="E32513" s="185" t="s">
        <v>470</v>
      </c>
      <c r="H32513" s="185"/>
    </row>
    <row r="32514">
      <c r="D32514" s="185"/>
      <c r="E32514" s="185" t="s">
        <v>470</v>
      </c>
      <c r="H32514" s="185"/>
    </row>
    <row r="32515">
      <c r="D32515" s="185"/>
      <c r="E32515" s="185" t="s">
        <v>470</v>
      </c>
      <c r="H32515" s="185"/>
    </row>
    <row r="32516">
      <c r="D32516" s="185"/>
      <c r="E32516" s="185" t="s">
        <v>470</v>
      </c>
      <c r="H32516" s="185"/>
    </row>
    <row r="32517">
      <c r="D32517" s="185"/>
      <c r="E32517" s="185" t="s">
        <v>470</v>
      </c>
      <c r="H32517" s="185"/>
    </row>
    <row r="32518">
      <c r="D32518" s="185"/>
      <c r="E32518" s="185" t="s">
        <v>470</v>
      </c>
      <c r="H32518" s="185"/>
    </row>
    <row r="32519">
      <c r="D32519" s="185"/>
      <c r="E32519" s="185" t="s">
        <v>470</v>
      </c>
      <c r="H32519" s="185"/>
    </row>
    <row r="32520">
      <c r="D32520" s="185"/>
      <c r="E32520" s="185" t="s">
        <v>470</v>
      </c>
      <c r="H32520" s="185"/>
    </row>
    <row r="32521">
      <c r="D32521" s="185"/>
      <c r="E32521" s="185" t="s">
        <v>470</v>
      </c>
      <c r="H32521" s="185"/>
    </row>
    <row r="32522">
      <c r="D32522" s="185"/>
      <c r="E32522" s="185" t="s">
        <v>470</v>
      </c>
      <c r="H32522" s="185"/>
    </row>
    <row r="32523">
      <c r="D32523" s="185"/>
      <c r="E32523" s="185" t="s">
        <v>470</v>
      </c>
      <c r="H32523" s="185"/>
    </row>
    <row r="32524">
      <c r="D32524" s="185"/>
      <c r="E32524" s="185" t="s">
        <v>470</v>
      </c>
      <c r="H32524" s="185"/>
    </row>
    <row r="32525">
      <c r="D32525" s="185"/>
      <c r="E32525" s="185" t="s">
        <v>470</v>
      </c>
      <c r="H32525" s="185"/>
    </row>
    <row r="32526">
      <c r="D32526" s="185"/>
      <c r="E32526" s="185" t="s">
        <v>470</v>
      </c>
      <c r="H32526" s="185"/>
    </row>
    <row r="32527">
      <c r="D32527" s="185"/>
      <c r="E32527" s="185" t="s">
        <v>470</v>
      </c>
      <c r="H32527" s="185"/>
    </row>
    <row r="32528">
      <c r="D32528" s="185"/>
      <c r="E32528" s="185" t="s">
        <v>470</v>
      </c>
      <c r="H32528" s="185"/>
    </row>
    <row r="32529">
      <c r="D32529" s="185"/>
      <c r="E32529" s="185" t="s">
        <v>470</v>
      </c>
      <c r="H32529" s="185"/>
    </row>
    <row r="32530">
      <c r="D32530" s="185"/>
      <c r="E32530" s="185" t="s">
        <v>470</v>
      </c>
      <c r="H32530" s="185"/>
    </row>
    <row r="32531">
      <c r="D32531" s="185"/>
      <c r="E32531" s="185" t="s">
        <v>470</v>
      </c>
      <c r="H32531" s="185"/>
    </row>
    <row r="32532">
      <c r="D32532" s="185"/>
      <c r="E32532" s="185" t="s">
        <v>470</v>
      </c>
      <c r="H32532" s="185"/>
    </row>
    <row r="32533">
      <c r="D32533" s="185"/>
      <c r="E32533" s="185" t="s">
        <v>470</v>
      </c>
      <c r="H32533" s="185"/>
    </row>
    <row r="32534">
      <c r="D32534" s="185"/>
      <c r="E32534" s="185" t="s">
        <v>470</v>
      </c>
      <c r="H32534" s="185"/>
    </row>
    <row r="32535">
      <c r="D32535" s="185"/>
      <c r="E32535" s="185" t="s">
        <v>470</v>
      </c>
      <c r="H32535" s="185"/>
    </row>
    <row r="32536">
      <c r="D32536" s="185"/>
      <c r="E32536" s="185" t="s">
        <v>470</v>
      </c>
      <c r="H32536" s="185"/>
    </row>
    <row r="32537">
      <c r="D32537" s="185"/>
      <c r="E32537" s="185" t="s">
        <v>470</v>
      </c>
      <c r="H32537" s="185"/>
    </row>
    <row r="32538">
      <c r="D32538" s="185"/>
      <c r="E32538" s="185" t="s">
        <v>470</v>
      </c>
      <c r="H32538" s="185"/>
    </row>
    <row r="32539">
      <c r="D32539" s="185"/>
      <c r="E32539" s="185" t="s">
        <v>470</v>
      </c>
      <c r="H32539" s="185"/>
    </row>
    <row r="32540">
      <c r="D32540" s="185"/>
      <c r="E32540" s="185" t="s">
        <v>470</v>
      </c>
      <c r="H32540" s="185"/>
    </row>
    <row r="32541">
      <c r="D32541" s="185"/>
      <c r="E32541" s="185" t="s">
        <v>470</v>
      </c>
      <c r="H32541" s="185"/>
    </row>
    <row r="32542">
      <c r="D32542" s="185"/>
      <c r="E32542" s="185" t="s">
        <v>470</v>
      </c>
      <c r="H32542" s="185"/>
    </row>
    <row r="32543">
      <c r="D32543" s="185"/>
      <c r="E32543" s="185" t="s">
        <v>470</v>
      </c>
      <c r="H32543" s="185"/>
    </row>
    <row r="32544">
      <c r="D32544" s="185"/>
      <c r="E32544" s="185" t="s">
        <v>470</v>
      </c>
      <c r="H32544" s="185"/>
    </row>
    <row r="32545">
      <c r="D32545" s="185"/>
      <c r="E32545" s="185" t="s">
        <v>470</v>
      </c>
      <c r="H32545" s="185"/>
    </row>
    <row r="32546">
      <c r="D32546" s="185"/>
      <c r="E32546" s="185" t="s">
        <v>470</v>
      </c>
      <c r="H32546" s="185"/>
    </row>
    <row r="32547">
      <c r="D32547" s="185"/>
      <c r="E32547" s="185" t="s">
        <v>470</v>
      </c>
      <c r="H32547" s="185"/>
    </row>
    <row r="32548">
      <c r="D32548" s="185"/>
      <c r="E32548" s="185" t="s">
        <v>470</v>
      </c>
      <c r="H32548" s="185"/>
    </row>
    <row r="32549">
      <c r="D32549" s="185"/>
      <c r="E32549" s="185" t="s">
        <v>470</v>
      </c>
      <c r="H32549" s="185"/>
    </row>
    <row r="32550">
      <c r="D32550" s="185"/>
      <c r="E32550" s="185" t="s">
        <v>470</v>
      </c>
      <c r="H32550" s="185"/>
    </row>
    <row r="32551">
      <c r="D32551" s="185"/>
      <c r="E32551" s="185" t="s">
        <v>470</v>
      </c>
      <c r="H32551" s="185"/>
    </row>
    <row r="32552">
      <c r="D32552" s="185"/>
      <c r="E32552" s="185" t="s">
        <v>470</v>
      </c>
      <c r="H32552" s="185"/>
    </row>
    <row r="32553">
      <c r="D32553" s="185"/>
      <c r="E32553" s="185" t="s">
        <v>470</v>
      </c>
      <c r="H32553" s="185"/>
    </row>
    <row r="32554">
      <c r="D32554" s="185"/>
      <c r="E32554" s="185" t="s">
        <v>470</v>
      </c>
      <c r="H32554" s="185"/>
    </row>
    <row r="32555">
      <c r="D32555" s="185"/>
      <c r="E32555" s="185" t="s">
        <v>470</v>
      </c>
      <c r="H32555" s="185"/>
    </row>
    <row r="32556">
      <c r="D32556" s="185"/>
      <c r="E32556" s="185" t="s">
        <v>470</v>
      </c>
      <c r="H32556" s="185"/>
    </row>
    <row r="32557">
      <c r="D32557" s="185"/>
      <c r="E32557" s="185" t="s">
        <v>470</v>
      </c>
      <c r="H32557" s="185"/>
    </row>
    <row r="32558">
      <c r="D32558" s="185"/>
      <c r="E32558" s="185" t="s">
        <v>470</v>
      </c>
      <c r="H32558" s="185"/>
    </row>
    <row r="32559">
      <c r="D32559" s="185"/>
      <c r="E32559" s="185" t="s">
        <v>470</v>
      </c>
      <c r="H32559" s="185"/>
    </row>
    <row r="32560">
      <c r="D32560" s="185"/>
      <c r="E32560" s="185" t="s">
        <v>470</v>
      </c>
      <c r="H32560" s="185"/>
    </row>
    <row r="32561">
      <c r="D32561" s="185"/>
      <c r="E32561" s="185" t="s">
        <v>470</v>
      </c>
      <c r="H32561" s="185"/>
    </row>
    <row r="32562">
      <c r="D32562" s="185"/>
      <c r="E32562" s="185" t="s">
        <v>470</v>
      </c>
      <c r="H32562" s="185"/>
    </row>
    <row r="32563">
      <c r="D32563" s="185"/>
      <c r="E32563" s="185" t="s">
        <v>470</v>
      </c>
      <c r="H32563" s="185"/>
    </row>
    <row r="32564">
      <c r="D32564" s="185"/>
      <c r="E32564" s="185" t="s">
        <v>470</v>
      </c>
      <c r="H32564" s="185"/>
    </row>
    <row r="32565">
      <c r="D32565" s="185"/>
      <c r="E32565" s="185" t="s">
        <v>470</v>
      </c>
      <c r="H32565" s="185"/>
    </row>
    <row r="32566">
      <c r="D32566" s="185"/>
      <c r="E32566" s="185" t="s">
        <v>470</v>
      </c>
      <c r="H32566" s="185"/>
    </row>
    <row r="32567">
      <c r="D32567" s="185"/>
      <c r="E32567" s="185" t="s">
        <v>470</v>
      </c>
      <c r="H32567" s="185"/>
    </row>
    <row r="32568">
      <c r="D32568" s="185"/>
      <c r="E32568" s="185" t="s">
        <v>470</v>
      </c>
      <c r="H32568" s="185"/>
    </row>
    <row r="32569">
      <c r="D32569" s="185"/>
      <c r="E32569" s="185" t="s">
        <v>470</v>
      </c>
      <c r="H32569" s="185"/>
    </row>
    <row r="32570">
      <c r="D32570" s="185"/>
      <c r="E32570" s="185" t="s">
        <v>470</v>
      </c>
      <c r="H32570" s="185"/>
    </row>
    <row r="32571">
      <c r="D32571" s="185"/>
      <c r="E32571" s="185" t="s">
        <v>470</v>
      </c>
      <c r="H32571" s="185"/>
    </row>
    <row r="32572">
      <c r="D32572" s="185"/>
      <c r="E32572" s="185" t="s">
        <v>470</v>
      </c>
      <c r="H32572" s="185"/>
    </row>
    <row r="32573">
      <c r="D32573" s="185"/>
      <c r="E32573" s="185" t="s">
        <v>470</v>
      </c>
      <c r="H32573" s="185"/>
    </row>
    <row r="32574">
      <c r="D32574" s="185"/>
      <c r="E32574" s="185" t="s">
        <v>470</v>
      </c>
      <c r="H32574" s="185"/>
    </row>
    <row r="32575">
      <c r="D32575" s="185"/>
      <c r="E32575" s="185" t="s">
        <v>470</v>
      </c>
      <c r="H32575" s="185"/>
    </row>
    <row r="32576">
      <c r="D32576" s="185"/>
      <c r="E32576" s="185" t="s">
        <v>470</v>
      </c>
      <c r="H32576" s="185"/>
    </row>
    <row r="32577">
      <c r="D32577" s="185"/>
      <c r="E32577" s="185" t="s">
        <v>470</v>
      </c>
      <c r="H32577" s="185"/>
    </row>
    <row r="32578">
      <c r="D32578" s="185"/>
      <c r="E32578" s="185" t="s">
        <v>470</v>
      </c>
      <c r="H32578" s="185"/>
    </row>
    <row r="32579">
      <c r="D32579" s="185"/>
      <c r="E32579" s="185" t="s">
        <v>470</v>
      </c>
      <c r="H32579" s="185"/>
    </row>
    <row r="32580">
      <c r="D32580" s="185"/>
      <c r="E32580" s="185" t="s">
        <v>470</v>
      </c>
      <c r="H32580" s="185"/>
    </row>
    <row r="32581">
      <c r="D32581" s="185"/>
      <c r="E32581" s="185" t="s">
        <v>470</v>
      </c>
      <c r="H32581" s="185"/>
    </row>
    <row r="32582">
      <c r="D32582" s="185"/>
      <c r="E32582" s="185" t="s">
        <v>470</v>
      </c>
      <c r="H32582" s="185"/>
    </row>
    <row r="32583">
      <c r="D32583" s="185"/>
      <c r="E32583" s="185" t="s">
        <v>470</v>
      </c>
      <c r="H32583" s="185"/>
    </row>
    <row r="32584">
      <c r="D32584" s="185"/>
      <c r="E32584" s="185" t="s">
        <v>470</v>
      </c>
      <c r="H32584" s="185"/>
    </row>
    <row r="32585">
      <c r="D32585" s="185"/>
      <c r="E32585" s="185" t="s">
        <v>470</v>
      </c>
      <c r="H32585" s="185"/>
    </row>
    <row r="32586">
      <c r="D32586" s="185"/>
      <c r="E32586" s="185" t="s">
        <v>470</v>
      </c>
      <c r="H32586" s="185"/>
    </row>
    <row r="32587">
      <c r="D32587" s="185"/>
      <c r="E32587" s="185" t="s">
        <v>470</v>
      </c>
      <c r="H32587" s="185"/>
    </row>
    <row r="32588">
      <c r="D32588" s="185"/>
      <c r="E32588" s="185" t="s">
        <v>470</v>
      </c>
      <c r="H32588" s="185"/>
    </row>
    <row r="32589">
      <c r="D32589" s="185"/>
      <c r="E32589" s="185" t="s">
        <v>470</v>
      </c>
      <c r="H32589" s="185"/>
    </row>
    <row r="32590">
      <c r="D32590" s="185"/>
      <c r="E32590" s="185" t="s">
        <v>470</v>
      </c>
      <c r="H32590" s="185"/>
    </row>
    <row r="32591">
      <c r="D32591" s="185"/>
      <c r="E32591" s="185" t="s">
        <v>470</v>
      </c>
      <c r="H32591" s="185"/>
    </row>
    <row r="32592">
      <c r="D32592" s="185"/>
      <c r="E32592" s="185" t="s">
        <v>470</v>
      </c>
      <c r="H32592" s="185"/>
    </row>
    <row r="32593">
      <c r="D32593" s="185"/>
      <c r="E32593" s="185" t="s">
        <v>470</v>
      </c>
      <c r="H32593" s="185"/>
    </row>
    <row r="32594">
      <c r="D32594" s="185"/>
      <c r="E32594" s="185" t="s">
        <v>470</v>
      </c>
      <c r="H32594" s="185"/>
    </row>
    <row r="32595">
      <c r="D32595" s="185"/>
      <c r="E32595" s="185" t="s">
        <v>470</v>
      </c>
      <c r="H32595" s="185"/>
    </row>
    <row r="32596">
      <c r="D32596" s="185"/>
      <c r="E32596" s="185" t="s">
        <v>470</v>
      </c>
      <c r="H32596" s="185"/>
    </row>
    <row r="32597">
      <c r="D32597" s="185"/>
      <c r="E32597" s="185" t="s">
        <v>470</v>
      </c>
      <c r="H32597" s="185"/>
    </row>
    <row r="32598">
      <c r="D32598" s="185"/>
      <c r="E32598" s="185" t="s">
        <v>470</v>
      </c>
      <c r="H32598" s="185"/>
    </row>
    <row r="32599">
      <c r="D32599" s="185"/>
      <c r="E32599" s="185" t="s">
        <v>470</v>
      </c>
      <c r="H32599" s="185"/>
    </row>
    <row r="32600">
      <c r="D32600" s="185"/>
      <c r="E32600" s="185" t="s">
        <v>470</v>
      </c>
      <c r="H32600" s="185"/>
    </row>
    <row r="32601">
      <c r="D32601" s="185"/>
      <c r="E32601" s="185" t="s">
        <v>470</v>
      </c>
      <c r="H32601" s="185"/>
    </row>
    <row r="32602">
      <c r="D32602" s="185"/>
      <c r="E32602" s="185" t="s">
        <v>470</v>
      </c>
      <c r="H32602" s="185"/>
    </row>
    <row r="32603">
      <c r="D32603" s="185"/>
      <c r="E32603" s="185" t="s">
        <v>470</v>
      </c>
      <c r="H32603" s="185"/>
    </row>
    <row r="32604">
      <c r="D32604" s="185"/>
      <c r="E32604" s="185" t="s">
        <v>470</v>
      </c>
      <c r="H32604" s="185"/>
    </row>
    <row r="32605">
      <c r="D32605" s="185"/>
      <c r="E32605" s="185" t="s">
        <v>470</v>
      </c>
      <c r="H32605" s="185"/>
    </row>
    <row r="32606">
      <c r="D32606" s="185"/>
      <c r="E32606" s="185" t="s">
        <v>470</v>
      </c>
      <c r="H32606" s="185"/>
    </row>
    <row r="32607">
      <c r="D32607" s="185"/>
      <c r="E32607" s="185" t="s">
        <v>470</v>
      </c>
      <c r="H32607" s="185"/>
    </row>
    <row r="32608">
      <c r="D32608" s="185"/>
      <c r="E32608" s="185" t="s">
        <v>470</v>
      </c>
      <c r="H32608" s="185"/>
    </row>
    <row r="32609">
      <c r="D32609" s="185"/>
      <c r="E32609" s="185" t="s">
        <v>470</v>
      </c>
      <c r="H32609" s="185"/>
    </row>
    <row r="32610">
      <c r="D32610" s="185"/>
      <c r="E32610" s="185" t="s">
        <v>470</v>
      </c>
      <c r="H32610" s="185"/>
    </row>
    <row r="32611">
      <c r="D32611" s="185"/>
      <c r="E32611" s="185" t="s">
        <v>470</v>
      </c>
      <c r="H32611" s="185"/>
    </row>
    <row r="32612">
      <c r="D32612" s="185"/>
      <c r="E32612" s="185" t="s">
        <v>470</v>
      </c>
      <c r="H32612" s="185"/>
    </row>
    <row r="32613">
      <c r="D32613" s="185"/>
      <c r="E32613" s="185" t="s">
        <v>470</v>
      </c>
      <c r="H32613" s="185"/>
    </row>
    <row r="32614">
      <c r="D32614" s="185"/>
      <c r="E32614" s="185" t="s">
        <v>470</v>
      </c>
      <c r="H32614" s="185"/>
    </row>
    <row r="32615">
      <c r="D32615" s="185"/>
      <c r="E32615" s="185" t="s">
        <v>470</v>
      </c>
      <c r="H32615" s="185"/>
    </row>
    <row r="32616">
      <c r="D32616" s="185"/>
      <c r="E32616" s="185" t="s">
        <v>470</v>
      </c>
      <c r="H32616" s="185"/>
    </row>
    <row r="32617">
      <c r="D32617" s="185"/>
      <c r="E32617" s="185" t="s">
        <v>470</v>
      </c>
      <c r="H32617" s="185"/>
    </row>
    <row r="32618">
      <c r="D32618" s="185"/>
      <c r="E32618" s="185" t="s">
        <v>470</v>
      </c>
      <c r="H32618" s="185"/>
    </row>
    <row r="32619">
      <c r="D32619" s="185"/>
      <c r="E32619" s="185" t="s">
        <v>470</v>
      </c>
      <c r="H32619" s="185"/>
    </row>
    <row r="32620">
      <c r="D32620" s="185"/>
      <c r="E32620" s="185" t="s">
        <v>470</v>
      </c>
      <c r="H32620" s="185"/>
    </row>
    <row r="32621">
      <c r="D32621" s="185"/>
      <c r="E32621" s="185" t="s">
        <v>470</v>
      </c>
      <c r="H32621" s="185"/>
    </row>
    <row r="32622">
      <c r="D32622" s="185"/>
      <c r="E32622" s="185" t="s">
        <v>470</v>
      </c>
      <c r="H32622" s="185"/>
    </row>
    <row r="32623">
      <c r="D32623" s="185"/>
      <c r="E32623" s="185" t="s">
        <v>470</v>
      </c>
      <c r="H32623" s="185"/>
    </row>
    <row r="32624">
      <c r="D32624" s="185"/>
      <c r="E32624" s="185" t="s">
        <v>470</v>
      </c>
      <c r="H32624" s="185"/>
    </row>
    <row r="32625">
      <c r="D32625" s="185"/>
      <c r="E32625" s="185" t="s">
        <v>470</v>
      </c>
      <c r="H32625" s="185"/>
    </row>
    <row r="32626">
      <c r="D32626" s="185"/>
      <c r="E32626" s="185" t="s">
        <v>470</v>
      </c>
      <c r="H32626" s="185"/>
    </row>
    <row r="32627">
      <c r="D32627" s="185"/>
      <c r="E32627" s="185" t="s">
        <v>470</v>
      </c>
      <c r="H32627" s="185"/>
    </row>
    <row r="32628">
      <c r="D32628" s="185"/>
      <c r="E32628" s="185" t="s">
        <v>470</v>
      </c>
      <c r="H32628" s="185"/>
    </row>
    <row r="32629">
      <c r="D32629" s="185"/>
      <c r="E32629" s="185" t="s">
        <v>470</v>
      </c>
      <c r="H32629" s="185"/>
    </row>
    <row r="32630">
      <c r="D32630" s="185"/>
      <c r="E32630" s="185" t="s">
        <v>470</v>
      </c>
      <c r="H32630" s="185"/>
    </row>
    <row r="32631">
      <c r="D32631" s="185"/>
      <c r="E32631" s="185" t="s">
        <v>470</v>
      </c>
      <c r="H32631" s="185"/>
    </row>
    <row r="32632">
      <c r="D32632" s="185"/>
      <c r="E32632" s="185" t="s">
        <v>470</v>
      </c>
      <c r="H32632" s="185"/>
    </row>
    <row r="32633">
      <c r="D32633" s="185"/>
      <c r="E32633" s="185" t="s">
        <v>470</v>
      </c>
      <c r="H32633" s="185"/>
    </row>
    <row r="32634">
      <c r="D32634" s="185"/>
      <c r="E32634" s="185" t="s">
        <v>470</v>
      </c>
      <c r="H32634" s="185"/>
    </row>
    <row r="32635">
      <c r="D32635" s="185"/>
      <c r="E32635" s="185" t="s">
        <v>470</v>
      </c>
      <c r="H32635" s="185"/>
    </row>
    <row r="32636">
      <c r="D32636" s="185"/>
      <c r="E32636" s="185" t="s">
        <v>470</v>
      </c>
      <c r="H32636" s="185"/>
    </row>
    <row r="32637">
      <c r="D32637" s="185"/>
      <c r="E32637" s="185" t="s">
        <v>470</v>
      </c>
      <c r="H32637" s="185"/>
    </row>
    <row r="32638">
      <c r="D32638" s="185"/>
      <c r="E32638" s="185" t="s">
        <v>470</v>
      </c>
      <c r="H32638" s="185"/>
    </row>
    <row r="32639">
      <c r="D32639" s="185"/>
      <c r="E32639" s="185" t="s">
        <v>470</v>
      </c>
      <c r="H32639" s="185"/>
    </row>
    <row r="32640">
      <c r="D32640" s="185"/>
      <c r="E32640" s="185" t="s">
        <v>470</v>
      </c>
      <c r="H32640" s="185"/>
    </row>
    <row r="32641">
      <c r="D32641" s="185"/>
      <c r="E32641" s="185" t="s">
        <v>470</v>
      </c>
      <c r="H32641" s="185"/>
    </row>
    <row r="32642">
      <c r="D32642" s="185"/>
      <c r="E32642" s="185" t="s">
        <v>470</v>
      </c>
      <c r="H32642" s="185"/>
    </row>
    <row r="32643">
      <c r="D32643" s="185"/>
      <c r="E32643" s="185" t="s">
        <v>470</v>
      </c>
      <c r="H32643" s="185"/>
    </row>
    <row r="32644">
      <c r="D32644" s="185"/>
      <c r="E32644" s="185" t="s">
        <v>470</v>
      </c>
      <c r="H32644" s="185"/>
    </row>
    <row r="32645">
      <c r="D32645" s="185"/>
      <c r="E32645" s="185" t="s">
        <v>470</v>
      </c>
      <c r="H32645" s="185"/>
    </row>
    <row r="32646">
      <c r="D32646" s="185"/>
      <c r="E32646" s="185" t="s">
        <v>470</v>
      </c>
      <c r="H32646" s="185"/>
    </row>
    <row r="32647">
      <c r="D32647" s="185"/>
      <c r="E32647" s="185" t="s">
        <v>470</v>
      </c>
      <c r="H32647" s="185"/>
    </row>
    <row r="32648">
      <c r="D32648" s="185"/>
      <c r="E32648" s="185" t="s">
        <v>470</v>
      </c>
      <c r="H32648" s="185"/>
    </row>
    <row r="32649">
      <c r="D32649" s="185"/>
      <c r="E32649" s="185" t="s">
        <v>470</v>
      </c>
      <c r="H32649" s="185"/>
    </row>
    <row r="32650">
      <c r="D32650" s="185"/>
      <c r="E32650" s="185" t="s">
        <v>470</v>
      </c>
      <c r="H32650" s="185"/>
    </row>
    <row r="32651">
      <c r="D32651" s="185"/>
      <c r="E32651" s="185" t="s">
        <v>470</v>
      </c>
      <c r="H32651" s="185"/>
    </row>
    <row r="32652">
      <c r="D32652" s="185"/>
      <c r="E32652" s="185" t="s">
        <v>470</v>
      </c>
      <c r="H32652" s="185"/>
    </row>
    <row r="32653">
      <c r="D32653" s="185"/>
      <c r="E32653" s="185" t="s">
        <v>470</v>
      </c>
      <c r="H32653" s="185"/>
    </row>
    <row r="32654">
      <c r="D32654" s="185"/>
      <c r="E32654" s="185" t="s">
        <v>470</v>
      </c>
      <c r="H32654" s="185"/>
    </row>
    <row r="32655">
      <c r="D32655" s="185"/>
      <c r="E32655" s="185" t="s">
        <v>470</v>
      </c>
      <c r="H32655" s="185"/>
    </row>
    <row r="32656">
      <c r="D32656" s="185"/>
      <c r="E32656" s="185" t="s">
        <v>470</v>
      </c>
      <c r="H32656" s="185"/>
    </row>
    <row r="32657">
      <c r="D32657" s="185"/>
      <c r="E32657" s="185" t="s">
        <v>470</v>
      </c>
      <c r="H32657" s="185"/>
    </row>
    <row r="32658">
      <c r="D32658" s="185"/>
      <c r="E32658" s="185" t="s">
        <v>470</v>
      </c>
      <c r="H32658" s="185"/>
    </row>
    <row r="32659">
      <c r="D32659" s="185"/>
      <c r="E32659" s="185" t="s">
        <v>470</v>
      </c>
      <c r="H32659" s="185"/>
    </row>
    <row r="32660">
      <c r="D32660" s="185"/>
      <c r="E32660" s="185" t="s">
        <v>470</v>
      </c>
      <c r="H32660" s="185"/>
    </row>
    <row r="32661">
      <c r="D32661" s="185"/>
      <c r="E32661" s="185" t="s">
        <v>470</v>
      </c>
      <c r="H32661" s="185"/>
    </row>
    <row r="32662">
      <c r="D32662" s="185"/>
      <c r="E32662" s="185" t="s">
        <v>470</v>
      </c>
      <c r="H32662" s="185"/>
    </row>
    <row r="32663">
      <c r="D32663" s="185"/>
      <c r="E32663" s="185" t="s">
        <v>470</v>
      </c>
      <c r="H32663" s="185"/>
    </row>
    <row r="32664">
      <c r="D32664" s="185"/>
      <c r="E32664" s="185" t="s">
        <v>470</v>
      </c>
      <c r="H32664" s="185"/>
    </row>
    <row r="32665">
      <c r="D32665" s="185"/>
      <c r="E32665" s="185" t="s">
        <v>470</v>
      </c>
      <c r="H32665" s="185"/>
    </row>
    <row r="32666">
      <c r="D32666" s="185"/>
      <c r="E32666" s="185" t="s">
        <v>470</v>
      </c>
      <c r="H32666" s="185"/>
    </row>
    <row r="32667">
      <c r="D32667" s="185"/>
      <c r="E32667" s="185" t="s">
        <v>470</v>
      </c>
      <c r="H32667" s="185"/>
    </row>
    <row r="32668">
      <c r="D32668" s="185"/>
      <c r="E32668" s="185" t="s">
        <v>470</v>
      </c>
      <c r="H32668" s="185"/>
    </row>
    <row r="32669">
      <c r="D32669" s="185"/>
      <c r="E32669" s="185" t="s">
        <v>470</v>
      </c>
      <c r="H32669" s="185"/>
    </row>
    <row r="32670">
      <c r="D32670" s="185"/>
      <c r="E32670" s="185" t="s">
        <v>470</v>
      </c>
      <c r="H32670" s="185"/>
    </row>
    <row r="32671">
      <c r="D32671" s="185"/>
      <c r="E32671" s="185" t="s">
        <v>470</v>
      </c>
      <c r="H32671" s="185"/>
    </row>
    <row r="32672">
      <c r="D32672" s="185"/>
      <c r="E32672" s="185" t="s">
        <v>470</v>
      </c>
      <c r="H32672" s="185"/>
    </row>
    <row r="32673">
      <c r="D32673" s="185"/>
      <c r="E32673" s="185" t="s">
        <v>470</v>
      </c>
      <c r="H32673" s="185"/>
    </row>
    <row r="32674">
      <c r="D32674" s="185"/>
      <c r="E32674" s="185" t="s">
        <v>470</v>
      </c>
      <c r="H32674" s="185"/>
    </row>
    <row r="32675">
      <c r="D32675" s="185"/>
      <c r="E32675" s="185" t="s">
        <v>470</v>
      </c>
      <c r="H32675" s="185"/>
    </row>
    <row r="32676">
      <c r="D32676" s="185"/>
      <c r="E32676" s="185" t="s">
        <v>470</v>
      </c>
      <c r="H32676" s="185"/>
    </row>
    <row r="32677">
      <c r="D32677" s="185"/>
      <c r="E32677" s="185" t="s">
        <v>470</v>
      </c>
      <c r="H32677" s="185"/>
    </row>
    <row r="32678">
      <c r="D32678" s="185"/>
      <c r="E32678" s="185" t="s">
        <v>470</v>
      </c>
      <c r="H32678" s="185"/>
    </row>
    <row r="32679">
      <c r="D32679" s="185"/>
      <c r="E32679" s="185" t="s">
        <v>470</v>
      </c>
      <c r="H32679" s="185"/>
    </row>
    <row r="32680">
      <c r="D32680" s="185"/>
      <c r="E32680" s="185" t="s">
        <v>470</v>
      </c>
      <c r="H32680" s="185"/>
    </row>
    <row r="32681">
      <c r="D32681" s="185"/>
      <c r="E32681" s="185" t="s">
        <v>470</v>
      </c>
      <c r="H32681" s="185"/>
    </row>
    <row r="32682">
      <c r="D32682" s="185"/>
      <c r="E32682" s="185" t="s">
        <v>470</v>
      </c>
      <c r="H32682" s="185"/>
    </row>
    <row r="32683">
      <c r="D32683" s="185"/>
      <c r="E32683" s="185" t="s">
        <v>470</v>
      </c>
      <c r="H32683" s="185"/>
    </row>
    <row r="32684">
      <c r="D32684" s="185"/>
      <c r="E32684" s="185" t="s">
        <v>470</v>
      </c>
      <c r="H32684" s="185"/>
    </row>
    <row r="32685">
      <c r="D32685" s="185"/>
      <c r="E32685" s="185" t="s">
        <v>470</v>
      </c>
      <c r="H32685" s="185"/>
    </row>
    <row r="32686">
      <c r="D32686" s="185"/>
      <c r="E32686" s="185" t="s">
        <v>470</v>
      </c>
      <c r="H32686" s="185"/>
    </row>
    <row r="32687">
      <c r="D32687" s="185"/>
      <c r="E32687" s="185" t="s">
        <v>470</v>
      </c>
      <c r="H32687" s="185"/>
    </row>
    <row r="32688">
      <c r="D32688" s="185"/>
      <c r="E32688" s="185" t="s">
        <v>470</v>
      </c>
      <c r="H32688" s="185"/>
    </row>
    <row r="32689">
      <c r="D32689" s="185"/>
      <c r="E32689" s="185" t="s">
        <v>470</v>
      </c>
      <c r="H32689" s="185"/>
    </row>
    <row r="32690">
      <c r="D32690" s="185"/>
      <c r="E32690" s="185" t="s">
        <v>470</v>
      </c>
      <c r="H32690" s="185"/>
    </row>
    <row r="32691">
      <c r="D32691" s="185"/>
      <c r="E32691" s="185" t="s">
        <v>470</v>
      </c>
      <c r="H32691" s="185"/>
    </row>
    <row r="32692">
      <c r="D32692" s="185"/>
      <c r="E32692" s="185" t="s">
        <v>470</v>
      </c>
      <c r="H32692" s="185"/>
    </row>
    <row r="32693">
      <c r="D32693" s="185"/>
      <c r="E32693" s="185" t="s">
        <v>470</v>
      </c>
      <c r="H32693" s="185"/>
    </row>
    <row r="32694">
      <c r="D32694" s="185"/>
      <c r="E32694" s="185" t="s">
        <v>470</v>
      </c>
      <c r="H32694" s="185"/>
    </row>
    <row r="32695">
      <c r="D32695" s="185"/>
      <c r="E32695" s="185" t="s">
        <v>470</v>
      </c>
      <c r="H32695" s="185"/>
    </row>
    <row r="32696">
      <c r="D32696" s="185"/>
      <c r="E32696" s="185" t="s">
        <v>470</v>
      </c>
      <c r="H32696" s="185"/>
    </row>
    <row r="32697">
      <c r="D32697" s="185"/>
      <c r="E32697" s="185" t="s">
        <v>470</v>
      </c>
      <c r="H32697" s="185"/>
    </row>
    <row r="32698">
      <c r="D32698" s="185"/>
      <c r="E32698" s="185" t="s">
        <v>470</v>
      </c>
      <c r="H32698" s="185"/>
    </row>
    <row r="32699">
      <c r="D32699" s="185"/>
      <c r="E32699" s="185" t="s">
        <v>470</v>
      </c>
      <c r="H32699" s="185"/>
    </row>
    <row r="32700">
      <c r="D32700" s="185"/>
      <c r="E32700" s="185" t="s">
        <v>470</v>
      </c>
      <c r="H32700" s="185"/>
    </row>
    <row r="32701">
      <c r="D32701" s="185"/>
      <c r="E32701" s="185" t="s">
        <v>470</v>
      </c>
      <c r="H32701" s="185"/>
    </row>
    <row r="32702">
      <c r="D32702" s="185"/>
      <c r="E32702" s="185" t="s">
        <v>470</v>
      </c>
      <c r="H32702" s="185"/>
    </row>
    <row r="32703">
      <c r="D32703" s="185"/>
      <c r="E32703" s="185" t="s">
        <v>470</v>
      </c>
      <c r="H32703" s="185"/>
    </row>
    <row r="32704">
      <c r="D32704" s="185"/>
      <c r="E32704" s="185" t="s">
        <v>470</v>
      </c>
      <c r="H32704" s="185"/>
    </row>
    <row r="32705">
      <c r="D32705" s="185"/>
      <c r="E32705" s="185" t="s">
        <v>470</v>
      </c>
      <c r="H32705" s="185"/>
    </row>
    <row r="32706">
      <c r="D32706" s="185"/>
      <c r="E32706" s="185" t="s">
        <v>470</v>
      </c>
      <c r="H32706" s="185"/>
    </row>
    <row r="32707">
      <c r="D32707" s="185"/>
      <c r="E32707" s="185" t="s">
        <v>470</v>
      </c>
      <c r="H32707" s="185"/>
    </row>
    <row r="32708">
      <c r="D32708" s="185"/>
      <c r="E32708" s="185" t="s">
        <v>470</v>
      </c>
      <c r="H32708" s="185"/>
    </row>
    <row r="32709">
      <c r="D32709" s="185"/>
      <c r="E32709" s="185" t="s">
        <v>470</v>
      </c>
      <c r="H32709" s="185"/>
    </row>
    <row r="32710">
      <c r="D32710" s="185"/>
      <c r="E32710" s="185" t="s">
        <v>470</v>
      </c>
      <c r="H32710" s="185"/>
    </row>
    <row r="32711">
      <c r="D32711" s="185"/>
      <c r="E32711" s="185" t="s">
        <v>470</v>
      </c>
      <c r="H32711" s="185"/>
    </row>
    <row r="32712">
      <c r="D32712" s="185"/>
      <c r="E32712" s="185" t="s">
        <v>470</v>
      </c>
      <c r="H32712" s="185"/>
    </row>
    <row r="32713">
      <c r="D32713" s="185"/>
      <c r="E32713" s="185" t="s">
        <v>470</v>
      </c>
      <c r="H32713" s="185"/>
    </row>
    <row r="32714">
      <c r="D32714" s="185"/>
      <c r="E32714" s="185" t="s">
        <v>470</v>
      </c>
      <c r="H32714" s="185"/>
    </row>
    <row r="32715">
      <c r="D32715" s="185"/>
      <c r="E32715" s="185" t="s">
        <v>470</v>
      </c>
      <c r="H32715" s="185"/>
    </row>
    <row r="32716">
      <c r="D32716" s="185"/>
      <c r="E32716" s="185" t="s">
        <v>470</v>
      </c>
      <c r="H32716" s="185"/>
    </row>
    <row r="32717">
      <c r="D32717" s="185"/>
      <c r="E32717" s="185" t="s">
        <v>470</v>
      </c>
      <c r="H32717" s="185"/>
    </row>
    <row r="32718">
      <c r="D32718" s="185"/>
      <c r="E32718" s="185" t="s">
        <v>470</v>
      </c>
      <c r="H32718" s="185"/>
    </row>
    <row r="32719">
      <c r="D32719" s="185"/>
      <c r="E32719" s="185" t="s">
        <v>470</v>
      </c>
      <c r="H32719" s="185"/>
    </row>
    <row r="32720">
      <c r="D32720" s="185"/>
      <c r="E32720" s="185" t="s">
        <v>470</v>
      </c>
      <c r="H32720" s="185"/>
    </row>
    <row r="32721">
      <c r="D32721" s="185"/>
      <c r="E32721" s="185" t="s">
        <v>470</v>
      </c>
      <c r="H32721" s="185"/>
    </row>
    <row r="32722">
      <c r="D32722" s="185"/>
      <c r="E32722" s="185" t="s">
        <v>470</v>
      </c>
      <c r="H32722" s="185"/>
    </row>
    <row r="32723">
      <c r="D32723" s="185"/>
      <c r="E32723" s="185" t="s">
        <v>470</v>
      </c>
      <c r="H32723" s="185"/>
    </row>
    <row r="32724">
      <c r="D32724" s="185"/>
      <c r="E32724" s="185" t="s">
        <v>470</v>
      </c>
      <c r="H32724" s="185"/>
    </row>
    <row r="32725">
      <c r="D32725" s="185"/>
      <c r="E32725" s="185" t="s">
        <v>470</v>
      </c>
      <c r="H32725" s="185"/>
    </row>
    <row r="32726">
      <c r="D32726" s="185"/>
      <c r="E32726" s="185" t="s">
        <v>470</v>
      </c>
      <c r="H32726" s="185"/>
    </row>
    <row r="32727">
      <c r="D32727" s="185"/>
      <c r="E32727" s="185" t="s">
        <v>470</v>
      </c>
      <c r="H32727" s="185"/>
    </row>
    <row r="32728">
      <c r="D32728" s="185"/>
      <c r="E32728" s="185" t="s">
        <v>470</v>
      </c>
      <c r="H32728" s="185"/>
    </row>
    <row r="32729">
      <c r="D32729" s="185"/>
      <c r="E32729" s="185" t="s">
        <v>470</v>
      </c>
      <c r="H32729" s="185"/>
    </row>
    <row r="32730">
      <c r="D32730" s="185"/>
      <c r="E32730" s="185" t="s">
        <v>470</v>
      </c>
      <c r="H32730" s="185"/>
    </row>
    <row r="32731">
      <c r="D32731" s="185"/>
      <c r="E32731" s="185" t="s">
        <v>470</v>
      </c>
      <c r="H32731" s="185"/>
    </row>
    <row r="32732">
      <c r="D32732" s="185"/>
      <c r="E32732" s="185" t="s">
        <v>470</v>
      </c>
      <c r="H32732" s="185"/>
    </row>
    <row r="32733">
      <c r="D32733" s="185"/>
      <c r="E32733" s="185" t="s">
        <v>470</v>
      </c>
      <c r="H32733" s="185"/>
    </row>
    <row r="32734">
      <c r="D32734" s="185"/>
      <c r="E32734" s="185" t="s">
        <v>470</v>
      </c>
      <c r="H32734" s="185"/>
    </row>
    <row r="32735">
      <c r="D32735" s="185"/>
      <c r="E32735" s="185" t="s">
        <v>470</v>
      </c>
      <c r="H32735" s="185"/>
    </row>
    <row r="32736">
      <c r="D32736" s="185"/>
      <c r="E32736" s="185" t="s">
        <v>470</v>
      </c>
      <c r="H32736" s="185"/>
    </row>
    <row r="32737">
      <c r="D32737" s="185"/>
      <c r="E32737" s="185" t="s">
        <v>470</v>
      </c>
      <c r="H32737" s="185"/>
    </row>
    <row r="32738">
      <c r="D32738" s="185"/>
      <c r="E32738" s="185" t="s">
        <v>470</v>
      </c>
      <c r="H32738" s="185"/>
    </row>
    <row r="32739">
      <c r="D32739" s="185"/>
      <c r="E32739" s="185" t="s">
        <v>470</v>
      </c>
      <c r="H32739" s="185"/>
    </row>
    <row r="32740">
      <c r="D32740" s="185"/>
      <c r="E32740" s="185" t="s">
        <v>470</v>
      </c>
      <c r="H32740" s="185"/>
    </row>
    <row r="32741">
      <c r="D32741" s="185"/>
      <c r="E32741" s="185" t="s">
        <v>470</v>
      </c>
      <c r="H32741" s="185"/>
    </row>
    <row r="32742">
      <c r="D32742" s="185"/>
      <c r="E32742" s="185" t="s">
        <v>470</v>
      </c>
      <c r="H32742" s="185"/>
    </row>
    <row r="32743">
      <c r="D32743" s="185"/>
      <c r="E32743" s="185" t="s">
        <v>470</v>
      </c>
      <c r="H32743" s="185"/>
    </row>
    <row r="32744">
      <c r="D32744" s="185"/>
      <c r="E32744" s="185" t="s">
        <v>470</v>
      </c>
      <c r="H32744" s="185"/>
    </row>
    <row r="32745">
      <c r="D32745" s="185"/>
      <c r="E32745" s="185" t="s">
        <v>470</v>
      </c>
      <c r="H32745" s="185"/>
    </row>
    <row r="32746">
      <c r="D32746" s="185"/>
      <c r="E32746" s="185" t="s">
        <v>470</v>
      </c>
      <c r="H32746" s="185"/>
    </row>
    <row r="32747">
      <c r="D32747" s="185"/>
      <c r="E32747" s="185" t="s">
        <v>470</v>
      </c>
      <c r="H32747" s="185"/>
    </row>
    <row r="32748">
      <c r="D32748" s="185"/>
      <c r="E32748" s="185" t="s">
        <v>470</v>
      </c>
      <c r="H32748" s="185"/>
    </row>
    <row r="32749">
      <c r="D32749" s="185"/>
      <c r="E32749" s="185" t="s">
        <v>470</v>
      </c>
      <c r="H32749" s="185"/>
    </row>
    <row r="32750">
      <c r="D32750" s="185"/>
      <c r="E32750" s="185" t="s">
        <v>470</v>
      </c>
      <c r="H32750" s="185"/>
    </row>
    <row r="32751">
      <c r="D32751" s="185"/>
      <c r="E32751" s="185" t="s">
        <v>470</v>
      </c>
      <c r="H32751" s="185"/>
    </row>
    <row r="32752">
      <c r="D32752" s="185"/>
      <c r="E32752" s="185" t="s">
        <v>470</v>
      </c>
      <c r="H32752" s="185"/>
    </row>
    <row r="32753">
      <c r="D32753" s="185"/>
      <c r="E32753" s="185" t="s">
        <v>470</v>
      </c>
      <c r="H32753" s="185"/>
    </row>
    <row r="32754">
      <c r="D32754" s="185"/>
      <c r="E32754" s="185" t="s">
        <v>470</v>
      </c>
      <c r="H32754" s="185"/>
    </row>
    <row r="32755">
      <c r="D32755" s="185"/>
      <c r="E32755" s="185" t="s">
        <v>470</v>
      </c>
      <c r="H32755" s="185"/>
    </row>
    <row r="32756">
      <c r="D32756" s="185"/>
      <c r="E32756" s="185" t="s">
        <v>470</v>
      </c>
      <c r="H32756" s="185"/>
    </row>
    <row r="32757">
      <c r="D32757" s="185"/>
      <c r="E32757" s="185" t="s">
        <v>470</v>
      </c>
      <c r="H32757" s="185"/>
    </row>
    <row r="32758">
      <c r="D32758" s="185"/>
      <c r="E32758" s="185" t="s">
        <v>470</v>
      </c>
      <c r="H32758" s="185"/>
    </row>
    <row r="32759">
      <c r="D32759" s="185"/>
      <c r="E32759" s="185" t="s">
        <v>470</v>
      </c>
      <c r="H32759" s="185"/>
    </row>
    <row r="32760">
      <c r="D32760" s="185"/>
      <c r="E32760" s="185" t="s">
        <v>470</v>
      </c>
      <c r="H32760" s="185"/>
    </row>
    <row r="32761">
      <c r="D32761" s="185"/>
      <c r="E32761" s="185" t="s">
        <v>470</v>
      </c>
      <c r="H32761" s="185"/>
    </row>
    <row r="32762">
      <c r="D32762" s="185"/>
      <c r="E32762" s="185" t="s">
        <v>470</v>
      </c>
      <c r="H32762" s="185"/>
    </row>
    <row r="32763">
      <c r="D32763" s="185"/>
      <c r="E32763" s="185" t="s">
        <v>470</v>
      </c>
      <c r="H32763" s="185"/>
    </row>
    <row r="32764">
      <c r="D32764" s="185"/>
      <c r="E32764" s="185" t="s">
        <v>470</v>
      </c>
      <c r="H32764" s="185"/>
    </row>
    <row r="32765">
      <c r="D32765" s="185"/>
      <c r="E32765" s="185" t="s">
        <v>470</v>
      </c>
      <c r="H32765" s="185"/>
    </row>
    <row r="32766">
      <c r="D32766" s="185"/>
      <c r="E32766" s="185" t="s">
        <v>470</v>
      </c>
      <c r="H32766" s="185"/>
    </row>
    <row r="32767">
      <c r="D32767" s="185"/>
      <c r="E32767" s="185" t="s">
        <v>470</v>
      </c>
      <c r="H32767" s="185"/>
    </row>
    <row r="32768">
      <c r="D32768" s="185"/>
      <c r="E32768" s="185" t="s">
        <v>470</v>
      </c>
      <c r="H32768" s="185"/>
    </row>
    <row r="32769">
      <c r="D32769" s="185"/>
      <c r="E32769" s="185" t="s">
        <v>470</v>
      </c>
      <c r="H32769" s="185"/>
    </row>
    <row r="32770">
      <c r="D32770" s="185"/>
      <c r="E32770" s="185" t="s">
        <v>470</v>
      </c>
      <c r="H32770" s="185"/>
    </row>
    <row r="32771">
      <c r="D32771" s="185"/>
      <c r="E32771" s="185" t="s">
        <v>470</v>
      </c>
      <c r="H32771" s="185"/>
    </row>
    <row r="32772">
      <c r="D32772" s="185"/>
      <c r="E32772" s="185" t="s">
        <v>470</v>
      </c>
      <c r="H32772" s="185"/>
    </row>
    <row r="32773">
      <c r="D32773" s="185"/>
      <c r="E32773" s="185" t="s">
        <v>470</v>
      </c>
      <c r="H32773" s="185"/>
    </row>
    <row r="32774">
      <c r="D32774" s="185"/>
      <c r="E32774" s="185" t="s">
        <v>470</v>
      </c>
      <c r="H32774" s="185"/>
    </row>
    <row r="32775">
      <c r="D32775" s="185"/>
      <c r="E32775" s="185" t="s">
        <v>470</v>
      </c>
      <c r="H32775" s="185"/>
    </row>
    <row r="32776">
      <c r="D32776" s="185"/>
      <c r="E32776" s="185" t="s">
        <v>470</v>
      </c>
      <c r="H32776" s="185"/>
    </row>
    <row r="32777">
      <c r="D32777" s="185"/>
      <c r="E32777" s="185" t="s">
        <v>470</v>
      </c>
      <c r="H32777" s="185"/>
    </row>
    <row r="32778">
      <c r="D32778" s="185"/>
      <c r="E32778" s="185" t="s">
        <v>470</v>
      </c>
      <c r="H32778" s="185"/>
    </row>
    <row r="32779">
      <c r="D32779" s="185"/>
      <c r="E32779" s="185" t="s">
        <v>470</v>
      </c>
      <c r="H32779" s="185"/>
    </row>
    <row r="32780">
      <c r="D32780" s="185"/>
      <c r="E32780" s="185" t="s">
        <v>470</v>
      </c>
      <c r="H32780" s="185"/>
    </row>
    <row r="32781">
      <c r="D32781" s="185"/>
      <c r="E32781" s="185" t="s">
        <v>470</v>
      </c>
      <c r="H32781" s="185"/>
    </row>
    <row r="32782">
      <c r="D32782" s="185"/>
      <c r="E32782" s="185" t="s">
        <v>470</v>
      </c>
      <c r="H32782" s="185"/>
    </row>
    <row r="32783">
      <c r="D32783" s="185"/>
      <c r="E32783" s="185" t="s">
        <v>470</v>
      </c>
      <c r="H32783" s="185"/>
    </row>
    <row r="32784">
      <c r="D32784" s="185"/>
      <c r="E32784" s="185" t="s">
        <v>470</v>
      </c>
      <c r="H32784" s="185"/>
    </row>
    <row r="32785">
      <c r="D32785" s="185"/>
      <c r="E32785" s="185" t="s">
        <v>470</v>
      </c>
      <c r="H32785" s="185"/>
    </row>
    <row r="32786">
      <c r="D32786" s="185"/>
      <c r="E32786" s="185" t="s">
        <v>470</v>
      </c>
      <c r="H32786" s="185"/>
    </row>
    <row r="32787">
      <c r="D32787" s="185"/>
      <c r="E32787" s="185" t="s">
        <v>470</v>
      </c>
      <c r="H32787" s="185"/>
    </row>
    <row r="32788">
      <c r="D32788" s="185"/>
      <c r="E32788" s="185" t="s">
        <v>470</v>
      </c>
      <c r="H32788" s="185"/>
    </row>
    <row r="32789">
      <c r="D32789" s="185"/>
      <c r="E32789" s="185" t="s">
        <v>470</v>
      </c>
      <c r="H32789" s="185"/>
    </row>
    <row r="32790">
      <c r="D32790" s="185"/>
      <c r="E32790" s="185" t="s">
        <v>470</v>
      </c>
      <c r="H32790" s="185"/>
    </row>
    <row r="32791">
      <c r="D32791" s="185"/>
      <c r="E32791" s="185" t="s">
        <v>470</v>
      </c>
      <c r="H32791" s="185"/>
    </row>
    <row r="32792">
      <c r="D32792" s="185"/>
      <c r="E32792" s="185" t="s">
        <v>470</v>
      </c>
      <c r="H32792" s="185"/>
    </row>
    <row r="32793">
      <c r="D32793" s="185"/>
      <c r="E32793" s="185" t="s">
        <v>470</v>
      </c>
      <c r="H32793" s="185"/>
    </row>
    <row r="32794">
      <c r="D32794" s="185"/>
      <c r="E32794" s="185" t="s">
        <v>470</v>
      </c>
      <c r="H32794" s="185"/>
    </row>
    <row r="32795">
      <c r="D32795" s="185"/>
      <c r="E32795" s="185" t="s">
        <v>470</v>
      </c>
      <c r="H32795" s="185"/>
    </row>
    <row r="32796">
      <c r="D32796" s="185"/>
      <c r="E32796" s="185" t="s">
        <v>470</v>
      </c>
      <c r="H32796" s="185"/>
    </row>
    <row r="32797">
      <c r="D32797" s="185"/>
      <c r="E32797" s="185" t="s">
        <v>470</v>
      </c>
      <c r="H32797" s="185"/>
    </row>
    <row r="32798">
      <c r="D32798" s="185"/>
      <c r="E32798" s="185" t="s">
        <v>470</v>
      </c>
      <c r="H32798" s="185"/>
    </row>
    <row r="32799">
      <c r="D32799" s="185"/>
      <c r="E32799" s="185" t="s">
        <v>470</v>
      </c>
      <c r="H32799" s="185"/>
    </row>
    <row r="32800">
      <c r="D32800" s="185"/>
      <c r="E32800" s="185" t="s">
        <v>470</v>
      </c>
      <c r="H32800" s="185"/>
    </row>
    <row r="32801">
      <c r="D32801" s="185"/>
      <c r="E32801" s="185" t="s">
        <v>470</v>
      </c>
      <c r="H32801" s="185"/>
    </row>
    <row r="32802">
      <c r="D32802" s="185"/>
      <c r="E32802" s="185" t="s">
        <v>470</v>
      </c>
      <c r="H32802" s="185"/>
    </row>
    <row r="32803">
      <c r="D32803" s="185"/>
      <c r="E32803" s="185" t="s">
        <v>470</v>
      </c>
      <c r="H32803" s="185"/>
    </row>
    <row r="32804">
      <c r="D32804" s="185"/>
      <c r="E32804" s="185" t="s">
        <v>470</v>
      </c>
      <c r="H32804" s="185"/>
    </row>
    <row r="32805">
      <c r="D32805" s="185"/>
      <c r="E32805" s="185" t="s">
        <v>470</v>
      </c>
      <c r="H32805" s="185"/>
    </row>
    <row r="32806">
      <c r="D32806" s="185"/>
      <c r="E32806" s="185" t="s">
        <v>470</v>
      </c>
      <c r="H32806" s="185"/>
    </row>
    <row r="32807">
      <c r="D32807" s="185"/>
      <c r="E32807" s="185" t="s">
        <v>470</v>
      </c>
      <c r="H32807" s="185"/>
    </row>
    <row r="32808">
      <c r="D32808" s="185"/>
      <c r="E32808" s="185" t="s">
        <v>470</v>
      </c>
      <c r="H32808" s="185"/>
    </row>
    <row r="32809">
      <c r="D32809" s="185"/>
      <c r="E32809" s="185" t="s">
        <v>470</v>
      </c>
      <c r="H32809" s="185"/>
    </row>
    <row r="32810">
      <c r="D32810" s="185"/>
      <c r="E32810" s="185" t="s">
        <v>470</v>
      </c>
      <c r="H32810" s="185"/>
    </row>
    <row r="32811">
      <c r="D32811" s="185"/>
      <c r="E32811" s="185" t="s">
        <v>470</v>
      </c>
      <c r="H32811" s="185"/>
    </row>
    <row r="32812">
      <c r="D32812" s="185"/>
      <c r="E32812" s="185" t="s">
        <v>470</v>
      </c>
      <c r="H32812" s="185"/>
    </row>
    <row r="32813">
      <c r="D32813" s="185"/>
      <c r="E32813" s="185" t="s">
        <v>470</v>
      </c>
      <c r="H32813" s="185"/>
    </row>
    <row r="32814">
      <c r="D32814" s="185"/>
      <c r="E32814" s="185" t="s">
        <v>470</v>
      </c>
      <c r="H32814" s="185"/>
    </row>
    <row r="32815">
      <c r="D32815" s="185"/>
      <c r="E32815" s="185" t="s">
        <v>470</v>
      </c>
      <c r="H32815" s="185"/>
    </row>
    <row r="32816">
      <c r="D32816" s="185"/>
      <c r="E32816" s="185" t="s">
        <v>470</v>
      </c>
      <c r="H32816" s="185"/>
    </row>
    <row r="32817">
      <c r="D32817" s="185"/>
      <c r="E32817" s="185" t="s">
        <v>470</v>
      </c>
      <c r="H32817" s="185"/>
    </row>
    <row r="32818">
      <c r="D32818" s="185"/>
      <c r="E32818" s="185" t="s">
        <v>470</v>
      </c>
      <c r="H32818" s="185"/>
    </row>
    <row r="32819">
      <c r="D32819" s="185"/>
      <c r="E32819" s="185" t="s">
        <v>470</v>
      </c>
      <c r="H32819" s="185"/>
    </row>
    <row r="32820">
      <c r="D32820" s="185"/>
      <c r="E32820" s="185" t="s">
        <v>470</v>
      </c>
      <c r="H32820" s="185"/>
    </row>
    <row r="32821">
      <c r="D32821" s="185"/>
      <c r="E32821" s="185" t="s">
        <v>470</v>
      </c>
      <c r="H32821" s="185"/>
    </row>
    <row r="32822">
      <c r="D32822" s="185"/>
      <c r="E32822" s="185" t="s">
        <v>470</v>
      </c>
      <c r="H32822" s="185"/>
    </row>
    <row r="32823">
      <c r="D32823" s="185"/>
      <c r="E32823" s="185" t="s">
        <v>470</v>
      </c>
      <c r="H32823" s="185"/>
    </row>
    <row r="32824">
      <c r="D32824" s="185"/>
      <c r="E32824" s="185" t="s">
        <v>470</v>
      </c>
      <c r="H32824" s="185"/>
    </row>
    <row r="32825">
      <c r="D32825" s="185"/>
      <c r="E32825" s="185" t="s">
        <v>470</v>
      </c>
      <c r="H32825" s="185"/>
    </row>
    <row r="32826">
      <c r="D32826" s="185"/>
      <c r="E32826" s="185" t="s">
        <v>470</v>
      </c>
      <c r="H32826" s="185"/>
    </row>
    <row r="32827">
      <c r="D32827" s="185"/>
      <c r="E32827" s="185" t="s">
        <v>470</v>
      </c>
      <c r="H32827" s="185"/>
    </row>
    <row r="32828">
      <c r="D32828" s="185"/>
      <c r="E32828" s="185" t="s">
        <v>470</v>
      </c>
      <c r="H32828" s="185"/>
    </row>
    <row r="32829">
      <c r="D32829" s="185"/>
      <c r="E32829" s="185" t="s">
        <v>470</v>
      </c>
      <c r="H32829" s="185"/>
    </row>
    <row r="32830">
      <c r="D32830" s="185"/>
      <c r="E32830" s="185" t="s">
        <v>470</v>
      </c>
      <c r="H32830" s="185"/>
    </row>
    <row r="32831">
      <c r="D32831" s="185"/>
      <c r="E32831" s="185" t="s">
        <v>470</v>
      </c>
      <c r="H32831" s="185"/>
    </row>
    <row r="32832">
      <c r="D32832" s="185"/>
      <c r="E32832" s="185" t="s">
        <v>470</v>
      </c>
      <c r="H32832" s="185"/>
    </row>
    <row r="32833">
      <c r="D32833" s="185"/>
      <c r="E32833" s="185" t="s">
        <v>470</v>
      </c>
      <c r="H32833" s="185"/>
    </row>
    <row r="32834">
      <c r="D32834" s="185"/>
      <c r="E32834" s="185" t="s">
        <v>470</v>
      </c>
      <c r="H32834" s="185"/>
    </row>
    <row r="32835">
      <c r="D32835" s="185"/>
      <c r="E32835" s="185" t="s">
        <v>470</v>
      </c>
      <c r="H32835" s="185"/>
    </row>
    <row r="32836">
      <c r="D32836" s="185"/>
      <c r="E32836" s="185" t="s">
        <v>470</v>
      </c>
      <c r="H32836" s="185"/>
    </row>
    <row r="32837">
      <c r="D32837" s="185"/>
      <c r="E32837" s="185" t="s">
        <v>470</v>
      </c>
      <c r="H32837" s="185"/>
    </row>
    <row r="32838">
      <c r="D32838" s="185"/>
      <c r="E32838" s="185" t="s">
        <v>470</v>
      </c>
      <c r="H32838" s="185"/>
    </row>
    <row r="32839">
      <c r="D32839" s="185"/>
      <c r="E32839" s="185" t="s">
        <v>470</v>
      </c>
      <c r="H32839" s="185"/>
    </row>
    <row r="32840">
      <c r="D32840" s="185"/>
      <c r="E32840" s="185" t="s">
        <v>470</v>
      </c>
      <c r="H32840" s="185"/>
    </row>
    <row r="32841">
      <c r="D32841" s="185"/>
      <c r="E32841" s="185" t="s">
        <v>470</v>
      </c>
      <c r="H32841" s="185"/>
    </row>
    <row r="32842">
      <c r="D32842" s="185"/>
      <c r="E32842" s="185" t="s">
        <v>470</v>
      </c>
      <c r="H32842" s="185"/>
    </row>
    <row r="32843">
      <c r="D32843" s="185"/>
      <c r="E32843" s="185" t="s">
        <v>470</v>
      </c>
      <c r="H32843" s="185"/>
    </row>
    <row r="32844">
      <c r="D32844" s="185"/>
      <c r="E32844" s="185" t="s">
        <v>470</v>
      </c>
      <c r="H32844" s="185"/>
    </row>
    <row r="32845">
      <c r="D32845" s="185"/>
      <c r="E32845" s="185" t="s">
        <v>470</v>
      </c>
      <c r="H32845" s="185"/>
    </row>
    <row r="32846">
      <c r="D32846" s="185"/>
      <c r="E32846" s="185" t="s">
        <v>470</v>
      </c>
      <c r="H32846" s="185"/>
    </row>
    <row r="32847">
      <c r="D32847" s="185"/>
      <c r="E32847" s="185" t="s">
        <v>470</v>
      </c>
      <c r="H32847" s="185"/>
    </row>
    <row r="32848">
      <c r="D32848" s="185"/>
      <c r="E32848" s="185" t="s">
        <v>470</v>
      </c>
      <c r="H32848" s="185"/>
    </row>
    <row r="32849">
      <c r="D32849" s="185"/>
      <c r="E32849" s="185" t="s">
        <v>470</v>
      </c>
      <c r="H32849" s="185"/>
    </row>
    <row r="32850">
      <c r="D32850" s="185"/>
      <c r="E32850" s="185" t="s">
        <v>470</v>
      </c>
      <c r="H32850" s="185"/>
    </row>
    <row r="32851">
      <c r="D32851" s="185"/>
      <c r="E32851" s="185" t="s">
        <v>470</v>
      </c>
      <c r="H32851" s="185"/>
    </row>
    <row r="32852">
      <c r="D32852" s="185"/>
      <c r="E32852" s="185" t="s">
        <v>470</v>
      </c>
      <c r="H32852" s="185"/>
    </row>
    <row r="32853">
      <c r="D32853" s="185"/>
      <c r="E32853" s="185" t="s">
        <v>470</v>
      </c>
      <c r="H32853" s="185"/>
    </row>
    <row r="32854">
      <c r="D32854" s="185"/>
      <c r="E32854" s="185" t="s">
        <v>470</v>
      </c>
      <c r="H32854" s="185"/>
    </row>
    <row r="32855">
      <c r="D32855" s="185"/>
      <c r="E32855" s="185" t="s">
        <v>470</v>
      </c>
      <c r="H32855" s="185"/>
    </row>
    <row r="32856">
      <c r="D32856" s="185"/>
      <c r="E32856" s="185" t="s">
        <v>470</v>
      </c>
      <c r="H32856" s="185"/>
    </row>
    <row r="32857">
      <c r="D32857" s="185"/>
      <c r="E32857" s="185" t="s">
        <v>470</v>
      </c>
      <c r="H32857" s="185"/>
    </row>
    <row r="32858">
      <c r="D32858" s="185"/>
      <c r="E32858" s="185" t="s">
        <v>470</v>
      </c>
      <c r="H32858" s="185"/>
    </row>
    <row r="32859">
      <c r="D32859" s="185"/>
      <c r="E32859" s="185" t="s">
        <v>470</v>
      </c>
      <c r="H32859" s="185"/>
    </row>
    <row r="32860">
      <c r="D32860" s="185"/>
      <c r="E32860" s="185" t="s">
        <v>470</v>
      </c>
      <c r="H32860" s="185"/>
    </row>
    <row r="32861">
      <c r="D32861" s="185"/>
      <c r="E32861" s="185" t="s">
        <v>470</v>
      </c>
      <c r="H32861" s="185"/>
    </row>
    <row r="32862">
      <c r="D32862" s="185"/>
      <c r="E32862" s="185" t="s">
        <v>470</v>
      </c>
      <c r="H32862" s="185"/>
    </row>
    <row r="32863">
      <c r="D32863" s="185"/>
      <c r="E32863" s="185" t="s">
        <v>470</v>
      </c>
      <c r="H32863" s="185"/>
    </row>
    <row r="32864">
      <c r="D32864" s="185"/>
      <c r="E32864" s="185" t="s">
        <v>470</v>
      </c>
      <c r="H32864" s="185"/>
    </row>
    <row r="32865">
      <c r="D32865" s="185"/>
      <c r="E32865" s="185" t="s">
        <v>470</v>
      </c>
      <c r="H32865" s="185"/>
    </row>
    <row r="32866">
      <c r="D32866" s="185"/>
      <c r="E32866" s="185" t="s">
        <v>470</v>
      </c>
      <c r="H32866" s="185"/>
    </row>
    <row r="32867">
      <c r="D32867" s="185"/>
      <c r="E32867" s="185" t="s">
        <v>470</v>
      </c>
      <c r="H32867" s="185"/>
    </row>
    <row r="32868">
      <c r="D32868" s="185"/>
      <c r="E32868" s="185" t="s">
        <v>470</v>
      </c>
      <c r="H32868" s="185"/>
    </row>
    <row r="32869">
      <c r="D32869" s="185"/>
      <c r="E32869" s="185" t="s">
        <v>470</v>
      </c>
      <c r="H32869" s="185"/>
    </row>
    <row r="32870">
      <c r="D32870" s="185"/>
      <c r="E32870" s="185" t="s">
        <v>470</v>
      </c>
      <c r="H32870" s="185"/>
    </row>
    <row r="32871">
      <c r="D32871" s="185"/>
      <c r="E32871" s="185" t="s">
        <v>470</v>
      </c>
      <c r="H32871" s="185"/>
    </row>
    <row r="32872">
      <c r="D32872" s="185"/>
      <c r="E32872" s="185" t="s">
        <v>470</v>
      </c>
      <c r="H32872" s="185"/>
    </row>
    <row r="32873">
      <c r="D32873" s="185"/>
      <c r="E32873" s="185" t="s">
        <v>470</v>
      </c>
      <c r="H32873" s="185"/>
    </row>
    <row r="32874">
      <c r="D32874" s="185"/>
      <c r="E32874" s="185" t="s">
        <v>470</v>
      </c>
      <c r="H32874" s="185"/>
    </row>
    <row r="32875">
      <c r="D32875" s="185"/>
      <c r="E32875" s="185" t="s">
        <v>470</v>
      </c>
      <c r="H32875" s="185"/>
    </row>
    <row r="32876">
      <c r="D32876" s="185"/>
      <c r="E32876" s="185" t="s">
        <v>470</v>
      </c>
      <c r="H32876" s="185"/>
    </row>
    <row r="32877">
      <c r="D32877" s="185"/>
      <c r="E32877" s="185" t="s">
        <v>470</v>
      </c>
      <c r="H32877" s="185"/>
    </row>
    <row r="32878">
      <c r="D32878" s="185"/>
      <c r="E32878" s="185" t="s">
        <v>470</v>
      </c>
      <c r="H32878" s="185"/>
    </row>
    <row r="32879">
      <c r="D32879" s="185"/>
      <c r="E32879" s="185" t="s">
        <v>470</v>
      </c>
      <c r="H32879" s="185"/>
    </row>
    <row r="32880">
      <c r="D32880" s="185"/>
      <c r="E32880" s="185" t="s">
        <v>470</v>
      </c>
      <c r="H32880" s="185"/>
    </row>
    <row r="32881">
      <c r="D32881" s="185"/>
      <c r="E32881" s="185" t="s">
        <v>470</v>
      </c>
      <c r="H32881" s="185"/>
    </row>
    <row r="32882">
      <c r="D32882" s="185"/>
      <c r="E32882" s="185" t="s">
        <v>470</v>
      </c>
      <c r="H32882" s="185"/>
    </row>
    <row r="32883">
      <c r="D32883" s="185"/>
      <c r="E32883" s="185" t="s">
        <v>470</v>
      </c>
      <c r="H32883" s="185"/>
    </row>
    <row r="32884">
      <c r="D32884" s="185"/>
      <c r="E32884" s="185" t="s">
        <v>470</v>
      </c>
      <c r="H32884" s="185"/>
    </row>
    <row r="32885">
      <c r="D32885" s="185"/>
      <c r="E32885" s="185" t="s">
        <v>470</v>
      </c>
      <c r="H32885" s="185"/>
    </row>
    <row r="32886">
      <c r="D32886" s="185"/>
      <c r="E32886" s="185" t="s">
        <v>470</v>
      </c>
      <c r="H32886" s="185"/>
    </row>
    <row r="32887">
      <c r="D32887" s="185"/>
      <c r="E32887" s="185" t="s">
        <v>470</v>
      </c>
      <c r="H32887" s="185"/>
    </row>
    <row r="32888">
      <c r="D32888" s="185"/>
      <c r="E32888" s="185" t="s">
        <v>470</v>
      </c>
      <c r="H32888" s="185"/>
    </row>
    <row r="32889">
      <c r="D32889" s="185"/>
      <c r="E32889" s="185" t="s">
        <v>470</v>
      </c>
      <c r="H32889" s="185"/>
    </row>
    <row r="32890">
      <c r="D32890" s="185"/>
      <c r="E32890" s="185" t="s">
        <v>470</v>
      </c>
      <c r="H32890" s="185"/>
    </row>
    <row r="32891">
      <c r="D32891" s="185"/>
      <c r="E32891" s="185" t="s">
        <v>470</v>
      </c>
      <c r="H32891" s="185"/>
    </row>
    <row r="32892">
      <c r="D32892" s="185"/>
      <c r="E32892" s="185" t="s">
        <v>470</v>
      </c>
      <c r="H32892" s="185"/>
    </row>
    <row r="32893">
      <c r="D32893" s="185"/>
      <c r="E32893" s="185" t="s">
        <v>470</v>
      </c>
      <c r="H32893" s="185"/>
    </row>
    <row r="32894">
      <c r="D32894" s="185"/>
      <c r="E32894" s="185" t="s">
        <v>470</v>
      </c>
      <c r="H32894" s="185"/>
    </row>
    <row r="32895">
      <c r="D32895" s="185"/>
      <c r="E32895" s="185" t="s">
        <v>470</v>
      </c>
      <c r="H32895" s="185"/>
    </row>
    <row r="32896">
      <c r="D32896" s="185"/>
      <c r="E32896" s="185" t="s">
        <v>470</v>
      </c>
      <c r="H32896" s="185"/>
    </row>
    <row r="32897">
      <c r="D32897" s="185"/>
      <c r="E32897" s="185" t="s">
        <v>470</v>
      </c>
      <c r="H32897" s="185"/>
    </row>
    <row r="32898">
      <c r="D32898" s="185"/>
      <c r="E32898" s="185" t="s">
        <v>470</v>
      </c>
      <c r="H32898" s="185"/>
    </row>
    <row r="32899">
      <c r="D32899" s="185"/>
      <c r="E32899" s="185" t="s">
        <v>470</v>
      </c>
      <c r="H32899" s="185"/>
    </row>
    <row r="32900">
      <c r="D32900" s="185"/>
      <c r="E32900" s="185" t="s">
        <v>470</v>
      </c>
      <c r="H32900" s="185"/>
    </row>
    <row r="32901">
      <c r="D32901" s="185"/>
      <c r="E32901" s="185" t="s">
        <v>470</v>
      </c>
      <c r="H32901" s="185"/>
    </row>
    <row r="32902">
      <c r="D32902" s="185"/>
      <c r="E32902" s="185" t="s">
        <v>470</v>
      </c>
      <c r="H32902" s="185"/>
    </row>
    <row r="32903">
      <c r="D32903" s="185"/>
      <c r="E32903" s="185" t="s">
        <v>470</v>
      </c>
      <c r="H32903" s="185"/>
    </row>
    <row r="32904">
      <c r="D32904" s="185"/>
      <c r="E32904" s="185" t="s">
        <v>470</v>
      </c>
      <c r="H32904" s="185"/>
    </row>
    <row r="32905">
      <c r="D32905" s="185"/>
      <c r="E32905" s="185" t="s">
        <v>470</v>
      </c>
      <c r="H32905" s="185"/>
    </row>
    <row r="32906">
      <c r="D32906" s="185"/>
      <c r="E32906" s="185" t="s">
        <v>470</v>
      </c>
      <c r="H32906" s="185"/>
    </row>
    <row r="32907">
      <c r="D32907" s="185"/>
      <c r="E32907" s="185" t="s">
        <v>470</v>
      </c>
      <c r="H32907" s="185"/>
    </row>
    <row r="32908">
      <c r="D32908" s="185"/>
      <c r="E32908" s="185" t="s">
        <v>470</v>
      </c>
      <c r="H32908" s="185"/>
    </row>
    <row r="32909">
      <c r="D32909" s="185"/>
      <c r="E32909" s="185" t="s">
        <v>470</v>
      </c>
      <c r="H32909" s="185"/>
    </row>
    <row r="32910">
      <c r="D32910" s="185"/>
      <c r="E32910" s="185" t="s">
        <v>470</v>
      </c>
      <c r="H32910" s="185"/>
    </row>
    <row r="32911">
      <c r="D32911" s="185"/>
      <c r="E32911" s="185" t="s">
        <v>470</v>
      </c>
      <c r="H32911" s="185"/>
    </row>
    <row r="32912">
      <c r="D32912" s="185"/>
      <c r="E32912" s="185" t="s">
        <v>470</v>
      </c>
      <c r="H32912" s="185"/>
    </row>
    <row r="32913">
      <c r="D32913" s="185"/>
      <c r="E32913" s="185" t="s">
        <v>470</v>
      </c>
      <c r="H32913" s="185"/>
    </row>
    <row r="32914">
      <c r="D32914" s="185"/>
      <c r="E32914" s="185" t="s">
        <v>470</v>
      </c>
      <c r="H32914" s="185"/>
    </row>
    <row r="32915">
      <c r="D32915" s="185"/>
      <c r="E32915" s="185" t="s">
        <v>470</v>
      </c>
      <c r="H32915" s="185"/>
    </row>
    <row r="32916">
      <c r="D32916" s="185"/>
      <c r="E32916" s="185" t="s">
        <v>470</v>
      </c>
      <c r="H32916" s="185"/>
    </row>
    <row r="32917">
      <c r="D32917" s="185"/>
      <c r="E32917" s="185" t="s">
        <v>470</v>
      </c>
      <c r="H32917" s="185"/>
    </row>
    <row r="32918">
      <c r="D32918" s="185"/>
      <c r="E32918" s="185" t="s">
        <v>470</v>
      </c>
      <c r="H32918" s="185"/>
    </row>
    <row r="32919">
      <c r="D32919" s="185"/>
      <c r="E32919" s="185" t="s">
        <v>470</v>
      </c>
      <c r="H32919" s="185"/>
    </row>
    <row r="32920">
      <c r="D32920" s="185"/>
      <c r="E32920" s="185" t="s">
        <v>470</v>
      </c>
      <c r="H32920" s="185"/>
    </row>
    <row r="32921">
      <c r="D32921" s="185"/>
      <c r="E32921" s="185" t="s">
        <v>470</v>
      </c>
      <c r="H32921" s="185"/>
    </row>
    <row r="32922">
      <c r="D32922" s="185"/>
      <c r="E32922" s="185" t="s">
        <v>470</v>
      </c>
      <c r="H32922" s="185"/>
    </row>
    <row r="32923">
      <c r="D32923" s="185"/>
      <c r="E32923" s="185" t="s">
        <v>470</v>
      </c>
      <c r="H32923" s="185"/>
    </row>
    <row r="32924">
      <c r="D32924" s="185"/>
      <c r="E32924" s="185" t="s">
        <v>470</v>
      </c>
      <c r="H32924" s="185"/>
    </row>
    <row r="32925">
      <c r="D32925" s="185"/>
      <c r="E32925" s="185" t="s">
        <v>470</v>
      </c>
      <c r="H32925" s="185"/>
    </row>
    <row r="32926">
      <c r="D32926" s="185"/>
      <c r="E32926" s="185" t="s">
        <v>470</v>
      </c>
      <c r="H32926" s="185"/>
    </row>
    <row r="32927">
      <c r="D32927" s="185"/>
      <c r="E32927" s="185" t="s">
        <v>470</v>
      </c>
      <c r="H32927" s="185"/>
    </row>
    <row r="32928">
      <c r="D32928" s="185"/>
      <c r="E32928" s="185" t="s">
        <v>470</v>
      </c>
      <c r="H32928" s="185"/>
    </row>
    <row r="32929">
      <c r="D32929" s="185"/>
      <c r="E32929" s="185" t="s">
        <v>470</v>
      </c>
      <c r="H32929" s="185"/>
    </row>
    <row r="32930">
      <c r="D32930" s="185"/>
      <c r="E32930" s="185" t="s">
        <v>470</v>
      </c>
      <c r="H32930" s="185"/>
    </row>
    <row r="32931">
      <c r="D32931" s="185"/>
      <c r="E32931" s="185" t="s">
        <v>470</v>
      </c>
      <c r="H32931" s="185"/>
    </row>
    <row r="32932">
      <c r="D32932" s="185"/>
      <c r="E32932" s="185" t="s">
        <v>470</v>
      </c>
      <c r="H32932" s="185"/>
    </row>
    <row r="32933">
      <c r="D32933" s="185"/>
      <c r="E32933" s="185" t="s">
        <v>470</v>
      </c>
      <c r="H32933" s="185"/>
    </row>
    <row r="32934">
      <c r="D32934" s="185"/>
      <c r="E32934" s="185" t="s">
        <v>470</v>
      </c>
      <c r="H32934" s="185"/>
    </row>
    <row r="32935">
      <c r="D32935" s="185"/>
      <c r="E32935" s="185" t="s">
        <v>470</v>
      </c>
      <c r="H32935" s="185"/>
    </row>
    <row r="32936">
      <c r="D32936" s="185"/>
      <c r="E32936" s="185" t="s">
        <v>470</v>
      </c>
      <c r="H32936" s="185"/>
    </row>
    <row r="32937">
      <c r="D32937" s="185"/>
      <c r="E32937" s="185" t="s">
        <v>470</v>
      </c>
      <c r="H32937" s="185"/>
    </row>
    <row r="32938">
      <c r="D32938" s="185"/>
      <c r="E32938" s="185" t="s">
        <v>470</v>
      </c>
      <c r="H32938" s="185"/>
    </row>
    <row r="32939">
      <c r="D32939" s="185"/>
      <c r="E32939" s="185" t="s">
        <v>470</v>
      </c>
      <c r="H32939" s="185"/>
    </row>
    <row r="32940">
      <c r="D32940" s="185"/>
      <c r="E32940" s="185" t="s">
        <v>470</v>
      </c>
      <c r="H32940" s="185"/>
    </row>
    <row r="32941">
      <c r="D32941" s="185"/>
      <c r="E32941" s="185" t="s">
        <v>470</v>
      </c>
      <c r="H32941" s="185"/>
    </row>
    <row r="32942">
      <c r="D32942" s="185"/>
      <c r="E32942" s="185" t="s">
        <v>470</v>
      </c>
      <c r="H32942" s="185"/>
    </row>
    <row r="32943">
      <c r="D32943" s="185"/>
      <c r="E32943" s="185" t="s">
        <v>470</v>
      </c>
      <c r="H32943" s="185"/>
    </row>
    <row r="32944">
      <c r="D32944" s="185"/>
      <c r="E32944" s="185" t="s">
        <v>470</v>
      </c>
      <c r="H32944" s="185"/>
    </row>
    <row r="32945">
      <c r="D32945" s="185"/>
      <c r="E32945" s="185" t="s">
        <v>470</v>
      </c>
      <c r="H32945" s="185"/>
    </row>
    <row r="32946">
      <c r="D32946" s="185"/>
      <c r="E32946" s="185" t="s">
        <v>470</v>
      </c>
      <c r="H32946" s="185"/>
    </row>
    <row r="32947">
      <c r="D32947" s="185"/>
      <c r="E32947" s="185" t="s">
        <v>470</v>
      </c>
      <c r="H32947" s="185"/>
    </row>
    <row r="32948">
      <c r="D32948" s="185"/>
      <c r="E32948" s="185" t="s">
        <v>470</v>
      </c>
      <c r="H32948" s="185"/>
    </row>
    <row r="32949">
      <c r="D32949" s="185"/>
      <c r="E32949" s="185" t="s">
        <v>470</v>
      </c>
      <c r="H32949" s="185"/>
    </row>
    <row r="32950">
      <c r="D32950" s="185"/>
      <c r="E32950" s="185" t="s">
        <v>470</v>
      </c>
      <c r="H32950" s="185"/>
    </row>
    <row r="32951">
      <c r="D32951" s="185"/>
      <c r="E32951" s="185" t="s">
        <v>470</v>
      </c>
      <c r="H32951" s="185"/>
    </row>
    <row r="32952">
      <c r="D32952" s="185"/>
      <c r="E32952" s="185" t="s">
        <v>470</v>
      </c>
      <c r="H32952" s="185"/>
    </row>
    <row r="32953">
      <c r="D32953" s="185"/>
      <c r="E32953" s="185" t="s">
        <v>470</v>
      </c>
      <c r="H32953" s="185"/>
    </row>
    <row r="32954">
      <c r="D32954" s="185"/>
      <c r="E32954" s="185" t="s">
        <v>470</v>
      </c>
      <c r="H32954" s="185"/>
    </row>
    <row r="32955">
      <c r="D32955" s="185"/>
      <c r="E32955" s="185" t="s">
        <v>470</v>
      </c>
      <c r="H32955" s="185"/>
    </row>
    <row r="32956">
      <c r="D32956" s="185"/>
      <c r="E32956" s="185" t="s">
        <v>470</v>
      </c>
      <c r="H32956" s="185"/>
    </row>
    <row r="32957">
      <c r="D32957" s="185"/>
      <c r="E32957" s="185" t="s">
        <v>470</v>
      </c>
      <c r="H32957" s="185"/>
    </row>
    <row r="32958">
      <c r="D32958" s="185"/>
      <c r="E32958" s="185" t="s">
        <v>470</v>
      </c>
      <c r="H32958" s="185"/>
    </row>
    <row r="32959">
      <c r="D32959" s="185"/>
      <c r="E32959" s="185" t="s">
        <v>470</v>
      </c>
      <c r="H32959" s="185"/>
    </row>
    <row r="32960">
      <c r="D32960" s="185"/>
      <c r="E32960" s="185" t="s">
        <v>470</v>
      </c>
      <c r="H32960" s="185"/>
    </row>
    <row r="32961">
      <c r="D32961" s="185"/>
      <c r="E32961" s="185" t="s">
        <v>470</v>
      </c>
      <c r="H32961" s="185"/>
    </row>
    <row r="32962">
      <c r="D32962" s="185"/>
      <c r="E32962" s="185" t="s">
        <v>470</v>
      </c>
      <c r="H32962" s="185"/>
    </row>
    <row r="32963">
      <c r="D32963" s="185"/>
      <c r="E32963" s="185" t="s">
        <v>470</v>
      </c>
      <c r="H32963" s="185"/>
    </row>
    <row r="32964">
      <c r="D32964" s="185"/>
      <c r="E32964" s="185" t="s">
        <v>470</v>
      </c>
      <c r="H32964" s="185"/>
    </row>
    <row r="32965">
      <c r="D32965" s="185"/>
      <c r="E32965" s="185" t="s">
        <v>470</v>
      </c>
      <c r="H32965" s="185"/>
    </row>
    <row r="32966">
      <c r="D32966" s="185"/>
      <c r="E32966" s="185" t="s">
        <v>470</v>
      </c>
      <c r="H32966" s="185"/>
    </row>
    <row r="32967">
      <c r="D32967" s="185"/>
      <c r="E32967" s="185" t="s">
        <v>470</v>
      </c>
      <c r="H32967" s="185"/>
    </row>
    <row r="32968">
      <c r="D32968" s="185"/>
      <c r="E32968" s="185" t="s">
        <v>470</v>
      </c>
      <c r="H32968" s="185"/>
    </row>
    <row r="32969">
      <c r="D32969" s="185"/>
      <c r="E32969" s="185" t="s">
        <v>470</v>
      </c>
      <c r="H32969" s="185"/>
    </row>
    <row r="32970">
      <c r="D32970" s="185"/>
      <c r="E32970" s="185" t="s">
        <v>470</v>
      </c>
      <c r="H32970" s="185"/>
    </row>
    <row r="32971">
      <c r="D32971" s="185"/>
      <c r="E32971" s="185" t="s">
        <v>470</v>
      </c>
      <c r="H32971" s="185"/>
    </row>
    <row r="32972">
      <c r="D32972" s="185"/>
      <c r="E32972" s="185" t="s">
        <v>470</v>
      </c>
      <c r="H32972" s="185"/>
    </row>
    <row r="32973">
      <c r="D32973" s="185"/>
      <c r="E32973" s="185" t="s">
        <v>470</v>
      </c>
      <c r="H32973" s="185"/>
    </row>
    <row r="32974">
      <c r="D32974" s="185"/>
      <c r="E32974" s="185" t="s">
        <v>470</v>
      </c>
      <c r="H32974" s="185"/>
    </row>
    <row r="32975">
      <c r="D32975" s="185"/>
      <c r="E32975" s="185" t="s">
        <v>470</v>
      </c>
      <c r="H32975" s="185"/>
    </row>
    <row r="32976">
      <c r="D32976" s="185"/>
      <c r="E32976" s="185" t="s">
        <v>470</v>
      </c>
      <c r="H32976" s="185"/>
    </row>
    <row r="32977">
      <c r="D32977" s="185"/>
      <c r="E32977" s="185" t="s">
        <v>470</v>
      </c>
      <c r="H32977" s="185"/>
    </row>
    <row r="32978">
      <c r="D32978" s="185"/>
      <c r="E32978" s="185" t="s">
        <v>470</v>
      </c>
      <c r="H32978" s="185"/>
    </row>
    <row r="32979">
      <c r="D32979" s="185"/>
      <c r="E32979" s="185" t="s">
        <v>470</v>
      </c>
      <c r="H32979" s="185"/>
    </row>
    <row r="32980">
      <c r="D32980" s="185"/>
      <c r="E32980" s="185" t="s">
        <v>470</v>
      </c>
      <c r="H32980" s="185"/>
    </row>
    <row r="32981">
      <c r="D32981" s="185"/>
      <c r="E32981" s="185" t="s">
        <v>470</v>
      </c>
      <c r="H32981" s="185"/>
    </row>
    <row r="32982">
      <c r="D32982" s="185"/>
      <c r="E32982" s="185" t="s">
        <v>470</v>
      </c>
      <c r="H32982" s="185"/>
    </row>
    <row r="32983">
      <c r="D32983" s="185"/>
      <c r="E32983" s="185" t="s">
        <v>470</v>
      </c>
      <c r="H32983" s="185"/>
    </row>
    <row r="32984">
      <c r="D32984" s="185"/>
      <c r="E32984" s="185" t="s">
        <v>470</v>
      </c>
      <c r="H32984" s="185"/>
    </row>
    <row r="32985">
      <c r="D32985" s="185"/>
      <c r="E32985" s="185" t="s">
        <v>470</v>
      </c>
      <c r="H32985" s="185"/>
    </row>
    <row r="32986">
      <c r="D32986" s="185"/>
      <c r="E32986" s="185" t="s">
        <v>470</v>
      </c>
      <c r="H32986" s="185"/>
    </row>
    <row r="32987">
      <c r="D32987" s="185"/>
      <c r="E32987" s="185" t="s">
        <v>470</v>
      </c>
      <c r="H32987" s="185"/>
    </row>
    <row r="32988">
      <c r="D32988" s="185"/>
      <c r="E32988" s="185" t="s">
        <v>470</v>
      </c>
      <c r="H32988" s="185"/>
    </row>
    <row r="32989">
      <c r="D32989" s="185"/>
      <c r="E32989" s="185" t="s">
        <v>470</v>
      </c>
      <c r="H32989" s="185"/>
    </row>
    <row r="32990">
      <c r="D32990" s="185"/>
      <c r="E32990" s="185" t="s">
        <v>470</v>
      </c>
      <c r="H32990" s="185"/>
    </row>
    <row r="32991">
      <c r="D32991" s="185"/>
      <c r="E32991" s="185" t="s">
        <v>470</v>
      </c>
      <c r="H32991" s="185"/>
    </row>
    <row r="32992">
      <c r="D32992" s="185"/>
      <c r="E32992" s="185" t="s">
        <v>470</v>
      </c>
      <c r="H32992" s="185"/>
    </row>
    <row r="32993">
      <c r="D32993" s="185"/>
      <c r="E32993" s="185" t="s">
        <v>470</v>
      </c>
      <c r="H32993" s="185"/>
    </row>
    <row r="32994">
      <c r="D32994" s="185"/>
      <c r="E32994" s="185" t="s">
        <v>470</v>
      </c>
      <c r="H32994" s="185"/>
    </row>
    <row r="32995">
      <c r="D32995" s="185"/>
      <c r="E32995" s="185" t="s">
        <v>470</v>
      </c>
      <c r="H32995" s="185"/>
    </row>
    <row r="32996">
      <c r="D32996" s="185"/>
      <c r="E32996" s="185" t="s">
        <v>470</v>
      </c>
      <c r="H32996" s="185"/>
    </row>
    <row r="32997">
      <c r="D32997" s="185"/>
      <c r="E32997" s="185" t="s">
        <v>470</v>
      </c>
      <c r="H32997" s="185"/>
    </row>
    <row r="32998">
      <c r="D32998" s="185"/>
      <c r="E32998" s="185" t="s">
        <v>470</v>
      </c>
      <c r="H32998" s="185"/>
    </row>
    <row r="32999">
      <c r="D32999" s="185"/>
      <c r="E32999" s="185" t="s">
        <v>470</v>
      </c>
      <c r="H32999" s="185"/>
    </row>
    <row r="33000">
      <c r="D33000" s="185"/>
      <c r="E33000" s="185" t="s">
        <v>470</v>
      </c>
      <c r="H33000" s="185"/>
    </row>
    <row r="33001">
      <c r="D33001" s="185"/>
      <c r="E33001" s="185" t="s">
        <v>470</v>
      </c>
      <c r="H33001" s="185"/>
    </row>
    <row r="33002">
      <c r="D33002" s="185"/>
      <c r="E33002" s="185" t="s">
        <v>470</v>
      </c>
      <c r="H33002" s="185"/>
    </row>
    <row r="33003">
      <c r="D33003" s="185"/>
      <c r="E33003" s="185" t="s">
        <v>470</v>
      </c>
      <c r="H33003" s="185"/>
    </row>
    <row r="33004">
      <c r="D33004" s="185"/>
      <c r="E33004" s="185" t="s">
        <v>470</v>
      </c>
      <c r="H33004" s="185"/>
    </row>
    <row r="33005">
      <c r="D33005" s="185"/>
      <c r="E33005" s="185" t="s">
        <v>470</v>
      </c>
      <c r="H33005" s="185"/>
    </row>
    <row r="33006">
      <c r="D33006" s="185"/>
      <c r="E33006" s="185" t="s">
        <v>470</v>
      </c>
      <c r="H33006" s="185"/>
    </row>
    <row r="33007">
      <c r="D33007" s="185"/>
      <c r="E33007" s="185" t="s">
        <v>470</v>
      </c>
      <c r="H33007" s="185"/>
    </row>
    <row r="33008">
      <c r="D33008" s="185"/>
      <c r="E33008" s="185" t="s">
        <v>470</v>
      </c>
      <c r="H33008" s="185"/>
    </row>
    <row r="33009">
      <c r="D33009" s="185"/>
      <c r="E33009" s="185" t="s">
        <v>470</v>
      </c>
      <c r="H33009" s="185"/>
    </row>
    <row r="33010">
      <c r="D33010" s="185"/>
      <c r="E33010" s="185" t="s">
        <v>470</v>
      </c>
      <c r="H33010" s="185"/>
    </row>
    <row r="33011">
      <c r="D33011" s="185"/>
      <c r="E33011" s="185" t="s">
        <v>470</v>
      </c>
      <c r="H33011" s="185"/>
    </row>
    <row r="33012">
      <c r="D33012" s="185"/>
      <c r="E33012" s="185" t="s">
        <v>470</v>
      </c>
      <c r="H33012" s="185"/>
    </row>
    <row r="33013">
      <c r="D33013" s="185"/>
      <c r="E33013" s="185" t="s">
        <v>470</v>
      </c>
      <c r="H33013" s="185"/>
    </row>
    <row r="33014">
      <c r="D33014" s="185"/>
      <c r="E33014" s="185" t="s">
        <v>470</v>
      </c>
      <c r="H33014" s="185"/>
    </row>
    <row r="33015">
      <c r="D33015" s="185"/>
      <c r="E33015" s="185" t="s">
        <v>470</v>
      </c>
      <c r="H33015" s="185"/>
    </row>
    <row r="33016">
      <c r="D33016" s="185"/>
      <c r="E33016" s="185" t="s">
        <v>470</v>
      </c>
      <c r="H33016" s="185"/>
    </row>
    <row r="33017">
      <c r="D33017" s="185"/>
      <c r="E33017" s="185" t="s">
        <v>470</v>
      </c>
      <c r="H33017" s="185"/>
    </row>
    <row r="33018">
      <c r="D33018" s="185"/>
      <c r="E33018" s="185" t="s">
        <v>470</v>
      </c>
      <c r="H33018" s="185"/>
    </row>
    <row r="33019">
      <c r="D33019" s="185"/>
      <c r="E33019" s="185" t="s">
        <v>470</v>
      </c>
      <c r="H33019" s="185"/>
    </row>
    <row r="33020">
      <c r="D33020" s="185"/>
      <c r="E33020" s="185" t="s">
        <v>470</v>
      </c>
      <c r="H33020" s="185"/>
    </row>
    <row r="33021">
      <c r="D33021" s="185"/>
      <c r="E33021" s="185" t="s">
        <v>470</v>
      </c>
      <c r="H33021" s="185"/>
    </row>
    <row r="33022">
      <c r="D33022" s="185"/>
      <c r="E33022" s="185" t="s">
        <v>470</v>
      </c>
      <c r="H33022" s="185"/>
    </row>
    <row r="33023">
      <c r="D33023" s="185"/>
      <c r="E33023" s="185" t="s">
        <v>470</v>
      </c>
      <c r="H33023" s="185"/>
    </row>
    <row r="33024">
      <c r="D33024" s="185"/>
      <c r="E33024" s="185" t="s">
        <v>470</v>
      </c>
      <c r="H33024" s="185"/>
    </row>
    <row r="33025">
      <c r="D33025" s="185"/>
      <c r="E33025" s="185" t="s">
        <v>470</v>
      </c>
      <c r="H33025" s="185"/>
    </row>
    <row r="33026">
      <c r="D33026" s="185"/>
      <c r="E33026" s="185" t="s">
        <v>470</v>
      </c>
      <c r="H33026" s="185"/>
    </row>
    <row r="33027">
      <c r="D33027" s="185"/>
      <c r="E33027" s="185" t="s">
        <v>470</v>
      </c>
      <c r="H33027" s="185"/>
    </row>
    <row r="33028">
      <c r="D33028" s="185"/>
      <c r="E33028" s="185" t="s">
        <v>470</v>
      </c>
      <c r="H33028" s="185"/>
    </row>
    <row r="33029">
      <c r="D33029" s="185"/>
      <c r="E33029" s="185" t="s">
        <v>470</v>
      </c>
      <c r="H33029" s="185"/>
    </row>
    <row r="33030">
      <c r="D33030" s="185"/>
      <c r="E33030" s="185" t="s">
        <v>470</v>
      </c>
      <c r="H33030" s="185"/>
    </row>
    <row r="33031">
      <c r="D33031" s="185"/>
      <c r="E33031" s="185" t="s">
        <v>470</v>
      </c>
      <c r="H33031" s="185"/>
    </row>
    <row r="33032">
      <c r="D33032" s="185"/>
      <c r="E33032" s="185" t="s">
        <v>470</v>
      </c>
      <c r="H33032" s="185"/>
    </row>
    <row r="33033">
      <c r="D33033" s="185"/>
      <c r="E33033" s="185" t="s">
        <v>470</v>
      </c>
      <c r="H33033" s="185"/>
    </row>
    <row r="33034">
      <c r="D33034" s="185"/>
      <c r="E33034" s="185" t="s">
        <v>470</v>
      </c>
      <c r="H33034" s="185"/>
    </row>
    <row r="33035">
      <c r="D33035" s="185"/>
      <c r="E33035" s="185" t="s">
        <v>470</v>
      </c>
      <c r="H33035" s="185"/>
    </row>
    <row r="33036">
      <c r="D33036" s="185"/>
      <c r="E33036" s="185" t="s">
        <v>470</v>
      </c>
      <c r="H33036" s="185"/>
    </row>
    <row r="33037">
      <c r="D33037" s="185"/>
      <c r="E33037" s="185" t="s">
        <v>470</v>
      </c>
      <c r="H33037" s="185"/>
    </row>
    <row r="33038">
      <c r="D33038" s="185"/>
      <c r="E33038" s="185" t="s">
        <v>470</v>
      </c>
      <c r="H33038" s="185"/>
    </row>
    <row r="33039">
      <c r="D33039" s="185"/>
      <c r="E33039" s="185" t="s">
        <v>470</v>
      </c>
      <c r="H33039" s="185"/>
    </row>
    <row r="33040">
      <c r="D33040" s="185"/>
      <c r="E33040" s="185" t="s">
        <v>470</v>
      </c>
      <c r="H33040" s="185"/>
    </row>
    <row r="33041">
      <c r="D33041" s="185"/>
      <c r="E33041" s="185" t="s">
        <v>470</v>
      </c>
      <c r="H33041" s="185"/>
    </row>
    <row r="33042">
      <c r="D33042" s="185"/>
      <c r="E33042" s="185" t="s">
        <v>470</v>
      </c>
      <c r="H33042" s="185"/>
    </row>
    <row r="33043">
      <c r="D33043" s="185"/>
      <c r="E33043" s="185" t="s">
        <v>470</v>
      </c>
      <c r="H33043" s="185"/>
    </row>
    <row r="33044">
      <c r="D33044" s="185"/>
      <c r="E33044" s="185" t="s">
        <v>470</v>
      </c>
      <c r="H33044" s="185"/>
    </row>
    <row r="33045">
      <c r="D33045" s="185"/>
      <c r="E33045" s="185" t="s">
        <v>470</v>
      </c>
      <c r="H33045" s="185"/>
    </row>
    <row r="33046">
      <c r="D33046" s="185"/>
      <c r="E33046" s="185" t="s">
        <v>470</v>
      </c>
      <c r="H33046" s="185"/>
    </row>
    <row r="33047">
      <c r="D33047" s="185"/>
      <c r="E33047" s="185" t="s">
        <v>470</v>
      </c>
      <c r="H33047" s="185"/>
    </row>
    <row r="33048">
      <c r="D33048" s="185"/>
      <c r="E33048" s="185" t="s">
        <v>470</v>
      </c>
      <c r="H33048" s="185"/>
    </row>
    <row r="33049">
      <c r="D33049" s="185"/>
      <c r="E33049" s="185" t="s">
        <v>470</v>
      </c>
      <c r="H33049" s="185"/>
    </row>
    <row r="33050">
      <c r="D33050" s="185"/>
      <c r="E33050" s="185" t="s">
        <v>470</v>
      </c>
      <c r="H33050" s="185"/>
    </row>
    <row r="33051">
      <c r="D33051" s="185"/>
      <c r="E33051" s="185" t="s">
        <v>470</v>
      </c>
      <c r="H33051" s="185"/>
    </row>
    <row r="33052">
      <c r="D33052" s="185"/>
      <c r="E33052" s="185" t="s">
        <v>470</v>
      </c>
      <c r="H33052" s="185"/>
    </row>
    <row r="33053">
      <c r="D33053" s="185"/>
      <c r="E33053" s="185" t="s">
        <v>470</v>
      </c>
      <c r="H33053" s="185"/>
    </row>
    <row r="33054">
      <c r="D33054" s="185"/>
      <c r="E33054" s="185" t="s">
        <v>470</v>
      </c>
      <c r="H33054" s="185"/>
    </row>
    <row r="33055">
      <c r="D33055" s="185"/>
      <c r="E33055" s="185" t="s">
        <v>470</v>
      </c>
      <c r="H33055" s="185"/>
    </row>
    <row r="33056">
      <c r="D33056" s="185"/>
      <c r="E33056" s="185" t="s">
        <v>470</v>
      </c>
      <c r="H33056" s="185"/>
    </row>
    <row r="33057">
      <c r="D33057" s="185"/>
      <c r="E33057" s="185" t="s">
        <v>470</v>
      </c>
      <c r="H33057" s="185"/>
    </row>
    <row r="33058">
      <c r="D33058" s="185"/>
      <c r="E33058" s="185" t="s">
        <v>470</v>
      </c>
      <c r="H33058" s="185"/>
    </row>
    <row r="33059">
      <c r="D33059" s="185"/>
      <c r="E33059" s="185" t="s">
        <v>470</v>
      </c>
      <c r="H33059" s="185"/>
    </row>
    <row r="33060">
      <c r="D33060" s="185"/>
      <c r="E33060" s="185" t="s">
        <v>470</v>
      </c>
      <c r="H33060" s="185"/>
    </row>
    <row r="33061">
      <c r="D33061" s="185"/>
      <c r="E33061" s="185" t="s">
        <v>470</v>
      </c>
      <c r="H33061" s="185"/>
    </row>
    <row r="33062">
      <c r="D33062" s="185"/>
      <c r="E33062" s="185" t="s">
        <v>470</v>
      </c>
      <c r="H33062" s="185"/>
    </row>
    <row r="33063">
      <c r="D33063" s="185"/>
      <c r="E33063" s="185" t="s">
        <v>470</v>
      </c>
      <c r="H33063" s="185"/>
    </row>
    <row r="33064">
      <c r="D33064" s="185"/>
      <c r="E33064" s="185" t="s">
        <v>470</v>
      </c>
      <c r="H33064" s="185"/>
    </row>
    <row r="33065">
      <c r="D33065" s="185"/>
      <c r="E33065" s="185" t="s">
        <v>470</v>
      </c>
      <c r="H33065" s="185"/>
    </row>
    <row r="33066">
      <c r="D33066" s="185"/>
      <c r="E33066" s="185" t="s">
        <v>470</v>
      </c>
      <c r="H33066" s="185"/>
    </row>
    <row r="33067">
      <c r="D33067" s="185"/>
      <c r="E33067" s="185" t="s">
        <v>470</v>
      </c>
      <c r="H33067" s="185"/>
    </row>
    <row r="33068">
      <c r="D33068" s="185"/>
      <c r="E33068" s="185" t="s">
        <v>470</v>
      </c>
      <c r="H33068" s="185"/>
    </row>
    <row r="33069">
      <c r="D33069" s="185"/>
      <c r="E33069" s="185" t="s">
        <v>470</v>
      </c>
      <c r="H33069" s="185"/>
    </row>
    <row r="33070">
      <c r="D33070" s="185"/>
      <c r="E33070" s="185" t="s">
        <v>470</v>
      </c>
      <c r="H33070" s="185"/>
    </row>
    <row r="33071">
      <c r="D33071" s="185"/>
      <c r="E33071" s="185" t="s">
        <v>470</v>
      </c>
      <c r="H33071" s="185"/>
    </row>
    <row r="33072">
      <c r="D33072" s="185"/>
      <c r="E33072" s="185" t="s">
        <v>470</v>
      </c>
      <c r="H33072" s="185"/>
    </row>
    <row r="33073">
      <c r="D33073" s="185"/>
      <c r="E33073" s="185" t="s">
        <v>470</v>
      </c>
      <c r="H33073" s="185"/>
    </row>
    <row r="33074">
      <c r="D33074" s="185"/>
      <c r="E33074" s="185" t="s">
        <v>470</v>
      </c>
      <c r="H33074" s="185"/>
    </row>
    <row r="33075">
      <c r="D33075" s="185"/>
      <c r="E33075" s="185" t="s">
        <v>470</v>
      </c>
      <c r="H33075" s="185"/>
    </row>
    <row r="33076">
      <c r="D33076" s="185"/>
      <c r="E33076" s="185" t="s">
        <v>470</v>
      </c>
      <c r="H33076" s="185"/>
    </row>
    <row r="33077">
      <c r="D33077" s="185"/>
      <c r="E33077" s="185" t="s">
        <v>470</v>
      </c>
      <c r="H33077" s="185"/>
    </row>
    <row r="33078">
      <c r="D33078" s="185"/>
      <c r="E33078" s="185" t="s">
        <v>470</v>
      </c>
      <c r="H33078" s="185"/>
    </row>
    <row r="33079">
      <c r="D33079" s="185"/>
      <c r="E33079" s="185" t="s">
        <v>470</v>
      </c>
      <c r="H33079" s="185"/>
    </row>
    <row r="33080">
      <c r="D33080" s="185"/>
      <c r="E33080" s="185" t="s">
        <v>470</v>
      </c>
      <c r="H33080" s="185"/>
    </row>
    <row r="33081">
      <c r="D33081" s="185"/>
      <c r="E33081" s="185" t="s">
        <v>470</v>
      </c>
      <c r="H33081" s="185"/>
    </row>
    <row r="33082">
      <c r="D33082" s="185"/>
      <c r="E33082" s="185" t="s">
        <v>470</v>
      </c>
      <c r="H33082" s="185"/>
    </row>
    <row r="33083">
      <c r="D33083" s="185"/>
      <c r="E33083" s="185" t="s">
        <v>470</v>
      </c>
      <c r="H33083" s="185"/>
    </row>
    <row r="33084">
      <c r="D33084" s="185"/>
      <c r="E33084" s="185" t="s">
        <v>470</v>
      </c>
      <c r="H33084" s="185"/>
    </row>
    <row r="33085">
      <c r="D33085" s="185"/>
      <c r="E33085" s="185" t="s">
        <v>470</v>
      </c>
      <c r="H33085" s="185"/>
    </row>
    <row r="33086">
      <c r="D33086" s="185"/>
      <c r="E33086" s="185" t="s">
        <v>470</v>
      </c>
      <c r="H33086" s="185"/>
    </row>
    <row r="33087">
      <c r="D33087" s="185"/>
      <c r="E33087" s="185" t="s">
        <v>470</v>
      </c>
      <c r="H33087" s="185"/>
    </row>
    <row r="33088">
      <c r="D33088" s="185"/>
      <c r="E33088" s="185" t="s">
        <v>470</v>
      </c>
      <c r="H33088" s="185"/>
    </row>
    <row r="33089">
      <c r="D33089" s="185"/>
      <c r="E33089" s="185" t="s">
        <v>470</v>
      </c>
      <c r="H33089" s="185"/>
    </row>
    <row r="33090">
      <c r="D33090" s="185"/>
      <c r="E33090" s="185" t="s">
        <v>470</v>
      </c>
      <c r="H33090" s="185"/>
    </row>
    <row r="33091">
      <c r="D33091" s="185"/>
      <c r="E33091" s="185" t="s">
        <v>470</v>
      </c>
      <c r="H33091" s="185"/>
    </row>
    <row r="33092">
      <c r="D33092" s="185"/>
      <c r="E33092" s="185" t="s">
        <v>470</v>
      </c>
      <c r="H33092" s="185"/>
    </row>
    <row r="33093">
      <c r="D33093" s="185"/>
      <c r="E33093" s="185" t="s">
        <v>470</v>
      </c>
      <c r="H33093" s="185"/>
    </row>
    <row r="33094">
      <c r="D33094" s="185"/>
      <c r="E33094" s="185" t="s">
        <v>470</v>
      </c>
      <c r="H33094" s="185"/>
    </row>
    <row r="33095">
      <c r="D33095" s="185"/>
      <c r="E33095" s="185" t="s">
        <v>470</v>
      </c>
      <c r="H33095" s="185"/>
    </row>
    <row r="33096">
      <c r="D33096" s="185"/>
      <c r="E33096" s="185" t="s">
        <v>470</v>
      </c>
      <c r="H33096" s="185"/>
    </row>
    <row r="33097">
      <c r="D33097" s="185"/>
      <c r="E33097" s="185" t="s">
        <v>470</v>
      </c>
      <c r="H33097" s="185"/>
    </row>
    <row r="33098">
      <c r="D33098" s="185"/>
      <c r="E33098" s="185" t="s">
        <v>470</v>
      </c>
      <c r="H33098" s="185"/>
    </row>
    <row r="33099">
      <c r="D33099" s="185"/>
      <c r="E33099" s="185" t="s">
        <v>470</v>
      </c>
      <c r="H33099" s="185"/>
    </row>
    <row r="33100">
      <c r="D33100" s="185"/>
      <c r="E33100" s="185" t="s">
        <v>470</v>
      </c>
      <c r="H33100" s="185"/>
    </row>
    <row r="33101">
      <c r="D33101" s="185"/>
      <c r="E33101" s="185" t="s">
        <v>470</v>
      </c>
      <c r="H33101" s="185"/>
    </row>
    <row r="33102">
      <c r="D33102" s="185"/>
      <c r="E33102" s="185" t="s">
        <v>470</v>
      </c>
      <c r="H33102" s="185"/>
    </row>
    <row r="33103">
      <c r="D33103" s="185"/>
      <c r="E33103" s="185" t="s">
        <v>470</v>
      </c>
      <c r="H33103" s="185"/>
    </row>
    <row r="33104">
      <c r="D33104" s="185"/>
      <c r="E33104" s="185" t="s">
        <v>470</v>
      </c>
      <c r="H33104" s="185"/>
    </row>
    <row r="33105">
      <c r="D33105" s="185"/>
      <c r="E33105" s="185" t="s">
        <v>470</v>
      </c>
      <c r="H33105" s="185"/>
    </row>
    <row r="33106">
      <c r="D33106" s="185"/>
      <c r="E33106" s="185" t="s">
        <v>470</v>
      </c>
      <c r="H33106" s="185"/>
    </row>
    <row r="33107">
      <c r="D33107" s="185"/>
      <c r="E33107" s="185" t="s">
        <v>470</v>
      </c>
      <c r="H33107" s="185"/>
    </row>
    <row r="33108">
      <c r="D33108" s="185"/>
      <c r="E33108" s="185" t="s">
        <v>470</v>
      </c>
      <c r="H33108" s="185"/>
    </row>
    <row r="33109">
      <c r="D33109" s="185"/>
      <c r="E33109" s="185" t="s">
        <v>470</v>
      </c>
      <c r="H33109" s="185"/>
    </row>
    <row r="33110">
      <c r="D33110" s="185"/>
      <c r="E33110" s="185" t="s">
        <v>470</v>
      </c>
      <c r="H33110" s="185"/>
    </row>
    <row r="33111">
      <c r="D33111" s="185"/>
      <c r="E33111" s="185" t="s">
        <v>470</v>
      </c>
      <c r="H33111" s="185"/>
    </row>
    <row r="33112">
      <c r="D33112" s="185"/>
      <c r="E33112" s="185" t="s">
        <v>470</v>
      </c>
      <c r="H33112" s="185"/>
    </row>
    <row r="33113">
      <c r="D33113" s="185"/>
      <c r="E33113" s="185" t="s">
        <v>470</v>
      </c>
      <c r="H33113" s="185"/>
    </row>
    <row r="33114">
      <c r="D33114" s="185"/>
      <c r="E33114" s="185" t="s">
        <v>470</v>
      </c>
      <c r="H33114" s="185"/>
    </row>
    <row r="33115">
      <c r="D33115" s="185"/>
      <c r="E33115" s="185" t="s">
        <v>470</v>
      </c>
      <c r="H33115" s="185"/>
    </row>
    <row r="33116">
      <c r="D33116" s="185"/>
      <c r="E33116" s="185" t="s">
        <v>470</v>
      </c>
      <c r="H33116" s="185"/>
    </row>
    <row r="33117">
      <c r="D33117" s="185"/>
      <c r="E33117" s="185" t="s">
        <v>470</v>
      </c>
      <c r="H33117" s="185"/>
    </row>
    <row r="33118">
      <c r="D33118" s="185"/>
      <c r="E33118" s="185" t="s">
        <v>470</v>
      </c>
      <c r="H33118" s="185"/>
    </row>
    <row r="33119">
      <c r="D33119" s="185"/>
      <c r="E33119" s="185" t="s">
        <v>470</v>
      </c>
      <c r="H33119" s="185"/>
    </row>
    <row r="33120">
      <c r="D33120" s="185"/>
      <c r="E33120" s="185" t="s">
        <v>470</v>
      </c>
      <c r="H33120" s="185"/>
    </row>
    <row r="33121">
      <c r="D33121" s="185"/>
      <c r="E33121" s="185" t="s">
        <v>470</v>
      </c>
      <c r="H33121" s="185"/>
    </row>
    <row r="33122">
      <c r="D33122" s="185"/>
      <c r="E33122" s="185" t="s">
        <v>470</v>
      </c>
      <c r="H33122" s="185"/>
    </row>
    <row r="33123">
      <c r="D33123" s="185"/>
      <c r="E33123" s="185" t="s">
        <v>470</v>
      </c>
      <c r="H33123" s="185"/>
    </row>
    <row r="33124">
      <c r="D33124" s="185"/>
      <c r="E33124" s="185" t="s">
        <v>470</v>
      </c>
      <c r="H33124" s="185"/>
    </row>
    <row r="33125">
      <c r="D33125" s="185"/>
      <c r="E33125" s="185" t="s">
        <v>470</v>
      </c>
      <c r="H33125" s="185"/>
    </row>
    <row r="33126">
      <c r="D33126" s="185"/>
      <c r="E33126" s="185" t="s">
        <v>470</v>
      </c>
      <c r="H33126" s="185"/>
    </row>
    <row r="33127">
      <c r="D33127" s="185"/>
      <c r="E33127" s="185" t="s">
        <v>470</v>
      </c>
      <c r="H33127" s="185"/>
    </row>
    <row r="33128">
      <c r="D33128" s="185"/>
      <c r="E33128" s="185" t="s">
        <v>470</v>
      </c>
      <c r="H33128" s="185"/>
    </row>
    <row r="33129">
      <c r="D33129" s="185"/>
      <c r="E33129" s="185" t="s">
        <v>470</v>
      </c>
      <c r="H33129" s="185"/>
    </row>
    <row r="33130">
      <c r="D33130" s="185"/>
      <c r="E33130" s="185" t="s">
        <v>470</v>
      </c>
      <c r="H33130" s="185"/>
    </row>
    <row r="33131">
      <c r="D33131" s="185"/>
      <c r="E33131" s="185" t="s">
        <v>470</v>
      </c>
      <c r="H33131" s="185"/>
    </row>
    <row r="33132">
      <c r="D33132" s="185"/>
      <c r="E33132" s="185" t="s">
        <v>470</v>
      </c>
      <c r="H33132" s="185"/>
    </row>
    <row r="33133">
      <c r="D33133" s="185"/>
      <c r="E33133" s="185" t="s">
        <v>470</v>
      </c>
      <c r="H33133" s="185"/>
    </row>
    <row r="33134">
      <c r="D33134" s="185"/>
      <c r="E33134" s="185" t="s">
        <v>470</v>
      </c>
      <c r="H33134" s="185"/>
    </row>
    <row r="33135">
      <c r="D33135" s="185"/>
      <c r="E33135" s="185" t="s">
        <v>470</v>
      </c>
      <c r="H33135" s="185"/>
    </row>
    <row r="33136">
      <c r="D33136" s="185"/>
      <c r="E33136" s="185" t="s">
        <v>470</v>
      </c>
      <c r="H33136" s="185"/>
    </row>
    <row r="33137">
      <c r="D33137" s="185"/>
      <c r="E33137" s="185" t="s">
        <v>470</v>
      </c>
      <c r="H33137" s="185"/>
    </row>
    <row r="33138">
      <c r="D33138" s="185"/>
      <c r="E33138" s="185" t="s">
        <v>470</v>
      </c>
      <c r="H33138" s="185"/>
    </row>
    <row r="33139">
      <c r="D33139" s="185"/>
      <c r="E33139" s="185" t="s">
        <v>470</v>
      </c>
      <c r="H33139" s="185"/>
    </row>
    <row r="33140">
      <c r="D33140" s="185"/>
      <c r="E33140" s="185" t="s">
        <v>470</v>
      </c>
      <c r="H33140" s="185"/>
    </row>
    <row r="33141">
      <c r="D33141" s="185"/>
      <c r="E33141" s="185" t="s">
        <v>470</v>
      </c>
      <c r="H33141" s="185"/>
    </row>
    <row r="33142">
      <c r="D33142" s="185"/>
      <c r="E33142" s="185" t="s">
        <v>470</v>
      </c>
      <c r="H33142" s="185"/>
    </row>
    <row r="33143">
      <c r="D33143" s="185"/>
      <c r="E33143" s="185" t="s">
        <v>470</v>
      </c>
      <c r="H33143" s="185"/>
    </row>
    <row r="33144">
      <c r="D33144" s="185"/>
      <c r="E33144" s="185" t="s">
        <v>470</v>
      </c>
      <c r="H33144" s="185"/>
    </row>
    <row r="33145">
      <c r="D33145" s="185"/>
      <c r="E33145" s="185" t="s">
        <v>470</v>
      </c>
      <c r="H33145" s="185"/>
    </row>
    <row r="33146">
      <c r="D33146" s="185"/>
      <c r="E33146" s="185" t="s">
        <v>470</v>
      </c>
      <c r="H33146" s="185"/>
    </row>
    <row r="33147">
      <c r="D33147" s="185"/>
      <c r="E33147" s="185" t="s">
        <v>470</v>
      </c>
      <c r="H33147" s="185"/>
    </row>
    <row r="33148">
      <c r="D33148" s="185"/>
      <c r="E33148" s="185" t="s">
        <v>470</v>
      </c>
      <c r="H33148" s="185"/>
    </row>
    <row r="33149">
      <c r="D33149" s="185"/>
      <c r="E33149" s="185" t="s">
        <v>470</v>
      </c>
      <c r="H33149" s="185"/>
    </row>
    <row r="33150">
      <c r="D33150" s="185"/>
      <c r="E33150" s="185" t="s">
        <v>470</v>
      </c>
      <c r="H33150" s="185"/>
    </row>
    <row r="33151">
      <c r="D33151" s="185"/>
      <c r="E33151" s="185" t="s">
        <v>470</v>
      </c>
      <c r="H33151" s="185"/>
    </row>
    <row r="33152">
      <c r="D33152" s="185"/>
      <c r="E33152" s="185" t="s">
        <v>470</v>
      </c>
      <c r="H33152" s="185"/>
    </row>
    <row r="33153">
      <c r="D33153" s="185"/>
      <c r="E33153" s="185" t="s">
        <v>470</v>
      </c>
      <c r="H33153" s="185"/>
    </row>
    <row r="33154">
      <c r="D33154" s="185"/>
      <c r="E33154" s="185" t="s">
        <v>470</v>
      </c>
      <c r="H33154" s="185"/>
    </row>
    <row r="33155">
      <c r="D33155" s="185"/>
      <c r="E33155" s="185" t="s">
        <v>470</v>
      </c>
      <c r="H33155" s="185"/>
    </row>
    <row r="33156">
      <c r="D33156" s="185"/>
      <c r="E33156" s="185" t="s">
        <v>470</v>
      </c>
      <c r="H33156" s="185"/>
    </row>
    <row r="33157">
      <c r="D33157" s="185"/>
      <c r="E33157" s="185" t="s">
        <v>470</v>
      </c>
      <c r="H33157" s="185"/>
    </row>
    <row r="33158">
      <c r="D33158" s="185"/>
      <c r="E33158" s="185" t="s">
        <v>470</v>
      </c>
      <c r="H33158" s="185"/>
    </row>
    <row r="33159">
      <c r="D33159" s="185"/>
      <c r="E33159" s="185" t="s">
        <v>470</v>
      </c>
      <c r="H33159" s="185"/>
    </row>
    <row r="33160">
      <c r="D33160" s="185"/>
      <c r="E33160" s="185" t="s">
        <v>470</v>
      </c>
      <c r="H33160" s="185"/>
    </row>
    <row r="33161">
      <c r="D33161" s="185"/>
      <c r="E33161" s="185" t="s">
        <v>470</v>
      </c>
      <c r="H33161" s="185"/>
    </row>
    <row r="33162">
      <c r="D33162" s="185"/>
      <c r="E33162" s="185" t="s">
        <v>470</v>
      </c>
      <c r="H33162" s="185"/>
    </row>
    <row r="33163">
      <c r="D33163" s="185"/>
      <c r="E33163" s="185" t="s">
        <v>470</v>
      </c>
      <c r="H33163" s="185"/>
    </row>
    <row r="33164">
      <c r="D33164" s="185"/>
      <c r="E33164" s="185" t="s">
        <v>470</v>
      </c>
      <c r="H33164" s="185"/>
    </row>
    <row r="33165">
      <c r="D33165" s="185"/>
      <c r="E33165" s="185" t="s">
        <v>470</v>
      </c>
      <c r="H33165" s="185"/>
    </row>
    <row r="33166">
      <c r="D33166" s="185"/>
      <c r="E33166" s="185" t="s">
        <v>470</v>
      </c>
      <c r="H33166" s="185"/>
    </row>
    <row r="33167">
      <c r="D33167" s="185"/>
      <c r="E33167" s="185" t="s">
        <v>470</v>
      </c>
      <c r="H33167" s="185"/>
    </row>
    <row r="33168">
      <c r="D33168" s="185"/>
      <c r="E33168" s="185" t="s">
        <v>470</v>
      </c>
      <c r="H33168" s="185"/>
    </row>
    <row r="33169">
      <c r="D33169" s="185"/>
      <c r="E33169" s="185" t="s">
        <v>470</v>
      </c>
      <c r="H33169" s="185"/>
    </row>
    <row r="33170">
      <c r="D33170" s="185"/>
      <c r="E33170" s="185" t="s">
        <v>470</v>
      </c>
      <c r="H33170" s="185"/>
    </row>
    <row r="33171">
      <c r="D33171" s="185"/>
      <c r="E33171" s="185" t="s">
        <v>470</v>
      </c>
      <c r="H33171" s="185"/>
    </row>
    <row r="33172">
      <c r="D33172" s="185"/>
      <c r="E33172" s="185" t="s">
        <v>470</v>
      </c>
      <c r="H33172" s="185"/>
    </row>
    <row r="33173">
      <c r="D33173" s="185"/>
      <c r="E33173" s="185" t="s">
        <v>470</v>
      </c>
      <c r="H33173" s="185"/>
    </row>
    <row r="33174">
      <c r="D33174" s="185"/>
      <c r="E33174" s="185" t="s">
        <v>470</v>
      </c>
      <c r="H33174" s="185"/>
    </row>
    <row r="33175">
      <c r="D33175" s="185"/>
      <c r="E33175" s="185" t="s">
        <v>470</v>
      </c>
      <c r="H33175" s="185"/>
    </row>
    <row r="33176">
      <c r="D33176" s="185"/>
      <c r="E33176" s="185" t="s">
        <v>470</v>
      </c>
      <c r="H33176" s="185"/>
    </row>
    <row r="33177">
      <c r="D33177" s="185"/>
      <c r="E33177" s="185" t="s">
        <v>470</v>
      </c>
      <c r="H33177" s="185"/>
    </row>
    <row r="33178">
      <c r="D33178" s="185"/>
      <c r="E33178" s="185" t="s">
        <v>470</v>
      </c>
      <c r="H33178" s="185"/>
    </row>
    <row r="33179">
      <c r="D33179" s="185"/>
      <c r="E33179" s="185" t="s">
        <v>470</v>
      </c>
      <c r="H33179" s="185"/>
    </row>
    <row r="33180">
      <c r="D33180" s="185"/>
      <c r="E33180" s="185" t="s">
        <v>470</v>
      </c>
      <c r="H33180" s="185"/>
    </row>
    <row r="33181">
      <c r="D33181" s="185"/>
      <c r="E33181" s="185" t="s">
        <v>470</v>
      </c>
      <c r="H33181" s="185"/>
    </row>
    <row r="33182">
      <c r="D33182" s="185"/>
      <c r="E33182" s="185" t="s">
        <v>470</v>
      </c>
      <c r="H33182" s="185"/>
    </row>
    <row r="33183">
      <c r="D33183" s="185"/>
      <c r="E33183" s="185" t="s">
        <v>470</v>
      </c>
      <c r="H33183" s="185"/>
    </row>
    <row r="33184">
      <c r="D33184" s="185"/>
      <c r="E33184" s="185" t="s">
        <v>470</v>
      </c>
      <c r="H33184" s="185"/>
    </row>
    <row r="33185">
      <c r="D33185" s="185"/>
      <c r="E33185" s="185" t="s">
        <v>470</v>
      </c>
      <c r="H33185" s="185"/>
    </row>
    <row r="33186">
      <c r="D33186" s="185"/>
      <c r="E33186" s="185" t="s">
        <v>470</v>
      </c>
      <c r="H33186" s="185"/>
    </row>
    <row r="33187">
      <c r="D33187" s="185"/>
      <c r="E33187" s="185" t="s">
        <v>470</v>
      </c>
      <c r="H33187" s="185"/>
    </row>
    <row r="33188">
      <c r="D33188" s="185"/>
      <c r="E33188" s="185" t="s">
        <v>470</v>
      </c>
      <c r="H33188" s="185"/>
    </row>
    <row r="33189">
      <c r="D33189" s="185"/>
      <c r="E33189" s="185" t="s">
        <v>470</v>
      </c>
      <c r="H33189" s="185"/>
    </row>
    <row r="33190">
      <c r="D33190" s="185"/>
      <c r="E33190" s="185" t="s">
        <v>470</v>
      </c>
      <c r="H33190" s="185"/>
    </row>
    <row r="33191">
      <c r="D33191" s="185"/>
      <c r="E33191" s="185" t="s">
        <v>470</v>
      </c>
      <c r="H33191" s="185"/>
    </row>
    <row r="33192">
      <c r="D33192" s="185"/>
      <c r="E33192" s="185" t="s">
        <v>470</v>
      </c>
      <c r="H33192" s="185"/>
    </row>
    <row r="33193">
      <c r="D33193" s="185"/>
      <c r="E33193" s="185" t="s">
        <v>470</v>
      </c>
      <c r="H33193" s="185"/>
    </row>
    <row r="33194">
      <c r="D33194" s="185"/>
      <c r="E33194" s="185" t="s">
        <v>470</v>
      </c>
      <c r="H33194" s="185"/>
    </row>
    <row r="33195">
      <c r="D33195" s="185"/>
      <c r="E33195" s="185" t="s">
        <v>470</v>
      </c>
      <c r="H33195" s="185"/>
    </row>
    <row r="33196">
      <c r="D33196" s="185"/>
      <c r="E33196" s="185" t="s">
        <v>470</v>
      </c>
      <c r="H33196" s="185"/>
    </row>
    <row r="33197">
      <c r="D33197" s="185"/>
      <c r="E33197" s="185" t="s">
        <v>470</v>
      </c>
      <c r="H33197" s="185"/>
    </row>
    <row r="33198">
      <c r="D33198" s="185"/>
      <c r="E33198" s="185" t="s">
        <v>470</v>
      </c>
      <c r="H33198" s="185"/>
    </row>
    <row r="33199">
      <c r="D33199" s="185"/>
      <c r="E33199" s="185" t="s">
        <v>470</v>
      </c>
      <c r="H33199" s="185"/>
    </row>
    <row r="33200">
      <c r="D33200" s="185"/>
      <c r="E33200" s="185" t="s">
        <v>470</v>
      </c>
      <c r="H33200" s="185"/>
    </row>
    <row r="33201">
      <c r="D33201" s="185"/>
      <c r="E33201" s="185" t="s">
        <v>470</v>
      </c>
      <c r="H33201" s="185"/>
    </row>
    <row r="33202">
      <c r="D33202" s="185"/>
      <c r="E33202" s="185" t="s">
        <v>470</v>
      </c>
      <c r="H33202" s="185"/>
    </row>
    <row r="33203">
      <c r="D33203" s="185"/>
      <c r="E33203" s="185" t="s">
        <v>470</v>
      </c>
      <c r="H33203" s="185"/>
    </row>
    <row r="33204">
      <c r="D33204" s="185"/>
      <c r="E33204" s="185" t="s">
        <v>470</v>
      </c>
      <c r="H33204" s="185"/>
    </row>
    <row r="33205">
      <c r="D33205" s="185"/>
      <c r="E33205" s="185" t="s">
        <v>470</v>
      </c>
      <c r="H33205" s="185"/>
    </row>
    <row r="33206">
      <c r="D33206" s="185"/>
      <c r="E33206" s="185" t="s">
        <v>470</v>
      </c>
      <c r="H33206" s="185"/>
    </row>
    <row r="33207">
      <c r="D33207" s="185"/>
      <c r="E33207" s="185" t="s">
        <v>470</v>
      </c>
      <c r="H33207" s="185"/>
    </row>
    <row r="33208">
      <c r="D33208" s="185"/>
      <c r="E33208" s="185" t="s">
        <v>470</v>
      </c>
      <c r="H33208" s="185"/>
    </row>
    <row r="33209">
      <c r="D33209" s="185"/>
      <c r="E33209" s="185" t="s">
        <v>470</v>
      </c>
      <c r="H33209" s="185"/>
    </row>
    <row r="33210">
      <c r="D33210" s="185"/>
      <c r="E33210" s="185" t="s">
        <v>470</v>
      </c>
      <c r="H33210" s="185"/>
    </row>
    <row r="33211">
      <c r="D33211" s="185"/>
      <c r="E33211" s="185" t="s">
        <v>470</v>
      </c>
      <c r="H33211" s="185"/>
    </row>
    <row r="33212">
      <c r="D33212" s="185"/>
      <c r="E33212" s="185" t="s">
        <v>470</v>
      </c>
      <c r="H33212" s="185"/>
    </row>
    <row r="33213">
      <c r="D33213" s="185"/>
      <c r="E33213" s="185" t="s">
        <v>470</v>
      </c>
      <c r="H33213" s="185"/>
    </row>
    <row r="33214">
      <c r="D33214" s="185"/>
      <c r="E33214" s="185" t="s">
        <v>470</v>
      </c>
      <c r="H33214" s="185"/>
    </row>
    <row r="33215">
      <c r="D33215" s="185"/>
      <c r="E33215" s="185" t="s">
        <v>470</v>
      </c>
      <c r="H33215" s="185"/>
    </row>
    <row r="33216">
      <c r="D33216" s="185"/>
      <c r="E33216" s="185" t="s">
        <v>470</v>
      </c>
      <c r="H33216" s="185"/>
    </row>
    <row r="33217">
      <c r="D33217" s="185"/>
      <c r="E33217" s="185" t="s">
        <v>470</v>
      </c>
      <c r="H33217" s="185"/>
    </row>
    <row r="33218">
      <c r="D33218" s="185"/>
      <c r="E33218" s="185" t="s">
        <v>470</v>
      </c>
      <c r="H33218" s="185"/>
    </row>
    <row r="33219">
      <c r="D33219" s="185"/>
      <c r="E33219" s="185" t="s">
        <v>470</v>
      </c>
      <c r="H33219" s="185"/>
    </row>
    <row r="33220">
      <c r="D33220" s="185"/>
      <c r="E33220" s="185" t="s">
        <v>470</v>
      </c>
      <c r="H33220" s="185"/>
    </row>
    <row r="33221">
      <c r="D33221" s="185"/>
      <c r="E33221" s="185" t="s">
        <v>470</v>
      </c>
      <c r="H33221" s="185"/>
    </row>
    <row r="33222">
      <c r="D33222" s="185"/>
      <c r="E33222" s="185" t="s">
        <v>470</v>
      </c>
      <c r="H33222" s="185"/>
    </row>
    <row r="33223">
      <c r="D33223" s="185"/>
      <c r="E33223" s="185" t="s">
        <v>470</v>
      </c>
      <c r="H33223" s="185"/>
    </row>
    <row r="33224">
      <c r="D33224" s="185"/>
      <c r="E33224" s="185" t="s">
        <v>470</v>
      </c>
      <c r="H33224" s="185"/>
    </row>
    <row r="33225">
      <c r="D33225" s="185"/>
      <c r="E33225" s="185" t="s">
        <v>470</v>
      </c>
      <c r="H33225" s="185"/>
    </row>
    <row r="33226">
      <c r="D33226" s="185"/>
      <c r="E33226" s="185" t="s">
        <v>470</v>
      </c>
      <c r="H33226" s="185"/>
    </row>
    <row r="33227">
      <c r="D33227" s="185"/>
      <c r="E33227" s="185" t="s">
        <v>470</v>
      </c>
      <c r="H33227" s="185"/>
    </row>
    <row r="33228">
      <c r="D33228" s="185"/>
      <c r="E33228" s="185" t="s">
        <v>470</v>
      </c>
      <c r="H33228" s="185"/>
    </row>
    <row r="33229">
      <c r="D33229" s="185"/>
      <c r="E33229" s="185" t="s">
        <v>470</v>
      </c>
      <c r="H33229" s="185"/>
    </row>
    <row r="33230">
      <c r="D33230" s="185"/>
      <c r="E33230" s="185" t="s">
        <v>470</v>
      </c>
      <c r="H33230" s="185"/>
    </row>
    <row r="33231">
      <c r="D33231" s="185"/>
      <c r="E33231" s="185" t="s">
        <v>470</v>
      </c>
      <c r="H33231" s="185"/>
    </row>
    <row r="33232">
      <c r="D33232" s="185"/>
      <c r="E33232" s="185" t="s">
        <v>470</v>
      </c>
      <c r="H33232" s="185"/>
    </row>
    <row r="33233">
      <c r="D33233" s="185"/>
      <c r="E33233" s="185" t="s">
        <v>470</v>
      </c>
      <c r="H33233" s="185"/>
    </row>
    <row r="33234">
      <c r="D33234" s="185"/>
      <c r="E33234" s="185" t="s">
        <v>470</v>
      </c>
      <c r="H33234" s="185"/>
    </row>
    <row r="33235">
      <c r="D33235" s="185"/>
      <c r="E33235" s="185" t="s">
        <v>470</v>
      </c>
      <c r="H33235" s="185"/>
    </row>
    <row r="33236">
      <c r="D33236" s="185"/>
      <c r="E33236" s="185" t="s">
        <v>470</v>
      </c>
      <c r="H33236" s="185"/>
    </row>
    <row r="33237">
      <c r="D33237" s="185"/>
      <c r="E33237" s="185" t="s">
        <v>470</v>
      </c>
      <c r="H33237" s="185"/>
    </row>
    <row r="33238">
      <c r="D33238" s="185"/>
      <c r="E33238" s="185" t="s">
        <v>470</v>
      </c>
      <c r="H33238" s="185"/>
    </row>
    <row r="33239">
      <c r="D33239" s="185"/>
      <c r="E33239" s="185" t="s">
        <v>470</v>
      </c>
      <c r="H33239" s="185"/>
    </row>
    <row r="33240">
      <c r="D33240" s="185"/>
      <c r="E33240" s="185" t="s">
        <v>470</v>
      </c>
      <c r="H33240" s="185"/>
    </row>
    <row r="33241">
      <c r="D33241" s="185"/>
      <c r="E33241" s="185" t="s">
        <v>470</v>
      </c>
      <c r="H33241" s="185"/>
    </row>
    <row r="33242">
      <c r="D33242" s="185"/>
      <c r="E33242" s="185" t="s">
        <v>470</v>
      </c>
      <c r="H33242" s="185"/>
    </row>
    <row r="33243">
      <c r="D33243" s="185"/>
      <c r="E33243" s="185" t="s">
        <v>470</v>
      </c>
      <c r="H33243" s="185"/>
    </row>
    <row r="33244">
      <c r="D33244" s="185"/>
      <c r="E33244" s="185" t="s">
        <v>470</v>
      </c>
      <c r="H33244" s="185"/>
    </row>
    <row r="33245">
      <c r="D33245" s="185"/>
      <c r="E33245" s="185" t="s">
        <v>470</v>
      </c>
      <c r="H33245" s="185"/>
    </row>
    <row r="33246">
      <c r="D33246" s="185"/>
      <c r="E33246" s="185" t="s">
        <v>470</v>
      </c>
      <c r="H33246" s="185"/>
    </row>
    <row r="33247">
      <c r="D33247" s="185"/>
      <c r="E33247" s="185" t="s">
        <v>470</v>
      </c>
      <c r="H33247" s="185"/>
    </row>
    <row r="33248">
      <c r="D33248" s="185"/>
      <c r="E33248" s="185" t="s">
        <v>470</v>
      </c>
      <c r="H33248" s="185"/>
    </row>
    <row r="33249">
      <c r="D33249" s="185"/>
      <c r="E33249" s="185" t="s">
        <v>470</v>
      </c>
      <c r="H33249" s="185"/>
    </row>
    <row r="33250">
      <c r="D33250" s="185"/>
      <c r="E33250" s="185" t="s">
        <v>470</v>
      </c>
      <c r="H33250" s="185"/>
    </row>
    <row r="33251">
      <c r="D33251" s="185"/>
      <c r="E33251" s="185" t="s">
        <v>470</v>
      </c>
      <c r="H33251" s="185"/>
    </row>
    <row r="33252">
      <c r="D33252" s="185"/>
      <c r="E33252" s="185" t="s">
        <v>470</v>
      </c>
      <c r="H33252" s="185"/>
    </row>
    <row r="33253">
      <c r="D33253" s="185"/>
      <c r="E33253" s="185" t="s">
        <v>470</v>
      </c>
      <c r="H33253" s="185"/>
    </row>
    <row r="33254">
      <c r="D33254" s="185"/>
      <c r="E33254" s="185" t="s">
        <v>470</v>
      </c>
      <c r="H33254" s="185"/>
    </row>
    <row r="33255">
      <c r="D33255" s="185"/>
      <c r="E33255" s="185" t="s">
        <v>470</v>
      </c>
      <c r="H33255" s="185"/>
    </row>
    <row r="33256">
      <c r="D33256" s="185"/>
      <c r="E33256" s="185" t="s">
        <v>470</v>
      </c>
      <c r="H33256" s="185"/>
    </row>
    <row r="33257">
      <c r="D33257" s="185"/>
      <c r="E33257" s="185" t="s">
        <v>470</v>
      </c>
      <c r="H33257" s="185"/>
    </row>
    <row r="33258">
      <c r="D33258" s="185"/>
      <c r="E33258" s="185" t="s">
        <v>470</v>
      </c>
      <c r="H33258" s="185"/>
    </row>
    <row r="33259">
      <c r="D33259" s="185"/>
      <c r="E33259" s="185" t="s">
        <v>470</v>
      </c>
      <c r="H33259" s="185"/>
    </row>
    <row r="33260">
      <c r="D33260" s="185"/>
      <c r="E33260" s="185" t="s">
        <v>470</v>
      </c>
      <c r="H33260" s="185"/>
    </row>
    <row r="33261">
      <c r="D33261" s="185"/>
      <c r="E33261" s="185" t="s">
        <v>470</v>
      </c>
      <c r="H33261" s="185"/>
    </row>
    <row r="33262">
      <c r="D33262" s="185"/>
      <c r="E33262" s="185" t="s">
        <v>470</v>
      </c>
      <c r="H33262" s="185"/>
    </row>
    <row r="33263">
      <c r="D33263" s="185"/>
      <c r="E33263" s="185" t="s">
        <v>470</v>
      </c>
      <c r="H33263" s="185"/>
    </row>
    <row r="33264">
      <c r="D33264" s="185"/>
      <c r="E33264" s="185" t="s">
        <v>470</v>
      </c>
      <c r="H33264" s="185"/>
    </row>
    <row r="33265">
      <c r="D33265" s="185"/>
      <c r="E33265" s="185" t="s">
        <v>470</v>
      </c>
      <c r="H33265" s="185"/>
    </row>
    <row r="33266">
      <c r="D33266" s="185"/>
      <c r="E33266" s="185" t="s">
        <v>470</v>
      </c>
      <c r="H33266" s="185"/>
    </row>
    <row r="33267">
      <c r="D33267" s="185"/>
      <c r="E33267" s="185" t="s">
        <v>470</v>
      </c>
      <c r="H33267" s="185"/>
    </row>
    <row r="33268">
      <c r="D33268" s="185"/>
      <c r="E33268" s="185" t="s">
        <v>470</v>
      </c>
      <c r="H33268" s="185"/>
    </row>
    <row r="33269">
      <c r="D33269" s="185"/>
      <c r="E33269" s="185" t="s">
        <v>470</v>
      </c>
      <c r="H33269" s="185"/>
    </row>
    <row r="33270">
      <c r="D33270" s="185"/>
      <c r="E33270" s="185" t="s">
        <v>470</v>
      </c>
      <c r="H33270" s="185"/>
    </row>
    <row r="33271">
      <c r="D33271" s="185"/>
      <c r="E33271" s="185" t="s">
        <v>470</v>
      </c>
      <c r="H33271" s="185"/>
    </row>
    <row r="33272">
      <c r="D33272" s="185"/>
      <c r="E33272" s="185" t="s">
        <v>470</v>
      </c>
      <c r="H33272" s="185"/>
    </row>
    <row r="33273">
      <c r="D33273" s="185"/>
      <c r="E33273" s="185" t="s">
        <v>470</v>
      </c>
      <c r="H33273" s="185"/>
    </row>
    <row r="33274">
      <c r="D33274" s="185"/>
      <c r="E33274" s="185" t="s">
        <v>470</v>
      </c>
      <c r="H33274" s="185"/>
    </row>
    <row r="33275">
      <c r="D33275" s="185"/>
      <c r="E33275" s="185" t="s">
        <v>470</v>
      </c>
      <c r="H33275" s="185"/>
    </row>
    <row r="33276">
      <c r="D33276" s="185"/>
      <c r="E33276" s="185" t="s">
        <v>470</v>
      </c>
      <c r="H33276" s="185"/>
    </row>
    <row r="33277">
      <c r="D33277" s="185"/>
      <c r="E33277" s="185" t="s">
        <v>470</v>
      </c>
      <c r="H33277" s="185"/>
    </row>
    <row r="33278">
      <c r="D33278" s="185"/>
      <c r="E33278" s="185" t="s">
        <v>470</v>
      </c>
      <c r="H33278" s="185"/>
    </row>
    <row r="33279">
      <c r="D33279" s="185"/>
      <c r="E33279" s="185" t="s">
        <v>470</v>
      </c>
      <c r="H33279" s="185"/>
    </row>
    <row r="33280">
      <c r="D33280" s="185"/>
      <c r="E33280" s="185" t="s">
        <v>470</v>
      </c>
      <c r="H33280" s="185"/>
    </row>
    <row r="33281">
      <c r="D33281" s="185"/>
      <c r="E33281" s="185" t="s">
        <v>470</v>
      </c>
      <c r="H33281" s="185"/>
    </row>
    <row r="33282">
      <c r="D33282" s="185"/>
      <c r="E33282" s="185" t="s">
        <v>470</v>
      </c>
      <c r="H33282" s="185"/>
    </row>
    <row r="33283">
      <c r="D33283" s="185"/>
      <c r="E33283" s="185" t="s">
        <v>470</v>
      </c>
      <c r="H33283" s="185"/>
    </row>
    <row r="33284">
      <c r="D33284" s="185"/>
      <c r="E33284" s="185" t="s">
        <v>470</v>
      </c>
      <c r="H33284" s="185"/>
    </row>
    <row r="33285">
      <c r="D33285" s="185"/>
      <c r="E33285" s="185" t="s">
        <v>470</v>
      </c>
      <c r="H33285" s="185"/>
    </row>
    <row r="33286">
      <c r="D33286" s="185"/>
      <c r="E33286" s="185" t="s">
        <v>470</v>
      </c>
      <c r="H33286" s="185"/>
    </row>
    <row r="33287">
      <c r="D33287" s="185"/>
      <c r="E33287" s="185" t="s">
        <v>470</v>
      </c>
      <c r="H33287" s="185"/>
    </row>
    <row r="33288">
      <c r="D33288" s="185"/>
      <c r="E33288" s="185" t="s">
        <v>470</v>
      </c>
      <c r="H33288" s="185"/>
    </row>
    <row r="33289">
      <c r="D33289" s="185"/>
      <c r="E33289" s="185" t="s">
        <v>470</v>
      </c>
      <c r="H33289" s="185"/>
    </row>
    <row r="33290">
      <c r="D33290" s="185"/>
      <c r="E33290" s="185" t="s">
        <v>470</v>
      </c>
      <c r="H33290" s="185"/>
    </row>
    <row r="33291">
      <c r="D33291" s="185"/>
      <c r="E33291" s="185" t="s">
        <v>470</v>
      </c>
      <c r="H33291" s="185"/>
    </row>
    <row r="33292">
      <c r="D33292" s="185"/>
      <c r="E33292" s="185" t="s">
        <v>470</v>
      </c>
      <c r="H33292" s="185"/>
    </row>
    <row r="33293">
      <c r="D33293" s="185"/>
      <c r="E33293" s="185" t="s">
        <v>470</v>
      </c>
      <c r="H33293" s="185"/>
    </row>
    <row r="33294">
      <c r="D33294" s="185"/>
      <c r="E33294" s="185" t="s">
        <v>470</v>
      </c>
      <c r="H33294" s="185"/>
    </row>
    <row r="33295">
      <c r="D33295" s="185"/>
      <c r="E33295" s="185" t="s">
        <v>470</v>
      </c>
      <c r="H33295" s="185"/>
    </row>
    <row r="33296">
      <c r="D33296" s="185"/>
      <c r="E33296" s="185" t="s">
        <v>470</v>
      </c>
      <c r="H33296" s="185"/>
    </row>
    <row r="33297">
      <c r="D33297" s="185"/>
      <c r="E33297" s="185" t="s">
        <v>470</v>
      </c>
      <c r="H33297" s="185"/>
    </row>
    <row r="33298">
      <c r="D33298" s="185"/>
      <c r="E33298" s="185" t="s">
        <v>470</v>
      </c>
      <c r="H33298" s="185"/>
    </row>
    <row r="33299">
      <c r="D33299" s="185"/>
      <c r="E33299" s="185" t="s">
        <v>470</v>
      </c>
      <c r="H33299" s="185"/>
    </row>
    <row r="33300">
      <c r="D33300" s="185"/>
      <c r="E33300" s="185" t="s">
        <v>470</v>
      </c>
      <c r="H33300" s="185"/>
    </row>
    <row r="33301">
      <c r="D33301" s="185"/>
      <c r="E33301" s="185" t="s">
        <v>470</v>
      </c>
      <c r="H33301" s="185"/>
    </row>
    <row r="33302">
      <c r="D33302" s="185"/>
      <c r="E33302" s="185" t="s">
        <v>470</v>
      </c>
      <c r="H33302" s="185"/>
    </row>
    <row r="33303">
      <c r="D33303" s="185"/>
      <c r="E33303" s="185" t="s">
        <v>470</v>
      </c>
      <c r="H33303" s="185"/>
    </row>
    <row r="33304">
      <c r="D33304" s="185"/>
      <c r="E33304" s="185" t="s">
        <v>470</v>
      </c>
      <c r="H33304" s="185"/>
    </row>
    <row r="33305">
      <c r="D33305" s="185"/>
      <c r="E33305" s="185" t="s">
        <v>470</v>
      </c>
      <c r="H33305" s="185"/>
    </row>
    <row r="33306">
      <c r="D33306" s="185"/>
      <c r="E33306" s="185" t="s">
        <v>470</v>
      </c>
      <c r="H33306" s="185"/>
    </row>
    <row r="33307">
      <c r="D33307" s="185"/>
      <c r="E33307" s="185" t="s">
        <v>470</v>
      </c>
      <c r="H33307" s="185"/>
    </row>
    <row r="33308">
      <c r="D33308" s="185"/>
      <c r="E33308" s="185" t="s">
        <v>470</v>
      </c>
      <c r="H33308" s="185"/>
    </row>
    <row r="33309">
      <c r="D33309" s="185"/>
      <c r="E33309" s="185" t="s">
        <v>470</v>
      </c>
      <c r="H33309" s="185"/>
    </row>
    <row r="33310">
      <c r="D33310" s="185"/>
      <c r="E33310" s="185" t="s">
        <v>470</v>
      </c>
      <c r="H33310" s="185"/>
    </row>
    <row r="33311">
      <c r="D33311" s="185"/>
      <c r="E33311" s="185" t="s">
        <v>470</v>
      </c>
      <c r="H33311" s="185"/>
    </row>
    <row r="33312">
      <c r="D33312" s="185"/>
      <c r="E33312" s="185" t="s">
        <v>470</v>
      </c>
      <c r="H33312" s="185"/>
    </row>
    <row r="33313">
      <c r="D33313" s="185"/>
      <c r="E33313" s="185" t="s">
        <v>470</v>
      </c>
      <c r="H33313" s="185"/>
    </row>
    <row r="33314">
      <c r="D33314" s="185"/>
      <c r="E33314" s="185" t="s">
        <v>470</v>
      </c>
      <c r="H33314" s="185"/>
    </row>
    <row r="33315">
      <c r="D33315" s="185"/>
      <c r="E33315" s="185" t="s">
        <v>470</v>
      </c>
      <c r="H33315" s="185"/>
    </row>
    <row r="33316">
      <c r="D33316" s="185"/>
      <c r="E33316" s="185" t="s">
        <v>470</v>
      </c>
      <c r="H33316" s="185"/>
    </row>
    <row r="33317">
      <c r="D33317" s="185"/>
      <c r="E33317" s="185" t="s">
        <v>470</v>
      </c>
      <c r="H33317" s="185"/>
    </row>
    <row r="33318">
      <c r="D33318" s="185"/>
      <c r="E33318" s="185" t="s">
        <v>470</v>
      </c>
      <c r="H33318" s="185"/>
    </row>
    <row r="33319">
      <c r="D33319" s="185"/>
      <c r="E33319" s="185" t="s">
        <v>470</v>
      </c>
      <c r="H33319" s="185"/>
    </row>
    <row r="33320">
      <c r="D33320" s="185"/>
      <c r="E33320" s="185" t="s">
        <v>470</v>
      </c>
      <c r="H33320" s="185"/>
    </row>
    <row r="33321">
      <c r="D33321" s="185"/>
      <c r="E33321" s="185" t="s">
        <v>470</v>
      </c>
      <c r="H33321" s="185"/>
    </row>
    <row r="33322">
      <c r="D33322" s="185"/>
      <c r="E33322" s="185" t="s">
        <v>470</v>
      </c>
      <c r="H33322" s="185"/>
    </row>
    <row r="33323">
      <c r="D33323" s="185"/>
      <c r="E33323" s="185" t="s">
        <v>470</v>
      </c>
      <c r="H33323" s="185"/>
    </row>
    <row r="33324">
      <c r="D33324" s="185"/>
      <c r="E33324" s="185" t="s">
        <v>470</v>
      </c>
      <c r="H33324" s="185"/>
    </row>
    <row r="33325">
      <c r="D33325" s="185"/>
      <c r="E33325" s="185" t="s">
        <v>470</v>
      </c>
      <c r="H33325" s="185"/>
    </row>
    <row r="33326">
      <c r="D33326" s="185"/>
      <c r="E33326" s="185" t="s">
        <v>470</v>
      </c>
      <c r="H33326" s="185"/>
    </row>
    <row r="33327">
      <c r="D33327" s="185"/>
      <c r="E33327" s="185" t="s">
        <v>470</v>
      </c>
      <c r="H33327" s="185"/>
    </row>
    <row r="33328">
      <c r="D33328" s="185"/>
      <c r="E33328" s="185" t="s">
        <v>470</v>
      </c>
      <c r="H33328" s="185"/>
    </row>
    <row r="33329">
      <c r="D33329" s="185"/>
      <c r="E33329" s="185" t="s">
        <v>470</v>
      </c>
      <c r="H33329" s="185"/>
    </row>
    <row r="33330">
      <c r="D33330" s="185"/>
      <c r="E33330" s="185" t="s">
        <v>470</v>
      </c>
      <c r="H33330" s="185"/>
    </row>
    <row r="33331">
      <c r="D33331" s="185"/>
      <c r="E33331" s="185" t="s">
        <v>470</v>
      </c>
      <c r="H33331" s="185"/>
    </row>
    <row r="33332">
      <c r="D33332" s="185"/>
      <c r="E33332" s="185" t="s">
        <v>470</v>
      </c>
      <c r="H33332" s="185"/>
    </row>
    <row r="33333">
      <c r="D33333" s="185"/>
      <c r="E33333" s="185" t="s">
        <v>470</v>
      </c>
      <c r="H33333" s="185"/>
    </row>
    <row r="33334">
      <c r="D33334" s="185"/>
      <c r="E33334" s="185" t="s">
        <v>470</v>
      </c>
      <c r="H33334" s="185"/>
    </row>
    <row r="33335">
      <c r="D33335" s="185"/>
      <c r="E33335" s="185" t="s">
        <v>470</v>
      </c>
      <c r="H33335" s="185"/>
    </row>
    <row r="33336">
      <c r="D33336" s="185"/>
      <c r="E33336" s="185" t="s">
        <v>470</v>
      </c>
      <c r="H33336" s="185"/>
    </row>
    <row r="33337">
      <c r="D33337" s="185"/>
      <c r="E33337" s="185" t="s">
        <v>470</v>
      </c>
      <c r="H33337" s="185"/>
    </row>
    <row r="33338">
      <c r="D33338" s="185"/>
      <c r="E33338" s="185" t="s">
        <v>470</v>
      </c>
      <c r="H33338" s="185"/>
    </row>
    <row r="33339">
      <c r="D33339" s="185"/>
      <c r="E33339" s="185" t="s">
        <v>470</v>
      </c>
      <c r="H33339" s="185"/>
    </row>
    <row r="33340">
      <c r="D33340" s="185"/>
      <c r="E33340" s="185" t="s">
        <v>470</v>
      </c>
      <c r="H33340" s="185"/>
    </row>
    <row r="33341">
      <c r="D33341" s="185"/>
      <c r="E33341" s="185" t="s">
        <v>470</v>
      </c>
      <c r="H33341" s="185"/>
    </row>
    <row r="33342">
      <c r="D33342" s="185"/>
      <c r="E33342" s="185" t="s">
        <v>470</v>
      </c>
      <c r="H33342" s="185"/>
    </row>
    <row r="33343">
      <c r="D33343" s="185"/>
      <c r="E33343" s="185" t="s">
        <v>470</v>
      </c>
      <c r="H33343" s="185"/>
    </row>
    <row r="33344">
      <c r="D33344" s="185"/>
      <c r="E33344" s="185" t="s">
        <v>470</v>
      </c>
      <c r="H33344" s="185"/>
    </row>
    <row r="33345">
      <c r="D33345" s="185"/>
      <c r="E33345" s="185" t="s">
        <v>470</v>
      </c>
      <c r="H33345" s="185"/>
    </row>
    <row r="33346">
      <c r="D33346" s="185"/>
      <c r="E33346" s="185" t="s">
        <v>470</v>
      </c>
      <c r="H33346" s="185"/>
    </row>
    <row r="33347">
      <c r="D33347" s="185"/>
      <c r="E33347" s="185" t="s">
        <v>470</v>
      </c>
      <c r="H33347" s="185"/>
    </row>
    <row r="33348">
      <c r="D33348" s="185"/>
      <c r="E33348" s="185" t="s">
        <v>470</v>
      </c>
      <c r="H33348" s="185"/>
    </row>
    <row r="33349">
      <c r="D33349" s="185"/>
      <c r="E33349" s="185" t="s">
        <v>470</v>
      </c>
      <c r="H33349" s="185"/>
    </row>
    <row r="33350">
      <c r="D33350" s="185"/>
      <c r="E33350" s="185" t="s">
        <v>470</v>
      </c>
      <c r="H33350" s="185"/>
    </row>
    <row r="33351">
      <c r="D33351" s="185"/>
      <c r="E33351" s="185" t="s">
        <v>470</v>
      </c>
      <c r="H33351" s="185"/>
    </row>
    <row r="33352">
      <c r="D33352" s="185"/>
      <c r="E33352" s="185" t="s">
        <v>470</v>
      </c>
      <c r="H33352" s="185"/>
    </row>
    <row r="33353">
      <c r="D33353" s="185"/>
      <c r="E33353" s="185" t="s">
        <v>470</v>
      </c>
      <c r="H33353" s="185"/>
    </row>
    <row r="33354">
      <c r="D33354" s="185"/>
      <c r="E33354" s="185" t="s">
        <v>470</v>
      </c>
      <c r="H33354" s="185"/>
    </row>
    <row r="33355">
      <c r="D33355" s="185"/>
      <c r="E33355" s="185" t="s">
        <v>470</v>
      </c>
      <c r="H33355" s="185"/>
    </row>
    <row r="33356">
      <c r="D33356" s="185"/>
      <c r="E33356" s="185" t="s">
        <v>470</v>
      </c>
      <c r="H33356" s="185"/>
    </row>
    <row r="33357">
      <c r="D33357" s="185"/>
      <c r="E33357" s="185" t="s">
        <v>470</v>
      </c>
      <c r="H33357" s="185"/>
    </row>
    <row r="33358">
      <c r="D33358" s="185"/>
      <c r="E33358" s="185" t="s">
        <v>470</v>
      </c>
      <c r="H33358" s="185"/>
    </row>
    <row r="33359">
      <c r="D33359" s="185"/>
      <c r="E33359" s="185" t="s">
        <v>470</v>
      </c>
      <c r="H33359" s="185"/>
    </row>
    <row r="33360">
      <c r="D33360" s="185"/>
      <c r="E33360" s="185" t="s">
        <v>470</v>
      </c>
      <c r="H33360" s="185"/>
    </row>
    <row r="33361">
      <c r="D33361" s="185"/>
      <c r="E33361" s="185" t="s">
        <v>470</v>
      </c>
      <c r="H33361" s="185"/>
    </row>
    <row r="33362">
      <c r="D33362" s="185"/>
      <c r="E33362" s="185" t="s">
        <v>470</v>
      </c>
      <c r="H33362" s="185"/>
    </row>
    <row r="33363">
      <c r="D33363" s="185"/>
      <c r="E33363" s="185" t="s">
        <v>470</v>
      </c>
      <c r="H33363" s="185"/>
    </row>
    <row r="33364">
      <c r="D33364" s="185"/>
      <c r="E33364" s="185" t="s">
        <v>470</v>
      </c>
      <c r="H33364" s="185"/>
    </row>
    <row r="33365">
      <c r="D33365" s="185"/>
      <c r="E33365" s="185" t="s">
        <v>470</v>
      </c>
      <c r="H33365" s="185"/>
    </row>
    <row r="33366">
      <c r="D33366" s="185"/>
      <c r="E33366" s="185" t="s">
        <v>470</v>
      </c>
      <c r="H33366" s="185"/>
    </row>
    <row r="33367">
      <c r="D33367" s="185"/>
      <c r="E33367" s="185" t="s">
        <v>470</v>
      </c>
      <c r="H33367" s="185"/>
    </row>
    <row r="33368">
      <c r="D33368" s="185"/>
      <c r="E33368" s="185" t="s">
        <v>470</v>
      </c>
      <c r="H33368" s="185"/>
    </row>
    <row r="33369">
      <c r="D33369" s="185"/>
      <c r="E33369" s="185" t="s">
        <v>470</v>
      </c>
      <c r="H33369" s="185"/>
    </row>
    <row r="33370">
      <c r="D33370" s="185"/>
      <c r="E33370" s="185" t="s">
        <v>470</v>
      </c>
      <c r="H33370" s="185"/>
    </row>
    <row r="33371">
      <c r="D33371" s="185"/>
      <c r="E33371" s="185" t="s">
        <v>470</v>
      </c>
      <c r="H33371" s="185"/>
    </row>
    <row r="33372">
      <c r="D33372" s="185"/>
      <c r="E33372" s="185" t="s">
        <v>470</v>
      </c>
      <c r="H33372" s="185"/>
    </row>
    <row r="33373">
      <c r="D33373" s="185"/>
      <c r="E33373" s="185" t="s">
        <v>470</v>
      </c>
      <c r="H33373" s="185"/>
    </row>
    <row r="33374">
      <c r="D33374" s="185"/>
      <c r="E33374" s="185" t="s">
        <v>470</v>
      </c>
      <c r="H33374" s="185"/>
    </row>
    <row r="33375">
      <c r="D33375" s="185"/>
      <c r="E33375" s="185" t="s">
        <v>470</v>
      </c>
      <c r="H33375" s="185"/>
    </row>
    <row r="33376">
      <c r="D33376" s="185"/>
      <c r="E33376" s="185" t="s">
        <v>470</v>
      </c>
      <c r="H33376" s="185"/>
    </row>
    <row r="33377">
      <c r="D33377" s="185"/>
      <c r="E33377" s="185" t="s">
        <v>470</v>
      </c>
      <c r="H33377" s="185"/>
    </row>
    <row r="33378">
      <c r="D33378" s="185"/>
      <c r="E33378" s="185" t="s">
        <v>470</v>
      </c>
      <c r="H33378" s="185"/>
    </row>
    <row r="33379">
      <c r="D33379" s="185"/>
      <c r="E33379" s="185" t="s">
        <v>470</v>
      </c>
      <c r="H33379" s="185"/>
    </row>
    <row r="33380">
      <c r="D33380" s="185"/>
      <c r="E33380" s="185" t="s">
        <v>470</v>
      </c>
      <c r="H33380" s="185"/>
    </row>
    <row r="33381">
      <c r="D33381" s="185"/>
      <c r="E33381" s="185" t="s">
        <v>470</v>
      </c>
      <c r="H33381" s="185"/>
    </row>
    <row r="33382">
      <c r="D33382" s="185"/>
      <c r="E33382" s="185" t="s">
        <v>470</v>
      </c>
      <c r="H33382" s="185"/>
    </row>
    <row r="33383">
      <c r="D33383" s="185"/>
      <c r="E33383" s="185" t="s">
        <v>470</v>
      </c>
      <c r="H33383" s="185"/>
    </row>
    <row r="33384">
      <c r="D33384" s="185"/>
      <c r="E33384" s="185" t="s">
        <v>470</v>
      </c>
      <c r="H33384" s="185"/>
    </row>
    <row r="33385">
      <c r="D33385" s="185"/>
      <c r="E33385" s="185" t="s">
        <v>470</v>
      </c>
      <c r="H33385" s="185"/>
    </row>
    <row r="33386">
      <c r="D33386" s="185"/>
      <c r="E33386" s="185" t="s">
        <v>470</v>
      </c>
      <c r="H33386" s="185"/>
    </row>
    <row r="33387">
      <c r="D33387" s="185"/>
      <c r="E33387" s="185" t="s">
        <v>470</v>
      </c>
      <c r="H33387" s="185"/>
    </row>
    <row r="33388">
      <c r="D33388" s="185"/>
      <c r="E33388" s="185" t="s">
        <v>470</v>
      </c>
      <c r="H33388" s="185"/>
    </row>
    <row r="33389">
      <c r="D33389" s="185"/>
      <c r="E33389" s="185" t="s">
        <v>470</v>
      </c>
      <c r="H33389" s="185"/>
    </row>
    <row r="33390">
      <c r="D33390" s="185"/>
      <c r="E33390" s="185" t="s">
        <v>470</v>
      </c>
      <c r="H33390" s="185"/>
    </row>
    <row r="33391">
      <c r="D33391" s="185"/>
      <c r="E33391" s="185" t="s">
        <v>470</v>
      </c>
      <c r="H33391" s="185"/>
    </row>
    <row r="33392">
      <c r="D33392" s="185"/>
      <c r="E33392" s="185" t="s">
        <v>470</v>
      </c>
      <c r="H33392" s="185"/>
    </row>
    <row r="33393">
      <c r="D33393" s="185"/>
      <c r="E33393" s="185" t="s">
        <v>470</v>
      </c>
      <c r="H33393" s="185"/>
    </row>
    <row r="33394">
      <c r="D33394" s="185"/>
      <c r="E33394" s="185" t="s">
        <v>470</v>
      </c>
      <c r="H33394" s="185"/>
    </row>
    <row r="33395">
      <c r="D33395" s="185"/>
      <c r="E33395" s="185" t="s">
        <v>470</v>
      </c>
      <c r="H33395" s="185"/>
    </row>
    <row r="33396">
      <c r="D33396" s="185"/>
      <c r="E33396" s="185" t="s">
        <v>470</v>
      </c>
      <c r="H33396" s="185"/>
    </row>
    <row r="33397">
      <c r="D33397" s="185"/>
      <c r="E33397" s="185" t="s">
        <v>470</v>
      </c>
      <c r="H33397" s="185"/>
    </row>
    <row r="33398">
      <c r="D33398" s="185"/>
      <c r="E33398" s="185" t="s">
        <v>470</v>
      </c>
      <c r="H33398" s="185"/>
    </row>
    <row r="33399">
      <c r="D33399" s="185"/>
      <c r="E33399" s="185" t="s">
        <v>470</v>
      </c>
      <c r="H33399" s="185"/>
    </row>
    <row r="33400">
      <c r="D33400" s="185"/>
      <c r="E33400" s="185" t="s">
        <v>470</v>
      </c>
      <c r="H33400" s="185"/>
    </row>
    <row r="33401">
      <c r="D33401" s="185"/>
      <c r="E33401" s="185" t="s">
        <v>470</v>
      </c>
      <c r="H33401" s="185"/>
    </row>
    <row r="33402">
      <c r="D33402" s="185"/>
      <c r="E33402" s="185" t="s">
        <v>470</v>
      </c>
      <c r="H33402" s="185"/>
    </row>
    <row r="33403">
      <c r="D33403" s="185"/>
      <c r="E33403" s="185" t="s">
        <v>470</v>
      </c>
      <c r="H33403" s="185"/>
    </row>
    <row r="33404">
      <c r="D33404" s="185"/>
      <c r="E33404" s="185" t="s">
        <v>470</v>
      </c>
      <c r="H33404" s="185"/>
    </row>
    <row r="33405">
      <c r="D33405" s="185"/>
      <c r="E33405" s="185" t="s">
        <v>470</v>
      </c>
      <c r="H33405" s="185"/>
    </row>
    <row r="33406">
      <c r="D33406" s="185"/>
      <c r="E33406" s="185" t="s">
        <v>470</v>
      </c>
      <c r="H33406" s="185"/>
    </row>
    <row r="33407">
      <c r="D33407" s="185"/>
      <c r="E33407" s="185" t="s">
        <v>470</v>
      </c>
      <c r="H33407" s="185"/>
    </row>
    <row r="33408">
      <c r="D33408" s="185"/>
      <c r="E33408" s="185" t="s">
        <v>470</v>
      </c>
      <c r="H33408" s="185"/>
    </row>
    <row r="33409">
      <c r="D33409" s="185"/>
      <c r="E33409" s="185" t="s">
        <v>470</v>
      </c>
      <c r="H33409" s="185"/>
    </row>
    <row r="33410">
      <c r="D33410" s="185"/>
      <c r="E33410" s="185" t="s">
        <v>470</v>
      </c>
      <c r="H33410" s="185"/>
    </row>
    <row r="33411">
      <c r="D33411" s="185"/>
      <c r="E33411" s="185" t="s">
        <v>470</v>
      </c>
      <c r="H33411" s="185"/>
    </row>
    <row r="33412">
      <c r="D33412" s="185"/>
      <c r="E33412" s="185" t="s">
        <v>470</v>
      </c>
      <c r="H33412" s="185"/>
    </row>
    <row r="33413">
      <c r="D33413" s="185"/>
      <c r="E33413" s="185" t="s">
        <v>470</v>
      </c>
      <c r="H33413" s="185"/>
    </row>
    <row r="33414">
      <c r="D33414" s="185"/>
      <c r="E33414" s="185" t="s">
        <v>470</v>
      </c>
      <c r="H33414" s="185"/>
    </row>
    <row r="33415">
      <c r="D33415" s="185"/>
      <c r="E33415" s="185" t="s">
        <v>470</v>
      </c>
      <c r="H33415" s="185"/>
    </row>
    <row r="33416">
      <c r="D33416" s="185"/>
      <c r="E33416" s="185" t="s">
        <v>470</v>
      </c>
      <c r="H33416" s="185"/>
    </row>
    <row r="33417">
      <c r="D33417" s="185"/>
      <c r="E33417" s="185" t="s">
        <v>470</v>
      </c>
      <c r="H33417" s="185"/>
    </row>
    <row r="33418">
      <c r="D33418" s="185"/>
      <c r="E33418" s="185" t="s">
        <v>470</v>
      </c>
      <c r="H33418" s="185"/>
    </row>
    <row r="33419">
      <c r="D33419" s="185"/>
      <c r="E33419" s="185" t="s">
        <v>470</v>
      </c>
      <c r="H33419" s="185"/>
    </row>
    <row r="33420">
      <c r="D33420" s="185"/>
      <c r="E33420" s="185" t="s">
        <v>470</v>
      </c>
      <c r="H33420" s="185"/>
    </row>
    <row r="33421">
      <c r="D33421" s="185"/>
      <c r="E33421" s="185" t="s">
        <v>470</v>
      </c>
      <c r="H33421" s="185"/>
    </row>
    <row r="33422">
      <c r="D33422" s="185"/>
      <c r="E33422" s="185" t="s">
        <v>470</v>
      </c>
      <c r="H33422" s="185"/>
    </row>
    <row r="33423">
      <c r="D33423" s="185"/>
      <c r="E33423" s="185" t="s">
        <v>470</v>
      </c>
      <c r="H33423" s="185"/>
    </row>
    <row r="33424">
      <c r="D33424" s="185"/>
      <c r="E33424" s="185" t="s">
        <v>470</v>
      </c>
      <c r="H33424" s="185"/>
    </row>
    <row r="33425">
      <c r="D33425" s="185"/>
      <c r="E33425" s="185" t="s">
        <v>470</v>
      </c>
      <c r="H33425" s="185"/>
    </row>
    <row r="33426">
      <c r="D33426" s="185"/>
      <c r="E33426" s="185" t="s">
        <v>470</v>
      </c>
      <c r="H33426" s="185"/>
    </row>
    <row r="33427">
      <c r="D33427" s="185"/>
      <c r="E33427" s="185" t="s">
        <v>470</v>
      </c>
      <c r="H33427" s="185"/>
    </row>
    <row r="33428">
      <c r="D33428" s="185"/>
      <c r="E33428" s="185" t="s">
        <v>470</v>
      </c>
      <c r="H33428" s="185"/>
    </row>
    <row r="33429">
      <c r="D33429" s="185"/>
      <c r="E33429" s="185" t="s">
        <v>470</v>
      </c>
      <c r="H33429" s="185"/>
    </row>
    <row r="33430">
      <c r="D33430" s="185"/>
      <c r="E33430" s="185" t="s">
        <v>470</v>
      </c>
      <c r="H33430" s="185"/>
    </row>
    <row r="33431">
      <c r="D33431" s="185"/>
      <c r="E33431" s="185" t="s">
        <v>470</v>
      </c>
      <c r="H33431" s="185"/>
    </row>
    <row r="33432">
      <c r="D33432" s="185"/>
      <c r="E33432" s="185" t="s">
        <v>470</v>
      </c>
      <c r="H33432" s="185"/>
    </row>
    <row r="33433">
      <c r="D33433" s="185"/>
      <c r="E33433" s="185" t="s">
        <v>470</v>
      </c>
      <c r="H33433" s="185"/>
    </row>
    <row r="33434">
      <c r="D33434" s="185"/>
      <c r="E33434" s="185" t="s">
        <v>470</v>
      </c>
      <c r="H33434" s="185"/>
    </row>
    <row r="33435">
      <c r="D33435" s="185"/>
      <c r="E33435" s="185" t="s">
        <v>470</v>
      </c>
      <c r="H33435" s="185"/>
    </row>
    <row r="33436">
      <c r="D33436" s="185"/>
      <c r="E33436" s="185" t="s">
        <v>470</v>
      </c>
      <c r="H33436" s="185"/>
    </row>
    <row r="33437">
      <c r="D33437" s="185"/>
      <c r="E33437" s="185" t="s">
        <v>470</v>
      </c>
      <c r="H33437" s="185"/>
    </row>
    <row r="33438">
      <c r="D33438" s="185"/>
      <c r="E33438" s="185" t="s">
        <v>470</v>
      </c>
      <c r="H33438" s="185"/>
    </row>
    <row r="33439">
      <c r="D33439" s="185"/>
      <c r="E33439" s="185" t="s">
        <v>470</v>
      </c>
      <c r="H33439" s="185"/>
    </row>
    <row r="33440">
      <c r="D33440" s="185"/>
      <c r="E33440" s="185" t="s">
        <v>470</v>
      </c>
      <c r="H33440" s="185"/>
    </row>
    <row r="33441">
      <c r="D33441" s="185"/>
      <c r="E33441" s="185" t="s">
        <v>470</v>
      </c>
      <c r="H33441" s="185"/>
    </row>
    <row r="33442">
      <c r="D33442" s="185"/>
      <c r="E33442" s="185" t="s">
        <v>470</v>
      </c>
      <c r="H33442" s="185"/>
    </row>
    <row r="33443">
      <c r="D33443" s="185"/>
      <c r="E33443" s="185" t="s">
        <v>470</v>
      </c>
      <c r="H33443" s="185"/>
    </row>
    <row r="33444">
      <c r="D33444" s="185"/>
      <c r="E33444" s="185" t="s">
        <v>470</v>
      </c>
      <c r="H33444" s="185"/>
    </row>
    <row r="33445">
      <c r="D33445" s="185"/>
      <c r="E33445" s="185" t="s">
        <v>470</v>
      </c>
      <c r="H33445" s="185"/>
    </row>
    <row r="33446">
      <c r="D33446" s="185"/>
      <c r="E33446" s="185" t="s">
        <v>470</v>
      </c>
      <c r="H33446" s="185"/>
    </row>
    <row r="33447">
      <c r="D33447" s="185"/>
      <c r="E33447" s="185" t="s">
        <v>470</v>
      </c>
      <c r="H33447" s="185"/>
    </row>
    <row r="33448">
      <c r="D33448" s="185"/>
      <c r="E33448" s="185" t="s">
        <v>470</v>
      </c>
      <c r="H33448" s="185"/>
    </row>
    <row r="33449">
      <c r="D33449" s="185"/>
      <c r="E33449" s="185" t="s">
        <v>470</v>
      </c>
      <c r="H33449" s="185"/>
    </row>
    <row r="33450">
      <c r="D33450" s="185"/>
      <c r="E33450" s="185" t="s">
        <v>470</v>
      </c>
      <c r="H33450" s="185"/>
    </row>
    <row r="33451">
      <c r="D33451" s="185"/>
      <c r="E33451" s="185" t="s">
        <v>470</v>
      </c>
      <c r="H33451" s="185"/>
    </row>
    <row r="33452">
      <c r="D33452" s="185"/>
      <c r="E33452" s="185" t="s">
        <v>470</v>
      </c>
      <c r="H33452" s="185"/>
    </row>
    <row r="33453">
      <c r="D33453" s="185"/>
      <c r="E33453" s="185" t="s">
        <v>470</v>
      </c>
      <c r="H33453" s="185"/>
    </row>
    <row r="33454">
      <c r="D33454" s="185"/>
      <c r="E33454" s="185" t="s">
        <v>470</v>
      </c>
      <c r="H33454" s="185"/>
    </row>
    <row r="33455">
      <c r="D33455" s="185"/>
      <c r="E33455" s="185" t="s">
        <v>470</v>
      </c>
      <c r="H33455" s="185"/>
    </row>
    <row r="33456">
      <c r="D33456" s="185"/>
      <c r="E33456" s="185" t="s">
        <v>470</v>
      </c>
      <c r="H33456" s="185"/>
    </row>
    <row r="33457">
      <c r="D33457" s="185"/>
      <c r="E33457" s="185" t="s">
        <v>470</v>
      </c>
      <c r="H33457" s="185"/>
    </row>
    <row r="33458">
      <c r="D33458" s="185"/>
      <c r="E33458" s="185" t="s">
        <v>470</v>
      </c>
      <c r="H33458" s="185"/>
    </row>
    <row r="33459">
      <c r="D33459" s="185"/>
      <c r="E33459" s="185" t="s">
        <v>470</v>
      </c>
      <c r="H33459" s="185"/>
    </row>
    <row r="33460">
      <c r="D33460" s="185"/>
      <c r="E33460" s="185" t="s">
        <v>470</v>
      </c>
      <c r="H33460" s="185"/>
    </row>
    <row r="33461">
      <c r="D33461" s="185"/>
      <c r="E33461" s="185" t="s">
        <v>470</v>
      </c>
      <c r="H33461" s="185"/>
    </row>
    <row r="33462">
      <c r="D33462" s="185"/>
      <c r="E33462" s="185" t="s">
        <v>470</v>
      </c>
      <c r="H33462" s="185"/>
    </row>
    <row r="33463">
      <c r="D33463" s="185"/>
      <c r="E33463" s="185" t="s">
        <v>470</v>
      </c>
      <c r="H33463" s="185"/>
    </row>
    <row r="33464">
      <c r="D33464" s="185"/>
      <c r="E33464" s="185" t="s">
        <v>470</v>
      </c>
      <c r="H33464" s="185"/>
    </row>
    <row r="33465">
      <c r="D33465" s="185"/>
      <c r="E33465" s="185" t="s">
        <v>470</v>
      </c>
      <c r="H33465" s="185"/>
    </row>
    <row r="33466">
      <c r="D33466" s="185"/>
      <c r="E33466" s="185" t="s">
        <v>470</v>
      </c>
      <c r="H33466" s="185"/>
    </row>
    <row r="33467">
      <c r="D33467" s="185"/>
      <c r="E33467" s="185" t="s">
        <v>470</v>
      </c>
      <c r="H33467" s="185"/>
    </row>
    <row r="33468">
      <c r="D33468" s="185"/>
      <c r="E33468" s="185" t="s">
        <v>470</v>
      </c>
      <c r="H33468" s="185"/>
    </row>
    <row r="33469">
      <c r="D33469" s="185"/>
      <c r="E33469" s="185" t="s">
        <v>470</v>
      </c>
      <c r="H33469" s="185"/>
    </row>
    <row r="33470">
      <c r="D33470" s="185"/>
      <c r="E33470" s="185" t="s">
        <v>470</v>
      </c>
      <c r="H33470" s="185"/>
    </row>
    <row r="33471">
      <c r="D33471" s="185"/>
      <c r="E33471" s="185" t="s">
        <v>470</v>
      </c>
      <c r="H33471" s="185"/>
    </row>
    <row r="33472">
      <c r="D33472" s="185"/>
      <c r="E33472" s="185" t="s">
        <v>470</v>
      </c>
      <c r="H33472" s="185"/>
    </row>
    <row r="33473">
      <c r="D33473" s="185"/>
      <c r="E33473" s="185" t="s">
        <v>470</v>
      </c>
      <c r="H33473" s="185"/>
    </row>
    <row r="33474">
      <c r="D33474" s="185"/>
      <c r="E33474" s="185" t="s">
        <v>470</v>
      </c>
      <c r="H33474" s="185"/>
    </row>
    <row r="33475">
      <c r="D33475" s="185"/>
      <c r="E33475" s="185" t="s">
        <v>470</v>
      </c>
      <c r="H33475" s="185"/>
    </row>
    <row r="33476">
      <c r="D33476" s="185"/>
      <c r="E33476" s="185" t="s">
        <v>470</v>
      </c>
      <c r="H33476" s="185"/>
    </row>
    <row r="33477">
      <c r="D33477" s="185"/>
      <c r="E33477" s="185" t="s">
        <v>470</v>
      </c>
      <c r="H33477" s="185"/>
    </row>
    <row r="33478">
      <c r="D33478" s="185"/>
      <c r="E33478" s="185" t="s">
        <v>470</v>
      </c>
      <c r="H33478" s="185"/>
    </row>
    <row r="33479">
      <c r="D33479" s="185"/>
      <c r="E33479" s="185" t="s">
        <v>470</v>
      </c>
      <c r="H33479" s="185"/>
    </row>
    <row r="33480">
      <c r="D33480" s="185"/>
      <c r="E33480" s="185" t="s">
        <v>470</v>
      </c>
      <c r="H33480" s="185"/>
    </row>
    <row r="33481">
      <c r="D33481" s="185"/>
      <c r="E33481" s="185" t="s">
        <v>470</v>
      </c>
      <c r="H33481" s="185"/>
    </row>
    <row r="33482">
      <c r="D33482" s="185"/>
      <c r="E33482" s="185" t="s">
        <v>470</v>
      </c>
      <c r="H33482" s="185"/>
    </row>
    <row r="33483">
      <c r="D33483" s="185"/>
      <c r="E33483" s="185" t="s">
        <v>470</v>
      </c>
      <c r="H33483" s="185"/>
    </row>
    <row r="33484">
      <c r="D33484" s="185"/>
      <c r="E33484" s="185" t="s">
        <v>470</v>
      </c>
      <c r="H33484" s="185"/>
    </row>
    <row r="33485">
      <c r="D33485" s="185"/>
      <c r="E33485" s="185" t="s">
        <v>470</v>
      </c>
      <c r="H33485" s="185"/>
    </row>
    <row r="33486">
      <c r="D33486" s="185"/>
      <c r="E33486" s="185" t="s">
        <v>470</v>
      </c>
      <c r="H33486" s="185"/>
    </row>
    <row r="33487">
      <c r="D33487" s="185"/>
      <c r="E33487" s="185" t="s">
        <v>470</v>
      </c>
      <c r="H33487" s="185"/>
    </row>
    <row r="33488">
      <c r="D33488" s="185"/>
      <c r="E33488" s="185" t="s">
        <v>470</v>
      </c>
      <c r="H33488" s="185"/>
    </row>
    <row r="33489">
      <c r="D33489" s="185"/>
      <c r="E33489" s="185" t="s">
        <v>470</v>
      </c>
      <c r="H33489" s="185"/>
    </row>
    <row r="33490">
      <c r="D33490" s="185"/>
      <c r="E33490" s="185" t="s">
        <v>470</v>
      </c>
      <c r="H33490" s="185"/>
    </row>
    <row r="33491">
      <c r="D33491" s="185"/>
      <c r="E33491" s="185" t="s">
        <v>470</v>
      </c>
      <c r="H33491" s="185"/>
    </row>
    <row r="33492">
      <c r="D33492" s="185"/>
      <c r="E33492" s="185" t="s">
        <v>470</v>
      </c>
      <c r="H33492" s="185"/>
    </row>
    <row r="33493">
      <c r="D33493" s="185"/>
      <c r="E33493" s="185" t="s">
        <v>470</v>
      </c>
      <c r="H33493" s="185"/>
    </row>
    <row r="33494">
      <c r="D33494" s="185"/>
      <c r="E33494" s="185" t="s">
        <v>470</v>
      </c>
      <c r="H33494" s="185"/>
    </row>
    <row r="33495">
      <c r="D33495" s="185"/>
      <c r="E33495" s="185" t="s">
        <v>470</v>
      </c>
      <c r="H33495" s="185"/>
    </row>
    <row r="33496">
      <c r="D33496" s="185"/>
      <c r="E33496" s="185" t="s">
        <v>470</v>
      </c>
      <c r="H33496" s="185"/>
    </row>
    <row r="33497">
      <c r="D33497" s="185"/>
      <c r="E33497" s="185" t="s">
        <v>470</v>
      </c>
      <c r="H33497" s="185"/>
    </row>
    <row r="33498">
      <c r="D33498" s="185"/>
      <c r="E33498" s="185" t="s">
        <v>470</v>
      </c>
      <c r="H33498" s="185"/>
    </row>
    <row r="33499">
      <c r="D33499" s="185"/>
      <c r="E33499" s="185" t="s">
        <v>470</v>
      </c>
      <c r="H33499" s="185"/>
    </row>
    <row r="33500">
      <c r="D33500" s="185"/>
      <c r="E33500" s="185" t="s">
        <v>470</v>
      </c>
      <c r="H33500" s="185"/>
    </row>
    <row r="33501">
      <c r="D33501" s="185"/>
      <c r="E33501" s="185" t="s">
        <v>470</v>
      </c>
      <c r="H33501" s="185"/>
    </row>
    <row r="33502">
      <c r="D33502" s="185"/>
      <c r="E33502" s="185" t="s">
        <v>470</v>
      </c>
      <c r="H33502" s="185"/>
    </row>
    <row r="33503">
      <c r="D33503" s="185"/>
      <c r="E33503" s="185" t="s">
        <v>470</v>
      </c>
      <c r="H33503" s="185"/>
    </row>
    <row r="33504">
      <c r="D33504" s="185"/>
      <c r="E33504" s="185" t="s">
        <v>470</v>
      </c>
      <c r="H33504" s="185"/>
    </row>
    <row r="33505">
      <c r="D33505" s="185"/>
      <c r="E33505" s="185" t="s">
        <v>470</v>
      </c>
      <c r="H33505" s="185"/>
    </row>
    <row r="33506">
      <c r="D33506" s="185"/>
      <c r="E33506" s="185" t="s">
        <v>470</v>
      </c>
      <c r="H33506" s="185"/>
    </row>
    <row r="33507">
      <c r="D33507" s="185"/>
      <c r="E33507" s="185" t="s">
        <v>470</v>
      </c>
      <c r="H33507" s="185"/>
    </row>
    <row r="33508">
      <c r="D33508" s="185"/>
      <c r="E33508" s="185" t="s">
        <v>470</v>
      </c>
      <c r="H33508" s="185"/>
    </row>
    <row r="33509">
      <c r="D33509" s="185"/>
      <c r="E33509" s="185" t="s">
        <v>470</v>
      </c>
      <c r="H33509" s="185"/>
    </row>
    <row r="33510">
      <c r="D33510" s="185"/>
      <c r="E33510" s="185" t="s">
        <v>470</v>
      </c>
      <c r="H33510" s="185"/>
    </row>
    <row r="33511">
      <c r="D33511" s="185"/>
      <c r="E33511" s="185" t="s">
        <v>470</v>
      </c>
      <c r="H33511" s="185"/>
    </row>
    <row r="33512">
      <c r="D33512" s="185"/>
      <c r="E33512" s="185" t="s">
        <v>470</v>
      </c>
      <c r="H33512" s="185"/>
    </row>
    <row r="33513">
      <c r="D33513" s="185"/>
      <c r="E33513" s="185" t="s">
        <v>470</v>
      </c>
      <c r="H33513" s="185"/>
    </row>
    <row r="33514">
      <c r="D33514" s="185"/>
      <c r="E33514" s="185" t="s">
        <v>470</v>
      </c>
      <c r="H33514" s="185"/>
    </row>
    <row r="33515">
      <c r="D33515" s="185"/>
      <c r="E33515" s="185" t="s">
        <v>470</v>
      </c>
      <c r="H33515" s="185"/>
    </row>
    <row r="33516">
      <c r="D33516" s="185"/>
      <c r="E33516" s="185" t="s">
        <v>470</v>
      </c>
      <c r="H33516" s="185"/>
    </row>
    <row r="33517">
      <c r="D33517" s="185"/>
      <c r="E33517" s="185" t="s">
        <v>470</v>
      </c>
      <c r="H33517" s="185"/>
    </row>
    <row r="33518">
      <c r="D33518" s="185"/>
      <c r="E33518" s="185" t="s">
        <v>470</v>
      </c>
      <c r="H33518" s="185"/>
    </row>
    <row r="33519">
      <c r="D33519" s="185"/>
      <c r="E33519" s="185" t="s">
        <v>470</v>
      </c>
      <c r="H33519" s="185"/>
    </row>
    <row r="33520">
      <c r="D33520" s="185"/>
      <c r="E33520" s="185" t="s">
        <v>470</v>
      </c>
      <c r="H33520" s="185"/>
    </row>
    <row r="33521">
      <c r="D33521" s="185"/>
      <c r="E33521" s="185" t="s">
        <v>470</v>
      </c>
      <c r="H33521" s="185"/>
    </row>
    <row r="33522">
      <c r="D33522" s="185"/>
      <c r="E33522" s="185" t="s">
        <v>470</v>
      </c>
      <c r="H33522" s="185"/>
    </row>
    <row r="33523">
      <c r="D33523" s="185"/>
      <c r="E33523" s="185" t="s">
        <v>470</v>
      </c>
      <c r="H33523" s="185"/>
    </row>
    <row r="33524">
      <c r="D33524" s="185"/>
      <c r="E33524" s="185" t="s">
        <v>470</v>
      </c>
      <c r="H33524" s="185"/>
    </row>
    <row r="33525">
      <c r="D33525" s="185"/>
      <c r="E33525" s="185" t="s">
        <v>470</v>
      </c>
      <c r="H33525" s="185"/>
    </row>
    <row r="33526">
      <c r="D33526" s="185"/>
      <c r="E33526" s="185" t="s">
        <v>470</v>
      </c>
      <c r="H33526" s="185"/>
    </row>
    <row r="33527">
      <c r="D33527" s="185"/>
      <c r="E33527" s="185" t="s">
        <v>470</v>
      </c>
      <c r="H33527" s="185"/>
    </row>
    <row r="33528">
      <c r="D33528" s="185"/>
      <c r="E33528" s="185" t="s">
        <v>470</v>
      </c>
      <c r="H33528" s="185"/>
    </row>
    <row r="33529">
      <c r="D33529" s="185"/>
      <c r="E33529" s="185" t="s">
        <v>470</v>
      </c>
      <c r="H33529" s="185"/>
    </row>
    <row r="33530">
      <c r="D33530" s="185"/>
      <c r="E33530" s="185" t="s">
        <v>470</v>
      </c>
      <c r="H33530" s="185"/>
    </row>
    <row r="33531">
      <c r="D33531" s="185"/>
      <c r="E33531" s="185" t="s">
        <v>470</v>
      </c>
      <c r="H33531" s="185"/>
    </row>
    <row r="33532">
      <c r="D33532" s="185"/>
      <c r="E33532" s="185" t="s">
        <v>470</v>
      </c>
      <c r="H33532" s="185"/>
    </row>
    <row r="33533">
      <c r="D33533" s="185"/>
      <c r="E33533" s="185" t="s">
        <v>470</v>
      </c>
      <c r="H33533" s="185"/>
    </row>
    <row r="33534">
      <c r="D33534" s="185"/>
      <c r="E33534" s="185" t="s">
        <v>470</v>
      </c>
      <c r="H33534" s="185"/>
    </row>
    <row r="33535">
      <c r="D33535" s="185"/>
      <c r="E33535" s="185" t="s">
        <v>470</v>
      </c>
      <c r="H33535" s="185"/>
    </row>
    <row r="33536">
      <c r="D33536" s="185"/>
      <c r="E33536" s="185" t="s">
        <v>470</v>
      </c>
      <c r="H33536" s="185"/>
    </row>
    <row r="33537">
      <c r="D33537" s="185"/>
      <c r="E33537" s="185" t="s">
        <v>470</v>
      </c>
      <c r="H33537" s="185"/>
    </row>
    <row r="33538">
      <c r="D33538" s="185"/>
      <c r="E33538" s="185" t="s">
        <v>470</v>
      </c>
      <c r="H33538" s="185"/>
    </row>
    <row r="33539">
      <c r="D33539" s="185"/>
      <c r="E33539" s="185" t="s">
        <v>470</v>
      </c>
      <c r="H33539" s="185"/>
    </row>
    <row r="33540">
      <c r="D33540" s="185"/>
      <c r="E33540" s="185" t="s">
        <v>470</v>
      </c>
      <c r="H33540" s="185"/>
    </row>
    <row r="33541">
      <c r="D33541" s="185"/>
      <c r="E33541" s="185" t="s">
        <v>470</v>
      </c>
      <c r="H33541" s="185"/>
    </row>
    <row r="33542">
      <c r="D33542" s="185"/>
      <c r="E33542" s="185" t="s">
        <v>470</v>
      </c>
      <c r="H33542" s="185"/>
    </row>
    <row r="33543">
      <c r="D33543" s="185"/>
      <c r="E33543" s="185" t="s">
        <v>470</v>
      </c>
      <c r="H33543" s="185"/>
    </row>
    <row r="33544">
      <c r="D33544" s="185"/>
      <c r="E33544" s="185" t="s">
        <v>470</v>
      </c>
      <c r="H33544" s="185"/>
    </row>
    <row r="33545">
      <c r="D33545" s="185"/>
      <c r="E33545" s="185" t="s">
        <v>470</v>
      </c>
      <c r="H33545" s="185"/>
    </row>
    <row r="33546">
      <c r="D33546" s="185"/>
      <c r="E33546" s="185" t="s">
        <v>470</v>
      </c>
      <c r="H33546" s="185"/>
    </row>
    <row r="33547">
      <c r="D33547" s="185"/>
      <c r="E33547" s="185" t="s">
        <v>470</v>
      </c>
      <c r="H33547" s="185"/>
    </row>
    <row r="33548">
      <c r="D33548" s="185"/>
      <c r="E33548" s="185" t="s">
        <v>470</v>
      </c>
      <c r="H33548" s="185"/>
    </row>
    <row r="33549">
      <c r="D33549" s="185"/>
      <c r="E33549" s="185" t="s">
        <v>470</v>
      </c>
      <c r="H33549" s="185"/>
    </row>
    <row r="33550">
      <c r="D33550" s="185"/>
      <c r="E33550" s="185" t="s">
        <v>470</v>
      </c>
      <c r="H33550" s="185"/>
    </row>
    <row r="33551">
      <c r="D33551" s="185"/>
      <c r="E33551" s="185" t="s">
        <v>470</v>
      </c>
      <c r="H33551" s="185"/>
    </row>
    <row r="33552">
      <c r="D33552" s="185"/>
      <c r="E33552" s="185" t="s">
        <v>470</v>
      </c>
      <c r="H33552" s="185"/>
    </row>
    <row r="33553">
      <c r="D33553" s="185"/>
      <c r="E33553" s="185" t="s">
        <v>470</v>
      </c>
      <c r="H33553" s="185"/>
    </row>
    <row r="33554">
      <c r="D33554" s="185"/>
      <c r="E33554" s="185" t="s">
        <v>470</v>
      </c>
      <c r="H33554" s="185"/>
    </row>
    <row r="33555">
      <c r="D33555" s="185"/>
      <c r="E33555" s="185" t="s">
        <v>470</v>
      </c>
      <c r="H33555" s="185"/>
    </row>
    <row r="33556">
      <c r="D33556" s="185"/>
      <c r="E33556" s="185" t="s">
        <v>470</v>
      </c>
      <c r="H33556" s="185"/>
    </row>
    <row r="33557">
      <c r="D33557" s="185"/>
      <c r="E33557" s="185" t="s">
        <v>470</v>
      </c>
      <c r="H33557" s="185"/>
    </row>
    <row r="33558">
      <c r="D33558" s="185"/>
      <c r="E33558" s="185" t="s">
        <v>470</v>
      </c>
      <c r="H33558" s="185"/>
    </row>
    <row r="33559">
      <c r="D33559" s="185"/>
      <c r="E33559" s="185" t="s">
        <v>470</v>
      </c>
      <c r="H33559" s="185"/>
    </row>
    <row r="33560">
      <c r="D33560" s="185"/>
      <c r="E33560" s="185" t="s">
        <v>470</v>
      </c>
      <c r="H33560" s="185"/>
    </row>
    <row r="33561">
      <c r="D33561" s="185"/>
      <c r="E33561" s="185" t="s">
        <v>470</v>
      </c>
      <c r="H33561" s="185"/>
    </row>
    <row r="33562">
      <c r="D33562" s="185"/>
      <c r="E33562" s="185" t="s">
        <v>470</v>
      </c>
      <c r="H33562" s="185"/>
    </row>
    <row r="33563">
      <c r="D33563" s="185"/>
      <c r="E33563" s="185" t="s">
        <v>470</v>
      </c>
      <c r="H33563" s="185"/>
    </row>
    <row r="33564">
      <c r="D33564" s="185"/>
      <c r="E33564" s="185" t="s">
        <v>470</v>
      </c>
      <c r="H33564" s="185"/>
    </row>
    <row r="33565">
      <c r="D33565" s="185"/>
      <c r="E33565" s="185" t="s">
        <v>470</v>
      </c>
      <c r="H33565" s="185"/>
    </row>
    <row r="33566">
      <c r="D33566" s="185"/>
      <c r="E33566" s="185" t="s">
        <v>470</v>
      </c>
      <c r="H33566" s="185"/>
    </row>
    <row r="33567">
      <c r="D33567" s="185"/>
      <c r="E33567" s="185" t="s">
        <v>470</v>
      </c>
      <c r="H33567" s="185"/>
    </row>
    <row r="33568">
      <c r="D33568" s="185"/>
      <c r="E33568" s="185" t="s">
        <v>470</v>
      </c>
      <c r="H33568" s="185"/>
    </row>
    <row r="33569">
      <c r="D33569" s="185"/>
      <c r="E33569" s="185" t="s">
        <v>470</v>
      </c>
      <c r="H33569" s="185"/>
    </row>
    <row r="33570">
      <c r="D33570" s="185"/>
      <c r="E33570" s="185" t="s">
        <v>470</v>
      </c>
      <c r="H33570" s="185"/>
    </row>
    <row r="33571">
      <c r="D33571" s="185"/>
      <c r="E33571" s="185" t="s">
        <v>470</v>
      </c>
      <c r="H33571" s="185"/>
    </row>
    <row r="33572">
      <c r="D33572" s="185"/>
      <c r="E33572" s="185" t="s">
        <v>470</v>
      </c>
      <c r="H33572" s="185"/>
    </row>
    <row r="33573">
      <c r="D33573" s="185"/>
      <c r="E33573" s="185" t="s">
        <v>470</v>
      </c>
      <c r="H33573" s="185"/>
    </row>
    <row r="33574">
      <c r="D33574" s="185"/>
      <c r="E33574" s="185" t="s">
        <v>470</v>
      </c>
      <c r="H33574" s="185"/>
    </row>
    <row r="33575">
      <c r="D33575" s="185"/>
      <c r="E33575" s="185" t="s">
        <v>470</v>
      </c>
      <c r="H33575" s="185"/>
    </row>
    <row r="33576">
      <c r="D33576" s="185"/>
      <c r="E33576" s="185" t="s">
        <v>470</v>
      </c>
      <c r="H33576" s="185"/>
    </row>
    <row r="33577">
      <c r="D33577" s="185"/>
      <c r="E33577" s="185" t="s">
        <v>470</v>
      </c>
      <c r="H33577" s="185"/>
    </row>
    <row r="33578">
      <c r="D33578" s="185"/>
      <c r="E33578" s="185" t="s">
        <v>470</v>
      </c>
      <c r="H33578" s="185"/>
    </row>
    <row r="33579">
      <c r="D33579" s="185"/>
      <c r="E33579" s="185" t="s">
        <v>470</v>
      </c>
      <c r="H33579" s="185"/>
    </row>
    <row r="33580">
      <c r="D33580" s="185"/>
      <c r="E33580" s="185" t="s">
        <v>470</v>
      </c>
      <c r="H33580" s="185"/>
    </row>
    <row r="33581">
      <c r="D33581" s="185"/>
      <c r="E33581" s="185" t="s">
        <v>470</v>
      </c>
      <c r="H33581" s="185"/>
    </row>
    <row r="33582">
      <c r="D33582" s="185"/>
      <c r="E33582" s="185" t="s">
        <v>470</v>
      </c>
      <c r="H33582" s="185"/>
    </row>
    <row r="33583">
      <c r="D33583" s="185"/>
      <c r="E33583" s="185" t="s">
        <v>470</v>
      </c>
      <c r="H33583" s="185"/>
    </row>
    <row r="33584">
      <c r="D33584" s="185"/>
      <c r="E33584" s="185" t="s">
        <v>470</v>
      </c>
      <c r="H33584" s="185"/>
    </row>
    <row r="33585">
      <c r="D33585" s="185"/>
      <c r="E33585" s="185" t="s">
        <v>470</v>
      </c>
      <c r="H33585" s="185"/>
    </row>
    <row r="33586">
      <c r="D33586" s="185"/>
      <c r="E33586" s="185" t="s">
        <v>470</v>
      </c>
      <c r="H33586" s="185"/>
    </row>
    <row r="33587">
      <c r="D33587" s="185"/>
      <c r="E33587" s="185" t="s">
        <v>470</v>
      </c>
      <c r="H33587" s="185"/>
    </row>
    <row r="33588">
      <c r="D33588" s="185"/>
      <c r="E33588" s="185" t="s">
        <v>470</v>
      </c>
      <c r="H33588" s="185"/>
    </row>
    <row r="33589">
      <c r="D33589" s="185"/>
      <c r="E33589" s="185" t="s">
        <v>470</v>
      </c>
      <c r="H33589" s="185"/>
    </row>
    <row r="33590">
      <c r="D33590" s="185"/>
      <c r="E33590" s="185" t="s">
        <v>470</v>
      </c>
      <c r="H33590" s="185"/>
    </row>
    <row r="33591">
      <c r="D33591" s="185"/>
      <c r="E33591" s="185" t="s">
        <v>470</v>
      </c>
      <c r="H33591" s="185"/>
    </row>
    <row r="33592">
      <c r="D33592" s="185"/>
      <c r="E33592" s="185" t="s">
        <v>470</v>
      </c>
      <c r="H33592" s="185"/>
    </row>
    <row r="33593">
      <c r="D33593" s="185"/>
      <c r="E33593" s="185" t="s">
        <v>470</v>
      </c>
      <c r="H33593" s="185"/>
    </row>
    <row r="33594">
      <c r="D33594" s="185"/>
      <c r="E33594" s="185" t="s">
        <v>470</v>
      </c>
      <c r="H33594" s="185"/>
    </row>
    <row r="33595">
      <c r="D33595" s="185"/>
      <c r="E33595" s="185" t="s">
        <v>470</v>
      </c>
      <c r="H33595" s="185"/>
    </row>
    <row r="33596">
      <c r="D33596" s="185"/>
      <c r="E33596" s="185" t="s">
        <v>470</v>
      </c>
      <c r="H33596" s="185"/>
    </row>
    <row r="33597">
      <c r="D33597" s="185"/>
      <c r="E33597" s="185" t="s">
        <v>470</v>
      </c>
      <c r="H33597" s="185"/>
    </row>
    <row r="33598">
      <c r="D33598" s="185"/>
      <c r="E33598" s="185" t="s">
        <v>470</v>
      </c>
      <c r="H33598" s="185"/>
    </row>
    <row r="33599">
      <c r="D33599" s="185"/>
      <c r="E33599" s="185" t="s">
        <v>470</v>
      </c>
      <c r="H33599" s="185"/>
    </row>
    <row r="33600">
      <c r="D33600" s="185"/>
      <c r="E33600" s="185" t="s">
        <v>470</v>
      </c>
      <c r="H33600" s="185"/>
    </row>
    <row r="33601">
      <c r="D33601" s="185"/>
      <c r="E33601" s="185" t="s">
        <v>470</v>
      </c>
      <c r="H33601" s="185"/>
    </row>
    <row r="33602">
      <c r="D33602" s="185"/>
      <c r="E33602" s="185" t="s">
        <v>470</v>
      </c>
      <c r="H33602" s="185"/>
    </row>
    <row r="33603">
      <c r="D33603" s="185"/>
      <c r="E33603" s="185" t="s">
        <v>470</v>
      </c>
      <c r="H33603" s="185"/>
    </row>
    <row r="33604">
      <c r="D33604" s="185"/>
      <c r="E33604" s="185" t="s">
        <v>470</v>
      </c>
      <c r="H33604" s="185"/>
    </row>
    <row r="33605">
      <c r="D33605" s="185"/>
      <c r="E33605" s="185" t="s">
        <v>470</v>
      </c>
      <c r="H33605" s="185"/>
    </row>
    <row r="33606">
      <c r="D33606" s="185"/>
      <c r="E33606" s="185" t="s">
        <v>470</v>
      </c>
      <c r="H33606" s="185"/>
    </row>
    <row r="33607">
      <c r="D33607" s="185"/>
      <c r="E33607" s="185" t="s">
        <v>470</v>
      </c>
      <c r="H33607" s="185"/>
    </row>
    <row r="33608">
      <c r="D33608" s="185"/>
      <c r="E33608" s="185" t="s">
        <v>470</v>
      </c>
      <c r="H33608" s="185"/>
    </row>
    <row r="33609">
      <c r="D33609" s="185"/>
      <c r="E33609" s="185" t="s">
        <v>470</v>
      </c>
      <c r="H33609" s="185"/>
    </row>
    <row r="33610">
      <c r="D33610" s="185"/>
      <c r="E33610" s="185" t="s">
        <v>470</v>
      </c>
      <c r="H33610" s="185"/>
    </row>
    <row r="33611">
      <c r="D33611" s="185"/>
      <c r="E33611" s="185" t="s">
        <v>470</v>
      </c>
      <c r="H33611" s="185"/>
    </row>
    <row r="33612">
      <c r="D33612" s="185"/>
      <c r="E33612" s="185" t="s">
        <v>470</v>
      </c>
      <c r="H33612" s="185"/>
    </row>
    <row r="33613">
      <c r="D33613" s="185"/>
      <c r="E33613" s="185" t="s">
        <v>470</v>
      </c>
      <c r="H33613" s="185"/>
    </row>
    <row r="33614">
      <c r="D33614" s="185"/>
      <c r="E33614" s="185" t="s">
        <v>470</v>
      </c>
      <c r="H33614" s="185"/>
    </row>
    <row r="33615">
      <c r="D33615" s="185"/>
      <c r="E33615" s="185" t="s">
        <v>470</v>
      </c>
      <c r="H33615" s="185"/>
    </row>
    <row r="33616">
      <c r="D33616" s="185"/>
      <c r="E33616" s="185" t="s">
        <v>470</v>
      </c>
      <c r="H33616" s="185"/>
    </row>
    <row r="33617">
      <c r="D33617" s="185"/>
      <c r="E33617" s="185" t="s">
        <v>470</v>
      </c>
      <c r="H33617" s="185"/>
    </row>
    <row r="33618">
      <c r="D33618" s="185"/>
      <c r="E33618" s="185" t="s">
        <v>470</v>
      </c>
      <c r="H33618" s="185"/>
    </row>
    <row r="33619">
      <c r="D33619" s="185"/>
      <c r="E33619" s="185" t="s">
        <v>470</v>
      </c>
      <c r="H33619" s="185"/>
    </row>
    <row r="33620">
      <c r="D33620" s="185"/>
      <c r="E33620" s="185" t="s">
        <v>470</v>
      </c>
      <c r="H33620" s="185"/>
    </row>
    <row r="33621">
      <c r="D33621" s="185"/>
      <c r="E33621" s="185" t="s">
        <v>470</v>
      </c>
      <c r="H33621" s="185"/>
    </row>
    <row r="33622">
      <c r="D33622" s="185"/>
      <c r="E33622" s="185" t="s">
        <v>470</v>
      </c>
      <c r="H33622" s="185"/>
    </row>
    <row r="33623">
      <c r="D33623" s="185"/>
      <c r="E33623" s="185" t="s">
        <v>470</v>
      </c>
      <c r="H33623" s="185"/>
    </row>
    <row r="33624">
      <c r="D33624" s="185"/>
      <c r="E33624" s="185" t="s">
        <v>470</v>
      </c>
      <c r="H33624" s="185"/>
    </row>
    <row r="33625">
      <c r="D33625" s="185"/>
      <c r="E33625" s="185" t="s">
        <v>470</v>
      </c>
      <c r="H33625" s="185"/>
    </row>
    <row r="33626">
      <c r="D33626" s="185"/>
      <c r="E33626" s="185" t="s">
        <v>470</v>
      </c>
      <c r="H33626" s="185"/>
    </row>
    <row r="33627">
      <c r="D33627" s="185"/>
      <c r="E33627" s="185" t="s">
        <v>470</v>
      </c>
      <c r="H33627" s="185"/>
    </row>
    <row r="33628">
      <c r="D33628" s="185"/>
      <c r="E33628" s="185" t="s">
        <v>470</v>
      </c>
      <c r="H33628" s="185"/>
    </row>
    <row r="33629">
      <c r="D33629" s="185"/>
      <c r="E33629" s="185" t="s">
        <v>470</v>
      </c>
      <c r="H33629" s="185"/>
    </row>
    <row r="33630">
      <c r="D33630" s="185"/>
      <c r="E33630" s="185" t="s">
        <v>470</v>
      </c>
      <c r="H33630" s="185"/>
    </row>
    <row r="33631">
      <c r="D33631" s="185"/>
      <c r="E33631" s="185" t="s">
        <v>470</v>
      </c>
      <c r="H33631" s="185"/>
    </row>
    <row r="33632">
      <c r="D33632" s="185"/>
      <c r="E33632" s="185" t="s">
        <v>470</v>
      </c>
      <c r="H33632" s="185"/>
    </row>
    <row r="33633">
      <c r="D33633" s="185"/>
      <c r="E33633" s="185" t="s">
        <v>470</v>
      </c>
      <c r="H33633" s="185"/>
    </row>
    <row r="33634">
      <c r="D33634" s="185"/>
      <c r="E33634" s="185" t="s">
        <v>470</v>
      </c>
      <c r="H33634" s="185"/>
    </row>
    <row r="33635">
      <c r="D33635" s="185"/>
      <c r="E33635" s="185" t="s">
        <v>470</v>
      </c>
      <c r="H33635" s="185"/>
    </row>
    <row r="33636">
      <c r="D33636" s="185"/>
      <c r="E33636" s="185" t="s">
        <v>470</v>
      </c>
      <c r="H33636" s="185"/>
    </row>
    <row r="33637">
      <c r="D33637" s="185"/>
      <c r="E33637" s="185" t="s">
        <v>470</v>
      </c>
      <c r="H33637" s="185"/>
    </row>
    <row r="33638">
      <c r="D33638" s="185"/>
      <c r="E33638" s="185" t="s">
        <v>470</v>
      </c>
      <c r="H33638" s="185"/>
    </row>
    <row r="33639">
      <c r="D33639" s="185"/>
      <c r="E33639" s="185" t="s">
        <v>470</v>
      </c>
      <c r="H33639" s="185"/>
    </row>
    <row r="33640">
      <c r="D33640" s="185"/>
      <c r="E33640" s="185" t="s">
        <v>470</v>
      </c>
      <c r="H33640" s="185"/>
    </row>
    <row r="33641">
      <c r="D33641" s="185"/>
      <c r="E33641" s="185" t="s">
        <v>470</v>
      </c>
      <c r="H33641" s="185"/>
    </row>
    <row r="33642">
      <c r="D33642" s="185"/>
      <c r="E33642" s="185" t="s">
        <v>470</v>
      </c>
      <c r="H33642" s="185"/>
    </row>
    <row r="33643">
      <c r="D33643" s="185"/>
      <c r="E33643" s="185" t="s">
        <v>470</v>
      </c>
      <c r="H33643" s="185"/>
    </row>
    <row r="33644">
      <c r="D33644" s="185"/>
      <c r="E33644" s="185" t="s">
        <v>470</v>
      </c>
      <c r="H33644" s="185"/>
    </row>
    <row r="33645">
      <c r="D33645" s="185"/>
      <c r="E33645" s="185" t="s">
        <v>470</v>
      </c>
      <c r="H33645" s="185"/>
    </row>
    <row r="33646">
      <c r="D33646" s="185"/>
      <c r="E33646" s="185" t="s">
        <v>470</v>
      </c>
      <c r="H33646" s="185"/>
    </row>
    <row r="33647">
      <c r="D33647" s="185"/>
      <c r="E33647" s="185" t="s">
        <v>470</v>
      </c>
      <c r="H33647" s="185"/>
    </row>
    <row r="33648">
      <c r="D33648" s="185"/>
      <c r="E33648" s="185" t="s">
        <v>470</v>
      </c>
      <c r="H33648" s="185"/>
    </row>
    <row r="33649">
      <c r="D33649" s="185"/>
      <c r="E33649" s="185" t="s">
        <v>470</v>
      </c>
      <c r="H33649" s="185"/>
    </row>
    <row r="33650">
      <c r="D33650" s="185"/>
      <c r="E33650" s="185" t="s">
        <v>470</v>
      </c>
      <c r="H33650" s="185"/>
    </row>
    <row r="33651">
      <c r="D33651" s="185"/>
      <c r="E33651" s="185" t="s">
        <v>470</v>
      </c>
      <c r="H33651" s="185"/>
    </row>
    <row r="33652">
      <c r="D33652" s="185"/>
      <c r="E33652" s="185" t="s">
        <v>470</v>
      </c>
      <c r="H33652" s="185"/>
    </row>
    <row r="33653">
      <c r="D33653" s="185"/>
      <c r="E33653" s="185" t="s">
        <v>470</v>
      </c>
      <c r="H33653" s="185"/>
    </row>
    <row r="33654">
      <c r="D33654" s="185"/>
      <c r="E33654" s="185" t="s">
        <v>470</v>
      </c>
      <c r="H33654" s="185"/>
    </row>
    <row r="33655">
      <c r="D33655" s="185"/>
      <c r="E33655" s="185" t="s">
        <v>470</v>
      </c>
      <c r="H33655" s="185"/>
    </row>
    <row r="33656">
      <c r="D33656" s="185"/>
      <c r="E33656" s="185" t="s">
        <v>470</v>
      </c>
      <c r="H33656" s="185"/>
    </row>
    <row r="33657">
      <c r="D33657" s="185"/>
      <c r="E33657" s="185" t="s">
        <v>470</v>
      </c>
      <c r="H33657" s="185"/>
    </row>
    <row r="33658">
      <c r="D33658" s="185"/>
      <c r="E33658" s="185" t="s">
        <v>470</v>
      </c>
      <c r="H33658" s="185"/>
    </row>
    <row r="33659">
      <c r="D33659" s="185"/>
      <c r="E33659" s="185" t="s">
        <v>470</v>
      </c>
      <c r="H33659" s="185"/>
    </row>
    <row r="33660">
      <c r="D33660" s="185"/>
      <c r="E33660" s="185" t="s">
        <v>470</v>
      </c>
      <c r="H33660" s="185"/>
    </row>
    <row r="33661">
      <c r="D33661" s="185"/>
      <c r="E33661" s="185" t="s">
        <v>470</v>
      </c>
      <c r="H33661" s="185"/>
    </row>
    <row r="33662">
      <c r="D33662" s="185"/>
      <c r="E33662" s="185" t="s">
        <v>470</v>
      </c>
      <c r="H33662" s="185"/>
    </row>
    <row r="33663">
      <c r="D33663" s="185"/>
      <c r="E33663" s="185" t="s">
        <v>470</v>
      </c>
      <c r="H33663" s="185"/>
    </row>
    <row r="33664">
      <c r="D33664" s="185"/>
      <c r="E33664" s="185" t="s">
        <v>470</v>
      </c>
      <c r="H33664" s="185"/>
    </row>
    <row r="33665">
      <c r="D33665" s="185"/>
      <c r="E33665" s="185" t="s">
        <v>470</v>
      </c>
      <c r="H33665" s="185"/>
    </row>
    <row r="33666">
      <c r="D33666" s="185"/>
      <c r="E33666" s="185" t="s">
        <v>470</v>
      </c>
      <c r="H33666" s="185"/>
    </row>
    <row r="33667">
      <c r="D33667" s="185"/>
      <c r="E33667" s="185" t="s">
        <v>470</v>
      </c>
      <c r="H33667" s="185"/>
    </row>
    <row r="33668">
      <c r="D33668" s="185"/>
      <c r="E33668" s="185" t="s">
        <v>470</v>
      </c>
      <c r="H33668" s="185"/>
    </row>
    <row r="33669">
      <c r="D33669" s="185"/>
      <c r="E33669" s="185" t="s">
        <v>470</v>
      </c>
      <c r="H33669" s="185"/>
    </row>
    <row r="33670">
      <c r="D33670" s="185"/>
      <c r="E33670" s="185" t="s">
        <v>470</v>
      </c>
      <c r="H33670" s="185"/>
    </row>
    <row r="33671">
      <c r="D33671" s="185"/>
      <c r="E33671" s="185" t="s">
        <v>470</v>
      </c>
      <c r="H33671" s="185"/>
    </row>
    <row r="33672">
      <c r="D33672" s="185"/>
      <c r="E33672" s="185" t="s">
        <v>470</v>
      </c>
      <c r="H33672" s="185"/>
    </row>
    <row r="33673">
      <c r="D33673" s="185"/>
      <c r="E33673" s="185" t="s">
        <v>470</v>
      </c>
      <c r="H33673" s="185"/>
    </row>
    <row r="33674">
      <c r="D33674" s="185"/>
      <c r="E33674" s="185" t="s">
        <v>470</v>
      </c>
      <c r="H33674" s="185"/>
    </row>
    <row r="33675">
      <c r="D33675" s="185"/>
      <c r="E33675" s="185" t="s">
        <v>470</v>
      </c>
      <c r="H33675" s="185"/>
    </row>
    <row r="33676">
      <c r="D33676" s="185"/>
      <c r="E33676" s="185" t="s">
        <v>470</v>
      </c>
      <c r="H33676" s="185"/>
    </row>
    <row r="33677">
      <c r="D33677" s="185"/>
      <c r="E33677" s="185" t="s">
        <v>470</v>
      </c>
      <c r="H33677" s="185"/>
    </row>
    <row r="33678">
      <c r="D33678" s="185"/>
      <c r="E33678" s="185" t="s">
        <v>470</v>
      </c>
      <c r="H33678" s="185"/>
    </row>
    <row r="33679">
      <c r="D33679" s="185"/>
      <c r="E33679" s="185" t="s">
        <v>470</v>
      </c>
      <c r="H33679" s="185"/>
    </row>
    <row r="33680">
      <c r="D33680" s="185"/>
      <c r="E33680" s="185" t="s">
        <v>470</v>
      </c>
      <c r="H33680" s="185"/>
    </row>
    <row r="33681">
      <c r="D33681" s="185"/>
      <c r="E33681" s="185" t="s">
        <v>470</v>
      </c>
      <c r="H33681" s="185"/>
    </row>
    <row r="33682">
      <c r="D33682" s="185"/>
      <c r="E33682" s="185" t="s">
        <v>470</v>
      </c>
      <c r="H33682" s="185"/>
    </row>
    <row r="33683">
      <c r="D33683" s="185"/>
      <c r="E33683" s="185" t="s">
        <v>470</v>
      </c>
      <c r="H33683" s="185"/>
    </row>
    <row r="33684">
      <c r="D33684" s="185"/>
      <c r="E33684" s="185" t="s">
        <v>470</v>
      </c>
      <c r="H33684" s="185"/>
    </row>
    <row r="33685">
      <c r="D33685" s="185"/>
      <c r="E33685" s="185" t="s">
        <v>470</v>
      </c>
      <c r="H33685" s="185"/>
    </row>
    <row r="33686">
      <c r="D33686" s="185"/>
      <c r="E33686" s="185" t="s">
        <v>470</v>
      </c>
      <c r="H33686" s="185"/>
    </row>
    <row r="33687">
      <c r="D33687" s="185"/>
      <c r="E33687" s="185" t="s">
        <v>470</v>
      </c>
      <c r="H33687" s="185"/>
    </row>
    <row r="33688">
      <c r="D33688" s="185"/>
      <c r="E33688" s="185" t="s">
        <v>470</v>
      </c>
      <c r="H33688" s="185"/>
    </row>
    <row r="33689">
      <c r="D33689" s="185"/>
      <c r="E33689" s="185" t="s">
        <v>470</v>
      </c>
      <c r="H33689" s="185"/>
    </row>
    <row r="33690">
      <c r="D33690" s="185"/>
      <c r="E33690" s="185" t="s">
        <v>470</v>
      </c>
      <c r="H33690" s="185"/>
    </row>
    <row r="33691">
      <c r="D33691" s="185"/>
      <c r="E33691" s="185" t="s">
        <v>470</v>
      </c>
      <c r="H33691" s="185"/>
    </row>
    <row r="33692">
      <c r="D33692" s="185"/>
      <c r="E33692" s="185" t="s">
        <v>470</v>
      </c>
      <c r="H33692" s="185"/>
    </row>
    <row r="33693">
      <c r="D33693" s="185"/>
      <c r="E33693" s="185" t="s">
        <v>470</v>
      </c>
      <c r="H33693" s="185"/>
    </row>
    <row r="33694">
      <c r="D33694" s="185"/>
      <c r="E33694" s="185" t="s">
        <v>470</v>
      </c>
      <c r="H33694" s="185"/>
    </row>
    <row r="33695">
      <c r="D33695" s="185"/>
      <c r="E33695" s="185" t="s">
        <v>470</v>
      </c>
      <c r="H33695" s="185"/>
    </row>
    <row r="33696">
      <c r="D33696" s="185"/>
      <c r="E33696" s="185" t="s">
        <v>470</v>
      </c>
      <c r="H33696" s="185"/>
    </row>
    <row r="33697">
      <c r="D33697" s="185"/>
      <c r="E33697" s="185" t="s">
        <v>470</v>
      </c>
      <c r="H33697" s="185"/>
    </row>
    <row r="33698">
      <c r="D33698" s="185"/>
      <c r="E33698" s="185" t="s">
        <v>470</v>
      </c>
      <c r="H33698" s="185"/>
    </row>
    <row r="33699">
      <c r="D33699" s="185"/>
      <c r="E33699" s="185" t="s">
        <v>470</v>
      </c>
      <c r="H33699" s="185"/>
    </row>
    <row r="33700">
      <c r="D33700" s="185"/>
      <c r="E33700" s="185" t="s">
        <v>470</v>
      </c>
      <c r="H33700" s="185"/>
    </row>
    <row r="33701">
      <c r="D33701" s="185"/>
      <c r="E33701" s="185" t="s">
        <v>470</v>
      </c>
      <c r="H33701" s="185"/>
    </row>
    <row r="33702">
      <c r="D33702" s="185"/>
      <c r="E33702" s="185" t="s">
        <v>470</v>
      </c>
      <c r="H33702" s="185"/>
    </row>
    <row r="33703">
      <c r="D33703" s="185"/>
      <c r="E33703" s="185" t="s">
        <v>470</v>
      </c>
      <c r="H33703" s="185"/>
    </row>
    <row r="33704">
      <c r="D33704" s="185"/>
      <c r="E33704" s="185" t="s">
        <v>470</v>
      </c>
      <c r="H33704" s="185"/>
    </row>
    <row r="33705">
      <c r="D33705" s="185"/>
      <c r="E33705" s="185" t="s">
        <v>470</v>
      </c>
      <c r="H33705" s="185"/>
    </row>
    <row r="33706">
      <c r="D33706" s="185"/>
      <c r="E33706" s="185" t="s">
        <v>470</v>
      </c>
      <c r="H33706" s="185"/>
    </row>
    <row r="33707">
      <c r="D33707" s="185"/>
      <c r="E33707" s="185" t="s">
        <v>470</v>
      </c>
      <c r="H33707" s="185"/>
    </row>
    <row r="33708">
      <c r="D33708" s="185"/>
      <c r="E33708" s="185" t="s">
        <v>470</v>
      </c>
      <c r="H33708" s="185"/>
    </row>
    <row r="33709">
      <c r="D33709" s="185"/>
      <c r="E33709" s="185" t="s">
        <v>470</v>
      </c>
      <c r="H33709" s="185"/>
    </row>
    <row r="33710">
      <c r="D33710" s="185"/>
      <c r="E33710" s="185" t="s">
        <v>470</v>
      </c>
      <c r="H33710" s="185"/>
    </row>
    <row r="33711">
      <c r="D33711" s="185"/>
      <c r="E33711" s="185" t="s">
        <v>470</v>
      </c>
      <c r="H33711" s="185"/>
    </row>
    <row r="33712">
      <c r="D33712" s="185"/>
      <c r="E33712" s="185" t="s">
        <v>470</v>
      </c>
      <c r="H33712" s="185"/>
    </row>
    <row r="33713">
      <c r="D33713" s="185"/>
      <c r="E33713" s="185" t="s">
        <v>470</v>
      </c>
      <c r="H33713" s="185"/>
    </row>
    <row r="33714">
      <c r="D33714" s="185"/>
      <c r="E33714" s="185" t="s">
        <v>470</v>
      </c>
      <c r="H33714" s="185"/>
    </row>
    <row r="33715">
      <c r="D33715" s="185"/>
      <c r="E33715" s="185" t="s">
        <v>470</v>
      </c>
      <c r="H33715" s="185"/>
    </row>
    <row r="33716">
      <c r="D33716" s="185"/>
      <c r="E33716" s="185" t="s">
        <v>470</v>
      </c>
      <c r="H33716" s="185"/>
    </row>
    <row r="33717">
      <c r="D33717" s="185"/>
      <c r="E33717" s="185" t="s">
        <v>470</v>
      </c>
      <c r="H33717" s="185"/>
    </row>
    <row r="33718">
      <c r="D33718" s="185"/>
      <c r="E33718" s="185" t="s">
        <v>470</v>
      </c>
      <c r="H33718" s="185"/>
    </row>
    <row r="33719">
      <c r="D33719" s="185"/>
      <c r="E33719" s="185" t="s">
        <v>470</v>
      </c>
      <c r="H33719" s="185"/>
    </row>
    <row r="33720">
      <c r="D33720" s="185"/>
      <c r="E33720" s="185" t="s">
        <v>470</v>
      </c>
      <c r="H33720" s="185"/>
    </row>
    <row r="33721">
      <c r="D33721" s="185"/>
      <c r="E33721" s="185" t="s">
        <v>470</v>
      </c>
      <c r="H33721" s="185"/>
    </row>
    <row r="33722">
      <c r="D33722" s="185"/>
      <c r="E33722" s="185" t="s">
        <v>470</v>
      </c>
      <c r="H33722" s="185"/>
    </row>
    <row r="33723">
      <c r="D33723" s="185"/>
      <c r="E33723" s="185" t="s">
        <v>470</v>
      </c>
      <c r="H33723" s="185"/>
    </row>
    <row r="33724">
      <c r="D33724" s="185"/>
      <c r="E33724" s="185" t="s">
        <v>470</v>
      </c>
      <c r="H33724" s="185"/>
    </row>
    <row r="33725">
      <c r="D33725" s="185"/>
      <c r="E33725" s="185" t="s">
        <v>470</v>
      </c>
      <c r="H33725" s="185"/>
    </row>
    <row r="33726">
      <c r="D33726" s="185"/>
      <c r="E33726" s="185" t="s">
        <v>470</v>
      </c>
      <c r="H33726" s="185"/>
    </row>
    <row r="33727">
      <c r="D33727" s="185"/>
      <c r="E33727" s="185" t="s">
        <v>470</v>
      </c>
      <c r="H33727" s="185"/>
    </row>
    <row r="33728">
      <c r="D33728" s="185"/>
      <c r="E33728" s="185" t="s">
        <v>470</v>
      </c>
      <c r="H33728" s="185"/>
    </row>
    <row r="33729">
      <c r="D33729" s="185"/>
      <c r="E33729" s="185" t="s">
        <v>470</v>
      </c>
      <c r="H33729" s="185"/>
    </row>
    <row r="33730">
      <c r="D33730" s="185"/>
      <c r="E33730" s="185" t="s">
        <v>470</v>
      </c>
      <c r="H33730" s="185"/>
    </row>
    <row r="33731">
      <c r="D33731" s="185"/>
      <c r="E33731" s="185" t="s">
        <v>470</v>
      </c>
      <c r="H33731" s="185"/>
    </row>
    <row r="33732">
      <c r="D33732" s="185"/>
      <c r="E33732" s="185" t="s">
        <v>470</v>
      </c>
      <c r="H33732" s="185"/>
    </row>
    <row r="33733">
      <c r="D33733" s="185"/>
      <c r="E33733" s="185" t="s">
        <v>470</v>
      </c>
      <c r="H33733" s="185"/>
    </row>
    <row r="33734">
      <c r="D33734" s="185"/>
      <c r="E33734" s="185" t="s">
        <v>470</v>
      </c>
      <c r="H33734" s="185"/>
    </row>
    <row r="33735">
      <c r="D33735" s="185"/>
      <c r="E33735" s="185" t="s">
        <v>470</v>
      </c>
      <c r="H33735" s="185"/>
    </row>
    <row r="33736">
      <c r="D33736" s="185"/>
      <c r="E33736" s="185" t="s">
        <v>470</v>
      </c>
      <c r="H33736" s="185"/>
    </row>
    <row r="33737">
      <c r="D33737" s="185"/>
      <c r="E33737" s="185" t="s">
        <v>470</v>
      </c>
      <c r="H33737" s="185"/>
    </row>
    <row r="33738">
      <c r="D33738" s="185"/>
      <c r="E33738" s="185" t="s">
        <v>470</v>
      </c>
      <c r="H33738" s="185"/>
    </row>
    <row r="33739">
      <c r="D33739" s="185"/>
      <c r="E33739" s="185" t="s">
        <v>470</v>
      </c>
      <c r="H33739" s="185"/>
    </row>
    <row r="33740">
      <c r="D33740" s="185"/>
      <c r="E33740" s="185" t="s">
        <v>470</v>
      </c>
      <c r="H33740" s="185"/>
    </row>
    <row r="33741">
      <c r="D33741" s="185"/>
      <c r="E33741" s="185" t="s">
        <v>470</v>
      </c>
      <c r="H33741" s="185"/>
    </row>
    <row r="33742">
      <c r="D33742" s="185"/>
      <c r="E33742" s="185" t="s">
        <v>470</v>
      </c>
      <c r="H33742" s="185"/>
    </row>
    <row r="33743">
      <c r="D33743" s="185"/>
      <c r="E33743" s="185" t="s">
        <v>470</v>
      </c>
      <c r="H33743" s="185"/>
    </row>
    <row r="33744">
      <c r="D33744" s="185"/>
      <c r="E33744" s="185" t="s">
        <v>470</v>
      </c>
      <c r="H33744" s="185"/>
    </row>
    <row r="33745">
      <c r="D33745" s="185"/>
      <c r="E33745" s="185" t="s">
        <v>470</v>
      </c>
      <c r="H33745" s="185"/>
    </row>
    <row r="33746">
      <c r="D33746" s="185"/>
      <c r="E33746" s="185" t="s">
        <v>470</v>
      </c>
      <c r="H33746" s="185"/>
    </row>
    <row r="33747">
      <c r="D33747" s="185"/>
      <c r="E33747" s="185" t="s">
        <v>470</v>
      </c>
      <c r="H33747" s="185"/>
    </row>
    <row r="33748">
      <c r="D33748" s="185"/>
      <c r="E33748" s="185" t="s">
        <v>470</v>
      </c>
      <c r="H33748" s="185"/>
    </row>
    <row r="33749">
      <c r="D33749" s="185"/>
      <c r="E33749" s="185" t="s">
        <v>470</v>
      </c>
      <c r="H33749" s="185"/>
    </row>
    <row r="33750">
      <c r="D33750" s="185"/>
      <c r="E33750" s="185" t="s">
        <v>470</v>
      </c>
      <c r="H33750" s="185"/>
    </row>
    <row r="33751">
      <c r="D33751" s="185"/>
      <c r="E33751" s="185" t="s">
        <v>470</v>
      </c>
      <c r="H33751" s="185"/>
    </row>
    <row r="33752">
      <c r="D33752" s="185"/>
      <c r="E33752" s="185" t="s">
        <v>470</v>
      </c>
      <c r="H33752" s="185"/>
    </row>
    <row r="33753">
      <c r="D33753" s="185"/>
      <c r="E33753" s="185" t="s">
        <v>470</v>
      </c>
      <c r="H33753" s="185"/>
    </row>
    <row r="33754">
      <c r="D33754" s="185"/>
      <c r="E33754" s="185" t="s">
        <v>470</v>
      </c>
      <c r="H33754" s="185"/>
    </row>
    <row r="33755">
      <c r="D33755" s="185"/>
      <c r="E33755" s="185" t="s">
        <v>470</v>
      </c>
      <c r="H33755" s="185"/>
    </row>
    <row r="33756">
      <c r="D33756" s="185"/>
      <c r="E33756" s="185" t="s">
        <v>470</v>
      </c>
      <c r="H33756" s="185"/>
    </row>
    <row r="33757">
      <c r="D33757" s="185"/>
      <c r="E33757" s="185" t="s">
        <v>470</v>
      </c>
      <c r="H33757" s="185"/>
    </row>
    <row r="33758">
      <c r="D33758" s="185"/>
      <c r="E33758" s="185" t="s">
        <v>470</v>
      </c>
      <c r="H33758" s="185"/>
    </row>
    <row r="33759">
      <c r="D33759" s="185"/>
      <c r="E33759" s="185" t="s">
        <v>470</v>
      </c>
      <c r="H33759" s="185"/>
    </row>
    <row r="33760">
      <c r="D33760" s="185"/>
      <c r="E33760" s="185" t="s">
        <v>470</v>
      </c>
      <c r="H33760" s="185"/>
    </row>
    <row r="33761">
      <c r="D33761" s="185"/>
      <c r="E33761" s="185" t="s">
        <v>470</v>
      </c>
      <c r="H33761" s="185"/>
    </row>
    <row r="33762">
      <c r="D33762" s="185"/>
      <c r="E33762" s="185" t="s">
        <v>470</v>
      </c>
      <c r="H33762" s="185"/>
    </row>
    <row r="33763">
      <c r="D33763" s="185"/>
      <c r="E33763" s="185" t="s">
        <v>470</v>
      </c>
      <c r="H33763" s="185"/>
    </row>
    <row r="33764">
      <c r="D33764" s="185"/>
      <c r="E33764" s="185" t="s">
        <v>470</v>
      </c>
      <c r="H33764" s="185"/>
    </row>
    <row r="33765">
      <c r="D33765" s="185"/>
      <c r="E33765" s="185" t="s">
        <v>470</v>
      </c>
      <c r="H33765" s="185"/>
    </row>
    <row r="33766">
      <c r="D33766" s="185"/>
      <c r="E33766" s="185" t="s">
        <v>470</v>
      </c>
      <c r="H33766" s="185"/>
    </row>
    <row r="33767">
      <c r="D33767" s="185"/>
      <c r="E33767" s="185" t="s">
        <v>470</v>
      </c>
      <c r="H33767" s="185"/>
    </row>
    <row r="33768">
      <c r="D33768" s="185"/>
      <c r="E33768" s="185" t="s">
        <v>470</v>
      </c>
      <c r="H33768" s="185"/>
    </row>
    <row r="33769">
      <c r="D33769" s="185"/>
      <c r="E33769" s="185" t="s">
        <v>470</v>
      </c>
      <c r="H33769" s="185"/>
    </row>
    <row r="33770">
      <c r="D33770" s="185"/>
      <c r="E33770" s="185" t="s">
        <v>470</v>
      </c>
      <c r="H33770" s="185"/>
    </row>
    <row r="33771">
      <c r="D33771" s="185"/>
      <c r="E33771" s="185" t="s">
        <v>470</v>
      </c>
      <c r="H33771" s="185"/>
    </row>
    <row r="33772">
      <c r="D33772" s="185"/>
      <c r="E33772" s="185" t="s">
        <v>470</v>
      </c>
      <c r="H33772" s="185"/>
    </row>
    <row r="33773">
      <c r="D33773" s="185"/>
      <c r="E33773" s="185" t="s">
        <v>470</v>
      </c>
      <c r="H33773" s="185"/>
    </row>
    <row r="33774">
      <c r="D33774" s="185"/>
      <c r="E33774" s="185" t="s">
        <v>470</v>
      </c>
      <c r="H33774" s="185"/>
    </row>
    <row r="33775">
      <c r="D33775" s="185"/>
      <c r="E33775" s="185" t="s">
        <v>470</v>
      </c>
      <c r="H33775" s="185"/>
    </row>
    <row r="33776">
      <c r="D33776" s="185"/>
      <c r="E33776" s="185" t="s">
        <v>470</v>
      </c>
      <c r="H33776" s="185"/>
    </row>
    <row r="33777">
      <c r="D33777" s="185"/>
      <c r="E33777" s="185" t="s">
        <v>470</v>
      </c>
      <c r="H33777" s="185"/>
    </row>
    <row r="33778">
      <c r="D33778" s="185"/>
      <c r="E33778" s="185" t="s">
        <v>470</v>
      </c>
      <c r="H33778" s="185"/>
    </row>
    <row r="33779">
      <c r="D33779" s="185"/>
      <c r="E33779" s="185" t="s">
        <v>470</v>
      </c>
      <c r="H33779" s="185"/>
    </row>
    <row r="33780">
      <c r="D33780" s="185"/>
      <c r="E33780" s="185" t="s">
        <v>470</v>
      </c>
      <c r="H33780" s="185"/>
    </row>
    <row r="33781">
      <c r="D33781" s="185"/>
      <c r="E33781" s="185" t="s">
        <v>470</v>
      </c>
      <c r="H33781" s="185"/>
    </row>
    <row r="33782">
      <c r="D33782" s="185"/>
      <c r="E33782" s="185" t="s">
        <v>470</v>
      </c>
      <c r="H33782" s="185"/>
    </row>
    <row r="33783">
      <c r="D33783" s="185"/>
      <c r="E33783" s="185" t="s">
        <v>470</v>
      </c>
      <c r="H33783" s="185"/>
    </row>
    <row r="33784">
      <c r="D33784" s="185"/>
      <c r="E33784" s="185" t="s">
        <v>470</v>
      </c>
      <c r="H33784" s="185"/>
    </row>
    <row r="33785">
      <c r="D33785" s="185"/>
      <c r="E33785" s="185" t="s">
        <v>470</v>
      </c>
      <c r="H33785" s="185"/>
    </row>
    <row r="33786">
      <c r="D33786" s="185"/>
      <c r="E33786" s="185" t="s">
        <v>470</v>
      </c>
      <c r="H33786" s="185"/>
    </row>
    <row r="33787">
      <c r="D33787" s="185"/>
      <c r="E33787" s="185" t="s">
        <v>470</v>
      </c>
      <c r="H33787" s="185"/>
    </row>
    <row r="33788">
      <c r="D33788" s="185"/>
      <c r="E33788" s="185" t="s">
        <v>470</v>
      </c>
      <c r="H33788" s="185"/>
    </row>
    <row r="33789">
      <c r="D33789" s="185"/>
      <c r="E33789" s="185" t="s">
        <v>470</v>
      </c>
      <c r="H33789" s="185"/>
    </row>
    <row r="33790">
      <c r="D33790" s="185"/>
      <c r="E33790" s="185" t="s">
        <v>470</v>
      </c>
      <c r="H33790" s="185"/>
    </row>
    <row r="33791">
      <c r="D33791" s="185"/>
      <c r="E33791" s="185" t="s">
        <v>470</v>
      </c>
      <c r="H33791" s="185"/>
    </row>
    <row r="33792">
      <c r="D33792" s="185"/>
      <c r="E33792" s="185" t="s">
        <v>470</v>
      </c>
      <c r="H33792" s="185"/>
    </row>
    <row r="33793">
      <c r="D33793" s="185"/>
      <c r="E33793" s="185" t="s">
        <v>470</v>
      </c>
      <c r="H33793" s="185"/>
    </row>
    <row r="33794">
      <c r="D33794" s="185"/>
      <c r="E33794" s="185" t="s">
        <v>470</v>
      </c>
      <c r="H33794" s="185"/>
    </row>
    <row r="33795">
      <c r="D33795" s="185"/>
      <c r="E33795" s="185" t="s">
        <v>470</v>
      </c>
      <c r="H33795" s="185"/>
    </row>
    <row r="33796">
      <c r="D33796" s="185"/>
      <c r="E33796" s="185" t="s">
        <v>470</v>
      </c>
      <c r="H33796" s="185"/>
    </row>
    <row r="33797">
      <c r="D33797" s="185"/>
      <c r="E33797" s="185" t="s">
        <v>470</v>
      </c>
      <c r="H33797" s="185"/>
    </row>
    <row r="33798">
      <c r="D33798" s="185"/>
      <c r="E33798" s="185" t="s">
        <v>470</v>
      </c>
      <c r="H33798" s="185"/>
    </row>
    <row r="33799">
      <c r="D33799" s="185"/>
      <c r="E33799" s="185" t="s">
        <v>470</v>
      </c>
      <c r="H33799" s="185"/>
    </row>
    <row r="33800">
      <c r="D33800" s="185"/>
      <c r="E33800" s="185" t="s">
        <v>470</v>
      </c>
      <c r="H33800" s="185"/>
    </row>
    <row r="33801">
      <c r="D33801" s="185"/>
      <c r="E33801" s="185" t="s">
        <v>470</v>
      </c>
      <c r="H33801" s="185"/>
    </row>
    <row r="33802">
      <c r="D33802" s="185"/>
      <c r="E33802" s="185" t="s">
        <v>470</v>
      </c>
      <c r="H33802" s="185"/>
    </row>
    <row r="33803">
      <c r="D33803" s="185"/>
      <c r="E33803" s="185" t="s">
        <v>470</v>
      </c>
      <c r="H33803" s="185"/>
    </row>
    <row r="33804">
      <c r="D33804" s="185"/>
      <c r="E33804" s="185" t="s">
        <v>470</v>
      </c>
      <c r="H33804" s="185"/>
    </row>
    <row r="33805">
      <c r="D33805" s="185"/>
      <c r="E33805" s="185" t="s">
        <v>470</v>
      </c>
      <c r="H33805" s="185"/>
    </row>
    <row r="33806">
      <c r="D33806" s="185"/>
      <c r="E33806" s="185" t="s">
        <v>470</v>
      </c>
      <c r="H33806" s="185"/>
    </row>
    <row r="33807">
      <c r="D33807" s="185"/>
      <c r="E33807" s="185" t="s">
        <v>470</v>
      </c>
      <c r="H33807" s="185"/>
    </row>
    <row r="33808">
      <c r="D33808" s="185"/>
      <c r="E33808" s="185" t="s">
        <v>470</v>
      </c>
      <c r="H33808" s="185"/>
    </row>
    <row r="33809">
      <c r="D33809" s="185"/>
      <c r="E33809" s="185" t="s">
        <v>470</v>
      </c>
      <c r="H33809" s="185"/>
    </row>
    <row r="33810">
      <c r="D33810" s="185"/>
      <c r="E33810" s="185" t="s">
        <v>470</v>
      </c>
      <c r="H33810" s="185"/>
    </row>
    <row r="33811">
      <c r="D33811" s="185"/>
      <c r="E33811" s="185" t="s">
        <v>470</v>
      </c>
      <c r="H33811" s="185"/>
    </row>
    <row r="33812">
      <c r="D33812" s="185"/>
      <c r="E33812" s="185" t="s">
        <v>470</v>
      </c>
      <c r="H33812" s="185"/>
    </row>
    <row r="33813">
      <c r="D33813" s="185"/>
      <c r="E33813" s="185" t="s">
        <v>470</v>
      </c>
      <c r="H33813" s="185"/>
    </row>
    <row r="33814">
      <c r="D33814" s="185"/>
      <c r="E33814" s="185" t="s">
        <v>470</v>
      </c>
      <c r="H33814" s="185"/>
    </row>
    <row r="33815">
      <c r="D33815" s="185"/>
      <c r="E33815" s="185" t="s">
        <v>470</v>
      </c>
      <c r="H33815" s="185"/>
    </row>
    <row r="33816">
      <c r="D33816" s="185"/>
      <c r="E33816" s="185" t="s">
        <v>470</v>
      </c>
      <c r="H33816" s="185"/>
    </row>
    <row r="33817">
      <c r="D33817" s="185"/>
      <c r="E33817" s="185" t="s">
        <v>470</v>
      </c>
      <c r="H33817" s="185"/>
    </row>
    <row r="33818">
      <c r="D33818" s="185"/>
      <c r="E33818" s="185" t="s">
        <v>470</v>
      </c>
      <c r="H33818" s="185"/>
    </row>
    <row r="33819">
      <c r="D33819" s="185"/>
      <c r="E33819" s="185" t="s">
        <v>470</v>
      </c>
      <c r="H33819" s="185"/>
    </row>
    <row r="33820">
      <c r="D33820" s="185"/>
      <c r="E33820" s="185" t="s">
        <v>470</v>
      </c>
      <c r="H33820" s="185"/>
    </row>
    <row r="33821">
      <c r="D33821" s="185"/>
      <c r="E33821" s="185" t="s">
        <v>470</v>
      </c>
      <c r="H33821" s="185"/>
    </row>
    <row r="33822">
      <c r="D33822" s="185"/>
      <c r="E33822" s="185" t="s">
        <v>470</v>
      </c>
      <c r="H33822" s="185"/>
    </row>
    <row r="33823">
      <c r="D33823" s="185"/>
      <c r="E33823" s="185" t="s">
        <v>470</v>
      </c>
      <c r="H33823" s="185"/>
    </row>
    <row r="33824">
      <c r="D33824" s="185"/>
      <c r="E33824" s="185" t="s">
        <v>470</v>
      </c>
      <c r="H33824" s="185"/>
    </row>
    <row r="33825">
      <c r="D33825" s="185"/>
      <c r="E33825" s="185" t="s">
        <v>470</v>
      </c>
      <c r="H33825" s="185"/>
    </row>
    <row r="33826">
      <c r="D33826" s="185"/>
      <c r="E33826" s="185" t="s">
        <v>470</v>
      </c>
      <c r="H33826" s="185"/>
    </row>
    <row r="33827">
      <c r="D33827" s="185"/>
      <c r="E33827" s="185" t="s">
        <v>470</v>
      </c>
      <c r="H33827" s="185"/>
    </row>
    <row r="33828">
      <c r="D33828" s="185"/>
      <c r="E33828" s="185" t="s">
        <v>470</v>
      </c>
      <c r="H33828" s="185"/>
    </row>
    <row r="33829">
      <c r="D33829" s="185"/>
      <c r="E33829" s="185" t="s">
        <v>470</v>
      </c>
      <c r="H33829" s="185"/>
    </row>
    <row r="33830">
      <c r="D33830" s="185"/>
      <c r="E33830" s="185" t="s">
        <v>470</v>
      </c>
      <c r="H33830" s="185"/>
    </row>
    <row r="33831">
      <c r="D33831" s="185"/>
      <c r="E33831" s="185" t="s">
        <v>470</v>
      </c>
      <c r="H33831" s="185"/>
    </row>
    <row r="33832">
      <c r="D33832" s="185"/>
      <c r="E33832" s="185" t="s">
        <v>470</v>
      </c>
      <c r="H33832" s="185"/>
    </row>
    <row r="33833">
      <c r="D33833" s="185"/>
      <c r="E33833" s="185" t="s">
        <v>470</v>
      </c>
      <c r="H33833" s="185"/>
    </row>
    <row r="33834">
      <c r="D33834" s="185"/>
      <c r="E33834" s="185" t="s">
        <v>470</v>
      </c>
      <c r="H33834" s="185"/>
    </row>
    <row r="33835">
      <c r="D33835" s="185"/>
      <c r="E33835" s="185" t="s">
        <v>470</v>
      </c>
      <c r="H33835" s="185"/>
    </row>
    <row r="33836">
      <c r="D33836" s="185"/>
      <c r="E33836" s="185" t="s">
        <v>470</v>
      </c>
      <c r="H33836" s="185"/>
    </row>
    <row r="33837">
      <c r="D33837" s="185"/>
      <c r="E33837" s="185" t="s">
        <v>470</v>
      </c>
      <c r="H33837" s="185"/>
    </row>
    <row r="33838">
      <c r="D33838" s="185"/>
      <c r="E33838" s="185" t="s">
        <v>470</v>
      </c>
      <c r="H33838" s="185"/>
    </row>
    <row r="33839">
      <c r="D33839" s="185"/>
      <c r="E33839" s="185" t="s">
        <v>470</v>
      </c>
      <c r="H33839" s="185"/>
    </row>
    <row r="33840">
      <c r="D33840" s="185"/>
      <c r="E33840" s="185" t="s">
        <v>470</v>
      </c>
      <c r="H33840" s="185"/>
    </row>
    <row r="33841">
      <c r="D33841" s="185"/>
      <c r="E33841" s="185" t="s">
        <v>470</v>
      </c>
      <c r="H33841" s="185"/>
    </row>
    <row r="33842">
      <c r="D33842" s="185"/>
      <c r="E33842" s="185" t="s">
        <v>470</v>
      </c>
      <c r="H33842" s="185"/>
    </row>
    <row r="33843">
      <c r="D33843" s="185"/>
      <c r="E33843" s="185" t="s">
        <v>470</v>
      </c>
      <c r="H33843" s="185"/>
    </row>
    <row r="33844">
      <c r="D33844" s="185"/>
      <c r="E33844" s="185" t="s">
        <v>470</v>
      </c>
      <c r="H33844" s="185"/>
    </row>
    <row r="33845">
      <c r="D33845" s="185"/>
      <c r="E33845" s="185" t="s">
        <v>470</v>
      </c>
      <c r="H33845" s="185"/>
    </row>
    <row r="33846">
      <c r="D33846" s="185"/>
      <c r="E33846" s="185" t="s">
        <v>470</v>
      </c>
      <c r="H33846" s="185"/>
    </row>
    <row r="33847">
      <c r="D33847" s="185"/>
      <c r="E33847" s="185" t="s">
        <v>470</v>
      </c>
      <c r="H33847" s="185"/>
    </row>
    <row r="33848">
      <c r="D33848" s="185"/>
      <c r="E33848" s="185" t="s">
        <v>470</v>
      </c>
      <c r="H33848" s="185"/>
    </row>
    <row r="33849">
      <c r="D33849" s="185"/>
      <c r="E33849" s="185" t="s">
        <v>470</v>
      </c>
      <c r="H33849" s="185"/>
    </row>
    <row r="33850">
      <c r="D33850" s="185"/>
      <c r="E33850" s="185" t="s">
        <v>470</v>
      </c>
      <c r="H33850" s="185"/>
    </row>
    <row r="33851">
      <c r="D33851" s="185"/>
      <c r="E33851" s="185" t="s">
        <v>470</v>
      </c>
      <c r="H33851" s="185"/>
    </row>
    <row r="33852">
      <c r="D33852" s="185"/>
      <c r="E33852" s="185" t="s">
        <v>470</v>
      </c>
      <c r="H33852" s="185"/>
    </row>
    <row r="33853">
      <c r="D33853" s="185"/>
      <c r="E33853" s="185" t="s">
        <v>470</v>
      </c>
      <c r="H33853" s="185"/>
    </row>
    <row r="33854">
      <c r="D33854" s="185"/>
      <c r="E33854" s="185" t="s">
        <v>470</v>
      </c>
      <c r="H33854" s="185"/>
    </row>
    <row r="33855">
      <c r="D33855" s="185"/>
      <c r="E33855" s="185" t="s">
        <v>470</v>
      </c>
      <c r="H33855" s="185"/>
    </row>
    <row r="33856">
      <c r="D33856" s="185"/>
      <c r="E33856" s="185" t="s">
        <v>470</v>
      </c>
      <c r="H33856" s="185"/>
    </row>
    <row r="33857">
      <c r="D33857" s="185"/>
      <c r="E33857" s="185" t="s">
        <v>470</v>
      </c>
      <c r="H33857" s="185"/>
    </row>
    <row r="33858">
      <c r="D33858" s="185"/>
      <c r="E33858" s="185" t="s">
        <v>470</v>
      </c>
      <c r="H33858" s="185"/>
    </row>
    <row r="33859">
      <c r="D33859" s="185"/>
      <c r="E33859" s="185" t="s">
        <v>470</v>
      </c>
      <c r="H33859" s="185"/>
    </row>
    <row r="33860">
      <c r="D33860" s="185"/>
      <c r="E33860" s="185" t="s">
        <v>470</v>
      </c>
      <c r="H33860" s="185"/>
    </row>
    <row r="33861">
      <c r="D33861" s="185"/>
      <c r="E33861" s="185" t="s">
        <v>470</v>
      </c>
      <c r="H33861" s="185"/>
    </row>
    <row r="33862">
      <c r="D33862" s="185"/>
      <c r="E33862" s="185" t="s">
        <v>470</v>
      </c>
      <c r="H33862" s="185"/>
    </row>
    <row r="33863">
      <c r="D33863" s="185"/>
      <c r="E33863" s="185" t="s">
        <v>470</v>
      </c>
      <c r="H33863" s="185"/>
    </row>
    <row r="33864">
      <c r="D33864" s="185"/>
      <c r="E33864" s="185" t="s">
        <v>470</v>
      </c>
      <c r="H33864" s="185"/>
    </row>
    <row r="33865">
      <c r="D33865" s="185"/>
      <c r="E33865" s="185" t="s">
        <v>470</v>
      </c>
      <c r="H33865" s="185"/>
    </row>
    <row r="33866">
      <c r="D33866" s="185"/>
      <c r="E33866" s="185" t="s">
        <v>470</v>
      </c>
      <c r="H33866" s="185"/>
    </row>
    <row r="33867">
      <c r="D33867" s="185"/>
      <c r="E33867" s="185" t="s">
        <v>470</v>
      </c>
      <c r="H33867" s="185"/>
    </row>
    <row r="33868">
      <c r="D33868" s="185"/>
      <c r="E33868" s="185" t="s">
        <v>470</v>
      </c>
      <c r="H33868" s="185"/>
    </row>
    <row r="33869">
      <c r="D33869" s="185"/>
      <c r="E33869" s="185" t="s">
        <v>470</v>
      </c>
      <c r="H33869" s="185"/>
    </row>
    <row r="33870">
      <c r="D33870" s="185"/>
      <c r="E33870" s="185" t="s">
        <v>470</v>
      </c>
      <c r="H33870" s="185"/>
    </row>
    <row r="33871">
      <c r="D33871" s="185"/>
      <c r="E33871" s="185" t="s">
        <v>470</v>
      </c>
      <c r="H33871" s="185"/>
    </row>
    <row r="33872">
      <c r="D33872" s="185"/>
      <c r="E33872" s="185" t="s">
        <v>470</v>
      </c>
      <c r="H33872" s="185"/>
    </row>
    <row r="33873">
      <c r="D33873" s="185"/>
      <c r="E33873" s="185" t="s">
        <v>470</v>
      </c>
      <c r="H33873" s="185"/>
    </row>
    <row r="33874">
      <c r="D33874" s="185"/>
      <c r="E33874" s="185" t="s">
        <v>470</v>
      </c>
      <c r="H33874" s="185"/>
    </row>
    <row r="33875">
      <c r="D33875" s="185"/>
      <c r="E33875" s="185" t="s">
        <v>470</v>
      </c>
      <c r="H33875" s="185"/>
    </row>
    <row r="33876">
      <c r="D33876" s="185"/>
      <c r="E33876" s="185" t="s">
        <v>470</v>
      </c>
      <c r="H33876" s="185"/>
    </row>
    <row r="33877">
      <c r="D33877" s="185"/>
      <c r="E33877" s="185" t="s">
        <v>470</v>
      </c>
      <c r="H33877" s="185"/>
    </row>
    <row r="33878">
      <c r="D33878" s="185"/>
      <c r="E33878" s="185" t="s">
        <v>470</v>
      </c>
      <c r="H33878" s="185"/>
    </row>
    <row r="33879">
      <c r="D33879" s="185"/>
      <c r="E33879" s="185" t="s">
        <v>470</v>
      </c>
      <c r="H33879" s="185"/>
    </row>
    <row r="33880">
      <c r="D33880" s="185"/>
      <c r="E33880" s="185" t="s">
        <v>470</v>
      </c>
      <c r="H33880" s="185"/>
    </row>
    <row r="33881">
      <c r="D33881" s="185"/>
      <c r="E33881" s="185" t="s">
        <v>470</v>
      </c>
      <c r="H33881" s="185"/>
    </row>
    <row r="33882">
      <c r="D33882" s="185"/>
      <c r="E33882" s="185" t="s">
        <v>470</v>
      </c>
      <c r="H33882" s="185"/>
    </row>
    <row r="33883">
      <c r="D33883" s="185"/>
      <c r="E33883" s="185" t="s">
        <v>470</v>
      </c>
      <c r="H33883" s="185"/>
    </row>
    <row r="33884">
      <c r="D33884" s="185"/>
      <c r="E33884" s="185" t="s">
        <v>470</v>
      </c>
      <c r="H33884" s="185"/>
    </row>
    <row r="33885">
      <c r="D33885" s="185"/>
      <c r="E33885" s="185" t="s">
        <v>470</v>
      </c>
      <c r="H33885" s="185"/>
    </row>
    <row r="33886">
      <c r="D33886" s="185"/>
      <c r="E33886" s="185" t="s">
        <v>470</v>
      </c>
      <c r="H33886" s="185"/>
    </row>
    <row r="33887">
      <c r="D33887" s="185"/>
      <c r="E33887" s="185" t="s">
        <v>470</v>
      </c>
      <c r="H33887" s="185"/>
    </row>
    <row r="33888">
      <c r="D33888" s="185"/>
      <c r="E33888" s="185" t="s">
        <v>470</v>
      </c>
      <c r="H33888" s="185"/>
    </row>
    <row r="33889">
      <c r="D33889" s="185"/>
      <c r="E33889" s="185" t="s">
        <v>470</v>
      </c>
      <c r="H33889" s="185"/>
    </row>
    <row r="33890">
      <c r="D33890" s="185"/>
      <c r="E33890" s="185" t="s">
        <v>470</v>
      </c>
      <c r="H33890" s="185"/>
    </row>
    <row r="33891">
      <c r="D33891" s="185"/>
      <c r="E33891" s="185" t="s">
        <v>470</v>
      </c>
      <c r="H33891" s="185"/>
    </row>
    <row r="33892">
      <c r="D33892" s="185"/>
      <c r="E33892" s="185" t="s">
        <v>470</v>
      </c>
      <c r="H33892" s="185"/>
    </row>
    <row r="33893">
      <c r="D33893" s="185"/>
      <c r="E33893" s="185" t="s">
        <v>470</v>
      </c>
      <c r="H33893" s="185"/>
    </row>
    <row r="33894">
      <c r="D33894" s="185"/>
      <c r="E33894" s="185" t="s">
        <v>470</v>
      </c>
      <c r="H33894" s="185"/>
    </row>
    <row r="33895">
      <c r="D33895" s="185"/>
      <c r="E33895" s="185" t="s">
        <v>470</v>
      </c>
      <c r="H33895" s="185"/>
    </row>
    <row r="33896">
      <c r="D33896" s="185"/>
      <c r="E33896" s="185" t="s">
        <v>470</v>
      </c>
      <c r="H33896" s="185"/>
    </row>
    <row r="33897">
      <c r="D33897" s="185"/>
      <c r="E33897" s="185" t="s">
        <v>470</v>
      </c>
      <c r="H33897" s="185"/>
    </row>
    <row r="33898">
      <c r="D33898" s="185"/>
      <c r="E33898" s="185" t="s">
        <v>470</v>
      </c>
      <c r="H33898" s="185"/>
    </row>
    <row r="33899">
      <c r="D33899" s="185"/>
      <c r="E33899" s="185" t="s">
        <v>470</v>
      </c>
      <c r="H33899" s="185"/>
    </row>
    <row r="33900">
      <c r="D33900" s="185"/>
      <c r="E33900" s="185" t="s">
        <v>470</v>
      </c>
      <c r="H33900" s="185"/>
    </row>
    <row r="33901">
      <c r="D33901" s="185"/>
      <c r="E33901" s="185" t="s">
        <v>470</v>
      </c>
      <c r="H33901" s="185"/>
    </row>
    <row r="33902">
      <c r="D33902" s="185"/>
      <c r="E33902" s="185" t="s">
        <v>470</v>
      </c>
      <c r="H33902" s="185"/>
    </row>
    <row r="33903">
      <c r="D33903" s="185"/>
      <c r="E33903" s="185" t="s">
        <v>470</v>
      </c>
      <c r="H33903" s="185"/>
    </row>
    <row r="33904">
      <c r="D33904" s="185"/>
      <c r="E33904" s="185" t="s">
        <v>470</v>
      </c>
      <c r="H33904" s="185"/>
    </row>
    <row r="33905">
      <c r="D33905" s="185"/>
      <c r="E33905" s="185" t="s">
        <v>470</v>
      </c>
      <c r="H33905" s="185"/>
    </row>
    <row r="33906">
      <c r="D33906" s="185"/>
      <c r="E33906" s="185" t="s">
        <v>470</v>
      </c>
      <c r="H33906" s="185"/>
    </row>
    <row r="33907">
      <c r="D33907" s="185"/>
      <c r="E33907" s="185" t="s">
        <v>470</v>
      </c>
      <c r="H33907" s="185"/>
    </row>
    <row r="33908">
      <c r="D33908" s="185"/>
      <c r="E33908" s="185" t="s">
        <v>470</v>
      </c>
      <c r="H33908" s="185"/>
    </row>
    <row r="33909">
      <c r="D33909" s="185"/>
      <c r="E33909" s="185" t="s">
        <v>470</v>
      </c>
      <c r="H33909" s="185"/>
    </row>
    <row r="33910">
      <c r="D33910" s="185"/>
      <c r="E33910" s="185" t="s">
        <v>470</v>
      </c>
      <c r="H33910" s="185"/>
    </row>
    <row r="33911">
      <c r="D33911" s="185"/>
      <c r="E33911" s="185" t="s">
        <v>470</v>
      </c>
      <c r="H33911" s="185"/>
    </row>
    <row r="33912">
      <c r="D33912" s="185"/>
      <c r="E33912" s="185" t="s">
        <v>470</v>
      </c>
      <c r="H33912" s="185"/>
    </row>
    <row r="33913">
      <c r="D33913" s="185"/>
      <c r="E33913" s="185" t="s">
        <v>470</v>
      </c>
      <c r="H33913" s="185"/>
    </row>
    <row r="33914">
      <c r="D33914" s="185"/>
      <c r="E33914" s="185" t="s">
        <v>470</v>
      </c>
      <c r="H33914" s="185"/>
    </row>
    <row r="33915">
      <c r="D33915" s="185"/>
      <c r="E33915" s="185" t="s">
        <v>470</v>
      </c>
      <c r="H33915" s="185"/>
    </row>
    <row r="33916">
      <c r="D33916" s="185"/>
      <c r="E33916" s="185" t="s">
        <v>470</v>
      </c>
      <c r="H33916" s="185"/>
    </row>
    <row r="33917">
      <c r="D33917" s="185"/>
      <c r="E33917" s="185" t="s">
        <v>470</v>
      </c>
      <c r="H33917" s="185"/>
    </row>
    <row r="33918">
      <c r="D33918" s="185"/>
      <c r="E33918" s="185" t="s">
        <v>470</v>
      </c>
      <c r="H33918" s="185"/>
    </row>
    <row r="33919">
      <c r="D33919" s="185"/>
      <c r="E33919" s="185" t="s">
        <v>470</v>
      </c>
      <c r="H33919" s="185"/>
    </row>
    <row r="33920">
      <c r="D33920" s="185"/>
      <c r="E33920" s="185" t="s">
        <v>470</v>
      </c>
      <c r="H33920" s="185"/>
    </row>
    <row r="33921">
      <c r="D33921" s="185"/>
      <c r="E33921" s="185" t="s">
        <v>470</v>
      </c>
      <c r="H33921" s="185"/>
    </row>
    <row r="33922">
      <c r="D33922" s="185"/>
      <c r="E33922" s="185" t="s">
        <v>470</v>
      </c>
      <c r="H33922" s="185"/>
    </row>
    <row r="33923">
      <c r="D33923" s="185"/>
      <c r="E33923" s="185" t="s">
        <v>470</v>
      </c>
      <c r="H33923" s="185"/>
    </row>
    <row r="33924">
      <c r="D33924" s="185"/>
      <c r="E33924" s="185" t="s">
        <v>470</v>
      </c>
      <c r="H33924" s="185"/>
    </row>
    <row r="33925">
      <c r="D33925" s="185"/>
      <c r="E33925" s="185" t="s">
        <v>470</v>
      </c>
      <c r="H33925" s="185"/>
    </row>
    <row r="33926">
      <c r="D33926" s="185"/>
      <c r="E33926" s="185" t="s">
        <v>470</v>
      </c>
      <c r="H33926" s="185"/>
    </row>
    <row r="33927">
      <c r="D33927" s="185"/>
      <c r="E33927" s="185" t="s">
        <v>470</v>
      </c>
      <c r="H33927" s="185"/>
    </row>
    <row r="33928">
      <c r="D33928" s="185"/>
      <c r="E33928" s="185" t="s">
        <v>470</v>
      </c>
      <c r="H33928" s="185"/>
    </row>
    <row r="33929">
      <c r="D33929" s="185"/>
      <c r="E33929" s="185" t="s">
        <v>470</v>
      </c>
      <c r="H33929" s="185"/>
    </row>
    <row r="33930">
      <c r="D33930" s="185"/>
      <c r="E33930" s="185" t="s">
        <v>470</v>
      </c>
      <c r="H33930" s="185"/>
    </row>
    <row r="33931">
      <c r="D33931" s="185"/>
      <c r="E33931" s="185" t="s">
        <v>470</v>
      </c>
      <c r="H33931" s="185"/>
    </row>
    <row r="33932">
      <c r="D33932" s="185"/>
      <c r="E33932" s="185" t="s">
        <v>470</v>
      </c>
      <c r="H33932" s="185"/>
    </row>
    <row r="33933">
      <c r="D33933" s="185"/>
      <c r="E33933" s="185" t="s">
        <v>470</v>
      </c>
      <c r="H33933" s="185"/>
    </row>
    <row r="33934">
      <c r="D33934" s="185"/>
      <c r="E33934" s="185" t="s">
        <v>470</v>
      </c>
      <c r="H33934" s="185"/>
    </row>
    <row r="33935">
      <c r="D33935" s="185"/>
      <c r="E33935" s="185" t="s">
        <v>470</v>
      </c>
      <c r="H33935" s="185"/>
    </row>
    <row r="33936">
      <c r="D33936" s="185"/>
      <c r="E33936" s="185" t="s">
        <v>470</v>
      </c>
      <c r="H33936" s="185"/>
    </row>
    <row r="33937">
      <c r="D33937" s="185"/>
      <c r="E33937" s="185" t="s">
        <v>470</v>
      </c>
      <c r="H33937" s="185"/>
    </row>
    <row r="33938">
      <c r="D33938" s="185"/>
      <c r="E33938" s="185" t="s">
        <v>470</v>
      </c>
      <c r="H33938" s="185"/>
    </row>
    <row r="33939">
      <c r="D33939" s="185"/>
      <c r="E33939" s="185" t="s">
        <v>470</v>
      </c>
      <c r="H33939" s="185"/>
    </row>
    <row r="33940">
      <c r="D33940" s="185"/>
      <c r="E33940" s="185" t="s">
        <v>470</v>
      </c>
      <c r="H33940" s="185"/>
    </row>
    <row r="33941">
      <c r="D33941" s="185"/>
      <c r="E33941" s="185" t="s">
        <v>470</v>
      </c>
      <c r="H33941" s="185"/>
    </row>
    <row r="33942">
      <c r="D33942" s="185"/>
      <c r="E33942" s="185" t="s">
        <v>470</v>
      </c>
      <c r="H33942" s="185"/>
    </row>
    <row r="33943">
      <c r="D33943" s="185"/>
      <c r="E33943" s="185" t="s">
        <v>470</v>
      </c>
      <c r="H33943" s="185"/>
    </row>
    <row r="33944">
      <c r="D33944" s="185"/>
      <c r="E33944" s="185" t="s">
        <v>470</v>
      </c>
      <c r="H33944" s="185"/>
    </row>
    <row r="33945">
      <c r="D33945" s="185"/>
      <c r="E33945" s="185" t="s">
        <v>470</v>
      </c>
      <c r="H33945" s="185"/>
    </row>
    <row r="33946">
      <c r="D33946" s="185"/>
      <c r="E33946" s="185" t="s">
        <v>470</v>
      </c>
      <c r="H33946" s="185"/>
    </row>
    <row r="33947">
      <c r="D33947" s="185"/>
      <c r="E33947" s="185" t="s">
        <v>470</v>
      </c>
      <c r="H33947" s="185"/>
    </row>
    <row r="33948">
      <c r="D33948" s="185"/>
      <c r="E33948" s="185" t="s">
        <v>470</v>
      </c>
      <c r="H33948" s="185"/>
    </row>
    <row r="33949">
      <c r="D33949" s="185"/>
      <c r="E33949" s="185" t="s">
        <v>470</v>
      </c>
      <c r="H33949" s="185"/>
    </row>
    <row r="33950">
      <c r="D33950" s="185"/>
      <c r="E33950" s="185" t="s">
        <v>470</v>
      </c>
      <c r="H33950" s="185"/>
    </row>
    <row r="33951">
      <c r="D33951" s="185"/>
      <c r="E33951" s="185" t="s">
        <v>470</v>
      </c>
      <c r="H33951" s="185"/>
    </row>
    <row r="33952">
      <c r="D33952" s="185"/>
      <c r="E33952" s="185" t="s">
        <v>470</v>
      </c>
      <c r="H33952" s="185"/>
    </row>
    <row r="33953">
      <c r="D33953" s="185"/>
      <c r="E33953" s="185" t="s">
        <v>470</v>
      </c>
      <c r="H33953" s="185"/>
    </row>
    <row r="33954">
      <c r="D33954" s="185"/>
      <c r="E33954" s="185" t="s">
        <v>470</v>
      </c>
      <c r="H33954" s="185"/>
    </row>
    <row r="33955">
      <c r="D33955" s="185"/>
      <c r="E33955" s="185" t="s">
        <v>470</v>
      </c>
      <c r="H33955" s="185"/>
    </row>
    <row r="33956">
      <c r="D33956" s="185"/>
      <c r="E33956" s="185" t="s">
        <v>470</v>
      </c>
      <c r="H33956" s="185"/>
    </row>
    <row r="33957">
      <c r="D33957" s="185"/>
      <c r="E33957" s="185" t="s">
        <v>470</v>
      </c>
      <c r="H33957" s="185"/>
    </row>
    <row r="33958">
      <c r="D33958" s="185"/>
      <c r="E33958" s="185" t="s">
        <v>470</v>
      </c>
      <c r="H33958" s="185"/>
    </row>
    <row r="33959">
      <c r="D33959" s="185"/>
      <c r="E33959" s="185" t="s">
        <v>470</v>
      </c>
      <c r="H33959" s="185"/>
    </row>
    <row r="33960">
      <c r="D33960" s="185"/>
      <c r="E33960" s="185" t="s">
        <v>470</v>
      </c>
      <c r="H33960" s="185"/>
    </row>
    <row r="33961">
      <c r="D33961" s="185"/>
      <c r="E33961" s="185" t="s">
        <v>470</v>
      </c>
      <c r="H33961" s="185"/>
    </row>
    <row r="33962">
      <c r="D33962" s="185"/>
      <c r="E33962" s="185" t="s">
        <v>470</v>
      </c>
      <c r="H33962" s="185"/>
    </row>
    <row r="33963">
      <c r="D33963" s="185"/>
      <c r="E33963" s="185" t="s">
        <v>470</v>
      </c>
      <c r="H33963" s="185"/>
    </row>
    <row r="33964">
      <c r="D33964" s="185"/>
      <c r="E33964" s="185" t="s">
        <v>470</v>
      </c>
      <c r="H33964" s="185"/>
    </row>
    <row r="33965">
      <c r="D33965" s="185"/>
      <c r="E33965" s="185" t="s">
        <v>470</v>
      </c>
      <c r="H33965" s="185"/>
    </row>
    <row r="33966">
      <c r="D33966" s="185"/>
      <c r="E33966" s="185" t="s">
        <v>470</v>
      </c>
      <c r="H33966" s="185"/>
    </row>
    <row r="33967">
      <c r="D33967" s="185"/>
      <c r="E33967" s="185" t="s">
        <v>470</v>
      </c>
      <c r="H33967" s="185"/>
    </row>
    <row r="33968">
      <c r="D33968" s="185"/>
      <c r="E33968" s="185" t="s">
        <v>470</v>
      </c>
      <c r="H33968" s="185"/>
    </row>
    <row r="33969">
      <c r="D33969" s="185"/>
      <c r="E33969" s="185" t="s">
        <v>470</v>
      </c>
      <c r="H33969" s="185"/>
    </row>
    <row r="33970">
      <c r="D33970" s="185"/>
      <c r="E33970" s="185" t="s">
        <v>470</v>
      </c>
      <c r="H33970" s="185"/>
    </row>
    <row r="33971">
      <c r="D33971" s="185"/>
      <c r="E33971" s="185" t="s">
        <v>470</v>
      </c>
      <c r="H33971" s="185"/>
    </row>
    <row r="33972">
      <c r="D33972" s="185"/>
      <c r="E33972" s="185" t="s">
        <v>470</v>
      </c>
      <c r="H33972" s="185"/>
    </row>
    <row r="33973">
      <c r="D33973" s="185"/>
      <c r="E33973" s="185" t="s">
        <v>470</v>
      </c>
      <c r="H33973" s="185"/>
    </row>
    <row r="33974">
      <c r="D33974" s="185"/>
      <c r="E33974" s="185" t="s">
        <v>470</v>
      </c>
      <c r="H33974" s="185"/>
    </row>
    <row r="33975">
      <c r="D33975" s="185"/>
      <c r="E33975" s="185" t="s">
        <v>470</v>
      </c>
      <c r="H33975" s="185"/>
    </row>
    <row r="33976">
      <c r="D33976" s="185"/>
      <c r="E33976" s="185" t="s">
        <v>470</v>
      </c>
      <c r="H33976" s="185"/>
    </row>
    <row r="33977">
      <c r="D33977" s="185"/>
      <c r="E33977" s="185" t="s">
        <v>470</v>
      </c>
      <c r="H33977" s="185"/>
    </row>
    <row r="33978">
      <c r="D33978" s="185"/>
      <c r="E33978" s="185" t="s">
        <v>470</v>
      </c>
      <c r="H33978" s="185"/>
    </row>
    <row r="33979">
      <c r="D33979" s="185"/>
      <c r="E33979" s="185" t="s">
        <v>470</v>
      </c>
      <c r="H33979" s="185"/>
    </row>
    <row r="33980">
      <c r="D33980" s="185"/>
      <c r="E33980" s="185" t="s">
        <v>470</v>
      </c>
      <c r="H33980" s="185"/>
    </row>
    <row r="33981">
      <c r="D33981" s="185"/>
      <c r="E33981" s="185" t="s">
        <v>470</v>
      </c>
      <c r="H33981" s="185"/>
    </row>
    <row r="33982">
      <c r="D33982" s="185"/>
      <c r="E33982" s="185" t="s">
        <v>470</v>
      </c>
      <c r="H33982" s="185"/>
    </row>
    <row r="33983">
      <c r="D33983" s="185"/>
      <c r="E33983" s="185" t="s">
        <v>470</v>
      </c>
      <c r="H33983" s="185"/>
    </row>
    <row r="33984">
      <c r="D33984" s="185"/>
      <c r="E33984" s="185" t="s">
        <v>470</v>
      </c>
      <c r="H33984" s="185"/>
    </row>
    <row r="33985">
      <c r="D33985" s="185"/>
      <c r="E33985" s="185" t="s">
        <v>470</v>
      </c>
      <c r="H33985" s="185"/>
    </row>
    <row r="33986">
      <c r="D33986" s="185"/>
      <c r="E33986" s="185" t="s">
        <v>470</v>
      </c>
      <c r="H33986" s="185"/>
    </row>
    <row r="33987">
      <c r="D33987" s="185"/>
      <c r="E33987" s="185" t="s">
        <v>470</v>
      </c>
      <c r="H33987" s="185"/>
    </row>
    <row r="33988">
      <c r="D33988" s="185"/>
      <c r="E33988" s="185" t="s">
        <v>470</v>
      </c>
      <c r="H33988" s="185"/>
    </row>
    <row r="33989">
      <c r="D33989" s="185"/>
      <c r="E33989" s="185" t="s">
        <v>470</v>
      </c>
      <c r="H33989" s="185"/>
    </row>
    <row r="33990">
      <c r="D33990" s="185"/>
      <c r="E33990" s="185" t="s">
        <v>470</v>
      </c>
      <c r="H33990" s="185"/>
    </row>
    <row r="33991">
      <c r="D33991" s="185"/>
      <c r="E33991" s="185" t="s">
        <v>470</v>
      </c>
      <c r="H33991" s="185"/>
    </row>
    <row r="33992">
      <c r="D33992" s="185"/>
      <c r="E33992" s="185" t="s">
        <v>470</v>
      </c>
      <c r="H33992" s="185"/>
    </row>
    <row r="33993">
      <c r="D33993" s="185"/>
      <c r="E33993" s="185" t="s">
        <v>470</v>
      </c>
      <c r="H33993" s="185"/>
    </row>
    <row r="33994">
      <c r="D33994" s="185"/>
      <c r="E33994" s="185" t="s">
        <v>470</v>
      </c>
      <c r="H33994" s="185"/>
    </row>
    <row r="33995">
      <c r="D33995" s="185"/>
      <c r="E33995" s="185" t="s">
        <v>470</v>
      </c>
      <c r="H33995" s="185"/>
    </row>
    <row r="33996">
      <c r="D33996" s="185"/>
      <c r="E33996" s="185" t="s">
        <v>470</v>
      </c>
      <c r="H33996" s="185"/>
    </row>
    <row r="33997">
      <c r="D33997" s="185"/>
      <c r="E33997" s="185" t="s">
        <v>470</v>
      </c>
      <c r="H33997" s="185"/>
    </row>
    <row r="33998">
      <c r="D33998" s="185"/>
      <c r="E33998" s="185" t="s">
        <v>470</v>
      </c>
      <c r="H33998" s="185"/>
    </row>
    <row r="33999">
      <c r="D33999" s="185"/>
      <c r="E33999" s="185" t="s">
        <v>470</v>
      </c>
      <c r="H33999" s="185"/>
    </row>
    <row r="34000">
      <c r="D34000" s="185"/>
      <c r="E34000" s="185" t="s">
        <v>470</v>
      </c>
      <c r="H34000" s="185"/>
    </row>
    <row r="34001">
      <c r="D34001" s="185"/>
      <c r="E34001" s="185" t="s">
        <v>470</v>
      </c>
      <c r="H34001" s="185"/>
    </row>
    <row r="34002">
      <c r="D34002" s="185"/>
      <c r="E34002" s="185" t="s">
        <v>470</v>
      </c>
      <c r="H34002" s="185"/>
    </row>
    <row r="34003">
      <c r="D34003" s="185"/>
      <c r="E34003" s="185" t="s">
        <v>470</v>
      </c>
      <c r="H34003" s="185"/>
    </row>
    <row r="34004">
      <c r="D34004" s="185"/>
      <c r="E34004" s="185" t="s">
        <v>470</v>
      </c>
      <c r="H34004" s="185"/>
    </row>
    <row r="34005">
      <c r="D34005" s="185"/>
      <c r="E34005" s="185" t="s">
        <v>470</v>
      </c>
      <c r="H34005" s="185"/>
    </row>
    <row r="34006">
      <c r="D34006" s="185"/>
      <c r="E34006" s="185" t="s">
        <v>470</v>
      </c>
      <c r="H34006" s="185"/>
    </row>
    <row r="34007">
      <c r="D34007" s="185"/>
      <c r="E34007" s="185" t="s">
        <v>470</v>
      </c>
      <c r="H34007" s="185"/>
    </row>
    <row r="34008">
      <c r="D34008" s="185"/>
      <c r="E34008" s="185" t="s">
        <v>470</v>
      </c>
      <c r="H34008" s="185"/>
    </row>
    <row r="34009">
      <c r="D34009" s="185"/>
      <c r="E34009" s="185" t="s">
        <v>470</v>
      </c>
      <c r="H34009" s="185"/>
    </row>
    <row r="34010">
      <c r="D34010" s="185"/>
      <c r="E34010" s="185" t="s">
        <v>470</v>
      </c>
      <c r="H34010" s="185"/>
    </row>
    <row r="34011">
      <c r="D34011" s="185"/>
      <c r="E34011" s="185" t="s">
        <v>470</v>
      </c>
      <c r="H34011" s="185"/>
    </row>
    <row r="34012">
      <c r="D34012" s="185"/>
      <c r="E34012" s="185" t="s">
        <v>470</v>
      </c>
      <c r="H34012" s="185"/>
    </row>
    <row r="34013">
      <c r="D34013" s="185"/>
      <c r="E34013" s="185" t="s">
        <v>470</v>
      </c>
      <c r="H34013" s="185"/>
    </row>
    <row r="34014">
      <c r="D34014" s="185"/>
      <c r="E34014" s="185" t="s">
        <v>470</v>
      </c>
      <c r="H34014" s="185"/>
    </row>
    <row r="34015">
      <c r="D34015" s="185"/>
      <c r="E34015" s="185" t="s">
        <v>470</v>
      </c>
      <c r="H34015" s="185"/>
    </row>
    <row r="34016">
      <c r="D34016" s="185"/>
      <c r="E34016" s="185" t="s">
        <v>470</v>
      </c>
      <c r="H34016" s="185"/>
    </row>
    <row r="34017">
      <c r="D34017" s="185"/>
      <c r="E34017" s="185" t="s">
        <v>470</v>
      </c>
      <c r="H34017" s="185"/>
    </row>
    <row r="34018">
      <c r="D34018" s="185"/>
      <c r="E34018" s="185" t="s">
        <v>470</v>
      </c>
      <c r="H34018" s="185"/>
    </row>
    <row r="34019">
      <c r="D34019" s="185"/>
      <c r="E34019" s="185" t="s">
        <v>470</v>
      </c>
      <c r="H34019" s="185"/>
    </row>
    <row r="34020">
      <c r="D34020" s="185"/>
      <c r="E34020" s="185" t="s">
        <v>470</v>
      </c>
      <c r="H34020" s="185"/>
    </row>
    <row r="34021">
      <c r="D34021" s="185"/>
      <c r="E34021" s="185" t="s">
        <v>470</v>
      </c>
      <c r="H34021" s="185"/>
    </row>
    <row r="34022">
      <c r="D34022" s="185"/>
      <c r="E34022" s="185" t="s">
        <v>470</v>
      </c>
      <c r="H34022" s="185"/>
    </row>
    <row r="34023">
      <c r="D34023" s="185"/>
      <c r="E34023" s="185" t="s">
        <v>470</v>
      </c>
      <c r="H34023" s="185"/>
    </row>
    <row r="34024">
      <c r="D34024" s="185"/>
      <c r="E34024" s="185" t="s">
        <v>470</v>
      </c>
      <c r="H34024" s="185"/>
    </row>
    <row r="34025">
      <c r="D34025" s="185"/>
      <c r="E34025" s="185" t="s">
        <v>470</v>
      </c>
      <c r="H34025" s="185"/>
    </row>
    <row r="34026">
      <c r="D34026" s="185"/>
      <c r="E34026" s="185" t="s">
        <v>470</v>
      </c>
      <c r="H34026" s="185"/>
    </row>
    <row r="34027">
      <c r="D34027" s="185"/>
      <c r="E34027" s="185" t="s">
        <v>470</v>
      </c>
      <c r="H34027" s="185"/>
    </row>
    <row r="34028">
      <c r="D34028" s="185"/>
      <c r="E34028" s="185" t="s">
        <v>470</v>
      </c>
      <c r="H34028" s="185"/>
    </row>
    <row r="34029">
      <c r="D34029" s="185"/>
      <c r="E34029" s="185" t="s">
        <v>470</v>
      </c>
      <c r="H34029" s="185"/>
    </row>
    <row r="34030">
      <c r="D34030" s="185"/>
      <c r="E34030" s="185" t="s">
        <v>470</v>
      </c>
      <c r="H34030" s="185"/>
    </row>
    <row r="34031">
      <c r="D34031" s="185"/>
      <c r="E34031" s="185" t="s">
        <v>470</v>
      </c>
      <c r="H34031" s="185"/>
    </row>
    <row r="34032">
      <c r="D34032" s="185"/>
      <c r="E34032" s="185" t="s">
        <v>470</v>
      </c>
      <c r="H34032" s="185"/>
    </row>
    <row r="34033">
      <c r="D34033" s="185"/>
      <c r="E34033" s="185" t="s">
        <v>470</v>
      </c>
      <c r="H34033" s="185"/>
    </row>
    <row r="34034">
      <c r="D34034" s="185"/>
      <c r="E34034" s="185" t="s">
        <v>470</v>
      </c>
      <c r="H34034" s="185"/>
    </row>
    <row r="34035">
      <c r="D34035" s="185"/>
      <c r="E34035" s="185" t="s">
        <v>470</v>
      </c>
      <c r="H34035" s="185"/>
    </row>
    <row r="34036">
      <c r="D34036" s="185"/>
      <c r="E34036" s="185" t="s">
        <v>470</v>
      </c>
      <c r="H34036" s="185"/>
    </row>
    <row r="34037">
      <c r="D34037" s="185"/>
      <c r="E34037" s="185" t="s">
        <v>470</v>
      </c>
      <c r="H34037" s="185"/>
    </row>
    <row r="34038">
      <c r="D34038" s="185"/>
      <c r="E34038" s="185" t="s">
        <v>470</v>
      </c>
      <c r="H34038" s="185"/>
    </row>
    <row r="34039">
      <c r="D34039" s="185"/>
      <c r="E34039" s="185" t="s">
        <v>470</v>
      </c>
      <c r="H34039" s="185"/>
    </row>
    <row r="34040">
      <c r="D34040" s="185"/>
      <c r="E34040" s="185" t="s">
        <v>470</v>
      </c>
      <c r="H34040" s="185"/>
    </row>
    <row r="34041">
      <c r="D34041" s="185"/>
      <c r="E34041" s="185" t="s">
        <v>470</v>
      </c>
      <c r="H34041" s="185"/>
    </row>
    <row r="34042">
      <c r="D34042" s="185"/>
      <c r="E34042" s="185" t="s">
        <v>470</v>
      </c>
      <c r="H34042" s="185"/>
    </row>
    <row r="34043">
      <c r="D34043" s="185"/>
      <c r="E34043" s="185" t="s">
        <v>470</v>
      </c>
      <c r="H34043" s="185"/>
    </row>
    <row r="34044">
      <c r="D34044" s="185"/>
      <c r="E34044" s="185" t="s">
        <v>470</v>
      </c>
      <c r="H34044" s="185"/>
    </row>
    <row r="34045">
      <c r="D34045" s="185"/>
      <c r="E34045" s="185" t="s">
        <v>470</v>
      </c>
      <c r="H34045" s="185"/>
    </row>
    <row r="34046">
      <c r="D34046" s="185"/>
      <c r="E34046" s="185" t="s">
        <v>470</v>
      </c>
      <c r="H34046" s="185"/>
    </row>
    <row r="34047">
      <c r="D34047" s="185"/>
      <c r="E34047" s="185" t="s">
        <v>470</v>
      </c>
      <c r="H34047" s="185"/>
    </row>
    <row r="34048">
      <c r="D34048" s="185"/>
      <c r="E34048" s="185" t="s">
        <v>470</v>
      </c>
      <c r="H34048" s="185"/>
    </row>
    <row r="34049">
      <c r="D34049" s="185"/>
      <c r="E34049" s="185" t="s">
        <v>470</v>
      </c>
      <c r="H34049" s="185"/>
    </row>
    <row r="34050">
      <c r="D34050" s="185"/>
      <c r="E34050" s="185" t="s">
        <v>470</v>
      </c>
      <c r="H34050" s="185"/>
    </row>
    <row r="34051">
      <c r="D34051" s="185"/>
      <c r="E34051" s="185" t="s">
        <v>470</v>
      </c>
      <c r="H34051" s="185"/>
    </row>
    <row r="34052">
      <c r="D34052" s="185"/>
      <c r="E34052" s="185" t="s">
        <v>470</v>
      </c>
      <c r="H34052" s="185"/>
    </row>
    <row r="34053">
      <c r="D34053" s="185"/>
      <c r="E34053" s="185" t="s">
        <v>470</v>
      </c>
      <c r="H34053" s="185"/>
    </row>
    <row r="34054">
      <c r="D34054" s="185"/>
      <c r="E34054" s="185" t="s">
        <v>470</v>
      </c>
      <c r="H34054" s="185"/>
    </row>
    <row r="34055">
      <c r="D34055" s="185"/>
      <c r="E34055" s="185" t="s">
        <v>470</v>
      </c>
      <c r="H34055" s="185"/>
    </row>
    <row r="34056">
      <c r="D34056" s="185"/>
      <c r="E34056" s="185" t="s">
        <v>470</v>
      </c>
      <c r="H34056" s="185"/>
    </row>
    <row r="34057">
      <c r="D34057" s="185"/>
      <c r="E34057" s="185" t="s">
        <v>470</v>
      </c>
      <c r="H34057" s="185"/>
    </row>
    <row r="34058">
      <c r="D34058" s="185"/>
      <c r="E34058" s="185" t="s">
        <v>470</v>
      </c>
      <c r="H34058" s="185"/>
    </row>
    <row r="34059">
      <c r="D34059" s="185"/>
      <c r="E34059" s="185" t="s">
        <v>470</v>
      </c>
      <c r="H34059" s="185"/>
    </row>
    <row r="34060">
      <c r="D34060" s="185"/>
      <c r="E34060" s="185" t="s">
        <v>470</v>
      </c>
      <c r="H34060" s="185"/>
    </row>
    <row r="34061">
      <c r="D34061" s="185"/>
      <c r="E34061" s="185" t="s">
        <v>470</v>
      </c>
      <c r="H34061" s="185"/>
    </row>
    <row r="34062">
      <c r="D34062" s="185"/>
      <c r="E34062" s="185" t="s">
        <v>470</v>
      </c>
      <c r="H34062" s="185"/>
    </row>
    <row r="34063">
      <c r="D34063" s="185"/>
      <c r="E34063" s="185" t="s">
        <v>470</v>
      </c>
      <c r="H34063" s="185"/>
    </row>
    <row r="34064">
      <c r="D34064" s="185"/>
      <c r="E34064" s="185" t="s">
        <v>470</v>
      </c>
      <c r="H34064" s="185"/>
    </row>
    <row r="34065">
      <c r="D34065" s="185"/>
      <c r="E34065" s="185" t="s">
        <v>470</v>
      </c>
      <c r="H34065" s="185"/>
    </row>
    <row r="34066">
      <c r="D34066" s="185"/>
      <c r="E34066" s="185" t="s">
        <v>470</v>
      </c>
      <c r="H34066" s="185"/>
    </row>
    <row r="34067">
      <c r="D34067" s="185"/>
      <c r="E34067" s="185" t="s">
        <v>470</v>
      </c>
      <c r="H34067" s="185"/>
    </row>
    <row r="34068">
      <c r="D34068" s="185"/>
      <c r="E34068" s="185" t="s">
        <v>470</v>
      </c>
      <c r="H34068" s="185"/>
    </row>
    <row r="34069">
      <c r="D34069" s="185"/>
      <c r="E34069" s="185" t="s">
        <v>470</v>
      </c>
      <c r="H34069" s="185"/>
    </row>
    <row r="34070">
      <c r="D34070" s="185"/>
      <c r="E34070" s="185" t="s">
        <v>470</v>
      </c>
      <c r="H34070" s="185"/>
    </row>
    <row r="34071">
      <c r="D34071" s="185"/>
      <c r="E34071" s="185" t="s">
        <v>470</v>
      </c>
      <c r="H34071" s="185"/>
    </row>
    <row r="34072">
      <c r="D34072" s="185"/>
      <c r="E34072" s="185" t="s">
        <v>470</v>
      </c>
      <c r="H34072" s="185"/>
    </row>
    <row r="34073">
      <c r="D34073" s="185"/>
      <c r="E34073" s="185" t="s">
        <v>470</v>
      </c>
      <c r="H34073" s="185"/>
    </row>
    <row r="34074">
      <c r="D34074" s="185"/>
      <c r="E34074" s="185" t="s">
        <v>470</v>
      </c>
      <c r="H34074" s="185"/>
    </row>
    <row r="34075">
      <c r="D34075" s="185"/>
      <c r="E34075" s="185" t="s">
        <v>470</v>
      </c>
      <c r="H34075" s="185"/>
    </row>
    <row r="34076">
      <c r="D34076" s="185"/>
      <c r="E34076" s="185" t="s">
        <v>470</v>
      </c>
      <c r="H34076" s="185"/>
    </row>
    <row r="34077">
      <c r="D34077" s="185"/>
      <c r="E34077" s="185" t="s">
        <v>470</v>
      </c>
      <c r="H34077" s="185"/>
    </row>
    <row r="34078">
      <c r="D34078" s="185"/>
      <c r="E34078" s="185" t="s">
        <v>470</v>
      </c>
      <c r="H34078" s="185"/>
    </row>
    <row r="34079">
      <c r="D34079" s="185"/>
      <c r="E34079" s="185" t="s">
        <v>470</v>
      </c>
      <c r="H34079" s="185"/>
    </row>
    <row r="34080">
      <c r="D34080" s="185"/>
      <c r="E34080" s="185" t="s">
        <v>470</v>
      </c>
      <c r="H34080" s="185"/>
    </row>
    <row r="34081">
      <c r="D34081" s="185"/>
      <c r="E34081" s="185" t="s">
        <v>470</v>
      </c>
      <c r="H34081" s="185"/>
    </row>
    <row r="34082">
      <c r="D34082" s="185"/>
      <c r="E34082" s="185" t="s">
        <v>470</v>
      </c>
      <c r="H34082" s="185"/>
    </row>
    <row r="34083">
      <c r="D34083" s="185"/>
      <c r="E34083" s="185" t="s">
        <v>470</v>
      </c>
      <c r="H34083" s="185"/>
    </row>
    <row r="34084">
      <c r="D34084" s="185"/>
      <c r="E34084" s="185" t="s">
        <v>470</v>
      </c>
      <c r="H34084" s="185"/>
    </row>
    <row r="34085">
      <c r="D34085" s="185"/>
      <c r="E34085" s="185" t="s">
        <v>470</v>
      </c>
      <c r="H34085" s="185"/>
    </row>
    <row r="34086">
      <c r="D34086" s="185"/>
      <c r="E34086" s="185" t="s">
        <v>470</v>
      </c>
      <c r="H34086" s="185"/>
    </row>
    <row r="34087">
      <c r="D34087" s="185"/>
      <c r="E34087" s="185" t="s">
        <v>470</v>
      </c>
      <c r="H34087" s="185"/>
    </row>
    <row r="34088">
      <c r="D34088" s="185"/>
      <c r="E34088" s="185" t="s">
        <v>470</v>
      </c>
      <c r="H34088" s="185"/>
    </row>
    <row r="34089">
      <c r="D34089" s="185"/>
      <c r="E34089" s="185" t="s">
        <v>470</v>
      </c>
      <c r="H34089" s="185"/>
    </row>
    <row r="34090">
      <c r="D34090" s="185"/>
      <c r="E34090" s="185" t="s">
        <v>470</v>
      </c>
      <c r="H34090" s="185"/>
    </row>
    <row r="34091">
      <c r="D34091" s="185"/>
      <c r="E34091" s="185" t="s">
        <v>470</v>
      </c>
      <c r="H34091" s="185"/>
    </row>
    <row r="34092">
      <c r="D34092" s="185"/>
      <c r="E34092" s="185" t="s">
        <v>470</v>
      </c>
      <c r="H34092" s="185"/>
    </row>
    <row r="34093">
      <c r="D34093" s="185"/>
      <c r="E34093" s="185" t="s">
        <v>470</v>
      </c>
      <c r="H34093" s="185"/>
    </row>
    <row r="34094">
      <c r="D34094" s="185"/>
      <c r="E34094" s="185" t="s">
        <v>470</v>
      </c>
      <c r="H34094" s="185"/>
    </row>
    <row r="34095">
      <c r="D34095" s="185"/>
      <c r="E34095" s="185" t="s">
        <v>470</v>
      </c>
      <c r="H34095" s="185"/>
    </row>
    <row r="34096">
      <c r="D34096" s="185"/>
      <c r="E34096" s="185" t="s">
        <v>470</v>
      </c>
      <c r="H34096" s="185"/>
    </row>
    <row r="34097">
      <c r="D34097" s="185"/>
      <c r="E34097" s="185" t="s">
        <v>470</v>
      </c>
      <c r="H34097" s="185"/>
    </row>
    <row r="34098">
      <c r="D34098" s="185"/>
      <c r="E34098" s="185" t="s">
        <v>470</v>
      </c>
      <c r="H34098" s="185"/>
    </row>
    <row r="34099">
      <c r="D34099" s="185"/>
      <c r="E34099" s="185" t="s">
        <v>470</v>
      </c>
      <c r="H34099" s="185"/>
    </row>
    <row r="34100">
      <c r="D34100" s="185"/>
      <c r="E34100" s="185" t="s">
        <v>470</v>
      </c>
      <c r="H34100" s="185"/>
    </row>
    <row r="34101">
      <c r="D34101" s="185"/>
      <c r="E34101" s="185" t="s">
        <v>470</v>
      </c>
      <c r="H34101" s="185"/>
    </row>
    <row r="34102">
      <c r="D34102" s="185"/>
      <c r="E34102" s="185" t="s">
        <v>470</v>
      </c>
      <c r="H34102" s="185"/>
    </row>
    <row r="34103">
      <c r="D34103" s="185"/>
      <c r="E34103" s="185" t="s">
        <v>470</v>
      </c>
      <c r="H34103" s="185"/>
    </row>
    <row r="34104">
      <c r="D34104" s="185"/>
      <c r="E34104" s="185" t="s">
        <v>470</v>
      </c>
      <c r="H34104" s="185"/>
    </row>
    <row r="34105">
      <c r="D34105" s="185"/>
      <c r="E34105" s="185" t="s">
        <v>470</v>
      </c>
      <c r="H34105" s="185"/>
    </row>
    <row r="34106">
      <c r="D34106" s="185"/>
      <c r="E34106" s="185" t="s">
        <v>470</v>
      </c>
      <c r="H34106" s="185"/>
    </row>
    <row r="34107">
      <c r="D34107" s="185"/>
      <c r="E34107" s="185" t="s">
        <v>470</v>
      </c>
      <c r="H34107" s="185"/>
    </row>
    <row r="34108">
      <c r="D34108" s="185"/>
      <c r="E34108" s="185" t="s">
        <v>470</v>
      </c>
      <c r="H34108" s="185"/>
    </row>
    <row r="34109">
      <c r="D34109" s="185"/>
      <c r="E34109" s="185" t="s">
        <v>470</v>
      </c>
      <c r="H34109" s="185"/>
    </row>
    <row r="34110">
      <c r="D34110" s="185"/>
      <c r="E34110" s="185" t="s">
        <v>470</v>
      </c>
      <c r="H34110" s="185"/>
    </row>
    <row r="34111">
      <c r="D34111" s="185"/>
      <c r="E34111" s="185" t="s">
        <v>470</v>
      </c>
      <c r="H34111" s="185"/>
    </row>
    <row r="34112">
      <c r="D34112" s="185"/>
      <c r="E34112" s="185" t="s">
        <v>470</v>
      </c>
      <c r="H34112" s="185"/>
    </row>
    <row r="34113">
      <c r="D34113" s="185"/>
      <c r="E34113" s="185" t="s">
        <v>470</v>
      </c>
      <c r="H34113" s="185"/>
    </row>
    <row r="34114">
      <c r="D34114" s="185"/>
      <c r="E34114" s="185" t="s">
        <v>470</v>
      </c>
      <c r="H34114" s="185"/>
    </row>
    <row r="34115">
      <c r="D34115" s="185"/>
      <c r="E34115" s="185" t="s">
        <v>470</v>
      </c>
      <c r="H34115" s="185"/>
    </row>
    <row r="34116">
      <c r="D34116" s="185"/>
      <c r="E34116" s="185" t="s">
        <v>470</v>
      </c>
      <c r="H34116" s="185"/>
    </row>
    <row r="34117">
      <c r="D34117" s="185"/>
      <c r="E34117" s="185" t="s">
        <v>470</v>
      </c>
      <c r="H34117" s="185"/>
    </row>
    <row r="34118">
      <c r="D34118" s="185"/>
      <c r="E34118" s="185" t="s">
        <v>470</v>
      </c>
      <c r="H34118" s="185"/>
    </row>
    <row r="34119">
      <c r="D34119" s="185"/>
      <c r="E34119" s="185" t="s">
        <v>470</v>
      </c>
      <c r="H34119" s="185"/>
    </row>
    <row r="34120">
      <c r="D34120" s="185"/>
      <c r="E34120" s="185" t="s">
        <v>470</v>
      </c>
      <c r="H34120" s="185"/>
    </row>
    <row r="34121">
      <c r="D34121" s="185"/>
      <c r="E34121" s="185" t="s">
        <v>470</v>
      </c>
      <c r="H34121" s="185"/>
    </row>
    <row r="34122">
      <c r="D34122" s="185"/>
      <c r="E34122" s="185" t="s">
        <v>470</v>
      </c>
      <c r="H34122" s="185"/>
    </row>
    <row r="34123">
      <c r="D34123" s="185"/>
      <c r="E34123" s="185" t="s">
        <v>470</v>
      </c>
      <c r="H34123" s="185"/>
    </row>
    <row r="34124">
      <c r="D34124" s="185"/>
      <c r="E34124" s="185" t="s">
        <v>470</v>
      </c>
      <c r="H34124" s="185"/>
    </row>
    <row r="34125">
      <c r="D34125" s="185"/>
      <c r="E34125" s="185" t="s">
        <v>470</v>
      </c>
      <c r="H34125" s="185"/>
    </row>
    <row r="34126">
      <c r="D34126" s="185"/>
      <c r="E34126" s="185" t="s">
        <v>470</v>
      </c>
      <c r="H34126" s="185"/>
    </row>
    <row r="34127">
      <c r="D34127" s="185"/>
      <c r="E34127" s="185" t="s">
        <v>470</v>
      </c>
      <c r="H34127" s="185"/>
    </row>
    <row r="34128">
      <c r="D34128" s="185"/>
      <c r="E34128" s="185" t="s">
        <v>470</v>
      </c>
      <c r="H34128" s="185"/>
    </row>
    <row r="34129">
      <c r="D34129" s="185"/>
      <c r="E34129" s="185" t="s">
        <v>470</v>
      </c>
      <c r="H34129" s="185"/>
    </row>
    <row r="34130">
      <c r="D34130" s="185"/>
      <c r="E34130" s="185" t="s">
        <v>470</v>
      </c>
      <c r="H34130" s="185"/>
    </row>
    <row r="34131">
      <c r="D34131" s="185"/>
      <c r="E34131" s="185" t="s">
        <v>470</v>
      </c>
      <c r="H34131" s="185"/>
    </row>
    <row r="34132">
      <c r="D34132" s="185"/>
      <c r="E34132" s="185" t="s">
        <v>470</v>
      </c>
      <c r="H34132" s="185"/>
    </row>
    <row r="34133">
      <c r="D34133" s="185"/>
      <c r="E34133" s="185" t="s">
        <v>470</v>
      </c>
      <c r="H34133" s="185"/>
    </row>
    <row r="34134">
      <c r="D34134" s="185"/>
      <c r="E34134" s="185" t="s">
        <v>470</v>
      </c>
      <c r="H34134" s="185"/>
    </row>
    <row r="34135">
      <c r="D34135" s="185"/>
      <c r="E34135" s="185" t="s">
        <v>470</v>
      </c>
      <c r="H34135" s="185"/>
    </row>
    <row r="34136">
      <c r="D34136" s="185"/>
      <c r="E34136" s="185" t="s">
        <v>470</v>
      </c>
      <c r="H34136" s="185"/>
    </row>
    <row r="34137">
      <c r="D34137" s="185"/>
      <c r="E34137" s="185" t="s">
        <v>470</v>
      </c>
      <c r="H34137" s="185"/>
    </row>
    <row r="34138">
      <c r="D34138" s="185"/>
      <c r="E34138" s="185" t="s">
        <v>470</v>
      </c>
      <c r="H34138" s="185"/>
    </row>
    <row r="34139">
      <c r="D34139" s="185"/>
      <c r="E34139" s="185" t="s">
        <v>470</v>
      </c>
      <c r="H34139" s="185"/>
    </row>
    <row r="34140">
      <c r="D34140" s="185"/>
      <c r="E34140" s="185" t="s">
        <v>470</v>
      </c>
      <c r="H34140" s="185"/>
    </row>
    <row r="34141">
      <c r="D34141" s="185"/>
      <c r="E34141" s="185" t="s">
        <v>470</v>
      </c>
      <c r="H34141" s="185"/>
    </row>
    <row r="34142">
      <c r="D34142" s="185"/>
      <c r="E34142" s="185" t="s">
        <v>470</v>
      </c>
      <c r="H34142" s="185"/>
    </row>
    <row r="34143">
      <c r="D34143" s="185"/>
      <c r="E34143" s="185" t="s">
        <v>470</v>
      </c>
      <c r="H34143" s="185"/>
    </row>
    <row r="34144">
      <c r="D34144" s="185"/>
      <c r="E34144" s="185" t="s">
        <v>470</v>
      </c>
      <c r="H34144" s="185"/>
    </row>
    <row r="34145">
      <c r="D34145" s="185"/>
      <c r="E34145" s="185" t="s">
        <v>470</v>
      </c>
      <c r="H34145" s="185"/>
    </row>
    <row r="34146">
      <c r="D34146" s="185"/>
      <c r="E34146" s="185" t="s">
        <v>470</v>
      </c>
      <c r="H34146" s="185"/>
    </row>
    <row r="34147">
      <c r="D34147" s="185"/>
      <c r="E34147" s="185" t="s">
        <v>470</v>
      </c>
      <c r="H34147" s="185"/>
    </row>
    <row r="34148">
      <c r="D34148" s="185"/>
      <c r="E34148" s="185" t="s">
        <v>470</v>
      </c>
      <c r="H34148" s="185"/>
    </row>
    <row r="34149">
      <c r="D34149" s="185"/>
      <c r="E34149" s="185" t="s">
        <v>470</v>
      </c>
      <c r="H34149" s="185"/>
    </row>
    <row r="34150">
      <c r="D34150" s="185"/>
      <c r="E34150" s="185" t="s">
        <v>470</v>
      </c>
      <c r="H34150" s="185"/>
    </row>
    <row r="34151">
      <c r="D34151" s="185"/>
      <c r="E34151" s="185" t="s">
        <v>470</v>
      </c>
      <c r="H34151" s="185"/>
    </row>
    <row r="34152">
      <c r="D34152" s="185"/>
      <c r="E34152" s="185" t="s">
        <v>470</v>
      </c>
      <c r="H34152" s="185"/>
    </row>
    <row r="34153">
      <c r="D34153" s="185"/>
      <c r="E34153" s="185" t="s">
        <v>470</v>
      </c>
      <c r="H34153" s="185"/>
    </row>
    <row r="34154">
      <c r="D34154" s="185"/>
      <c r="E34154" s="185" t="s">
        <v>470</v>
      </c>
      <c r="H34154" s="185"/>
    </row>
    <row r="34155">
      <c r="D34155" s="185"/>
      <c r="E34155" s="185" t="s">
        <v>470</v>
      </c>
      <c r="H34155" s="185"/>
    </row>
    <row r="34156">
      <c r="D34156" s="185"/>
      <c r="E34156" s="185" t="s">
        <v>470</v>
      </c>
      <c r="H34156" s="185"/>
    </row>
    <row r="34157">
      <c r="D34157" s="185"/>
      <c r="E34157" s="185" t="s">
        <v>470</v>
      </c>
      <c r="H34157" s="185"/>
    </row>
    <row r="34158">
      <c r="D34158" s="185"/>
      <c r="E34158" s="185" t="s">
        <v>470</v>
      </c>
      <c r="H34158" s="185"/>
    </row>
    <row r="34159">
      <c r="D34159" s="185"/>
      <c r="E34159" s="185" t="s">
        <v>470</v>
      </c>
      <c r="H34159" s="185"/>
    </row>
    <row r="34160">
      <c r="D34160" s="185"/>
      <c r="E34160" s="185" t="s">
        <v>470</v>
      </c>
      <c r="H34160" s="185"/>
    </row>
    <row r="34161">
      <c r="D34161" s="185"/>
      <c r="E34161" s="185" t="s">
        <v>470</v>
      </c>
      <c r="H34161" s="185"/>
    </row>
    <row r="34162">
      <c r="D34162" s="185"/>
      <c r="E34162" s="185" t="s">
        <v>470</v>
      </c>
      <c r="H34162" s="185"/>
    </row>
    <row r="34163">
      <c r="D34163" s="185"/>
      <c r="E34163" s="185" t="s">
        <v>470</v>
      </c>
      <c r="H34163" s="185"/>
    </row>
    <row r="34164">
      <c r="D34164" s="185"/>
      <c r="E34164" s="185" t="s">
        <v>470</v>
      </c>
      <c r="H34164" s="185"/>
    </row>
    <row r="34165">
      <c r="D34165" s="185"/>
      <c r="E34165" s="185" t="s">
        <v>470</v>
      </c>
      <c r="H34165" s="185"/>
    </row>
    <row r="34166">
      <c r="D34166" s="185"/>
      <c r="E34166" s="185" t="s">
        <v>470</v>
      </c>
      <c r="H34166" s="185"/>
    </row>
    <row r="34167">
      <c r="D34167" s="185"/>
      <c r="E34167" s="185" t="s">
        <v>470</v>
      </c>
      <c r="H34167" s="185"/>
    </row>
    <row r="34168">
      <c r="D34168" s="185"/>
      <c r="E34168" s="185" t="s">
        <v>470</v>
      </c>
      <c r="H34168" s="185"/>
    </row>
    <row r="34169">
      <c r="D34169" s="185"/>
      <c r="E34169" s="185" t="s">
        <v>470</v>
      </c>
      <c r="H34169" s="185"/>
    </row>
    <row r="34170">
      <c r="D34170" s="185"/>
      <c r="E34170" s="185" t="s">
        <v>470</v>
      </c>
      <c r="H34170" s="185"/>
    </row>
    <row r="34171">
      <c r="D34171" s="185"/>
      <c r="E34171" s="185" t="s">
        <v>470</v>
      </c>
      <c r="H34171" s="185"/>
    </row>
    <row r="34172">
      <c r="D34172" s="185"/>
      <c r="E34172" s="185" t="s">
        <v>470</v>
      </c>
      <c r="H34172" s="185"/>
    </row>
    <row r="34173">
      <c r="D34173" s="185"/>
      <c r="E34173" s="185" t="s">
        <v>470</v>
      </c>
      <c r="H34173" s="185"/>
    </row>
    <row r="34174">
      <c r="D34174" s="185"/>
      <c r="E34174" s="185" t="s">
        <v>470</v>
      </c>
      <c r="H34174" s="185"/>
    </row>
    <row r="34175">
      <c r="D34175" s="185"/>
      <c r="E34175" s="185" t="s">
        <v>470</v>
      </c>
      <c r="H34175" s="185"/>
    </row>
    <row r="34176">
      <c r="D34176" s="185"/>
      <c r="E34176" s="185" t="s">
        <v>470</v>
      </c>
      <c r="H34176" s="185"/>
    </row>
    <row r="34177">
      <c r="D34177" s="185"/>
      <c r="E34177" s="185" t="s">
        <v>470</v>
      </c>
      <c r="H34177" s="185"/>
    </row>
    <row r="34178">
      <c r="D34178" s="185"/>
      <c r="E34178" s="185" t="s">
        <v>470</v>
      </c>
      <c r="H34178" s="185"/>
    </row>
    <row r="34179">
      <c r="D34179" s="185"/>
      <c r="E34179" s="185" t="s">
        <v>470</v>
      </c>
      <c r="H34179" s="185"/>
    </row>
    <row r="34180">
      <c r="D34180" s="185"/>
      <c r="E34180" s="185" t="s">
        <v>470</v>
      </c>
      <c r="H34180" s="185"/>
    </row>
    <row r="34181">
      <c r="D34181" s="185"/>
      <c r="E34181" s="185" t="s">
        <v>470</v>
      </c>
      <c r="H34181" s="185"/>
    </row>
    <row r="34182">
      <c r="D34182" s="185"/>
      <c r="E34182" s="185" t="s">
        <v>470</v>
      </c>
      <c r="H34182" s="185"/>
    </row>
    <row r="34183">
      <c r="D34183" s="185"/>
      <c r="E34183" s="185" t="s">
        <v>470</v>
      </c>
      <c r="H34183" s="185"/>
    </row>
    <row r="34184">
      <c r="D34184" s="185"/>
      <c r="E34184" s="185" t="s">
        <v>470</v>
      </c>
      <c r="H34184" s="185"/>
    </row>
    <row r="34185">
      <c r="D34185" s="185"/>
      <c r="E34185" s="185" t="s">
        <v>470</v>
      </c>
      <c r="H34185" s="185"/>
    </row>
    <row r="34186">
      <c r="D34186" s="185"/>
      <c r="E34186" s="185" t="s">
        <v>470</v>
      </c>
      <c r="H34186" s="185"/>
    </row>
    <row r="34187">
      <c r="D34187" s="185"/>
      <c r="E34187" s="185" t="s">
        <v>470</v>
      </c>
      <c r="H34187" s="185"/>
    </row>
    <row r="34188">
      <c r="D34188" s="185"/>
      <c r="E34188" s="185" t="s">
        <v>470</v>
      </c>
      <c r="H34188" s="185"/>
    </row>
    <row r="34189">
      <c r="D34189" s="185"/>
      <c r="E34189" s="185" t="s">
        <v>470</v>
      </c>
      <c r="H34189" s="185"/>
    </row>
    <row r="34190">
      <c r="D34190" s="185"/>
      <c r="E34190" s="185" t="s">
        <v>470</v>
      </c>
      <c r="H34190" s="185"/>
    </row>
    <row r="34191">
      <c r="D34191" s="185"/>
      <c r="E34191" s="185" t="s">
        <v>470</v>
      </c>
      <c r="H34191" s="185"/>
    </row>
    <row r="34192">
      <c r="D34192" s="185"/>
      <c r="E34192" s="185" t="s">
        <v>470</v>
      </c>
      <c r="H34192" s="185"/>
    </row>
    <row r="34193">
      <c r="D34193" s="185"/>
      <c r="E34193" s="185" t="s">
        <v>470</v>
      </c>
      <c r="H34193" s="185"/>
    </row>
    <row r="34194">
      <c r="D34194" s="185"/>
      <c r="E34194" s="185" t="s">
        <v>470</v>
      </c>
      <c r="H34194" s="185"/>
    </row>
    <row r="34195">
      <c r="D34195" s="185"/>
      <c r="E34195" s="185" t="s">
        <v>470</v>
      </c>
      <c r="H34195" s="185"/>
    </row>
    <row r="34196">
      <c r="D34196" s="185"/>
      <c r="E34196" s="185" t="s">
        <v>470</v>
      </c>
      <c r="H34196" s="185"/>
    </row>
    <row r="34197">
      <c r="D34197" s="185"/>
      <c r="E34197" s="185" t="s">
        <v>470</v>
      </c>
      <c r="H34197" s="185"/>
    </row>
    <row r="34198">
      <c r="D34198" s="185"/>
      <c r="E34198" s="185" t="s">
        <v>470</v>
      </c>
      <c r="H34198" s="185"/>
    </row>
    <row r="34199">
      <c r="D34199" s="185"/>
      <c r="E34199" s="185" t="s">
        <v>470</v>
      </c>
      <c r="H34199" s="185"/>
    </row>
    <row r="34200">
      <c r="D34200" s="185"/>
      <c r="E34200" s="185" t="s">
        <v>470</v>
      </c>
      <c r="H34200" s="185"/>
    </row>
    <row r="34201">
      <c r="D34201" s="185"/>
      <c r="E34201" s="185" t="s">
        <v>470</v>
      </c>
      <c r="H34201" s="185"/>
    </row>
    <row r="34202">
      <c r="D34202" s="185"/>
      <c r="E34202" s="185" t="s">
        <v>470</v>
      </c>
      <c r="H34202" s="185"/>
    </row>
    <row r="34203">
      <c r="D34203" s="185"/>
      <c r="E34203" s="185" t="s">
        <v>470</v>
      </c>
      <c r="H34203" s="185"/>
    </row>
    <row r="34204">
      <c r="D34204" s="185"/>
      <c r="E34204" s="185" t="s">
        <v>470</v>
      </c>
      <c r="H34204" s="185"/>
    </row>
    <row r="34205">
      <c r="D34205" s="185"/>
      <c r="E34205" s="185" t="s">
        <v>470</v>
      </c>
      <c r="H34205" s="185"/>
    </row>
    <row r="34206">
      <c r="D34206" s="185"/>
      <c r="E34206" s="185" t="s">
        <v>470</v>
      </c>
      <c r="H34206" s="185"/>
    </row>
    <row r="34207">
      <c r="D34207" s="185"/>
      <c r="E34207" s="185" t="s">
        <v>470</v>
      </c>
      <c r="H34207" s="185"/>
    </row>
    <row r="34208">
      <c r="D34208" s="185"/>
      <c r="E34208" s="185" t="s">
        <v>470</v>
      </c>
      <c r="H34208" s="185"/>
    </row>
    <row r="34209">
      <c r="D34209" s="185"/>
      <c r="E34209" s="185" t="s">
        <v>470</v>
      </c>
      <c r="H34209" s="185"/>
    </row>
    <row r="34210">
      <c r="D34210" s="185"/>
      <c r="E34210" s="185" t="s">
        <v>470</v>
      </c>
      <c r="H34210" s="185"/>
    </row>
    <row r="34211">
      <c r="D34211" s="185"/>
      <c r="E34211" s="185" t="s">
        <v>470</v>
      </c>
      <c r="H34211" s="185"/>
    </row>
    <row r="34212">
      <c r="D34212" s="185"/>
      <c r="E34212" s="185" t="s">
        <v>470</v>
      </c>
      <c r="H34212" s="185"/>
    </row>
    <row r="34213">
      <c r="D34213" s="185"/>
      <c r="E34213" s="185" t="s">
        <v>470</v>
      </c>
      <c r="H34213" s="185"/>
    </row>
    <row r="34214">
      <c r="D34214" s="185"/>
      <c r="E34214" s="185" t="s">
        <v>470</v>
      </c>
      <c r="H34214" s="185"/>
    </row>
    <row r="34215">
      <c r="D34215" s="185"/>
      <c r="E34215" s="185" t="s">
        <v>470</v>
      </c>
      <c r="H34215" s="185"/>
    </row>
    <row r="34216">
      <c r="D34216" s="185"/>
      <c r="E34216" s="185" t="s">
        <v>470</v>
      </c>
      <c r="H34216" s="185"/>
    </row>
    <row r="34217">
      <c r="D34217" s="185"/>
      <c r="E34217" s="185" t="s">
        <v>470</v>
      </c>
      <c r="H34217" s="185"/>
    </row>
    <row r="34218">
      <c r="D34218" s="185"/>
      <c r="E34218" s="185" t="s">
        <v>470</v>
      </c>
      <c r="H34218" s="185"/>
    </row>
    <row r="34219">
      <c r="D34219" s="185"/>
      <c r="E34219" s="185" t="s">
        <v>470</v>
      </c>
      <c r="H34219" s="185"/>
    </row>
    <row r="34220">
      <c r="D34220" s="185"/>
      <c r="E34220" s="185" t="s">
        <v>470</v>
      </c>
      <c r="H34220" s="185"/>
    </row>
    <row r="34221">
      <c r="D34221" s="185"/>
      <c r="E34221" s="185" t="s">
        <v>470</v>
      </c>
      <c r="H34221" s="185"/>
    </row>
    <row r="34222">
      <c r="D34222" s="185"/>
      <c r="E34222" s="185" t="s">
        <v>470</v>
      </c>
      <c r="H34222" s="185"/>
    </row>
    <row r="34223">
      <c r="D34223" s="185"/>
      <c r="E34223" s="185" t="s">
        <v>470</v>
      </c>
      <c r="H34223" s="185"/>
    </row>
    <row r="34224">
      <c r="D34224" s="185"/>
      <c r="E34224" s="185" t="s">
        <v>470</v>
      </c>
      <c r="H34224" s="185"/>
    </row>
    <row r="34225">
      <c r="D34225" s="185"/>
      <c r="E34225" s="185" t="s">
        <v>470</v>
      </c>
      <c r="H34225" s="185"/>
    </row>
    <row r="34226">
      <c r="D34226" s="185"/>
      <c r="E34226" s="185" t="s">
        <v>470</v>
      </c>
      <c r="H34226" s="185"/>
    </row>
    <row r="34227">
      <c r="D34227" s="185"/>
      <c r="E34227" s="185" t="s">
        <v>470</v>
      </c>
      <c r="H34227" s="185"/>
    </row>
    <row r="34228">
      <c r="D34228" s="185"/>
      <c r="E34228" s="185" t="s">
        <v>470</v>
      </c>
      <c r="H34228" s="185"/>
    </row>
    <row r="34229">
      <c r="D34229" s="185"/>
      <c r="E34229" s="185" t="s">
        <v>470</v>
      </c>
      <c r="H34229" s="185"/>
    </row>
    <row r="34230">
      <c r="D34230" s="185"/>
      <c r="E34230" s="185" t="s">
        <v>470</v>
      </c>
      <c r="H34230" s="185"/>
    </row>
    <row r="34231">
      <c r="D34231" s="185"/>
      <c r="E34231" s="185" t="s">
        <v>470</v>
      </c>
      <c r="H34231" s="185"/>
    </row>
    <row r="34232">
      <c r="D34232" s="185"/>
      <c r="E34232" s="185" t="s">
        <v>470</v>
      </c>
      <c r="H34232" s="185"/>
    </row>
    <row r="34233">
      <c r="D34233" s="185"/>
      <c r="E34233" s="185" t="s">
        <v>470</v>
      </c>
      <c r="H34233" s="185"/>
    </row>
    <row r="34234">
      <c r="D34234" s="185"/>
      <c r="E34234" s="185" t="s">
        <v>470</v>
      </c>
      <c r="H34234" s="185"/>
    </row>
    <row r="34235">
      <c r="D34235" s="185"/>
      <c r="E34235" s="185" t="s">
        <v>470</v>
      </c>
      <c r="H34235" s="185"/>
    </row>
    <row r="34236">
      <c r="D34236" s="185"/>
      <c r="E34236" s="185" t="s">
        <v>470</v>
      </c>
      <c r="H34236" s="185"/>
    </row>
    <row r="34237">
      <c r="D34237" s="185"/>
      <c r="E34237" s="185" t="s">
        <v>470</v>
      </c>
      <c r="H34237" s="185"/>
    </row>
    <row r="34238">
      <c r="D34238" s="185"/>
      <c r="E34238" s="185" t="s">
        <v>470</v>
      </c>
      <c r="H34238" s="185"/>
    </row>
    <row r="34239">
      <c r="D34239" s="185"/>
      <c r="E34239" s="185" t="s">
        <v>470</v>
      </c>
      <c r="H34239" s="185"/>
    </row>
    <row r="34240">
      <c r="D34240" s="185"/>
      <c r="E34240" s="185" t="s">
        <v>470</v>
      </c>
      <c r="H34240" s="185"/>
    </row>
    <row r="34241">
      <c r="D34241" s="185"/>
      <c r="E34241" s="185" t="s">
        <v>470</v>
      </c>
      <c r="H34241" s="185"/>
    </row>
    <row r="34242">
      <c r="D34242" s="185"/>
      <c r="E34242" s="185" t="s">
        <v>470</v>
      </c>
      <c r="H34242" s="185"/>
    </row>
    <row r="34243">
      <c r="D34243" s="185"/>
      <c r="E34243" s="185" t="s">
        <v>470</v>
      </c>
      <c r="H34243" s="185"/>
    </row>
    <row r="34244">
      <c r="D34244" s="185"/>
      <c r="E34244" s="185" t="s">
        <v>470</v>
      </c>
      <c r="H34244" s="185"/>
    </row>
    <row r="34245">
      <c r="D34245" s="185"/>
      <c r="E34245" s="185" t="s">
        <v>470</v>
      </c>
      <c r="H34245" s="185"/>
    </row>
    <row r="34246">
      <c r="D34246" s="185"/>
      <c r="E34246" s="185" t="s">
        <v>470</v>
      </c>
      <c r="H34246" s="185"/>
    </row>
    <row r="34247">
      <c r="D34247" s="185"/>
      <c r="E34247" s="185" t="s">
        <v>470</v>
      </c>
      <c r="H34247" s="185"/>
    </row>
    <row r="34248">
      <c r="D34248" s="185"/>
      <c r="E34248" s="185" t="s">
        <v>470</v>
      </c>
      <c r="H34248" s="185"/>
    </row>
    <row r="34249">
      <c r="D34249" s="185"/>
      <c r="E34249" s="185" t="s">
        <v>470</v>
      </c>
      <c r="H34249" s="185"/>
    </row>
    <row r="34250">
      <c r="D34250" s="185"/>
      <c r="E34250" s="185" t="s">
        <v>470</v>
      </c>
      <c r="H34250" s="185"/>
    </row>
    <row r="34251">
      <c r="D34251" s="185"/>
      <c r="E34251" s="185" t="s">
        <v>470</v>
      </c>
      <c r="H34251" s="185"/>
    </row>
    <row r="34252">
      <c r="D34252" s="185"/>
      <c r="E34252" s="185" t="s">
        <v>470</v>
      </c>
      <c r="H34252" s="185"/>
    </row>
    <row r="34253">
      <c r="D34253" s="185"/>
      <c r="E34253" s="185" t="s">
        <v>470</v>
      </c>
      <c r="H34253" s="185"/>
    </row>
    <row r="34254">
      <c r="D34254" s="185"/>
      <c r="E34254" s="185" t="s">
        <v>470</v>
      </c>
      <c r="H34254" s="185"/>
    </row>
    <row r="34255">
      <c r="D34255" s="185"/>
      <c r="E34255" s="185" t="s">
        <v>470</v>
      </c>
      <c r="H34255" s="185"/>
    </row>
    <row r="34256">
      <c r="D34256" s="185"/>
      <c r="E34256" s="185" t="s">
        <v>470</v>
      </c>
      <c r="H34256" s="185"/>
    </row>
    <row r="34257">
      <c r="D34257" s="185"/>
      <c r="E34257" s="185" t="s">
        <v>470</v>
      </c>
      <c r="H34257" s="185"/>
    </row>
    <row r="34258">
      <c r="D34258" s="185"/>
      <c r="E34258" s="185" t="s">
        <v>470</v>
      </c>
      <c r="H34258" s="185"/>
    </row>
    <row r="34259">
      <c r="D34259" s="185"/>
      <c r="E34259" s="185" t="s">
        <v>470</v>
      </c>
      <c r="H34259" s="185"/>
    </row>
    <row r="34260">
      <c r="D34260" s="185"/>
      <c r="E34260" s="185" t="s">
        <v>470</v>
      </c>
      <c r="H34260" s="185"/>
    </row>
    <row r="34261">
      <c r="D34261" s="185"/>
      <c r="E34261" s="185" t="s">
        <v>470</v>
      </c>
      <c r="H34261" s="185"/>
    </row>
    <row r="34262">
      <c r="D34262" s="185"/>
      <c r="E34262" s="185" t="s">
        <v>470</v>
      </c>
      <c r="H34262" s="185"/>
    </row>
    <row r="34263">
      <c r="D34263" s="185"/>
      <c r="E34263" s="185" t="s">
        <v>470</v>
      </c>
      <c r="H34263" s="185"/>
    </row>
    <row r="34264">
      <c r="D34264" s="185"/>
      <c r="E34264" s="185" t="s">
        <v>470</v>
      </c>
      <c r="H34264" s="185"/>
    </row>
    <row r="34265">
      <c r="D34265" s="185"/>
      <c r="E34265" s="185" t="s">
        <v>470</v>
      </c>
      <c r="H34265" s="185"/>
    </row>
    <row r="34266">
      <c r="D34266" s="185"/>
      <c r="E34266" s="185" t="s">
        <v>470</v>
      </c>
      <c r="H34266" s="185"/>
    </row>
    <row r="34267">
      <c r="D34267" s="185"/>
      <c r="E34267" s="185" t="s">
        <v>470</v>
      </c>
      <c r="H34267" s="185"/>
    </row>
    <row r="34268">
      <c r="D34268" s="185"/>
      <c r="E34268" s="185" t="s">
        <v>470</v>
      </c>
      <c r="H34268" s="185"/>
    </row>
    <row r="34269">
      <c r="D34269" s="185"/>
      <c r="E34269" s="185" t="s">
        <v>470</v>
      </c>
      <c r="H34269" s="185"/>
    </row>
    <row r="34270">
      <c r="D34270" s="185"/>
      <c r="E34270" s="185" t="s">
        <v>470</v>
      </c>
      <c r="H34270" s="185"/>
    </row>
    <row r="34271">
      <c r="D34271" s="185"/>
      <c r="E34271" s="185" t="s">
        <v>470</v>
      </c>
      <c r="H34271" s="185"/>
    </row>
    <row r="34272">
      <c r="D34272" s="185"/>
      <c r="E34272" s="185" t="s">
        <v>470</v>
      </c>
      <c r="H34272" s="185"/>
    </row>
    <row r="34273">
      <c r="D34273" s="185"/>
      <c r="E34273" s="185" t="s">
        <v>470</v>
      </c>
      <c r="H34273" s="185"/>
    </row>
    <row r="34274">
      <c r="D34274" s="185"/>
      <c r="E34274" s="185" t="s">
        <v>470</v>
      </c>
      <c r="H34274" s="185"/>
    </row>
    <row r="34275">
      <c r="D34275" s="185"/>
      <c r="E34275" s="185" t="s">
        <v>470</v>
      </c>
      <c r="H34275" s="185"/>
    </row>
    <row r="34276">
      <c r="D34276" s="185"/>
      <c r="E34276" s="185" t="s">
        <v>470</v>
      </c>
      <c r="H34276" s="185"/>
    </row>
    <row r="34277">
      <c r="D34277" s="185"/>
      <c r="E34277" s="185" t="s">
        <v>470</v>
      </c>
      <c r="H34277" s="185"/>
    </row>
    <row r="34278">
      <c r="D34278" s="185"/>
      <c r="E34278" s="185" t="s">
        <v>470</v>
      </c>
      <c r="H34278" s="185"/>
    </row>
    <row r="34279">
      <c r="D34279" s="185"/>
      <c r="E34279" s="185" t="s">
        <v>470</v>
      </c>
      <c r="H34279" s="185"/>
    </row>
    <row r="34280">
      <c r="D34280" s="185"/>
      <c r="E34280" s="185" t="s">
        <v>470</v>
      </c>
      <c r="H34280" s="185"/>
    </row>
    <row r="34281">
      <c r="D34281" s="185"/>
      <c r="E34281" s="185" t="s">
        <v>470</v>
      </c>
      <c r="H34281" s="185"/>
    </row>
    <row r="34282">
      <c r="D34282" s="185"/>
      <c r="E34282" s="185" t="s">
        <v>470</v>
      </c>
      <c r="H34282" s="185"/>
    </row>
    <row r="34283">
      <c r="D34283" s="185"/>
      <c r="E34283" s="185" t="s">
        <v>470</v>
      </c>
      <c r="H34283" s="185"/>
    </row>
    <row r="34284">
      <c r="D34284" s="185"/>
      <c r="E34284" s="185" t="s">
        <v>470</v>
      </c>
      <c r="H34284" s="185"/>
    </row>
    <row r="34285">
      <c r="D34285" s="185"/>
      <c r="E34285" s="185" t="s">
        <v>470</v>
      </c>
      <c r="H34285" s="185"/>
    </row>
    <row r="34286">
      <c r="D34286" s="185"/>
      <c r="E34286" s="185" t="s">
        <v>470</v>
      </c>
      <c r="H34286" s="185"/>
    </row>
    <row r="34287">
      <c r="D34287" s="185"/>
      <c r="E34287" s="185" t="s">
        <v>470</v>
      </c>
      <c r="H34287" s="185"/>
    </row>
    <row r="34288">
      <c r="D34288" s="185"/>
      <c r="E34288" s="185" t="s">
        <v>470</v>
      </c>
      <c r="H34288" s="185"/>
    </row>
    <row r="34289">
      <c r="D34289" s="185"/>
      <c r="E34289" s="185" t="s">
        <v>470</v>
      </c>
      <c r="H34289" s="185"/>
    </row>
    <row r="34290">
      <c r="D34290" s="185"/>
      <c r="E34290" s="185" t="s">
        <v>470</v>
      </c>
      <c r="H34290" s="185"/>
    </row>
    <row r="34291">
      <c r="D34291" s="185"/>
      <c r="E34291" s="185" t="s">
        <v>470</v>
      </c>
      <c r="H34291" s="185"/>
    </row>
    <row r="34292">
      <c r="D34292" s="185"/>
      <c r="E34292" s="185" t="s">
        <v>470</v>
      </c>
      <c r="H34292" s="185"/>
    </row>
    <row r="34293">
      <c r="D34293" s="185"/>
      <c r="E34293" s="185" t="s">
        <v>470</v>
      </c>
      <c r="H34293" s="185"/>
    </row>
    <row r="34294">
      <c r="D34294" s="185"/>
      <c r="E34294" s="185" t="s">
        <v>470</v>
      </c>
      <c r="H34294" s="185"/>
    </row>
    <row r="34295">
      <c r="D34295" s="185"/>
      <c r="E34295" s="185" t="s">
        <v>470</v>
      </c>
      <c r="H34295" s="185"/>
    </row>
    <row r="34296">
      <c r="D34296" s="185"/>
      <c r="E34296" s="185" t="s">
        <v>470</v>
      </c>
      <c r="H34296" s="185"/>
    </row>
    <row r="34297">
      <c r="D34297" s="185"/>
      <c r="E34297" s="185" t="s">
        <v>470</v>
      </c>
      <c r="H34297" s="185"/>
    </row>
    <row r="34298">
      <c r="D34298" s="185"/>
      <c r="E34298" s="185" t="s">
        <v>470</v>
      </c>
      <c r="H34298" s="185"/>
    </row>
    <row r="34299">
      <c r="D34299" s="185"/>
      <c r="E34299" s="185" t="s">
        <v>470</v>
      </c>
      <c r="H34299" s="185"/>
    </row>
    <row r="34300">
      <c r="D34300" s="185"/>
      <c r="E34300" s="185" t="s">
        <v>470</v>
      </c>
      <c r="H34300" s="185"/>
    </row>
    <row r="34301">
      <c r="D34301" s="185"/>
      <c r="E34301" s="185" t="s">
        <v>470</v>
      </c>
      <c r="H34301" s="185"/>
    </row>
    <row r="34302">
      <c r="D34302" s="185"/>
      <c r="E34302" s="185" t="s">
        <v>470</v>
      </c>
      <c r="H34302" s="185"/>
    </row>
    <row r="34303">
      <c r="D34303" s="185"/>
      <c r="E34303" s="185" t="s">
        <v>470</v>
      </c>
      <c r="H34303" s="185"/>
    </row>
    <row r="34304">
      <c r="D34304" s="185"/>
      <c r="E34304" s="185" t="s">
        <v>470</v>
      </c>
      <c r="H34304" s="185"/>
    </row>
    <row r="34305">
      <c r="D34305" s="185"/>
      <c r="E34305" s="185" t="s">
        <v>470</v>
      </c>
      <c r="H34305" s="185"/>
    </row>
    <row r="34306">
      <c r="D34306" s="185"/>
      <c r="E34306" s="185" t="s">
        <v>470</v>
      </c>
      <c r="H34306" s="185"/>
    </row>
    <row r="34307">
      <c r="D34307" s="185"/>
      <c r="E34307" s="185" t="s">
        <v>470</v>
      </c>
      <c r="H34307" s="185"/>
    </row>
    <row r="34308">
      <c r="D34308" s="185"/>
      <c r="E34308" s="185" t="s">
        <v>470</v>
      </c>
      <c r="H34308" s="185"/>
    </row>
    <row r="34309">
      <c r="D34309" s="185"/>
      <c r="E34309" s="185" t="s">
        <v>470</v>
      </c>
      <c r="H34309" s="185"/>
    </row>
    <row r="34310">
      <c r="D34310" s="185"/>
      <c r="E34310" s="185" t="s">
        <v>470</v>
      </c>
      <c r="H34310" s="185"/>
    </row>
    <row r="34311">
      <c r="D34311" s="185"/>
      <c r="E34311" s="185" t="s">
        <v>470</v>
      </c>
      <c r="H34311" s="185"/>
    </row>
    <row r="34312">
      <c r="D34312" s="185"/>
      <c r="E34312" s="185" t="s">
        <v>470</v>
      </c>
      <c r="H34312" s="185"/>
    </row>
    <row r="34313">
      <c r="D34313" s="185"/>
      <c r="E34313" s="185" t="s">
        <v>470</v>
      </c>
      <c r="H34313" s="185"/>
    </row>
    <row r="34314">
      <c r="D34314" s="185"/>
      <c r="E34314" s="185" t="s">
        <v>470</v>
      </c>
      <c r="H34314" s="185"/>
    </row>
    <row r="34315">
      <c r="D34315" s="185"/>
      <c r="E34315" s="185" t="s">
        <v>470</v>
      </c>
      <c r="H34315" s="185"/>
    </row>
    <row r="34316">
      <c r="D34316" s="185"/>
      <c r="E34316" s="185" t="s">
        <v>470</v>
      </c>
      <c r="H34316" s="185"/>
    </row>
    <row r="34317">
      <c r="D34317" s="185"/>
      <c r="E34317" s="185" t="s">
        <v>470</v>
      </c>
      <c r="H34317" s="185"/>
    </row>
    <row r="34318">
      <c r="D34318" s="185"/>
      <c r="E34318" s="185" t="s">
        <v>470</v>
      </c>
      <c r="H34318" s="185"/>
    </row>
    <row r="34319">
      <c r="D34319" s="185"/>
      <c r="E34319" s="185" t="s">
        <v>470</v>
      </c>
      <c r="H34319" s="185"/>
    </row>
    <row r="34320">
      <c r="D34320" s="185"/>
      <c r="E34320" s="185" t="s">
        <v>470</v>
      </c>
      <c r="H34320" s="185"/>
    </row>
    <row r="34321">
      <c r="D34321" s="185"/>
      <c r="E34321" s="185" t="s">
        <v>470</v>
      </c>
      <c r="H34321" s="185"/>
    </row>
    <row r="34322">
      <c r="D34322" s="185"/>
      <c r="E34322" s="185" t="s">
        <v>470</v>
      </c>
      <c r="H34322" s="185"/>
    </row>
    <row r="34323">
      <c r="D34323" s="185"/>
      <c r="E34323" s="185" t="s">
        <v>470</v>
      </c>
      <c r="H34323" s="185"/>
    </row>
    <row r="34324">
      <c r="D34324" s="185"/>
      <c r="E34324" s="185" t="s">
        <v>470</v>
      </c>
      <c r="H34324" s="185"/>
    </row>
    <row r="34325">
      <c r="D34325" s="185"/>
      <c r="E34325" s="185" t="s">
        <v>470</v>
      </c>
      <c r="H34325" s="185"/>
    </row>
    <row r="34326">
      <c r="D34326" s="185"/>
      <c r="E34326" s="185" t="s">
        <v>470</v>
      </c>
      <c r="H34326" s="185"/>
    </row>
    <row r="34327">
      <c r="D34327" s="185"/>
      <c r="E34327" s="185" t="s">
        <v>470</v>
      </c>
      <c r="H34327" s="185"/>
    </row>
    <row r="34328">
      <c r="D34328" s="185"/>
      <c r="E34328" s="185" t="s">
        <v>470</v>
      </c>
      <c r="H34328" s="185"/>
    </row>
    <row r="34329">
      <c r="D34329" s="185"/>
      <c r="E34329" s="185" t="s">
        <v>470</v>
      </c>
      <c r="H34329" s="185"/>
    </row>
    <row r="34330">
      <c r="D34330" s="185"/>
      <c r="E34330" s="185" t="s">
        <v>470</v>
      </c>
      <c r="H34330" s="185"/>
    </row>
    <row r="34331">
      <c r="D34331" s="185"/>
      <c r="E34331" s="185" t="s">
        <v>470</v>
      </c>
      <c r="H34331" s="185"/>
    </row>
    <row r="34332">
      <c r="D34332" s="185"/>
      <c r="E34332" s="185" t="s">
        <v>470</v>
      </c>
      <c r="H34332" s="185"/>
    </row>
    <row r="34333">
      <c r="D34333" s="185"/>
      <c r="E34333" s="185" t="s">
        <v>470</v>
      </c>
      <c r="H34333" s="185"/>
    </row>
    <row r="34334">
      <c r="D34334" s="185"/>
      <c r="E34334" s="185" t="s">
        <v>470</v>
      </c>
      <c r="H34334" s="185"/>
    </row>
    <row r="34335">
      <c r="D34335" s="185"/>
      <c r="E34335" s="185" t="s">
        <v>470</v>
      </c>
      <c r="H34335" s="185"/>
    </row>
    <row r="34336">
      <c r="D34336" s="185"/>
      <c r="E34336" s="185" t="s">
        <v>470</v>
      </c>
      <c r="H34336" s="185"/>
    </row>
    <row r="34337">
      <c r="D34337" s="185"/>
      <c r="E34337" s="185" t="s">
        <v>470</v>
      </c>
      <c r="H34337" s="185"/>
    </row>
    <row r="34338">
      <c r="D34338" s="185"/>
      <c r="E34338" s="185" t="s">
        <v>470</v>
      </c>
      <c r="H34338" s="185"/>
    </row>
    <row r="34339">
      <c r="D34339" s="185"/>
      <c r="E34339" s="185" t="s">
        <v>470</v>
      </c>
      <c r="H34339" s="185"/>
    </row>
    <row r="34340">
      <c r="D34340" s="185"/>
      <c r="E34340" s="185" t="s">
        <v>470</v>
      </c>
      <c r="H34340" s="185"/>
    </row>
    <row r="34341">
      <c r="D34341" s="185"/>
      <c r="E34341" s="185" t="s">
        <v>470</v>
      </c>
      <c r="H34341" s="185"/>
    </row>
    <row r="34342">
      <c r="D34342" s="185"/>
      <c r="E34342" s="185" t="s">
        <v>470</v>
      </c>
      <c r="H34342" s="185"/>
    </row>
    <row r="34343">
      <c r="D34343" s="185"/>
      <c r="E34343" s="185" t="s">
        <v>470</v>
      </c>
      <c r="H34343" s="185"/>
    </row>
    <row r="34344">
      <c r="D34344" s="185"/>
      <c r="E34344" s="185" t="s">
        <v>470</v>
      </c>
      <c r="H34344" s="185"/>
    </row>
    <row r="34345">
      <c r="D34345" s="185"/>
      <c r="E34345" s="185" t="s">
        <v>470</v>
      </c>
      <c r="H34345" s="185"/>
    </row>
    <row r="34346">
      <c r="D34346" s="185"/>
      <c r="E34346" s="185" t="s">
        <v>470</v>
      </c>
      <c r="H34346" s="185"/>
    </row>
    <row r="34347">
      <c r="D34347" s="185"/>
      <c r="E34347" s="185" t="s">
        <v>470</v>
      </c>
      <c r="H34347" s="185"/>
    </row>
    <row r="34348">
      <c r="D34348" s="185"/>
      <c r="E34348" s="185" t="s">
        <v>470</v>
      </c>
      <c r="H34348" s="185"/>
    </row>
    <row r="34349">
      <c r="D34349" s="185"/>
      <c r="E34349" s="185" t="s">
        <v>470</v>
      </c>
      <c r="H34349" s="185"/>
    </row>
    <row r="34350">
      <c r="D34350" s="185"/>
      <c r="E34350" s="185" t="s">
        <v>470</v>
      </c>
      <c r="H34350" s="185"/>
    </row>
    <row r="34351">
      <c r="D34351" s="185"/>
      <c r="E34351" s="185" t="s">
        <v>470</v>
      </c>
      <c r="H34351" s="185"/>
    </row>
    <row r="34352">
      <c r="D34352" s="185"/>
      <c r="E34352" s="185" t="s">
        <v>470</v>
      </c>
      <c r="H34352" s="185"/>
    </row>
    <row r="34353">
      <c r="D34353" s="185"/>
      <c r="E34353" s="185" t="s">
        <v>470</v>
      </c>
      <c r="H34353" s="185"/>
    </row>
    <row r="34354">
      <c r="D34354" s="185"/>
      <c r="E34354" s="185" t="s">
        <v>470</v>
      </c>
      <c r="H34354" s="185"/>
    </row>
    <row r="34355">
      <c r="D34355" s="185"/>
      <c r="E34355" s="185" t="s">
        <v>470</v>
      </c>
      <c r="H34355" s="185"/>
    </row>
    <row r="34356">
      <c r="D34356" s="185"/>
      <c r="E34356" s="185" t="s">
        <v>470</v>
      </c>
      <c r="H34356" s="185"/>
    </row>
    <row r="34357">
      <c r="D34357" s="185"/>
      <c r="E34357" s="185" t="s">
        <v>470</v>
      </c>
      <c r="H34357" s="185"/>
    </row>
    <row r="34358">
      <c r="D34358" s="185"/>
      <c r="E34358" s="185" t="s">
        <v>470</v>
      </c>
      <c r="H34358" s="185"/>
    </row>
    <row r="34359">
      <c r="D34359" s="185"/>
      <c r="E34359" s="185" t="s">
        <v>470</v>
      </c>
      <c r="H34359" s="185"/>
    </row>
    <row r="34360">
      <c r="D34360" s="185"/>
      <c r="E34360" s="185" t="s">
        <v>470</v>
      </c>
      <c r="H34360" s="185"/>
    </row>
    <row r="34361">
      <c r="D34361" s="185"/>
      <c r="E34361" s="185" t="s">
        <v>470</v>
      </c>
      <c r="H34361" s="185"/>
    </row>
    <row r="34362">
      <c r="D34362" s="185"/>
      <c r="E34362" s="185" t="s">
        <v>470</v>
      </c>
      <c r="H34362" s="185"/>
    </row>
    <row r="34363">
      <c r="D34363" s="185"/>
      <c r="E34363" s="185" t="s">
        <v>470</v>
      </c>
      <c r="H34363" s="185"/>
    </row>
    <row r="34364">
      <c r="D34364" s="185"/>
      <c r="E34364" s="185" t="s">
        <v>470</v>
      </c>
      <c r="H34364" s="185"/>
    </row>
    <row r="34365">
      <c r="D34365" s="185"/>
      <c r="E34365" s="185" t="s">
        <v>470</v>
      </c>
      <c r="H34365" s="185"/>
    </row>
    <row r="34366">
      <c r="D34366" s="185"/>
      <c r="E34366" s="185" t="s">
        <v>470</v>
      </c>
      <c r="H34366" s="185"/>
    </row>
    <row r="34367">
      <c r="D34367" s="185"/>
      <c r="E34367" s="185" t="s">
        <v>470</v>
      </c>
      <c r="H34367" s="185"/>
    </row>
    <row r="34368">
      <c r="D34368" s="185"/>
      <c r="E34368" s="185" t="s">
        <v>470</v>
      </c>
      <c r="H34368" s="185"/>
    </row>
    <row r="34369">
      <c r="D34369" s="185"/>
      <c r="E34369" s="185" t="s">
        <v>470</v>
      </c>
      <c r="H34369" s="185"/>
    </row>
    <row r="34370">
      <c r="D34370" s="185"/>
      <c r="E34370" s="185" t="s">
        <v>470</v>
      </c>
      <c r="H34370" s="185"/>
    </row>
    <row r="34371">
      <c r="D34371" s="185"/>
      <c r="E34371" s="185" t="s">
        <v>470</v>
      </c>
      <c r="H34371" s="185"/>
    </row>
    <row r="34372">
      <c r="D34372" s="185"/>
      <c r="E34372" s="185" t="s">
        <v>470</v>
      </c>
      <c r="H34372" s="185"/>
    </row>
    <row r="34373">
      <c r="D34373" s="185"/>
      <c r="E34373" s="185" t="s">
        <v>470</v>
      </c>
      <c r="H34373" s="185"/>
    </row>
    <row r="34374">
      <c r="D34374" s="185"/>
      <c r="E34374" s="185" t="s">
        <v>470</v>
      </c>
      <c r="H34374" s="185"/>
    </row>
    <row r="34375">
      <c r="D34375" s="185"/>
      <c r="E34375" s="185" t="s">
        <v>470</v>
      </c>
      <c r="H34375" s="185"/>
    </row>
    <row r="34376">
      <c r="D34376" s="185"/>
      <c r="E34376" s="185" t="s">
        <v>470</v>
      </c>
      <c r="H34376" s="185"/>
    </row>
    <row r="34377">
      <c r="D34377" s="185"/>
      <c r="E34377" s="185" t="s">
        <v>470</v>
      </c>
      <c r="H34377" s="185"/>
    </row>
    <row r="34378">
      <c r="D34378" s="185"/>
      <c r="E34378" s="185" t="s">
        <v>470</v>
      </c>
      <c r="H34378" s="185"/>
    </row>
    <row r="34379">
      <c r="D34379" s="185"/>
      <c r="E34379" s="185" t="s">
        <v>470</v>
      </c>
      <c r="H34379" s="185"/>
    </row>
    <row r="34380">
      <c r="D34380" s="185"/>
      <c r="E34380" s="185" t="s">
        <v>470</v>
      </c>
      <c r="H34380" s="185"/>
    </row>
    <row r="34381">
      <c r="D34381" s="185"/>
      <c r="E34381" s="185" t="s">
        <v>470</v>
      </c>
      <c r="H34381" s="185"/>
    </row>
    <row r="34382">
      <c r="D34382" s="185"/>
      <c r="E34382" s="185" t="s">
        <v>470</v>
      </c>
      <c r="H34382" s="185"/>
    </row>
    <row r="34383">
      <c r="D34383" s="185"/>
      <c r="E34383" s="185" t="s">
        <v>470</v>
      </c>
      <c r="H34383" s="185"/>
    </row>
    <row r="34384">
      <c r="D34384" s="185"/>
      <c r="E34384" s="185" t="s">
        <v>470</v>
      </c>
      <c r="H34384" s="185"/>
    </row>
    <row r="34385">
      <c r="D34385" s="185"/>
      <c r="E34385" s="185" t="s">
        <v>470</v>
      </c>
      <c r="H34385" s="185"/>
    </row>
    <row r="34386">
      <c r="D34386" s="185"/>
      <c r="E34386" s="185" t="s">
        <v>470</v>
      </c>
      <c r="H34386" s="185"/>
    </row>
    <row r="34387">
      <c r="D34387" s="185"/>
      <c r="E34387" s="185" t="s">
        <v>470</v>
      </c>
      <c r="H34387" s="185"/>
    </row>
    <row r="34388">
      <c r="D34388" s="185"/>
      <c r="E34388" s="185" t="s">
        <v>470</v>
      </c>
      <c r="H34388" s="185"/>
    </row>
    <row r="34389">
      <c r="D34389" s="185"/>
      <c r="E34389" s="185" t="s">
        <v>470</v>
      </c>
      <c r="H34389" s="185"/>
    </row>
    <row r="34390">
      <c r="D34390" s="185"/>
      <c r="E34390" s="185" t="s">
        <v>470</v>
      </c>
      <c r="H34390" s="185"/>
    </row>
    <row r="34391">
      <c r="D34391" s="185"/>
      <c r="E34391" s="185" t="s">
        <v>470</v>
      </c>
      <c r="H34391" s="185"/>
    </row>
    <row r="34392">
      <c r="D34392" s="185"/>
      <c r="E34392" s="185" t="s">
        <v>470</v>
      </c>
      <c r="H34392" s="185"/>
    </row>
    <row r="34393">
      <c r="D34393" s="185"/>
      <c r="E34393" s="185" t="s">
        <v>470</v>
      </c>
      <c r="H34393" s="185"/>
    </row>
    <row r="34394">
      <c r="D34394" s="185"/>
      <c r="E34394" s="185" t="s">
        <v>470</v>
      </c>
      <c r="H34394" s="185"/>
    </row>
    <row r="34395">
      <c r="D34395" s="185"/>
      <c r="E34395" s="185" t="s">
        <v>470</v>
      </c>
      <c r="H34395" s="185"/>
    </row>
    <row r="34396">
      <c r="D34396" s="185"/>
      <c r="E34396" s="185" t="s">
        <v>470</v>
      </c>
      <c r="H34396" s="185"/>
    </row>
    <row r="34397">
      <c r="D34397" s="185"/>
      <c r="E34397" s="185" t="s">
        <v>470</v>
      </c>
      <c r="H34397" s="185"/>
    </row>
    <row r="34398">
      <c r="D34398" s="185"/>
      <c r="E34398" s="185" t="s">
        <v>470</v>
      </c>
      <c r="H34398" s="185"/>
    </row>
    <row r="34399">
      <c r="D34399" s="185"/>
      <c r="E34399" s="185" t="s">
        <v>470</v>
      </c>
      <c r="H34399" s="185"/>
    </row>
    <row r="34400">
      <c r="D34400" s="185"/>
      <c r="E34400" s="185" t="s">
        <v>470</v>
      </c>
      <c r="H34400" s="185"/>
    </row>
    <row r="34401">
      <c r="D34401" s="185"/>
      <c r="E34401" s="185" t="s">
        <v>470</v>
      </c>
      <c r="H34401" s="185"/>
    </row>
    <row r="34402">
      <c r="D34402" s="185"/>
      <c r="E34402" s="185" t="s">
        <v>470</v>
      </c>
      <c r="H34402" s="185"/>
    </row>
    <row r="34403">
      <c r="D34403" s="185"/>
      <c r="E34403" s="185" t="s">
        <v>470</v>
      </c>
      <c r="H34403" s="185"/>
    </row>
    <row r="34404">
      <c r="D34404" s="185"/>
      <c r="E34404" s="185" t="s">
        <v>470</v>
      </c>
      <c r="H34404" s="185"/>
    </row>
    <row r="34405">
      <c r="D34405" s="185"/>
      <c r="E34405" s="185" t="s">
        <v>470</v>
      </c>
      <c r="H34405" s="185"/>
    </row>
    <row r="34406">
      <c r="D34406" s="185"/>
      <c r="E34406" s="185" t="s">
        <v>470</v>
      </c>
      <c r="H34406" s="185"/>
    </row>
    <row r="34407">
      <c r="D34407" s="185"/>
      <c r="E34407" s="185" t="s">
        <v>470</v>
      </c>
      <c r="H34407" s="185"/>
    </row>
    <row r="34408">
      <c r="D34408" s="185"/>
      <c r="E34408" s="185" t="s">
        <v>470</v>
      </c>
      <c r="H34408" s="185"/>
    </row>
    <row r="34409">
      <c r="D34409" s="185"/>
      <c r="E34409" s="185" t="s">
        <v>470</v>
      </c>
      <c r="H34409" s="185"/>
    </row>
    <row r="34410">
      <c r="D34410" s="185"/>
      <c r="E34410" s="185" t="s">
        <v>470</v>
      </c>
      <c r="H34410" s="185"/>
    </row>
    <row r="34411">
      <c r="D34411" s="185"/>
      <c r="E34411" s="185" t="s">
        <v>470</v>
      </c>
      <c r="H34411" s="185"/>
    </row>
    <row r="34412">
      <c r="D34412" s="185"/>
      <c r="E34412" s="185" t="s">
        <v>470</v>
      </c>
      <c r="H34412" s="185"/>
    </row>
    <row r="34413">
      <c r="D34413" s="185"/>
      <c r="E34413" s="185" t="s">
        <v>470</v>
      </c>
      <c r="H34413" s="185"/>
    </row>
    <row r="34414">
      <c r="D34414" s="185"/>
      <c r="E34414" s="185" t="s">
        <v>470</v>
      </c>
      <c r="H34414" s="185"/>
    </row>
    <row r="34415">
      <c r="D34415" s="185"/>
      <c r="E34415" s="185" t="s">
        <v>470</v>
      </c>
      <c r="H34415" s="185"/>
    </row>
    <row r="34416">
      <c r="D34416" s="185"/>
      <c r="E34416" s="185" t="s">
        <v>470</v>
      </c>
      <c r="H34416" s="185"/>
    </row>
    <row r="34417">
      <c r="D34417" s="185"/>
      <c r="E34417" s="185" t="s">
        <v>470</v>
      </c>
      <c r="H34417" s="185"/>
    </row>
    <row r="34418">
      <c r="D34418" s="185"/>
      <c r="E34418" s="185" t="s">
        <v>470</v>
      </c>
      <c r="H34418" s="185"/>
    </row>
    <row r="34419">
      <c r="D34419" s="185"/>
      <c r="E34419" s="185" t="s">
        <v>470</v>
      </c>
      <c r="H34419" s="185"/>
    </row>
    <row r="34420">
      <c r="D34420" s="185"/>
      <c r="E34420" s="185" t="s">
        <v>470</v>
      </c>
      <c r="H34420" s="185"/>
    </row>
    <row r="34421">
      <c r="D34421" s="185"/>
      <c r="E34421" s="185" t="s">
        <v>470</v>
      </c>
      <c r="H34421" s="185"/>
    </row>
    <row r="34422">
      <c r="D34422" s="185"/>
      <c r="E34422" s="185" t="s">
        <v>470</v>
      </c>
      <c r="H34422" s="185"/>
    </row>
    <row r="34423">
      <c r="D34423" s="185"/>
      <c r="E34423" s="185" t="s">
        <v>470</v>
      </c>
      <c r="H34423" s="185"/>
    </row>
    <row r="34424">
      <c r="D34424" s="185"/>
      <c r="E34424" s="185" t="s">
        <v>470</v>
      </c>
      <c r="H34424" s="185"/>
    </row>
    <row r="34425">
      <c r="D34425" s="185"/>
      <c r="E34425" s="185" t="s">
        <v>470</v>
      </c>
      <c r="H34425" s="185"/>
    </row>
    <row r="34426">
      <c r="D34426" s="185"/>
      <c r="E34426" s="185" t="s">
        <v>470</v>
      </c>
      <c r="H34426" s="185"/>
    </row>
    <row r="34427">
      <c r="D34427" s="185"/>
      <c r="E34427" s="185" t="s">
        <v>470</v>
      </c>
      <c r="H34427" s="185"/>
    </row>
    <row r="34428">
      <c r="D34428" s="185"/>
      <c r="E34428" s="185" t="s">
        <v>470</v>
      </c>
      <c r="H34428" s="185"/>
    </row>
    <row r="34429">
      <c r="D34429" s="185"/>
      <c r="E34429" s="185" t="s">
        <v>470</v>
      </c>
      <c r="H34429" s="185"/>
    </row>
    <row r="34430">
      <c r="D34430" s="185"/>
      <c r="E34430" s="185" t="s">
        <v>470</v>
      </c>
      <c r="H34430" s="185"/>
    </row>
    <row r="34431">
      <c r="D34431" s="185"/>
      <c r="E34431" s="185" t="s">
        <v>470</v>
      </c>
      <c r="H34431" s="185"/>
    </row>
    <row r="34432">
      <c r="D34432" s="185"/>
      <c r="E34432" s="185" t="s">
        <v>470</v>
      </c>
      <c r="H34432" s="185"/>
    </row>
    <row r="34433">
      <c r="D34433" s="185"/>
      <c r="E34433" s="185" t="s">
        <v>470</v>
      </c>
      <c r="H34433" s="185"/>
    </row>
    <row r="34434">
      <c r="D34434" s="185"/>
      <c r="E34434" s="185" t="s">
        <v>470</v>
      </c>
      <c r="H34434" s="185"/>
    </row>
    <row r="34435">
      <c r="D34435" s="185"/>
      <c r="E34435" s="185" t="s">
        <v>470</v>
      </c>
      <c r="H34435" s="185"/>
    </row>
    <row r="34436">
      <c r="D34436" s="185"/>
      <c r="E34436" s="185" t="s">
        <v>470</v>
      </c>
      <c r="H34436" s="185"/>
    </row>
    <row r="34437">
      <c r="D34437" s="185"/>
      <c r="E34437" s="185" t="s">
        <v>470</v>
      </c>
      <c r="H34437" s="185"/>
    </row>
    <row r="34438">
      <c r="D34438" s="185"/>
      <c r="E34438" s="185" t="s">
        <v>470</v>
      </c>
      <c r="H34438" s="185"/>
    </row>
    <row r="34439">
      <c r="D34439" s="185"/>
      <c r="E34439" s="185" t="s">
        <v>470</v>
      </c>
      <c r="H34439" s="185"/>
    </row>
    <row r="34440">
      <c r="D34440" s="185"/>
      <c r="E34440" s="185" t="s">
        <v>470</v>
      </c>
      <c r="H34440" s="185"/>
    </row>
    <row r="34441">
      <c r="D34441" s="185"/>
      <c r="E34441" s="185" t="s">
        <v>470</v>
      </c>
      <c r="H34441" s="185"/>
    </row>
    <row r="34442">
      <c r="D34442" s="185"/>
      <c r="E34442" s="185" t="s">
        <v>470</v>
      </c>
      <c r="H34442" s="185"/>
    </row>
    <row r="34443">
      <c r="D34443" s="185"/>
      <c r="E34443" s="185" t="s">
        <v>470</v>
      </c>
      <c r="H34443" s="185"/>
    </row>
    <row r="34444">
      <c r="D34444" s="185"/>
      <c r="E34444" s="185" t="s">
        <v>470</v>
      </c>
      <c r="H34444" s="185"/>
    </row>
    <row r="34445">
      <c r="D34445" s="185"/>
      <c r="E34445" s="185" t="s">
        <v>470</v>
      </c>
      <c r="H34445" s="185"/>
    </row>
    <row r="34446">
      <c r="D34446" s="185"/>
      <c r="E34446" s="185" t="s">
        <v>470</v>
      </c>
      <c r="H34446" s="185"/>
    </row>
    <row r="34447">
      <c r="D34447" s="185"/>
      <c r="E34447" s="185" t="s">
        <v>470</v>
      </c>
      <c r="H34447" s="185"/>
    </row>
    <row r="34448">
      <c r="D34448" s="185"/>
      <c r="E34448" s="185" t="s">
        <v>470</v>
      </c>
      <c r="H34448" s="185"/>
    </row>
    <row r="34449">
      <c r="D34449" s="185"/>
      <c r="E34449" s="185" t="s">
        <v>470</v>
      </c>
      <c r="H34449" s="185"/>
    </row>
    <row r="34450">
      <c r="D34450" s="185"/>
      <c r="E34450" s="185" t="s">
        <v>470</v>
      </c>
      <c r="H34450" s="185"/>
    </row>
    <row r="34451">
      <c r="D34451" s="185"/>
      <c r="E34451" s="185" t="s">
        <v>470</v>
      </c>
      <c r="H34451" s="185"/>
    </row>
    <row r="34452">
      <c r="D34452" s="185"/>
      <c r="E34452" s="185" t="s">
        <v>470</v>
      </c>
      <c r="H34452" s="185"/>
    </row>
    <row r="34453">
      <c r="D34453" s="185"/>
      <c r="E34453" s="185" t="s">
        <v>470</v>
      </c>
      <c r="H34453" s="185"/>
    </row>
    <row r="34454">
      <c r="D34454" s="185"/>
      <c r="E34454" s="185" t="s">
        <v>470</v>
      </c>
      <c r="H34454" s="185"/>
    </row>
    <row r="34455">
      <c r="D34455" s="185"/>
      <c r="E34455" s="185" t="s">
        <v>470</v>
      </c>
      <c r="H34455" s="185"/>
    </row>
    <row r="34456">
      <c r="D34456" s="185"/>
      <c r="E34456" s="185" t="s">
        <v>470</v>
      </c>
      <c r="H34456" s="185"/>
    </row>
    <row r="34457">
      <c r="D34457" s="185"/>
      <c r="E34457" s="185" t="s">
        <v>470</v>
      </c>
      <c r="H34457" s="185"/>
    </row>
    <row r="34458">
      <c r="D34458" s="185"/>
      <c r="E34458" s="185" t="s">
        <v>470</v>
      </c>
      <c r="H34458" s="185"/>
    </row>
    <row r="34459">
      <c r="D34459" s="185"/>
      <c r="E34459" s="185" t="s">
        <v>470</v>
      </c>
      <c r="H34459" s="185"/>
    </row>
    <row r="34460">
      <c r="D34460" s="185"/>
      <c r="E34460" s="185" t="s">
        <v>470</v>
      </c>
      <c r="H34460" s="185"/>
    </row>
    <row r="34461">
      <c r="D34461" s="185"/>
      <c r="E34461" s="185" t="s">
        <v>470</v>
      </c>
      <c r="H34461" s="185"/>
    </row>
    <row r="34462">
      <c r="D34462" s="185"/>
      <c r="E34462" s="185" t="s">
        <v>470</v>
      </c>
      <c r="H34462" s="185"/>
    </row>
    <row r="34463">
      <c r="D34463" s="185"/>
      <c r="E34463" s="185" t="s">
        <v>470</v>
      </c>
      <c r="H34463" s="185"/>
    </row>
    <row r="34464">
      <c r="D34464" s="185"/>
      <c r="E34464" s="185" t="s">
        <v>470</v>
      </c>
      <c r="H34464" s="185"/>
    </row>
    <row r="34465">
      <c r="D34465" s="185"/>
      <c r="E34465" s="185" t="s">
        <v>470</v>
      </c>
      <c r="H34465" s="185"/>
    </row>
    <row r="34466">
      <c r="D34466" s="185"/>
      <c r="E34466" s="185" t="s">
        <v>470</v>
      </c>
      <c r="H34466" s="185"/>
    </row>
    <row r="34467">
      <c r="D34467" s="185"/>
      <c r="E34467" s="185" t="s">
        <v>470</v>
      </c>
      <c r="H34467" s="185"/>
    </row>
    <row r="34468">
      <c r="D34468" s="185"/>
      <c r="E34468" s="185" t="s">
        <v>470</v>
      </c>
      <c r="H34468" s="185"/>
    </row>
    <row r="34469">
      <c r="D34469" s="185"/>
      <c r="E34469" s="185" t="s">
        <v>470</v>
      </c>
      <c r="H34469" s="185"/>
    </row>
    <row r="34470">
      <c r="D34470" s="185"/>
      <c r="E34470" s="185" t="s">
        <v>470</v>
      </c>
      <c r="H34470" s="185"/>
    </row>
    <row r="34471">
      <c r="D34471" s="185"/>
      <c r="E34471" s="185" t="s">
        <v>470</v>
      </c>
      <c r="H34471" s="185"/>
    </row>
    <row r="34472">
      <c r="D34472" s="185"/>
      <c r="E34472" s="185" t="s">
        <v>470</v>
      </c>
      <c r="H34472" s="185"/>
    </row>
    <row r="34473">
      <c r="D34473" s="185"/>
      <c r="E34473" s="185" t="s">
        <v>470</v>
      </c>
      <c r="H34473" s="185"/>
    </row>
    <row r="34474">
      <c r="D34474" s="185"/>
      <c r="E34474" s="185" t="s">
        <v>470</v>
      </c>
      <c r="H34474" s="185"/>
    </row>
    <row r="34475">
      <c r="D34475" s="185"/>
      <c r="E34475" s="185" t="s">
        <v>470</v>
      </c>
      <c r="H34475" s="185"/>
    </row>
    <row r="34476">
      <c r="D34476" s="185"/>
      <c r="E34476" s="185" t="s">
        <v>470</v>
      </c>
      <c r="H34476" s="185"/>
    </row>
    <row r="34477">
      <c r="D34477" s="185"/>
      <c r="E34477" s="185" t="s">
        <v>470</v>
      </c>
      <c r="H34477" s="185"/>
    </row>
    <row r="34478">
      <c r="D34478" s="185"/>
      <c r="E34478" s="185" t="s">
        <v>470</v>
      </c>
      <c r="H34478" s="185"/>
    </row>
    <row r="34479">
      <c r="D34479" s="185"/>
      <c r="E34479" s="185" t="s">
        <v>470</v>
      </c>
      <c r="H34479" s="185"/>
    </row>
    <row r="34480">
      <c r="D34480" s="185"/>
      <c r="E34480" s="185" t="s">
        <v>470</v>
      </c>
      <c r="H34480" s="185"/>
    </row>
    <row r="34481">
      <c r="D34481" s="185"/>
      <c r="E34481" s="185" t="s">
        <v>470</v>
      </c>
      <c r="H34481" s="185"/>
    </row>
    <row r="34482">
      <c r="D34482" s="185"/>
      <c r="E34482" s="185" t="s">
        <v>470</v>
      </c>
      <c r="H34482" s="185"/>
    </row>
    <row r="34483">
      <c r="D34483" s="185"/>
      <c r="E34483" s="185" t="s">
        <v>470</v>
      </c>
      <c r="H34483" s="185"/>
    </row>
    <row r="34484">
      <c r="D34484" s="185"/>
      <c r="E34484" s="185" t="s">
        <v>470</v>
      </c>
      <c r="H34484" s="185"/>
    </row>
    <row r="34485">
      <c r="D34485" s="185"/>
      <c r="E34485" s="185" t="s">
        <v>470</v>
      </c>
      <c r="H34485" s="185"/>
    </row>
    <row r="34486">
      <c r="D34486" s="185"/>
      <c r="E34486" s="185" t="s">
        <v>470</v>
      </c>
      <c r="H34486" s="185"/>
    </row>
    <row r="34487">
      <c r="D34487" s="185"/>
      <c r="E34487" s="185" t="s">
        <v>470</v>
      </c>
      <c r="H34487" s="185"/>
    </row>
    <row r="34488">
      <c r="D34488" s="185"/>
      <c r="E34488" s="185" t="s">
        <v>470</v>
      </c>
      <c r="H34488" s="185"/>
    </row>
    <row r="34489">
      <c r="D34489" s="185"/>
      <c r="E34489" s="185" t="s">
        <v>470</v>
      </c>
      <c r="H34489" s="185"/>
    </row>
    <row r="34490">
      <c r="D34490" s="185"/>
      <c r="E34490" s="185" t="s">
        <v>470</v>
      </c>
      <c r="H34490" s="185"/>
    </row>
    <row r="34491">
      <c r="D34491" s="185"/>
      <c r="E34491" s="185" t="s">
        <v>470</v>
      </c>
      <c r="H34491" s="185"/>
    </row>
    <row r="34492">
      <c r="D34492" s="185"/>
      <c r="E34492" s="185" t="s">
        <v>470</v>
      </c>
      <c r="H34492" s="185"/>
    </row>
    <row r="34493">
      <c r="D34493" s="185"/>
      <c r="E34493" s="185" t="s">
        <v>470</v>
      </c>
      <c r="H34493" s="185"/>
    </row>
    <row r="34494">
      <c r="D34494" s="185"/>
      <c r="E34494" s="185" t="s">
        <v>470</v>
      </c>
      <c r="H34494" s="185"/>
    </row>
    <row r="34495">
      <c r="D34495" s="185"/>
      <c r="E34495" s="185" t="s">
        <v>470</v>
      </c>
      <c r="H34495" s="185"/>
    </row>
    <row r="34496">
      <c r="D34496" s="185"/>
      <c r="E34496" s="185" t="s">
        <v>470</v>
      </c>
      <c r="H34496" s="185"/>
    </row>
    <row r="34497">
      <c r="D34497" s="185"/>
      <c r="E34497" s="185" t="s">
        <v>470</v>
      </c>
      <c r="H34497" s="185"/>
    </row>
    <row r="34498">
      <c r="D34498" s="185"/>
      <c r="E34498" s="185" t="s">
        <v>470</v>
      </c>
      <c r="H34498" s="185"/>
    </row>
    <row r="34499">
      <c r="D34499" s="185"/>
      <c r="E34499" s="185" t="s">
        <v>470</v>
      </c>
      <c r="H34499" s="185"/>
    </row>
    <row r="34500">
      <c r="D34500" s="185"/>
      <c r="E34500" s="185" t="s">
        <v>470</v>
      </c>
      <c r="H34500" s="185"/>
    </row>
    <row r="34501">
      <c r="D34501" s="185"/>
      <c r="E34501" s="185" t="s">
        <v>470</v>
      </c>
      <c r="H34501" s="185"/>
    </row>
    <row r="34502">
      <c r="D34502" s="185"/>
      <c r="E34502" s="185" t="s">
        <v>470</v>
      </c>
      <c r="H34502" s="185"/>
    </row>
    <row r="34503">
      <c r="D34503" s="185"/>
      <c r="E34503" s="185" t="s">
        <v>470</v>
      </c>
      <c r="H34503" s="185"/>
    </row>
    <row r="34504">
      <c r="D34504" s="185"/>
      <c r="E34504" s="185" t="s">
        <v>470</v>
      </c>
      <c r="H34504" s="185"/>
    </row>
    <row r="34505">
      <c r="D34505" s="185"/>
      <c r="E34505" s="185" t="s">
        <v>470</v>
      </c>
      <c r="H34505" s="185"/>
    </row>
    <row r="34506">
      <c r="D34506" s="185"/>
      <c r="E34506" s="185" t="s">
        <v>470</v>
      </c>
      <c r="H34506" s="185"/>
    </row>
    <row r="34507">
      <c r="D34507" s="185"/>
      <c r="E34507" s="185" t="s">
        <v>470</v>
      </c>
      <c r="H34507" s="185"/>
    </row>
    <row r="34508">
      <c r="D34508" s="185"/>
      <c r="E34508" s="185" t="s">
        <v>470</v>
      </c>
      <c r="H34508" s="185"/>
    </row>
    <row r="34509">
      <c r="D34509" s="185"/>
      <c r="E34509" s="185" t="s">
        <v>470</v>
      </c>
      <c r="H34509" s="185"/>
    </row>
    <row r="34510">
      <c r="D34510" s="185"/>
      <c r="E34510" s="185" t="s">
        <v>470</v>
      </c>
      <c r="H34510" s="185"/>
    </row>
    <row r="34511">
      <c r="D34511" s="185"/>
      <c r="E34511" s="185" t="s">
        <v>470</v>
      </c>
      <c r="H34511" s="185"/>
    </row>
    <row r="34512">
      <c r="D34512" s="185"/>
      <c r="E34512" s="185" t="s">
        <v>470</v>
      </c>
      <c r="H34512" s="185"/>
    </row>
    <row r="34513">
      <c r="D34513" s="185"/>
      <c r="E34513" s="185" t="s">
        <v>470</v>
      </c>
      <c r="H34513" s="185"/>
    </row>
    <row r="34514">
      <c r="D34514" s="185"/>
      <c r="E34514" s="185" t="s">
        <v>470</v>
      </c>
      <c r="H34514" s="185"/>
    </row>
    <row r="34515">
      <c r="D34515" s="185"/>
      <c r="E34515" s="185" t="s">
        <v>470</v>
      </c>
      <c r="H34515" s="185"/>
    </row>
    <row r="34516">
      <c r="D34516" s="185"/>
      <c r="E34516" s="185" t="s">
        <v>470</v>
      </c>
      <c r="H34516" s="185"/>
    </row>
    <row r="34517">
      <c r="D34517" s="185"/>
      <c r="E34517" s="185" t="s">
        <v>470</v>
      </c>
      <c r="H34517" s="185"/>
    </row>
    <row r="34518">
      <c r="D34518" s="185"/>
      <c r="E34518" s="185" t="s">
        <v>470</v>
      </c>
      <c r="H34518" s="185"/>
    </row>
    <row r="34519">
      <c r="D34519" s="185"/>
      <c r="E34519" s="185" t="s">
        <v>470</v>
      </c>
      <c r="H34519" s="185"/>
    </row>
    <row r="34520">
      <c r="D34520" s="185"/>
      <c r="E34520" s="185" t="s">
        <v>470</v>
      </c>
      <c r="H34520" s="185"/>
    </row>
    <row r="34521">
      <c r="D34521" s="185"/>
      <c r="E34521" s="185" t="s">
        <v>470</v>
      </c>
      <c r="H34521" s="185"/>
    </row>
    <row r="34522">
      <c r="D34522" s="185"/>
      <c r="E34522" s="185" t="s">
        <v>470</v>
      </c>
      <c r="H34522" s="185"/>
    </row>
    <row r="34523">
      <c r="D34523" s="185"/>
      <c r="E34523" s="185" t="s">
        <v>470</v>
      </c>
      <c r="H34523" s="185"/>
    </row>
    <row r="34524">
      <c r="D34524" s="185"/>
      <c r="E34524" s="185" t="s">
        <v>470</v>
      </c>
      <c r="H34524" s="185"/>
    </row>
    <row r="34525">
      <c r="D34525" s="185"/>
      <c r="E34525" s="185" t="s">
        <v>470</v>
      </c>
      <c r="H34525" s="185"/>
    </row>
    <row r="34526">
      <c r="D34526" s="185"/>
      <c r="E34526" s="185" t="s">
        <v>470</v>
      </c>
      <c r="H34526" s="185"/>
    </row>
    <row r="34527">
      <c r="D34527" s="185"/>
      <c r="E34527" s="185" t="s">
        <v>470</v>
      </c>
      <c r="H34527" s="185"/>
    </row>
    <row r="34528">
      <c r="D34528" s="185"/>
      <c r="E34528" s="185" t="s">
        <v>470</v>
      </c>
      <c r="H34528" s="185"/>
    </row>
    <row r="34529">
      <c r="D34529" s="185"/>
      <c r="E34529" s="185" t="s">
        <v>470</v>
      </c>
      <c r="H34529" s="185"/>
    </row>
    <row r="34530">
      <c r="D34530" s="185"/>
      <c r="E34530" s="185" t="s">
        <v>470</v>
      </c>
      <c r="H34530" s="185"/>
    </row>
    <row r="34531">
      <c r="D34531" s="185"/>
      <c r="E34531" s="185" t="s">
        <v>470</v>
      </c>
      <c r="H34531" s="185"/>
    </row>
    <row r="34532">
      <c r="D34532" s="185"/>
      <c r="E34532" s="185" t="s">
        <v>470</v>
      </c>
      <c r="H34532" s="185"/>
    </row>
    <row r="34533">
      <c r="D34533" s="185"/>
      <c r="E34533" s="185" t="s">
        <v>470</v>
      </c>
      <c r="H34533" s="185"/>
    </row>
    <row r="34534">
      <c r="D34534" s="185"/>
      <c r="E34534" s="185" t="s">
        <v>470</v>
      </c>
      <c r="H34534" s="185"/>
    </row>
    <row r="34535">
      <c r="D34535" s="185"/>
      <c r="E34535" s="185" t="s">
        <v>470</v>
      </c>
      <c r="H34535" s="185"/>
    </row>
    <row r="34536">
      <c r="D34536" s="185"/>
      <c r="E34536" s="185" t="s">
        <v>470</v>
      </c>
      <c r="H34536" s="185"/>
    </row>
    <row r="34537">
      <c r="D34537" s="185"/>
      <c r="E34537" s="185" t="s">
        <v>470</v>
      </c>
      <c r="H34537" s="185"/>
    </row>
    <row r="34538">
      <c r="D34538" s="185"/>
      <c r="E34538" s="185" t="s">
        <v>470</v>
      </c>
      <c r="H34538" s="185"/>
    </row>
    <row r="34539">
      <c r="D34539" s="185"/>
      <c r="E34539" s="185" t="s">
        <v>470</v>
      </c>
      <c r="H34539" s="185"/>
    </row>
    <row r="34540">
      <c r="D34540" s="185"/>
      <c r="E34540" s="185" t="s">
        <v>470</v>
      </c>
      <c r="H34540" s="185"/>
    </row>
    <row r="34541">
      <c r="D34541" s="185"/>
      <c r="E34541" s="185" t="s">
        <v>470</v>
      </c>
      <c r="H34541" s="185"/>
    </row>
    <row r="34542">
      <c r="D34542" s="185"/>
      <c r="E34542" s="185" t="s">
        <v>470</v>
      </c>
      <c r="H34542" s="185"/>
    </row>
    <row r="34543">
      <c r="D34543" s="185"/>
      <c r="E34543" s="185" t="s">
        <v>470</v>
      </c>
      <c r="H34543" s="185"/>
    </row>
    <row r="34544">
      <c r="D34544" s="185"/>
      <c r="E34544" s="185" t="s">
        <v>470</v>
      </c>
      <c r="H34544" s="185"/>
    </row>
    <row r="34545">
      <c r="D34545" s="185"/>
      <c r="E34545" s="185" t="s">
        <v>470</v>
      </c>
      <c r="H34545" s="185"/>
    </row>
    <row r="34546">
      <c r="D34546" s="185"/>
      <c r="E34546" s="185" t="s">
        <v>470</v>
      </c>
      <c r="H34546" s="185"/>
    </row>
    <row r="34547">
      <c r="D34547" s="185"/>
      <c r="E34547" s="185" t="s">
        <v>470</v>
      </c>
      <c r="H34547" s="185"/>
    </row>
    <row r="34548">
      <c r="D34548" s="185"/>
      <c r="E34548" s="185" t="s">
        <v>470</v>
      </c>
      <c r="H34548" s="185"/>
    </row>
    <row r="34549">
      <c r="D34549" s="185"/>
      <c r="E34549" s="185" t="s">
        <v>470</v>
      </c>
      <c r="H34549" s="185"/>
    </row>
    <row r="34550">
      <c r="D34550" s="185"/>
      <c r="E34550" s="185" t="s">
        <v>470</v>
      </c>
      <c r="H34550" s="185"/>
    </row>
    <row r="34551">
      <c r="D34551" s="185"/>
      <c r="E34551" s="185" t="s">
        <v>470</v>
      </c>
      <c r="H34551" s="185"/>
    </row>
    <row r="34552">
      <c r="D34552" s="185"/>
      <c r="E34552" s="185" t="s">
        <v>470</v>
      </c>
      <c r="H34552" s="185"/>
    </row>
    <row r="34553">
      <c r="D34553" s="185"/>
      <c r="E34553" s="185" t="s">
        <v>470</v>
      </c>
      <c r="H34553" s="185"/>
    </row>
    <row r="34554">
      <c r="D34554" s="185"/>
      <c r="E34554" s="185" t="s">
        <v>470</v>
      </c>
      <c r="H34554" s="185"/>
    </row>
    <row r="34555">
      <c r="D34555" s="185"/>
      <c r="E34555" s="185" t="s">
        <v>470</v>
      </c>
      <c r="H34555" s="185"/>
    </row>
    <row r="34556">
      <c r="D34556" s="185"/>
      <c r="E34556" s="185" t="s">
        <v>470</v>
      </c>
      <c r="H34556" s="185"/>
    </row>
    <row r="34557">
      <c r="D34557" s="185"/>
      <c r="E34557" s="185" t="s">
        <v>470</v>
      </c>
      <c r="H34557" s="185"/>
    </row>
    <row r="34558">
      <c r="D34558" s="185"/>
      <c r="E34558" s="185" t="s">
        <v>470</v>
      </c>
      <c r="H34558" s="185"/>
    </row>
    <row r="34559">
      <c r="D34559" s="185"/>
      <c r="E34559" s="185" t="s">
        <v>470</v>
      </c>
      <c r="H34559" s="185"/>
    </row>
    <row r="34560">
      <c r="D34560" s="185"/>
      <c r="E34560" s="185" t="s">
        <v>470</v>
      </c>
      <c r="H34560" s="185"/>
    </row>
    <row r="34561">
      <c r="D34561" s="185"/>
      <c r="E34561" s="185" t="s">
        <v>470</v>
      </c>
      <c r="H34561" s="185"/>
    </row>
    <row r="34562">
      <c r="D34562" s="185"/>
      <c r="E34562" s="185" t="s">
        <v>470</v>
      </c>
      <c r="H34562" s="185"/>
    </row>
    <row r="34563">
      <c r="D34563" s="185"/>
      <c r="E34563" s="185" t="s">
        <v>470</v>
      </c>
      <c r="H34563" s="185"/>
    </row>
    <row r="34564">
      <c r="D34564" s="185"/>
      <c r="E34564" s="185" t="s">
        <v>470</v>
      </c>
      <c r="H34564" s="185"/>
    </row>
    <row r="34565">
      <c r="D34565" s="185"/>
      <c r="E34565" s="185" t="s">
        <v>470</v>
      </c>
      <c r="H34565" s="185"/>
    </row>
    <row r="34566">
      <c r="D34566" s="185"/>
      <c r="E34566" s="185" t="s">
        <v>470</v>
      </c>
      <c r="H34566" s="185"/>
    </row>
    <row r="34567">
      <c r="D34567" s="185"/>
      <c r="E34567" s="185" t="s">
        <v>470</v>
      </c>
      <c r="H34567" s="185"/>
    </row>
    <row r="34568">
      <c r="D34568" s="185"/>
      <c r="E34568" s="185" t="s">
        <v>470</v>
      </c>
      <c r="H34568" s="185"/>
    </row>
    <row r="34569">
      <c r="D34569" s="185"/>
      <c r="E34569" s="185" t="s">
        <v>470</v>
      </c>
      <c r="H34569" s="185"/>
    </row>
    <row r="34570">
      <c r="D34570" s="185"/>
      <c r="E34570" s="185" t="s">
        <v>470</v>
      </c>
      <c r="H34570" s="185"/>
    </row>
    <row r="34571">
      <c r="D34571" s="185"/>
      <c r="E34571" s="185" t="s">
        <v>470</v>
      </c>
      <c r="H34571" s="185"/>
    </row>
    <row r="34572">
      <c r="D34572" s="185"/>
      <c r="E34572" s="185" t="s">
        <v>470</v>
      </c>
      <c r="H34572" s="185"/>
    </row>
    <row r="34573">
      <c r="D34573" s="185"/>
      <c r="E34573" s="185" t="s">
        <v>470</v>
      </c>
      <c r="H34573" s="185"/>
    </row>
    <row r="34574">
      <c r="D34574" s="185"/>
      <c r="E34574" s="185" t="s">
        <v>470</v>
      </c>
      <c r="H34574" s="185"/>
    </row>
    <row r="34575">
      <c r="D34575" s="185"/>
      <c r="E34575" s="185" t="s">
        <v>470</v>
      </c>
      <c r="H34575" s="185"/>
    </row>
    <row r="34576">
      <c r="D34576" s="185"/>
      <c r="E34576" s="185" t="s">
        <v>470</v>
      </c>
      <c r="H34576" s="185"/>
    </row>
    <row r="34577">
      <c r="D34577" s="185"/>
      <c r="E34577" s="185" t="s">
        <v>470</v>
      </c>
      <c r="H34577" s="185"/>
    </row>
    <row r="34578">
      <c r="D34578" s="185"/>
      <c r="E34578" s="185" t="s">
        <v>470</v>
      </c>
      <c r="H34578" s="185"/>
    </row>
    <row r="34579">
      <c r="D34579" s="185"/>
      <c r="E34579" s="185" t="s">
        <v>470</v>
      </c>
      <c r="H34579" s="185"/>
    </row>
    <row r="34580">
      <c r="D34580" s="185"/>
      <c r="E34580" s="185" t="s">
        <v>470</v>
      </c>
      <c r="H34580" s="185"/>
    </row>
    <row r="34581">
      <c r="D34581" s="185"/>
      <c r="E34581" s="185" t="s">
        <v>470</v>
      </c>
      <c r="H34581" s="185"/>
    </row>
    <row r="34582">
      <c r="D34582" s="185"/>
      <c r="E34582" s="185" t="s">
        <v>470</v>
      </c>
      <c r="H34582" s="185"/>
    </row>
    <row r="34583">
      <c r="D34583" s="185"/>
      <c r="E34583" s="185" t="s">
        <v>470</v>
      </c>
      <c r="H34583" s="185"/>
    </row>
    <row r="34584">
      <c r="D34584" s="185"/>
      <c r="E34584" s="185" t="s">
        <v>470</v>
      </c>
      <c r="H34584" s="185"/>
    </row>
    <row r="34585">
      <c r="D34585" s="185"/>
      <c r="E34585" s="185" t="s">
        <v>470</v>
      </c>
      <c r="H34585" s="185"/>
    </row>
    <row r="34586">
      <c r="D34586" s="185"/>
      <c r="E34586" s="185" t="s">
        <v>470</v>
      </c>
      <c r="H34586" s="185"/>
    </row>
    <row r="34587">
      <c r="D34587" s="185"/>
      <c r="E34587" s="185" t="s">
        <v>470</v>
      </c>
      <c r="H34587" s="185"/>
    </row>
    <row r="34588">
      <c r="D34588" s="185"/>
      <c r="E34588" s="185" t="s">
        <v>470</v>
      </c>
      <c r="H34588" s="185"/>
    </row>
    <row r="34589">
      <c r="D34589" s="185"/>
      <c r="E34589" s="185" t="s">
        <v>470</v>
      </c>
      <c r="H34589" s="185"/>
    </row>
    <row r="34590">
      <c r="D34590" s="185"/>
      <c r="E34590" s="185" t="s">
        <v>470</v>
      </c>
      <c r="H34590" s="185"/>
    </row>
    <row r="34591">
      <c r="D34591" s="185"/>
      <c r="E34591" s="185" t="s">
        <v>470</v>
      </c>
      <c r="H34591" s="185"/>
    </row>
    <row r="34592">
      <c r="D34592" s="185"/>
      <c r="E34592" s="185" t="s">
        <v>470</v>
      </c>
      <c r="H34592" s="185"/>
    </row>
    <row r="34593">
      <c r="D34593" s="185"/>
      <c r="E34593" s="185" t="s">
        <v>470</v>
      </c>
      <c r="H34593" s="185"/>
    </row>
    <row r="34594">
      <c r="D34594" s="185"/>
      <c r="E34594" s="185" t="s">
        <v>470</v>
      </c>
      <c r="H34594" s="185"/>
    </row>
    <row r="34595">
      <c r="D34595" s="185"/>
      <c r="E34595" s="185" t="s">
        <v>470</v>
      </c>
      <c r="H34595" s="185"/>
    </row>
    <row r="34596">
      <c r="D34596" s="185"/>
      <c r="E34596" s="185" t="s">
        <v>470</v>
      </c>
      <c r="H34596" s="185"/>
    </row>
    <row r="34597">
      <c r="D34597" s="185"/>
      <c r="E34597" s="185" t="s">
        <v>470</v>
      </c>
      <c r="H34597" s="185"/>
    </row>
    <row r="34598">
      <c r="D34598" s="185"/>
      <c r="E34598" s="185" t="s">
        <v>470</v>
      </c>
      <c r="H34598" s="185"/>
    </row>
    <row r="34599">
      <c r="D34599" s="185"/>
      <c r="E34599" s="185" t="s">
        <v>470</v>
      </c>
      <c r="H34599" s="185"/>
    </row>
    <row r="34600">
      <c r="D34600" s="185"/>
      <c r="E34600" s="185" t="s">
        <v>470</v>
      </c>
      <c r="H34600" s="185"/>
    </row>
    <row r="34601">
      <c r="D34601" s="185"/>
      <c r="E34601" s="185" t="s">
        <v>470</v>
      </c>
      <c r="H34601" s="185"/>
    </row>
    <row r="34602">
      <c r="D34602" s="185"/>
      <c r="E34602" s="185" t="s">
        <v>470</v>
      </c>
      <c r="H34602" s="185"/>
    </row>
    <row r="34603">
      <c r="D34603" s="185"/>
      <c r="E34603" s="185" t="s">
        <v>470</v>
      </c>
      <c r="H34603" s="185"/>
    </row>
    <row r="34604">
      <c r="D34604" s="185"/>
      <c r="E34604" s="185" t="s">
        <v>470</v>
      </c>
      <c r="H34604" s="185"/>
    </row>
    <row r="34605">
      <c r="D34605" s="185"/>
      <c r="E34605" s="185" t="s">
        <v>470</v>
      </c>
      <c r="H34605" s="185"/>
    </row>
    <row r="34606">
      <c r="D34606" s="185"/>
      <c r="E34606" s="185" t="s">
        <v>470</v>
      </c>
      <c r="H34606" s="185"/>
    </row>
    <row r="34607">
      <c r="D34607" s="185"/>
      <c r="E34607" s="185" t="s">
        <v>470</v>
      </c>
      <c r="H34607" s="185"/>
    </row>
    <row r="34608">
      <c r="D34608" s="185"/>
      <c r="E34608" s="185" t="s">
        <v>470</v>
      </c>
      <c r="H34608" s="185"/>
    </row>
    <row r="34609">
      <c r="D34609" s="185"/>
      <c r="E34609" s="185" t="s">
        <v>470</v>
      </c>
      <c r="H34609" s="185"/>
    </row>
    <row r="34610">
      <c r="D34610" s="185"/>
      <c r="E34610" s="185" t="s">
        <v>470</v>
      </c>
      <c r="H34610" s="185"/>
    </row>
    <row r="34611">
      <c r="D34611" s="185"/>
      <c r="E34611" s="185" t="s">
        <v>470</v>
      </c>
      <c r="H34611" s="185"/>
    </row>
    <row r="34612">
      <c r="D34612" s="185"/>
      <c r="E34612" s="185" t="s">
        <v>470</v>
      </c>
      <c r="H34612" s="185"/>
    </row>
    <row r="34613">
      <c r="D34613" s="185"/>
      <c r="E34613" s="185" t="s">
        <v>470</v>
      </c>
      <c r="H34613" s="185"/>
    </row>
    <row r="34614">
      <c r="D34614" s="185"/>
      <c r="E34614" s="185" t="s">
        <v>470</v>
      </c>
      <c r="H34614" s="185"/>
    </row>
    <row r="34615">
      <c r="D34615" s="185"/>
      <c r="E34615" s="185" t="s">
        <v>470</v>
      </c>
      <c r="H34615" s="185"/>
    </row>
    <row r="34616">
      <c r="D34616" s="185"/>
      <c r="E34616" s="185" t="s">
        <v>470</v>
      </c>
      <c r="H34616" s="185"/>
    </row>
    <row r="34617">
      <c r="D34617" s="185"/>
      <c r="E34617" s="185" t="s">
        <v>470</v>
      </c>
      <c r="H34617" s="185"/>
    </row>
    <row r="34618">
      <c r="D34618" s="185"/>
      <c r="E34618" s="185" t="s">
        <v>470</v>
      </c>
      <c r="H34618" s="185"/>
    </row>
    <row r="34619">
      <c r="D34619" s="185"/>
      <c r="E34619" s="185" t="s">
        <v>470</v>
      </c>
      <c r="H34619" s="185"/>
    </row>
    <row r="34620">
      <c r="D34620" s="185"/>
      <c r="E34620" s="185" t="s">
        <v>470</v>
      </c>
      <c r="H34620" s="185"/>
    </row>
    <row r="34621">
      <c r="D34621" s="185"/>
      <c r="E34621" s="185" t="s">
        <v>470</v>
      </c>
      <c r="H34621" s="185"/>
    </row>
    <row r="34622">
      <c r="D34622" s="185"/>
      <c r="E34622" s="185" t="s">
        <v>470</v>
      </c>
      <c r="H34622" s="185"/>
    </row>
    <row r="34623">
      <c r="D34623" s="185"/>
      <c r="E34623" s="185" t="s">
        <v>470</v>
      </c>
      <c r="H34623" s="185"/>
    </row>
    <row r="34624">
      <c r="D34624" s="185"/>
      <c r="E34624" s="185" t="s">
        <v>470</v>
      </c>
      <c r="H34624" s="185"/>
    </row>
    <row r="34625">
      <c r="D34625" s="185"/>
      <c r="E34625" s="185" t="s">
        <v>470</v>
      </c>
      <c r="H34625" s="185"/>
    </row>
    <row r="34626">
      <c r="D34626" s="185"/>
      <c r="E34626" s="185" t="s">
        <v>470</v>
      </c>
      <c r="H34626" s="185"/>
    </row>
    <row r="34627">
      <c r="D34627" s="185"/>
      <c r="E34627" s="185" t="s">
        <v>470</v>
      </c>
      <c r="H34627" s="185"/>
    </row>
    <row r="34628">
      <c r="D34628" s="185"/>
      <c r="E34628" s="185" t="s">
        <v>470</v>
      </c>
      <c r="H34628" s="185"/>
    </row>
    <row r="34629">
      <c r="D34629" s="185"/>
      <c r="E34629" s="185" t="s">
        <v>470</v>
      </c>
      <c r="H34629" s="185"/>
    </row>
    <row r="34630">
      <c r="D34630" s="185"/>
      <c r="E34630" s="185" t="s">
        <v>470</v>
      </c>
      <c r="H34630" s="185"/>
    </row>
    <row r="34631">
      <c r="D34631" s="185"/>
      <c r="E34631" s="185" t="s">
        <v>470</v>
      </c>
      <c r="H34631" s="185"/>
    </row>
    <row r="34632">
      <c r="D34632" s="185"/>
      <c r="E34632" s="185" t="s">
        <v>470</v>
      </c>
      <c r="H34632" s="185"/>
    </row>
    <row r="34633">
      <c r="D34633" s="185"/>
      <c r="E34633" s="185" t="s">
        <v>470</v>
      </c>
      <c r="H34633" s="185"/>
    </row>
    <row r="34634">
      <c r="D34634" s="185"/>
      <c r="E34634" s="185" t="s">
        <v>470</v>
      </c>
      <c r="H34634" s="185"/>
    </row>
    <row r="34635">
      <c r="D34635" s="185"/>
      <c r="E34635" s="185" t="s">
        <v>470</v>
      </c>
      <c r="H34635" s="185"/>
    </row>
    <row r="34636">
      <c r="D34636" s="185"/>
      <c r="E34636" s="185" t="s">
        <v>470</v>
      </c>
      <c r="H34636" s="185"/>
    </row>
    <row r="34637">
      <c r="D34637" s="185"/>
      <c r="E34637" s="185" t="s">
        <v>470</v>
      </c>
      <c r="H34637" s="185"/>
    </row>
    <row r="34638">
      <c r="D34638" s="185"/>
      <c r="E34638" s="185" t="s">
        <v>470</v>
      </c>
      <c r="H34638" s="185"/>
    </row>
    <row r="34639">
      <c r="D34639" s="185"/>
      <c r="E34639" s="185" t="s">
        <v>470</v>
      </c>
      <c r="H34639" s="185"/>
    </row>
    <row r="34640">
      <c r="D34640" s="185"/>
      <c r="E34640" s="185" t="s">
        <v>470</v>
      </c>
      <c r="H34640" s="185"/>
    </row>
    <row r="34641">
      <c r="D34641" s="185"/>
      <c r="E34641" s="185" t="s">
        <v>470</v>
      </c>
      <c r="H34641" s="185"/>
    </row>
    <row r="34642">
      <c r="D34642" s="185"/>
      <c r="E34642" s="185" t="s">
        <v>470</v>
      </c>
      <c r="H34642" s="185"/>
    </row>
    <row r="34643">
      <c r="D34643" s="185"/>
      <c r="E34643" s="185" t="s">
        <v>470</v>
      </c>
      <c r="H34643" s="185"/>
    </row>
    <row r="34644">
      <c r="D34644" s="185"/>
      <c r="E34644" s="185" t="s">
        <v>470</v>
      </c>
      <c r="H34644" s="185"/>
    </row>
    <row r="34645">
      <c r="D34645" s="185"/>
      <c r="E34645" s="185" t="s">
        <v>470</v>
      </c>
      <c r="H34645" s="185"/>
    </row>
    <row r="34646">
      <c r="D34646" s="185"/>
      <c r="E34646" s="185" t="s">
        <v>470</v>
      </c>
      <c r="H34646" s="185"/>
    </row>
    <row r="34647">
      <c r="D34647" s="185"/>
      <c r="E34647" s="185" t="s">
        <v>470</v>
      </c>
      <c r="H34647" s="185"/>
    </row>
    <row r="34648">
      <c r="D34648" s="185"/>
      <c r="E34648" s="185" t="s">
        <v>470</v>
      </c>
      <c r="H34648" s="185"/>
    </row>
    <row r="34649">
      <c r="D34649" s="185"/>
      <c r="E34649" s="185" t="s">
        <v>470</v>
      </c>
      <c r="H34649" s="185"/>
    </row>
    <row r="34650">
      <c r="D34650" s="185"/>
      <c r="E34650" s="185" t="s">
        <v>470</v>
      </c>
      <c r="H34650" s="185"/>
    </row>
    <row r="34651">
      <c r="D34651" s="185"/>
      <c r="E34651" s="185" t="s">
        <v>470</v>
      </c>
      <c r="H34651" s="185"/>
    </row>
    <row r="34652">
      <c r="D34652" s="185"/>
      <c r="E34652" s="185" t="s">
        <v>470</v>
      </c>
      <c r="H34652" s="185"/>
    </row>
    <row r="34653">
      <c r="D34653" s="185"/>
      <c r="E34653" s="185" t="s">
        <v>470</v>
      </c>
      <c r="H34653" s="185"/>
    </row>
    <row r="34654">
      <c r="D34654" s="185"/>
      <c r="E34654" s="185" t="s">
        <v>470</v>
      </c>
      <c r="H34654" s="185"/>
    </row>
    <row r="34655">
      <c r="D34655" s="185"/>
      <c r="E34655" s="185" t="s">
        <v>470</v>
      </c>
      <c r="H34655" s="185"/>
    </row>
    <row r="34656">
      <c r="D34656" s="185"/>
      <c r="E34656" s="185" t="s">
        <v>470</v>
      </c>
      <c r="H34656" s="185"/>
    </row>
    <row r="34657">
      <c r="D34657" s="185"/>
      <c r="E34657" s="185" t="s">
        <v>470</v>
      </c>
      <c r="H34657" s="185"/>
    </row>
    <row r="34658">
      <c r="D34658" s="185"/>
      <c r="E34658" s="185" t="s">
        <v>470</v>
      </c>
      <c r="H34658" s="185"/>
    </row>
    <row r="34659">
      <c r="D34659" s="185"/>
      <c r="E34659" s="185" t="s">
        <v>470</v>
      </c>
      <c r="H34659" s="185"/>
    </row>
    <row r="34660">
      <c r="D34660" s="185"/>
      <c r="E34660" s="185" t="s">
        <v>470</v>
      </c>
      <c r="H34660" s="185"/>
    </row>
    <row r="34661">
      <c r="D34661" s="185"/>
      <c r="E34661" s="185" t="s">
        <v>470</v>
      </c>
      <c r="H34661" s="185"/>
    </row>
    <row r="34662">
      <c r="D34662" s="185"/>
      <c r="E34662" s="185" t="s">
        <v>470</v>
      </c>
      <c r="H34662" s="185"/>
    </row>
    <row r="34663">
      <c r="D34663" s="185"/>
      <c r="E34663" s="185" t="s">
        <v>470</v>
      </c>
      <c r="H34663" s="185"/>
    </row>
    <row r="34664">
      <c r="D34664" s="185"/>
      <c r="E34664" s="185" t="s">
        <v>470</v>
      </c>
      <c r="H34664" s="185"/>
    </row>
    <row r="34665">
      <c r="D34665" s="185"/>
      <c r="E34665" s="185" t="s">
        <v>470</v>
      </c>
      <c r="H34665" s="185"/>
    </row>
    <row r="34666">
      <c r="D34666" s="185"/>
      <c r="E34666" s="185" t="s">
        <v>470</v>
      </c>
      <c r="H34666" s="185"/>
    </row>
    <row r="34667">
      <c r="D34667" s="185"/>
      <c r="E34667" s="185" t="s">
        <v>470</v>
      </c>
      <c r="H34667" s="185"/>
    </row>
    <row r="34668">
      <c r="D34668" s="185"/>
      <c r="E34668" s="185" t="s">
        <v>470</v>
      </c>
      <c r="H34668" s="185"/>
    </row>
    <row r="34669">
      <c r="D34669" s="185"/>
      <c r="E34669" s="185" t="s">
        <v>470</v>
      </c>
      <c r="H34669" s="185"/>
    </row>
    <row r="34670">
      <c r="D34670" s="185"/>
      <c r="E34670" s="185" t="s">
        <v>470</v>
      </c>
      <c r="H34670" s="185"/>
    </row>
    <row r="34671">
      <c r="D34671" s="185"/>
      <c r="E34671" s="185" t="s">
        <v>470</v>
      </c>
      <c r="H34671" s="185"/>
    </row>
    <row r="34672">
      <c r="D34672" s="185"/>
      <c r="E34672" s="185" t="s">
        <v>470</v>
      </c>
      <c r="H34672" s="185"/>
    </row>
    <row r="34673">
      <c r="D34673" s="185"/>
      <c r="E34673" s="185" t="s">
        <v>470</v>
      </c>
      <c r="H34673" s="185"/>
    </row>
    <row r="34674">
      <c r="D34674" s="185"/>
      <c r="E34674" s="185" t="s">
        <v>470</v>
      </c>
      <c r="H34674" s="185"/>
    </row>
    <row r="34675">
      <c r="D34675" s="185"/>
      <c r="E34675" s="185" t="s">
        <v>470</v>
      </c>
      <c r="H34675" s="185"/>
    </row>
    <row r="34676">
      <c r="D34676" s="185"/>
      <c r="E34676" s="185" t="s">
        <v>470</v>
      </c>
      <c r="H34676" s="185"/>
    </row>
    <row r="34677">
      <c r="D34677" s="185"/>
      <c r="E34677" s="185" t="s">
        <v>470</v>
      </c>
      <c r="H34677" s="185"/>
    </row>
    <row r="34678">
      <c r="D34678" s="185"/>
      <c r="E34678" s="185" t="s">
        <v>470</v>
      </c>
      <c r="H34678" s="185"/>
    </row>
    <row r="34679">
      <c r="D34679" s="185"/>
      <c r="E34679" s="185" t="s">
        <v>470</v>
      </c>
      <c r="H34679" s="185"/>
    </row>
    <row r="34680">
      <c r="D34680" s="185"/>
      <c r="E34680" s="185" t="s">
        <v>470</v>
      </c>
      <c r="H34680" s="185"/>
    </row>
    <row r="34681">
      <c r="D34681" s="185"/>
      <c r="E34681" s="185" t="s">
        <v>470</v>
      </c>
      <c r="H34681" s="185"/>
    </row>
    <row r="34682">
      <c r="D34682" s="185"/>
      <c r="E34682" s="185" t="s">
        <v>470</v>
      </c>
      <c r="H34682" s="185"/>
    </row>
    <row r="34683">
      <c r="D34683" s="185"/>
      <c r="E34683" s="185" t="s">
        <v>470</v>
      </c>
      <c r="H34683" s="185"/>
    </row>
    <row r="34684">
      <c r="D34684" s="185"/>
      <c r="E34684" s="185" t="s">
        <v>470</v>
      </c>
      <c r="H34684" s="185"/>
    </row>
    <row r="34685">
      <c r="D34685" s="185"/>
      <c r="E34685" s="185" t="s">
        <v>470</v>
      </c>
      <c r="H34685" s="185"/>
    </row>
    <row r="34686">
      <c r="D34686" s="185"/>
      <c r="E34686" s="185" t="s">
        <v>470</v>
      </c>
      <c r="H34686" s="185"/>
    </row>
    <row r="34687">
      <c r="D34687" s="185"/>
      <c r="E34687" s="185" t="s">
        <v>470</v>
      </c>
      <c r="H34687" s="185"/>
    </row>
    <row r="34688">
      <c r="D34688" s="185"/>
      <c r="E34688" s="185" t="s">
        <v>470</v>
      </c>
      <c r="H34688" s="185"/>
    </row>
    <row r="34689">
      <c r="D34689" s="185"/>
      <c r="E34689" s="185" t="s">
        <v>470</v>
      </c>
      <c r="H34689" s="185"/>
    </row>
    <row r="34690">
      <c r="D34690" s="185"/>
      <c r="E34690" s="185" t="s">
        <v>470</v>
      </c>
      <c r="H34690" s="185"/>
    </row>
    <row r="34691">
      <c r="D34691" s="185"/>
      <c r="E34691" s="185" t="s">
        <v>470</v>
      </c>
      <c r="H34691" s="185"/>
    </row>
    <row r="34692">
      <c r="D34692" s="185"/>
      <c r="E34692" s="185" t="s">
        <v>470</v>
      </c>
      <c r="H34692" s="185"/>
    </row>
    <row r="34693">
      <c r="D34693" s="185"/>
      <c r="E34693" s="185" t="s">
        <v>470</v>
      </c>
      <c r="H34693" s="185"/>
    </row>
    <row r="34694">
      <c r="D34694" s="185"/>
      <c r="E34694" s="185" t="s">
        <v>470</v>
      </c>
      <c r="H34694" s="185"/>
    </row>
    <row r="34695">
      <c r="D34695" s="185"/>
      <c r="E34695" s="185" t="s">
        <v>470</v>
      </c>
      <c r="H34695" s="185"/>
    </row>
    <row r="34696">
      <c r="D34696" s="185"/>
      <c r="E34696" s="185" t="s">
        <v>470</v>
      </c>
      <c r="H34696" s="185"/>
    </row>
    <row r="34697">
      <c r="D34697" s="185"/>
      <c r="E34697" s="185" t="s">
        <v>470</v>
      </c>
      <c r="H34697" s="185"/>
    </row>
    <row r="34698">
      <c r="D34698" s="185"/>
      <c r="E34698" s="185" t="s">
        <v>470</v>
      </c>
      <c r="H34698" s="185"/>
    </row>
    <row r="34699">
      <c r="D34699" s="185"/>
      <c r="E34699" s="185" t="s">
        <v>470</v>
      </c>
      <c r="H34699" s="185"/>
    </row>
    <row r="34700">
      <c r="D34700" s="185"/>
      <c r="E34700" s="185" t="s">
        <v>470</v>
      </c>
      <c r="H34700" s="185"/>
    </row>
    <row r="34701">
      <c r="D34701" s="185"/>
      <c r="E34701" s="185" t="s">
        <v>470</v>
      </c>
      <c r="H34701" s="185"/>
    </row>
    <row r="34702">
      <c r="D34702" s="185"/>
      <c r="E34702" s="185" t="s">
        <v>470</v>
      </c>
      <c r="H34702" s="185"/>
    </row>
    <row r="34703">
      <c r="D34703" s="185"/>
      <c r="E34703" s="185" t="s">
        <v>470</v>
      </c>
      <c r="H34703" s="185"/>
    </row>
    <row r="34704">
      <c r="D34704" s="185"/>
      <c r="E34704" s="185" t="s">
        <v>470</v>
      </c>
      <c r="H34704" s="185"/>
    </row>
    <row r="34705">
      <c r="D34705" s="185"/>
      <c r="E34705" s="185" t="s">
        <v>470</v>
      </c>
      <c r="H34705" s="185"/>
    </row>
    <row r="34706">
      <c r="D34706" s="185"/>
      <c r="E34706" s="185" t="s">
        <v>470</v>
      </c>
      <c r="H34706" s="185"/>
    </row>
    <row r="34707">
      <c r="D34707" s="185"/>
      <c r="E34707" s="185" t="s">
        <v>470</v>
      </c>
      <c r="H34707" s="185"/>
    </row>
    <row r="34708">
      <c r="D34708" s="185"/>
      <c r="E34708" s="185" t="s">
        <v>470</v>
      </c>
      <c r="H34708" s="185"/>
    </row>
    <row r="34709">
      <c r="D34709" s="185"/>
      <c r="E34709" s="185" t="s">
        <v>470</v>
      </c>
      <c r="H34709" s="185"/>
    </row>
    <row r="34710">
      <c r="D34710" s="185"/>
      <c r="E34710" s="185" t="s">
        <v>470</v>
      </c>
      <c r="H34710" s="185"/>
    </row>
    <row r="34711">
      <c r="D34711" s="185"/>
      <c r="E34711" s="185" t="s">
        <v>470</v>
      </c>
      <c r="H34711" s="185"/>
    </row>
    <row r="34712">
      <c r="D34712" s="185"/>
      <c r="E34712" s="185" t="s">
        <v>470</v>
      </c>
      <c r="H34712" s="185"/>
    </row>
    <row r="34713">
      <c r="D34713" s="185"/>
      <c r="E34713" s="185" t="s">
        <v>470</v>
      </c>
      <c r="H34713" s="185"/>
    </row>
    <row r="34714">
      <c r="D34714" s="185"/>
      <c r="E34714" s="185" t="s">
        <v>470</v>
      </c>
      <c r="H34714" s="185"/>
    </row>
    <row r="34715">
      <c r="D34715" s="185"/>
      <c r="E34715" s="185" t="s">
        <v>470</v>
      </c>
      <c r="H34715" s="185"/>
    </row>
    <row r="34716">
      <c r="D34716" s="185"/>
      <c r="E34716" s="185" t="s">
        <v>470</v>
      </c>
      <c r="H34716" s="185"/>
    </row>
    <row r="34717">
      <c r="D34717" s="185"/>
      <c r="E34717" s="185" t="s">
        <v>470</v>
      </c>
      <c r="H34717" s="185"/>
    </row>
    <row r="34718">
      <c r="D34718" s="185"/>
      <c r="E34718" s="185" t="s">
        <v>470</v>
      </c>
      <c r="H34718" s="185"/>
    </row>
    <row r="34719">
      <c r="D34719" s="185"/>
      <c r="E34719" s="185" t="s">
        <v>470</v>
      </c>
      <c r="H34719" s="185"/>
    </row>
    <row r="34720">
      <c r="D34720" s="185"/>
      <c r="E34720" s="185" t="s">
        <v>470</v>
      </c>
      <c r="H34720" s="185"/>
    </row>
    <row r="34721">
      <c r="D34721" s="185"/>
      <c r="E34721" s="185" t="s">
        <v>470</v>
      </c>
      <c r="H34721" s="185"/>
    </row>
    <row r="34722">
      <c r="D34722" s="185"/>
      <c r="E34722" s="185" t="s">
        <v>470</v>
      </c>
      <c r="H34722" s="185"/>
    </row>
    <row r="34723">
      <c r="D34723" s="185"/>
      <c r="E34723" s="185" t="s">
        <v>470</v>
      </c>
      <c r="H34723" s="185"/>
    </row>
    <row r="34724">
      <c r="D34724" s="185"/>
      <c r="E34724" s="185" t="s">
        <v>470</v>
      </c>
      <c r="H34724" s="185"/>
    </row>
    <row r="34725">
      <c r="D34725" s="185"/>
      <c r="E34725" s="185" t="s">
        <v>470</v>
      </c>
      <c r="H34725" s="185"/>
    </row>
    <row r="34726">
      <c r="D34726" s="185"/>
      <c r="E34726" s="185" t="s">
        <v>470</v>
      </c>
      <c r="H34726" s="185"/>
    </row>
    <row r="34727">
      <c r="D34727" s="185"/>
      <c r="E34727" s="185" t="s">
        <v>470</v>
      </c>
      <c r="H34727" s="185"/>
    </row>
    <row r="34728">
      <c r="D34728" s="185"/>
      <c r="E34728" s="185" t="s">
        <v>470</v>
      </c>
      <c r="H34728" s="185"/>
    </row>
    <row r="34729">
      <c r="D34729" s="185"/>
      <c r="E34729" s="185" t="s">
        <v>470</v>
      </c>
      <c r="H34729" s="185"/>
    </row>
    <row r="34730">
      <c r="D34730" s="185"/>
      <c r="E34730" s="185" t="s">
        <v>470</v>
      </c>
      <c r="H34730" s="185"/>
    </row>
    <row r="34731">
      <c r="D34731" s="185"/>
      <c r="E34731" s="185" t="s">
        <v>470</v>
      </c>
      <c r="H34731" s="185"/>
    </row>
    <row r="34732">
      <c r="D34732" s="185"/>
      <c r="E34732" s="185" t="s">
        <v>470</v>
      </c>
      <c r="H34732" s="185"/>
    </row>
    <row r="34733">
      <c r="D34733" s="185"/>
      <c r="E34733" s="185" t="s">
        <v>470</v>
      </c>
      <c r="H34733" s="185"/>
    </row>
    <row r="34734">
      <c r="D34734" s="185"/>
      <c r="E34734" s="185" t="s">
        <v>470</v>
      </c>
      <c r="H34734" s="185"/>
    </row>
    <row r="34735">
      <c r="D34735" s="185"/>
      <c r="E34735" s="185" t="s">
        <v>470</v>
      </c>
      <c r="H34735" s="185"/>
    </row>
    <row r="34736">
      <c r="D34736" s="185"/>
      <c r="E34736" s="185" t="s">
        <v>470</v>
      </c>
      <c r="H34736" s="185"/>
    </row>
    <row r="34737">
      <c r="D34737" s="185"/>
      <c r="E34737" s="185" t="s">
        <v>470</v>
      </c>
      <c r="H34737" s="185"/>
    </row>
    <row r="34738">
      <c r="D34738" s="185"/>
      <c r="E34738" s="185" t="s">
        <v>470</v>
      </c>
      <c r="H34738" s="185"/>
    </row>
    <row r="34739">
      <c r="D34739" s="185"/>
      <c r="E34739" s="185" t="s">
        <v>470</v>
      </c>
      <c r="H34739" s="185"/>
    </row>
    <row r="34740">
      <c r="D34740" s="185"/>
      <c r="E34740" s="185" t="s">
        <v>470</v>
      </c>
      <c r="H34740" s="185"/>
    </row>
    <row r="34741">
      <c r="D34741" s="185"/>
      <c r="E34741" s="185" t="s">
        <v>470</v>
      </c>
      <c r="H34741" s="185"/>
    </row>
    <row r="34742">
      <c r="D34742" s="185"/>
      <c r="E34742" s="185" t="s">
        <v>470</v>
      </c>
      <c r="H34742" s="185"/>
    </row>
    <row r="34743">
      <c r="D34743" s="185"/>
      <c r="E34743" s="185" t="s">
        <v>470</v>
      </c>
      <c r="H34743" s="185"/>
    </row>
    <row r="34744">
      <c r="D34744" s="185"/>
      <c r="E34744" s="185" t="s">
        <v>470</v>
      </c>
      <c r="H34744" s="185"/>
    </row>
    <row r="34745">
      <c r="D34745" s="185"/>
      <c r="E34745" s="185" t="s">
        <v>470</v>
      </c>
      <c r="H34745" s="185"/>
    </row>
    <row r="34746">
      <c r="D34746" s="185"/>
      <c r="E34746" s="185" t="s">
        <v>470</v>
      </c>
      <c r="H34746" s="185"/>
    </row>
    <row r="34747">
      <c r="D34747" s="185"/>
      <c r="E34747" s="185" t="s">
        <v>470</v>
      </c>
      <c r="H34747" s="185"/>
    </row>
    <row r="34748">
      <c r="D34748" s="185"/>
      <c r="E34748" s="185" t="s">
        <v>470</v>
      </c>
      <c r="H34748" s="185"/>
    </row>
    <row r="34749">
      <c r="D34749" s="185"/>
      <c r="E34749" s="185" t="s">
        <v>470</v>
      </c>
      <c r="H34749" s="185"/>
    </row>
    <row r="34750">
      <c r="D34750" s="185"/>
      <c r="E34750" s="185" t="s">
        <v>470</v>
      </c>
      <c r="H34750" s="185"/>
    </row>
    <row r="34751">
      <c r="D34751" s="185"/>
      <c r="E34751" s="185" t="s">
        <v>470</v>
      </c>
      <c r="H34751" s="185"/>
    </row>
    <row r="34752">
      <c r="D34752" s="185"/>
      <c r="E34752" s="185" t="s">
        <v>470</v>
      </c>
      <c r="H34752" s="185"/>
    </row>
    <row r="34753">
      <c r="D34753" s="185"/>
      <c r="E34753" s="185" t="s">
        <v>470</v>
      </c>
      <c r="H34753" s="185"/>
    </row>
    <row r="34754">
      <c r="D34754" s="185"/>
      <c r="E34754" s="185" t="s">
        <v>470</v>
      </c>
      <c r="H34754" s="185"/>
    </row>
    <row r="34755">
      <c r="D34755" s="185"/>
      <c r="E34755" s="185" t="s">
        <v>470</v>
      </c>
      <c r="H34755" s="185"/>
    </row>
    <row r="34756">
      <c r="D34756" s="185"/>
      <c r="E34756" s="185" t="s">
        <v>470</v>
      </c>
      <c r="H34756" s="185"/>
    </row>
    <row r="34757">
      <c r="D34757" s="185"/>
      <c r="E34757" s="185" t="s">
        <v>470</v>
      </c>
      <c r="H34757" s="185"/>
    </row>
    <row r="34758">
      <c r="D34758" s="185"/>
      <c r="E34758" s="185" t="s">
        <v>470</v>
      </c>
      <c r="H34758" s="185"/>
    </row>
    <row r="34759">
      <c r="D34759" s="185"/>
      <c r="E34759" s="185" t="s">
        <v>470</v>
      </c>
      <c r="H34759" s="185"/>
    </row>
    <row r="34760">
      <c r="D34760" s="185"/>
      <c r="E34760" s="185" t="s">
        <v>470</v>
      </c>
      <c r="H34760" s="185"/>
    </row>
    <row r="34761">
      <c r="D34761" s="185"/>
      <c r="E34761" s="185" t="s">
        <v>470</v>
      </c>
      <c r="H34761" s="185"/>
    </row>
    <row r="34762">
      <c r="D34762" s="185"/>
      <c r="E34762" s="185" t="s">
        <v>470</v>
      </c>
      <c r="H34762" s="185"/>
    </row>
    <row r="34763">
      <c r="D34763" s="185"/>
      <c r="E34763" s="185" t="s">
        <v>470</v>
      </c>
      <c r="H34763" s="185"/>
    </row>
    <row r="34764">
      <c r="D34764" s="185"/>
      <c r="E34764" s="185" t="s">
        <v>470</v>
      </c>
      <c r="H34764" s="185"/>
    </row>
    <row r="34765">
      <c r="D34765" s="185"/>
      <c r="E34765" s="185" t="s">
        <v>470</v>
      </c>
      <c r="H34765" s="185"/>
    </row>
    <row r="34766">
      <c r="D34766" s="185"/>
      <c r="E34766" s="185" t="s">
        <v>470</v>
      </c>
      <c r="H34766" s="185"/>
    </row>
    <row r="34767">
      <c r="D34767" s="185"/>
      <c r="E34767" s="185" t="s">
        <v>470</v>
      </c>
      <c r="H34767" s="185"/>
    </row>
    <row r="34768">
      <c r="D34768" s="185"/>
      <c r="E34768" s="185" t="s">
        <v>470</v>
      </c>
      <c r="H34768" s="185"/>
    </row>
    <row r="34769">
      <c r="D34769" s="185"/>
      <c r="E34769" s="185" t="s">
        <v>470</v>
      </c>
      <c r="H34769" s="185"/>
    </row>
    <row r="34770">
      <c r="D34770" s="185"/>
      <c r="E34770" s="185" t="s">
        <v>470</v>
      </c>
      <c r="H34770" s="185"/>
    </row>
    <row r="34771">
      <c r="D34771" s="185"/>
      <c r="E34771" s="185" t="s">
        <v>470</v>
      </c>
      <c r="H34771" s="185"/>
    </row>
    <row r="34772">
      <c r="D34772" s="185"/>
      <c r="E34772" s="185" t="s">
        <v>470</v>
      </c>
      <c r="H34772" s="185"/>
    </row>
    <row r="34773">
      <c r="D34773" s="185"/>
      <c r="E34773" s="185" t="s">
        <v>470</v>
      </c>
      <c r="H34773" s="185"/>
    </row>
    <row r="34774">
      <c r="D34774" s="185"/>
      <c r="E34774" s="185" t="s">
        <v>470</v>
      </c>
      <c r="H34774" s="185"/>
    </row>
    <row r="34775">
      <c r="D34775" s="185"/>
      <c r="E34775" s="185" t="s">
        <v>470</v>
      </c>
      <c r="H34775" s="185"/>
    </row>
    <row r="34776">
      <c r="D34776" s="185"/>
      <c r="E34776" s="185" t="s">
        <v>470</v>
      </c>
      <c r="H34776" s="185"/>
    </row>
    <row r="34777">
      <c r="D34777" s="185"/>
      <c r="E34777" s="185" t="s">
        <v>470</v>
      </c>
      <c r="H34777" s="185"/>
    </row>
    <row r="34778">
      <c r="D34778" s="185"/>
      <c r="E34778" s="185" t="s">
        <v>470</v>
      </c>
      <c r="H34778" s="185"/>
    </row>
    <row r="34779">
      <c r="D34779" s="185"/>
      <c r="E34779" s="185" t="s">
        <v>470</v>
      </c>
      <c r="H34779" s="185"/>
    </row>
    <row r="34780">
      <c r="D34780" s="185"/>
      <c r="E34780" s="185" t="s">
        <v>470</v>
      </c>
      <c r="H34780" s="185"/>
    </row>
    <row r="34781">
      <c r="D34781" s="185"/>
      <c r="E34781" s="185" t="s">
        <v>470</v>
      </c>
      <c r="H34781" s="185"/>
    </row>
    <row r="34782">
      <c r="D34782" s="185"/>
      <c r="E34782" s="185" t="s">
        <v>470</v>
      </c>
      <c r="H34782" s="185"/>
    </row>
    <row r="34783">
      <c r="D34783" s="185"/>
      <c r="E34783" s="185" t="s">
        <v>470</v>
      </c>
      <c r="H34783" s="185"/>
    </row>
    <row r="34784">
      <c r="D34784" s="185"/>
      <c r="E34784" s="185" t="s">
        <v>470</v>
      </c>
      <c r="H34784" s="185"/>
    </row>
    <row r="34785">
      <c r="D34785" s="185"/>
      <c r="E34785" s="185" t="s">
        <v>470</v>
      </c>
      <c r="H34785" s="185"/>
    </row>
    <row r="34786">
      <c r="D34786" s="185"/>
      <c r="E34786" s="185" t="s">
        <v>470</v>
      </c>
      <c r="H34786" s="185"/>
    </row>
    <row r="34787">
      <c r="D34787" s="185"/>
      <c r="E34787" s="185" t="s">
        <v>470</v>
      </c>
      <c r="H34787" s="185"/>
    </row>
    <row r="34788">
      <c r="D34788" s="185"/>
      <c r="E34788" s="185" t="s">
        <v>470</v>
      </c>
      <c r="H34788" s="185"/>
    </row>
    <row r="34789">
      <c r="D34789" s="185"/>
      <c r="E34789" s="185" t="s">
        <v>470</v>
      </c>
      <c r="H34789" s="185"/>
    </row>
    <row r="34790">
      <c r="D34790" s="185"/>
      <c r="E34790" s="185" t="s">
        <v>470</v>
      </c>
      <c r="H34790" s="185"/>
    </row>
    <row r="34791">
      <c r="D34791" s="185"/>
      <c r="E34791" s="185" t="s">
        <v>470</v>
      </c>
      <c r="H34791" s="185"/>
    </row>
    <row r="34792">
      <c r="D34792" s="185"/>
      <c r="E34792" s="185" t="s">
        <v>470</v>
      </c>
      <c r="H34792" s="185"/>
    </row>
    <row r="34793">
      <c r="D34793" s="185"/>
      <c r="E34793" s="185" t="s">
        <v>470</v>
      </c>
      <c r="H34793" s="185"/>
    </row>
    <row r="34794">
      <c r="D34794" s="185"/>
      <c r="E34794" s="185" t="s">
        <v>470</v>
      </c>
      <c r="H34794" s="185"/>
    </row>
    <row r="34795">
      <c r="D34795" s="185"/>
      <c r="E34795" s="185" t="s">
        <v>470</v>
      </c>
      <c r="H34795" s="185"/>
    </row>
    <row r="34796">
      <c r="D34796" s="185"/>
      <c r="E34796" s="185" t="s">
        <v>470</v>
      </c>
      <c r="H34796" s="185"/>
    </row>
    <row r="34797">
      <c r="D34797" s="185"/>
      <c r="E34797" s="185" t="s">
        <v>470</v>
      </c>
      <c r="H34797" s="185"/>
    </row>
    <row r="34798">
      <c r="D34798" s="185"/>
      <c r="E34798" s="185" t="s">
        <v>470</v>
      </c>
      <c r="H34798" s="185"/>
    </row>
    <row r="34799">
      <c r="D34799" s="185"/>
      <c r="E34799" s="185" t="s">
        <v>470</v>
      </c>
      <c r="H34799" s="185"/>
    </row>
    <row r="34800">
      <c r="D34800" s="185"/>
      <c r="E34800" s="185" t="s">
        <v>470</v>
      </c>
      <c r="H34800" s="185"/>
    </row>
    <row r="34801">
      <c r="D34801" s="185"/>
      <c r="E34801" s="185" t="s">
        <v>470</v>
      </c>
      <c r="H34801" s="185"/>
    </row>
    <row r="34802">
      <c r="D34802" s="185"/>
      <c r="E34802" s="185" t="s">
        <v>470</v>
      </c>
      <c r="H34802" s="185"/>
    </row>
    <row r="34803">
      <c r="D34803" s="185"/>
      <c r="E34803" s="185" t="s">
        <v>470</v>
      </c>
      <c r="H34803" s="185"/>
    </row>
    <row r="34804">
      <c r="D34804" s="185"/>
      <c r="E34804" s="185" t="s">
        <v>470</v>
      </c>
      <c r="H34804" s="185"/>
    </row>
    <row r="34805">
      <c r="D34805" s="185"/>
      <c r="E34805" s="185" t="s">
        <v>470</v>
      </c>
      <c r="H34805" s="185"/>
    </row>
    <row r="34806">
      <c r="D34806" s="185"/>
      <c r="E34806" s="185" t="s">
        <v>470</v>
      </c>
      <c r="H34806" s="185"/>
    </row>
    <row r="34807">
      <c r="D34807" s="185"/>
      <c r="E34807" s="185" t="s">
        <v>470</v>
      </c>
      <c r="H34807" s="185"/>
    </row>
    <row r="34808">
      <c r="D34808" s="185"/>
      <c r="E34808" s="185" t="s">
        <v>470</v>
      </c>
      <c r="H34808" s="185"/>
    </row>
    <row r="34809">
      <c r="D34809" s="185"/>
      <c r="E34809" s="185" t="s">
        <v>470</v>
      </c>
      <c r="H34809" s="185"/>
    </row>
    <row r="34810">
      <c r="D34810" s="185"/>
      <c r="E34810" s="185" t="s">
        <v>470</v>
      </c>
      <c r="H34810" s="185"/>
    </row>
    <row r="34811">
      <c r="D34811" s="185"/>
      <c r="E34811" s="185" t="s">
        <v>470</v>
      </c>
      <c r="H34811" s="185"/>
    </row>
    <row r="34812">
      <c r="D34812" s="185"/>
      <c r="E34812" s="185" t="s">
        <v>470</v>
      </c>
      <c r="H34812" s="185"/>
    </row>
    <row r="34813">
      <c r="D34813" s="185"/>
      <c r="E34813" s="185" t="s">
        <v>470</v>
      </c>
      <c r="H34813" s="185"/>
    </row>
    <row r="34814">
      <c r="D34814" s="185"/>
      <c r="E34814" s="185" t="s">
        <v>470</v>
      </c>
      <c r="H34814" s="185"/>
    </row>
    <row r="34815">
      <c r="D34815" s="185"/>
      <c r="E34815" s="185" t="s">
        <v>470</v>
      </c>
      <c r="H34815" s="185"/>
    </row>
    <row r="34816">
      <c r="D34816" s="185"/>
      <c r="E34816" s="185" t="s">
        <v>470</v>
      </c>
      <c r="H34816" s="185"/>
    </row>
    <row r="34817">
      <c r="D34817" s="185"/>
      <c r="E34817" s="185" t="s">
        <v>470</v>
      </c>
      <c r="H34817" s="185"/>
    </row>
    <row r="34818">
      <c r="D34818" s="185"/>
      <c r="E34818" s="185" t="s">
        <v>470</v>
      </c>
      <c r="H34818" s="185"/>
    </row>
    <row r="34819">
      <c r="D34819" s="185"/>
      <c r="E34819" s="185" t="s">
        <v>470</v>
      </c>
      <c r="H34819" s="185"/>
    </row>
    <row r="34820">
      <c r="D34820" s="185"/>
      <c r="E34820" s="185" t="s">
        <v>470</v>
      </c>
      <c r="H34820" s="185"/>
    </row>
    <row r="34821">
      <c r="D34821" s="185"/>
      <c r="E34821" s="185" t="s">
        <v>470</v>
      </c>
      <c r="H34821" s="185"/>
    </row>
    <row r="34822">
      <c r="D34822" s="185"/>
      <c r="E34822" s="185" t="s">
        <v>470</v>
      </c>
      <c r="H34822" s="185"/>
    </row>
    <row r="34823">
      <c r="D34823" s="185"/>
      <c r="E34823" s="185" t="s">
        <v>470</v>
      </c>
      <c r="H34823" s="185"/>
    </row>
    <row r="34824">
      <c r="D34824" s="185"/>
      <c r="E34824" s="185" t="s">
        <v>470</v>
      </c>
      <c r="H34824" s="185"/>
    </row>
    <row r="34825">
      <c r="D34825" s="185"/>
      <c r="E34825" s="185" t="s">
        <v>470</v>
      </c>
      <c r="H34825" s="185"/>
    </row>
    <row r="34826">
      <c r="D34826" s="185"/>
      <c r="E34826" s="185" t="s">
        <v>470</v>
      </c>
      <c r="H34826" s="185"/>
    </row>
    <row r="34827">
      <c r="D34827" s="185"/>
      <c r="E34827" s="185" t="s">
        <v>470</v>
      </c>
      <c r="H34827" s="185"/>
    </row>
    <row r="34828">
      <c r="D34828" s="185"/>
      <c r="E34828" s="185" t="s">
        <v>470</v>
      </c>
      <c r="H34828" s="185"/>
    </row>
    <row r="34829">
      <c r="D34829" s="185"/>
      <c r="E34829" s="185" t="s">
        <v>470</v>
      </c>
      <c r="H34829" s="185"/>
    </row>
    <row r="34830">
      <c r="D34830" s="185"/>
      <c r="E34830" s="185" t="s">
        <v>470</v>
      </c>
      <c r="H34830" s="185"/>
    </row>
    <row r="34831">
      <c r="D34831" s="185"/>
      <c r="E34831" s="185" t="s">
        <v>470</v>
      </c>
      <c r="H34831" s="185"/>
    </row>
    <row r="34832">
      <c r="D34832" s="185"/>
      <c r="E34832" s="185" t="s">
        <v>470</v>
      </c>
      <c r="H34832" s="185"/>
    </row>
    <row r="34833">
      <c r="D34833" s="185"/>
      <c r="E34833" s="185" t="s">
        <v>470</v>
      </c>
      <c r="H34833" s="185"/>
    </row>
    <row r="34834">
      <c r="D34834" s="185"/>
      <c r="E34834" s="185" t="s">
        <v>470</v>
      </c>
      <c r="H34834" s="185"/>
    </row>
    <row r="34835">
      <c r="D34835" s="185"/>
      <c r="E34835" s="185" t="s">
        <v>470</v>
      </c>
      <c r="H34835" s="185"/>
    </row>
    <row r="34836">
      <c r="D34836" s="185"/>
      <c r="E34836" s="185" t="s">
        <v>470</v>
      </c>
      <c r="H34836" s="185"/>
    </row>
    <row r="34837">
      <c r="D34837" s="185"/>
      <c r="E34837" s="185" t="s">
        <v>470</v>
      </c>
      <c r="H34837" s="185"/>
    </row>
    <row r="34838">
      <c r="D34838" s="185"/>
      <c r="E34838" s="185" t="s">
        <v>470</v>
      </c>
      <c r="H34838" s="185"/>
    </row>
    <row r="34839">
      <c r="D34839" s="185"/>
      <c r="E34839" s="185" t="s">
        <v>470</v>
      </c>
      <c r="H34839" s="185"/>
    </row>
    <row r="34840">
      <c r="D34840" s="185"/>
      <c r="E34840" s="185" t="s">
        <v>470</v>
      </c>
      <c r="H34840" s="185"/>
    </row>
    <row r="34841">
      <c r="D34841" s="185"/>
      <c r="E34841" s="185" t="s">
        <v>470</v>
      </c>
      <c r="H34841" s="185"/>
    </row>
    <row r="34842">
      <c r="D34842" s="185"/>
      <c r="E34842" s="185" t="s">
        <v>470</v>
      </c>
      <c r="H34842" s="185"/>
    </row>
    <row r="34843">
      <c r="D34843" s="185"/>
      <c r="E34843" s="185" t="s">
        <v>470</v>
      </c>
      <c r="H34843" s="185"/>
    </row>
    <row r="34844">
      <c r="D34844" s="185"/>
      <c r="E34844" s="185" t="s">
        <v>470</v>
      </c>
      <c r="H34844" s="185"/>
    </row>
    <row r="34845">
      <c r="D34845" s="185"/>
      <c r="E34845" s="185" t="s">
        <v>470</v>
      </c>
      <c r="H34845" s="185"/>
    </row>
    <row r="34846">
      <c r="D34846" s="185"/>
      <c r="E34846" s="185" t="s">
        <v>470</v>
      </c>
      <c r="H34846" s="185"/>
    </row>
    <row r="34847">
      <c r="D34847" s="185"/>
      <c r="E34847" s="185" t="s">
        <v>470</v>
      </c>
      <c r="H34847" s="185"/>
    </row>
    <row r="34848">
      <c r="D34848" s="185"/>
      <c r="E34848" s="185" t="s">
        <v>470</v>
      </c>
      <c r="H34848" s="185"/>
    </row>
    <row r="34849">
      <c r="D34849" s="185"/>
      <c r="E34849" s="185" t="s">
        <v>470</v>
      </c>
      <c r="H34849" s="185"/>
    </row>
    <row r="34850">
      <c r="D34850" s="185"/>
      <c r="E34850" s="185" t="s">
        <v>470</v>
      </c>
      <c r="H34850" s="185"/>
    </row>
    <row r="34851">
      <c r="D34851" s="185"/>
      <c r="E34851" s="185" t="s">
        <v>470</v>
      </c>
      <c r="H34851" s="185"/>
    </row>
    <row r="34852">
      <c r="D34852" s="185"/>
      <c r="E34852" s="185" t="s">
        <v>470</v>
      </c>
      <c r="H34852" s="185"/>
    </row>
    <row r="34853">
      <c r="D34853" s="185"/>
      <c r="E34853" s="185" t="s">
        <v>470</v>
      </c>
      <c r="H34853" s="185"/>
    </row>
    <row r="34854">
      <c r="D34854" s="185"/>
      <c r="E34854" s="185" t="s">
        <v>470</v>
      </c>
      <c r="H34854" s="185"/>
    </row>
    <row r="34855">
      <c r="D34855" s="185"/>
      <c r="E34855" s="185" t="s">
        <v>470</v>
      </c>
      <c r="H34855" s="185"/>
    </row>
    <row r="34856">
      <c r="D34856" s="185"/>
      <c r="E34856" s="185" t="s">
        <v>470</v>
      </c>
      <c r="H34856" s="185"/>
    </row>
    <row r="34857">
      <c r="D34857" s="185"/>
      <c r="E34857" s="185" t="s">
        <v>470</v>
      </c>
      <c r="H34857" s="185"/>
    </row>
    <row r="34858">
      <c r="D34858" s="185"/>
      <c r="E34858" s="185" t="s">
        <v>470</v>
      </c>
      <c r="H34858" s="185"/>
    </row>
    <row r="34859">
      <c r="D34859" s="185"/>
      <c r="E34859" s="185" t="s">
        <v>470</v>
      </c>
      <c r="H34859" s="185"/>
    </row>
    <row r="34860">
      <c r="D34860" s="185"/>
      <c r="E34860" s="185" t="s">
        <v>470</v>
      </c>
      <c r="H34860" s="185"/>
    </row>
    <row r="34861">
      <c r="D34861" s="185"/>
      <c r="E34861" s="185" t="s">
        <v>470</v>
      </c>
      <c r="H34861" s="185"/>
    </row>
    <row r="34862">
      <c r="D34862" s="185"/>
      <c r="E34862" s="185" t="s">
        <v>470</v>
      </c>
      <c r="H34862" s="185"/>
    </row>
    <row r="34863">
      <c r="D34863" s="185"/>
      <c r="E34863" s="185" t="s">
        <v>470</v>
      </c>
      <c r="H34863" s="185"/>
    </row>
    <row r="34864">
      <c r="D34864" s="185"/>
      <c r="E34864" s="185" t="s">
        <v>470</v>
      </c>
      <c r="H34864" s="185"/>
    </row>
    <row r="34865">
      <c r="D34865" s="185"/>
      <c r="E34865" s="185" t="s">
        <v>470</v>
      </c>
      <c r="H34865" s="185"/>
    </row>
    <row r="34866">
      <c r="D34866" s="185"/>
      <c r="E34866" s="185" t="s">
        <v>470</v>
      </c>
      <c r="H34866" s="185"/>
    </row>
    <row r="34867">
      <c r="D34867" s="185"/>
      <c r="E34867" s="185" t="s">
        <v>470</v>
      </c>
      <c r="H34867" s="185"/>
    </row>
    <row r="34868">
      <c r="D34868" s="185"/>
      <c r="E34868" s="185" t="s">
        <v>470</v>
      </c>
      <c r="H34868" s="185"/>
    </row>
    <row r="34869">
      <c r="D34869" s="185"/>
      <c r="E34869" s="185" t="s">
        <v>470</v>
      </c>
      <c r="H34869" s="185"/>
    </row>
    <row r="34870">
      <c r="D34870" s="185"/>
      <c r="E34870" s="185" t="s">
        <v>470</v>
      </c>
      <c r="H34870" s="185"/>
    </row>
    <row r="34871">
      <c r="D34871" s="185"/>
      <c r="E34871" s="185" t="s">
        <v>470</v>
      </c>
      <c r="H34871" s="185"/>
    </row>
    <row r="34872">
      <c r="D34872" s="185"/>
      <c r="E34872" s="185" t="s">
        <v>470</v>
      </c>
      <c r="H34872" s="185"/>
    </row>
    <row r="34873">
      <c r="D34873" s="185"/>
      <c r="E34873" s="185" t="s">
        <v>470</v>
      </c>
      <c r="H34873" s="185"/>
    </row>
    <row r="34874">
      <c r="D34874" s="185"/>
      <c r="E34874" s="185" t="s">
        <v>470</v>
      </c>
      <c r="H34874" s="185"/>
    </row>
    <row r="34875">
      <c r="D34875" s="185"/>
      <c r="E34875" s="185" t="s">
        <v>470</v>
      </c>
      <c r="H34875" s="185"/>
    </row>
    <row r="34876">
      <c r="D34876" s="185"/>
      <c r="E34876" s="185" t="s">
        <v>470</v>
      </c>
      <c r="H34876" s="185"/>
    </row>
    <row r="34877">
      <c r="D34877" s="185"/>
      <c r="E34877" s="185" t="s">
        <v>470</v>
      </c>
      <c r="H34877" s="185"/>
    </row>
    <row r="34878">
      <c r="D34878" s="185"/>
      <c r="E34878" s="185" t="s">
        <v>470</v>
      </c>
      <c r="H34878" s="185"/>
    </row>
    <row r="34879">
      <c r="D34879" s="185"/>
      <c r="E34879" s="185" t="s">
        <v>470</v>
      </c>
      <c r="H34879" s="185"/>
    </row>
    <row r="34880">
      <c r="D34880" s="185"/>
      <c r="E34880" s="185" t="s">
        <v>470</v>
      </c>
      <c r="H34880" s="185"/>
    </row>
    <row r="34881">
      <c r="D34881" s="185"/>
      <c r="E34881" s="185" t="s">
        <v>470</v>
      </c>
      <c r="H34881" s="185"/>
    </row>
    <row r="34882">
      <c r="D34882" s="185"/>
      <c r="E34882" s="185" t="s">
        <v>470</v>
      </c>
      <c r="H34882" s="185"/>
    </row>
    <row r="34883">
      <c r="D34883" s="185"/>
      <c r="E34883" s="185" t="s">
        <v>470</v>
      </c>
      <c r="H34883" s="185"/>
    </row>
    <row r="34884">
      <c r="D34884" s="185"/>
      <c r="E34884" s="185" t="s">
        <v>470</v>
      </c>
      <c r="H34884" s="185"/>
    </row>
    <row r="34885">
      <c r="D34885" s="185"/>
      <c r="E34885" s="185" t="s">
        <v>470</v>
      </c>
      <c r="H34885" s="185"/>
    </row>
    <row r="34886">
      <c r="D34886" s="185"/>
      <c r="E34886" s="185" t="s">
        <v>470</v>
      </c>
      <c r="H34886" s="185"/>
    </row>
    <row r="34887">
      <c r="D34887" s="185"/>
      <c r="E34887" s="185" t="s">
        <v>470</v>
      </c>
      <c r="H34887" s="185"/>
    </row>
    <row r="34888">
      <c r="D34888" s="185"/>
      <c r="E34888" s="185" t="s">
        <v>470</v>
      </c>
      <c r="H34888" s="185"/>
    </row>
    <row r="34889">
      <c r="D34889" s="185"/>
      <c r="E34889" s="185" t="s">
        <v>470</v>
      </c>
      <c r="H34889" s="185"/>
    </row>
    <row r="34890">
      <c r="D34890" s="185"/>
      <c r="E34890" s="185" t="s">
        <v>470</v>
      </c>
      <c r="H34890" s="185"/>
    </row>
    <row r="34891">
      <c r="D34891" s="185"/>
      <c r="E34891" s="185" t="s">
        <v>470</v>
      </c>
      <c r="H34891" s="185"/>
    </row>
    <row r="34892">
      <c r="D34892" s="185"/>
      <c r="E34892" s="185" t="s">
        <v>470</v>
      </c>
      <c r="H34892" s="185"/>
    </row>
    <row r="34893">
      <c r="D34893" s="185"/>
      <c r="E34893" s="185" t="s">
        <v>470</v>
      </c>
      <c r="H34893" s="185"/>
    </row>
    <row r="34894">
      <c r="D34894" s="185"/>
      <c r="E34894" s="185" t="s">
        <v>470</v>
      </c>
      <c r="H34894" s="185"/>
    </row>
    <row r="34895">
      <c r="D34895" s="185"/>
      <c r="E34895" s="185" t="s">
        <v>470</v>
      </c>
      <c r="H34895" s="185"/>
    </row>
    <row r="34896">
      <c r="D34896" s="185"/>
      <c r="E34896" s="185" t="s">
        <v>470</v>
      </c>
      <c r="H34896" s="185"/>
    </row>
    <row r="34897">
      <c r="D34897" s="185"/>
      <c r="E34897" s="185" t="s">
        <v>470</v>
      </c>
      <c r="H34897" s="185"/>
    </row>
    <row r="34898">
      <c r="D34898" s="185"/>
      <c r="E34898" s="185" t="s">
        <v>470</v>
      </c>
      <c r="H34898" s="185"/>
    </row>
    <row r="34899">
      <c r="D34899" s="185"/>
      <c r="E34899" s="185" t="s">
        <v>470</v>
      </c>
      <c r="H34899" s="185"/>
    </row>
    <row r="34900">
      <c r="D34900" s="185"/>
      <c r="E34900" s="185" t="s">
        <v>470</v>
      </c>
      <c r="H34900" s="185"/>
    </row>
    <row r="34901">
      <c r="D34901" s="185"/>
      <c r="E34901" s="185" t="s">
        <v>470</v>
      </c>
      <c r="H34901" s="185"/>
    </row>
    <row r="34902">
      <c r="D34902" s="185"/>
      <c r="E34902" s="185" t="s">
        <v>470</v>
      </c>
      <c r="H34902" s="185"/>
    </row>
    <row r="34903">
      <c r="D34903" s="185"/>
      <c r="E34903" s="185" t="s">
        <v>470</v>
      </c>
      <c r="H34903" s="185"/>
    </row>
    <row r="34904">
      <c r="D34904" s="185"/>
      <c r="E34904" s="185" t="s">
        <v>470</v>
      </c>
      <c r="H34904" s="185"/>
    </row>
    <row r="34905">
      <c r="D34905" s="185"/>
      <c r="E34905" s="185" t="s">
        <v>470</v>
      </c>
      <c r="H34905" s="185"/>
    </row>
    <row r="34906">
      <c r="D34906" s="185"/>
      <c r="E34906" s="185" t="s">
        <v>470</v>
      </c>
      <c r="H34906" s="185"/>
    </row>
    <row r="34907">
      <c r="D34907" s="185"/>
      <c r="E34907" s="185" t="s">
        <v>470</v>
      </c>
      <c r="H34907" s="185"/>
    </row>
    <row r="34908">
      <c r="D34908" s="185"/>
      <c r="E34908" s="185" t="s">
        <v>470</v>
      </c>
      <c r="H34908" s="185"/>
    </row>
    <row r="34909">
      <c r="D34909" s="185"/>
      <c r="E34909" s="185" t="s">
        <v>470</v>
      </c>
      <c r="H34909" s="185"/>
    </row>
    <row r="34910">
      <c r="D34910" s="185"/>
      <c r="E34910" s="185" t="s">
        <v>470</v>
      </c>
      <c r="H34910" s="185"/>
    </row>
    <row r="34911">
      <c r="D34911" s="185"/>
      <c r="E34911" s="185" t="s">
        <v>470</v>
      </c>
      <c r="H34911" s="185"/>
    </row>
    <row r="34912">
      <c r="D34912" s="185"/>
      <c r="E34912" s="185" t="s">
        <v>470</v>
      </c>
      <c r="H34912" s="185"/>
    </row>
    <row r="34913">
      <c r="D34913" s="185"/>
      <c r="E34913" s="185" t="s">
        <v>470</v>
      </c>
      <c r="H34913" s="185"/>
    </row>
    <row r="34914">
      <c r="D34914" s="185"/>
      <c r="E34914" s="185" t="s">
        <v>470</v>
      </c>
      <c r="H34914" s="185"/>
    </row>
    <row r="34915">
      <c r="D34915" s="185"/>
      <c r="E34915" s="185" t="s">
        <v>470</v>
      </c>
      <c r="H34915" s="185"/>
    </row>
    <row r="34916">
      <c r="D34916" s="185"/>
      <c r="E34916" s="185" t="s">
        <v>470</v>
      </c>
      <c r="H34916" s="185"/>
    </row>
    <row r="34917">
      <c r="D34917" s="185"/>
      <c r="E34917" s="185" t="s">
        <v>470</v>
      </c>
      <c r="H34917" s="185"/>
    </row>
    <row r="34918">
      <c r="D34918" s="185"/>
      <c r="E34918" s="185" t="s">
        <v>470</v>
      </c>
      <c r="H34918" s="185"/>
    </row>
    <row r="34919">
      <c r="D34919" s="185"/>
      <c r="E34919" s="185" t="s">
        <v>470</v>
      </c>
      <c r="H34919" s="185"/>
    </row>
    <row r="34920">
      <c r="D34920" s="185"/>
      <c r="E34920" s="185" t="s">
        <v>470</v>
      </c>
      <c r="H34920" s="185"/>
    </row>
    <row r="34921">
      <c r="D34921" s="185"/>
      <c r="E34921" s="185" t="s">
        <v>470</v>
      </c>
      <c r="H34921" s="185"/>
    </row>
    <row r="34922">
      <c r="D34922" s="185"/>
      <c r="E34922" s="185" t="s">
        <v>470</v>
      </c>
      <c r="H34922" s="185"/>
    </row>
    <row r="34923">
      <c r="D34923" s="185"/>
      <c r="E34923" s="185" t="s">
        <v>470</v>
      </c>
      <c r="H34923" s="185"/>
    </row>
    <row r="34924">
      <c r="D34924" s="185"/>
      <c r="E34924" s="185" t="s">
        <v>470</v>
      </c>
      <c r="H34924" s="185"/>
    </row>
    <row r="34925">
      <c r="D34925" s="185"/>
      <c r="E34925" s="185" t="s">
        <v>470</v>
      </c>
      <c r="H34925" s="185"/>
    </row>
    <row r="34926">
      <c r="D34926" s="185"/>
      <c r="E34926" s="185" t="s">
        <v>470</v>
      </c>
      <c r="H34926" s="185"/>
    </row>
    <row r="34927">
      <c r="D34927" s="185"/>
      <c r="E34927" s="185" t="s">
        <v>470</v>
      </c>
      <c r="H34927" s="185"/>
    </row>
    <row r="34928">
      <c r="D34928" s="185"/>
      <c r="E34928" s="185" t="s">
        <v>470</v>
      </c>
      <c r="H34928" s="185"/>
    </row>
    <row r="34929">
      <c r="D34929" s="185"/>
      <c r="E34929" s="185" t="s">
        <v>470</v>
      </c>
      <c r="H34929" s="185"/>
    </row>
    <row r="34930">
      <c r="D34930" s="185"/>
      <c r="E34930" s="185" t="s">
        <v>470</v>
      </c>
      <c r="H34930" s="185"/>
    </row>
    <row r="34931">
      <c r="D34931" s="185"/>
      <c r="E34931" s="185" t="s">
        <v>470</v>
      </c>
      <c r="H34931" s="185"/>
    </row>
    <row r="34932">
      <c r="D34932" s="185"/>
      <c r="E34932" s="185" t="s">
        <v>470</v>
      </c>
      <c r="H34932" s="185"/>
    </row>
    <row r="34933">
      <c r="D34933" s="185"/>
      <c r="E34933" s="185" t="s">
        <v>470</v>
      </c>
      <c r="H34933" s="185"/>
    </row>
    <row r="34934">
      <c r="D34934" s="185"/>
      <c r="E34934" s="185" t="s">
        <v>470</v>
      </c>
      <c r="H34934" s="185"/>
    </row>
    <row r="34935">
      <c r="D34935" s="185"/>
      <c r="E34935" s="185" t="s">
        <v>470</v>
      </c>
      <c r="H34935" s="185"/>
    </row>
    <row r="34936">
      <c r="D34936" s="185"/>
      <c r="E34936" s="185" t="s">
        <v>470</v>
      </c>
      <c r="H34936" s="185"/>
    </row>
    <row r="34937">
      <c r="D34937" s="185"/>
      <c r="E34937" s="185" t="s">
        <v>470</v>
      </c>
      <c r="H34937" s="185"/>
    </row>
    <row r="34938">
      <c r="D34938" s="185"/>
      <c r="E34938" s="185" t="s">
        <v>470</v>
      </c>
      <c r="H34938" s="185"/>
    </row>
    <row r="34939">
      <c r="D34939" s="185"/>
      <c r="E34939" s="185" t="s">
        <v>470</v>
      </c>
      <c r="H34939" s="185"/>
    </row>
    <row r="34940">
      <c r="D34940" s="185"/>
      <c r="E34940" s="185" t="s">
        <v>470</v>
      </c>
      <c r="H34940" s="185"/>
    </row>
    <row r="34941">
      <c r="D34941" s="185"/>
      <c r="E34941" s="185" t="s">
        <v>470</v>
      </c>
      <c r="H34941" s="185"/>
    </row>
    <row r="34942">
      <c r="D34942" s="185"/>
      <c r="E34942" s="185" t="s">
        <v>470</v>
      </c>
      <c r="H34942" s="185"/>
    </row>
    <row r="34943">
      <c r="D34943" s="185"/>
      <c r="E34943" s="185" t="s">
        <v>470</v>
      </c>
      <c r="H34943" s="185"/>
    </row>
    <row r="34944">
      <c r="D34944" s="185"/>
      <c r="E34944" s="185" t="s">
        <v>470</v>
      </c>
      <c r="H34944" s="185"/>
    </row>
    <row r="34945">
      <c r="D34945" s="185"/>
      <c r="E34945" s="185" t="s">
        <v>470</v>
      </c>
      <c r="H34945" s="185"/>
    </row>
    <row r="34946">
      <c r="D34946" s="185"/>
      <c r="E34946" s="185" t="s">
        <v>470</v>
      </c>
      <c r="H34946" s="185"/>
    </row>
    <row r="34947">
      <c r="D34947" s="185"/>
      <c r="E34947" s="185" t="s">
        <v>470</v>
      </c>
      <c r="H34947" s="185"/>
    </row>
    <row r="34948">
      <c r="D34948" s="185"/>
      <c r="E34948" s="185" t="s">
        <v>470</v>
      </c>
      <c r="H34948" s="185"/>
    </row>
    <row r="34949">
      <c r="D34949" s="185"/>
      <c r="E34949" s="185" t="s">
        <v>470</v>
      </c>
      <c r="H34949" s="185"/>
    </row>
    <row r="34950">
      <c r="D34950" s="185"/>
      <c r="E34950" s="185" t="s">
        <v>470</v>
      </c>
      <c r="H34950" s="185"/>
    </row>
    <row r="34951">
      <c r="D34951" s="185"/>
      <c r="E34951" s="185" t="s">
        <v>470</v>
      </c>
      <c r="H34951" s="185"/>
    </row>
    <row r="34952">
      <c r="D34952" s="185"/>
      <c r="E34952" s="185" t="s">
        <v>470</v>
      </c>
      <c r="H34952" s="185"/>
    </row>
    <row r="34953">
      <c r="D34953" s="185"/>
      <c r="E34953" s="185" t="s">
        <v>470</v>
      </c>
      <c r="H34953" s="185"/>
    </row>
    <row r="34954">
      <c r="D34954" s="185"/>
      <c r="E34954" s="185" t="s">
        <v>470</v>
      </c>
      <c r="H34954" s="185"/>
    </row>
    <row r="34955">
      <c r="D34955" s="185"/>
      <c r="E34955" s="185" t="s">
        <v>470</v>
      </c>
      <c r="H34955" s="185"/>
    </row>
    <row r="34956">
      <c r="D34956" s="185"/>
      <c r="E34956" s="185" t="s">
        <v>470</v>
      </c>
      <c r="H34956" s="185"/>
    </row>
    <row r="34957">
      <c r="D34957" s="185"/>
      <c r="E34957" s="185" t="s">
        <v>470</v>
      </c>
      <c r="H34957" s="185"/>
    </row>
    <row r="34958">
      <c r="D34958" s="185"/>
      <c r="E34958" s="185" t="s">
        <v>470</v>
      </c>
      <c r="H34958" s="185"/>
    </row>
    <row r="34959">
      <c r="D34959" s="185"/>
      <c r="E34959" s="185" t="s">
        <v>470</v>
      </c>
      <c r="H34959" s="185"/>
    </row>
    <row r="34960">
      <c r="D34960" s="185"/>
      <c r="E34960" s="185" t="s">
        <v>470</v>
      </c>
      <c r="H34960" s="185"/>
    </row>
    <row r="34961">
      <c r="D34961" s="185"/>
      <c r="E34961" s="185" t="s">
        <v>470</v>
      </c>
      <c r="H34961" s="185"/>
    </row>
    <row r="34962">
      <c r="D34962" s="185"/>
      <c r="E34962" s="185" t="s">
        <v>470</v>
      </c>
      <c r="H34962" s="185"/>
    </row>
    <row r="34963">
      <c r="D34963" s="185"/>
      <c r="E34963" s="185" t="s">
        <v>470</v>
      </c>
      <c r="H34963" s="185"/>
    </row>
    <row r="34964">
      <c r="D34964" s="185"/>
      <c r="E34964" s="185" t="s">
        <v>470</v>
      </c>
      <c r="H34964" s="185"/>
    </row>
    <row r="34965">
      <c r="D34965" s="185"/>
      <c r="E34965" s="185" t="s">
        <v>470</v>
      </c>
      <c r="H34965" s="185"/>
    </row>
    <row r="34966">
      <c r="D34966" s="185"/>
      <c r="E34966" s="185" t="s">
        <v>470</v>
      </c>
      <c r="H34966" s="185"/>
    </row>
    <row r="34967">
      <c r="D34967" s="185"/>
      <c r="E34967" s="185" t="s">
        <v>470</v>
      </c>
      <c r="H34967" s="185"/>
    </row>
    <row r="34968">
      <c r="D34968" s="185"/>
      <c r="E34968" s="185" t="s">
        <v>470</v>
      </c>
      <c r="H34968" s="185"/>
    </row>
    <row r="34969">
      <c r="D34969" s="185"/>
      <c r="E34969" s="185" t="s">
        <v>470</v>
      </c>
      <c r="H34969" s="185"/>
    </row>
    <row r="34970">
      <c r="D34970" s="185"/>
      <c r="E34970" s="185" t="s">
        <v>470</v>
      </c>
      <c r="H34970" s="185"/>
    </row>
    <row r="34971">
      <c r="D34971" s="185"/>
      <c r="E34971" s="185" t="s">
        <v>470</v>
      </c>
      <c r="H34971" s="185"/>
    </row>
    <row r="34972">
      <c r="D34972" s="185"/>
      <c r="E34972" s="185" t="s">
        <v>470</v>
      </c>
      <c r="H34972" s="185"/>
    </row>
    <row r="34973">
      <c r="D34973" s="185"/>
      <c r="E34973" s="185" t="s">
        <v>470</v>
      </c>
      <c r="H34973" s="185"/>
    </row>
    <row r="34974">
      <c r="D34974" s="185"/>
      <c r="E34974" s="185" t="s">
        <v>470</v>
      </c>
      <c r="H34974" s="185"/>
    </row>
    <row r="34975">
      <c r="D34975" s="185"/>
      <c r="E34975" s="185" t="s">
        <v>470</v>
      </c>
      <c r="H34975" s="185"/>
    </row>
    <row r="34976">
      <c r="D34976" s="185"/>
      <c r="E34976" s="185" t="s">
        <v>470</v>
      </c>
      <c r="H34976" s="185"/>
    </row>
    <row r="34977">
      <c r="D34977" s="185"/>
      <c r="E34977" s="185" t="s">
        <v>470</v>
      </c>
      <c r="H34977" s="185"/>
    </row>
    <row r="34978">
      <c r="D34978" s="185"/>
      <c r="E34978" s="185" t="s">
        <v>470</v>
      </c>
      <c r="H34978" s="185"/>
    </row>
    <row r="34979">
      <c r="D34979" s="185"/>
      <c r="E34979" s="185" t="s">
        <v>470</v>
      </c>
      <c r="H34979" s="185"/>
    </row>
    <row r="34980">
      <c r="D34980" s="185"/>
      <c r="E34980" s="185" t="s">
        <v>470</v>
      </c>
      <c r="H34980" s="185"/>
    </row>
    <row r="34981">
      <c r="D34981" s="185"/>
      <c r="E34981" s="185" t="s">
        <v>470</v>
      </c>
      <c r="H34981" s="185"/>
    </row>
    <row r="34982">
      <c r="D34982" s="185"/>
      <c r="E34982" s="185" t="s">
        <v>470</v>
      </c>
      <c r="H34982" s="185"/>
    </row>
    <row r="34983">
      <c r="D34983" s="185"/>
      <c r="E34983" s="185" t="s">
        <v>470</v>
      </c>
      <c r="H34983" s="185"/>
    </row>
    <row r="34984">
      <c r="D34984" s="185"/>
      <c r="E34984" s="185" t="s">
        <v>470</v>
      </c>
      <c r="H34984" s="185"/>
    </row>
    <row r="34985">
      <c r="D34985" s="185"/>
      <c r="E34985" s="185" t="s">
        <v>470</v>
      </c>
      <c r="H34985" s="185"/>
    </row>
    <row r="34986">
      <c r="D34986" s="185"/>
      <c r="E34986" s="185" t="s">
        <v>470</v>
      </c>
      <c r="H34986" s="185"/>
    </row>
    <row r="34987">
      <c r="D34987" s="185"/>
      <c r="E34987" s="185" t="s">
        <v>470</v>
      </c>
      <c r="H34987" s="185"/>
    </row>
    <row r="34988">
      <c r="D34988" s="185"/>
      <c r="E34988" s="185" t="s">
        <v>470</v>
      </c>
      <c r="H34988" s="185"/>
    </row>
    <row r="34989">
      <c r="D34989" s="185"/>
      <c r="E34989" s="185" t="s">
        <v>470</v>
      </c>
      <c r="H34989" s="185"/>
    </row>
    <row r="34990">
      <c r="D34990" s="185"/>
      <c r="E34990" s="185" t="s">
        <v>470</v>
      </c>
      <c r="H34990" s="185"/>
    </row>
    <row r="34991">
      <c r="D34991" s="185"/>
      <c r="E34991" s="185" t="s">
        <v>470</v>
      </c>
      <c r="H34991" s="185"/>
    </row>
    <row r="34992">
      <c r="D34992" s="185"/>
      <c r="E34992" s="185" t="s">
        <v>470</v>
      </c>
      <c r="H34992" s="185"/>
    </row>
    <row r="34993">
      <c r="D34993" s="185"/>
      <c r="E34993" s="185" t="s">
        <v>470</v>
      </c>
      <c r="H34993" s="185"/>
    </row>
    <row r="34994">
      <c r="D34994" s="185"/>
      <c r="E34994" s="185" t="s">
        <v>470</v>
      </c>
      <c r="H34994" s="185"/>
    </row>
    <row r="34995">
      <c r="D34995" s="185"/>
      <c r="E34995" s="185" t="s">
        <v>470</v>
      </c>
      <c r="H34995" s="185"/>
    </row>
    <row r="34996">
      <c r="D34996" s="185"/>
      <c r="E34996" s="185" t="s">
        <v>470</v>
      </c>
      <c r="H34996" s="185"/>
    </row>
    <row r="34997">
      <c r="D34997" s="185"/>
      <c r="E34997" s="185" t="s">
        <v>470</v>
      </c>
      <c r="H34997" s="185"/>
    </row>
    <row r="34998">
      <c r="D34998" s="185"/>
      <c r="E34998" s="185" t="s">
        <v>470</v>
      </c>
      <c r="H34998" s="185"/>
    </row>
    <row r="34999">
      <c r="D34999" s="185"/>
      <c r="E34999" s="185" t="s">
        <v>470</v>
      </c>
      <c r="H34999" s="185"/>
    </row>
    <row r="35000">
      <c r="D35000" s="185"/>
      <c r="E35000" s="185" t="s">
        <v>470</v>
      </c>
      <c r="H35000" s="185"/>
    </row>
    <row r="35001">
      <c r="D35001" s="185"/>
      <c r="E35001" s="185" t="s">
        <v>470</v>
      </c>
      <c r="H35001" s="185"/>
    </row>
    <row r="35002">
      <c r="D35002" s="185"/>
      <c r="E35002" s="185" t="s">
        <v>470</v>
      </c>
      <c r="H35002" s="185"/>
    </row>
    <row r="35003">
      <c r="D35003" s="185"/>
      <c r="E35003" s="185" t="s">
        <v>470</v>
      </c>
      <c r="H35003" s="185"/>
    </row>
    <row r="35004">
      <c r="D35004" s="185"/>
      <c r="E35004" s="185" t="s">
        <v>470</v>
      </c>
      <c r="H35004" s="185"/>
    </row>
    <row r="35005">
      <c r="D35005" s="185"/>
      <c r="E35005" s="185" t="s">
        <v>470</v>
      </c>
      <c r="H35005" s="185"/>
    </row>
    <row r="35006">
      <c r="D35006" s="185"/>
      <c r="E35006" s="185" t="s">
        <v>470</v>
      </c>
      <c r="H35006" s="185"/>
    </row>
    <row r="35007">
      <c r="D35007" s="185"/>
      <c r="E35007" s="185" t="s">
        <v>470</v>
      </c>
      <c r="H35007" s="185"/>
    </row>
    <row r="35008">
      <c r="D35008" s="185"/>
      <c r="E35008" s="185" t="s">
        <v>470</v>
      </c>
      <c r="H35008" s="185"/>
    </row>
    <row r="35009">
      <c r="D35009" s="185"/>
      <c r="E35009" s="185" t="s">
        <v>470</v>
      </c>
      <c r="H35009" s="185"/>
    </row>
    <row r="35010">
      <c r="D35010" s="185"/>
      <c r="E35010" s="185" t="s">
        <v>470</v>
      </c>
      <c r="H35010" s="185"/>
    </row>
    <row r="35011">
      <c r="D35011" s="185"/>
      <c r="E35011" s="185" t="s">
        <v>470</v>
      </c>
      <c r="H35011" s="185"/>
    </row>
    <row r="35012">
      <c r="D35012" s="185"/>
      <c r="E35012" s="185" t="s">
        <v>470</v>
      </c>
      <c r="H35012" s="185"/>
    </row>
    <row r="35013">
      <c r="D35013" s="185"/>
      <c r="E35013" s="185" t="s">
        <v>470</v>
      </c>
      <c r="H35013" s="185"/>
    </row>
    <row r="35014">
      <c r="D35014" s="185"/>
      <c r="E35014" s="185" t="s">
        <v>470</v>
      </c>
      <c r="H35014" s="185"/>
    </row>
    <row r="35015">
      <c r="D35015" s="185"/>
      <c r="E35015" s="185" t="s">
        <v>470</v>
      </c>
      <c r="H35015" s="185"/>
    </row>
    <row r="35016">
      <c r="D35016" s="185"/>
      <c r="E35016" s="185" t="s">
        <v>470</v>
      </c>
      <c r="H35016" s="185"/>
    </row>
    <row r="35017">
      <c r="D35017" s="185"/>
      <c r="E35017" s="185" t="s">
        <v>470</v>
      </c>
      <c r="H35017" s="185"/>
    </row>
    <row r="35018">
      <c r="D35018" s="185"/>
      <c r="E35018" s="185" t="s">
        <v>470</v>
      </c>
      <c r="H35018" s="185"/>
    </row>
    <row r="35019">
      <c r="D35019" s="185"/>
      <c r="E35019" s="185" t="s">
        <v>470</v>
      </c>
      <c r="H35019" s="185"/>
    </row>
    <row r="35020">
      <c r="D35020" s="185"/>
      <c r="E35020" s="185" t="s">
        <v>470</v>
      </c>
      <c r="H35020" s="185"/>
    </row>
    <row r="35021">
      <c r="D35021" s="185"/>
      <c r="E35021" s="185" t="s">
        <v>470</v>
      </c>
      <c r="H35021" s="185"/>
    </row>
    <row r="35022">
      <c r="D35022" s="185"/>
      <c r="E35022" s="185" t="s">
        <v>470</v>
      </c>
      <c r="H35022" s="185"/>
    </row>
    <row r="35023">
      <c r="D35023" s="185"/>
      <c r="E35023" s="185" t="s">
        <v>470</v>
      </c>
      <c r="H35023" s="185"/>
    </row>
    <row r="35024">
      <c r="D35024" s="185"/>
      <c r="E35024" s="185" t="s">
        <v>470</v>
      </c>
      <c r="H35024" s="185"/>
    </row>
    <row r="35025">
      <c r="D35025" s="185"/>
      <c r="E35025" s="185" t="s">
        <v>470</v>
      </c>
      <c r="H35025" s="185"/>
    </row>
    <row r="35026">
      <c r="D35026" s="185"/>
      <c r="E35026" s="185" t="s">
        <v>470</v>
      </c>
      <c r="H35026" s="185"/>
    </row>
    <row r="35027">
      <c r="D35027" s="185"/>
      <c r="E35027" s="185" t="s">
        <v>470</v>
      </c>
      <c r="H35027" s="185"/>
    </row>
    <row r="35028">
      <c r="D35028" s="185"/>
      <c r="E35028" s="185" t="s">
        <v>470</v>
      </c>
      <c r="H35028" s="185"/>
    </row>
    <row r="35029">
      <c r="D35029" s="185"/>
      <c r="E35029" s="185" t="s">
        <v>470</v>
      </c>
      <c r="H35029" s="185"/>
    </row>
    <row r="35030">
      <c r="D35030" s="185"/>
      <c r="E35030" s="185" t="s">
        <v>470</v>
      </c>
      <c r="H35030" s="185"/>
    </row>
    <row r="35031">
      <c r="D35031" s="185"/>
      <c r="E35031" s="185" t="s">
        <v>470</v>
      </c>
      <c r="H35031" s="185"/>
    </row>
    <row r="35032">
      <c r="D35032" s="185"/>
      <c r="E35032" s="185" t="s">
        <v>470</v>
      </c>
      <c r="H35032" s="185"/>
    </row>
    <row r="35033">
      <c r="D35033" s="185"/>
      <c r="E35033" s="185" t="s">
        <v>470</v>
      </c>
      <c r="H35033" s="185"/>
    </row>
    <row r="35034">
      <c r="D35034" s="185"/>
      <c r="E35034" s="185" t="s">
        <v>470</v>
      </c>
      <c r="H35034" s="185"/>
    </row>
    <row r="35035">
      <c r="D35035" s="185"/>
      <c r="E35035" s="185" t="s">
        <v>470</v>
      </c>
      <c r="H35035" s="185"/>
    </row>
    <row r="35036">
      <c r="D35036" s="185"/>
      <c r="E35036" s="185" t="s">
        <v>470</v>
      </c>
      <c r="H35036" s="185"/>
    </row>
    <row r="35037">
      <c r="D35037" s="185"/>
      <c r="E35037" s="185" t="s">
        <v>470</v>
      </c>
      <c r="H35037" s="185"/>
    </row>
    <row r="35038">
      <c r="D35038" s="185"/>
      <c r="E35038" s="185" t="s">
        <v>470</v>
      </c>
      <c r="H35038" s="185"/>
    </row>
    <row r="35039">
      <c r="D35039" s="185"/>
      <c r="E35039" s="185" t="s">
        <v>470</v>
      </c>
      <c r="H35039" s="185"/>
    </row>
    <row r="35040">
      <c r="D35040" s="185"/>
      <c r="E35040" s="185" t="s">
        <v>470</v>
      </c>
      <c r="H35040" s="185"/>
    </row>
    <row r="35041">
      <c r="D35041" s="185"/>
      <c r="E35041" s="185" t="s">
        <v>470</v>
      </c>
      <c r="H35041" s="185"/>
    </row>
    <row r="35042">
      <c r="D35042" s="185"/>
      <c r="E35042" s="185" t="s">
        <v>470</v>
      </c>
      <c r="H35042" s="185"/>
    </row>
    <row r="35043">
      <c r="D35043" s="185"/>
      <c r="E35043" s="185" t="s">
        <v>470</v>
      </c>
      <c r="H35043" s="185"/>
    </row>
    <row r="35044">
      <c r="D35044" s="185"/>
      <c r="E35044" s="185" t="s">
        <v>470</v>
      </c>
      <c r="H35044" s="185"/>
    </row>
    <row r="35045">
      <c r="D35045" s="185"/>
      <c r="E35045" s="185" t="s">
        <v>470</v>
      </c>
      <c r="H35045" s="185"/>
    </row>
    <row r="35046">
      <c r="D35046" s="185"/>
      <c r="E35046" s="185" t="s">
        <v>470</v>
      </c>
      <c r="H35046" s="185"/>
    </row>
    <row r="35047">
      <c r="D35047" s="185"/>
      <c r="E35047" s="185" t="s">
        <v>470</v>
      </c>
      <c r="H35047" s="185"/>
    </row>
    <row r="35048">
      <c r="D35048" s="185"/>
      <c r="E35048" s="185" t="s">
        <v>470</v>
      </c>
      <c r="H35048" s="185"/>
    </row>
    <row r="35049">
      <c r="D35049" s="185"/>
      <c r="E35049" s="185" t="s">
        <v>470</v>
      </c>
      <c r="H35049" s="185"/>
    </row>
    <row r="35050">
      <c r="D35050" s="185"/>
      <c r="E35050" s="185" t="s">
        <v>470</v>
      </c>
      <c r="H35050" s="185"/>
    </row>
    <row r="35051">
      <c r="D35051" s="185"/>
      <c r="E35051" s="185" t="s">
        <v>470</v>
      </c>
      <c r="H35051" s="185"/>
    </row>
    <row r="35052">
      <c r="D35052" s="185"/>
      <c r="E35052" s="185" t="s">
        <v>470</v>
      </c>
      <c r="H35052" s="185"/>
    </row>
    <row r="35053">
      <c r="D35053" s="185"/>
      <c r="E35053" s="185" t="s">
        <v>470</v>
      </c>
      <c r="H35053" s="185"/>
    </row>
    <row r="35054">
      <c r="D35054" s="185"/>
      <c r="E35054" s="185" t="s">
        <v>470</v>
      </c>
      <c r="H35054" s="185"/>
    </row>
    <row r="35055">
      <c r="D35055" s="185"/>
      <c r="E35055" s="185" t="s">
        <v>470</v>
      </c>
      <c r="H35055" s="185"/>
    </row>
    <row r="35056">
      <c r="D35056" s="185"/>
      <c r="E35056" s="185" t="s">
        <v>470</v>
      </c>
      <c r="H35056" s="185"/>
    </row>
    <row r="35057">
      <c r="D35057" s="185"/>
      <c r="E35057" s="185" t="s">
        <v>470</v>
      </c>
      <c r="H35057" s="185"/>
    </row>
    <row r="35058">
      <c r="D35058" s="185"/>
      <c r="E35058" s="185" t="s">
        <v>470</v>
      </c>
      <c r="H35058" s="185"/>
    </row>
    <row r="35059">
      <c r="D35059" s="185"/>
      <c r="E35059" s="185" t="s">
        <v>470</v>
      </c>
      <c r="H35059" s="185"/>
    </row>
    <row r="35060">
      <c r="D35060" s="185"/>
      <c r="E35060" s="185" t="s">
        <v>470</v>
      </c>
      <c r="H35060" s="185"/>
    </row>
    <row r="35061">
      <c r="D35061" s="185"/>
      <c r="E35061" s="185" t="s">
        <v>470</v>
      </c>
      <c r="H35061" s="185"/>
    </row>
    <row r="35062">
      <c r="D35062" s="185"/>
      <c r="E35062" s="185" t="s">
        <v>470</v>
      </c>
      <c r="H35062" s="185"/>
    </row>
    <row r="35063">
      <c r="D35063" s="185"/>
      <c r="E35063" s="185" t="s">
        <v>470</v>
      </c>
      <c r="H35063" s="185"/>
    </row>
    <row r="35064">
      <c r="D35064" s="185"/>
      <c r="E35064" s="185" t="s">
        <v>470</v>
      </c>
      <c r="H35064" s="185"/>
    </row>
    <row r="35065">
      <c r="D35065" s="185"/>
      <c r="E35065" s="185" t="s">
        <v>470</v>
      </c>
      <c r="H35065" s="185"/>
    </row>
    <row r="35066">
      <c r="D35066" s="185"/>
      <c r="E35066" s="185" t="s">
        <v>470</v>
      </c>
      <c r="H35066" s="185"/>
    </row>
    <row r="35067">
      <c r="D35067" s="185"/>
      <c r="E35067" s="185" t="s">
        <v>470</v>
      </c>
      <c r="H35067" s="185"/>
    </row>
    <row r="35068">
      <c r="D35068" s="185"/>
      <c r="E35068" s="185" t="s">
        <v>470</v>
      </c>
      <c r="H35068" s="185"/>
    </row>
    <row r="35069">
      <c r="D35069" s="185"/>
      <c r="E35069" s="185" t="s">
        <v>470</v>
      </c>
      <c r="H35069" s="185"/>
    </row>
    <row r="35070">
      <c r="D35070" s="185"/>
      <c r="E35070" s="185" t="s">
        <v>470</v>
      </c>
      <c r="H35070" s="185"/>
    </row>
    <row r="35071">
      <c r="D35071" s="185"/>
      <c r="E35071" s="185" t="s">
        <v>470</v>
      </c>
      <c r="H35071" s="185"/>
    </row>
    <row r="35072">
      <c r="D35072" s="185"/>
      <c r="E35072" s="185" t="s">
        <v>470</v>
      </c>
      <c r="H35072" s="185"/>
    </row>
    <row r="35073">
      <c r="D35073" s="185"/>
      <c r="E35073" s="185" t="s">
        <v>470</v>
      </c>
      <c r="H35073" s="185"/>
    </row>
    <row r="35074">
      <c r="D35074" s="185"/>
      <c r="E35074" s="185" t="s">
        <v>470</v>
      </c>
      <c r="H35074" s="185"/>
    </row>
    <row r="35075">
      <c r="D35075" s="185"/>
      <c r="E35075" s="185" t="s">
        <v>470</v>
      </c>
      <c r="H35075" s="185"/>
    </row>
    <row r="35076">
      <c r="D35076" s="185"/>
      <c r="E35076" s="185" t="s">
        <v>470</v>
      </c>
      <c r="H35076" s="185"/>
    </row>
    <row r="35077">
      <c r="D35077" s="185"/>
      <c r="E35077" s="185" t="s">
        <v>470</v>
      </c>
      <c r="H35077" s="185"/>
    </row>
    <row r="35078">
      <c r="D35078" s="185"/>
      <c r="E35078" s="185" t="s">
        <v>470</v>
      </c>
      <c r="H35078" s="185"/>
    </row>
    <row r="35079">
      <c r="D35079" s="185"/>
      <c r="E35079" s="185" t="s">
        <v>470</v>
      </c>
      <c r="H35079" s="185"/>
    </row>
    <row r="35080">
      <c r="D35080" s="185"/>
      <c r="E35080" s="185" t="s">
        <v>470</v>
      </c>
      <c r="H35080" s="185"/>
    </row>
    <row r="35081">
      <c r="D35081" s="185"/>
      <c r="E35081" s="185" t="s">
        <v>470</v>
      </c>
      <c r="H35081" s="185"/>
    </row>
    <row r="35082">
      <c r="D35082" s="185"/>
      <c r="E35082" s="185" t="s">
        <v>470</v>
      </c>
      <c r="H35082" s="185"/>
    </row>
    <row r="35083">
      <c r="D35083" s="185"/>
      <c r="E35083" s="185" t="s">
        <v>470</v>
      </c>
      <c r="H35083" s="185"/>
    </row>
    <row r="35084">
      <c r="D35084" s="185"/>
      <c r="E35084" s="185" t="s">
        <v>470</v>
      </c>
      <c r="H35084" s="185"/>
    </row>
    <row r="35085">
      <c r="D35085" s="185"/>
      <c r="E35085" s="185" t="s">
        <v>470</v>
      </c>
      <c r="H35085" s="185"/>
    </row>
    <row r="35086">
      <c r="D35086" s="185"/>
      <c r="E35086" s="185" t="s">
        <v>470</v>
      </c>
      <c r="H35086" s="185"/>
    </row>
    <row r="35087">
      <c r="D35087" s="185"/>
      <c r="E35087" s="185" t="s">
        <v>470</v>
      </c>
      <c r="H35087" s="185"/>
    </row>
    <row r="35088">
      <c r="D35088" s="185"/>
      <c r="E35088" s="185" t="s">
        <v>470</v>
      </c>
      <c r="H35088" s="185"/>
    </row>
    <row r="35089">
      <c r="D35089" s="185"/>
      <c r="E35089" s="185" t="s">
        <v>470</v>
      </c>
      <c r="H35089" s="185"/>
    </row>
    <row r="35090">
      <c r="D35090" s="185"/>
      <c r="E35090" s="185" t="s">
        <v>470</v>
      </c>
      <c r="H35090" s="185"/>
    </row>
    <row r="35091">
      <c r="D35091" s="185"/>
      <c r="E35091" s="185" t="s">
        <v>470</v>
      </c>
      <c r="H35091" s="185"/>
    </row>
    <row r="35092">
      <c r="D35092" s="185"/>
      <c r="E35092" s="185" t="s">
        <v>470</v>
      </c>
      <c r="H35092" s="185"/>
    </row>
    <row r="35093">
      <c r="D35093" s="185"/>
      <c r="E35093" s="185" t="s">
        <v>470</v>
      </c>
      <c r="H35093" s="185"/>
    </row>
    <row r="35094">
      <c r="D35094" s="185"/>
      <c r="E35094" s="185" t="s">
        <v>470</v>
      </c>
      <c r="H35094" s="185"/>
    </row>
    <row r="35095">
      <c r="D35095" s="185"/>
      <c r="E35095" s="185" t="s">
        <v>470</v>
      </c>
      <c r="H35095" s="185"/>
    </row>
    <row r="35096">
      <c r="D35096" s="185"/>
      <c r="E35096" s="185" t="s">
        <v>470</v>
      </c>
      <c r="H35096" s="185"/>
    </row>
    <row r="35097">
      <c r="D35097" s="185"/>
      <c r="E35097" s="185" t="s">
        <v>470</v>
      </c>
      <c r="H35097" s="185"/>
    </row>
    <row r="35098">
      <c r="D35098" s="185"/>
      <c r="E35098" s="185" t="s">
        <v>470</v>
      </c>
      <c r="H35098" s="185"/>
    </row>
    <row r="35099">
      <c r="D35099" s="185"/>
      <c r="E35099" s="185" t="s">
        <v>470</v>
      </c>
      <c r="H35099" s="185"/>
    </row>
    <row r="35100">
      <c r="D35100" s="185"/>
      <c r="E35100" s="185" t="s">
        <v>470</v>
      </c>
      <c r="H35100" s="185"/>
    </row>
    <row r="35101">
      <c r="D35101" s="185"/>
      <c r="E35101" s="185" t="s">
        <v>470</v>
      </c>
      <c r="H35101" s="185"/>
    </row>
    <row r="35102">
      <c r="D35102" s="185"/>
      <c r="E35102" s="185" t="s">
        <v>470</v>
      </c>
      <c r="H35102" s="185"/>
    </row>
    <row r="35103">
      <c r="D35103" s="185"/>
      <c r="E35103" s="185" t="s">
        <v>470</v>
      </c>
      <c r="H35103" s="185"/>
    </row>
    <row r="35104">
      <c r="D35104" s="185"/>
      <c r="E35104" s="185" t="s">
        <v>470</v>
      </c>
      <c r="H35104" s="185"/>
    </row>
    <row r="35105">
      <c r="D35105" s="185"/>
      <c r="E35105" s="185" t="s">
        <v>470</v>
      </c>
      <c r="H35105" s="185"/>
    </row>
    <row r="35106">
      <c r="D35106" s="185"/>
      <c r="E35106" s="185" t="s">
        <v>470</v>
      </c>
      <c r="H35106" s="185"/>
    </row>
    <row r="35107">
      <c r="D35107" s="185"/>
      <c r="E35107" s="185" t="s">
        <v>470</v>
      </c>
      <c r="H35107" s="185"/>
    </row>
    <row r="35108">
      <c r="D35108" s="185"/>
      <c r="E35108" s="185" t="s">
        <v>470</v>
      </c>
      <c r="H35108" s="185"/>
    </row>
    <row r="35109">
      <c r="D35109" s="185"/>
      <c r="E35109" s="185" t="s">
        <v>470</v>
      </c>
      <c r="H35109" s="185"/>
    </row>
    <row r="35110">
      <c r="D35110" s="185"/>
      <c r="E35110" s="185" t="s">
        <v>470</v>
      </c>
      <c r="H35110" s="185"/>
    </row>
    <row r="35111">
      <c r="D35111" s="185"/>
      <c r="E35111" s="185" t="s">
        <v>470</v>
      </c>
      <c r="H35111" s="185"/>
    </row>
    <row r="35112">
      <c r="D35112" s="185"/>
      <c r="E35112" s="185" t="s">
        <v>470</v>
      </c>
      <c r="H35112" s="185"/>
    </row>
    <row r="35113">
      <c r="D35113" s="185"/>
      <c r="E35113" s="185" t="s">
        <v>470</v>
      </c>
      <c r="H35113" s="185"/>
    </row>
    <row r="35114">
      <c r="D35114" s="185"/>
      <c r="E35114" s="185" t="s">
        <v>470</v>
      </c>
      <c r="H35114" s="185"/>
    </row>
    <row r="35115">
      <c r="D35115" s="185"/>
      <c r="E35115" s="185" t="s">
        <v>470</v>
      </c>
      <c r="H35115" s="185"/>
    </row>
    <row r="35116">
      <c r="D35116" s="185"/>
      <c r="E35116" s="185" t="s">
        <v>470</v>
      </c>
      <c r="H35116" s="185"/>
    </row>
    <row r="35117">
      <c r="D35117" s="185"/>
      <c r="E35117" s="185" t="s">
        <v>470</v>
      </c>
      <c r="H35117" s="185"/>
    </row>
    <row r="35118">
      <c r="D35118" s="185"/>
      <c r="E35118" s="185" t="s">
        <v>470</v>
      </c>
      <c r="H35118" s="185"/>
    </row>
    <row r="35119">
      <c r="D35119" s="185"/>
      <c r="E35119" s="185" t="s">
        <v>470</v>
      </c>
      <c r="H35119" s="185"/>
    </row>
    <row r="35120">
      <c r="D35120" s="185"/>
      <c r="E35120" s="185" t="s">
        <v>470</v>
      </c>
      <c r="H35120" s="185"/>
    </row>
    <row r="35121">
      <c r="D35121" s="185"/>
      <c r="E35121" s="185" t="s">
        <v>470</v>
      </c>
      <c r="H35121" s="185"/>
    </row>
    <row r="35122">
      <c r="D35122" s="185"/>
      <c r="E35122" s="185" t="s">
        <v>470</v>
      </c>
      <c r="H35122" s="185"/>
    </row>
    <row r="35123">
      <c r="D35123" s="185"/>
      <c r="E35123" s="185" t="s">
        <v>470</v>
      </c>
      <c r="H35123" s="185"/>
    </row>
    <row r="35124">
      <c r="D35124" s="185"/>
      <c r="E35124" s="185" t="s">
        <v>470</v>
      </c>
      <c r="H35124" s="185"/>
    </row>
    <row r="35125">
      <c r="D35125" s="185"/>
      <c r="E35125" s="185" t="s">
        <v>470</v>
      </c>
      <c r="H35125" s="185"/>
    </row>
    <row r="35126">
      <c r="D35126" s="185"/>
      <c r="E35126" s="185" t="s">
        <v>470</v>
      </c>
      <c r="H35126" s="185"/>
    </row>
    <row r="35127">
      <c r="D35127" s="185"/>
      <c r="E35127" s="185" t="s">
        <v>470</v>
      </c>
      <c r="H35127" s="185"/>
    </row>
    <row r="35128">
      <c r="D35128" s="185"/>
      <c r="E35128" s="185" t="s">
        <v>470</v>
      </c>
      <c r="H35128" s="185"/>
    </row>
    <row r="35129">
      <c r="D35129" s="185"/>
      <c r="E35129" s="185" t="s">
        <v>470</v>
      </c>
      <c r="H35129" s="185"/>
    </row>
    <row r="35130">
      <c r="D35130" s="185"/>
      <c r="E35130" s="185" t="s">
        <v>470</v>
      </c>
      <c r="H35130" s="185"/>
    </row>
    <row r="35131">
      <c r="D35131" s="185"/>
      <c r="E35131" s="185" t="s">
        <v>470</v>
      </c>
      <c r="H35131" s="185"/>
    </row>
    <row r="35132">
      <c r="D35132" s="185"/>
      <c r="E35132" s="185" t="s">
        <v>470</v>
      </c>
      <c r="H35132" s="185"/>
    </row>
    <row r="35133">
      <c r="D35133" s="185"/>
      <c r="E35133" s="185" t="s">
        <v>470</v>
      </c>
      <c r="H35133" s="185"/>
    </row>
    <row r="35134">
      <c r="D35134" s="185"/>
      <c r="E35134" s="185" t="s">
        <v>470</v>
      </c>
      <c r="H35134" s="185"/>
    </row>
    <row r="35135">
      <c r="D35135" s="185"/>
      <c r="E35135" s="185" t="s">
        <v>470</v>
      </c>
      <c r="H35135" s="185"/>
    </row>
    <row r="35136">
      <c r="D35136" s="185"/>
      <c r="E35136" s="185" t="s">
        <v>470</v>
      </c>
      <c r="H35136" s="185"/>
    </row>
    <row r="35137">
      <c r="D35137" s="185"/>
      <c r="E35137" s="185" t="s">
        <v>470</v>
      </c>
      <c r="H35137" s="185"/>
    </row>
    <row r="35138">
      <c r="D35138" s="185"/>
      <c r="E35138" s="185" t="s">
        <v>470</v>
      </c>
      <c r="H35138" s="185"/>
    </row>
    <row r="35139">
      <c r="D35139" s="185"/>
      <c r="E35139" s="185" t="s">
        <v>470</v>
      </c>
      <c r="H35139" s="185"/>
    </row>
    <row r="35140">
      <c r="D35140" s="185"/>
      <c r="E35140" s="185" t="s">
        <v>470</v>
      </c>
      <c r="H35140" s="185"/>
    </row>
    <row r="35141">
      <c r="D35141" s="185"/>
      <c r="E35141" s="185" t="s">
        <v>470</v>
      </c>
      <c r="H35141" s="185"/>
    </row>
    <row r="35142">
      <c r="D35142" s="185"/>
      <c r="E35142" s="185" t="s">
        <v>470</v>
      </c>
      <c r="H35142" s="185"/>
    </row>
    <row r="35143">
      <c r="D35143" s="185"/>
      <c r="E35143" s="185" t="s">
        <v>470</v>
      </c>
      <c r="H35143" s="185"/>
    </row>
    <row r="35144">
      <c r="D35144" s="185"/>
      <c r="E35144" s="185" t="s">
        <v>470</v>
      </c>
      <c r="H35144" s="185"/>
    </row>
    <row r="35145">
      <c r="D35145" s="185"/>
      <c r="E35145" s="185" t="s">
        <v>470</v>
      </c>
      <c r="H35145" s="185"/>
    </row>
    <row r="35146">
      <c r="D35146" s="185"/>
      <c r="E35146" s="185" t="s">
        <v>470</v>
      </c>
      <c r="H35146" s="185"/>
    </row>
    <row r="35147">
      <c r="D35147" s="185"/>
      <c r="E35147" s="185" t="s">
        <v>470</v>
      </c>
      <c r="H35147" s="185"/>
    </row>
    <row r="35148">
      <c r="D35148" s="185"/>
      <c r="E35148" s="185" t="s">
        <v>470</v>
      </c>
      <c r="H35148" s="185"/>
    </row>
    <row r="35149">
      <c r="D35149" s="185"/>
      <c r="E35149" s="185" t="s">
        <v>470</v>
      </c>
      <c r="H35149" s="185"/>
    </row>
    <row r="35150">
      <c r="D35150" s="185"/>
      <c r="E35150" s="185" t="s">
        <v>470</v>
      </c>
      <c r="H35150" s="185"/>
    </row>
    <row r="35151">
      <c r="D35151" s="185"/>
      <c r="E35151" s="185" t="s">
        <v>470</v>
      </c>
      <c r="H35151" s="185"/>
    </row>
    <row r="35152">
      <c r="D35152" s="185"/>
      <c r="E35152" s="185" t="s">
        <v>470</v>
      </c>
      <c r="H35152" s="185"/>
    </row>
    <row r="35153">
      <c r="D35153" s="185"/>
      <c r="E35153" s="185" t="s">
        <v>470</v>
      </c>
      <c r="H35153" s="185"/>
    </row>
    <row r="35154">
      <c r="D35154" s="185"/>
      <c r="E35154" s="185" t="s">
        <v>470</v>
      </c>
      <c r="H35154" s="185"/>
    </row>
    <row r="35155">
      <c r="D35155" s="185"/>
      <c r="E35155" s="185" t="s">
        <v>470</v>
      </c>
      <c r="H35155" s="185"/>
    </row>
    <row r="35156">
      <c r="D35156" s="185"/>
      <c r="E35156" s="185" t="s">
        <v>470</v>
      </c>
      <c r="H35156" s="185"/>
    </row>
    <row r="35157">
      <c r="D35157" s="185"/>
      <c r="E35157" s="185" t="s">
        <v>470</v>
      </c>
      <c r="H35157" s="185"/>
    </row>
    <row r="35158">
      <c r="D35158" s="185"/>
      <c r="E35158" s="185" t="s">
        <v>470</v>
      </c>
      <c r="H35158" s="185"/>
    </row>
    <row r="35159">
      <c r="D35159" s="185"/>
      <c r="E35159" s="185" t="s">
        <v>470</v>
      </c>
      <c r="H35159" s="185"/>
    </row>
    <row r="35160">
      <c r="D35160" s="185"/>
      <c r="E35160" s="185" t="s">
        <v>470</v>
      </c>
      <c r="H35160" s="185"/>
    </row>
    <row r="35161">
      <c r="D35161" s="185"/>
      <c r="E35161" s="185" t="s">
        <v>470</v>
      </c>
      <c r="H35161" s="185"/>
    </row>
    <row r="35162">
      <c r="D35162" s="185"/>
      <c r="E35162" s="185" t="s">
        <v>470</v>
      </c>
      <c r="H35162" s="185"/>
    </row>
    <row r="35163">
      <c r="D35163" s="185"/>
      <c r="E35163" s="185" t="s">
        <v>470</v>
      </c>
      <c r="H35163" s="185"/>
    </row>
    <row r="35164">
      <c r="D35164" s="185"/>
      <c r="E35164" s="185" t="s">
        <v>470</v>
      </c>
      <c r="H35164" s="185"/>
    </row>
    <row r="35165">
      <c r="D35165" s="185"/>
      <c r="E35165" s="185" t="s">
        <v>470</v>
      </c>
      <c r="H35165" s="185"/>
    </row>
    <row r="35166">
      <c r="D35166" s="185"/>
      <c r="E35166" s="185" t="s">
        <v>470</v>
      </c>
      <c r="H35166" s="185"/>
    </row>
    <row r="35167">
      <c r="D35167" s="185"/>
      <c r="E35167" s="185" t="s">
        <v>470</v>
      </c>
      <c r="H35167" s="185"/>
    </row>
    <row r="35168">
      <c r="D35168" s="185"/>
      <c r="E35168" s="185" t="s">
        <v>470</v>
      </c>
      <c r="H35168" s="185"/>
    </row>
    <row r="35169">
      <c r="D35169" s="185"/>
      <c r="E35169" s="185" t="s">
        <v>470</v>
      </c>
      <c r="H35169" s="185"/>
    </row>
    <row r="35170">
      <c r="D35170" s="185"/>
      <c r="E35170" s="185" t="s">
        <v>470</v>
      </c>
      <c r="H35170" s="185"/>
    </row>
    <row r="35171">
      <c r="D35171" s="185"/>
      <c r="E35171" s="185" t="s">
        <v>470</v>
      </c>
      <c r="H35171" s="185"/>
    </row>
    <row r="35172">
      <c r="D35172" s="185"/>
      <c r="E35172" s="185" t="s">
        <v>470</v>
      </c>
      <c r="H35172" s="185"/>
    </row>
    <row r="35173">
      <c r="D35173" s="185"/>
      <c r="E35173" s="185" t="s">
        <v>470</v>
      </c>
      <c r="H35173" s="185"/>
    </row>
    <row r="35174">
      <c r="D35174" s="185"/>
      <c r="E35174" s="185" t="s">
        <v>470</v>
      </c>
      <c r="H35174" s="185"/>
    </row>
    <row r="35175">
      <c r="D35175" s="185"/>
      <c r="E35175" s="185" t="s">
        <v>470</v>
      </c>
      <c r="H35175" s="185"/>
    </row>
    <row r="35176">
      <c r="D35176" s="185"/>
      <c r="E35176" s="185" t="s">
        <v>470</v>
      </c>
      <c r="H35176" s="185"/>
    </row>
    <row r="35177">
      <c r="D35177" s="185"/>
      <c r="E35177" s="185" t="s">
        <v>470</v>
      </c>
      <c r="H35177" s="185"/>
    </row>
    <row r="35178">
      <c r="D35178" s="185"/>
      <c r="E35178" s="185" t="s">
        <v>470</v>
      </c>
      <c r="H35178" s="185"/>
    </row>
    <row r="35179">
      <c r="D35179" s="185"/>
      <c r="E35179" s="185" t="s">
        <v>470</v>
      </c>
      <c r="H35179" s="185"/>
    </row>
    <row r="35180">
      <c r="D35180" s="185"/>
      <c r="E35180" s="185" t="s">
        <v>470</v>
      </c>
      <c r="H35180" s="185"/>
    </row>
    <row r="35181">
      <c r="D35181" s="185"/>
      <c r="E35181" s="185" t="s">
        <v>470</v>
      </c>
      <c r="H35181" s="185"/>
    </row>
    <row r="35182">
      <c r="D35182" s="185"/>
      <c r="E35182" s="185" t="s">
        <v>470</v>
      </c>
      <c r="H35182" s="185"/>
    </row>
    <row r="35183">
      <c r="D35183" s="185"/>
      <c r="E35183" s="185" t="s">
        <v>470</v>
      </c>
      <c r="H35183" s="185"/>
    </row>
    <row r="35184">
      <c r="D35184" s="185"/>
      <c r="E35184" s="185" t="s">
        <v>470</v>
      </c>
      <c r="H35184" s="185"/>
    </row>
    <row r="35185">
      <c r="D35185" s="185"/>
      <c r="E35185" s="185" t="s">
        <v>470</v>
      </c>
      <c r="H35185" s="185"/>
    </row>
    <row r="35186">
      <c r="D35186" s="185"/>
      <c r="E35186" s="185" t="s">
        <v>470</v>
      </c>
      <c r="H35186" s="185"/>
    </row>
    <row r="35187">
      <c r="D35187" s="185"/>
      <c r="E35187" s="185" t="s">
        <v>470</v>
      </c>
      <c r="H35187" s="185"/>
    </row>
    <row r="35188">
      <c r="D35188" s="185"/>
      <c r="E35188" s="185" t="s">
        <v>470</v>
      </c>
      <c r="H35188" s="185"/>
    </row>
    <row r="35189">
      <c r="D35189" s="185"/>
      <c r="E35189" s="185" t="s">
        <v>470</v>
      </c>
      <c r="H35189" s="185"/>
    </row>
    <row r="35190">
      <c r="D35190" s="185"/>
      <c r="E35190" s="185" t="s">
        <v>470</v>
      </c>
      <c r="H35190" s="185"/>
    </row>
    <row r="35191">
      <c r="D35191" s="185"/>
      <c r="E35191" s="185" t="s">
        <v>470</v>
      </c>
      <c r="H35191" s="185"/>
    </row>
    <row r="35192">
      <c r="D35192" s="185"/>
      <c r="E35192" s="185" t="s">
        <v>470</v>
      </c>
      <c r="H35192" s="185"/>
    </row>
    <row r="35193">
      <c r="D35193" s="185"/>
      <c r="E35193" s="185" t="s">
        <v>470</v>
      </c>
      <c r="H35193" s="185"/>
    </row>
    <row r="35194">
      <c r="D35194" s="185"/>
      <c r="E35194" s="185" t="s">
        <v>470</v>
      </c>
      <c r="H35194" s="185"/>
    </row>
    <row r="35195">
      <c r="D35195" s="185"/>
      <c r="E35195" s="185" t="s">
        <v>470</v>
      </c>
      <c r="H35195" s="185"/>
    </row>
    <row r="35196">
      <c r="D35196" s="185"/>
      <c r="E35196" s="185" t="s">
        <v>470</v>
      </c>
      <c r="H35196" s="185"/>
    </row>
    <row r="35197">
      <c r="D35197" s="185"/>
      <c r="E35197" s="185" t="s">
        <v>470</v>
      </c>
      <c r="H35197" s="185"/>
    </row>
    <row r="35198">
      <c r="D35198" s="185"/>
      <c r="E35198" s="185" t="s">
        <v>470</v>
      </c>
      <c r="H35198" s="185"/>
    </row>
    <row r="35199">
      <c r="D35199" s="185"/>
      <c r="E35199" s="185" t="s">
        <v>470</v>
      </c>
      <c r="H35199" s="185"/>
    </row>
    <row r="35200">
      <c r="D35200" s="185"/>
      <c r="E35200" s="185" t="s">
        <v>470</v>
      </c>
      <c r="H35200" s="185"/>
    </row>
    <row r="35201">
      <c r="D35201" s="185"/>
      <c r="E35201" s="185" t="s">
        <v>470</v>
      </c>
      <c r="H35201" s="185"/>
    </row>
    <row r="35202">
      <c r="D35202" s="185"/>
      <c r="E35202" s="185" t="s">
        <v>470</v>
      </c>
      <c r="H35202" s="185"/>
    </row>
    <row r="35203">
      <c r="D35203" s="185"/>
      <c r="E35203" s="185" t="s">
        <v>470</v>
      </c>
      <c r="H35203" s="185"/>
    </row>
    <row r="35204">
      <c r="D35204" s="185"/>
      <c r="E35204" s="185" t="s">
        <v>470</v>
      </c>
      <c r="H35204" s="185"/>
    </row>
    <row r="35205">
      <c r="D35205" s="185"/>
      <c r="E35205" s="185" t="s">
        <v>470</v>
      </c>
      <c r="H35205" s="185"/>
    </row>
    <row r="35206">
      <c r="D35206" s="185"/>
      <c r="E35206" s="185" t="s">
        <v>470</v>
      </c>
      <c r="H35206" s="185"/>
    </row>
    <row r="35207">
      <c r="D35207" s="185"/>
      <c r="E35207" s="185" t="s">
        <v>470</v>
      </c>
      <c r="H35207" s="185"/>
    </row>
    <row r="35208">
      <c r="D35208" s="185"/>
      <c r="E35208" s="185" t="s">
        <v>470</v>
      </c>
      <c r="H35208" s="185"/>
    </row>
    <row r="35209">
      <c r="D35209" s="185"/>
      <c r="E35209" s="185" t="s">
        <v>470</v>
      </c>
      <c r="H35209" s="185"/>
    </row>
    <row r="35210">
      <c r="D35210" s="185"/>
      <c r="E35210" s="185" t="s">
        <v>470</v>
      </c>
      <c r="H35210" s="185"/>
    </row>
    <row r="35211">
      <c r="D35211" s="185"/>
      <c r="E35211" s="185" t="s">
        <v>470</v>
      </c>
      <c r="H35211" s="185"/>
    </row>
    <row r="35212">
      <c r="D35212" s="185"/>
      <c r="E35212" s="185" t="s">
        <v>470</v>
      </c>
      <c r="H35212" s="185"/>
    </row>
    <row r="35213">
      <c r="D35213" s="185"/>
      <c r="E35213" s="185" t="s">
        <v>470</v>
      </c>
      <c r="H35213" s="185"/>
    </row>
    <row r="35214">
      <c r="D35214" s="185"/>
      <c r="E35214" s="185" t="s">
        <v>470</v>
      </c>
      <c r="H35214" s="185"/>
    </row>
    <row r="35215">
      <c r="D35215" s="185"/>
      <c r="E35215" s="185" t="s">
        <v>470</v>
      </c>
      <c r="H35215" s="185"/>
    </row>
    <row r="35216">
      <c r="D35216" s="185"/>
      <c r="E35216" s="185" t="s">
        <v>470</v>
      </c>
      <c r="H35216" s="185"/>
    </row>
    <row r="35217">
      <c r="D35217" s="185"/>
      <c r="E35217" s="185" t="s">
        <v>470</v>
      </c>
      <c r="H35217" s="185"/>
    </row>
    <row r="35218">
      <c r="D35218" s="185"/>
      <c r="E35218" s="185" t="s">
        <v>470</v>
      </c>
      <c r="H35218" s="185"/>
    </row>
    <row r="35219">
      <c r="D35219" s="185"/>
      <c r="E35219" s="185" t="s">
        <v>470</v>
      </c>
      <c r="H35219" s="185"/>
    </row>
    <row r="35220">
      <c r="D35220" s="185"/>
      <c r="E35220" s="185" t="s">
        <v>470</v>
      </c>
      <c r="H35220" s="185"/>
    </row>
    <row r="35221">
      <c r="D35221" s="185"/>
      <c r="E35221" s="185" t="s">
        <v>470</v>
      </c>
      <c r="H35221" s="185"/>
    </row>
    <row r="35222">
      <c r="D35222" s="185"/>
      <c r="E35222" s="185" t="s">
        <v>470</v>
      </c>
      <c r="H35222" s="185"/>
    </row>
    <row r="35223">
      <c r="D35223" s="185"/>
      <c r="E35223" s="185" t="s">
        <v>470</v>
      </c>
      <c r="H35223" s="185"/>
    </row>
    <row r="35224">
      <c r="D35224" s="185"/>
      <c r="E35224" s="185" t="s">
        <v>470</v>
      </c>
      <c r="H35224" s="185"/>
    </row>
    <row r="35225">
      <c r="D35225" s="185"/>
      <c r="E35225" s="185" t="s">
        <v>470</v>
      </c>
      <c r="H35225" s="185"/>
    </row>
    <row r="35226">
      <c r="D35226" s="185"/>
      <c r="E35226" s="185" t="s">
        <v>470</v>
      </c>
      <c r="H35226" s="185"/>
    </row>
    <row r="35227">
      <c r="D35227" s="185"/>
      <c r="E35227" s="185" t="s">
        <v>470</v>
      </c>
      <c r="H35227" s="185"/>
    </row>
    <row r="35228">
      <c r="D35228" s="185"/>
      <c r="E35228" s="185" t="s">
        <v>470</v>
      </c>
      <c r="H35228" s="185"/>
    </row>
    <row r="35229">
      <c r="D35229" s="185"/>
      <c r="E35229" s="185" t="s">
        <v>470</v>
      </c>
      <c r="H35229" s="185"/>
    </row>
    <row r="35230">
      <c r="D35230" s="185"/>
      <c r="E35230" s="185" t="s">
        <v>470</v>
      </c>
      <c r="H35230" s="185"/>
    </row>
    <row r="35231">
      <c r="D35231" s="185"/>
      <c r="E35231" s="185" t="s">
        <v>470</v>
      </c>
      <c r="H35231" s="185"/>
    </row>
    <row r="35232">
      <c r="D35232" s="185"/>
      <c r="E35232" s="185" t="s">
        <v>470</v>
      </c>
      <c r="H35232" s="185"/>
    </row>
    <row r="35233">
      <c r="D35233" s="185"/>
      <c r="E35233" s="185" t="s">
        <v>470</v>
      </c>
      <c r="H35233" s="185"/>
    </row>
    <row r="35234">
      <c r="D35234" s="185"/>
      <c r="E35234" s="185" t="s">
        <v>470</v>
      </c>
      <c r="H35234" s="185"/>
    </row>
    <row r="35235">
      <c r="D35235" s="185"/>
      <c r="E35235" s="185" t="s">
        <v>470</v>
      </c>
      <c r="H35235" s="185"/>
    </row>
    <row r="35236">
      <c r="D35236" s="185"/>
      <c r="E35236" s="185" t="s">
        <v>470</v>
      </c>
      <c r="H35236" s="185"/>
    </row>
    <row r="35237">
      <c r="D35237" s="185"/>
      <c r="E35237" s="185" t="s">
        <v>470</v>
      </c>
      <c r="H35237" s="185"/>
    </row>
    <row r="35238">
      <c r="D35238" s="185"/>
      <c r="E35238" s="185" t="s">
        <v>470</v>
      </c>
      <c r="H35238" s="185"/>
    </row>
    <row r="35239">
      <c r="D35239" s="185"/>
      <c r="E35239" s="185" t="s">
        <v>470</v>
      </c>
      <c r="H35239" s="185"/>
    </row>
    <row r="35240">
      <c r="D35240" s="185"/>
      <c r="E35240" s="185" t="s">
        <v>470</v>
      </c>
      <c r="H35240" s="185"/>
    </row>
    <row r="35241">
      <c r="D35241" s="185"/>
      <c r="E35241" s="185" t="s">
        <v>470</v>
      </c>
      <c r="H35241" s="185"/>
    </row>
    <row r="35242">
      <c r="D35242" s="185"/>
      <c r="E35242" s="185" t="s">
        <v>470</v>
      </c>
      <c r="H35242" s="185"/>
    </row>
    <row r="35243">
      <c r="D35243" s="185"/>
      <c r="E35243" s="185" t="s">
        <v>470</v>
      </c>
      <c r="H35243" s="185"/>
    </row>
    <row r="35244">
      <c r="D35244" s="185"/>
      <c r="E35244" s="185" t="s">
        <v>470</v>
      </c>
      <c r="H35244" s="185"/>
    </row>
    <row r="35245">
      <c r="D35245" s="185"/>
      <c r="E35245" s="185" t="s">
        <v>470</v>
      </c>
      <c r="H35245" s="185"/>
    </row>
    <row r="35246">
      <c r="D35246" s="185"/>
      <c r="E35246" s="185" t="s">
        <v>470</v>
      </c>
      <c r="H35246" s="185"/>
    </row>
    <row r="35247">
      <c r="D35247" s="185"/>
      <c r="E35247" s="185" t="s">
        <v>470</v>
      </c>
      <c r="H35247" s="185"/>
    </row>
    <row r="35248">
      <c r="D35248" s="185"/>
      <c r="E35248" s="185" t="s">
        <v>470</v>
      </c>
      <c r="H35248" s="185"/>
    </row>
    <row r="35249">
      <c r="D35249" s="185"/>
      <c r="E35249" s="185" t="s">
        <v>470</v>
      </c>
      <c r="H35249" s="185"/>
    </row>
    <row r="35250">
      <c r="D35250" s="185"/>
      <c r="E35250" s="185" t="s">
        <v>470</v>
      </c>
      <c r="H35250" s="185"/>
    </row>
    <row r="35251">
      <c r="D35251" s="185"/>
      <c r="E35251" s="185" t="s">
        <v>470</v>
      </c>
      <c r="H35251" s="185"/>
    </row>
    <row r="35252">
      <c r="D35252" s="185"/>
      <c r="E35252" s="185" t="s">
        <v>470</v>
      </c>
      <c r="H35252" s="185"/>
    </row>
    <row r="35253">
      <c r="D35253" s="185"/>
      <c r="E35253" s="185" t="s">
        <v>470</v>
      </c>
      <c r="H35253" s="185"/>
    </row>
    <row r="35254">
      <c r="D35254" s="185"/>
      <c r="E35254" s="185" t="s">
        <v>470</v>
      </c>
      <c r="H35254" s="185"/>
    </row>
    <row r="35255">
      <c r="D35255" s="185"/>
      <c r="E35255" s="185" t="s">
        <v>470</v>
      </c>
      <c r="H35255" s="185"/>
    </row>
    <row r="35256">
      <c r="D35256" s="185"/>
      <c r="E35256" s="185" t="s">
        <v>470</v>
      </c>
      <c r="H35256" s="185"/>
    </row>
    <row r="35257">
      <c r="D35257" s="185"/>
      <c r="E35257" s="185" t="s">
        <v>470</v>
      </c>
      <c r="H35257" s="185"/>
    </row>
    <row r="35258">
      <c r="D35258" s="185"/>
      <c r="E35258" s="185" t="s">
        <v>470</v>
      </c>
      <c r="H35258" s="185"/>
    </row>
    <row r="35259">
      <c r="D35259" s="185"/>
      <c r="E35259" s="185" t="s">
        <v>470</v>
      </c>
      <c r="H35259" s="185"/>
    </row>
    <row r="35260">
      <c r="D35260" s="185"/>
      <c r="E35260" s="185" t="s">
        <v>470</v>
      </c>
      <c r="H35260" s="185"/>
    </row>
    <row r="35261">
      <c r="D35261" s="185"/>
      <c r="E35261" s="185" t="s">
        <v>470</v>
      </c>
      <c r="H35261" s="185"/>
    </row>
    <row r="35262">
      <c r="D35262" s="185"/>
      <c r="E35262" s="185" t="s">
        <v>470</v>
      </c>
      <c r="H35262" s="185"/>
    </row>
    <row r="35263">
      <c r="D35263" s="185"/>
      <c r="E35263" s="185" t="s">
        <v>470</v>
      </c>
      <c r="H35263" s="185"/>
    </row>
    <row r="35264">
      <c r="D35264" s="185"/>
      <c r="E35264" s="185" t="s">
        <v>470</v>
      </c>
      <c r="H35264" s="185"/>
    </row>
    <row r="35265">
      <c r="D35265" s="185"/>
      <c r="E35265" s="185" t="s">
        <v>470</v>
      </c>
      <c r="H35265" s="185"/>
    </row>
    <row r="35266">
      <c r="D35266" s="185"/>
      <c r="E35266" s="185" t="s">
        <v>470</v>
      </c>
      <c r="H35266" s="185"/>
    </row>
    <row r="35267">
      <c r="D35267" s="185"/>
      <c r="E35267" s="185" t="s">
        <v>470</v>
      </c>
      <c r="H35267" s="185"/>
    </row>
    <row r="35268">
      <c r="D35268" s="185"/>
      <c r="E35268" s="185" t="s">
        <v>470</v>
      </c>
      <c r="H35268" s="185"/>
    </row>
    <row r="35269">
      <c r="D35269" s="185"/>
      <c r="E35269" s="185" t="s">
        <v>470</v>
      </c>
      <c r="H35269" s="185"/>
    </row>
    <row r="35270">
      <c r="D35270" s="185"/>
      <c r="E35270" s="185" t="s">
        <v>470</v>
      </c>
      <c r="H35270" s="185"/>
    </row>
    <row r="35271">
      <c r="D35271" s="185"/>
      <c r="E35271" s="185" t="s">
        <v>470</v>
      </c>
      <c r="H35271" s="185"/>
    </row>
    <row r="35272">
      <c r="D35272" s="185"/>
      <c r="E35272" s="185" t="s">
        <v>470</v>
      </c>
      <c r="H35272" s="185"/>
    </row>
    <row r="35273">
      <c r="D35273" s="185"/>
      <c r="E35273" s="185" t="s">
        <v>470</v>
      </c>
      <c r="H35273" s="185"/>
    </row>
    <row r="35274">
      <c r="D35274" s="185"/>
      <c r="E35274" s="185" t="s">
        <v>470</v>
      </c>
      <c r="H35274" s="185"/>
    </row>
    <row r="35275">
      <c r="D35275" s="185"/>
      <c r="E35275" s="185" t="s">
        <v>470</v>
      </c>
      <c r="H35275" s="185"/>
    </row>
    <row r="35276">
      <c r="D35276" s="185"/>
      <c r="E35276" s="185" t="s">
        <v>470</v>
      </c>
      <c r="H35276" s="185"/>
    </row>
    <row r="35277">
      <c r="D35277" s="185"/>
      <c r="E35277" s="185" t="s">
        <v>470</v>
      </c>
      <c r="H35277" s="185"/>
    </row>
    <row r="35278">
      <c r="D35278" s="185"/>
      <c r="E35278" s="185" t="s">
        <v>470</v>
      </c>
      <c r="H35278" s="185"/>
    </row>
    <row r="35279">
      <c r="D35279" s="185"/>
      <c r="E35279" s="185" t="s">
        <v>470</v>
      </c>
      <c r="H35279" s="185"/>
    </row>
    <row r="35280">
      <c r="D35280" s="185"/>
      <c r="E35280" s="185" t="s">
        <v>470</v>
      </c>
      <c r="H35280" s="185"/>
    </row>
    <row r="35281">
      <c r="D35281" s="185"/>
      <c r="E35281" s="185" t="s">
        <v>470</v>
      </c>
      <c r="H35281" s="185"/>
    </row>
    <row r="35282">
      <c r="D35282" s="185"/>
      <c r="E35282" s="185" t="s">
        <v>470</v>
      </c>
      <c r="H35282" s="185"/>
    </row>
    <row r="35283">
      <c r="D35283" s="185"/>
      <c r="E35283" s="185" t="s">
        <v>470</v>
      </c>
      <c r="H35283" s="185"/>
    </row>
    <row r="35284">
      <c r="D35284" s="185"/>
      <c r="E35284" s="185" t="s">
        <v>470</v>
      </c>
      <c r="H35284" s="185"/>
    </row>
    <row r="35285">
      <c r="D35285" s="185"/>
      <c r="E35285" s="185" t="s">
        <v>470</v>
      </c>
      <c r="H35285" s="185"/>
    </row>
    <row r="35286">
      <c r="D35286" s="185"/>
      <c r="E35286" s="185" t="s">
        <v>470</v>
      </c>
      <c r="H35286" s="185"/>
    </row>
    <row r="35287">
      <c r="D35287" s="185"/>
      <c r="E35287" s="185" t="s">
        <v>470</v>
      </c>
      <c r="H35287" s="185"/>
    </row>
    <row r="35288">
      <c r="D35288" s="185"/>
      <c r="E35288" s="185" t="s">
        <v>470</v>
      </c>
      <c r="H35288" s="185"/>
    </row>
    <row r="35289">
      <c r="D35289" s="185"/>
      <c r="E35289" s="185" t="s">
        <v>470</v>
      </c>
      <c r="H35289" s="185"/>
    </row>
    <row r="35290">
      <c r="D35290" s="185"/>
      <c r="E35290" s="185" t="s">
        <v>470</v>
      </c>
      <c r="H35290" s="185"/>
    </row>
    <row r="35291">
      <c r="D35291" s="185"/>
      <c r="E35291" s="185" t="s">
        <v>470</v>
      </c>
      <c r="H35291" s="185"/>
    </row>
    <row r="35292">
      <c r="D35292" s="185"/>
      <c r="E35292" s="185" t="s">
        <v>470</v>
      </c>
      <c r="H35292" s="185"/>
    </row>
    <row r="35293">
      <c r="D35293" s="185"/>
      <c r="E35293" s="185" t="s">
        <v>470</v>
      </c>
      <c r="H35293" s="185"/>
    </row>
    <row r="35294">
      <c r="D35294" s="185"/>
      <c r="E35294" s="185" t="s">
        <v>470</v>
      </c>
      <c r="H35294" s="185"/>
    </row>
    <row r="35295">
      <c r="D35295" s="185"/>
      <c r="E35295" s="185" t="s">
        <v>470</v>
      </c>
      <c r="H35295" s="185"/>
    </row>
    <row r="35296">
      <c r="D35296" s="185"/>
      <c r="E35296" s="185" t="s">
        <v>470</v>
      </c>
      <c r="H35296" s="185"/>
    </row>
    <row r="35297">
      <c r="D35297" s="185"/>
      <c r="E35297" s="185" t="s">
        <v>470</v>
      </c>
      <c r="H35297" s="185"/>
    </row>
    <row r="35298">
      <c r="D35298" s="185"/>
      <c r="E35298" s="185" t="s">
        <v>470</v>
      </c>
      <c r="H35298" s="185"/>
    </row>
    <row r="35299">
      <c r="D35299" s="185"/>
      <c r="E35299" s="185" t="s">
        <v>470</v>
      </c>
      <c r="H35299" s="185"/>
    </row>
    <row r="35300">
      <c r="D35300" s="185"/>
      <c r="E35300" s="185" t="s">
        <v>470</v>
      </c>
      <c r="H35300" s="185"/>
    </row>
    <row r="35301">
      <c r="D35301" s="185"/>
      <c r="E35301" s="185" t="s">
        <v>470</v>
      </c>
      <c r="H35301" s="185"/>
    </row>
    <row r="35302">
      <c r="D35302" s="185"/>
      <c r="E35302" s="185" t="s">
        <v>470</v>
      </c>
      <c r="H35302" s="185"/>
    </row>
    <row r="35303">
      <c r="D35303" s="185"/>
      <c r="E35303" s="185" t="s">
        <v>470</v>
      </c>
      <c r="H35303" s="185"/>
    </row>
    <row r="35304">
      <c r="D35304" s="185"/>
      <c r="E35304" s="185" t="s">
        <v>470</v>
      </c>
      <c r="H35304" s="185"/>
    </row>
    <row r="35305">
      <c r="D35305" s="185"/>
      <c r="E35305" s="185" t="s">
        <v>470</v>
      </c>
      <c r="H35305" s="185"/>
    </row>
    <row r="35306">
      <c r="D35306" s="185"/>
      <c r="E35306" s="185" t="s">
        <v>470</v>
      </c>
      <c r="H35306" s="185"/>
    </row>
    <row r="35307">
      <c r="D35307" s="185"/>
      <c r="E35307" s="185" t="s">
        <v>470</v>
      </c>
      <c r="H35307" s="185"/>
    </row>
    <row r="35308">
      <c r="D35308" s="185"/>
      <c r="E35308" s="185" t="s">
        <v>470</v>
      </c>
      <c r="H35308" s="185"/>
    </row>
    <row r="35309">
      <c r="D35309" s="185"/>
      <c r="E35309" s="185" t="s">
        <v>470</v>
      </c>
      <c r="H35309" s="185"/>
    </row>
    <row r="35310">
      <c r="D35310" s="185"/>
      <c r="E35310" s="185" t="s">
        <v>470</v>
      </c>
      <c r="H35310" s="185"/>
    </row>
    <row r="35311">
      <c r="D35311" s="185"/>
      <c r="E35311" s="185" t="s">
        <v>470</v>
      </c>
      <c r="H35311" s="185"/>
    </row>
    <row r="35312">
      <c r="D35312" s="185"/>
      <c r="E35312" s="185" t="s">
        <v>470</v>
      </c>
      <c r="H35312" s="185"/>
    </row>
    <row r="35313">
      <c r="D35313" s="185"/>
      <c r="E35313" s="185" t="s">
        <v>470</v>
      </c>
      <c r="H35313" s="185"/>
    </row>
    <row r="35314">
      <c r="D35314" s="185"/>
      <c r="E35314" s="185" t="s">
        <v>470</v>
      </c>
      <c r="H35314" s="185"/>
    </row>
    <row r="35315">
      <c r="D35315" s="185"/>
      <c r="E35315" s="185" t="s">
        <v>470</v>
      </c>
      <c r="H35315" s="185"/>
    </row>
    <row r="35316">
      <c r="D35316" s="185"/>
      <c r="E35316" s="185" t="s">
        <v>470</v>
      </c>
      <c r="H35316" s="185"/>
    </row>
    <row r="35317">
      <c r="D35317" s="185"/>
      <c r="E35317" s="185" t="s">
        <v>470</v>
      </c>
      <c r="H35317" s="185"/>
    </row>
    <row r="35318">
      <c r="D35318" s="185"/>
      <c r="E35318" s="185" t="s">
        <v>470</v>
      </c>
      <c r="H35318" s="185"/>
    </row>
    <row r="35319">
      <c r="D35319" s="185"/>
      <c r="E35319" s="185" t="s">
        <v>470</v>
      </c>
      <c r="H35319" s="185"/>
    </row>
    <row r="35320">
      <c r="D35320" s="185"/>
      <c r="E35320" s="185" t="s">
        <v>470</v>
      </c>
      <c r="H35320" s="185"/>
    </row>
    <row r="35321">
      <c r="D35321" s="185"/>
      <c r="E35321" s="185" t="s">
        <v>470</v>
      </c>
      <c r="H35321" s="185"/>
    </row>
    <row r="35322">
      <c r="D35322" s="185"/>
      <c r="E35322" s="185" t="s">
        <v>470</v>
      </c>
      <c r="H35322" s="185"/>
    </row>
    <row r="35323">
      <c r="D35323" s="185"/>
      <c r="E35323" s="185" t="s">
        <v>470</v>
      </c>
      <c r="H35323" s="185"/>
    </row>
    <row r="35324">
      <c r="D35324" s="185"/>
      <c r="E35324" s="185" t="s">
        <v>470</v>
      </c>
      <c r="H35324" s="185"/>
    </row>
    <row r="35325">
      <c r="D35325" s="185"/>
      <c r="E35325" s="185" t="s">
        <v>470</v>
      </c>
      <c r="H35325" s="185"/>
    </row>
    <row r="35326">
      <c r="D35326" s="185"/>
      <c r="E35326" s="185" t="s">
        <v>470</v>
      </c>
      <c r="H35326" s="185"/>
    </row>
    <row r="35327">
      <c r="D35327" s="185"/>
      <c r="E35327" s="185" t="s">
        <v>470</v>
      </c>
      <c r="H35327" s="185"/>
    </row>
    <row r="35328">
      <c r="D35328" s="185"/>
      <c r="E35328" s="185" t="s">
        <v>470</v>
      </c>
      <c r="H35328" s="185"/>
    </row>
    <row r="35329">
      <c r="D35329" s="185"/>
      <c r="E35329" s="185" t="s">
        <v>470</v>
      </c>
      <c r="H35329" s="185"/>
    </row>
    <row r="35330">
      <c r="D35330" s="185"/>
      <c r="E35330" s="185" t="s">
        <v>470</v>
      </c>
      <c r="H35330" s="185"/>
    </row>
    <row r="35331">
      <c r="D35331" s="185"/>
      <c r="E35331" s="185" t="s">
        <v>470</v>
      </c>
      <c r="H35331" s="185"/>
    </row>
    <row r="35332">
      <c r="D35332" s="185"/>
      <c r="E35332" s="185" t="s">
        <v>470</v>
      </c>
      <c r="H35332" s="185"/>
    </row>
    <row r="35333">
      <c r="D35333" s="185"/>
      <c r="E35333" s="185" t="s">
        <v>470</v>
      </c>
      <c r="H35333" s="185"/>
    </row>
    <row r="35334">
      <c r="D35334" s="185"/>
      <c r="E35334" s="185" t="s">
        <v>470</v>
      </c>
      <c r="H35334" s="185"/>
    </row>
    <row r="35335">
      <c r="D35335" s="185"/>
      <c r="E35335" s="185" t="s">
        <v>470</v>
      </c>
      <c r="H35335" s="185"/>
    </row>
    <row r="35336">
      <c r="D35336" s="185"/>
      <c r="E35336" s="185" t="s">
        <v>470</v>
      </c>
      <c r="H35336" s="185"/>
    </row>
    <row r="35337">
      <c r="D35337" s="185"/>
      <c r="E35337" s="185" t="s">
        <v>470</v>
      </c>
      <c r="H35337" s="185"/>
    </row>
    <row r="35338">
      <c r="D35338" s="185"/>
      <c r="E35338" s="185" t="s">
        <v>470</v>
      </c>
      <c r="H35338" s="185"/>
    </row>
    <row r="35339">
      <c r="D35339" s="185"/>
      <c r="E35339" s="185" t="s">
        <v>470</v>
      </c>
      <c r="H35339" s="185"/>
    </row>
    <row r="35340">
      <c r="D35340" s="185"/>
      <c r="E35340" s="185" t="s">
        <v>470</v>
      </c>
      <c r="H35340" s="185"/>
    </row>
    <row r="35341">
      <c r="D35341" s="185"/>
      <c r="E35341" s="185" t="s">
        <v>470</v>
      </c>
      <c r="H35341" s="185"/>
    </row>
    <row r="35342">
      <c r="D35342" s="185"/>
      <c r="E35342" s="185" t="s">
        <v>470</v>
      </c>
      <c r="H35342" s="185"/>
    </row>
    <row r="35343">
      <c r="D35343" s="185"/>
      <c r="E35343" s="185" t="s">
        <v>470</v>
      </c>
      <c r="H35343" s="185"/>
    </row>
    <row r="35344">
      <c r="D35344" s="185"/>
      <c r="E35344" s="185" t="s">
        <v>470</v>
      </c>
      <c r="H35344" s="185"/>
    </row>
    <row r="35345">
      <c r="D35345" s="185"/>
      <c r="E35345" s="185" t="s">
        <v>470</v>
      </c>
      <c r="H35345" s="185"/>
    </row>
    <row r="35346">
      <c r="D35346" s="185"/>
      <c r="E35346" s="185" t="s">
        <v>470</v>
      </c>
      <c r="H35346" s="185"/>
    </row>
    <row r="35347">
      <c r="D35347" s="185"/>
      <c r="E35347" s="185" t="s">
        <v>470</v>
      </c>
      <c r="H35347" s="185"/>
    </row>
    <row r="35348">
      <c r="D35348" s="185"/>
      <c r="E35348" s="185" t="s">
        <v>470</v>
      </c>
      <c r="H35348" s="185"/>
    </row>
    <row r="35349">
      <c r="D35349" s="185"/>
      <c r="E35349" s="185" t="s">
        <v>470</v>
      </c>
      <c r="H35349" s="185"/>
    </row>
    <row r="35350">
      <c r="D35350" s="185"/>
      <c r="E35350" s="185" t="s">
        <v>470</v>
      </c>
      <c r="H35350" s="185"/>
    </row>
    <row r="35351">
      <c r="D35351" s="185"/>
      <c r="E35351" s="185" t="s">
        <v>470</v>
      </c>
      <c r="H35351" s="185"/>
    </row>
    <row r="35352">
      <c r="D35352" s="185"/>
      <c r="E35352" s="185" t="s">
        <v>470</v>
      </c>
      <c r="H35352" s="185"/>
    </row>
    <row r="35353">
      <c r="D35353" s="185"/>
      <c r="E35353" s="185" t="s">
        <v>470</v>
      </c>
      <c r="H35353" s="185"/>
    </row>
    <row r="35354">
      <c r="D35354" s="185"/>
      <c r="E35354" s="185" t="s">
        <v>470</v>
      </c>
      <c r="H35354" s="185"/>
    </row>
    <row r="35355">
      <c r="D35355" s="185"/>
      <c r="E35355" s="185" t="s">
        <v>470</v>
      </c>
      <c r="H35355" s="185"/>
    </row>
    <row r="35356">
      <c r="D35356" s="185"/>
      <c r="E35356" s="185" t="s">
        <v>470</v>
      </c>
      <c r="H35356" s="185"/>
    </row>
    <row r="35357">
      <c r="D35357" s="185"/>
      <c r="E35357" s="185" t="s">
        <v>470</v>
      </c>
      <c r="H35357" s="185"/>
    </row>
    <row r="35358">
      <c r="D35358" s="185"/>
      <c r="E35358" s="185" t="s">
        <v>470</v>
      </c>
      <c r="H35358" s="185"/>
    </row>
    <row r="35359">
      <c r="D35359" s="185"/>
      <c r="E35359" s="185" t="s">
        <v>470</v>
      </c>
      <c r="H35359" s="185"/>
    </row>
    <row r="35360">
      <c r="D35360" s="185"/>
      <c r="E35360" s="185" t="s">
        <v>470</v>
      </c>
      <c r="H35360" s="185"/>
    </row>
    <row r="35361">
      <c r="D35361" s="185"/>
      <c r="E35361" s="185" t="s">
        <v>470</v>
      </c>
      <c r="H35361" s="185"/>
    </row>
    <row r="35362">
      <c r="D35362" s="185"/>
      <c r="E35362" s="185" t="s">
        <v>470</v>
      </c>
      <c r="H35362" s="185"/>
    </row>
    <row r="35363">
      <c r="D35363" s="185"/>
      <c r="E35363" s="185" t="s">
        <v>470</v>
      </c>
      <c r="H35363" s="185"/>
    </row>
    <row r="35364">
      <c r="D35364" s="185"/>
      <c r="E35364" s="185" t="s">
        <v>470</v>
      </c>
      <c r="H35364" s="185"/>
    </row>
    <row r="35365">
      <c r="D35365" s="185"/>
      <c r="E35365" s="185" t="s">
        <v>470</v>
      </c>
      <c r="H35365" s="185"/>
    </row>
    <row r="35366">
      <c r="D35366" s="185"/>
      <c r="E35366" s="185" t="s">
        <v>470</v>
      </c>
      <c r="H35366" s="185"/>
    </row>
    <row r="35367">
      <c r="D35367" s="185"/>
      <c r="E35367" s="185" t="s">
        <v>470</v>
      </c>
      <c r="H35367" s="185"/>
    </row>
    <row r="35368">
      <c r="D35368" s="185"/>
      <c r="E35368" s="185" t="s">
        <v>470</v>
      </c>
      <c r="H35368" s="185"/>
    </row>
    <row r="35369">
      <c r="D35369" s="185"/>
      <c r="E35369" s="185" t="s">
        <v>470</v>
      </c>
      <c r="H35369" s="185"/>
    </row>
    <row r="35370">
      <c r="D35370" s="185"/>
      <c r="E35370" s="185" t="s">
        <v>470</v>
      </c>
      <c r="H35370" s="185"/>
    </row>
    <row r="35371">
      <c r="D35371" s="185"/>
      <c r="E35371" s="185" t="s">
        <v>470</v>
      </c>
      <c r="H35371" s="185"/>
    </row>
    <row r="35372">
      <c r="D35372" s="185"/>
      <c r="E35372" s="185" t="s">
        <v>470</v>
      </c>
      <c r="H35372" s="185"/>
    </row>
    <row r="35373">
      <c r="D35373" s="185"/>
      <c r="E35373" s="185" t="s">
        <v>470</v>
      </c>
      <c r="H35373" s="185"/>
    </row>
    <row r="35374">
      <c r="D35374" s="185"/>
      <c r="E35374" s="185" t="s">
        <v>470</v>
      </c>
      <c r="H35374" s="185"/>
    </row>
    <row r="35375">
      <c r="D35375" s="185"/>
      <c r="E35375" s="185" t="s">
        <v>470</v>
      </c>
      <c r="H35375" s="185"/>
    </row>
    <row r="35376">
      <c r="D35376" s="185"/>
      <c r="E35376" s="185" t="s">
        <v>470</v>
      </c>
      <c r="H35376" s="185"/>
    </row>
    <row r="35377">
      <c r="D35377" s="185"/>
      <c r="E35377" s="185" t="s">
        <v>470</v>
      </c>
      <c r="H35377" s="185"/>
    </row>
    <row r="35378">
      <c r="D35378" s="185"/>
      <c r="E35378" s="185" t="s">
        <v>470</v>
      </c>
      <c r="H35378" s="185"/>
    </row>
    <row r="35379">
      <c r="D35379" s="185"/>
      <c r="E35379" s="185" t="s">
        <v>470</v>
      </c>
      <c r="H35379" s="185"/>
    </row>
    <row r="35380">
      <c r="D35380" s="185"/>
      <c r="E35380" s="185" t="s">
        <v>470</v>
      </c>
      <c r="H35380" s="185"/>
    </row>
    <row r="35381">
      <c r="D35381" s="185"/>
      <c r="E35381" s="185" t="s">
        <v>470</v>
      </c>
      <c r="H35381" s="185"/>
    </row>
    <row r="35382">
      <c r="D35382" s="185"/>
      <c r="E35382" s="185" t="s">
        <v>470</v>
      </c>
      <c r="H35382" s="185"/>
    </row>
    <row r="35383">
      <c r="D35383" s="185"/>
      <c r="E35383" s="185" t="s">
        <v>470</v>
      </c>
      <c r="H35383" s="185"/>
    </row>
    <row r="35384">
      <c r="D35384" s="185"/>
      <c r="E35384" s="185" t="s">
        <v>470</v>
      </c>
      <c r="H35384" s="185"/>
    </row>
    <row r="35385">
      <c r="D35385" s="185"/>
      <c r="E35385" s="185" t="s">
        <v>470</v>
      </c>
      <c r="H35385" s="185"/>
    </row>
    <row r="35386">
      <c r="D35386" s="185"/>
      <c r="E35386" s="185" t="s">
        <v>470</v>
      </c>
      <c r="H35386" s="185"/>
    </row>
    <row r="35387">
      <c r="D35387" s="185"/>
      <c r="E35387" s="185" t="s">
        <v>470</v>
      </c>
      <c r="H35387" s="185"/>
    </row>
    <row r="35388">
      <c r="D35388" s="185"/>
      <c r="E35388" s="185" t="s">
        <v>470</v>
      </c>
      <c r="H35388" s="185"/>
    </row>
    <row r="35389">
      <c r="D35389" s="185"/>
      <c r="E35389" s="185" t="s">
        <v>470</v>
      </c>
      <c r="H35389" s="185"/>
    </row>
    <row r="35390">
      <c r="D35390" s="185"/>
      <c r="E35390" s="185" t="s">
        <v>470</v>
      </c>
      <c r="H35390" s="185"/>
    </row>
    <row r="35391">
      <c r="D35391" s="185"/>
      <c r="E35391" s="185" t="s">
        <v>470</v>
      </c>
      <c r="H35391" s="185"/>
    </row>
    <row r="35392">
      <c r="D35392" s="185"/>
      <c r="E35392" s="185" t="s">
        <v>470</v>
      </c>
      <c r="H35392" s="185"/>
    </row>
    <row r="35393">
      <c r="D35393" s="185"/>
      <c r="E35393" s="185" t="s">
        <v>470</v>
      </c>
      <c r="H35393" s="185"/>
    </row>
    <row r="35394">
      <c r="D35394" s="185"/>
      <c r="E35394" s="185" t="s">
        <v>470</v>
      </c>
      <c r="H35394" s="185"/>
    </row>
    <row r="35395">
      <c r="D35395" s="185"/>
      <c r="E35395" s="185" t="s">
        <v>470</v>
      </c>
      <c r="H35395" s="185"/>
    </row>
    <row r="35396">
      <c r="D35396" s="185"/>
      <c r="E35396" s="185" t="s">
        <v>470</v>
      </c>
      <c r="H35396" s="185"/>
    </row>
    <row r="35397">
      <c r="D35397" s="185"/>
      <c r="E35397" s="185" t="s">
        <v>470</v>
      </c>
      <c r="H35397" s="185"/>
    </row>
    <row r="35398">
      <c r="D35398" s="185"/>
      <c r="E35398" s="185" t="s">
        <v>470</v>
      </c>
      <c r="H35398" s="185"/>
    </row>
    <row r="35399">
      <c r="D35399" s="185"/>
      <c r="E35399" s="185" t="s">
        <v>470</v>
      </c>
      <c r="H35399" s="185"/>
    </row>
    <row r="35400">
      <c r="D35400" s="185"/>
      <c r="E35400" s="185" t="s">
        <v>470</v>
      </c>
      <c r="H35400" s="185"/>
    </row>
    <row r="35401">
      <c r="D35401" s="185"/>
      <c r="E35401" s="185" t="s">
        <v>470</v>
      </c>
      <c r="H35401" s="185"/>
    </row>
    <row r="35402">
      <c r="D35402" s="185"/>
      <c r="E35402" s="185" t="s">
        <v>470</v>
      </c>
      <c r="H35402" s="185"/>
    </row>
    <row r="35403">
      <c r="D35403" s="185"/>
      <c r="E35403" s="185" t="s">
        <v>470</v>
      </c>
      <c r="H35403" s="185"/>
    </row>
    <row r="35404">
      <c r="D35404" s="185"/>
      <c r="E35404" s="185" t="s">
        <v>470</v>
      </c>
      <c r="H35404" s="185"/>
    </row>
    <row r="35405">
      <c r="D35405" s="185"/>
      <c r="E35405" s="185" t="s">
        <v>470</v>
      </c>
      <c r="H35405" s="185"/>
    </row>
    <row r="35406">
      <c r="D35406" s="185"/>
      <c r="E35406" s="185" t="s">
        <v>470</v>
      </c>
      <c r="H35406" s="185"/>
    </row>
    <row r="35407">
      <c r="D35407" s="185"/>
      <c r="E35407" s="185" t="s">
        <v>470</v>
      </c>
      <c r="H35407" s="185"/>
    </row>
    <row r="35408">
      <c r="D35408" s="185"/>
      <c r="E35408" s="185" t="s">
        <v>470</v>
      </c>
      <c r="H35408" s="185"/>
    </row>
    <row r="35409">
      <c r="D35409" s="185"/>
      <c r="E35409" s="185" t="s">
        <v>470</v>
      </c>
      <c r="H35409" s="185"/>
    </row>
    <row r="35410">
      <c r="D35410" s="185"/>
      <c r="E35410" s="185" t="s">
        <v>470</v>
      </c>
      <c r="H35410" s="185"/>
    </row>
    <row r="35411">
      <c r="D35411" s="185"/>
      <c r="E35411" s="185" t="s">
        <v>470</v>
      </c>
      <c r="H35411" s="185"/>
    </row>
    <row r="35412">
      <c r="D35412" s="185"/>
      <c r="E35412" s="185" t="s">
        <v>470</v>
      </c>
      <c r="H35412" s="185"/>
    </row>
    <row r="35413">
      <c r="D35413" s="185"/>
      <c r="E35413" s="185" t="s">
        <v>470</v>
      </c>
      <c r="H35413" s="185"/>
    </row>
    <row r="35414">
      <c r="D35414" s="185"/>
      <c r="E35414" s="185" t="s">
        <v>470</v>
      </c>
      <c r="H35414" s="185"/>
    </row>
    <row r="35415">
      <c r="D35415" s="185"/>
      <c r="E35415" s="185" t="s">
        <v>470</v>
      </c>
      <c r="H35415" s="185"/>
    </row>
    <row r="35416">
      <c r="D35416" s="185"/>
      <c r="E35416" s="185" t="s">
        <v>470</v>
      </c>
      <c r="H35416" s="185"/>
    </row>
    <row r="35417">
      <c r="D35417" s="185"/>
      <c r="E35417" s="185" t="s">
        <v>470</v>
      </c>
      <c r="H35417" s="185"/>
    </row>
    <row r="35418">
      <c r="D35418" s="185"/>
      <c r="E35418" s="185" t="s">
        <v>470</v>
      </c>
      <c r="H35418" s="185"/>
    </row>
    <row r="35419">
      <c r="D35419" s="185"/>
      <c r="E35419" s="185" t="s">
        <v>470</v>
      </c>
      <c r="H35419" s="185"/>
    </row>
    <row r="35420">
      <c r="D35420" s="185"/>
      <c r="E35420" s="185" t="s">
        <v>470</v>
      </c>
      <c r="H35420" s="185"/>
    </row>
    <row r="35421">
      <c r="D35421" s="185"/>
      <c r="E35421" s="185" t="s">
        <v>470</v>
      </c>
      <c r="H35421" s="185"/>
    </row>
    <row r="35422">
      <c r="D35422" s="185"/>
      <c r="E35422" s="185" t="s">
        <v>470</v>
      </c>
      <c r="H35422" s="185"/>
    </row>
    <row r="35423">
      <c r="D35423" s="185"/>
      <c r="E35423" s="185" t="s">
        <v>470</v>
      </c>
      <c r="H35423" s="185"/>
    </row>
    <row r="35424">
      <c r="D35424" s="185"/>
      <c r="E35424" s="185" t="s">
        <v>470</v>
      </c>
      <c r="H35424" s="185"/>
    </row>
    <row r="35425">
      <c r="D35425" s="185"/>
      <c r="E35425" s="185" t="s">
        <v>470</v>
      </c>
      <c r="H35425" s="185"/>
    </row>
    <row r="35426">
      <c r="D35426" s="185"/>
      <c r="E35426" s="185" t="s">
        <v>470</v>
      </c>
      <c r="H35426" s="185"/>
    </row>
    <row r="35427">
      <c r="D35427" s="185"/>
      <c r="E35427" s="185" t="s">
        <v>470</v>
      </c>
      <c r="H35427" s="185"/>
    </row>
    <row r="35428">
      <c r="D35428" s="185"/>
      <c r="E35428" s="185" t="s">
        <v>470</v>
      </c>
      <c r="H35428" s="185"/>
    </row>
    <row r="35429">
      <c r="D35429" s="185"/>
      <c r="E35429" s="185" t="s">
        <v>470</v>
      </c>
      <c r="H35429" s="185"/>
    </row>
    <row r="35430">
      <c r="D35430" s="185"/>
      <c r="E35430" s="185" t="s">
        <v>470</v>
      </c>
      <c r="H35430" s="185"/>
    </row>
    <row r="35431">
      <c r="D35431" s="185"/>
      <c r="E35431" s="185" t="s">
        <v>470</v>
      </c>
      <c r="H35431" s="185"/>
    </row>
    <row r="35432">
      <c r="D35432" s="185"/>
      <c r="E35432" s="185" t="s">
        <v>470</v>
      </c>
      <c r="H35432" s="185"/>
    </row>
    <row r="35433">
      <c r="D35433" s="185"/>
      <c r="E35433" s="185" t="s">
        <v>470</v>
      </c>
      <c r="H35433" s="185"/>
    </row>
    <row r="35434">
      <c r="D35434" s="185"/>
      <c r="E35434" s="185" t="s">
        <v>470</v>
      </c>
      <c r="H35434" s="185"/>
    </row>
    <row r="35435">
      <c r="D35435" s="185"/>
      <c r="E35435" s="185" t="s">
        <v>470</v>
      </c>
      <c r="H35435" s="185"/>
    </row>
    <row r="35436">
      <c r="D35436" s="185"/>
      <c r="E35436" s="185" t="s">
        <v>470</v>
      </c>
      <c r="H35436" s="185"/>
    </row>
    <row r="35437">
      <c r="D35437" s="185"/>
      <c r="E35437" s="185" t="s">
        <v>470</v>
      </c>
      <c r="H35437" s="185"/>
    </row>
    <row r="35438">
      <c r="D35438" s="185"/>
      <c r="E35438" s="185" t="s">
        <v>470</v>
      </c>
      <c r="H35438" s="185"/>
    </row>
    <row r="35439">
      <c r="D35439" s="185"/>
      <c r="E35439" s="185" t="s">
        <v>470</v>
      </c>
      <c r="H35439" s="185"/>
    </row>
    <row r="35440">
      <c r="D35440" s="185"/>
      <c r="E35440" s="185" t="s">
        <v>470</v>
      </c>
      <c r="H35440" s="185"/>
    </row>
    <row r="35441">
      <c r="D35441" s="185"/>
      <c r="E35441" s="185" t="s">
        <v>470</v>
      </c>
      <c r="H35441" s="185"/>
    </row>
    <row r="35442">
      <c r="D35442" s="185"/>
      <c r="E35442" s="185" t="s">
        <v>470</v>
      </c>
      <c r="H35442" s="185"/>
    </row>
    <row r="35443">
      <c r="D35443" s="185"/>
      <c r="E35443" s="185" t="s">
        <v>470</v>
      </c>
      <c r="H35443" s="185"/>
    </row>
    <row r="35444">
      <c r="D35444" s="185"/>
      <c r="E35444" s="185" t="s">
        <v>470</v>
      </c>
      <c r="H35444" s="185"/>
    </row>
    <row r="35445">
      <c r="D35445" s="185"/>
      <c r="E35445" s="185" t="s">
        <v>470</v>
      </c>
      <c r="H35445" s="185"/>
    </row>
    <row r="35446">
      <c r="D35446" s="185"/>
      <c r="E35446" s="185" t="s">
        <v>470</v>
      </c>
      <c r="H35446" s="185"/>
    </row>
    <row r="35447">
      <c r="D35447" s="185"/>
      <c r="E35447" s="185" t="s">
        <v>470</v>
      </c>
      <c r="H35447" s="185"/>
    </row>
    <row r="35448">
      <c r="D35448" s="185"/>
      <c r="E35448" s="185" t="s">
        <v>470</v>
      </c>
      <c r="H35448" s="185"/>
    </row>
    <row r="35449">
      <c r="D35449" s="185"/>
      <c r="E35449" s="185" t="s">
        <v>470</v>
      </c>
      <c r="H35449" s="185"/>
    </row>
    <row r="35450">
      <c r="D35450" s="185"/>
      <c r="E35450" s="185" t="s">
        <v>470</v>
      </c>
      <c r="H35450" s="185"/>
    </row>
    <row r="35451">
      <c r="D35451" s="185"/>
      <c r="E35451" s="185" t="s">
        <v>470</v>
      </c>
      <c r="H35451" s="185"/>
    </row>
    <row r="35452">
      <c r="D35452" s="185"/>
      <c r="E35452" s="185" t="s">
        <v>470</v>
      </c>
      <c r="H35452" s="185"/>
    </row>
    <row r="35453">
      <c r="D35453" s="185"/>
      <c r="E35453" s="185" t="s">
        <v>470</v>
      </c>
      <c r="H35453" s="185"/>
    </row>
    <row r="35454">
      <c r="D35454" s="185"/>
      <c r="E35454" s="185" t="s">
        <v>470</v>
      </c>
      <c r="H35454" s="185"/>
    </row>
    <row r="35455">
      <c r="D35455" s="185"/>
      <c r="E35455" s="185" t="s">
        <v>470</v>
      </c>
      <c r="H35455" s="185"/>
    </row>
    <row r="35456">
      <c r="D35456" s="185"/>
      <c r="E35456" s="185" t="s">
        <v>470</v>
      </c>
      <c r="H35456" s="185"/>
    </row>
    <row r="35457">
      <c r="D35457" s="185"/>
      <c r="E35457" s="185" t="s">
        <v>470</v>
      </c>
      <c r="H35457" s="185"/>
    </row>
    <row r="35458">
      <c r="D35458" s="185"/>
      <c r="E35458" s="185" t="s">
        <v>470</v>
      </c>
      <c r="H35458" s="185"/>
    </row>
    <row r="35459">
      <c r="D35459" s="185"/>
      <c r="E35459" s="185" t="s">
        <v>470</v>
      </c>
      <c r="H35459" s="185"/>
    </row>
    <row r="35460">
      <c r="D35460" s="185"/>
      <c r="E35460" s="185" t="s">
        <v>470</v>
      </c>
      <c r="H35460" s="185"/>
    </row>
    <row r="35461">
      <c r="D35461" s="185"/>
      <c r="E35461" s="185" t="s">
        <v>470</v>
      </c>
      <c r="H35461" s="185"/>
    </row>
    <row r="35462">
      <c r="D35462" s="185"/>
      <c r="E35462" s="185" t="s">
        <v>470</v>
      </c>
      <c r="H35462" s="185"/>
    </row>
    <row r="35463">
      <c r="D35463" s="185"/>
      <c r="E35463" s="185" t="s">
        <v>470</v>
      </c>
      <c r="H35463" s="185"/>
    </row>
    <row r="35464">
      <c r="D35464" s="185"/>
      <c r="E35464" s="185" t="s">
        <v>470</v>
      </c>
      <c r="H35464" s="185"/>
    </row>
    <row r="35465">
      <c r="D35465" s="185"/>
      <c r="E35465" s="185" t="s">
        <v>470</v>
      </c>
      <c r="H35465" s="185"/>
    </row>
    <row r="35466">
      <c r="D35466" s="185"/>
      <c r="E35466" s="185" t="s">
        <v>470</v>
      </c>
      <c r="H35466" s="185"/>
    </row>
    <row r="35467">
      <c r="D35467" s="185"/>
      <c r="E35467" s="185" t="s">
        <v>470</v>
      </c>
      <c r="H35467" s="185"/>
    </row>
    <row r="35468">
      <c r="D35468" s="185"/>
      <c r="E35468" s="185" t="s">
        <v>470</v>
      </c>
      <c r="H35468" s="185"/>
    </row>
    <row r="35469">
      <c r="D35469" s="185"/>
      <c r="E35469" s="185" t="s">
        <v>470</v>
      </c>
      <c r="H35469" s="185"/>
    </row>
    <row r="35470">
      <c r="D35470" s="185"/>
      <c r="E35470" s="185" t="s">
        <v>470</v>
      </c>
      <c r="H35470" s="185"/>
    </row>
    <row r="35471">
      <c r="D35471" s="185"/>
      <c r="E35471" s="185" t="s">
        <v>470</v>
      </c>
      <c r="H35471" s="185"/>
    </row>
    <row r="35472">
      <c r="D35472" s="185"/>
      <c r="E35472" s="185" t="s">
        <v>470</v>
      </c>
      <c r="H35472" s="185"/>
    </row>
    <row r="35473">
      <c r="D35473" s="185"/>
      <c r="E35473" s="185" t="s">
        <v>470</v>
      </c>
      <c r="H35473" s="185"/>
    </row>
    <row r="35474">
      <c r="D35474" s="185"/>
      <c r="E35474" s="185" t="s">
        <v>470</v>
      </c>
      <c r="H35474" s="185"/>
    </row>
    <row r="35475">
      <c r="D35475" s="185"/>
      <c r="E35475" s="185" t="s">
        <v>470</v>
      </c>
      <c r="H35475" s="185"/>
    </row>
    <row r="35476">
      <c r="D35476" s="185"/>
      <c r="E35476" s="185" t="s">
        <v>470</v>
      </c>
      <c r="H35476" s="185"/>
    </row>
    <row r="35477">
      <c r="D35477" s="185"/>
      <c r="E35477" s="185" t="s">
        <v>470</v>
      </c>
      <c r="H35477" s="185"/>
    </row>
    <row r="35478">
      <c r="D35478" s="185"/>
      <c r="E35478" s="185" t="s">
        <v>470</v>
      </c>
      <c r="H35478" s="185"/>
    </row>
    <row r="35479">
      <c r="D35479" s="185"/>
      <c r="E35479" s="185" t="s">
        <v>470</v>
      </c>
      <c r="H35479" s="185"/>
    </row>
    <row r="35480">
      <c r="D35480" s="185"/>
      <c r="E35480" s="185" t="s">
        <v>470</v>
      </c>
      <c r="H35480" s="185"/>
    </row>
    <row r="35481">
      <c r="D35481" s="185"/>
      <c r="E35481" s="185" t="s">
        <v>470</v>
      </c>
      <c r="H35481" s="185"/>
    </row>
    <row r="35482">
      <c r="D35482" s="185"/>
      <c r="E35482" s="185" t="s">
        <v>470</v>
      </c>
      <c r="H35482" s="185"/>
    </row>
    <row r="35483">
      <c r="D35483" s="185"/>
      <c r="E35483" s="185" t="s">
        <v>470</v>
      </c>
      <c r="H35483" s="185"/>
    </row>
    <row r="35484">
      <c r="D35484" s="185"/>
      <c r="E35484" s="185" t="s">
        <v>470</v>
      </c>
      <c r="H35484" s="185"/>
    </row>
    <row r="35485">
      <c r="D35485" s="185"/>
      <c r="E35485" s="185" t="s">
        <v>470</v>
      </c>
      <c r="H35485" s="185"/>
    </row>
    <row r="35486">
      <c r="D35486" s="185"/>
      <c r="E35486" s="185" t="s">
        <v>470</v>
      </c>
      <c r="H35486" s="185"/>
    </row>
    <row r="35487">
      <c r="D35487" s="185"/>
      <c r="E35487" s="185" t="s">
        <v>470</v>
      </c>
      <c r="H35487" s="185"/>
    </row>
    <row r="35488">
      <c r="D35488" s="185"/>
      <c r="E35488" s="185" t="s">
        <v>470</v>
      </c>
      <c r="H35488" s="185"/>
    </row>
    <row r="35489">
      <c r="D35489" s="185"/>
      <c r="E35489" s="185" t="s">
        <v>470</v>
      </c>
      <c r="H35489" s="185"/>
    </row>
    <row r="35490">
      <c r="D35490" s="185"/>
      <c r="E35490" s="185" t="s">
        <v>470</v>
      </c>
      <c r="H35490" s="185"/>
    </row>
    <row r="35491">
      <c r="D35491" s="185"/>
      <c r="E35491" s="185" t="s">
        <v>470</v>
      </c>
      <c r="H35491" s="185"/>
    </row>
    <row r="35492">
      <c r="D35492" s="185"/>
      <c r="E35492" s="185" t="s">
        <v>470</v>
      </c>
      <c r="H35492" s="185"/>
    </row>
    <row r="35493">
      <c r="D35493" s="185"/>
      <c r="E35493" s="185" t="s">
        <v>470</v>
      </c>
      <c r="H35493" s="185"/>
    </row>
    <row r="35494">
      <c r="D35494" s="185"/>
      <c r="E35494" s="185" t="s">
        <v>470</v>
      </c>
      <c r="H35494" s="185"/>
    </row>
    <row r="35495">
      <c r="D35495" s="185"/>
      <c r="E35495" s="185" t="s">
        <v>470</v>
      </c>
      <c r="H35495" s="185"/>
    </row>
    <row r="35496">
      <c r="D35496" s="185"/>
      <c r="E35496" s="185" t="s">
        <v>470</v>
      </c>
      <c r="H35496" s="185"/>
    </row>
    <row r="35497">
      <c r="D35497" s="185"/>
      <c r="E35497" s="185" t="s">
        <v>470</v>
      </c>
      <c r="H35497" s="185"/>
    </row>
    <row r="35498">
      <c r="D35498" s="185"/>
      <c r="E35498" s="185" t="s">
        <v>470</v>
      </c>
      <c r="H35498" s="185"/>
    </row>
    <row r="35499">
      <c r="D35499" s="185"/>
      <c r="E35499" s="185" t="s">
        <v>470</v>
      </c>
      <c r="H35499" s="185"/>
    </row>
    <row r="35500">
      <c r="D35500" s="185"/>
      <c r="E35500" s="185" t="s">
        <v>470</v>
      </c>
      <c r="H35500" s="185"/>
    </row>
    <row r="35501">
      <c r="D35501" s="185"/>
      <c r="E35501" s="185" t="s">
        <v>470</v>
      </c>
      <c r="H35501" s="185"/>
    </row>
    <row r="35502">
      <c r="D35502" s="185"/>
      <c r="E35502" s="185" t="s">
        <v>470</v>
      </c>
      <c r="H35502" s="185"/>
    </row>
    <row r="35503">
      <c r="D35503" s="185"/>
      <c r="E35503" s="185" t="s">
        <v>470</v>
      </c>
      <c r="H35503" s="185"/>
    </row>
    <row r="35504">
      <c r="D35504" s="185"/>
      <c r="E35504" s="185" t="s">
        <v>470</v>
      </c>
      <c r="H35504" s="185"/>
    </row>
    <row r="35505">
      <c r="D35505" s="185"/>
      <c r="E35505" s="185" t="s">
        <v>470</v>
      </c>
      <c r="H35505" s="185"/>
    </row>
    <row r="35506">
      <c r="D35506" s="185"/>
      <c r="E35506" s="185" t="s">
        <v>470</v>
      </c>
      <c r="H35506" s="185"/>
    </row>
    <row r="35507">
      <c r="D35507" s="185"/>
      <c r="E35507" s="185" t="s">
        <v>470</v>
      </c>
      <c r="H35507" s="185"/>
    </row>
    <row r="35508">
      <c r="D35508" s="185"/>
      <c r="E35508" s="185" t="s">
        <v>470</v>
      </c>
      <c r="H35508" s="185"/>
    </row>
    <row r="35509">
      <c r="D35509" s="185"/>
      <c r="E35509" s="185" t="s">
        <v>470</v>
      </c>
      <c r="H35509" s="185"/>
    </row>
    <row r="35510">
      <c r="D35510" s="185"/>
      <c r="E35510" s="185" t="s">
        <v>470</v>
      </c>
      <c r="H35510" s="185"/>
    </row>
    <row r="35511">
      <c r="D35511" s="185"/>
      <c r="E35511" s="185" t="s">
        <v>470</v>
      </c>
      <c r="H35511" s="185"/>
    </row>
    <row r="35512">
      <c r="D35512" s="185"/>
      <c r="E35512" s="185" t="s">
        <v>470</v>
      </c>
      <c r="H35512" s="185"/>
    </row>
    <row r="35513">
      <c r="D35513" s="185"/>
      <c r="E35513" s="185" t="s">
        <v>470</v>
      </c>
      <c r="H35513" s="185"/>
    </row>
    <row r="35514">
      <c r="D35514" s="185"/>
      <c r="E35514" s="185" t="s">
        <v>470</v>
      </c>
      <c r="H35514" s="185"/>
    </row>
    <row r="35515">
      <c r="D35515" s="185"/>
      <c r="E35515" s="185" t="s">
        <v>470</v>
      </c>
      <c r="H35515" s="185"/>
    </row>
    <row r="35516">
      <c r="D35516" s="185"/>
      <c r="E35516" s="185" t="s">
        <v>470</v>
      </c>
      <c r="H35516" s="185"/>
    </row>
    <row r="35517">
      <c r="D35517" s="185"/>
      <c r="E35517" s="185" t="s">
        <v>470</v>
      </c>
      <c r="H35517" s="185"/>
    </row>
    <row r="35518">
      <c r="D35518" s="185"/>
      <c r="E35518" s="185" t="s">
        <v>470</v>
      </c>
      <c r="H35518" s="185"/>
    </row>
    <row r="35519">
      <c r="D35519" s="185"/>
      <c r="E35519" s="185" t="s">
        <v>470</v>
      </c>
      <c r="H35519" s="185"/>
    </row>
    <row r="35520">
      <c r="D35520" s="185"/>
      <c r="E35520" s="185" t="s">
        <v>470</v>
      </c>
      <c r="H35520" s="185"/>
    </row>
    <row r="35521">
      <c r="D35521" s="185"/>
      <c r="E35521" s="185" t="s">
        <v>470</v>
      </c>
      <c r="H35521" s="185"/>
    </row>
    <row r="35522">
      <c r="D35522" s="185"/>
      <c r="E35522" s="185" t="s">
        <v>470</v>
      </c>
      <c r="H35522" s="185"/>
    </row>
    <row r="35523">
      <c r="D35523" s="185"/>
      <c r="E35523" s="185" t="s">
        <v>470</v>
      </c>
      <c r="H35523" s="185"/>
    </row>
    <row r="35524">
      <c r="D35524" s="185"/>
      <c r="E35524" s="185" t="s">
        <v>470</v>
      </c>
      <c r="H35524" s="185"/>
    </row>
    <row r="35525">
      <c r="D35525" s="185"/>
      <c r="E35525" s="185" t="s">
        <v>470</v>
      </c>
      <c r="H35525" s="185"/>
    </row>
    <row r="35526">
      <c r="D35526" s="185"/>
      <c r="E35526" s="185" t="s">
        <v>470</v>
      </c>
      <c r="H35526" s="185"/>
    </row>
    <row r="35527">
      <c r="D35527" s="185"/>
      <c r="E35527" s="185" t="s">
        <v>470</v>
      </c>
      <c r="H35527" s="185"/>
    </row>
    <row r="35528">
      <c r="D35528" s="185"/>
      <c r="E35528" s="185" t="s">
        <v>470</v>
      </c>
      <c r="H35528" s="185"/>
    </row>
    <row r="35529">
      <c r="D35529" s="185"/>
      <c r="E35529" s="185" t="s">
        <v>470</v>
      </c>
      <c r="H35529" s="185"/>
    </row>
    <row r="35530">
      <c r="D35530" s="185"/>
      <c r="E35530" s="185" t="s">
        <v>470</v>
      </c>
      <c r="H35530" s="185"/>
    </row>
    <row r="35531">
      <c r="D35531" s="185"/>
      <c r="E35531" s="185" t="s">
        <v>470</v>
      </c>
      <c r="H35531" s="185"/>
    </row>
    <row r="35532">
      <c r="D35532" s="185"/>
      <c r="E35532" s="185" t="s">
        <v>470</v>
      </c>
      <c r="H35532" s="185"/>
    </row>
    <row r="35533">
      <c r="D35533" s="185"/>
      <c r="E35533" s="185" t="s">
        <v>470</v>
      </c>
      <c r="H35533" s="185"/>
    </row>
    <row r="35534">
      <c r="D35534" s="185"/>
      <c r="E35534" s="185" t="s">
        <v>470</v>
      </c>
      <c r="H35534" s="185"/>
    </row>
    <row r="35535">
      <c r="D35535" s="185"/>
      <c r="E35535" s="185" t="s">
        <v>470</v>
      </c>
      <c r="H35535" s="185"/>
    </row>
    <row r="35536">
      <c r="D35536" s="185"/>
      <c r="E35536" s="185" t="s">
        <v>470</v>
      </c>
      <c r="H35536" s="185"/>
    </row>
    <row r="35537">
      <c r="D35537" s="185"/>
      <c r="E35537" s="185" t="s">
        <v>470</v>
      </c>
      <c r="H35537" s="185"/>
    </row>
    <row r="35538">
      <c r="D35538" s="185"/>
      <c r="E35538" s="185" t="s">
        <v>470</v>
      </c>
      <c r="H35538" s="185"/>
    </row>
    <row r="35539">
      <c r="D35539" s="185"/>
      <c r="E35539" s="185" t="s">
        <v>470</v>
      </c>
      <c r="H35539" s="185"/>
    </row>
    <row r="35540">
      <c r="D35540" s="185"/>
      <c r="E35540" s="185" t="s">
        <v>470</v>
      </c>
      <c r="H35540" s="185"/>
    </row>
    <row r="35541">
      <c r="D35541" s="185"/>
      <c r="E35541" s="185" t="s">
        <v>470</v>
      </c>
      <c r="H35541" s="185"/>
    </row>
    <row r="35542">
      <c r="D35542" s="185"/>
      <c r="E35542" s="185" t="s">
        <v>470</v>
      </c>
      <c r="H35542" s="185"/>
    </row>
    <row r="35543">
      <c r="D35543" s="185"/>
      <c r="E35543" s="185" t="s">
        <v>470</v>
      </c>
      <c r="H35543" s="185"/>
    </row>
    <row r="35544">
      <c r="D35544" s="185"/>
      <c r="E35544" s="185" t="s">
        <v>470</v>
      </c>
      <c r="H35544" s="185"/>
    </row>
    <row r="35545">
      <c r="D35545" s="185"/>
      <c r="E35545" s="185" t="s">
        <v>470</v>
      </c>
      <c r="H35545" s="185"/>
    </row>
    <row r="35546">
      <c r="D35546" s="185"/>
      <c r="E35546" s="185" t="s">
        <v>470</v>
      </c>
      <c r="H35546" s="185"/>
    </row>
    <row r="35547">
      <c r="D35547" s="185"/>
      <c r="E35547" s="185" t="s">
        <v>470</v>
      </c>
      <c r="H35547" s="185"/>
    </row>
    <row r="35548">
      <c r="D35548" s="185"/>
      <c r="E35548" s="185" t="s">
        <v>470</v>
      </c>
      <c r="H35548" s="185"/>
    </row>
    <row r="35549">
      <c r="D35549" s="185"/>
      <c r="E35549" s="185" t="s">
        <v>470</v>
      </c>
      <c r="H35549" s="185"/>
    </row>
    <row r="35550">
      <c r="D35550" s="185"/>
      <c r="E35550" s="185" t="s">
        <v>470</v>
      </c>
      <c r="H35550" s="185"/>
    </row>
    <row r="35551">
      <c r="D35551" s="185"/>
      <c r="E35551" s="185" t="s">
        <v>470</v>
      </c>
      <c r="H35551" s="185"/>
    </row>
    <row r="35552">
      <c r="D35552" s="185"/>
      <c r="E35552" s="185" t="s">
        <v>470</v>
      </c>
      <c r="H35552" s="185"/>
    </row>
    <row r="35553">
      <c r="D35553" s="185"/>
      <c r="E35553" s="185" t="s">
        <v>470</v>
      </c>
      <c r="H35553" s="185"/>
    </row>
    <row r="35554">
      <c r="D35554" s="185"/>
      <c r="E35554" s="185" t="s">
        <v>470</v>
      </c>
      <c r="H35554" s="185"/>
    </row>
    <row r="35555">
      <c r="D35555" s="185"/>
      <c r="E35555" s="185" t="s">
        <v>470</v>
      </c>
      <c r="H35555" s="185"/>
    </row>
    <row r="35556">
      <c r="D35556" s="185"/>
      <c r="E35556" s="185" t="s">
        <v>470</v>
      </c>
      <c r="H35556" s="185"/>
    </row>
    <row r="35557">
      <c r="D35557" s="185"/>
      <c r="E35557" s="185" t="s">
        <v>470</v>
      </c>
      <c r="H35557" s="185"/>
    </row>
    <row r="35558">
      <c r="D35558" s="185"/>
      <c r="E35558" s="185" t="s">
        <v>470</v>
      </c>
      <c r="H35558" s="185"/>
    </row>
    <row r="35559">
      <c r="D35559" s="185"/>
      <c r="E35559" s="185" t="s">
        <v>470</v>
      </c>
      <c r="H35559" s="185"/>
    </row>
    <row r="35560">
      <c r="D35560" s="185"/>
      <c r="E35560" s="185" t="s">
        <v>470</v>
      </c>
      <c r="H35560" s="185"/>
    </row>
    <row r="35561">
      <c r="D35561" s="185"/>
      <c r="E35561" s="185" t="s">
        <v>470</v>
      </c>
      <c r="H35561" s="185"/>
    </row>
    <row r="35562">
      <c r="D35562" s="185"/>
      <c r="E35562" s="185" t="s">
        <v>470</v>
      </c>
      <c r="H35562" s="185"/>
    </row>
    <row r="35563">
      <c r="D35563" s="185"/>
      <c r="E35563" s="185" t="s">
        <v>470</v>
      </c>
      <c r="H35563" s="185"/>
    </row>
    <row r="35564">
      <c r="D35564" s="185"/>
      <c r="E35564" s="185" t="s">
        <v>470</v>
      </c>
      <c r="H35564" s="185"/>
    </row>
    <row r="35565">
      <c r="D35565" s="185"/>
      <c r="E35565" s="185" t="s">
        <v>470</v>
      </c>
      <c r="H35565" s="185"/>
    </row>
    <row r="35566">
      <c r="D35566" s="185"/>
      <c r="E35566" s="185" t="s">
        <v>470</v>
      </c>
      <c r="H35566" s="185"/>
    </row>
    <row r="35567">
      <c r="D35567" s="185"/>
      <c r="E35567" s="185" t="s">
        <v>470</v>
      </c>
      <c r="H35567" s="185"/>
    </row>
    <row r="35568">
      <c r="D35568" s="185"/>
      <c r="E35568" s="185" t="s">
        <v>470</v>
      </c>
      <c r="H35568" s="185"/>
    </row>
    <row r="35569">
      <c r="D35569" s="185"/>
      <c r="E35569" s="185" t="s">
        <v>470</v>
      </c>
      <c r="H35569" s="185"/>
    </row>
    <row r="35570">
      <c r="D35570" s="185"/>
      <c r="E35570" s="185" t="s">
        <v>470</v>
      </c>
      <c r="H35570" s="185"/>
    </row>
    <row r="35571">
      <c r="D35571" s="185"/>
      <c r="E35571" s="185" t="s">
        <v>470</v>
      </c>
      <c r="H35571" s="185"/>
    </row>
    <row r="35572">
      <c r="D35572" s="185"/>
      <c r="E35572" s="185" t="s">
        <v>470</v>
      </c>
      <c r="H35572" s="185"/>
    </row>
    <row r="35573">
      <c r="D35573" s="185"/>
      <c r="E35573" s="185" t="s">
        <v>470</v>
      </c>
      <c r="H35573" s="185"/>
    </row>
    <row r="35574">
      <c r="D35574" s="185"/>
      <c r="E35574" s="185" t="s">
        <v>470</v>
      </c>
      <c r="H35574" s="185"/>
    </row>
    <row r="35575">
      <c r="D35575" s="185"/>
      <c r="E35575" s="185" t="s">
        <v>470</v>
      </c>
      <c r="H35575" s="185"/>
    </row>
    <row r="35576">
      <c r="D35576" s="185"/>
      <c r="E35576" s="185" t="s">
        <v>470</v>
      </c>
      <c r="H35576" s="185"/>
    </row>
    <row r="35577">
      <c r="D35577" s="185"/>
      <c r="E35577" s="185" t="s">
        <v>470</v>
      </c>
      <c r="H35577" s="185"/>
    </row>
    <row r="35578">
      <c r="D35578" s="185"/>
      <c r="E35578" s="185" t="s">
        <v>470</v>
      </c>
      <c r="H35578" s="185"/>
    </row>
    <row r="35579">
      <c r="D35579" s="185"/>
      <c r="E35579" s="185" t="s">
        <v>470</v>
      </c>
      <c r="H35579" s="185"/>
    </row>
    <row r="35580">
      <c r="D35580" s="185"/>
      <c r="E35580" s="185" t="s">
        <v>470</v>
      </c>
      <c r="H35580" s="185"/>
    </row>
    <row r="35581">
      <c r="D35581" s="185"/>
      <c r="E35581" s="185" t="s">
        <v>470</v>
      </c>
      <c r="H35581" s="185"/>
    </row>
    <row r="35582">
      <c r="D35582" s="185"/>
      <c r="E35582" s="185" t="s">
        <v>470</v>
      </c>
      <c r="H35582" s="185"/>
    </row>
    <row r="35583">
      <c r="D35583" s="185"/>
      <c r="E35583" s="185" t="s">
        <v>470</v>
      </c>
      <c r="H35583" s="185"/>
    </row>
    <row r="35584">
      <c r="D35584" s="185"/>
      <c r="E35584" s="185" t="s">
        <v>470</v>
      </c>
      <c r="H35584" s="185"/>
    </row>
    <row r="35585">
      <c r="D35585" s="185"/>
      <c r="E35585" s="185" t="s">
        <v>470</v>
      </c>
      <c r="H35585" s="185"/>
    </row>
    <row r="35586">
      <c r="D35586" s="185"/>
      <c r="E35586" s="185" t="s">
        <v>470</v>
      </c>
      <c r="H35586" s="185"/>
    </row>
    <row r="35587">
      <c r="D35587" s="185"/>
      <c r="E35587" s="185" t="s">
        <v>470</v>
      </c>
      <c r="H35587" s="185"/>
    </row>
    <row r="35588">
      <c r="D35588" s="185"/>
      <c r="E35588" s="185" t="s">
        <v>470</v>
      </c>
      <c r="H35588" s="185"/>
    </row>
    <row r="35589">
      <c r="D35589" s="185"/>
      <c r="E35589" s="185" t="s">
        <v>470</v>
      </c>
      <c r="H35589" s="185"/>
    </row>
    <row r="35590">
      <c r="D35590" s="185"/>
      <c r="E35590" s="185" t="s">
        <v>470</v>
      </c>
      <c r="H35590" s="185"/>
    </row>
    <row r="35591">
      <c r="D35591" s="185"/>
      <c r="E35591" s="185" t="s">
        <v>470</v>
      </c>
      <c r="H35591" s="185"/>
    </row>
    <row r="35592">
      <c r="D35592" s="185"/>
      <c r="E35592" s="185" t="s">
        <v>470</v>
      </c>
      <c r="H35592" s="185"/>
    </row>
    <row r="35593">
      <c r="D35593" s="185"/>
      <c r="E35593" s="185" t="s">
        <v>470</v>
      </c>
      <c r="H35593" s="185"/>
    </row>
    <row r="35594">
      <c r="D35594" s="185"/>
      <c r="E35594" s="185" t="s">
        <v>470</v>
      </c>
      <c r="H35594" s="185"/>
    </row>
    <row r="35595">
      <c r="D35595" s="185"/>
      <c r="E35595" s="185" t="s">
        <v>470</v>
      </c>
      <c r="H35595" s="185"/>
    </row>
    <row r="35596">
      <c r="D35596" s="185"/>
      <c r="E35596" s="185" t="s">
        <v>470</v>
      </c>
      <c r="H35596" s="185"/>
    </row>
    <row r="35597">
      <c r="D35597" s="185"/>
      <c r="E35597" s="185" t="s">
        <v>470</v>
      </c>
      <c r="H35597" s="185"/>
    </row>
    <row r="35598">
      <c r="D35598" s="185"/>
      <c r="E35598" s="185" t="s">
        <v>470</v>
      </c>
      <c r="H35598" s="185"/>
    </row>
    <row r="35599">
      <c r="D35599" s="185"/>
      <c r="E35599" s="185" t="s">
        <v>470</v>
      </c>
      <c r="H35599" s="185"/>
    </row>
    <row r="35600">
      <c r="D35600" s="185"/>
      <c r="E35600" s="185" t="s">
        <v>470</v>
      </c>
      <c r="H35600" s="185"/>
    </row>
    <row r="35601">
      <c r="D35601" s="185"/>
      <c r="E35601" s="185" t="s">
        <v>470</v>
      </c>
      <c r="H35601" s="185"/>
    </row>
    <row r="35602">
      <c r="D35602" s="185"/>
      <c r="E35602" s="185" t="s">
        <v>470</v>
      </c>
      <c r="H35602" s="185"/>
    </row>
    <row r="35603">
      <c r="D35603" s="185"/>
      <c r="E35603" s="185" t="s">
        <v>470</v>
      </c>
      <c r="H35603" s="185"/>
    </row>
    <row r="35604">
      <c r="D35604" s="185"/>
      <c r="E35604" s="185" t="s">
        <v>470</v>
      </c>
      <c r="H35604" s="185"/>
    </row>
    <row r="35605">
      <c r="D35605" s="185"/>
      <c r="E35605" s="185" t="s">
        <v>470</v>
      </c>
      <c r="H35605" s="185"/>
    </row>
    <row r="35606">
      <c r="D35606" s="185"/>
      <c r="E35606" s="185" t="s">
        <v>470</v>
      </c>
      <c r="H35606" s="185"/>
    </row>
    <row r="35607">
      <c r="D35607" s="185"/>
      <c r="E35607" s="185" t="s">
        <v>470</v>
      </c>
      <c r="H35607" s="185"/>
    </row>
    <row r="35608">
      <c r="D35608" s="185"/>
      <c r="E35608" s="185" t="s">
        <v>470</v>
      </c>
      <c r="H35608" s="185"/>
    </row>
    <row r="35609">
      <c r="D35609" s="185"/>
      <c r="E35609" s="185" t="s">
        <v>470</v>
      </c>
      <c r="H35609" s="185"/>
    </row>
    <row r="35610">
      <c r="D35610" s="185"/>
      <c r="E35610" s="185" t="s">
        <v>470</v>
      </c>
      <c r="H35610" s="185"/>
    </row>
    <row r="35611">
      <c r="D35611" s="185"/>
      <c r="E35611" s="185" t="s">
        <v>470</v>
      </c>
      <c r="H35611" s="185"/>
    </row>
    <row r="35612">
      <c r="D35612" s="185"/>
      <c r="E35612" s="185" t="s">
        <v>470</v>
      </c>
      <c r="H35612" s="185"/>
    </row>
    <row r="35613">
      <c r="D35613" s="185"/>
      <c r="E35613" s="185" t="s">
        <v>470</v>
      </c>
      <c r="H35613" s="185"/>
    </row>
    <row r="35614">
      <c r="D35614" s="185"/>
      <c r="E35614" s="185" t="s">
        <v>470</v>
      </c>
      <c r="H35614" s="185"/>
    </row>
    <row r="35615">
      <c r="D35615" s="185"/>
      <c r="E35615" s="185" t="s">
        <v>470</v>
      </c>
      <c r="H35615" s="185"/>
    </row>
    <row r="35616">
      <c r="D35616" s="185"/>
      <c r="E35616" s="185" t="s">
        <v>470</v>
      </c>
      <c r="H35616" s="185"/>
    </row>
    <row r="35617">
      <c r="D35617" s="185"/>
      <c r="E35617" s="185" t="s">
        <v>470</v>
      </c>
      <c r="H35617" s="185"/>
    </row>
    <row r="35618">
      <c r="D35618" s="185"/>
      <c r="E35618" s="185" t="s">
        <v>470</v>
      </c>
      <c r="H35618" s="185"/>
    </row>
    <row r="35619">
      <c r="D35619" s="185"/>
      <c r="E35619" s="185" t="s">
        <v>470</v>
      </c>
      <c r="H35619" s="185"/>
    </row>
    <row r="35620">
      <c r="D35620" s="185"/>
      <c r="E35620" s="185" t="s">
        <v>470</v>
      </c>
      <c r="H35620" s="185"/>
    </row>
    <row r="35621">
      <c r="D35621" s="185"/>
      <c r="E35621" s="185" t="s">
        <v>470</v>
      </c>
      <c r="H35621" s="185"/>
    </row>
    <row r="35622">
      <c r="D35622" s="185"/>
      <c r="E35622" s="185" t="s">
        <v>470</v>
      </c>
      <c r="H35622" s="185"/>
    </row>
    <row r="35623">
      <c r="D35623" s="185"/>
      <c r="E35623" s="185" t="s">
        <v>470</v>
      </c>
      <c r="H35623" s="185"/>
    </row>
    <row r="35624">
      <c r="D35624" s="185"/>
      <c r="E35624" s="185" t="s">
        <v>470</v>
      </c>
      <c r="H35624" s="185"/>
    </row>
    <row r="35625">
      <c r="D35625" s="185"/>
      <c r="E35625" s="185" t="s">
        <v>470</v>
      </c>
      <c r="H35625" s="185"/>
    </row>
    <row r="35626">
      <c r="D35626" s="185"/>
      <c r="E35626" s="185" t="s">
        <v>470</v>
      </c>
      <c r="H35626" s="185"/>
    </row>
    <row r="35627">
      <c r="D35627" s="185"/>
      <c r="E35627" s="185" t="s">
        <v>470</v>
      </c>
      <c r="H35627" s="185"/>
    </row>
    <row r="35628">
      <c r="D35628" s="185"/>
      <c r="E35628" s="185" t="s">
        <v>470</v>
      </c>
      <c r="H35628" s="185"/>
    </row>
    <row r="35629">
      <c r="D35629" s="185"/>
      <c r="E35629" s="185" t="s">
        <v>470</v>
      </c>
      <c r="H35629" s="185"/>
    </row>
    <row r="35630">
      <c r="D35630" s="185"/>
      <c r="E35630" s="185" t="s">
        <v>470</v>
      </c>
      <c r="H35630" s="185"/>
    </row>
    <row r="35631">
      <c r="D35631" s="185"/>
      <c r="E35631" s="185" t="s">
        <v>470</v>
      </c>
      <c r="H35631" s="185"/>
    </row>
    <row r="35632">
      <c r="D35632" s="185"/>
      <c r="E35632" s="185" t="s">
        <v>470</v>
      </c>
      <c r="H35632" s="185"/>
    </row>
    <row r="35633">
      <c r="D35633" s="185"/>
      <c r="E35633" s="185" t="s">
        <v>470</v>
      </c>
      <c r="H35633" s="185"/>
    </row>
    <row r="35634">
      <c r="D35634" s="185"/>
      <c r="E35634" s="185" t="s">
        <v>470</v>
      </c>
      <c r="H35634" s="185"/>
    </row>
    <row r="35635">
      <c r="D35635" s="185"/>
      <c r="E35635" s="185" t="s">
        <v>470</v>
      </c>
      <c r="H35635" s="185"/>
    </row>
    <row r="35636">
      <c r="D35636" s="185"/>
      <c r="E35636" s="185" t="s">
        <v>470</v>
      </c>
      <c r="H35636" s="185"/>
    </row>
    <row r="35637">
      <c r="D35637" s="185"/>
      <c r="E35637" s="185" t="s">
        <v>470</v>
      </c>
      <c r="H35637" s="185"/>
    </row>
    <row r="35638">
      <c r="D35638" s="185"/>
      <c r="E35638" s="185" t="s">
        <v>470</v>
      </c>
      <c r="H35638" s="185"/>
    </row>
    <row r="35639">
      <c r="D35639" s="185"/>
      <c r="E35639" s="185" t="s">
        <v>470</v>
      </c>
      <c r="H35639" s="185"/>
    </row>
    <row r="35640">
      <c r="D35640" s="185"/>
      <c r="E35640" s="185" t="s">
        <v>470</v>
      </c>
      <c r="H35640" s="185"/>
    </row>
    <row r="35641">
      <c r="D35641" s="185"/>
      <c r="E35641" s="185" t="s">
        <v>470</v>
      </c>
      <c r="H35641" s="185"/>
    </row>
    <row r="35642">
      <c r="D35642" s="185"/>
      <c r="E35642" s="185" t="s">
        <v>470</v>
      </c>
      <c r="H35642" s="185"/>
    </row>
    <row r="35643">
      <c r="D35643" s="185"/>
      <c r="E35643" s="185" t="s">
        <v>470</v>
      </c>
      <c r="H35643" s="185"/>
    </row>
    <row r="35644">
      <c r="D35644" s="185"/>
      <c r="E35644" s="185" t="s">
        <v>470</v>
      </c>
      <c r="H35644" s="185"/>
    </row>
    <row r="35645">
      <c r="D35645" s="185"/>
      <c r="E35645" s="185" t="s">
        <v>470</v>
      </c>
      <c r="H35645" s="185"/>
    </row>
    <row r="35646">
      <c r="D35646" s="185"/>
      <c r="E35646" s="185" t="s">
        <v>470</v>
      </c>
      <c r="H35646" s="185"/>
    </row>
    <row r="35647">
      <c r="D35647" s="185"/>
      <c r="E35647" s="185" t="s">
        <v>470</v>
      </c>
      <c r="H35647" s="185"/>
    </row>
    <row r="35648">
      <c r="D35648" s="185"/>
      <c r="E35648" s="185" t="s">
        <v>470</v>
      </c>
      <c r="H35648" s="185"/>
    </row>
    <row r="35649">
      <c r="D35649" s="185"/>
      <c r="E35649" s="185" t="s">
        <v>470</v>
      </c>
      <c r="H35649" s="185"/>
    </row>
    <row r="35650">
      <c r="D35650" s="185"/>
      <c r="E35650" s="185" t="s">
        <v>470</v>
      </c>
      <c r="H35650" s="185"/>
    </row>
    <row r="35651">
      <c r="D35651" s="185"/>
      <c r="E35651" s="185" t="s">
        <v>470</v>
      </c>
      <c r="H35651" s="185"/>
    </row>
    <row r="35652">
      <c r="D35652" s="185"/>
      <c r="E35652" s="185" t="s">
        <v>470</v>
      </c>
      <c r="H35652" s="185"/>
    </row>
    <row r="35653">
      <c r="D35653" s="185"/>
      <c r="E35653" s="185" t="s">
        <v>470</v>
      </c>
      <c r="H35653" s="185"/>
    </row>
    <row r="35654">
      <c r="D35654" s="185"/>
      <c r="E35654" s="185" t="s">
        <v>470</v>
      </c>
      <c r="H35654" s="185"/>
    </row>
    <row r="35655">
      <c r="D35655" s="185"/>
      <c r="E35655" s="185" t="s">
        <v>470</v>
      </c>
      <c r="H35655" s="185"/>
    </row>
    <row r="35656">
      <c r="D35656" s="185"/>
      <c r="E35656" s="185" t="s">
        <v>470</v>
      </c>
      <c r="H35656" s="185"/>
    </row>
    <row r="35657">
      <c r="D35657" s="185"/>
      <c r="E35657" s="185" t="s">
        <v>470</v>
      </c>
      <c r="H35657" s="185"/>
    </row>
    <row r="35658">
      <c r="D35658" s="185"/>
      <c r="E35658" s="185" t="s">
        <v>470</v>
      </c>
      <c r="H35658" s="185"/>
    </row>
    <row r="35659">
      <c r="D35659" s="185"/>
      <c r="E35659" s="185" t="s">
        <v>470</v>
      </c>
      <c r="H35659" s="185"/>
    </row>
    <row r="35660">
      <c r="D35660" s="185"/>
      <c r="E35660" s="185" t="s">
        <v>470</v>
      </c>
      <c r="H35660" s="185"/>
    </row>
    <row r="35661">
      <c r="D35661" s="185"/>
      <c r="E35661" s="185" t="s">
        <v>470</v>
      </c>
      <c r="H35661" s="185"/>
    </row>
    <row r="35662">
      <c r="D35662" s="185"/>
      <c r="E35662" s="185" t="s">
        <v>470</v>
      </c>
      <c r="H35662" s="185"/>
    </row>
    <row r="35663">
      <c r="D35663" s="185"/>
      <c r="E35663" s="185" t="s">
        <v>470</v>
      </c>
      <c r="H35663" s="185"/>
    </row>
    <row r="35664">
      <c r="D35664" s="185"/>
      <c r="E35664" s="185" t="s">
        <v>470</v>
      </c>
      <c r="H35664" s="185"/>
    </row>
    <row r="35665">
      <c r="D35665" s="185"/>
      <c r="E35665" s="185" t="s">
        <v>470</v>
      </c>
      <c r="H35665" s="185"/>
    </row>
    <row r="35666">
      <c r="D35666" s="185"/>
      <c r="E35666" s="185" t="s">
        <v>470</v>
      </c>
      <c r="H35666" s="185"/>
    </row>
    <row r="35667">
      <c r="D35667" s="185"/>
      <c r="E35667" s="185" t="s">
        <v>470</v>
      </c>
      <c r="H35667" s="185"/>
    </row>
    <row r="35668">
      <c r="D35668" s="185"/>
      <c r="E35668" s="185" t="s">
        <v>470</v>
      </c>
      <c r="H35668" s="185"/>
    </row>
    <row r="35669">
      <c r="D35669" s="185"/>
      <c r="E35669" s="185" t="s">
        <v>470</v>
      </c>
      <c r="H35669" s="185"/>
    </row>
    <row r="35670">
      <c r="D35670" s="185"/>
      <c r="E35670" s="185" t="s">
        <v>470</v>
      </c>
      <c r="H35670" s="185"/>
    </row>
    <row r="35671">
      <c r="D35671" s="185"/>
      <c r="E35671" s="185" t="s">
        <v>470</v>
      </c>
      <c r="H35671" s="185"/>
    </row>
    <row r="35672">
      <c r="D35672" s="185"/>
      <c r="E35672" s="185" t="s">
        <v>470</v>
      </c>
      <c r="H35672" s="185"/>
    </row>
    <row r="35673">
      <c r="D35673" s="185"/>
      <c r="E35673" s="185" t="s">
        <v>470</v>
      </c>
      <c r="H35673" s="185"/>
    </row>
    <row r="35674">
      <c r="D35674" s="185"/>
      <c r="E35674" s="185" t="s">
        <v>470</v>
      </c>
      <c r="H35674" s="185"/>
    </row>
    <row r="35675">
      <c r="D35675" s="185"/>
      <c r="E35675" s="185" t="s">
        <v>470</v>
      </c>
      <c r="H35675" s="185"/>
    </row>
    <row r="35676">
      <c r="D35676" s="185"/>
      <c r="E35676" s="185" t="s">
        <v>470</v>
      </c>
      <c r="H35676" s="185"/>
    </row>
    <row r="35677">
      <c r="D35677" s="185"/>
      <c r="E35677" s="185" t="s">
        <v>470</v>
      </c>
      <c r="H35677" s="185"/>
    </row>
    <row r="35678">
      <c r="D35678" s="185"/>
      <c r="E35678" s="185" t="s">
        <v>470</v>
      </c>
      <c r="H35678" s="185"/>
    </row>
    <row r="35679">
      <c r="D35679" s="185"/>
      <c r="E35679" s="185" t="s">
        <v>470</v>
      </c>
      <c r="H35679" s="185"/>
    </row>
    <row r="35680">
      <c r="D35680" s="185"/>
      <c r="E35680" s="185" t="s">
        <v>470</v>
      </c>
      <c r="H35680" s="185"/>
    </row>
    <row r="35681">
      <c r="D35681" s="185"/>
      <c r="E35681" s="185" t="s">
        <v>470</v>
      </c>
      <c r="H35681" s="185"/>
    </row>
    <row r="35682">
      <c r="D35682" s="185"/>
      <c r="E35682" s="185" t="s">
        <v>470</v>
      </c>
      <c r="H35682" s="185"/>
    </row>
    <row r="35683">
      <c r="D35683" s="185"/>
      <c r="E35683" s="185" t="s">
        <v>470</v>
      </c>
      <c r="H35683" s="185"/>
    </row>
    <row r="35684">
      <c r="D35684" s="185"/>
      <c r="E35684" s="185" t="s">
        <v>470</v>
      </c>
      <c r="H35684" s="185"/>
    </row>
    <row r="35685">
      <c r="D35685" s="185"/>
      <c r="E35685" s="185" t="s">
        <v>470</v>
      </c>
      <c r="H35685" s="185"/>
    </row>
    <row r="35686">
      <c r="D35686" s="185"/>
      <c r="E35686" s="185" t="s">
        <v>470</v>
      </c>
      <c r="H35686" s="185"/>
    </row>
    <row r="35687">
      <c r="D35687" s="185"/>
      <c r="E35687" s="185" t="s">
        <v>470</v>
      </c>
      <c r="H35687" s="185"/>
    </row>
    <row r="35688">
      <c r="D35688" s="185"/>
      <c r="E35688" s="185" t="s">
        <v>470</v>
      </c>
      <c r="H35688" s="185"/>
    </row>
    <row r="35689">
      <c r="D35689" s="185"/>
      <c r="E35689" s="185" t="s">
        <v>470</v>
      </c>
      <c r="H35689" s="185"/>
    </row>
    <row r="35690">
      <c r="D35690" s="185"/>
      <c r="E35690" s="185" t="s">
        <v>470</v>
      </c>
      <c r="H35690" s="185"/>
    </row>
    <row r="35691">
      <c r="D35691" s="185"/>
      <c r="E35691" s="185" t="s">
        <v>470</v>
      </c>
      <c r="H35691" s="185"/>
    </row>
    <row r="35692">
      <c r="D35692" s="185"/>
      <c r="E35692" s="185" t="s">
        <v>470</v>
      </c>
      <c r="H35692" s="185"/>
    </row>
    <row r="35693">
      <c r="D35693" s="185"/>
      <c r="E35693" s="185" t="s">
        <v>470</v>
      </c>
      <c r="H35693" s="185"/>
    </row>
    <row r="35694">
      <c r="D35694" s="185"/>
      <c r="E35694" s="185" t="s">
        <v>470</v>
      </c>
      <c r="H35694" s="185"/>
    </row>
    <row r="35695">
      <c r="D35695" s="185"/>
      <c r="E35695" s="185" t="s">
        <v>470</v>
      </c>
      <c r="H35695" s="185"/>
    </row>
    <row r="35696">
      <c r="D35696" s="185"/>
      <c r="E35696" s="185" t="s">
        <v>470</v>
      </c>
      <c r="H35696" s="185"/>
    </row>
    <row r="35697">
      <c r="D35697" s="185"/>
      <c r="E35697" s="185" t="s">
        <v>470</v>
      </c>
      <c r="H35697" s="185"/>
    </row>
    <row r="35698">
      <c r="D35698" s="185"/>
      <c r="E35698" s="185" t="s">
        <v>470</v>
      </c>
      <c r="H35698" s="185"/>
    </row>
    <row r="35699">
      <c r="D35699" s="185"/>
      <c r="E35699" s="185" t="s">
        <v>470</v>
      </c>
      <c r="H35699" s="185"/>
    </row>
    <row r="35700">
      <c r="D35700" s="185"/>
      <c r="E35700" s="185" t="s">
        <v>470</v>
      </c>
      <c r="H35700" s="185"/>
    </row>
    <row r="35701">
      <c r="D35701" s="185"/>
      <c r="E35701" s="185" t="s">
        <v>470</v>
      </c>
      <c r="H35701" s="185"/>
    </row>
    <row r="35702">
      <c r="D35702" s="185"/>
      <c r="E35702" s="185" t="s">
        <v>470</v>
      </c>
      <c r="H35702" s="185"/>
    </row>
    <row r="35703">
      <c r="D35703" s="185"/>
      <c r="E35703" s="185" t="s">
        <v>470</v>
      </c>
      <c r="H35703" s="185"/>
    </row>
    <row r="35704">
      <c r="D35704" s="185"/>
      <c r="E35704" s="185" t="s">
        <v>470</v>
      </c>
      <c r="H35704" s="185"/>
    </row>
    <row r="35705">
      <c r="D35705" s="185"/>
      <c r="E35705" s="185" t="s">
        <v>470</v>
      </c>
      <c r="H35705" s="185"/>
    </row>
    <row r="35706">
      <c r="D35706" s="185"/>
      <c r="E35706" s="185" t="s">
        <v>470</v>
      </c>
      <c r="H35706" s="185"/>
    </row>
    <row r="35707">
      <c r="D35707" s="185"/>
      <c r="E35707" s="185" t="s">
        <v>470</v>
      </c>
      <c r="H35707" s="185"/>
    </row>
    <row r="35708">
      <c r="D35708" s="185"/>
      <c r="E35708" s="185" t="s">
        <v>470</v>
      </c>
      <c r="H35708" s="185"/>
    </row>
    <row r="35709">
      <c r="D35709" s="185"/>
      <c r="E35709" s="185" t="s">
        <v>470</v>
      </c>
      <c r="H35709" s="185"/>
    </row>
    <row r="35710">
      <c r="D35710" s="185"/>
      <c r="E35710" s="185" t="s">
        <v>470</v>
      </c>
      <c r="H35710" s="185"/>
    </row>
    <row r="35711">
      <c r="D35711" s="185"/>
      <c r="E35711" s="185" t="s">
        <v>470</v>
      </c>
      <c r="H35711" s="185"/>
    </row>
    <row r="35712">
      <c r="D35712" s="185"/>
      <c r="E35712" s="185" t="s">
        <v>470</v>
      </c>
      <c r="H35712" s="185"/>
    </row>
    <row r="35713">
      <c r="D35713" s="185"/>
      <c r="E35713" s="185" t="s">
        <v>470</v>
      </c>
      <c r="H35713" s="185"/>
    </row>
    <row r="35714">
      <c r="D35714" s="185"/>
      <c r="E35714" s="185" t="s">
        <v>470</v>
      </c>
      <c r="H35714" s="185"/>
    </row>
    <row r="35715">
      <c r="D35715" s="185"/>
      <c r="E35715" s="185" t="s">
        <v>470</v>
      </c>
      <c r="H35715" s="185"/>
    </row>
    <row r="35716">
      <c r="D35716" s="185"/>
      <c r="E35716" s="185" t="s">
        <v>470</v>
      </c>
      <c r="H35716" s="185"/>
    </row>
    <row r="35717">
      <c r="D35717" s="185"/>
      <c r="E35717" s="185" t="s">
        <v>470</v>
      </c>
      <c r="H35717" s="185"/>
    </row>
    <row r="35718">
      <c r="D35718" s="185"/>
      <c r="E35718" s="185" t="s">
        <v>470</v>
      </c>
      <c r="H35718" s="185"/>
    </row>
    <row r="35719">
      <c r="D35719" s="185"/>
      <c r="E35719" s="185" t="s">
        <v>470</v>
      </c>
      <c r="H35719" s="185"/>
    </row>
    <row r="35720">
      <c r="D35720" s="185"/>
      <c r="E35720" s="185" t="s">
        <v>470</v>
      </c>
      <c r="H35720" s="185"/>
    </row>
    <row r="35721">
      <c r="D35721" s="185"/>
      <c r="E35721" s="185" t="s">
        <v>470</v>
      </c>
      <c r="H35721" s="185"/>
    </row>
    <row r="35722">
      <c r="D35722" s="185"/>
      <c r="E35722" s="185" t="s">
        <v>470</v>
      </c>
      <c r="H35722" s="185"/>
    </row>
    <row r="35723">
      <c r="D35723" s="185"/>
      <c r="E35723" s="185" t="s">
        <v>470</v>
      </c>
      <c r="H35723" s="185"/>
    </row>
    <row r="35724">
      <c r="D35724" s="185"/>
      <c r="E35724" s="185" t="s">
        <v>470</v>
      </c>
      <c r="H35724" s="185"/>
    </row>
    <row r="35725">
      <c r="D35725" s="185"/>
      <c r="E35725" s="185" t="s">
        <v>470</v>
      </c>
      <c r="H35725" s="185"/>
    </row>
    <row r="35726">
      <c r="D35726" s="185"/>
      <c r="E35726" s="185" t="s">
        <v>470</v>
      </c>
      <c r="H35726" s="185"/>
    </row>
    <row r="35727">
      <c r="D35727" s="185"/>
      <c r="E35727" s="185" t="s">
        <v>470</v>
      </c>
      <c r="H35727" s="185"/>
    </row>
    <row r="35728">
      <c r="D35728" s="185"/>
      <c r="E35728" s="185" t="s">
        <v>470</v>
      </c>
      <c r="H35728" s="185"/>
    </row>
    <row r="35729">
      <c r="D35729" s="185"/>
      <c r="E35729" s="185" t="s">
        <v>470</v>
      </c>
      <c r="H35729" s="185"/>
    </row>
    <row r="35730">
      <c r="D35730" s="185"/>
      <c r="E35730" s="185" t="s">
        <v>470</v>
      </c>
      <c r="H35730" s="185"/>
    </row>
    <row r="35731">
      <c r="D35731" s="185"/>
      <c r="E35731" s="185" t="s">
        <v>470</v>
      </c>
      <c r="H35731" s="185"/>
    </row>
    <row r="35732">
      <c r="D35732" s="185"/>
      <c r="E35732" s="185" t="s">
        <v>470</v>
      </c>
      <c r="H35732" s="185"/>
    </row>
    <row r="35733">
      <c r="D35733" s="185"/>
      <c r="E35733" s="185" t="s">
        <v>470</v>
      </c>
      <c r="H35733" s="185"/>
    </row>
    <row r="35734">
      <c r="D35734" s="185"/>
      <c r="E35734" s="185" t="s">
        <v>470</v>
      </c>
      <c r="H35734" s="185"/>
    </row>
    <row r="35735">
      <c r="D35735" s="185"/>
      <c r="E35735" s="185" t="s">
        <v>470</v>
      </c>
      <c r="H35735" s="185"/>
    </row>
    <row r="35736">
      <c r="D35736" s="185"/>
      <c r="E35736" s="185" t="s">
        <v>470</v>
      </c>
      <c r="H35736" s="185"/>
    </row>
    <row r="35737">
      <c r="D35737" s="185"/>
      <c r="E35737" s="185" t="s">
        <v>470</v>
      </c>
      <c r="H35737" s="185"/>
    </row>
    <row r="35738">
      <c r="D35738" s="185"/>
      <c r="E35738" s="185" t="s">
        <v>470</v>
      </c>
      <c r="H35738" s="185"/>
    </row>
    <row r="35739">
      <c r="D35739" s="185"/>
      <c r="E35739" s="185" t="s">
        <v>470</v>
      </c>
      <c r="H35739" s="185"/>
    </row>
    <row r="35740">
      <c r="D35740" s="185"/>
      <c r="E35740" s="185" t="s">
        <v>470</v>
      </c>
      <c r="H35740" s="185"/>
    </row>
    <row r="35741">
      <c r="D35741" s="185"/>
      <c r="E35741" s="185" t="s">
        <v>470</v>
      </c>
      <c r="H35741" s="185"/>
    </row>
    <row r="35742">
      <c r="D35742" s="185"/>
      <c r="E35742" s="185" t="s">
        <v>470</v>
      </c>
      <c r="H35742" s="185"/>
    </row>
    <row r="35743">
      <c r="D35743" s="185"/>
      <c r="E35743" s="185" t="s">
        <v>470</v>
      </c>
      <c r="H35743" s="185"/>
    </row>
    <row r="35744">
      <c r="D35744" s="185"/>
      <c r="E35744" s="185" t="s">
        <v>470</v>
      </c>
      <c r="H35744" s="185"/>
    </row>
    <row r="35745">
      <c r="D35745" s="185"/>
      <c r="E35745" s="185" t="s">
        <v>470</v>
      </c>
      <c r="H35745" s="185"/>
    </row>
    <row r="35746">
      <c r="D35746" s="185"/>
      <c r="E35746" s="185" t="s">
        <v>470</v>
      </c>
      <c r="H35746" s="185"/>
    </row>
    <row r="35747">
      <c r="D35747" s="185"/>
      <c r="E35747" s="185" t="s">
        <v>470</v>
      </c>
      <c r="H35747" s="185"/>
    </row>
    <row r="35748">
      <c r="D35748" s="185"/>
      <c r="E35748" s="185" t="s">
        <v>470</v>
      </c>
      <c r="H35748" s="185"/>
    </row>
    <row r="35749">
      <c r="D35749" s="185"/>
      <c r="E35749" s="185" t="s">
        <v>470</v>
      </c>
      <c r="H35749" s="185"/>
    </row>
    <row r="35750">
      <c r="D35750" s="185"/>
      <c r="E35750" s="185" t="s">
        <v>470</v>
      </c>
      <c r="H35750" s="185"/>
    </row>
    <row r="35751">
      <c r="D35751" s="185"/>
      <c r="E35751" s="185" t="s">
        <v>470</v>
      </c>
      <c r="H35751" s="185"/>
    </row>
    <row r="35752">
      <c r="D35752" s="185"/>
      <c r="E35752" s="185" t="s">
        <v>470</v>
      </c>
      <c r="H35752" s="185"/>
    </row>
    <row r="35753">
      <c r="D35753" s="185"/>
      <c r="E35753" s="185" t="s">
        <v>470</v>
      </c>
      <c r="H35753" s="185"/>
    </row>
    <row r="35754">
      <c r="D35754" s="185"/>
      <c r="E35754" s="185" t="s">
        <v>470</v>
      </c>
      <c r="H35754" s="185"/>
    </row>
    <row r="35755">
      <c r="D35755" s="185"/>
      <c r="E35755" s="185" t="s">
        <v>470</v>
      </c>
      <c r="H35755" s="185"/>
    </row>
    <row r="35756">
      <c r="D35756" s="185"/>
      <c r="E35756" s="185" t="s">
        <v>470</v>
      </c>
      <c r="H35756" s="185"/>
    </row>
    <row r="35757">
      <c r="D35757" s="185"/>
      <c r="E35757" s="185" t="s">
        <v>470</v>
      </c>
      <c r="H35757" s="185"/>
    </row>
    <row r="35758">
      <c r="D35758" s="185"/>
      <c r="E35758" s="185" t="s">
        <v>470</v>
      </c>
      <c r="H35758" s="185"/>
    </row>
    <row r="35759">
      <c r="D35759" s="185"/>
      <c r="E35759" s="185" t="s">
        <v>470</v>
      </c>
      <c r="H35759" s="185"/>
    </row>
    <row r="35760">
      <c r="D35760" s="185"/>
      <c r="E35760" s="185" t="s">
        <v>470</v>
      </c>
      <c r="H35760" s="185"/>
    </row>
    <row r="35761">
      <c r="D35761" s="185"/>
      <c r="E35761" s="185" t="s">
        <v>470</v>
      </c>
      <c r="H35761" s="185"/>
    </row>
    <row r="35762">
      <c r="D35762" s="185"/>
      <c r="E35762" s="185" t="s">
        <v>470</v>
      </c>
      <c r="H35762" s="185"/>
    </row>
    <row r="35763">
      <c r="D35763" s="185"/>
      <c r="E35763" s="185" t="s">
        <v>470</v>
      </c>
      <c r="H35763" s="185"/>
    </row>
    <row r="35764">
      <c r="D35764" s="185"/>
      <c r="E35764" s="185" t="s">
        <v>470</v>
      </c>
      <c r="H35764" s="185"/>
    </row>
    <row r="35765">
      <c r="D35765" s="185"/>
      <c r="E35765" s="185" t="s">
        <v>470</v>
      </c>
      <c r="H35765" s="185"/>
    </row>
    <row r="35766">
      <c r="D35766" s="185"/>
      <c r="E35766" s="185" t="s">
        <v>470</v>
      </c>
      <c r="H35766" s="185"/>
    </row>
    <row r="35767">
      <c r="D35767" s="185"/>
      <c r="E35767" s="185" t="s">
        <v>470</v>
      </c>
      <c r="H35767" s="185"/>
    </row>
    <row r="35768">
      <c r="D35768" s="185"/>
      <c r="E35768" s="185" t="s">
        <v>470</v>
      </c>
      <c r="H35768" s="185"/>
    </row>
    <row r="35769">
      <c r="D35769" s="185"/>
      <c r="E35769" s="185" t="s">
        <v>470</v>
      </c>
      <c r="H35769" s="185"/>
    </row>
    <row r="35770">
      <c r="D35770" s="185"/>
      <c r="E35770" s="185" t="s">
        <v>470</v>
      </c>
      <c r="H35770" s="185"/>
    </row>
    <row r="35771">
      <c r="D35771" s="185"/>
      <c r="E35771" s="185" t="s">
        <v>470</v>
      </c>
      <c r="H35771" s="185"/>
    </row>
    <row r="35772">
      <c r="D35772" s="185"/>
      <c r="E35772" s="185" t="s">
        <v>470</v>
      </c>
      <c r="H35772" s="185"/>
    </row>
    <row r="35773">
      <c r="D35773" s="185"/>
      <c r="E35773" s="185" t="s">
        <v>470</v>
      </c>
      <c r="H35773" s="185"/>
    </row>
    <row r="35774">
      <c r="D35774" s="185"/>
      <c r="E35774" s="185" t="s">
        <v>470</v>
      </c>
      <c r="H35774" s="185"/>
    </row>
    <row r="35775">
      <c r="D35775" s="185"/>
      <c r="E35775" s="185" t="s">
        <v>470</v>
      </c>
      <c r="H35775" s="185"/>
    </row>
    <row r="35776">
      <c r="D35776" s="185"/>
      <c r="E35776" s="185" t="s">
        <v>470</v>
      </c>
      <c r="H35776" s="185"/>
    </row>
    <row r="35777">
      <c r="D35777" s="185"/>
      <c r="E35777" s="185" t="s">
        <v>470</v>
      </c>
      <c r="H35777" s="185"/>
    </row>
    <row r="35778">
      <c r="D35778" s="185"/>
      <c r="E35778" s="185" t="s">
        <v>470</v>
      </c>
      <c r="H35778" s="185"/>
    </row>
    <row r="35779">
      <c r="D35779" s="185"/>
      <c r="E35779" s="185" t="s">
        <v>470</v>
      </c>
      <c r="H35779" s="185"/>
    </row>
    <row r="35780">
      <c r="D35780" s="185"/>
      <c r="E35780" s="185" t="s">
        <v>470</v>
      </c>
      <c r="H35780" s="185"/>
    </row>
    <row r="35781">
      <c r="D35781" s="185"/>
      <c r="E35781" s="185" t="s">
        <v>470</v>
      </c>
      <c r="H35781" s="185"/>
    </row>
    <row r="35782">
      <c r="D35782" s="185"/>
      <c r="E35782" s="185" t="s">
        <v>470</v>
      </c>
      <c r="H35782" s="185"/>
    </row>
    <row r="35783">
      <c r="D35783" s="185"/>
      <c r="E35783" s="185" t="s">
        <v>470</v>
      </c>
      <c r="H35783" s="185"/>
    </row>
    <row r="35784">
      <c r="D35784" s="185"/>
      <c r="E35784" s="185" t="s">
        <v>470</v>
      </c>
      <c r="H35784" s="185"/>
    </row>
    <row r="35785">
      <c r="D35785" s="185"/>
      <c r="E35785" s="185" t="s">
        <v>470</v>
      </c>
      <c r="H35785" s="185"/>
    </row>
    <row r="35786">
      <c r="D35786" s="185"/>
      <c r="E35786" s="185" t="s">
        <v>470</v>
      </c>
      <c r="H35786" s="185"/>
    </row>
    <row r="35787">
      <c r="D35787" s="185"/>
      <c r="E35787" s="185" t="s">
        <v>470</v>
      </c>
      <c r="H35787" s="185"/>
    </row>
    <row r="35788">
      <c r="D35788" s="185"/>
      <c r="E35788" s="185" t="s">
        <v>470</v>
      </c>
      <c r="H35788" s="185"/>
    </row>
    <row r="35789">
      <c r="D35789" s="185"/>
      <c r="E35789" s="185" t="s">
        <v>470</v>
      </c>
      <c r="H35789" s="185"/>
    </row>
    <row r="35790">
      <c r="D35790" s="185"/>
      <c r="E35790" s="185" t="s">
        <v>470</v>
      </c>
      <c r="H35790" s="185"/>
    </row>
    <row r="35791">
      <c r="D35791" s="185"/>
      <c r="E35791" s="185" t="s">
        <v>470</v>
      </c>
      <c r="H35791" s="185"/>
    </row>
    <row r="35792">
      <c r="D35792" s="185"/>
      <c r="E35792" s="185" t="s">
        <v>470</v>
      </c>
      <c r="H35792" s="185"/>
    </row>
    <row r="35793">
      <c r="D35793" s="185"/>
      <c r="E35793" s="185" t="s">
        <v>470</v>
      </c>
      <c r="H35793" s="185"/>
    </row>
    <row r="35794">
      <c r="D35794" s="185"/>
      <c r="E35794" s="185" t="s">
        <v>470</v>
      </c>
      <c r="H35794" s="185"/>
    </row>
    <row r="35795">
      <c r="D35795" s="185"/>
      <c r="E35795" s="185" t="s">
        <v>470</v>
      </c>
      <c r="H35795" s="185"/>
    </row>
    <row r="35796">
      <c r="D35796" s="185"/>
      <c r="E35796" s="185" t="s">
        <v>470</v>
      </c>
      <c r="H35796" s="185"/>
    </row>
    <row r="35797">
      <c r="D35797" s="185"/>
      <c r="E35797" s="185" t="s">
        <v>470</v>
      </c>
      <c r="H35797" s="185"/>
    </row>
    <row r="35798">
      <c r="D35798" s="185"/>
      <c r="E35798" s="185" t="s">
        <v>470</v>
      </c>
      <c r="H35798" s="185"/>
    </row>
    <row r="35799">
      <c r="D35799" s="185"/>
      <c r="E35799" s="185" t="s">
        <v>470</v>
      </c>
      <c r="H35799" s="185"/>
    </row>
    <row r="35800">
      <c r="D35800" s="185"/>
      <c r="E35800" s="185" t="s">
        <v>470</v>
      </c>
      <c r="H35800" s="185"/>
    </row>
    <row r="35801">
      <c r="D35801" s="185"/>
      <c r="E35801" s="185" t="s">
        <v>470</v>
      </c>
      <c r="H35801" s="185"/>
    </row>
    <row r="35802">
      <c r="D35802" s="185"/>
      <c r="E35802" s="185" t="s">
        <v>470</v>
      </c>
      <c r="H35802" s="185"/>
    </row>
    <row r="35803">
      <c r="D35803" s="185"/>
      <c r="E35803" s="185" t="s">
        <v>470</v>
      </c>
      <c r="H35803" s="185"/>
    </row>
    <row r="35804">
      <c r="D35804" s="185"/>
      <c r="E35804" s="185" t="s">
        <v>470</v>
      </c>
      <c r="H35804" s="185"/>
    </row>
    <row r="35805">
      <c r="D35805" s="185"/>
      <c r="E35805" s="185" t="s">
        <v>470</v>
      </c>
      <c r="H35805" s="185"/>
    </row>
    <row r="35806">
      <c r="D35806" s="185"/>
      <c r="E35806" s="185" t="s">
        <v>470</v>
      </c>
      <c r="H35806" s="185"/>
    </row>
    <row r="35807">
      <c r="D35807" s="185"/>
      <c r="E35807" s="185" t="s">
        <v>470</v>
      </c>
      <c r="H35807" s="185"/>
    </row>
    <row r="35808">
      <c r="D35808" s="185"/>
      <c r="E35808" s="185" t="s">
        <v>470</v>
      </c>
      <c r="H35808" s="185"/>
    </row>
    <row r="35809">
      <c r="D35809" s="185"/>
      <c r="E35809" s="185" t="s">
        <v>470</v>
      </c>
      <c r="H35809" s="185"/>
    </row>
    <row r="35810">
      <c r="D35810" s="185"/>
      <c r="E35810" s="185" t="s">
        <v>470</v>
      </c>
      <c r="H35810" s="185"/>
    </row>
    <row r="35811">
      <c r="D35811" s="185"/>
      <c r="E35811" s="185" t="s">
        <v>470</v>
      </c>
      <c r="H35811" s="185"/>
    </row>
    <row r="35812">
      <c r="D35812" s="185"/>
      <c r="E35812" s="185" t="s">
        <v>470</v>
      </c>
      <c r="H35812" s="185"/>
    </row>
    <row r="35813">
      <c r="D35813" s="185"/>
      <c r="E35813" s="185" t="s">
        <v>470</v>
      </c>
      <c r="H35813" s="185"/>
    </row>
    <row r="35814">
      <c r="D35814" s="185"/>
      <c r="E35814" s="185" t="s">
        <v>470</v>
      </c>
      <c r="H35814" s="185"/>
    </row>
    <row r="35815">
      <c r="D35815" s="185"/>
      <c r="E35815" s="185" t="s">
        <v>470</v>
      </c>
      <c r="H35815" s="185"/>
    </row>
    <row r="35816">
      <c r="D35816" s="185"/>
      <c r="E35816" s="185" t="s">
        <v>470</v>
      </c>
      <c r="H35816" s="185"/>
    </row>
    <row r="35817">
      <c r="D35817" s="185"/>
      <c r="E35817" s="185" t="s">
        <v>470</v>
      </c>
      <c r="H35817" s="185"/>
    </row>
    <row r="35818">
      <c r="D35818" s="185"/>
      <c r="E35818" s="185" t="s">
        <v>470</v>
      </c>
      <c r="H35818" s="185"/>
    </row>
    <row r="35819">
      <c r="D35819" s="185"/>
      <c r="E35819" s="185" t="s">
        <v>470</v>
      </c>
      <c r="H35819" s="185"/>
    </row>
    <row r="35820">
      <c r="D35820" s="185"/>
      <c r="E35820" s="185" t="s">
        <v>470</v>
      </c>
      <c r="H35820" s="185"/>
    </row>
    <row r="35821">
      <c r="D35821" s="185"/>
      <c r="E35821" s="185" t="s">
        <v>470</v>
      </c>
      <c r="H35821" s="185"/>
    </row>
    <row r="35822">
      <c r="D35822" s="185"/>
      <c r="E35822" s="185" t="s">
        <v>470</v>
      </c>
      <c r="H35822" s="185"/>
    </row>
    <row r="35823">
      <c r="D35823" s="185"/>
      <c r="E35823" s="185" t="s">
        <v>470</v>
      </c>
      <c r="H35823" s="185"/>
    </row>
    <row r="35824">
      <c r="D35824" s="185"/>
      <c r="E35824" s="185" t="s">
        <v>470</v>
      </c>
      <c r="H35824" s="185"/>
    </row>
    <row r="35825">
      <c r="D35825" s="185"/>
      <c r="E35825" s="185" t="s">
        <v>470</v>
      </c>
      <c r="H35825" s="185"/>
    </row>
    <row r="35826">
      <c r="D35826" s="185"/>
      <c r="E35826" s="185" t="s">
        <v>470</v>
      </c>
      <c r="H35826" s="185"/>
    </row>
    <row r="35827">
      <c r="D35827" s="185"/>
      <c r="E35827" s="185" t="s">
        <v>470</v>
      </c>
      <c r="H35827" s="185"/>
    </row>
    <row r="35828">
      <c r="D35828" s="185"/>
      <c r="E35828" s="185" t="s">
        <v>470</v>
      </c>
      <c r="H35828" s="185"/>
    </row>
    <row r="35829">
      <c r="D35829" s="185"/>
      <c r="E35829" s="185" t="s">
        <v>470</v>
      </c>
      <c r="H35829" s="185"/>
    </row>
    <row r="35830">
      <c r="D35830" s="185"/>
      <c r="E35830" s="185" t="s">
        <v>470</v>
      </c>
      <c r="H35830" s="185"/>
    </row>
    <row r="35831">
      <c r="D35831" s="185"/>
      <c r="E35831" s="185" t="s">
        <v>470</v>
      </c>
      <c r="H35831" s="185"/>
    </row>
    <row r="35832">
      <c r="D35832" s="185"/>
      <c r="E35832" s="185" t="s">
        <v>470</v>
      </c>
      <c r="H35832" s="185"/>
    </row>
    <row r="35833">
      <c r="D35833" s="185"/>
      <c r="E35833" s="185" t="s">
        <v>470</v>
      </c>
      <c r="H35833" s="185"/>
    </row>
    <row r="35834">
      <c r="D35834" s="185"/>
      <c r="E35834" s="185" t="s">
        <v>470</v>
      </c>
      <c r="H35834" s="185"/>
    </row>
    <row r="35835">
      <c r="D35835" s="185"/>
      <c r="E35835" s="185" t="s">
        <v>470</v>
      </c>
      <c r="H35835" s="185"/>
    </row>
    <row r="35836">
      <c r="D35836" s="185"/>
      <c r="E35836" s="185" t="s">
        <v>470</v>
      </c>
      <c r="H35836" s="185"/>
    </row>
    <row r="35837">
      <c r="D35837" s="185"/>
      <c r="E35837" s="185" t="s">
        <v>470</v>
      </c>
      <c r="H35837" s="185"/>
    </row>
    <row r="35838">
      <c r="D35838" s="185"/>
      <c r="E35838" s="185" t="s">
        <v>470</v>
      </c>
      <c r="H35838" s="185"/>
    </row>
    <row r="35839">
      <c r="D35839" s="185"/>
      <c r="E35839" s="185" t="s">
        <v>470</v>
      </c>
      <c r="H35839" s="185"/>
    </row>
    <row r="35840">
      <c r="D35840" s="185"/>
      <c r="E35840" s="185" t="s">
        <v>470</v>
      </c>
      <c r="H35840" s="185"/>
    </row>
    <row r="35841">
      <c r="D35841" s="185"/>
      <c r="E35841" s="185" t="s">
        <v>470</v>
      </c>
      <c r="H35841" s="185"/>
    </row>
    <row r="35842">
      <c r="D35842" s="185"/>
      <c r="E35842" s="185" t="s">
        <v>470</v>
      </c>
      <c r="H35842" s="185"/>
    </row>
    <row r="35843">
      <c r="D35843" s="185"/>
      <c r="E35843" s="185" t="s">
        <v>470</v>
      </c>
      <c r="H35843" s="185"/>
    </row>
    <row r="35844">
      <c r="D35844" s="185"/>
      <c r="E35844" s="185" t="s">
        <v>470</v>
      </c>
      <c r="H35844" s="185"/>
    </row>
    <row r="35845">
      <c r="D35845" s="185"/>
      <c r="E35845" s="185" t="s">
        <v>470</v>
      </c>
      <c r="H35845" s="185"/>
    </row>
    <row r="35846">
      <c r="D35846" s="185"/>
      <c r="E35846" s="185" t="s">
        <v>470</v>
      </c>
      <c r="H35846" s="185"/>
    </row>
    <row r="35847">
      <c r="D35847" s="185"/>
      <c r="E35847" s="185" t="s">
        <v>470</v>
      </c>
      <c r="H35847" s="185"/>
    </row>
    <row r="35848">
      <c r="D35848" s="185"/>
      <c r="E35848" s="185" t="s">
        <v>470</v>
      </c>
      <c r="H35848" s="185"/>
    </row>
    <row r="35849">
      <c r="D35849" s="185"/>
      <c r="E35849" s="185" t="s">
        <v>470</v>
      </c>
      <c r="H35849" s="185"/>
    </row>
    <row r="35850">
      <c r="D35850" s="185"/>
      <c r="E35850" s="185" t="s">
        <v>470</v>
      </c>
      <c r="H35850" s="185"/>
    </row>
    <row r="35851">
      <c r="D35851" s="185"/>
      <c r="E35851" s="185" t="s">
        <v>470</v>
      </c>
      <c r="H35851" s="185"/>
    </row>
    <row r="35852">
      <c r="D35852" s="185"/>
      <c r="E35852" s="185" t="s">
        <v>470</v>
      </c>
      <c r="H35852" s="185"/>
    </row>
    <row r="35853">
      <c r="D35853" s="185"/>
      <c r="E35853" s="185" t="s">
        <v>470</v>
      </c>
      <c r="H35853" s="185"/>
    </row>
    <row r="35854">
      <c r="D35854" s="185"/>
      <c r="E35854" s="185" t="s">
        <v>470</v>
      </c>
      <c r="H35854" s="185"/>
    </row>
    <row r="35855">
      <c r="D35855" s="185"/>
      <c r="E35855" s="185" t="s">
        <v>470</v>
      </c>
      <c r="H35855" s="185"/>
    </row>
    <row r="35856">
      <c r="D35856" s="185"/>
      <c r="E35856" s="185" t="s">
        <v>470</v>
      </c>
      <c r="H35856" s="185"/>
    </row>
    <row r="35857">
      <c r="D35857" s="185"/>
      <c r="E35857" s="185" t="s">
        <v>470</v>
      </c>
      <c r="H35857" s="185"/>
    </row>
    <row r="35858">
      <c r="D35858" s="185"/>
      <c r="E35858" s="185" t="s">
        <v>470</v>
      </c>
      <c r="H35858" s="185"/>
    </row>
    <row r="35859">
      <c r="D35859" s="185"/>
      <c r="E35859" s="185" t="s">
        <v>470</v>
      </c>
      <c r="H35859" s="185"/>
    </row>
    <row r="35860">
      <c r="D35860" s="185"/>
      <c r="E35860" s="185" t="s">
        <v>470</v>
      </c>
      <c r="H35860" s="185"/>
    </row>
    <row r="35861">
      <c r="D35861" s="185"/>
      <c r="E35861" s="185" t="s">
        <v>470</v>
      </c>
      <c r="H35861" s="185"/>
    </row>
    <row r="35862">
      <c r="D35862" s="185"/>
      <c r="E35862" s="185" t="s">
        <v>470</v>
      </c>
      <c r="H35862" s="185"/>
    </row>
    <row r="35863">
      <c r="D35863" s="185"/>
      <c r="E35863" s="185" t="s">
        <v>470</v>
      </c>
      <c r="H35863" s="185"/>
    </row>
    <row r="35864">
      <c r="D35864" s="185"/>
      <c r="E35864" s="185" t="s">
        <v>470</v>
      </c>
      <c r="H35864" s="185"/>
    </row>
    <row r="35865">
      <c r="D35865" s="185"/>
      <c r="E35865" s="185" t="s">
        <v>470</v>
      </c>
      <c r="H35865" s="185"/>
    </row>
    <row r="35866">
      <c r="D35866" s="185"/>
      <c r="E35866" s="185" t="s">
        <v>470</v>
      </c>
      <c r="H35866" s="185"/>
    </row>
    <row r="35867">
      <c r="D35867" s="185"/>
      <c r="E35867" s="185" t="s">
        <v>470</v>
      </c>
      <c r="H35867" s="185"/>
    </row>
    <row r="35868">
      <c r="D35868" s="185"/>
      <c r="E35868" s="185" t="s">
        <v>470</v>
      </c>
      <c r="H35868" s="185"/>
    </row>
    <row r="35869">
      <c r="D35869" s="185"/>
      <c r="E35869" s="185" t="s">
        <v>470</v>
      </c>
      <c r="H35869" s="185"/>
    </row>
    <row r="35870">
      <c r="D35870" s="185"/>
      <c r="E35870" s="185" t="s">
        <v>470</v>
      </c>
      <c r="H35870" s="185"/>
    </row>
    <row r="35871">
      <c r="D35871" s="185"/>
      <c r="E35871" s="185" t="s">
        <v>470</v>
      </c>
      <c r="H35871" s="185"/>
    </row>
    <row r="35872">
      <c r="D35872" s="185"/>
      <c r="E35872" s="185" t="s">
        <v>470</v>
      </c>
      <c r="H35872" s="185"/>
    </row>
    <row r="35873">
      <c r="D35873" s="185"/>
      <c r="E35873" s="185" t="s">
        <v>470</v>
      </c>
      <c r="H35873" s="185"/>
    </row>
    <row r="35874">
      <c r="D35874" s="185"/>
      <c r="E35874" s="185" t="s">
        <v>470</v>
      </c>
      <c r="H35874" s="185"/>
    </row>
    <row r="35875">
      <c r="D35875" s="185"/>
      <c r="E35875" s="185" t="s">
        <v>470</v>
      </c>
      <c r="H35875" s="185"/>
    </row>
    <row r="35876">
      <c r="D35876" s="185"/>
      <c r="E35876" s="185" t="s">
        <v>470</v>
      </c>
      <c r="H35876" s="185"/>
    </row>
    <row r="35877">
      <c r="D35877" s="185"/>
      <c r="E35877" s="185" t="s">
        <v>470</v>
      </c>
      <c r="H35877" s="185"/>
    </row>
    <row r="35878">
      <c r="D35878" s="185"/>
      <c r="E35878" s="185" t="s">
        <v>470</v>
      </c>
      <c r="H35878" s="185"/>
    </row>
    <row r="35879">
      <c r="D35879" s="185"/>
      <c r="E35879" s="185" t="s">
        <v>470</v>
      </c>
      <c r="H35879" s="185"/>
    </row>
    <row r="35880">
      <c r="D35880" s="185"/>
      <c r="E35880" s="185" t="s">
        <v>470</v>
      </c>
      <c r="H35880" s="185"/>
    </row>
    <row r="35881">
      <c r="D35881" s="185"/>
      <c r="E35881" s="185" t="s">
        <v>470</v>
      </c>
      <c r="H35881" s="185"/>
    </row>
    <row r="35882">
      <c r="D35882" s="185"/>
      <c r="E35882" s="185" t="s">
        <v>470</v>
      </c>
      <c r="H35882" s="185"/>
    </row>
    <row r="35883">
      <c r="D35883" s="185"/>
      <c r="E35883" s="185" t="s">
        <v>470</v>
      </c>
      <c r="H35883" s="185"/>
    </row>
    <row r="35884">
      <c r="D35884" s="185"/>
      <c r="E35884" s="185" t="s">
        <v>470</v>
      </c>
      <c r="H35884" s="185"/>
    </row>
    <row r="35885">
      <c r="D35885" s="185"/>
      <c r="E35885" s="185" t="s">
        <v>470</v>
      </c>
      <c r="H35885" s="185"/>
    </row>
    <row r="35886">
      <c r="D35886" s="185"/>
      <c r="E35886" s="185" t="s">
        <v>470</v>
      </c>
      <c r="H35886" s="185"/>
    </row>
    <row r="35887">
      <c r="D35887" s="185"/>
      <c r="E35887" s="185" t="s">
        <v>470</v>
      </c>
      <c r="H35887" s="185"/>
    </row>
    <row r="35888">
      <c r="D35888" s="185"/>
      <c r="E35888" s="185" t="s">
        <v>470</v>
      </c>
      <c r="H35888" s="185"/>
    </row>
    <row r="35889">
      <c r="D35889" s="185"/>
      <c r="E35889" s="185" t="s">
        <v>470</v>
      </c>
      <c r="H35889" s="185"/>
    </row>
    <row r="35890">
      <c r="D35890" s="185"/>
      <c r="E35890" s="185" t="s">
        <v>470</v>
      </c>
      <c r="H35890" s="185"/>
    </row>
    <row r="35891">
      <c r="D35891" s="185"/>
      <c r="E35891" s="185" t="s">
        <v>470</v>
      </c>
      <c r="H35891" s="185"/>
    </row>
    <row r="35892">
      <c r="D35892" s="185"/>
      <c r="E35892" s="185" t="s">
        <v>470</v>
      </c>
      <c r="H35892" s="185"/>
    </row>
    <row r="35893">
      <c r="D35893" s="185"/>
      <c r="E35893" s="185" t="s">
        <v>470</v>
      </c>
      <c r="H35893" s="185"/>
    </row>
    <row r="35894">
      <c r="D35894" s="185"/>
      <c r="E35894" s="185" t="s">
        <v>470</v>
      </c>
      <c r="H35894" s="185"/>
    </row>
    <row r="35895">
      <c r="D35895" s="185"/>
      <c r="E35895" s="185" t="s">
        <v>470</v>
      </c>
      <c r="H35895" s="185"/>
    </row>
    <row r="35896">
      <c r="D35896" s="185"/>
      <c r="E35896" s="185" t="s">
        <v>470</v>
      </c>
      <c r="H35896" s="185"/>
    </row>
    <row r="35897">
      <c r="D35897" s="185"/>
      <c r="E35897" s="185" t="s">
        <v>470</v>
      </c>
      <c r="H35897" s="185"/>
    </row>
    <row r="35898">
      <c r="D35898" s="185"/>
      <c r="E35898" s="185" t="s">
        <v>470</v>
      </c>
      <c r="H35898" s="185"/>
    </row>
    <row r="35899">
      <c r="D35899" s="185"/>
      <c r="E35899" s="185" t="s">
        <v>470</v>
      </c>
      <c r="H35899" s="185"/>
    </row>
    <row r="35900">
      <c r="D35900" s="185"/>
      <c r="E35900" s="185" t="s">
        <v>470</v>
      </c>
      <c r="H35900" s="185"/>
    </row>
    <row r="35901">
      <c r="D35901" s="185"/>
      <c r="E35901" s="185" t="s">
        <v>470</v>
      </c>
      <c r="H35901" s="185"/>
    </row>
    <row r="35902">
      <c r="D35902" s="185"/>
      <c r="E35902" s="185" t="s">
        <v>470</v>
      </c>
      <c r="H35902" s="185"/>
    </row>
    <row r="35903">
      <c r="D35903" s="185"/>
      <c r="E35903" s="185" t="s">
        <v>470</v>
      </c>
      <c r="H35903" s="185"/>
    </row>
    <row r="35904">
      <c r="D35904" s="185"/>
      <c r="E35904" s="185" t="s">
        <v>470</v>
      </c>
      <c r="H35904" s="185"/>
    </row>
    <row r="35905">
      <c r="D35905" s="185"/>
      <c r="E35905" s="185" t="s">
        <v>470</v>
      </c>
      <c r="H35905" s="185"/>
    </row>
    <row r="35906">
      <c r="D35906" s="185"/>
      <c r="E35906" s="185" t="s">
        <v>470</v>
      </c>
      <c r="H35906" s="185"/>
    </row>
    <row r="35907">
      <c r="D35907" s="185"/>
      <c r="E35907" s="185" t="s">
        <v>470</v>
      </c>
      <c r="H35907" s="185"/>
    </row>
    <row r="35908">
      <c r="D35908" s="185"/>
      <c r="E35908" s="185" t="s">
        <v>470</v>
      </c>
      <c r="H35908" s="185"/>
    </row>
    <row r="35909">
      <c r="D35909" s="185"/>
      <c r="E35909" s="185" t="s">
        <v>470</v>
      </c>
      <c r="H35909" s="185"/>
    </row>
    <row r="35910">
      <c r="D35910" s="185"/>
      <c r="E35910" s="185" t="s">
        <v>470</v>
      </c>
      <c r="H35910" s="185"/>
    </row>
    <row r="35911">
      <c r="D35911" s="185"/>
      <c r="E35911" s="185" t="s">
        <v>470</v>
      </c>
      <c r="H35911" s="185"/>
    </row>
    <row r="35912">
      <c r="D35912" s="185"/>
      <c r="E35912" s="185" t="s">
        <v>470</v>
      </c>
      <c r="H35912" s="185"/>
    </row>
    <row r="35913">
      <c r="D35913" s="185"/>
      <c r="E35913" s="185" t="s">
        <v>470</v>
      </c>
      <c r="H35913" s="185"/>
    </row>
    <row r="35914">
      <c r="D35914" s="185"/>
      <c r="E35914" s="185" t="s">
        <v>470</v>
      </c>
      <c r="H35914" s="185"/>
    </row>
    <row r="35915">
      <c r="D35915" s="185"/>
      <c r="E35915" s="185" t="s">
        <v>470</v>
      </c>
      <c r="H35915" s="185"/>
    </row>
    <row r="35916">
      <c r="D35916" s="185"/>
      <c r="E35916" s="185" t="s">
        <v>470</v>
      </c>
      <c r="H35916" s="185"/>
    </row>
    <row r="35917">
      <c r="D35917" s="185"/>
      <c r="E35917" s="185" t="s">
        <v>470</v>
      </c>
      <c r="H35917" s="185"/>
    </row>
    <row r="35918">
      <c r="D35918" s="185"/>
      <c r="E35918" s="185" t="s">
        <v>470</v>
      </c>
      <c r="H35918" s="185"/>
    </row>
    <row r="35919">
      <c r="D35919" s="185"/>
      <c r="E35919" s="185" t="s">
        <v>470</v>
      </c>
      <c r="H35919" s="185"/>
    </row>
    <row r="35920">
      <c r="D35920" s="185"/>
      <c r="E35920" s="185" t="s">
        <v>470</v>
      </c>
      <c r="H35920" s="185"/>
    </row>
    <row r="35921">
      <c r="D35921" s="185"/>
      <c r="E35921" s="185" t="s">
        <v>470</v>
      </c>
      <c r="H35921" s="185"/>
    </row>
    <row r="35922">
      <c r="D35922" s="185"/>
      <c r="E35922" s="185" t="s">
        <v>470</v>
      </c>
      <c r="H35922" s="185"/>
    </row>
    <row r="35923">
      <c r="D35923" s="185"/>
      <c r="E35923" s="185" t="s">
        <v>470</v>
      </c>
      <c r="H35923" s="185"/>
    </row>
    <row r="35924">
      <c r="D35924" s="185"/>
      <c r="E35924" s="185" t="s">
        <v>470</v>
      </c>
      <c r="H35924" s="185"/>
    </row>
    <row r="35925">
      <c r="D35925" s="185"/>
      <c r="E35925" s="185" t="s">
        <v>470</v>
      </c>
      <c r="H35925" s="185"/>
    </row>
    <row r="35926">
      <c r="D35926" s="185"/>
      <c r="E35926" s="185" t="s">
        <v>470</v>
      </c>
      <c r="H35926" s="185"/>
    </row>
    <row r="35927">
      <c r="D35927" s="185"/>
      <c r="E35927" s="185" t="s">
        <v>470</v>
      </c>
      <c r="H35927" s="185"/>
    </row>
    <row r="35928">
      <c r="D35928" s="185"/>
      <c r="E35928" s="185" t="s">
        <v>470</v>
      </c>
      <c r="H35928" s="185"/>
    </row>
    <row r="35929">
      <c r="D35929" s="185"/>
      <c r="E35929" s="185" t="s">
        <v>470</v>
      </c>
      <c r="H35929" s="185"/>
    </row>
    <row r="35930">
      <c r="D35930" s="185"/>
      <c r="E35930" s="185" t="s">
        <v>470</v>
      </c>
      <c r="H35930" s="185"/>
    </row>
    <row r="35931">
      <c r="D35931" s="185"/>
      <c r="E35931" s="185" t="s">
        <v>470</v>
      </c>
      <c r="H35931" s="185"/>
    </row>
    <row r="35932">
      <c r="D35932" s="185"/>
      <c r="E35932" s="185" t="s">
        <v>470</v>
      </c>
      <c r="H35932" s="185"/>
    </row>
    <row r="35933">
      <c r="D35933" s="185"/>
      <c r="E35933" s="185" t="s">
        <v>470</v>
      </c>
      <c r="H35933" s="185"/>
    </row>
    <row r="35934">
      <c r="D35934" s="185"/>
      <c r="E35934" s="185" t="s">
        <v>470</v>
      </c>
      <c r="H35934" s="185"/>
    </row>
    <row r="35935">
      <c r="D35935" s="185"/>
      <c r="E35935" s="185" t="s">
        <v>470</v>
      </c>
      <c r="H35935" s="185"/>
    </row>
    <row r="35936">
      <c r="D35936" s="185"/>
      <c r="E35936" s="185" t="s">
        <v>470</v>
      </c>
      <c r="H35936" s="185"/>
    </row>
    <row r="35937">
      <c r="D35937" s="185"/>
      <c r="E35937" s="185" t="s">
        <v>470</v>
      </c>
      <c r="H35937" s="185"/>
    </row>
    <row r="35938">
      <c r="D35938" s="185"/>
      <c r="E35938" s="185" t="s">
        <v>470</v>
      </c>
      <c r="H35938" s="185"/>
    </row>
    <row r="35939">
      <c r="D35939" s="185"/>
      <c r="E35939" s="185" t="s">
        <v>470</v>
      </c>
      <c r="H35939" s="185"/>
    </row>
    <row r="35940">
      <c r="D35940" s="185"/>
      <c r="E35940" s="185" t="s">
        <v>470</v>
      </c>
      <c r="H35940" s="185"/>
    </row>
    <row r="35941">
      <c r="D35941" s="185"/>
      <c r="E35941" s="185" t="s">
        <v>470</v>
      </c>
      <c r="H35941" s="185"/>
    </row>
    <row r="35942">
      <c r="D35942" s="185"/>
      <c r="E35942" s="185" t="s">
        <v>470</v>
      </c>
      <c r="H35942" s="185"/>
    </row>
    <row r="35943">
      <c r="D35943" s="185"/>
      <c r="E35943" s="185" t="s">
        <v>470</v>
      </c>
      <c r="H35943" s="185"/>
    </row>
    <row r="35944">
      <c r="D35944" s="185"/>
      <c r="E35944" s="185" t="s">
        <v>470</v>
      </c>
      <c r="H35944" s="185"/>
    </row>
    <row r="35945">
      <c r="D35945" s="185"/>
      <c r="E35945" s="185" t="s">
        <v>470</v>
      </c>
      <c r="H35945" s="185"/>
    </row>
    <row r="35946">
      <c r="D35946" s="185"/>
      <c r="E35946" s="185" t="s">
        <v>470</v>
      </c>
      <c r="H35946" s="185"/>
    </row>
    <row r="35947">
      <c r="D35947" s="185"/>
      <c r="E35947" s="185" t="s">
        <v>470</v>
      </c>
      <c r="H35947" s="185"/>
    </row>
    <row r="35948">
      <c r="D35948" s="185"/>
      <c r="E35948" s="185" t="s">
        <v>470</v>
      </c>
      <c r="H35948" s="185"/>
    </row>
    <row r="35949">
      <c r="D35949" s="185"/>
      <c r="E35949" s="185" t="s">
        <v>470</v>
      </c>
      <c r="H35949" s="185"/>
    </row>
    <row r="35950">
      <c r="D35950" s="185"/>
      <c r="E35950" s="185" t="s">
        <v>470</v>
      </c>
      <c r="H35950" s="185"/>
    </row>
    <row r="35951">
      <c r="D35951" s="185"/>
      <c r="E35951" s="185" t="s">
        <v>470</v>
      </c>
      <c r="H35951" s="185"/>
    </row>
    <row r="35952">
      <c r="D35952" s="185"/>
      <c r="E35952" s="185" t="s">
        <v>470</v>
      </c>
      <c r="H35952" s="185"/>
    </row>
    <row r="35953">
      <c r="D35953" s="185"/>
      <c r="E35953" s="185" t="s">
        <v>470</v>
      </c>
      <c r="H35953" s="185"/>
    </row>
    <row r="35954">
      <c r="D35954" s="185"/>
      <c r="E35954" s="185" t="s">
        <v>470</v>
      </c>
      <c r="H35954" s="185"/>
    </row>
    <row r="35955">
      <c r="D35955" s="185"/>
      <c r="E35955" s="185" t="s">
        <v>470</v>
      </c>
      <c r="H35955" s="185"/>
    </row>
    <row r="35956">
      <c r="D35956" s="185"/>
      <c r="E35956" s="185" t="s">
        <v>470</v>
      </c>
      <c r="H35956" s="185"/>
    </row>
    <row r="35957">
      <c r="D35957" s="185"/>
      <c r="E35957" s="185" t="s">
        <v>470</v>
      </c>
      <c r="H35957" s="185"/>
    </row>
    <row r="35958">
      <c r="D35958" s="185"/>
      <c r="E35958" s="185" t="s">
        <v>470</v>
      </c>
      <c r="H35958" s="185"/>
    </row>
    <row r="35959">
      <c r="D35959" s="185"/>
      <c r="E35959" s="185" t="s">
        <v>470</v>
      </c>
      <c r="H35959" s="185"/>
    </row>
    <row r="35960">
      <c r="D35960" s="185"/>
      <c r="E35960" s="185" t="s">
        <v>470</v>
      </c>
      <c r="H35960" s="185"/>
    </row>
    <row r="35961">
      <c r="D35961" s="185"/>
      <c r="E35961" s="185" t="s">
        <v>470</v>
      </c>
      <c r="H35961" s="185"/>
    </row>
    <row r="35962">
      <c r="D35962" s="185"/>
      <c r="E35962" s="185" t="s">
        <v>470</v>
      </c>
      <c r="H35962" s="185"/>
    </row>
    <row r="35963">
      <c r="D35963" s="185"/>
      <c r="E35963" s="185" t="s">
        <v>470</v>
      </c>
      <c r="H35963" s="185"/>
    </row>
    <row r="35964">
      <c r="D35964" s="185"/>
      <c r="E35964" s="185" t="s">
        <v>470</v>
      </c>
      <c r="H35964" s="185"/>
    </row>
    <row r="35965">
      <c r="D35965" s="185"/>
      <c r="E35965" s="185" t="s">
        <v>470</v>
      </c>
      <c r="H35965" s="185"/>
    </row>
    <row r="35966">
      <c r="D35966" s="185"/>
      <c r="E35966" s="185" t="s">
        <v>470</v>
      </c>
      <c r="H35966" s="185"/>
    </row>
    <row r="35967">
      <c r="D35967" s="185"/>
      <c r="E35967" s="185" t="s">
        <v>470</v>
      </c>
      <c r="H35967" s="185"/>
    </row>
    <row r="35968">
      <c r="D35968" s="185"/>
      <c r="E35968" s="185" t="s">
        <v>470</v>
      </c>
      <c r="H35968" s="185"/>
    </row>
    <row r="35969">
      <c r="D35969" s="185"/>
      <c r="E35969" s="185" t="s">
        <v>470</v>
      </c>
      <c r="H35969" s="185"/>
    </row>
    <row r="35970">
      <c r="D35970" s="185"/>
      <c r="E35970" s="185" t="s">
        <v>470</v>
      </c>
      <c r="H35970" s="185"/>
    </row>
    <row r="35971">
      <c r="D35971" s="185"/>
      <c r="E35971" s="185" t="s">
        <v>470</v>
      </c>
      <c r="H35971" s="185"/>
    </row>
    <row r="35972">
      <c r="D35972" s="185"/>
      <c r="E35972" s="185" t="s">
        <v>470</v>
      </c>
      <c r="H35972" s="185"/>
    </row>
    <row r="35973">
      <c r="D35973" s="185"/>
      <c r="E35973" s="185" t="s">
        <v>470</v>
      </c>
      <c r="H35973" s="185"/>
    </row>
    <row r="35974">
      <c r="D35974" s="185"/>
      <c r="E35974" s="185" t="s">
        <v>470</v>
      </c>
      <c r="H35974" s="185"/>
    </row>
    <row r="35975">
      <c r="D35975" s="185"/>
      <c r="E35975" s="185" t="s">
        <v>470</v>
      </c>
      <c r="H35975" s="185"/>
    </row>
    <row r="35976">
      <c r="D35976" s="185"/>
      <c r="E35976" s="185" t="s">
        <v>470</v>
      </c>
      <c r="H35976" s="185"/>
    </row>
    <row r="35977">
      <c r="D35977" s="185"/>
      <c r="E35977" s="185" t="s">
        <v>470</v>
      </c>
      <c r="H35977" s="185"/>
    </row>
    <row r="35978">
      <c r="D35978" s="185"/>
      <c r="E35978" s="185" t="s">
        <v>470</v>
      </c>
      <c r="H35978" s="185"/>
    </row>
    <row r="35979">
      <c r="D35979" s="185"/>
      <c r="E35979" s="185" t="s">
        <v>470</v>
      </c>
      <c r="H35979" s="185"/>
    </row>
    <row r="35980">
      <c r="D35980" s="185"/>
      <c r="E35980" s="185" t="s">
        <v>470</v>
      </c>
      <c r="H35980" s="185"/>
    </row>
    <row r="35981">
      <c r="D35981" s="185"/>
      <c r="E35981" s="185" t="s">
        <v>470</v>
      </c>
      <c r="H35981" s="185"/>
    </row>
    <row r="35982">
      <c r="D35982" s="185"/>
      <c r="E35982" s="185" t="s">
        <v>470</v>
      </c>
      <c r="H35982" s="185"/>
    </row>
    <row r="35983">
      <c r="D35983" s="185"/>
      <c r="E35983" s="185" t="s">
        <v>470</v>
      </c>
      <c r="H35983" s="185"/>
    </row>
    <row r="35984">
      <c r="D35984" s="185"/>
      <c r="E35984" s="185" t="s">
        <v>470</v>
      </c>
      <c r="H35984" s="185"/>
    </row>
    <row r="35985">
      <c r="D35985" s="185"/>
      <c r="E35985" s="185" t="s">
        <v>470</v>
      </c>
      <c r="H35985" s="185"/>
    </row>
    <row r="35986">
      <c r="D35986" s="185"/>
      <c r="E35986" s="185" t="s">
        <v>470</v>
      </c>
      <c r="H35986" s="185"/>
    </row>
    <row r="35987">
      <c r="D35987" s="185"/>
      <c r="E35987" s="185" t="s">
        <v>470</v>
      </c>
      <c r="H35987" s="185"/>
    </row>
    <row r="35988">
      <c r="D35988" s="185"/>
      <c r="E35988" s="185" t="s">
        <v>470</v>
      </c>
      <c r="H35988" s="185"/>
    </row>
    <row r="35989">
      <c r="D35989" s="185"/>
      <c r="E35989" s="185" t="s">
        <v>470</v>
      </c>
      <c r="H35989" s="185"/>
    </row>
    <row r="35990">
      <c r="D35990" s="185"/>
      <c r="E35990" s="185" t="s">
        <v>470</v>
      </c>
      <c r="H35990" s="185"/>
    </row>
    <row r="35991">
      <c r="D35991" s="185"/>
      <c r="E35991" s="185" t="s">
        <v>470</v>
      </c>
      <c r="H35991" s="185"/>
    </row>
    <row r="35992">
      <c r="D35992" s="185"/>
      <c r="E35992" s="185" t="s">
        <v>470</v>
      </c>
      <c r="H35992" s="185"/>
    </row>
    <row r="35993">
      <c r="D35993" s="185"/>
      <c r="E35993" s="185" t="s">
        <v>470</v>
      </c>
      <c r="H35993" s="185"/>
    </row>
    <row r="35994">
      <c r="D35994" s="185"/>
      <c r="E35994" s="185" t="s">
        <v>470</v>
      </c>
      <c r="H35994" s="185"/>
    </row>
    <row r="35995">
      <c r="D35995" s="185"/>
      <c r="E35995" s="185" t="s">
        <v>470</v>
      </c>
      <c r="H35995" s="185"/>
    </row>
    <row r="35996">
      <c r="D35996" s="185"/>
      <c r="E35996" s="185" t="s">
        <v>470</v>
      </c>
      <c r="H35996" s="185"/>
    </row>
    <row r="35997">
      <c r="D35997" s="185"/>
      <c r="E35997" s="185" t="s">
        <v>470</v>
      </c>
      <c r="H35997" s="185"/>
    </row>
    <row r="35998">
      <c r="D35998" s="185"/>
      <c r="E35998" s="185" t="s">
        <v>470</v>
      </c>
      <c r="H35998" s="185"/>
    </row>
    <row r="35999">
      <c r="D35999" s="185"/>
      <c r="E35999" s="185" t="s">
        <v>470</v>
      </c>
      <c r="H35999" s="185"/>
    </row>
    <row r="36000">
      <c r="D36000" s="185"/>
      <c r="E36000" s="185" t="s">
        <v>470</v>
      </c>
      <c r="H36000" s="185"/>
    </row>
    <row r="36001">
      <c r="D36001" s="185"/>
      <c r="E36001" s="185" t="s">
        <v>470</v>
      </c>
      <c r="H36001" s="185"/>
    </row>
    <row r="36002">
      <c r="D36002" s="185"/>
      <c r="E36002" s="185" t="s">
        <v>470</v>
      </c>
      <c r="H36002" s="185"/>
    </row>
    <row r="36003">
      <c r="D36003" s="185"/>
      <c r="E36003" s="185" t="s">
        <v>470</v>
      </c>
      <c r="H36003" s="185"/>
    </row>
    <row r="36004">
      <c r="D36004" s="185"/>
      <c r="E36004" s="185" t="s">
        <v>470</v>
      </c>
      <c r="H36004" s="185"/>
    </row>
    <row r="36005">
      <c r="D36005" s="185"/>
      <c r="E36005" s="185" t="s">
        <v>470</v>
      </c>
      <c r="H36005" s="185"/>
    </row>
    <row r="36006">
      <c r="D36006" s="185"/>
      <c r="E36006" s="185" t="s">
        <v>470</v>
      </c>
      <c r="H36006" s="185"/>
    </row>
    <row r="36007">
      <c r="D36007" s="185"/>
      <c r="E36007" s="185" t="s">
        <v>470</v>
      </c>
      <c r="H36007" s="185"/>
    </row>
    <row r="36008">
      <c r="D36008" s="185"/>
      <c r="E36008" s="185" t="s">
        <v>470</v>
      </c>
      <c r="H36008" s="185"/>
    </row>
    <row r="36009">
      <c r="D36009" s="185"/>
      <c r="E36009" s="185" t="s">
        <v>470</v>
      </c>
      <c r="H36009" s="185"/>
    </row>
    <row r="36010">
      <c r="D36010" s="185"/>
      <c r="E36010" s="185" t="s">
        <v>470</v>
      </c>
      <c r="H36010" s="185"/>
    </row>
    <row r="36011">
      <c r="D36011" s="185"/>
      <c r="E36011" s="185" t="s">
        <v>470</v>
      </c>
      <c r="H36011" s="185"/>
    </row>
    <row r="36012">
      <c r="D36012" s="185"/>
      <c r="E36012" s="185" t="s">
        <v>470</v>
      </c>
      <c r="H36012" s="185"/>
    </row>
    <row r="36013">
      <c r="D36013" s="185"/>
      <c r="E36013" s="185" t="s">
        <v>470</v>
      </c>
      <c r="H36013" s="185"/>
    </row>
    <row r="36014">
      <c r="D36014" s="185"/>
      <c r="E36014" s="185" t="s">
        <v>470</v>
      </c>
      <c r="H36014" s="185"/>
    </row>
    <row r="36015">
      <c r="D36015" s="185"/>
      <c r="E36015" s="185" t="s">
        <v>470</v>
      </c>
      <c r="H36015" s="185"/>
    </row>
    <row r="36016">
      <c r="D36016" s="185"/>
      <c r="E36016" s="185" t="s">
        <v>470</v>
      </c>
      <c r="H36016" s="185"/>
    </row>
    <row r="36017">
      <c r="D36017" s="185"/>
      <c r="E36017" s="185" t="s">
        <v>470</v>
      </c>
      <c r="H36017" s="185"/>
    </row>
    <row r="36018">
      <c r="D36018" s="185"/>
      <c r="E36018" s="185" t="s">
        <v>470</v>
      </c>
      <c r="H36018" s="185"/>
    </row>
    <row r="36019">
      <c r="D36019" s="185"/>
      <c r="E36019" s="185" t="s">
        <v>470</v>
      </c>
      <c r="H36019" s="185"/>
    </row>
    <row r="36020">
      <c r="D36020" s="185"/>
      <c r="E36020" s="185" t="s">
        <v>470</v>
      </c>
      <c r="H36020" s="185"/>
    </row>
    <row r="36021">
      <c r="D36021" s="185"/>
      <c r="E36021" s="185" t="s">
        <v>470</v>
      </c>
      <c r="H36021" s="185"/>
    </row>
    <row r="36022">
      <c r="D36022" s="185"/>
      <c r="E36022" s="185" t="s">
        <v>470</v>
      </c>
      <c r="H36022" s="185"/>
    </row>
    <row r="36023">
      <c r="D36023" s="185"/>
      <c r="E36023" s="185" t="s">
        <v>470</v>
      </c>
      <c r="H36023" s="185"/>
    </row>
    <row r="36024">
      <c r="D36024" s="185"/>
      <c r="E36024" s="185" t="s">
        <v>470</v>
      </c>
      <c r="H36024" s="185"/>
    </row>
    <row r="36025">
      <c r="D36025" s="185"/>
      <c r="E36025" s="185" t="s">
        <v>470</v>
      </c>
      <c r="H36025" s="185"/>
    </row>
    <row r="36026">
      <c r="D36026" s="185"/>
      <c r="E36026" s="185" t="s">
        <v>470</v>
      </c>
      <c r="H36026" s="185"/>
    </row>
    <row r="36027">
      <c r="D36027" s="185"/>
      <c r="E36027" s="185" t="s">
        <v>470</v>
      </c>
      <c r="H36027" s="185"/>
    </row>
    <row r="36028">
      <c r="D36028" s="185"/>
      <c r="E36028" s="185" t="s">
        <v>470</v>
      </c>
      <c r="H36028" s="185"/>
    </row>
    <row r="36029">
      <c r="D36029" s="185"/>
      <c r="E36029" s="185" t="s">
        <v>470</v>
      </c>
      <c r="H36029" s="185"/>
    </row>
    <row r="36030">
      <c r="D36030" s="185"/>
      <c r="E36030" s="185" t="s">
        <v>470</v>
      </c>
      <c r="H36030" s="185"/>
    </row>
    <row r="36031">
      <c r="D36031" s="185"/>
      <c r="E36031" s="185" t="s">
        <v>470</v>
      </c>
      <c r="H36031" s="185"/>
    </row>
    <row r="36032">
      <c r="D36032" s="185"/>
      <c r="E36032" s="185" t="s">
        <v>470</v>
      </c>
      <c r="H36032" s="185"/>
    </row>
    <row r="36033">
      <c r="D36033" s="185"/>
      <c r="E36033" s="185" t="s">
        <v>470</v>
      </c>
      <c r="H36033" s="185"/>
    </row>
    <row r="36034">
      <c r="D36034" s="185"/>
      <c r="E36034" s="185" t="s">
        <v>470</v>
      </c>
      <c r="H36034" s="185"/>
    </row>
    <row r="36035">
      <c r="D36035" s="185"/>
      <c r="E36035" s="185" t="s">
        <v>470</v>
      </c>
      <c r="H36035" s="185"/>
    </row>
    <row r="36036">
      <c r="D36036" s="185"/>
      <c r="E36036" s="185" t="s">
        <v>470</v>
      </c>
      <c r="H36036" s="185"/>
    </row>
    <row r="36037">
      <c r="D36037" s="185"/>
      <c r="E36037" s="185" t="s">
        <v>470</v>
      </c>
      <c r="H36037" s="185"/>
    </row>
    <row r="36038">
      <c r="D36038" s="185"/>
      <c r="E36038" s="185" t="s">
        <v>470</v>
      </c>
      <c r="H36038" s="185"/>
    </row>
    <row r="36039">
      <c r="D36039" s="185"/>
      <c r="E36039" s="185" t="s">
        <v>470</v>
      </c>
      <c r="H36039" s="185"/>
    </row>
    <row r="36040">
      <c r="D36040" s="185"/>
      <c r="E36040" s="185" t="s">
        <v>470</v>
      </c>
      <c r="H36040" s="185"/>
    </row>
    <row r="36041">
      <c r="D36041" s="185"/>
      <c r="E36041" s="185" t="s">
        <v>470</v>
      </c>
      <c r="H36041" s="185"/>
    </row>
    <row r="36042">
      <c r="D36042" s="185"/>
      <c r="E36042" s="185" t="s">
        <v>470</v>
      </c>
      <c r="H36042" s="185"/>
    </row>
    <row r="36043">
      <c r="D36043" s="185"/>
      <c r="E36043" s="185" t="s">
        <v>470</v>
      </c>
      <c r="H36043" s="185"/>
    </row>
    <row r="36044">
      <c r="D36044" s="185"/>
      <c r="E36044" s="185" t="s">
        <v>470</v>
      </c>
      <c r="H36044" s="185"/>
    </row>
    <row r="36045">
      <c r="D36045" s="185"/>
      <c r="E36045" s="185" t="s">
        <v>470</v>
      </c>
      <c r="H36045" s="185"/>
    </row>
    <row r="36046">
      <c r="D36046" s="185"/>
      <c r="E36046" s="185" t="s">
        <v>470</v>
      </c>
      <c r="H36046" s="185"/>
    </row>
    <row r="36047">
      <c r="D36047" s="185"/>
      <c r="E36047" s="185" t="s">
        <v>470</v>
      </c>
      <c r="H36047" s="185"/>
    </row>
    <row r="36048">
      <c r="D36048" s="185"/>
      <c r="E36048" s="185" t="s">
        <v>470</v>
      </c>
      <c r="H36048" s="185"/>
    </row>
    <row r="36049">
      <c r="D36049" s="185"/>
      <c r="E36049" s="185" t="s">
        <v>470</v>
      </c>
      <c r="H36049" s="185"/>
    </row>
    <row r="36050">
      <c r="D36050" s="185"/>
      <c r="E36050" s="185" t="s">
        <v>470</v>
      </c>
      <c r="H36050" s="185"/>
    </row>
    <row r="36051">
      <c r="D36051" s="185"/>
      <c r="E36051" s="185" t="s">
        <v>470</v>
      </c>
      <c r="H36051" s="185"/>
    </row>
    <row r="36052">
      <c r="D36052" s="185"/>
      <c r="E36052" s="185" t="s">
        <v>470</v>
      </c>
      <c r="H36052" s="185"/>
    </row>
    <row r="36053">
      <c r="D36053" s="185"/>
      <c r="E36053" s="185" t="s">
        <v>470</v>
      </c>
      <c r="H36053" s="185"/>
    </row>
    <row r="36054">
      <c r="D36054" s="185"/>
      <c r="E36054" s="185" t="s">
        <v>470</v>
      </c>
      <c r="H36054" s="185"/>
    </row>
    <row r="36055">
      <c r="D36055" s="185"/>
      <c r="E36055" s="185" t="s">
        <v>470</v>
      </c>
      <c r="H36055" s="185"/>
    </row>
    <row r="36056">
      <c r="D36056" s="185"/>
      <c r="E36056" s="185" t="s">
        <v>470</v>
      </c>
      <c r="H36056" s="185"/>
    </row>
    <row r="36057">
      <c r="D36057" s="185"/>
      <c r="E36057" s="185" t="s">
        <v>470</v>
      </c>
      <c r="H36057" s="185"/>
    </row>
    <row r="36058">
      <c r="D36058" s="185"/>
      <c r="E36058" s="185" t="s">
        <v>470</v>
      </c>
      <c r="H36058" s="185"/>
    </row>
    <row r="36059">
      <c r="D36059" s="185"/>
      <c r="E36059" s="185" t="s">
        <v>470</v>
      </c>
      <c r="H36059" s="185"/>
    </row>
    <row r="36060">
      <c r="D36060" s="185"/>
      <c r="E36060" s="185" t="s">
        <v>470</v>
      </c>
      <c r="H36060" s="185"/>
    </row>
    <row r="36061">
      <c r="D36061" s="185"/>
      <c r="E36061" s="185" t="s">
        <v>470</v>
      </c>
      <c r="H36061" s="185"/>
    </row>
    <row r="36062">
      <c r="D36062" s="185"/>
      <c r="E36062" s="185" t="s">
        <v>470</v>
      </c>
      <c r="H36062" s="185"/>
    </row>
    <row r="36063">
      <c r="D36063" s="185"/>
      <c r="E36063" s="185" t="s">
        <v>470</v>
      </c>
      <c r="H36063" s="185"/>
    </row>
    <row r="36064">
      <c r="D36064" s="185"/>
      <c r="E36064" s="185" t="s">
        <v>470</v>
      </c>
      <c r="H36064" s="185"/>
    </row>
    <row r="36065">
      <c r="D36065" s="185"/>
      <c r="E36065" s="185" t="s">
        <v>470</v>
      </c>
      <c r="H36065" s="185"/>
    </row>
    <row r="36066">
      <c r="D36066" s="185"/>
      <c r="E36066" s="185" t="s">
        <v>470</v>
      </c>
      <c r="H36066" s="185"/>
    </row>
    <row r="36067">
      <c r="D36067" s="185"/>
      <c r="E36067" s="185" t="s">
        <v>470</v>
      </c>
      <c r="H36067" s="185"/>
    </row>
    <row r="36068">
      <c r="D36068" s="185"/>
      <c r="E36068" s="185" t="s">
        <v>470</v>
      </c>
      <c r="H36068" s="185"/>
    </row>
    <row r="36069">
      <c r="D36069" s="185"/>
      <c r="E36069" s="185" t="s">
        <v>470</v>
      </c>
      <c r="H36069" s="185"/>
    </row>
    <row r="36070">
      <c r="D36070" s="185"/>
      <c r="E36070" s="185" t="s">
        <v>470</v>
      </c>
      <c r="H36070" s="185"/>
    </row>
    <row r="36071">
      <c r="D36071" s="185"/>
      <c r="E36071" s="185" t="s">
        <v>470</v>
      </c>
      <c r="H36071" s="185"/>
    </row>
    <row r="36072">
      <c r="D36072" s="185"/>
      <c r="E36072" s="185" t="s">
        <v>470</v>
      </c>
      <c r="H36072" s="185"/>
    </row>
    <row r="36073">
      <c r="D36073" s="185"/>
      <c r="E36073" s="185" t="s">
        <v>470</v>
      </c>
      <c r="H36073" s="185"/>
    </row>
    <row r="36074">
      <c r="D36074" s="185"/>
      <c r="E36074" s="185" t="s">
        <v>470</v>
      </c>
      <c r="H36074" s="185"/>
    </row>
    <row r="36075">
      <c r="D36075" s="185"/>
      <c r="E36075" s="185" t="s">
        <v>470</v>
      </c>
      <c r="H36075" s="185"/>
    </row>
    <row r="36076">
      <c r="D36076" s="185"/>
      <c r="E36076" s="185" t="s">
        <v>470</v>
      </c>
      <c r="H36076" s="185"/>
    </row>
    <row r="36077">
      <c r="D36077" s="185"/>
      <c r="E36077" s="185" t="s">
        <v>470</v>
      </c>
      <c r="H36077" s="185"/>
    </row>
    <row r="36078">
      <c r="D36078" s="185"/>
      <c r="E36078" s="185" t="s">
        <v>470</v>
      </c>
      <c r="H36078" s="185"/>
    </row>
    <row r="36079">
      <c r="D36079" s="185"/>
      <c r="E36079" s="185" t="s">
        <v>470</v>
      </c>
      <c r="H36079" s="185"/>
    </row>
    <row r="36080">
      <c r="D36080" s="185"/>
      <c r="E36080" s="185" t="s">
        <v>470</v>
      </c>
      <c r="H36080" s="185"/>
    </row>
    <row r="36081">
      <c r="D36081" s="185"/>
      <c r="E36081" s="185" t="s">
        <v>470</v>
      </c>
      <c r="H36081" s="185"/>
    </row>
    <row r="36082">
      <c r="D36082" s="185"/>
      <c r="E36082" s="185" t="s">
        <v>470</v>
      </c>
      <c r="H36082" s="185"/>
    </row>
    <row r="36083">
      <c r="D36083" s="185"/>
      <c r="E36083" s="185" t="s">
        <v>470</v>
      </c>
      <c r="H36083" s="185"/>
    </row>
    <row r="36084">
      <c r="D36084" s="185"/>
      <c r="E36084" s="185" t="s">
        <v>470</v>
      </c>
      <c r="H36084" s="185"/>
    </row>
    <row r="36085">
      <c r="D36085" s="185"/>
      <c r="E36085" s="185" t="s">
        <v>470</v>
      </c>
      <c r="H36085" s="185"/>
    </row>
    <row r="36086">
      <c r="D36086" s="185"/>
      <c r="E36086" s="185" t="s">
        <v>470</v>
      </c>
      <c r="H36086" s="185"/>
    </row>
    <row r="36087">
      <c r="D36087" s="185"/>
      <c r="E36087" s="185" t="s">
        <v>470</v>
      </c>
      <c r="H36087" s="185"/>
    </row>
    <row r="36088">
      <c r="D36088" s="185"/>
      <c r="E36088" s="185" t="s">
        <v>470</v>
      </c>
      <c r="H36088" s="185"/>
    </row>
    <row r="36089">
      <c r="D36089" s="185"/>
      <c r="E36089" s="185" t="s">
        <v>470</v>
      </c>
      <c r="H36089" s="185"/>
    </row>
    <row r="36090">
      <c r="D36090" s="185"/>
      <c r="E36090" s="185" t="s">
        <v>470</v>
      </c>
      <c r="H36090" s="185"/>
    </row>
    <row r="36091">
      <c r="D36091" s="185"/>
      <c r="E36091" s="185" t="s">
        <v>470</v>
      </c>
      <c r="H36091" s="185"/>
    </row>
    <row r="36092">
      <c r="D36092" s="185"/>
      <c r="E36092" s="185" t="s">
        <v>470</v>
      </c>
      <c r="H36092" s="185"/>
    </row>
    <row r="36093">
      <c r="D36093" s="185"/>
      <c r="E36093" s="185" t="s">
        <v>470</v>
      </c>
      <c r="H36093" s="185"/>
    </row>
    <row r="36094">
      <c r="D36094" s="185"/>
      <c r="E36094" s="185" t="s">
        <v>470</v>
      </c>
      <c r="H36094" s="185"/>
    </row>
    <row r="36095">
      <c r="D36095" s="185"/>
      <c r="E36095" s="185" t="s">
        <v>470</v>
      </c>
      <c r="H36095" s="185"/>
    </row>
    <row r="36096">
      <c r="D36096" s="185"/>
      <c r="E36096" s="185" t="s">
        <v>470</v>
      </c>
      <c r="H36096" s="185"/>
    </row>
    <row r="36097">
      <c r="D36097" s="185"/>
      <c r="E36097" s="185" t="s">
        <v>470</v>
      </c>
      <c r="H36097" s="185"/>
    </row>
    <row r="36098">
      <c r="D36098" s="185"/>
      <c r="E36098" s="185" t="s">
        <v>470</v>
      </c>
      <c r="H36098" s="185"/>
    </row>
    <row r="36099">
      <c r="D36099" s="185"/>
      <c r="E36099" s="185" t="s">
        <v>470</v>
      </c>
      <c r="H36099" s="185"/>
    </row>
    <row r="36100">
      <c r="D36100" s="185"/>
      <c r="E36100" s="185" t="s">
        <v>470</v>
      </c>
      <c r="H36100" s="185"/>
    </row>
    <row r="36101">
      <c r="D36101" s="185"/>
      <c r="E36101" s="185" t="s">
        <v>470</v>
      </c>
      <c r="H36101" s="185"/>
    </row>
    <row r="36102">
      <c r="D36102" s="185"/>
      <c r="E36102" s="185" t="s">
        <v>470</v>
      </c>
      <c r="H36102" s="185"/>
    </row>
    <row r="36103">
      <c r="D36103" s="185"/>
      <c r="E36103" s="185" t="s">
        <v>470</v>
      </c>
      <c r="H36103" s="185"/>
    </row>
    <row r="36104">
      <c r="D36104" s="185"/>
      <c r="E36104" s="185" t="s">
        <v>470</v>
      </c>
      <c r="H36104" s="185"/>
    </row>
    <row r="36105">
      <c r="D36105" s="185"/>
      <c r="E36105" s="185" t="s">
        <v>470</v>
      </c>
      <c r="H36105" s="185"/>
    </row>
    <row r="36106">
      <c r="D36106" s="185"/>
      <c r="E36106" s="185" t="s">
        <v>470</v>
      </c>
      <c r="H36106" s="185"/>
    </row>
    <row r="36107">
      <c r="D36107" s="185"/>
      <c r="E36107" s="185" t="s">
        <v>470</v>
      </c>
      <c r="H36107" s="185"/>
    </row>
    <row r="36108">
      <c r="D36108" s="185"/>
      <c r="E36108" s="185" t="s">
        <v>470</v>
      </c>
      <c r="H36108" s="185"/>
    </row>
    <row r="36109">
      <c r="D36109" s="185"/>
      <c r="E36109" s="185" t="s">
        <v>470</v>
      </c>
      <c r="H36109" s="185"/>
    </row>
    <row r="36110">
      <c r="D36110" s="185"/>
      <c r="E36110" s="185" t="s">
        <v>470</v>
      </c>
      <c r="H36110" s="185"/>
    </row>
    <row r="36111">
      <c r="D36111" s="185"/>
      <c r="E36111" s="185" t="s">
        <v>470</v>
      </c>
      <c r="H36111" s="185"/>
    </row>
    <row r="36112">
      <c r="D36112" s="185"/>
      <c r="E36112" s="185" t="s">
        <v>470</v>
      </c>
      <c r="H36112" s="185"/>
    </row>
    <row r="36113">
      <c r="D36113" s="185"/>
      <c r="E36113" s="185" t="s">
        <v>470</v>
      </c>
      <c r="H36113" s="185"/>
    </row>
    <row r="36114">
      <c r="D36114" s="185"/>
      <c r="E36114" s="185" t="s">
        <v>470</v>
      </c>
      <c r="H36114" s="185"/>
    </row>
    <row r="36115">
      <c r="D36115" s="185"/>
      <c r="E36115" s="185" t="s">
        <v>470</v>
      </c>
      <c r="H36115" s="185"/>
    </row>
    <row r="36116">
      <c r="D36116" s="185"/>
      <c r="E36116" s="185" t="s">
        <v>470</v>
      </c>
      <c r="H36116" s="185"/>
    </row>
    <row r="36117">
      <c r="D36117" s="185"/>
      <c r="E36117" s="185" t="s">
        <v>470</v>
      </c>
      <c r="H36117" s="185"/>
    </row>
    <row r="36118">
      <c r="D36118" s="185"/>
      <c r="E36118" s="185" t="s">
        <v>470</v>
      </c>
      <c r="H36118" s="185"/>
    </row>
    <row r="36119">
      <c r="D36119" s="185"/>
      <c r="E36119" s="185" t="s">
        <v>470</v>
      </c>
      <c r="H36119" s="185"/>
    </row>
    <row r="36120">
      <c r="D36120" s="185"/>
      <c r="E36120" s="185" t="s">
        <v>470</v>
      </c>
      <c r="H36120" s="185"/>
    </row>
    <row r="36121">
      <c r="D36121" s="185"/>
      <c r="E36121" s="185" t="s">
        <v>470</v>
      </c>
      <c r="H36121" s="185"/>
    </row>
    <row r="36122">
      <c r="D36122" s="185"/>
      <c r="E36122" s="185" t="s">
        <v>470</v>
      </c>
      <c r="H36122" s="185"/>
    </row>
    <row r="36123">
      <c r="D36123" s="185"/>
      <c r="E36123" s="185" t="s">
        <v>470</v>
      </c>
      <c r="H36123" s="185"/>
    </row>
    <row r="36124">
      <c r="D36124" s="185"/>
      <c r="E36124" s="185" t="s">
        <v>470</v>
      </c>
      <c r="H36124" s="185"/>
    </row>
    <row r="36125">
      <c r="D36125" s="185"/>
      <c r="E36125" s="185" t="s">
        <v>470</v>
      </c>
      <c r="H36125" s="185"/>
    </row>
    <row r="36126">
      <c r="D36126" s="185"/>
      <c r="E36126" s="185" t="s">
        <v>470</v>
      </c>
      <c r="H36126" s="185"/>
    </row>
    <row r="36127">
      <c r="D36127" s="185"/>
      <c r="E36127" s="185" t="s">
        <v>470</v>
      </c>
      <c r="H36127" s="185"/>
    </row>
    <row r="36128">
      <c r="D36128" s="185"/>
      <c r="E36128" s="185" t="s">
        <v>470</v>
      </c>
      <c r="H36128" s="185"/>
    </row>
    <row r="36129">
      <c r="D36129" s="185"/>
      <c r="E36129" s="185" t="s">
        <v>470</v>
      </c>
      <c r="H36129" s="185"/>
    </row>
    <row r="36130">
      <c r="D36130" s="185"/>
      <c r="E36130" s="185" t="s">
        <v>470</v>
      </c>
      <c r="H36130" s="185"/>
    </row>
    <row r="36131">
      <c r="D36131" s="185"/>
      <c r="E36131" s="185" t="s">
        <v>470</v>
      </c>
      <c r="H36131" s="185"/>
    </row>
    <row r="36132">
      <c r="D36132" s="185"/>
      <c r="E36132" s="185" t="s">
        <v>470</v>
      </c>
      <c r="H36132" s="185"/>
    </row>
    <row r="36133">
      <c r="D36133" s="185"/>
      <c r="E36133" s="185" t="s">
        <v>470</v>
      </c>
      <c r="H36133" s="185"/>
    </row>
    <row r="36134">
      <c r="D36134" s="185"/>
      <c r="E36134" s="185" t="s">
        <v>470</v>
      </c>
      <c r="H36134" s="185"/>
    </row>
    <row r="36135">
      <c r="D36135" s="185"/>
      <c r="E36135" s="185" t="s">
        <v>470</v>
      </c>
      <c r="H36135" s="185"/>
    </row>
    <row r="36136">
      <c r="D36136" s="185"/>
      <c r="E36136" s="185" t="s">
        <v>470</v>
      </c>
      <c r="H36136" s="185"/>
    </row>
    <row r="36137">
      <c r="D36137" s="185"/>
      <c r="E36137" s="185" t="s">
        <v>470</v>
      </c>
      <c r="H36137" s="185"/>
    </row>
    <row r="36138">
      <c r="D36138" s="185"/>
      <c r="E36138" s="185" t="s">
        <v>470</v>
      </c>
      <c r="H36138" s="185"/>
    </row>
    <row r="36139">
      <c r="D36139" s="185"/>
      <c r="E36139" s="185" t="s">
        <v>470</v>
      </c>
      <c r="H36139" s="185"/>
    </row>
    <row r="36140">
      <c r="D36140" s="185"/>
      <c r="E36140" s="185" t="s">
        <v>470</v>
      </c>
      <c r="H36140" s="185"/>
    </row>
    <row r="36141">
      <c r="D36141" s="185"/>
      <c r="E36141" s="185" t="s">
        <v>470</v>
      </c>
      <c r="H36141" s="185"/>
    </row>
    <row r="36142">
      <c r="D36142" s="185"/>
      <c r="E36142" s="185" t="s">
        <v>470</v>
      </c>
      <c r="H36142" s="185"/>
    </row>
    <row r="36143">
      <c r="D36143" s="185"/>
      <c r="E36143" s="185" t="s">
        <v>470</v>
      </c>
      <c r="H36143" s="185"/>
    </row>
    <row r="36144">
      <c r="D36144" s="185"/>
      <c r="E36144" s="185" t="s">
        <v>470</v>
      </c>
      <c r="H36144" s="185"/>
    </row>
    <row r="36145">
      <c r="D36145" s="185"/>
      <c r="E36145" s="185" t="s">
        <v>470</v>
      </c>
      <c r="H36145" s="185"/>
    </row>
    <row r="36146">
      <c r="D36146" s="185"/>
      <c r="E36146" s="185" t="s">
        <v>470</v>
      </c>
      <c r="H36146" s="185"/>
    </row>
    <row r="36147">
      <c r="D36147" s="185"/>
      <c r="E36147" s="185" t="s">
        <v>470</v>
      </c>
      <c r="H36147" s="185"/>
    </row>
    <row r="36148">
      <c r="D36148" s="185"/>
      <c r="E36148" s="185" t="s">
        <v>470</v>
      </c>
      <c r="H36148" s="185"/>
    </row>
    <row r="36149">
      <c r="D36149" s="185"/>
      <c r="E36149" s="185" t="s">
        <v>470</v>
      </c>
      <c r="H36149" s="185"/>
    </row>
    <row r="36150">
      <c r="D36150" s="185"/>
      <c r="E36150" s="185" t="s">
        <v>470</v>
      </c>
      <c r="H36150" s="185"/>
    </row>
    <row r="36151">
      <c r="D36151" s="185"/>
      <c r="E36151" s="185" t="s">
        <v>470</v>
      </c>
      <c r="H36151" s="185"/>
    </row>
    <row r="36152">
      <c r="D36152" s="185"/>
      <c r="E36152" s="185" t="s">
        <v>470</v>
      </c>
      <c r="H36152" s="185"/>
    </row>
    <row r="36153">
      <c r="D36153" s="185"/>
      <c r="E36153" s="185" t="s">
        <v>470</v>
      </c>
      <c r="H36153" s="185"/>
    </row>
    <row r="36154">
      <c r="D36154" s="185"/>
      <c r="E36154" s="185" t="s">
        <v>470</v>
      </c>
      <c r="H36154" s="185"/>
    </row>
    <row r="36155">
      <c r="D36155" s="185"/>
      <c r="E36155" s="185" t="s">
        <v>470</v>
      </c>
      <c r="H36155" s="185"/>
    </row>
    <row r="36156">
      <c r="D36156" s="185"/>
      <c r="E36156" s="185" t="s">
        <v>470</v>
      </c>
      <c r="H36156" s="185"/>
    </row>
    <row r="36157">
      <c r="D36157" s="185"/>
      <c r="E36157" s="185" t="s">
        <v>470</v>
      </c>
      <c r="H36157" s="185"/>
    </row>
    <row r="36158">
      <c r="D36158" s="185"/>
      <c r="E36158" s="185" t="s">
        <v>470</v>
      </c>
      <c r="H36158" s="185"/>
    </row>
    <row r="36159">
      <c r="D36159" s="185"/>
      <c r="E36159" s="185" t="s">
        <v>470</v>
      </c>
      <c r="H36159" s="185"/>
    </row>
    <row r="36160">
      <c r="D36160" s="185"/>
      <c r="E36160" s="185" t="s">
        <v>470</v>
      </c>
      <c r="H36160" s="185"/>
    </row>
    <row r="36161">
      <c r="D36161" s="185"/>
      <c r="E36161" s="185" t="s">
        <v>470</v>
      </c>
      <c r="H36161" s="185"/>
    </row>
    <row r="36162">
      <c r="D36162" s="185"/>
      <c r="E36162" s="185" t="s">
        <v>470</v>
      </c>
      <c r="H36162" s="185"/>
    </row>
    <row r="36163">
      <c r="D36163" s="185"/>
      <c r="E36163" s="185" t="s">
        <v>470</v>
      </c>
      <c r="H36163" s="185"/>
    </row>
    <row r="36164">
      <c r="D36164" s="185"/>
      <c r="E36164" s="185" t="s">
        <v>470</v>
      </c>
      <c r="H36164" s="185"/>
    </row>
    <row r="36165">
      <c r="D36165" s="185"/>
      <c r="E36165" s="185" t="s">
        <v>470</v>
      </c>
      <c r="H36165" s="185"/>
    </row>
    <row r="36166">
      <c r="D36166" s="185"/>
      <c r="E36166" s="185" t="s">
        <v>470</v>
      </c>
      <c r="H36166" s="185"/>
    </row>
    <row r="36167">
      <c r="D36167" s="185"/>
      <c r="E36167" s="185" t="s">
        <v>470</v>
      </c>
      <c r="H36167" s="185"/>
    </row>
    <row r="36168">
      <c r="D36168" s="185"/>
      <c r="E36168" s="185" t="s">
        <v>470</v>
      </c>
      <c r="H36168" s="185"/>
    </row>
    <row r="36169">
      <c r="D36169" s="185"/>
      <c r="E36169" s="185" t="s">
        <v>470</v>
      </c>
      <c r="H36169" s="185"/>
    </row>
    <row r="36170">
      <c r="D36170" s="185"/>
      <c r="E36170" s="185" t="s">
        <v>470</v>
      </c>
      <c r="H36170" s="185"/>
    </row>
    <row r="36171">
      <c r="D36171" s="185"/>
      <c r="E36171" s="185" t="s">
        <v>470</v>
      </c>
      <c r="H36171" s="185"/>
    </row>
    <row r="36172">
      <c r="D36172" s="185"/>
      <c r="E36172" s="185" t="s">
        <v>470</v>
      </c>
      <c r="H36172" s="185"/>
    </row>
    <row r="36173">
      <c r="D36173" s="185"/>
      <c r="E36173" s="185" t="s">
        <v>470</v>
      </c>
      <c r="H36173" s="185"/>
    </row>
    <row r="36174">
      <c r="D36174" s="185"/>
      <c r="E36174" s="185" t="s">
        <v>470</v>
      </c>
      <c r="H36174" s="185"/>
    </row>
    <row r="36175">
      <c r="D36175" s="185"/>
      <c r="E36175" s="185" t="s">
        <v>470</v>
      </c>
      <c r="H36175" s="185"/>
    </row>
    <row r="36176">
      <c r="D36176" s="185"/>
      <c r="E36176" s="185" t="s">
        <v>470</v>
      </c>
      <c r="H36176" s="185"/>
    </row>
    <row r="36177">
      <c r="D36177" s="185"/>
      <c r="E36177" s="185" t="s">
        <v>470</v>
      </c>
      <c r="H36177" s="185"/>
    </row>
    <row r="36178">
      <c r="D36178" s="185"/>
      <c r="E36178" s="185" t="s">
        <v>470</v>
      </c>
      <c r="H36178" s="185"/>
    </row>
    <row r="36179">
      <c r="D36179" s="185"/>
      <c r="E36179" s="185" t="s">
        <v>470</v>
      </c>
      <c r="H36179" s="185"/>
    </row>
    <row r="36180">
      <c r="D36180" s="185"/>
      <c r="E36180" s="185" t="s">
        <v>470</v>
      </c>
      <c r="H36180" s="185"/>
    </row>
    <row r="36181">
      <c r="D36181" s="185"/>
      <c r="E36181" s="185" t="s">
        <v>470</v>
      </c>
      <c r="H36181" s="185"/>
    </row>
    <row r="36182">
      <c r="D36182" s="185"/>
      <c r="E36182" s="185" t="s">
        <v>470</v>
      </c>
      <c r="H36182" s="185"/>
    </row>
    <row r="36183">
      <c r="D36183" s="185"/>
      <c r="E36183" s="185" t="s">
        <v>470</v>
      </c>
      <c r="H36183" s="185"/>
    </row>
    <row r="36184">
      <c r="D36184" s="185"/>
      <c r="E36184" s="185" t="s">
        <v>470</v>
      </c>
      <c r="H36184" s="185"/>
    </row>
    <row r="36185">
      <c r="D36185" s="185"/>
      <c r="E36185" s="185" t="s">
        <v>470</v>
      </c>
      <c r="H36185" s="185"/>
    </row>
    <row r="36186">
      <c r="D36186" s="185"/>
      <c r="E36186" s="185" t="s">
        <v>470</v>
      </c>
      <c r="H36186" s="185"/>
    </row>
    <row r="36187">
      <c r="D36187" s="185"/>
      <c r="E36187" s="185" t="s">
        <v>470</v>
      </c>
      <c r="H36187" s="185"/>
    </row>
    <row r="36188">
      <c r="D36188" s="185"/>
      <c r="E36188" s="185" t="s">
        <v>470</v>
      </c>
      <c r="H36188" s="185"/>
    </row>
    <row r="36189">
      <c r="D36189" s="185"/>
      <c r="E36189" s="185" t="s">
        <v>470</v>
      </c>
      <c r="H36189" s="185"/>
    </row>
    <row r="36190">
      <c r="D36190" s="185"/>
      <c r="E36190" s="185" t="s">
        <v>470</v>
      </c>
      <c r="H36190" s="185"/>
    </row>
    <row r="36191">
      <c r="D36191" s="185"/>
      <c r="E36191" s="185" t="s">
        <v>470</v>
      </c>
      <c r="H36191" s="185"/>
    </row>
    <row r="36192">
      <c r="D36192" s="185"/>
      <c r="E36192" s="185" t="s">
        <v>470</v>
      </c>
      <c r="H36192" s="185"/>
    </row>
    <row r="36193">
      <c r="D36193" s="185"/>
      <c r="E36193" s="185" t="s">
        <v>470</v>
      </c>
      <c r="H36193" s="185"/>
    </row>
    <row r="36194">
      <c r="D36194" s="185"/>
      <c r="E36194" s="185" t="s">
        <v>470</v>
      </c>
      <c r="H36194" s="185"/>
    </row>
    <row r="36195">
      <c r="D36195" s="185"/>
      <c r="E36195" s="185" t="s">
        <v>470</v>
      </c>
      <c r="H36195" s="185"/>
    </row>
    <row r="36196">
      <c r="D36196" s="185"/>
      <c r="E36196" s="185" t="s">
        <v>470</v>
      </c>
      <c r="H36196" s="185"/>
    </row>
    <row r="36197">
      <c r="D36197" s="185"/>
      <c r="E36197" s="185" t="s">
        <v>470</v>
      </c>
      <c r="H36197" s="185"/>
    </row>
    <row r="36198">
      <c r="D36198" s="185"/>
      <c r="E36198" s="185" t="s">
        <v>470</v>
      </c>
      <c r="H36198" s="185"/>
    </row>
    <row r="36199">
      <c r="D36199" s="185"/>
      <c r="E36199" s="185" t="s">
        <v>470</v>
      </c>
      <c r="H36199" s="185"/>
    </row>
    <row r="36200">
      <c r="D36200" s="185"/>
      <c r="E36200" s="185" t="s">
        <v>470</v>
      </c>
      <c r="H36200" s="185"/>
    </row>
    <row r="36201">
      <c r="D36201" s="185"/>
      <c r="E36201" s="185" t="s">
        <v>470</v>
      </c>
      <c r="H36201" s="185"/>
    </row>
    <row r="36202">
      <c r="D36202" s="185"/>
      <c r="E36202" s="185" t="s">
        <v>470</v>
      </c>
      <c r="H36202" s="185"/>
    </row>
    <row r="36203">
      <c r="D36203" s="185"/>
      <c r="E36203" s="185" t="s">
        <v>470</v>
      </c>
      <c r="H36203" s="185"/>
    </row>
    <row r="36204">
      <c r="D36204" s="185"/>
      <c r="E36204" s="185" t="s">
        <v>470</v>
      </c>
      <c r="H36204" s="185"/>
    </row>
    <row r="36205">
      <c r="D36205" s="185"/>
      <c r="E36205" s="185" t="s">
        <v>470</v>
      </c>
      <c r="H36205" s="185"/>
    </row>
    <row r="36206">
      <c r="D36206" s="185"/>
      <c r="E36206" s="185" t="s">
        <v>470</v>
      </c>
      <c r="H36206" s="185"/>
    </row>
    <row r="36207">
      <c r="D36207" s="185"/>
      <c r="E36207" s="185" t="s">
        <v>470</v>
      </c>
      <c r="H36207" s="185"/>
    </row>
    <row r="36208">
      <c r="D36208" s="185"/>
      <c r="E36208" s="185" t="s">
        <v>470</v>
      </c>
      <c r="H36208" s="185"/>
    </row>
    <row r="36209">
      <c r="D36209" s="185"/>
      <c r="E36209" s="185" t="s">
        <v>470</v>
      </c>
      <c r="H36209" s="185"/>
    </row>
    <row r="36210">
      <c r="D36210" s="185"/>
      <c r="E36210" s="185" t="s">
        <v>470</v>
      </c>
      <c r="H36210" s="185"/>
    </row>
    <row r="36211">
      <c r="D36211" s="185"/>
      <c r="E36211" s="185" t="s">
        <v>470</v>
      </c>
      <c r="H36211" s="185"/>
    </row>
    <row r="36212">
      <c r="D36212" s="185"/>
      <c r="E36212" s="185" t="s">
        <v>470</v>
      </c>
      <c r="H36212" s="185"/>
    </row>
    <row r="36213">
      <c r="D36213" s="185"/>
      <c r="E36213" s="185" t="s">
        <v>470</v>
      </c>
      <c r="H36213" s="185"/>
    </row>
    <row r="36214">
      <c r="D36214" s="185"/>
      <c r="E36214" s="185" t="s">
        <v>470</v>
      </c>
      <c r="H36214" s="185"/>
    </row>
    <row r="36215">
      <c r="D36215" s="185"/>
      <c r="E36215" s="185" t="s">
        <v>470</v>
      </c>
      <c r="H36215" s="185"/>
    </row>
    <row r="36216">
      <c r="D36216" s="185"/>
      <c r="E36216" s="185" t="s">
        <v>470</v>
      </c>
      <c r="H36216" s="185"/>
    </row>
    <row r="36217">
      <c r="D36217" s="185"/>
      <c r="E36217" s="185" t="s">
        <v>470</v>
      </c>
      <c r="H36217" s="185"/>
    </row>
    <row r="36218">
      <c r="D36218" s="185"/>
      <c r="E36218" s="185" t="s">
        <v>470</v>
      </c>
      <c r="H36218" s="185"/>
    </row>
    <row r="36219">
      <c r="D36219" s="185"/>
      <c r="E36219" s="185" t="s">
        <v>470</v>
      </c>
      <c r="H36219" s="185"/>
    </row>
    <row r="36220">
      <c r="D36220" s="185"/>
      <c r="E36220" s="185" t="s">
        <v>470</v>
      </c>
      <c r="H36220" s="185"/>
    </row>
    <row r="36221">
      <c r="D36221" s="185"/>
      <c r="E36221" s="185" t="s">
        <v>470</v>
      </c>
      <c r="H36221" s="185"/>
    </row>
    <row r="36222">
      <c r="D36222" s="185"/>
      <c r="E36222" s="185" t="s">
        <v>470</v>
      </c>
      <c r="H36222" s="185"/>
    </row>
    <row r="36223">
      <c r="D36223" s="185"/>
      <c r="E36223" s="185" t="s">
        <v>470</v>
      </c>
      <c r="H36223" s="185"/>
    </row>
    <row r="36224">
      <c r="D36224" s="185"/>
      <c r="E36224" s="185" t="s">
        <v>470</v>
      </c>
      <c r="H36224" s="185"/>
    </row>
    <row r="36225">
      <c r="D36225" s="185"/>
      <c r="E36225" s="185" t="s">
        <v>470</v>
      </c>
      <c r="H36225" s="185"/>
    </row>
    <row r="36226">
      <c r="D36226" s="185"/>
      <c r="E36226" s="185" t="s">
        <v>470</v>
      </c>
      <c r="H36226" s="185"/>
    </row>
    <row r="36227">
      <c r="D36227" s="185"/>
      <c r="E36227" s="185" t="s">
        <v>470</v>
      </c>
      <c r="H36227" s="185"/>
    </row>
    <row r="36228">
      <c r="D36228" s="185"/>
      <c r="E36228" s="185" t="s">
        <v>470</v>
      </c>
      <c r="H36228" s="185"/>
    </row>
    <row r="36229">
      <c r="D36229" s="185"/>
      <c r="E36229" s="185" t="s">
        <v>470</v>
      </c>
      <c r="H36229" s="185"/>
    </row>
    <row r="36230">
      <c r="D36230" s="185"/>
      <c r="E36230" s="185" t="s">
        <v>470</v>
      </c>
      <c r="H36230" s="185"/>
    </row>
    <row r="36231">
      <c r="D36231" s="185"/>
      <c r="E36231" s="185" t="s">
        <v>470</v>
      </c>
      <c r="H36231" s="185"/>
    </row>
    <row r="36232">
      <c r="D36232" s="185"/>
      <c r="E36232" s="185" t="s">
        <v>470</v>
      </c>
      <c r="H36232" s="185"/>
    </row>
    <row r="36233">
      <c r="D36233" s="185"/>
      <c r="E36233" s="185" t="s">
        <v>470</v>
      </c>
      <c r="H36233" s="185"/>
    </row>
    <row r="36234">
      <c r="D36234" s="185"/>
      <c r="E36234" s="185" t="s">
        <v>470</v>
      </c>
      <c r="H36234" s="185"/>
    </row>
    <row r="36235">
      <c r="D36235" s="185"/>
      <c r="E36235" s="185" t="s">
        <v>470</v>
      </c>
      <c r="H36235" s="185"/>
    </row>
    <row r="36236">
      <c r="D36236" s="185"/>
      <c r="E36236" s="185" t="s">
        <v>470</v>
      </c>
      <c r="H36236" s="185"/>
    </row>
    <row r="36237">
      <c r="D36237" s="185"/>
      <c r="E36237" s="185" t="s">
        <v>470</v>
      </c>
      <c r="H36237" s="185"/>
    </row>
    <row r="36238">
      <c r="D36238" s="185"/>
      <c r="E36238" s="185" t="s">
        <v>470</v>
      </c>
      <c r="H36238" s="185"/>
    </row>
    <row r="36239">
      <c r="D36239" s="185"/>
      <c r="E36239" s="185" t="s">
        <v>470</v>
      </c>
      <c r="H36239" s="185"/>
    </row>
    <row r="36240">
      <c r="D36240" s="185"/>
      <c r="E36240" s="185" t="s">
        <v>470</v>
      </c>
      <c r="H36240" s="185"/>
    </row>
    <row r="36241">
      <c r="D36241" s="185"/>
      <c r="E36241" s="185" t="s">
        <v>470</v>
      </c>
      <c r="H36241" s="185"/>
    </row>
    <row r="36242">
      <c r="D36242" s="185"/>
      <c r="E36242" s="185" t="s">
        <v>470</v>
      </c>
      <c r="H36242" s="185"/>
    </row>
    <row r="36243">
      <c r="D36243" s="185"/>
      <c r="E36243" s="185" t="s">
        <v>470</v>
      </c>
      <c r="H36243" s="185"/>
    </row>
    <row r="36244">
      <c r="D36244" s="185"/>
      <c r="E36244" s="185" t="s">
        <v>470</v>
      </c>
      <c r="H36244" s="185"/>
    </row>
    <row r="36245">
      <c r="D36245" s="185"/>
      <c r="E36245" s="185" t="s">
        <v>470</v>
      </c>
      <c r="H36245" s="185"/>
    </row>
    <row r="36246">
      <c r="D36246" s="185"/>
      <c r="E36246" s="185" t="s">
        <v>470</v>
      </c>
      <c r="H36246" s="185"/>
    </row>
    <row r="36247">
      <c r="D36247" s="185"/>
      <c r="E36247" s="185" t="s">
        <v>470</v>
      </c>
      <c r="H36247" s="185"/>
    </row>
    <row r="36248">
      <c r="D36248" s="185"/>
      <c r="E36248" s="185" t="s">
        <v>470</v>
      </c>
      <c r="H36248" s="185"/>
    </row>
    <row r="36249">
      <c r="D36249" s="185"/>
      <c r="E36249" s="185" t="s">
        <v>470</v>
      </c>
      <c r="H36249" s="185"/>
    </row>
    <row r="36250">
      <c r="D36250" s="185"/>
      <c r="E36250" s="185" t="s">
        <v>470</v>
      </c>
      <c r="H36250" s="185"/>
    </row>
    <row r="36251">
      <c r="D36251" s="185"/>
      <c r="E36251" s="185" t="s">
        <v>470</v>
      </c>
      <c r="H36251" s="185"/>
    </row>
    <row r="36252">
      <c r="D36252" s="185"/>
      <c r="E36252" s="185" t="s">
        <v>470</v>
      </c>
      <c r="H36252" s="185"/>
    </row>
    <row r="36253">
      <c r="D36253" s="185"/>
      <c r="E36253" s="185" t="s">
        <v>470</v>
      </c>
      <c r="H36253" s="185"/>
    </row>
    <row r="36254">
      <c r="D36254" s="185"/>
      <c r="E36254" s="185" t="s">
        <v>470</v>
      </c>
      <c r="H36254" s="185"/>
    </row>
    <row r="36255">
      <c r="D36255" s="185"/>
      <c r="E36255" s="185" t="s">
        <v>470</v>
      </c>
      <c r="H36255" s="185"/>
    </row>
    <row r="36256">
      <c r="D36256" s="185"/>
      <c r="E36256" s="185" t="s">
        <v>470</v>
      </c>
      <c r="H36256" s="185"/>
    </row>
    <row r="36257">
      <c r="D36257" s="185"/>
      <c r="E36257" s="185" t="s">
        <v>470</v>
      </c>
      <c r="H36257" s="185"/>
    </row>
    <row r="36258">
      <c r="D36258" s="185"/>
      <c r="E36258" s="185" t="s">
        <v>470</v>
      </c>
      <c r="H36258" s="185"/>
    </row>
    <row r="36259">
      <c r="D36259" s="185"/>
      <c r="E36259" s="185" t="s">
        <v>470</v>
      </c>
      <c r="H36259" s="185"/>
    </row>
    <row r="36260">
      <c r="D36260" s="185"/>
      <c r="E36260" s="185" t="s">
        <v>470</v>
      </c>
      <c r="H36260" s="185"/>
    </row>
    <row r="36261">
      <c r="D36261" s="185"/>
      <c r="E36261" s="185" t="s">
        <v>470</v>
      </c>
      <c r="H36261" s="185"/>
    </row>
    <row r="36262">
      <c r="D36262" s="185"/>
      <c r="E36262" s="185" t="s">
        <v>470</v>
      </c>
      <c r="H36262" s="185"/>
    </row>
    <row r="36263">
      <c r="D36263" s="185"/>
      <c r="E36263" s="185" t="s">
        <v>470</v>
      </c>
      <c r="H36263" s="185"/>
    </row>
    <row r="36264">
      <c r="D36264" s="185"/>
      <c r="E36264" s="185" t="s">
        <v>470</v>
      </c>
      <c r="H36264" s="185"/>
    </row>
    <row r="36265">
      <c r="D36265" s="185"/>
      <c r="E36265" s="185" t="s">
        <v>470</v>
      </c>
      <c r="H36265" s="185"/>
    </row>
    <row r="36266">
      <c r="D36266" s="185"/>
      <c r="E36266" s="185" t="s">
        <v>470</v>
      </c>
      <c r="H36266" s="185"/>
    </row>
    <row r="36267">
      <c r="D36267" s="185"/>
      <c r="E36267" s="185" t="s">
        <v>470</v>
      </c>
      <c r="H36267" s="185"/>
    </row>
    <row r="36268">
      <c r="D36268" s="185"/>
      <c r="E36268" s="185" t="s">
        <v>470</v>
      </c>
      <c r="H36268" s="185"/>
    </row>
    <row r="36269">
      <c r="D36269" s="185"/>
      <c r="E36269" s="185" t="s">
        <v>470</v>
      </c>
      <c r="H36269" s="185"/>
    </row>
    <row r="36270">
      <c r="D36270" s="185"/>
      <c r="E36270" s="185" t="s">
        <v>470</v>
      </c>
      <c r="H36270" s="185"/>
    </row>
    <row r="36271">
      <c r="D36271" s="185"/>
      <c r="E36271" s="185" t="s">
        <v>470</v>
      </c>
      <c r="H36271" s="185"/>
    </row>
    <row r="36272">
      <c r="D36272" s="185"/>
      <c r="E36272" s="185" t="s">
        <v>470</v>
      </c>
      <c r="H36272" s="185"/>
    </row>
    <row r="36273">
      <c r="D36273" s="185"/>
      <c r="E36273" s="185" t="s">
        <v>470</v>
      </c>
      <c r="H36273" s="185"/>
    </row>
    <row r="36274">
      <c r="D36274" s="185"/>
      <c r="E36274" s="185" t="s">
        <v>470</v>
      </c>
      <c r="H36274" s="185"/>
    </row>
    <row r="36275">
      <c r="D36275" s="185"/>
      <c r="E36275" s="185" t="s">
        <v>470</v>
      </c>
      <c r="H36275" s="185"/>
    </row>
    <row r="36276">
      <c r="D36276" s="185"/>
      <c r="E36276" s="185" t="s">
        <v>470</v>
      </c>
      <c r="H36276" s="185"/>
    </row>
    <row r="36277">
      <c r="D36277" s="185"/>
      <c r="E36277" s="185" t="s">
        <v>470</v>
      </c>
      <c r="H36277" s="185"/>
    </row>
    <row r="36278">
      <c r="D36278" s="185"/>
      <c r="E36278" s="185" t="s">
        <v>470</v>
      </c>
      <c r="H36278" s="185"/>
    </row>
    <row r="36279">
      <c r="D36279" s="185"/>
      <c r="E36279" s="185" t="s">
        <v>470</v>
      </c>
      <c r="H36279" s="185"/>
    </row>
    <row r="36280">
      <c r="D36280" s="185"/>
      <c r="E36280" s="185" t="s">
        <v>470</v>
      </c>
      <c r="H36280" s="185"/>
    </row>
    <row r="36281">
      <c r="D36281" s="185"/>
      <c r="E36281" s="185" t="s">
        <v>470</v>
      </c>
      <c r="H36281" s="185"/>
    </row>
    <row r="36282">
      <c r="D36282" s="185"/>
      <c r="E36282" s="185" t="s">
        <v>470</v>
      </c>
      <c r="H36282" s="185"/>
    </row>
    <row r="36283">
      <c r="D36283" s="185"/>
      <c r="E36283" s="185" t="s">
        <v>470</v>
      </c>
      <c r="H36283" s="185"/>
    </row>
    <row r="36284">
      <c r="D36284" s="185"/>
      <c r="E36284" s="185" t="s">
        <v>470</v>
      </c>
      <c r="H36284" s="185"/>
    </row>
    <row r="36285">
      <c r="D36285" s="185"/>
      <c r="E36285" s="185" t="s">
        <v>470</v>
      </c>
      <c r="H36285" s="185"/>
    </row>
    <row r="36286">
      <c r="D36286" s="185"/>
      <c r="E36286" s="185" t="s">
        <v>470</v>
      </c>
      <c r="H36286" s="185"/>
    </row>
    <row r="36287">
      <c r="D36287" s="185"/>
      <c r="E36287" s="185" t="s">
        <v>470</v>
      </c>
      <c r="H36287" s="185"/>
    </row>
    <row r="36288">
      <c r="D36288" s="185"/>
      <c r="E36288" s="185" t="s">
        <v>470</v>
      </c>
      <c r="H36288" s="185"/>
    </row>
    <row r="36289">
      <c r="D36289" s="185"/>
      <c r="E36289" s="185" t="s">
        <v>470</v>
      </c>
      <c r="H36289" s="185"/>
    </row>
    <row r="36290">
      <c r="D36290" s="185"/>
      <c r="E36290" s="185" t="s">
        <v>470</v>
      </c>
      <c r="H36290" s="185"/>
    </row>
    <row r="36291">
      <c r="D36291" s="185"/>
      <c r="E36291" s="185" t="s">
        <v>470</v>
      </c>
      <c r="H36291" s="185"/>
    </row>
    <row r="36292">
      <c r="D36292" s="185"/>
      <c r="E36292" s="185" t="s">
        <v>470</v>
      </c>
      <c r="H36292" s="185"/>
    </row>
    <row r="36293">
      <c r="D36293" s="185"/>
      <c r="E36293" s="185" t="s">
        <v>470</v>
      </c>
      <c r="H36293" s="185"/>
    </row>
    <row r="36294">
      <c r="D36294" s="185"/>
      <c r="E36294" s="185" t="s">
        <v>470</v>
      </c>
      <c r="H36294" s="185"/>
    </row>
    <row r="36295">
      <c r="D36295" s="185"/>
      <c r="E36295" s="185" t="s">
        <v>470</v>
      </c>
      <c r="H36295" s="185"/>
    </row>
    <row r="36296">
      <c r="D36296" s="185"/>
      <c r="E36296" s="185" t="s">
        <v>470</v>
      </c>
      <c r="H36296" s="185"/>
    </row>
    <row r="36297">
      <c r="D36297" s="185"/>
      <c r="E36297" s="185" t="s">
        <v>470</v>
      </c>
      <c r="H36297" s="185"/>
    </row>
    <row r="36298">
      <c r="D36298" s="185"/>
      <c r="E36298" s="185" t="s">
        <v>470</v>
      </c>
      <c r="H36298" s="185"/>
    </row>
    <row r="36299">
      <c r="D36299" s="185"/>
      <c r="E36299" s="185" t="s">
        <v>470</v>
      </c>
      <c r="H36299" s="185"/>
    </row>
    <row r="36300">
      <c r="D36300" s="185"/>
      <c r="E36300" s="185" t="s">
        <v>470</v>
      </c>
      <c r="H36300" s="185"/>
    </row>
    <row r="36301">
      <c r="D36301" s="185"/>
      <c r="E36301" s="185" t="s">
        <v>470</v>
      </c>
      <c r="H36301" s="185"/>
    </row>
    <row r="36302">
      <c r="D36302" s="185"/>
      <c r="E36302" s="185" t="s">
        <v>470</v>
      </c>
      <c r="H36302" s="185"/>
    </row>
    <row r="36303">
      <c r="D36303" s="185"/>
      <c r="E36303" s="185" t="s">
        <v>470</v>
      </c>
      <c r="H36303" s="185"/>
    </row>
    <row r="36304">
      <c r="D36304" s="185"/>
      <c r="E36304" s="185" t="s">
        <v>470</v>
      </c>
      <c r="H36304" s="185"/>
    </row>
    <row r="36305">
      <c r="D36305" s="185"/>
      <c r="E36305" s="185" t="s">
        <v>470</v>
      </c>
      <c r="H36305" s="185"/>
    </row>
    <row r="36306">
      <c r="D36306" s="185"/>
      <c r="E36306" s="185" t="s">
        <v>470</v>
      </c>
      <c r="H36306" s="185"/>
    </row>
    <row r="36307">
      <c r="D36307" s="185"/>
      <c r="E36307" s="185" t="s">
        <v>470</v>
      </c>
      <c r="H36307" s="185"/>
    </row>
    <row r="36308">
      <c r="D36308" s="185"/>
      <c r="E36308" s="185" t="s">
        <v>470</v>
      </c>
      <c r="H36308" s="185"/>
    </row>
    <row r="36309">
      <c r="D36309" s="185"/>
      <c r="E36309" s="185" t="s">
        <v>470</v>
      </c>
      <c r="H36309" s="185"/>
    </row>
    <row r="36310">
      <c r="D36310" s="185"/>
      <c r="E36310" s="185" t="s">
        <v>470</v>
      </c>
      <c r="H36310" s="185"/>
    </row>
    <row r="36311">
      <c r="D36311" s="185"/>
      <c r="E36311" s="185" t="s">
        <v>470</v>
      </c>
      <c r="H36311" s="185"/>
    </row>
    <row r="36312">
      <c r="D36312" s="185"/>
      <c r="E36312" s="185" t="s">
        <v>470</v>
      </c>
      <c r="H36312" s="185"/>
    </row>
    <row r="36313">
      <c r="D36313" s="185"/>
      <c r="E36313" s="185" t="s">
        <v>470</v>
      </c>
      <c r="H36313" s="185"/>
    </row>
    <row r="36314">
      <c r="D36314" s="185"/>
      <c r="E36314" s="185" t="s">
        <v>470</v>
      </c>
      <c r="H36314" s="185"/>
    </row>
    <row r="36315">
      <c r="D36315" s="185"/>
      <c r="E36315" s="185" t="s">
        <v>470</v>
      </c>
      <c r="H36315" s="185"/>
    </row>
    <row r="36316">
      <c r="D36316" s="185"/>
      <c r="E36316" s="185" t="s">
        <v>470</v>
      </c>
      <c r="H36316" s="185"/>
    </row>
    <row r="36317">
      <c r="D36317" s="185"/>
      <c r="E36317" s="185" t="s">
        <v>470</v>
      </c>
      <c r="H36317" s="185"/>
    </row>
    <row r="36318">
      <c r="D36318" s="185"/>
      <c r="E36318" s="185" t="s">
        <v>470</v>
      </c>
      <c r="H36318" s="185"/>
    </row>
    <row r="36319">
      <c r="D36319" s="185"/>
      <c r="E36319" s="185" t="s">
        <v>470</v>
      </c>
      <c r="H36319" s="185"/>
    </row>
    <row r="36320">
      <c r="D36320" s="185"/>
      <c r="E36320" s="185" t="s">
        <v>470</v>
      </c>
      <c r="H36320" s="185"/>
    </row>
    <row r="36321">
      <c r="D36321" s="185"/>
      <c r="E36321" s="185" t="s">
        <v>470</v>
      </c>
      <c r="H36321" s="185"/>
    </row>
    <row r="36322">
      <c r="D36322" s="185"/>
      <c r="E36322" s="185" t="s">
        <v>470</v>
      </c>
      <c r="H36322" s="185"/>
    </row>
    <row r="36323">
      <c r="D36323" s="185"/>
      <c r="E36323" s="185" t="s">
        <v>470</v>
      </c>
      <c r="H36323" s="185"/>
    </row>
    <row r="36324">
      <c r="D36324" s="185"/>
      <c r="E36324" s="185" t="s">
        <v>470</v>
      </c>
      <c r="H36324" s="185"/>
    </row>
    <row r="36325">
      <c r="D36325" s="185"/>
      <c r="E36325" s="185" t="s">
        <v>470</v>
      </c>
      <c r="H36325" s="185"/>
    </row>
    <row r="36326">
      <c r="D36326" s="185"/>
      <c r="E36326" s="185" t="s">
        <v>470</v>
      </c>
      <c r="H36326" s="185"/>
    </row>
    <row r="36327">
      <c r="D36327" s="185"/>
      <c r="E36327" s="185" t="s">
        <v>470</v>
      </c>
      <c r="H36327" s="185"/>
    </row>
    <row r="36328">
      <c r="D36328" s="185"/>
      <c r="E36328" s="185" t="s">
        <v>470</v>
      </c>
      <c r="H36328" s="185"/>
    </row>
    <row r="36329">
      <c r="D36329" s="185"/>
      <c r="E36329" s="185" t="s">
        <v>470</v>
      </c>
      <c r="H36329" s="185"/>
    </row>
    <row r="36330">
      <c r="D36330" s="185"/>
      <c r="E36330" s="185" t="s">
        <v>470</v>
      </c>
      <c r="H36330" s="185"/>
    </row>
    <row r="36331">
      <c r="D36331" s="185"/>
      <c r="E36331" s="185" t="s">
        <v>470</v>
      </c>
      <c r="H36331" s="185"/>
    </row>
    <row r="36332">
      <c r="D36332" s="185"/>
      <c r="E36332" s="185" t="s">
        <v>470</v>
      </c>
      <c r="H36332" s="185"/>
    </row>
    <row r="36333">
      <c r="D36333" s="185"/>
      <c r="E36333" s="185" t="s">
        <v>470</v>
      </c>
      <c r="H36333" s="185"/>
    </row>
    <row r="36334">
      <c r="D36334" s="185"/>
      <c r="E36334" s="185" t="s">
        <v>470</v>
      </c>
      <c r="H36334" s="185"/>
    </row>
    <row r="36335">
      <c r="D36335" s="185"/>
      <c r="E36335" s="185" t="s">
        <v>470</v>
      </c>
      <c r="H36335" s="185"/>
    </row>
    <row r="36336">
      <c r="D36336" s="185"/>
      <c r="E36336" s="185" t="s">
        <v>470</v>
      </c>
      <c r="H36336" s="185"/>
    </row>
    <row r="36337">
      <c r="D36337" s="185"/>
      <c r="E36337" s="185" t="s">
        <v>470</v>
      </c>
      <c r="H36337" s="185"/>
    </row>
    <row r="36338">
      <c r="D36338" s="185"/>
      <c r="E36338" s="185" t="s">
        <v>470</v>
      </c>
      <c r="H36338" s="185"/>
    </row>
    <row r="36339">
      <c r="D36339" s="185"/>
      <c r="E36339" s="185" t="s">
        <v>470</v>
      </c>
      <c r="H36339" s="185"/>
    </row>
    <row r="36340">
      <c r="D36340" s="185"/>
      <c r="E36340" s="185" t="s">
        <v>470</v>
      </c>
      <c r="H36340" s="185"/>
    </row>
    <row r="36341">
      <c r="D36341" s="185"/>
      <c r="E36341" s="185" t="s">
        <v>470</v>
      </c>
      <c r="H36341" s="185"/>
    </row>
    <row r="36342">
      <c r="D36342" s="185"/>
      <c r="E36342" s="185" t="s">
        <v>470</v>
      </c>
      <c r="H36342" s="185"/>
    </row>
    <row r="36343">
      <c r="D36343" s="185"/>
      <c r="E36343" s="185" t="s">
        <v>470</v>
      </c>
      <c r="H36343" s="185"/>
    </row>
    <row r="36344">
      <c r="D36344" s="185"/>
      <c r="E36344" s="185" t="s">
        <v>470</v>
      </c>
      <c r="H36344" s="185"/>
    </row>
    <row r="36345">
      <c r="D36345" s="185"/>
      <c r="E36345" s="185" t="s">
        <v>470</v>
      </c>
      <c r="H36345" s="185"/>
    </row>
    <row r="36346">
      <c r="D36346" s="185"/>
      <c r="E36346" s="185" t="s">
        <v>470</v>
      </c>
      <c r="H36346" s="185"/>
    </row>
    <row r="36347">
      <c r="D36347" s="185"/>
      <c r="E36347" s="185" t="s">
        <v>470</v>
      </c>
      <c r="H36347" s="185"/>
    </row>
    <row r="36348">
      <c r="D36348" s="185"/>
      <c r="E36348" s="185" t="s">
        <v>470</v>
      </c>
      <c r="H36348" s="185"/>
    </row>
    <row r="36349">
      <c r="D36349" s="185"/>
      <c r="E36349" s="185" t="s">
        <v>470</v>
      </c>
      <c r="H36349" s="185"/>
    </row>
    <row r="36350">
      <c r="D36350" s="185"/>
      <c r="E36350" s="185" t="s">
        <v>470</v>
      </c>
      <c r="H36350" s="185"/>
    </row>
    <row r="36351">
      <c r="D36351" s="185"/>
      <c r="E36351" s="185" t="s">
        <v>470</v>
      </c>
      <c r="H36351" s="185"/>
    </row>
    <row r="36352">
      <c r="D36352" s="185"/>
      <c r="E36352" s="185" t="s">
        <v>470</v>
      </c>
      <c r="H36352" s="185"/>
    </row>
    <row r="36353">
      <c r="D36353" s="185"/>
      <c r="E36353" s="185" t="s">
        <v>470</v>
      </c>
      <c r="H36353" s="185"/>
    </row>
    <row r="36354">
      <c r="D36354" s="185"/>
      <c r="E36354" s="185" t="s">
        <v>470</v>
      </c>
      <c r="H36354" s="185"/>
    </row>
    <row r="36355">
      <c r="D36355" s="185"/>
      <c r="E36355" s="185" t="s">
        <v>470</v>
      </c>
      <c r="H36355" s="185"/>
    </row>
    <row r="36356">
      <c r="D36356" s="185"/>
      <c r="E36356" s="185" t="s">
        <v>470</v>
      </c>
      <c r="H36356" s="185"/>
    </row>
    <row r="36357">
      <c r="D36357" s="185"/>
      <c r="E36357" s="185" t="s">
        <v>470</v>
      </c>
      <c r="H36357" s="185"/>
    </row>
    <row r="36358">
      <c r="D36358" s="185"/>
      <c r="E36358" s="185" t="s">
        <v>470</v>
      </c>
      <c r="H36358" s="185"/>
    </row>
    <row r="36359">
      <c r="D36359" s="185"/>
      <c r="E36359" s="185" t="s">
        <v>470</v>
      </c>
      <c r="H36359" s="185"/>
    </row>
    <row r="36360">
      <c r="D36360" s="185"/>
      <c r="E36360" s="185" t="s">
        <v>470</v>
      </c>
      <c r="H36360" s="185"/>
    </row>
    <row r="36361">
      <c r="D36361" s="185"/>
      <c r="E36361" s="185" t="s">
        <v>470</v>
      </c>
      <c r="H36361" s="185"/>
    </row>
    <row r="36362">
      <c r="D36362" s="185"/>
      <c r="E36362" s="185" t="s">
        <v>470</v>
      </c>
      <c r="H36362" s="185"/>
    </row>
    <row r="36363">
      <c r="D36363" s="185"/>
      <c r="E36363" s="185" t="s">
        <v>470</v>
      </c>
      <c r="H36363" s="185"/>
    </row>
    <row r="36364">
      <c r="D36364" s="185"/>
      <c r="E36364" s="185" t="s">
        <v>470</v>
      </c>
      <c r="H36364" s="185"/>
    </row>
    <row r="36365">
      <c r="D36365" s="185"/>
      <c r="E36365" s="185" t="s">
        <v>470</v>
      </c>
      <c r="H36365" s="185"/>
    </row>
    <row r="36366">
      <c r="D36366" s="185"/>
      <c r="E36366" s="185" t="s">
        <v>470</v>
      </c>
      <c r="H36366" s="185"/>
    </row>
    <row r="36367">
      <c r="D36367" s="185"/>
      <c r="E36367" s="185" t="s">
        <v>470</v>
      </c>
      <c r="H36367" s="185"/>
    </row>
    <row r="36368">
      <c r="D36368" s="185"/>
      <c r="E36368" s="185" t="s">
        <v>470</v>
      </c>
      <c r="H36368" s="185"/>
    </row>
    <row r="36369">
      <c r="D36369" s="185"/>
      <c r="E36369" s="185" t="s">
        <v>470</v>
      </c>
      <c r="H36369" s="185"/>
    </row>
    <row r="36370">
      <c r="D36370" s="185"/>
      <c r="E36370" s="185" t="s">
        <v>470</v>
      </c>
      <c r="H36370" s="185"/>
    </row>
    <row r="36371">
      <c r="D36371" s="185"/>
      <c r="E36371" s="185" t="s">
        <v>470</v>
      </c>
      <c r="H36371" s="185"/>
    </row>
    <row r="36372">
      <c r="D36372" s="185"/>
      <c r="E36372" s="185" t="s">
        <v>470</v>
      </c>
      <c r="H36372" s="185"/>
    </row>
    <row r="36373">
      <c r="D36373" s="185"/>
      <c r="E36373" s="185" t="s">
        <v>470</v>
      </c>
      <c r="H36373" s="185"/>
    </row>
    <row r="36374">
      <c r="D36374" s="185"/>
      <c r="E36374" s="185" t="s">
        <v>470</v>
      </c>
      <c r="H36374" s="185"/>
    </row>
    <row r="36375">
      <c r="D36375" s="185"/>
      <c r="E36375" s="185" t="s">
        <v>470</v>
      </c>
      <c r="H36375" s="185"/>
    </row>
    <row r="36376">
      <c r="D36376" s="185"/>
      <c r="E36376" s="185" t="s">
        <v>470</v>
      </c>
      <c r="H36376" s="185"/>
    </row>
    <row r="36377">
      <c r="D36377" s="185"/>
      <c r="E36377" s="185" t="s">
        <v>470</v>
      </c>
      <c r="H36377" s="185"/>
    </row>
    <row r="36378">
      <c r="D36378" s="185"/>
      <c r="E36378" s="185" t="s">
        <v>470</v>
      </c>
      <c r="H36378" s="185"/>
    </row>
    <row r="36379">
      <c r="D36379" s="185"/>
      <c r="E36379" s="185" t="s">
        <v>470</v>
      </c>
      <c r="H36379" s="185"/>
    </row>
    <row r="36380">
      <c r="D36380" s="185"/>
      <c r="E36380" s="185" t="s">
        <v>470</v>
      </c>
      <c r="H36380" s="185"/>
    </row>
    <row r="36381">
      <c r="D36381" s="185"/>
      <c r="E36381" s="185" t="s">
        <v>470</v>
      </c>
      <c r="H36381" s="185"/>
    </row>
    <row r="36382">
      <c r="D36382" s="185"/>
      <c r="E36382" s="185" t="s">
        <v>470</v>
      </c>
      <c r="H36382" s="185"/>
    </row>
    <row r="36383">
      <c r="D36383" s="185"/>
      <c r="E36383" s="185" t="s">
        <v>470</v>
      </c>
      <c r="H36383" s="185"/>
    </row>
    <row r="36384">
      <c r="D36384" s="185"/>
      <c r="E36384" s="185" t="s">
        <v>470</v>
      </c>
      <c r="H36384" s="185"/>
    </row>
    <row r="36385">
      <c r="D36385" s="185"/>
      <c r="E36385" s="185" t="s">
        <v>470</v>
      </c>
      <c r="H36385" s="185"/>
    </row>
    <row r="36386">
      <c r="D36386" s="185"/>
      <c r="E36386" s="185" t="s">
        <v>470</v>
      </c>
      <c r="H36386" s="185"/>
    </row>
    <row r="36387">
      <c r="D36387" s="185"/>
      <c r="E36387" s="185" t="s">
        <v>470</v>
      </c>
      <c r="H36387" s="185"/>
    </row>
    <row r="36388">
      <c r="D36388" s="185"/>
      <c r="E36388" s="185" t="s">
        <v>470</v>
      </c>
      <c r="H36388" s="185"/>
    </row>
    <row r="36389">
      <c r="D36389" s="185"/>
      <c r="E36389" s="185" t="s">
        <v>470</v>
      </c>
      <c r="H36389" s="185"/>
    </row>
    <row r="36390">
      <c r="D36390" s="185"/>
      <c r="E36390" s="185" t="s">
        <v>470</v>
      </c>
      <c r="H36390" s="185"/>
    </row>
    <row r="36391">
      <c r="D36391" s="185"/>
      <c r="E36391" s="185" t="s">
        <v>470</v>
      </c>
      <c r="H36391" s="185"/>
    </row>
    <row r="36392">
      <c r="D36392" s="185"/>
      <c r="E36392" s="185" t="s">
        <v>470</v>
      </c>
      <c r="H36392" s="185"/>
    </row>
    <row r="36393">
      <c r="D36393" s="185"/>
      <c r="E36393" s="185" t="s">
        <v>470</v>
      </c>
      <c r="H36393" s="185"/>
    </row>
    <row r="36394">
      <c r="D36394" s="185"/>
      <c r="E36394" s="185" t="s">
        <v>470</v>
      </c>
      <c r="H36394" s="185"/>
    </row>
    <row r="36395">
      <c r="D36395" s="185"/>
      <c r="E36395" s="185" t="s">
        <v>470</v>
      </c>
      <c r="H36395" s="185"/>
    </row>
    <row r="36396">
      <c r="D36396" s="185"/>
      <c r="E36396" s="185" t="s">
        <v>470</v>
      </c>
      <c r="H36396" s="185"/>
    </row>
    <row r="36397">
      <c r="D36397" s="185"/>
      <c r="E36397" s="185" t="s">
        <v>470</v>
      </c>
      <c r="H36397" s="185"/>
    </row>
    <row r="36398">
      <c r="D36398" s="185"/>
      <c r="E36398" s="185" t="s">
        <v>470</v>
      </c>
      <c r="H36398" s="185"/>
    </row>
    <row r="36399">
      <c r="D36399" s="185"/>
      <c r="E36399" s="185" t="s">
        <v>470</v>
      </c>
      <c r="H36399" s="185"/>
    </row>
    <row r="36400">
      <c r="D36400" s="185"/>
      <c r="E36400" s="185" t="s">
        <v>470</v>
      </c>
      <c r="H36400" s="185"/>
    </row>
    <row r="36401">
      <c r="D36401" s="185"/>
      <c r="E36401" s="185" t="s">
        <v>470</v>
      </c>
      <c r="H36401" s="185"/>
    </row>
    <row r="36402">
      <c r="D36402" s="185"/>
      <c r="E36402" s="185" t="s">
        <v>470</v>
      </c>
      <c r="H36402" s="185"/>
    </row>
    <row r="36403">
      <c r="D36403" s="185"/>
      <c r="E36403" s="185" t="s">
        <v>470</v>
      </c>
      <c r="H36403" s="185"/>
    </row>
    <row r="36404">
      <c r="D36404" s="185"/>
      <c r="E36404" s="185" t="s">
        <v>470</v>
      </c>
      <c r="H36404" s="185"/>
    </row>
    <row r="36405">
      <c r="D36405" s="185"/>
      <c r="E36405" s="185" t="s">
        <v>470</v>
      </c>
      <c r="H36405" s="185"/>
    </row>
    <row r="36406">
      <c r="D36406" s="185"/>
      <c r="E36406" s="185" t="s">
        <v>470</v>
      </c>
      <c r="H36406" s="185"/>
    </row>
    <row r="36407">
      <c r="D36407" s="185"/>
      <c r="E36407" s="185" t="s">
        <v>470</v>
      </c>
      <c r="H36407" s="185"/>
    </row>
    <row r="36408">
      <c r="D36408" s="185"/>
      <c r="E36408" s="185" t="s">
        <v>470</v>
      </c>
      <c r="H36408" s="185"/>
    </row>
    <row r="36409">
      <c r="D36409" s="185"/>
      <c r="E36409" s="185" t="s">
        <v>470</v>
      </c>
      <c r="H36409" s="185"/>
    </row>
    <row r="36410">
      <c r="D36410" s="185"/>
      <c r="E36410" s="185" t="s">
        <v>470</v>
      </c>
      <c r="H36410" s="185"/>
    </row>
    <row r="36411">
      <c r="D36411" s="185"/>
      <c r="E36411" s="185" t="s">
        <v>470</v>
      </c>
      <c r="H36411" s="185"/>
    </row>
    <row r="36412">
      <c r="D36412" s="185"/>
      <c r="E36412" s="185" t="s">
        <v>470</v>
      </c>
      <c r="H36412" s="185"/>
    </row>
    <row r="36413">
      <c r="D36413" s="185"/>
      <c r="E36413" s="185" t="s">
        <v>470</v>
      </c>
      <c r="H36413" s="185"/>
    </row>
    <row r="36414">
      <c r="D36414" s="185"/>
      <c r="E36414" s="185" t="s">
        <v>470</v>
      </c>
      <c r="H36414" s="185"/>
    </row>
    <row r="36415">
      <c r="D36415" s="185"/>
      <c r="E36415" s="185" t="s">
        <v>470</v>
      </c>
      <c r="H36415" s="185"/>
    </row>
    <row r="36416">
      <c r="D36416" s="185"/>
      <c r="E36416" s="185" t="s">
        <v>470</v>
      </c>
      <c r="H36416" s="185"/>
    </row>
    <row r="36417">
      <c r="D36417" s="185"/>
      <c r="E36417" s="185" t="s">
        <v>470</v>
      </c>
      <c r="H36417" s="185"/>
    </row>
    <row r="36418">
      <c r="D36418" s="185"/>
      <c r="E36418" s="185" t="s">
        <v>470</v>
      </c>
      <c r="H36418" s="185"/>
    </row>
    <row r="36419">
      <c r="D36419" s="185"/>
      <c r="E36419" s="185" t="s">
        <v>470</v>
      </c>
      <c r="H36419" s="185"/>
    </row>
    <row r="36420">
      <c r="D36420" s="185"/>
      <c r="E36420" s="185" t="s">
        <v>470</v>
      </c>
      <c r="H36420" s="185"/>
    </row>
    <row r="36421">
      <c r="D36421" s="185"/>
      <c r="E36421" s="185" t="s">
        <v>470</v>
      </c>
      <c r="H36421" s="185"/>
    </row>
    <row r="36422">
      <c r="D36422" s="185"/>
      <c r="E36422" s="185" t="s">
        <v>470</v>
      </c>
      <c r="H36422" s="185"/>
    </row>
    <row r="36423">
      <c r="D36423" s="185"/>
      <c r="E36423" s="185" t="s">
        <v>470</v>
      </c>
      <c r="H36423" s="185"/>
    </row>
    <row r="36424">
      <c r="D36424" s="185"/>
      <c r="E36424" s="185" t="s">
        <v>470</v>
      </c>
      <c r="H36424" s="185"/>
    </row>
    <row r="36425">
      <c r="D36425" s="185"/>
      <c r="E36425" s="185" t="s">
        <v>470</v>
      </c>
      <c r="H36425" s="185"/>
    </row>
    <row r="36426">
      <c r="D36426" s="185"/>
      <c r="E36426" s="185" t="s">
        <v>470</v>
      </c>
      <c r="H36426" s="185"/>
    </row>
    <row r="36427">
      <c r="D36427" s="185"/>
      <c r="E36427" s="185" t="s">
        <v>470</v>
      </c>
      <c r="H36427" s="185"/>
    </row>
    <row r="36428">
      <c r="D36428" s="185"/>
      <c r="E36428" s="185" t="s">
        <v>470</v>
      </c>
      <c r="H36428" s="185"/>
    </row>
    <row r="36429">
      <c r="D36429" s="185"/>
      <c r="E36429" s="185" t="s">
        <v>470</v>
      </c>
      <c r="H36429" s="185"/>
    </row>
    <row r="36430">
      <c r="D36430" s="185"/>
      <c r="E36430" s="185" t="s">
        <v>470</v>
      </c>
      <c r="H36430" s="185"/>
    </row>
    <row r="36431">
      <c r="D36431" s="185"/>
      <c r="E36431" s="185" t="s">
        <v>470</v>
      </c>
      <c r="H36431" s="185"/>
    </row>
    <row r="36432">
      <c r="D36432" s="185"/>
      <c r="E36432" s="185" t="s">
        <v>470</v>
      </c>
      <c r="H36432" s="185"/>
    </row>
    <row r="36433">
      <c r="D36433" s="185"/>
      <c r="E36433" s="185" t="s">
        <v>470</v>
      </c>
      <c r="H36433" s="185"/>
    </row>
    <row r="36434">
      <c r="D36434" s="185"/>
      <c r="E36434" s="185" t="s">
        <v>470</v>
      </c>
      <c r="H36434" s="185"/>
    </row>
    <row r="36435">
      <c r="D36435" s="185"/>
      <c r="E36435" s="185" t="s">
        <v>470</v>
      </c>
      <c r="H36435" s="185"/>
    </row>
    <row r="36436">
      <c r="D36436" s="185"/>
      <c r="E36436" s="185" t="s">
        <v>470</v>
      </c>
      <c r="H36436" s="185"/>
    </row>
    <row r="36437">
      <c r="D36437" s="185"/>
      <c r="E36437" s="185" t="s">
        <v>470</v>
      </c>
      <c r="H36437" s="185"/>
    </row>
    <row r="36438">
      <c r="D36438" s="185"/>
      <c r="E36438" s="185" t="s">
        <v>470</v>
      </c>
      <c r="H36438" s="185"/>
    </row>
    <row r="36439">
      <c r="D36439" s="185"/>
      <c r="E36439" s="185" t="s">
        <v>470</v>
      </c>
      <c r="H36439" s="185"/>
    </row>
    <row r="36440">
      <c r="D36440" s="185"/>
      <c r="E36440" s="185" t="s">
        <v>470</v>
      </c>
      <c r="H36440" s="185"/>
    </row>
    <row r="36441">
      <c r="D36441" s="185"/>
      <c r="E36441" s="185" t="s">
        <v>470</v>
      </c>
      <c r="H36441" s="185"/>
    </row>
    <row r="36442">
      <c r="D36442" s="185"/>
      <c r="E36442" s="185" t="s">
        <v>470</v>
      </c>
      <c r="H36442" s="185"/>
    </row>
    <row r="36443">
      <c r="D36443" s="185"/>
      <c r="E36443" s="185" t="s">
        <v>470</v>
      </c>
      <c r="H36443" s="185"/>
    </row>
    <row r="36444">
      <c r="D36444" s="185"/>
      <c r="E36444" s="185" t="s">
        <v>470</v>
      </c>
      <c r="H36444" s="185"/>
    </row>
    <row r="36445">
      <c r="D36445" s="185"/>
      <c r="E36445" s="185" t="s">
        <v>470</v>
      </c>
      <c r="H36445" s="185"/>
    </row>
    <row r="36446">
      <c r="D36446" s="185"/>
      <c r="E36446" s="185" t="s">
        <v>470</v>
      </c>
      <c r="H36446" s="185"/>
    </row>
    <row r="36447">
      <c r="D36447" s="185"/>
      <c r="E36447" s="185" t="s">
        <v>470</v>
      </c>
      <c r="H36447" s="185"/>
    </row>
    <row r="36448">
      <c r="D36448" s="185"/>
      <c r="E36448" s="185" t="s">
        <v>470</v>
      </c>
      <c r="H36448" s="185"/>
    </row>
    <row r="36449">
      <c r="D36449" s="185"/>
      <c r="E36449" s="185" t="s">
        <v>470</v>
      </c>
      <c r="H36449" s="185"/>
    </row>
    <row r="36450">
      <c r="D36450" s="185"/>
      <c r="E36450" s="185" t="s">
        <v>470</v>
      </c>
      <c r="H36450" s="185"/>
    </row>
    <row r="36451">
      <c r="D36451" s="185"/>
      <c r="E36451" s="185" t="s">
        <v>470</v>
      </c>
      <c r="H36451" s="185"/>
    </row>
    <row r="36452">
      <c r="D36452" s="185"/>
      <c r="E36452" s="185" t="s">
        <v>470</v>
      </c>
      <c r="H36452" s="185"/>
    </row>
    <row r="36453">
      <c r="D36453" s="185"/>
      <c r="E36453" s="185" t="s">
        <v>470</v>
      </c>
      <c r="H36453" s="185"/>
    </row>
    <row r="36454">
      <c r="D36454" s="185"/>
      <c r="E36454" s="185" t="s">
        <v>470</v>
      </c>
      <c r="H36454" s="185"/>
    </row>
    <row r="36455">
      <c r="D36455" s="185"/>
      <c r="E36455" s="185" t="s">
        <v>470</v>
      </c>
      <c r="H36455" s="185"/>
    </row>
    <row r="36456">
      <c r="D36456" s="185"/>
      <c r="E36456" s="185" t="s">
        <v>470</v>
      </c>
      <c r="H36456" s="185"/>
    </row>
    <row r="36457">
      <c r="D36457" s="185"/>
      <c r="E36457" s="185" t="s">
        <v>470</v>
      </c>
      <c r="H36457" s="185"/>
    </row>
    <row r="36458">
      <c r="D36458" s="185"/>
      <c r="E36458" s="185" t="s">
        <v>470</v>
      </c>
      <c r="H36458" s="185"/>
    </row>
    <row r="36459">
      <c r="D36459" s="185"/>
      <c r="E36459" s="185" t="s">
        <v>470</v>
      </c>
      <c r="H36459" s="185"/>
    </row>
    <row r="36460">
      <c r="D36460" s="185"/>
      <c r="E36460" s="185" t="s">
        <v>470</v>
      </c>
      <c r="H36460" s="185"/>
    </row>
    <row r="36461">
      <c r="D36461" s="185"/>
      <c r="E36461" s="185" t="s">
        <v>470</v>
      </c>
      <c r="H36461" s="185"/>
    </row>
    <row r="36462">
      <c r="D36462" s="185"/>
      <c r="E36462" s="185" t="s">
        <v>470</v>
      </c>
      <c r="H36462" s="185"/>
    </row>
    <row r="36463">
      <c r="D36463" s="185"/>
      <c r="E36463" s="185" t="s">
        <v>470</v>
      </c>
      <c r="H36463" s="185"/>
    </row>
    <row r="36464">
      <c r="D36464" s="185"/>
      <c r="E36464" s="185" t="s">
        <v>470</v>
      </c>
      <c r="H36464" s="185"/>
    </row>
    <row r="36465">
      <c r="D36465" s="185"/>
      <c r="E36465" s="185" t="s">
        <v>470</v>
      </c>
      <c r="H36465" s="185"/>
    </row>
    <row r="36466">
      <c r="D36466" s="185"/>
      <c r="E36466" s="185" t="s">
        <v>470</v>
      </c>
      <c r="H36466" s="185"/>
    </row>
    <row r="36467">
      <c r="D36467" s="185"/>
      <c r="E36467" s="185" t="s">
        <v>470</v>
      </c>
      <c r="H36467" s="185"/>
    </row>
    <row r="36468">
      <c r="D36468" s="185"/>
      <c r="E36468" s="185" t="s">
        <v>470</v>
      </c>
      <c r="H36468" s="185"/>
    </row>
    <row r="36469">
      <c r="D36469" s="185"/>
      <c r="E36469" s="185" t="s">
        <v>470</v>
      </c>
      <c r="H36469" s="185"/>
    </row>
    <row r="36470">
      <c r="D36470" s="185"/>
      <c r="E36470" s="185" t="s">
        <v>470</v>
      </c>
      <c r="H36470" s="185"/>
    </row>
    <row r="36471">
      <c r="D36471" s="185"/>
      <c r="E36471" s="185" t="s">
        <v>470</v>
      </c>
      <c r="H36471" s="185"/>
    </row>
    <row r="36472">
      <c r="D36472" s="185"/>
      <c r="E36472" s="185" t="s">
        <v>470</v>
      </c>
      <c r="H36472" s="185"/>
    </row>
    <row r="36473">
      <c r="D36473" s="185"/>
      <c r="E36473" s="185" t="s">
        <v>470</v>
      </c>
      <c r="H36473" s="185"/>
    </row>
    <row r="36474">
      <c r="D36474" s="185"/>
      <c r="E36474" s="185" t="s">
        <v>470</v>
      </c>
      <c r="H36474" s="185"/>
    </row>
    <row r="36475">
      <c r="D36475" s="185"/>
      <c r="E36475" s="185" t="s">
        <v>470</v>
      </c>
      <c r="H36475" s="185"/>
    </row>
    <row r="36476">
      <c r="D36476" s="185"/>
      <c r="E36476" s="185" t="s">
        <v>470</v>
      </c>
      <c r="H36476" s="185"/>
    </row>
    <row r="36477">
      <c r="D36477" s="185"/>
      <c r="E36477" s="185" t="s">
        <v>470</v>
      </c>
      <c r="H36477" s="185"/>
    </row>
    <row r="36478">
      <c r="D36478" s="185"/>
      <c r="E36478" s="185" t="s">
        <v>470</v>
      </c>
      <c r="H36478" s="185"/>
    </row>
    <row r="36479">
      <c r="D36479" s="185"/>
      <c r="E36479" s="185" t="s">
        <v>470</v>
      </c>
      <c r="H36479" s="185"/>
    </row>
    <row r="36480">
      <c r="D36480" s="185"/>
      <c r="E36480" s="185" t="s">
        <v>470</v>
      </c>
      <c r="H36480" s="185"/>
    </row>
    <row r="36481">
      <c r="D36481" s="185"/>
      <c r="E36481" s="185" t="s">
        <v>470</v>
      </c>
      <c r="H36481" s="185"/>
    </row>
    <row r="36482">
      <c r="D36482" s="185"/>
      <c r="E36482" s="185" t="s">
        <v>470</v>
      </c>
      <c r="H36482" s="185"/>
    </row>
    <row r="36483">
      <c r="D36483" s="185"/>
      <c r="E36483" s="185" t="s">
        <v>470</v>
      </c>
      <c r="H36483" s="185"/>
    </row>
    <row r="36484">
      <c r="D36484" s="185"/>
      <c r="E36484" s="185" t="s">
        <v>470</v>
      </c>
      <c r="H36484" s="185"/>
    </row>
    <row r="36485">
      <c r="D36485" s="185"/>
      <c r="E36485" s="185" t="s">
        <v>470</v>
      </c>
      <c r="H36485" s="185"/>
    </row>
    <row r="36486">
      <c r="D36486" s="185"/>
      <c r="E36486" s="185" t="s">
        <v>470</v>
      </c>
      <c r="H36486" s="185"/>
    </row>
    <row r="36487">
      <c r="D36487" s="185"/>
      <c r="E36487" s="185" t="s">
        <v>470</v>
      </c>
      <c r="H36487" s="185"/>
    </row>
    <row r="36488">
      <c r="D36488" s="185"/>
      <c r="E36488" s="185" t="s">
        <v>470</v>
      </c>
      <c r="H36488" s="185"/>
    </row>
    <row r="36489">
      <c r="D36489" s="185"/>
      <c r="E36489" s="185" t="s">
        <v>470</v>
      </c>
      <c r="H36489" s="185"/>
    </row>
    <row r="36490">
      <c r="D36490" s="185"/>
      <c r="E36490" s="185" t="s">
        <v>470</v>
      </c>
      <c r="H36490" s="185"/>
    </row>
    <row r="36491">
      <c r="D36491" s="185"/>
      <c r="E36491" s="185" t="s">
        <v>470</v>
      </c>
      <c r="H36491" s="185"/>
    </row>
    <row r="36492">
      <c r="D36492" s="185"/>
      <c r="E36492" s="185" t="s">
        <v>470</v>
      </c>
      <c r="H36492" s="185"/>
    </row>
    <row r="36493">
      <c r="D36493" s="185"/>
      <c r="E36493" s="185" t="s">
        <v>470</v>
      </c>
      <c r="H36493" s="185"/>
    </row>
    <row r="36494">
      <c r="D36494" s="185"/>
      <c r="E36494" s="185" t="s">
        <v>470</v>
      </c>
      <c r="H36494" s="185"/>
    </row>
    <row r="36495">
      <c r="D36495" s="185"/>
      <c r="E36495" s="185" t="s">
        <v>470</v>
      </c>
      <c r="H36495" s="185"/>
    </row>
    <row r="36496">
      <c r="D36496" s="185"/>
      <c r="E36496" s="185" t="s">
        <v>470</v>
      </c>
      <c r="H36496" s="185"/>
    </row>
    <row r="36497">
      <c r="D36497" s="185"/>
      <c r="E36497" s="185" t="s">
        <v>470</v>
      </c>
      <c r="H36497" s="185"/>
    </row>
    <row r="36498">
      <c r="D36498" s="185"/>
      <c r="E36498" s="185" t="s">
        <v>470</v>
      </c>
      <c r="H36498" s="185"/>
    </row>
    <row r="36499">
      <c r="D36499" s="185"/>
      <c r="E36499" s="185" t="s">
        <v>470</v>
      </c>
      <c r="H36499" s="185"/>
    </row>
    <row r="36500">
      <c r="D36500" s="185"/>
      <c r="E36500" s="185" t="s">
        <v>470</v>
      </c>
      <c r="H36500" s="185"/>
    </row>
    <row r="36501">
      <c r="D36501" s="185"/>
      <c r="E36501" s="185" t="s">
        <v>470</v>
      </c>
      <c r="H36501" s="185"/>
    </row>
    <row r="36502">
      <c r="D36502" s="185"/>
      <c r="E36502" s="185" t="s">
        <v>470</v>
      </c>
      <c r="H36502" s="185"/>
    </row>
    <row r="36503">
      <c r="D36503" s="185"/>
      <c r="E36503" s="185" t="s">
        <v>470</v>
      </c>
      <c r="H36503" s="185"/>
    </row>
    <row r="36504">
      <c r="D36504" s="185"/>
      <c r="E36504" s="185" t="s">
        <v>470</v>
      </c>
      <c r="H36504" s="185"/>
    </row>
    <row r="36505">
      <c r="D36505" s="185"/>
      <c r="E36505" s="185" t="s">
        <v>470</v>
      </c>
      <c r="H36505" s="185"/>
    </row>
    <row r="36506">
      <c r="D36506" s="185"/>
      <c r="E36506" s="185" t="s">
        <v>470</v>
      </c>
      <c r="H36506" s="185"/>
    </row>
    <row r="36507">
      <c r="D36507" s="185"/>
      <c r="E36507" s="185" t="s">
        <v>470</v>
      </c>
      <c r="H36507" s="185"/>
    </row>
    <row r="36508">
      <c r="D36508" s="185"/>
      <c r="E36508" s="185" t="s">
        <v>470</v>
      </c>
      <c r="H36508" s="185"/>
    </row>
    <row r="36509">
      <c r="D36509" s="185"/>
      <c r="E36509" s="185" t="s">
        <v>470</v>
      </c>
      <c r="H36509" s="185"/>
    </row>
    <row r="36510">
      <c r="D36510" s="185"/>
      <c r="E36510" s="185" t="s">
        <v>470</v>
      </c>
      <c r="H36510" s="185"/>
    </row>
    <row r="36511">
      <c r="D36511" s="185"/>
      <c r="E36511" s="185" t="s">
        <v>470</v>
      </c>
      <c r="H36511" s="185"/>
    </row>
    <row r="36512">
      <c r="D36512" s="185"/>
      <c r="E36512" s="185" t="s">
        <v>470</v>
      </c>
      <c r="H36512" s="185"/>
    </row>
    <row r="36513">
      <c r="D36513" s="185"/>
      <c r="E36513" s="185" t="s">
        <v>470</v>
      </c>
      <c r="H36513" s="185"/>
    </row>
    <row r="36514">
      <c r="D36514" s="185"/>
      <c r="E36514" s="185" t="s">
        <v>470</v>
      </c>
      <c r="H36514" s="185"/>
    </row>
    <row r="36515">
      <c r="D36515" s="185"/>
      <c r="E36515" s="185" t="s">
        <v>470</v>
      </c>
      <c r="H36515" s="185"/>
    </row>
    <row r="36516">
      <c r="D36516" s="185"/>
      <c r="E36516" s="185" t="s">
        <v>470</v>
      </c>
      <c r="H36516" s="185"/>
    </row>
    <row r="36517">
      <c r="D36517" s="185"/>
      <c r="E36517" s="185" t="s">
        <v>470</v>
      </c>
      <c r="H36517" s="185"/>
    </row>
    <row r="36518">
      <c r="D36518" s="185"/>
      <c r="E36518" s="185" t="s">
        <v>470</v>
      </c>
      <c r="H36518" s="185"/>
    </row>
    <row r="36519">
      <c r="D36519" s="185"/>
      <c r="E36519" s="185" t="s">
        <v>470</v>
      </c>
      <c r="H36519" s="185"/>
    </row>
    <row r="36520">
      <c r="D36520" s="185"/>
      <c r="E36520" s="185" t="s">
        <v>470</v>
      </c>
      <c r="H36520" s="185"/>
    </row>
    <row r="36521">
      <c r="D36521" s="185"/>
      <c r="E36521" s="185" t="s">
        <v>470</v>
      </c>
      <c r="H36521" s="185"/>
    </row>
    <row r="36522">
      <c r="D36522" s="185"/>
      <c r="E36522" s="185" t="s">
        <v>470</v>
      </c>
      <c r="H36522" s="185"/>
    </row>
    <row r="36523">
      <c r="D36523" s="185"/>
      <c r="E36523" s="185" t="s">
        <v>470</v>
      </c>
      <c r="H36523" s="185"/>
    </row>
    <row r="36524">
      <c r="D36524" s="185"/>
      <c r="E36524" s="185" t="s">
        <v>470</v>
      </c>
      <c r="H36524" s="185"/>
    </row>
    <row r="36525">
      <c r="D36525" s="185"/>
      <c r="E36525" s="185" t="s">
        <v>470</v>
      </c>
      <c r="H36525" s="185"/>
    </row>
    <row r="36526">
      <c r="D36526" s="185"/>
      <c r="E36526" s="185" t="s">
        <v>470</v>
      </c>
      <c r="H36526" s="185"/>
    </row>
    <row r="36527">
      <c r="D36527" s="185"/>
      <c r="E36527" s="185" t="s">
        <v>470</v>
      </c>
      <c r="H36527" s="185"/>
    </row>
    <row r="36528">
      <c r="D36528" s="185"/>
      <c r="E36528" s="185" t="s">
        <v>470</v>
      </c>
      <c r="H36528" s="185"/>
    </row>
    <row r="36529">
      <c r="D36529" s="185"/>
      <c r="E36529" s="185" t="s">
        <v>470</v>
      </c>
      <c r="H36529" s="185"/>
    </row>
    <row r="36530">
      <c r="D36530" s="185"/>
      <c r="E36530" s="185" t="s">
        <v>470</v>
      </c>
      <c r="H36530" s="185"/>
    </row>
    <row r="36531">
      <c r="D36531" s="185"/>
      <c r="E36531" s="185" t="s">
        <v>470</v>
      </c>
      <c r="H36531" s="185"/>
    </row>
    <row r="36532">
      <c r="D36532" s="185"/>
      <c r="E36532" s="185" t="s">
        <v>470</v>
      </c>
      <c r="H36532" s="185"/>
    </row>
    <row r="36533">
      <c r="D36533" s="185"/>
      <c r="E36533" s="185" t="s">
        <v>470</v>
      </c>
      <c r="H36533" s="185"/>
    </row>
    <row r="36534">
      <c r="D36534" s="185"/>
      <c r="E36534" s="185" t="s">
        <v>470</v>
      </c>
      <c r="H36534" s="185"/>
    </row>
    <row r="36535">
      <c r="D36535" s="185"/>
      <c r="E36535" s="185" t="s">
        <v>470</v>
      </c>
      <c r="H36535" s="185"/>
    </row>
    <row r="36536">
      <c r="D36536" s="185"/>
      <c r="E36536" s="185" t="s">
        <v>470</v>
      </c>
      <c r="H36536" s="185"/>
    </row>
    <row r="36537">
      <c r="D36537" s="185"/>
      <c r="E36537" s="185" t="s">
        <v>470</v>
      </c>
      <c r="H36537" s="185"/>
    </row>
    <row r="36538">
      <c r="D36538" s="185"/>
      <c r="E36538" s="185" t="s">
        <v>470</v>
      </c>
      <c r="H36538" s="185"/>
    </row>
    <row r="36539">
      <c r="D36539" s="185"/>
      <c r="E36539" s="185" t="s">
        <v>470</v>
      </c>
      <c r="H36539" s="185"/>
    </row>
    <row r="36540">
      <c r="D36540" s="185"/>
      <c r="E36540" s="185" t="s">
        <v>470</v>
      </c>
      <c r="H36540" s="185"/>
    </row>
    <row r="36541">
      <c r="D36541" s="185"/>
      <c r="E36541" s="185" t="s">
        <v>470</v>
      </c>
      <c r="H36541" s="185"/>
    </row>
    <row r="36542">
      <c r="D36542" s="185"/>
      <c r="E36542" s="185" t="s">
        <v>470</v>
      </c>
      <c r="H36542" s="185"/>
    </row>
    <row r="36543">
      <c r="D36543" s="185"/>
      <c r="E36543" s="185" t="s">
        <v>470</v>
      </c>
      <c r="H36543" s="185"/>
    </row>
    <row r="36544">
      <c r="D36544" s="185"/>
      <c r="E36544" s="185" t="s">
        <v>470</v>
      </c>
      <c r="H36544" s="185"/>
    </row>
    <row r="36545">
      <c r="D36545" s="185"/>
      <c r="E36545" s="185" t="s">
        <v>470</v>
      </c>
      <c r="H36545" s="185"/>
    </row>
    <row r="36546">
      <c r="D36546" s="185"/>
      <c r="E36546" s="185" t="s">
        <v>470</v>
      </c>
      <c r="H36546" s="185"/>
    </row>
    <row r="36547">
      <c r="D36547" s="185"/>
      <c r="E36547" s="185" t="s">
        <v>470</v>
      </c>
      <c r="H36547" s="185"/>
    </row>
    <row r="36548">
      <c r="D36548" s="185"/>
      <c r="E36548" s="185" t="s">
        <v>470</v>
      </c>
      <c r="H36548" s="185"/>
    </row>
    <row r="36549">
      <c r="D36549" s="185"/>
      <c r="E36549" s="185" t="s">
        <v>470</v>
      </c>
      <c r="H36549" s="185"/>
    </row>
    <row r="36550">
      <c r="D36550" s="185"/>
      <c r="E36550" s="185" t="s">
        <v>470</v>
      </c>
      <c r="H36550" s="185"/>
    </row>
    <row r="36551">
      <c r="D36551" s="185"/>
      <c r="E36551" s="185" t="s">
        <v>470</v>
      </c>
      <c r="H36551" s="185"/>
    </row>
    <row r="36552">
      <c r="D36552" s="185"/>
      <c r="E36552" s="185" t="s">
        <v>470</v>
      </c>
      <c r="H36552" s="185"/>
    </row>
    <row r="36553">
      <c r="D36553" s="185"/>
      <c r="E36553" s="185" t="s">
        <v>470</v>
      </c>
      <c r="H36553" s="185"/>
    </row>
    <row r="36554">
      <c r="D36554" s="185"/>
      <c r="E36554" s="185" t="s">
        <v>470</v>
      </c>
      <c r="H36554" s="185"/>
    </row>
    <row r="36555">
      <c r="D36555" s="185"/>
      <c r="E36555" s="185" t="s">
        <v>470</v>
      </c>
      <c r="H36555" s="185"/>
    </row>
    <row r="36556">
      <c r="D36556" s="185"/>
      <c r="E36556" s="185" t="s">
        <v>470</v>
      </c>
      <c r="H36556" s="185"/>
    </row>
    <row r="36557">
      <c r="D36557" s="185"/>
      <c r="E36557" s="185" t="s">
        <v>470</v>
      </c>
      <c r="H36557" s="185"/>
    </row>
    <row r="36558">
      <c r="D36558" s="185"/>
      <c r="E36558" s="185" t="s">
        <v>470</v>
      </c>
      <c r="H36558" s="185"/>
    </row>
    <row r="36559">
      <c r="D36559" s="185"/>
      <c r="E36559" s="185" t="s">
        <v>470</v>
      </c>
      <c r="H36559" s="185"/>
    </row>
    <row r="36560">
      <c r="D36560" s="185"/>
      <c r="E36560" s="185" t="s">
        <v>470</v>
      </c>
      <c r="H36560" s="185"/>
    </row>
    <row r="36561">
      <c r="D36561" s="185"/>
      <c r="E36561" s="185" t="s">
        <v>470</v>
      </c>
      <c r="H36561" s="185"/>
    </row>
    <row r="36562">
      <c r="D36562" s="185"/>
      <c r="E36562" s="185" t="s">
        <v>470</v>
      </c>
      <c r="H36562" s="185"/>
    </row>
    <row r="36563">
      <c r="D36563" s="185"/>
      <c r="E36563" s="185" t="s">
        <v>470</v>
      </c>
      <c r="H36563" s="185"/>
    </row>
    <row r="36564">
      <c r="D36564" s="185"/>
      <c r="E36564" s="185" t="s">
        <v>470</v>
      </c>
      <c r="H36564" s="185"/>
    </row>
    <row r="36565">
      <c r="D36565" s="185"/>
      <c r="E36565" s="185" t="s">
        <v>470</v>
      </c>
      <c r="H36565" s="185"/>
    </row>
    <row r="36566">
      <c r="D36566" s="185"/>
      <c r="E36566" s="185" t="s">
        <v>470</v>
      </c>
      <c r="H36566" s="185"/>
    </row>
    <row r="36567">
      <c r="D36567" s="185"/>
      <c r="E36567" s="185" t="s">
        <v>470</v>
      </c>
      <c r="H36567" s="185"/>
    </row>
    <row r="36568">
      <c r="D36568" s="185"/>
      <c r="E36568" s="185" t="s">
        <v>470</v>
      </c>
      <c r="H36568" s="185"/>
    </row>
    <row r="36569">
      <c r="D36569" s="185"/>
      <c r="E36569" s="185" t="s">
        <v>470</v>
      </c>
      <c r="H36569" s="185"/>
    </row>
    <row r="36570">
      <c r="D36570" s="185"/>
      <c r="E36570" s="185" t="s">
        <v>470</v>
      </c>
      <c r="H36570" s="185"/>
    </row>
    <row r="36571">
      <c r="D36571" s="185"/>
      <c r="E36571" s="185" t="s">
        <v>470</v>
      </c>
      <c r="H36571" s="185"/>
    </row>
    <row r="36572">
      <c r="D36572" s="185"/>
      <c r="E36572" s="185" t="s">
        <v>470</v>
      </c>
      <c r="H36572" s="185"/>
    </row>
    <row r="36573">
      <c r="D36573" s="185"/>
      <c r="E36573" s="185" t="s">
        <v>470</v>
      </c>
      <c r="H36573" s="185"/>
    </row>
    <row r="36574">
      <c r="D36574" s="185"/>
      <c r="E36574" s="185" t="s">
        <v>470</v>
      </c>
      <c r="H36574" s="185"/>
    </row>
    <row r="36575">
      <c r="D36575" s="185"/>
      <c r="E36575" s="185" t="s">
        <v>470</v>
      </c>
      <c r="H36575" s="185"/>
    </row>
    <row r="36576">
      <c r="D36576" s="185"/>
      <c r="E36576" s="185" t="s">
        <v>470</v>
      </c>
      <c r="H36576" s="185"/>
    </row>
    <row r="36577">
      <c r="D36577" s="185"/>
      <c r="E36577" s="185" t="s">
        <v>470</v>
      </c>
      <c r="H36577" s="185"/>
    </row>
    <row r="36578">
      <c r="D36578" s="185"/>
      <c r="E36578" s="185" t="s">
        <v>470</v>
      </c>
      <c r="H36578" s="185"/>
    </row>
    <row r="36579">
      <c r="D36579" s="185"/>
      <c r="E36579" s="185" t="s">
        <v>470</v>
      </c>
      <c r="H36579" s="185"/>
    </row>
    <row r="36580">
      <c r="D36580" s="185"/>
      <c r="E36580" s="185" t="s">
        <v>470</v>
      </c>
      <c r="H36580" s="185"/>
    </row>
    <row r="36581">
      <c r="D36581" s="185"/>
      <c r="E36581" s="185" t="s">
        <v>470</v>
      </c>
      <c r="H36581" s="185"/>
    </row>
    <row r="36582">
      <c r="D36582" s="185"/>
      <c r="E36582" s="185" t="s">
        <v>470</v>
      </c>
      <c r="H36582" s="185"/>
    </row>
    <row r="36583">
      <c r="D36583" s="185"/>
      <c r="E36583" s="185" t="s">
        <v>470</v>
      </c>
      <c r="H36583" s="185"/>
    </row>
    <row r="36584">
      <c r="D36584" s="185"/>
      <c r="E36584" s="185" t="s">
        <v>470</v>
      </c>
      <c r="H36584" s="185"/>
    </row>
    <row r="36585">
      <c r="D36585" s="185"/>
      <c r="E36585" s="185" t="s">
        <v>470</v>
      </c>
      <c r="H36585" s="185"/>
    </row>
    <row r="36586">
      <c r="D36586" s="185"/>
      <c r="E36586" s="185" t="s">
        <v>470</v>
      </c>
      <c r="H36586" s="185"/>
    </row>
    <row r="36587">
      <c r="D36587" s="185"/>
      <c r="E36587" s="185" t="s">
        <v>470</v>
      </c>
      <c r="H36587" s="185"/>
    </row>
    <row r="36588">
      <c r="D36588" s="185"/>
      <c r="E36588" s="185" t="s">
        <v>470</v>
      </c>
      <c r="H36588" s="185"/>
    </row>
    <row r="36589">
      <c r="D36589" s="185"/>
      <c r="E36589" s="185" t="s">
        <v>470</v>
      </c>
      <c r="H36589" s="185"/>
    </row>
    <row r="36590">
      <c r="D36590" s="185"/>
      <c r="E36590" s="185" t="s">
        <v>470</v>
      </c>
      <c r="H36590" s="185"/>
    </row>
    <row r="36591">
      <c r="D36591" s="185"/>
      <c r="E36591" s="185" t="s">
        <v>470</v>
      </c>
      <c r="H36591" s="185"/>
    </row>
    <row r="36592">
      <c r="D36592" s="185"/>
      <c r="E36592" s="185" t="s">
        <v>470</v>
      </c>
      <c r="H36592" s="185"/>
    </row>
    <row r="36593">
      <c r="D36593" s="185"/>
      <c r="E36593" s="185" t="s">
        <v>470</v>
      </c>
      <c r="H36593" s="185"/>
    </row>
    <row r="36594">
      <c r="D36594" s="185"/>
      <c r="E36594" s="185" t="s">
        <v>470</v>
      </c>
      <c r="H36594" s="185"/>
    </row>
    <row r="36595">
      <c r="D36595" s="185"/>
      <c r="E36595" s="185" t="s">
        <v>470</v>
      </c>
      <c r="H36595" s="185"/>
    </row>
    <row r="36596">
      <c r="D36596" s="185"/>
      <c r="E36596" s="185" t="s">
        <v>470</v>
      </c>
      <c r="H36596" s="185"/>
    </row>
    <row r="36597">
      <c r="D36597" s="185"/>
      <c r="E36597" s="185" t="s">
        <v>470</v>
      </c>
      <c r="H36597" s="185"/>
    </row>
    <row r="36598">
      <c r="D36598" s="185"/>
      <c r="E36598" s="185" t="s">
        <v>470</v>
      </c>
      <c r="H36598" s="185"/>
    </row>
    <row r="36599">
      <c r="D36599" s="185"/>
      <c r="E36599" s="185" t="s">
        <v>470</v>
      </c>
      <c r="H36599" s="185"/>
    </row>
    <row r="36600">
      <c r="D36600" s="185"/>
      <c r="E36600" s="185" t="s">
        <v>470</v>
      </c>
      <c r="H36600" s="185"/>
    </row>
    <row r="36601">
      <c r="D36601" s="185"/>
      <c r="E36601" s="185" t="s">
        <v>470</v>
      </c>
      <c r="H36601" s="185"/>
    </row>
    <row r="36602">
      <c r="D36602" s="185"/>
      <c r="E36602" s="185" t="s">
        <v>470</v>
      </c>
      <c r="H36602" s="185"/>
    </row>
    <row r="36603">
      <c r="D36603" s="185"/>
      <c r="E36603" s="185" t="s">
        <v>470</v>
      </c>
      <c r="H36603" s="185"/>
    </row>
    <row r="36604">
      <c r="D36604" s="185"/>
      <c r="E36604" s="185" t="s">
        <v>470</v>
      </c>
      <c r="H36604" s="185"/>
    </row>
    <row r="36605">
      <c r="D36605" s="185"/>
      <c r="E36605" s="185" t="s">
        <v>470</v>
      </c>
      <c r="H36605" s="185"/>
    </row>
    <row r="36606">
      <c r="D36606" s="185"/>
      <c r="E36606" s="185" t="s">
        <v>470</v>
      </c>
      <c r="H36606" s="185"/>
    </row>
    <row r="36607">
      <c r="D36607" s="185"/>
      <c r="E36607" s="185" t="s">
        <v>470</v>
      </c>
      <c r="H36607" s="185"/>
    </row>
    <row r="36608">
      <c r="D36608" s="185"/>
      <c r="E36608" s="185" t="s">
        <v>470</v>
      </c>
      <c r="H36608" s="185"/>
    </row>
    <row r="36609">
      <c r="D36609" s="185"/>
      <c r="E36609" s="185" t="s">
        <v>470</v>
      </c>
      <c r="H36609" s="185"/>
    </row>
    <row r="36610">
      <c r="D36610" s="185"/>
      <c r="E36610" s="185" t="s">
        <v>470</v>
      </c>
      <c r="H36610" s="185"/>
    </row>
    <row r="36611">
      <c r="D36611" s="185"/>
      <c r="E36611" s="185" t="s">
        <v>470</v>
      </c>
      <c r="H36611" s="185"/>
    </row>
    <row r="36612">
      <c r="D36612" s="185"/>
      <c r="E36612" s="185" t="s">
        <v>470</v>
      </c>
      <c r="H36612" s="185"/>
    </row>
    <row r="36613">
      <c r="D36613" s="185"/>
      <c r="E36613" s="185" t="s">
        <v>470</v>
      </c>
      <c r="H36613" s="185"/>
    </row>
    <row r="36614">
      <c r="D36614" s="185"/>
      <c r="E36614" s="185" t="s">
        <v>470</v>
      </c>
      <c r="H36614" s="185"/>
    </row>
    <row r="36615">
      <c r="D36615" s="185"/>
      <c r="E36615" s="185" t="s">
        <v>470</v>
      </c>
      <c r="H36615" s="185"/>
    </row>
    <row r="36616">
      <c r="D36616" s="185"/>
      <c r="E36616" s="185" t="s">
        <v>470</v>
      </c>
      <c r="H36616" s="185"/>
    </row>
    <row r="36617">
      <c r="D36617" s="185"/>
      <c r="E36617" s="185" t="s">
        <v>470</v>
      </c>
      <c r="H36617" s="185"/>
    </row>
    <row r="36618">
      <c r="D36618" s="185"/>
      <c r="E36618" s="185" t="s">
        <v>470</v>
      </c>
      <c r="H36618" s="185"/>
    </row>
    <row r="36619">
      <c r="D36619" s="185"/>
      <c r="E36619" s="185" t="s">
        <v>470</v>
      </c>
      <c r="H36619" s="185"/>
    </row>
    <row r="36620">
      <c r="D36620" s="185"/>
      <c r="E36620" s="185" t="s">
        <v>470</v>
      </c>
      <c r="H36620" s="185"/>
    </row>
    <row r="36621">
      <c r="D36621" s="185"/>
      <c r="E36621" s="185" t="s">
        <v>470</v>
      </c>
      <c r="H36621" s="185"/>
    </row>
    <row r="36622">
      <c r="D36622" s="185"/>
      <c r="E36622" s="185" t="s">
        <v>470</v>
      </c>
      <c r="H36622" s="185"/>
    </row>
    <row r="36623">
      <c r="D36623" s="185"/>
      <c r="E36623" s="185" t="s">
        <v>470</v>
      </c>
      <c r="H36623" s="185"/>
    </row>
    <row r="36624">
      <c r="D36624" s="185"/>
      <c r="E36624" s="185" t="s">
        <v>470</v>
      </c>
      <c r="H36624" s="185"/>
    </row>
    <row r="36625">
      <c r="D36625" s="185"/>
      <c r="E36625" s="185" t="s">
        <v>470</v>
      </c>
      <c r="H36625" s="185"/>
    </row>
    <row r="36626">
      <c r="D36626" s="185"/>
      <c r="E36626" s="185" t="s">
        <v>470</v>
      </c>
      <c r="H36626" s="185"/>
    </row>
    <row r="36627">
      <c r="D36627" s="185"/>
      <c r="E36627" s="185" t="s">
        <v>470</v>
      </c>
      <c r="H36627" s="185"/>
    </row>
    <row r="36628">
      <c r="D36628" s="185"/>
      <c r="E36628" s="185" t="s">
        <v>470</v>
      </c>
      <c r="H36628" s="185"/>
    </row>
    <row r="36629">
      <c r="D36629" s="185"/>
      <c r="E36629" s="185" t="s">
        <v>470</v>
      </c>
      <c r="H36629" s="185"/>
    </row>
    <row r="36630">
      <c r="D36630" s="185"/>
      <c r="E36630" s="185" t="s">
        <v>470</v>
      </c>
      <c r="H36630" s="185"/>
    </row>
    <row r="36631">
      <c r="D36631" s="185"/>
      <c r="E36631" s="185" t="s">
        <v>470</v>
      </c>
      <c r="H36631" s="185"/>
    </row>
    <row r="36632">
      <c r="D36632" s="185"/>
      <c r="E36632" s="185" t="s">
        <v>470</v>
      </c>
      <c r="H36632" s="185"/>
    </row>
    <row r="36633">
      <c r="D36633" s="185"/>
      <c r="E36633" s="185" t="s">
        <v>470</v>
      </c>
      <c r="H36633" s="185"/>
    </row>
    <row r="36634">
      <c r="D36634" s="185"/>
      <c r="E36634" s="185" t="s">
        <v>470</v>
      </c>
      <c r="H36634" s="185"/>
    </row>
    <row r="36635">
      <c r="D36635" s="185"/>
      <c r="E36635" s="185" t="s">
        <v>470</v>
      </c>
      <c r="H36635" s="185"/>
    </row>
    <row r="36636">
      <c r="D36636" s="185"/>
      <c r="E36636" s="185" t="s">
        <v>470</v>
      </c>
      <c r="H36636" s="185"/>
    </row>
    <row r="36637">
      <c r="D36637" s="185"/>
      <c r="E36637" s="185" t="s">
        <v>470</v>
      </c>
      <c r="H36637" s="185"/>
    </row>
    <row r="36638">
      <c r="D36638" s="185"/>
      <c r="E36638" s="185" t="s">
        <v>470</v>
      </c>
      <c r="H36638" s="185"/>
    </row>
    <row r="36639">
      <c r="D36639" s="185"/>
      <c r="E36639" s="185" t="s">
        <v>470</v>
      </c>
      <c r="H36639" s="185"/>
    </row>
    <row r="36640">
      <c r="D36640" s="185"/>
      <c r="E36640" s="185" t="s">
        <v>470</v>
      </c>
      <c r="H36640" s="185"/>
    </row>
    <row r="36641">
      <c r="D36641" s="185"/>
      <c r="E36641" s="185" t="s">
        <v>470</v>
      </c>
      <c r="H36641" s="185"/>
    </row>
    <row r="36642">
      <c r="D36642" s="185"/>
      <c r="E36642" s="185" t="s">
        <v>470</v>
      </c>
      <c r="H36642" s="185"/>
    </row>
    <row r="36643">
      <c r="D36643" s="185"/>
      <c r="E36643" s="185" t="s">
        <v>470</v>
      </c>
      <c r="H36643" s="185"/>
    </row>
    <row r="36644">
      <c r="D36644" s="185"/>
      <c r="E36644" s="185" t="s">
        <v>470</v>
      </c>
      <c r="H36644" s="185"/>
    </row>
    <row r="36645">
      <c r="D36645" s="185"/>
      <c r="E36645" s="185" t="s">
        <v>470</v>
      </c>
      <c r="H36645" s="185"/>
    </row>
    <row r="36646">
      <c r="D36646" s="185"/>
      <c r="E36646" s="185" t="s">
        <v>470</v>
      </c>
      <c r="H36646" s="185"/>
    </row>
    <row r="36647">
      <c r="D36647" s="185"/>
      <c r="E36647" s="185" t="s">
        <v>470</v>
      </c>
      <c r="H36647" s="185"/>
    </row>
    <row r="36648">
      <c r="D36648" s="185"/>
      <c r="E36648" s="185" t="s">
        <v>470</v>
      </c>
      <c r="H36648" s="185"/>
    </row>
    <row r="36649">
      <c r="D36649" s="185"/>
      <c r="E36649" s="185" t="s">
        <v>470</v>
      </c>
      <c r="H36649" s="185"/>
    </row>
    <row r="36650">
      <c r="D36650" s="185"/>
      <c r="E36650" s="185" t="s">
        <v>470</v>
      </c>
      <c r="H36650" s="185"/>
    </row>
    <row r="36651">
      <c r="D36651" s="185"/>
      <c r="E36651" s="185" t="s">
        <v>470</v>
      </c>
      <c r="H36651" s="185"/>
    </row>
    <row r="36652">
      <c r="D36652" s="185"/>
      <c r="E36652" s="185" t="s">
        <v>470</v>
      </c>
      <c r="H36652" s="185"/>
    </row>
    <row r="36653">
      <c r="D36653" s="185"/>
      <c r="E36653" s="185" t="s">
        <v>470</v>
      </c>
      <c r="H36653" s="185"/>
    </row>
    <row r="36654">
      <c r="D36654" s="185"/>
      <c r="E36654" s="185" t="s">
        <v>470</v>
      </c>
      <c r="H36654" s="185"/>
    </row>
    <row r="36655">
      <c r="D36655" s="185"/>
      <c r="E36655" s="185" t="s">
        <v>470</v>
      </c>
      <c r="H36655" s="185"/>
    </row>
    <row r="36656">
      <c r="D36656" s="185"/>
      <c r="E36656" s="185" t="s">
        <v>470</v>
      </c>
      <c r="H36656" s="185"/>
    </row>
    <row r="36657">
      <c r="D36657" s="185"/>
      <c r="E36657" s="185" t="s">
        <v>470</v>
      </c>
      <c r="H36657" s="185"/>
    </row>
    <row r="36658">
      <c r="D36658" s="185"/>
      <c r="E36658" s="185" t="s">
        <v>470</v>
      </c>
      <c r="H36658" s="185"/>
    </row>
    <row r="36659">
      <c r="D36659" s="185"/>
      <c r="E36659" s="185" t="s">
        <v>470</v>
      </c>
      <c r="H36659" s="185"/>
    </row>
    <row r="36660">
      <c r="D36660" s="185"/>
      <c r="E36660" s="185" t="s">
        <v>470</v>
      </c>
      <c r="H36660" s="185"/>
    </row>
    <row r="36661">
      <c r="D36661" s="185"/>
      <c r="E36661" s="185" t="s">
        <v>470</v>
      </c>
      <c r="H36661" s="185"/>
    </row>
    <row r="36662">
      <c r="D36662" s="185"/>
      <c r="E36662" s="185" t="s">
        <v>470</v>
      </c>
      <c r="H36662" s="185"/>
    </row>
    <row r="36663">
      <c r="D36663" s="185"/>
      <c r="E36663" s="185" t="s">
        <v>470</v>
      </c>
      <c r="H36663" s="185"/>
    </row>
    <row r="36664">
      <c r="D36664" s="185"/>
      <c r="E36664" s="185" t="s">
        <v>470</v>
      </c>
      <c r="H36664" s="185"/>
    </row>
    <row r="36665">
      <c r="D36665" s="185"/>
      <c r="E36665" s="185" t="s">
        <v>470</v>
      </c>
      <c r="H36665" s="185"/>
    </row>
    <row r="36666">
      <c r="D36666" s="185"/>
      <c r="E36666" s="185" t="s">
        <v>470</v>
      </c>
      <c r="H36666" s="185"/>
    </row>
    <row r="36667">
      <c r="D36667" s="185"/>
      <c r="E36667" s="185" t="s">
        <v>470</v>
      </c>
      <c r="H36667" s="185"/>
    </row>
    <row r="36668">
      <c r="D36668" s="185"/>
      <c r="E36668" s="185" t="s">
        <v>470</v>
      </c>
      <c r="H36668" s="185"/>
    </row>
    <row r="36669">
      <c r="D36669" s="185"/>
      <c r="E36669" s="185" t="s">
        <v>470</v>
      </c>
      <c r="H36669" s="185"/>
    </row>
    <row r="36670">
      <c r="D36670" s="185"/>
      <c r="E36670" s="185" t="s">
        <v>470</v>
      </c>
      <c r="H36670" s="185"/>
    </row>
    <row r="36671">
      <c r="D36671" s="185"/>
      <c r="E36671" s="185" t="s">
        <v>470</v>
      </c>
      <c r="H36671" s="185"/>
    </row>
    <row r="36672">
      <c r="D36672" s="185"/>
      <c r="E36672" s="185" t="s">
        <v>470</v>
      </c>
      <c r="H36672" s="185"/>
    </row>
    <row r="36673">
      <c r="D36673" s="185"/>
      <c r="E36673" s="185" t="s">
        <v>470</v>
      </c>
      <c r="H36673" s="185"/>
    </row>
    <row r="36674">
      <c r="D36674" s="185"/>
      <c r="E36674" s="185" t="s">
        <v>470</v>
      </c>
      <c r="H36674" s="185"/>
    </row>
    <row r="36675">
      <c r="D36675" s="185"/>
      <c r="E36675" s="185" t="s">
        <v>470</v>
      </c>
      <c r="H36675" s="185"/>
    </row>
    <row r="36676">
      <c r="D36676" s="185"/>
      <c r="E36676" s="185" t="s">
        <v>470</v>
      </c>
      <c r="H36676" s="185"/>
    </row>
    <row r="36677">
      <c r="D36677" s="185"/>
      <c r="E36677" s="185" t="s">
        <v>470</v>
      </c>
      <c r="H36677" s="185"/>
    </row>
    <row r="36678">
      <c r="D36678" s="185"/>
      <c r="E36678" s="185" t="s">
        <v>470</v>
      </c>
      <c r="H36678" s="185"/>
    </row>
    <row r="36679">
      <c r="D36679" s="185"/>
      <c r="E36679" s="185" t="s">
        <v>470</v>
      </c>
      <c r="H36679" s="185"/>
    </row>
    <row r="36680">
      <c r="D36680" s="185"/>
      <c r="E36680" s="185" t="s">
        <v>470</v>
      </c>
      <c r="H36680" s="185"/>
    </row>
    <row r="36681">
      <c r="D36681" s="185"/>
      <c r="E36681" s="185" t="s">
        <v>470</v>
      </c>
      <c r="H36681" s="185"/>
    </row>
    <row r="36682">
      <c r="D36682" s="185"/>
      <c r="E36682" s="185" t="s">
        <v>470</v>
      </c>
      <c r="H36682" s="185"/>
    </row>
    <row r="36683">
      <c r="D36683" s="185"/>
      <c r="E36683" s="185" t="s">
        <v>470</v>
      </c>
      <c r="H36683" s="185"/>
    </row>
    <row r="36684">
      <c r="D36684" s="185"/>
      <c r="E36684" s="185" t="s">
        <v>470</v>
      </c>
      <c r="H36684" s="185"/>
    </row>
    <row r="36685">
      <c r="D36685" s="185"/>
      <c r="E36685" s="185" t="s">
        <v>470</v>
      </c>
      <c r="H36685" s="185"/>
    </row>
    <row r="36686">
      <c r="D36686" s="185"/>
      <c r="E36686" s="185" t="s">
        <v>470</v>
      </c>
      <c r="H36686" s="185"/>
    </row>
    <row r="36687">
      <c r="D36687" s="185"/>
      <c r="E36687" s="185" t="s">
        <v>470</v>
      </c>
      <c r="H36687" s="185"/>
    </row>
    <row r="36688">
      <c r="D36688" s="185"/>
      <c r="E36688" s="185" t="s">
        <v>470</v>
      </c>
      <c r="H36688" s="185"/>
    </row>
    <row r="36689">
      <c r="D36689" s="185"/>
      <c r="E36689" s="185" t="s">
        <v>470</v>
      </c>
      <c r="H36689" s="185"/>
    </row>
    <row r="36690">
      <c r="D36690" s="185"/>
      <c r="E36690" s="185" t="s">
        <v>470</v>
      </c>
      <c r="H36690" s="185"/>
    </row>
    <row r="36691">
      <c r="D36691" s="185"/>
      <c r="E36691" s="185" t="s">
        <v>470</v>
      </c>
      <c r="H36691" s="185"/>
    </row>
    <row r="36692">
      <c r="D36692" s="185"/>
      <c r="E36692" s="185" t="s">
        <v>470</v>
      </c>
      <c r="H36692" s="185"/>
    </row>
    <row r="36693">
      <c r="D36693" s="185"/>
      <c r="E36693" s="185" t="s">
        <v>470</v>
      </c>
      <c r="H36693" s="185"/>
    </row>
    <row r="36694">
      <c r="D36694" s="185"/>
      <c r="E36694" s="185" t="s">
        <v>470</v>
      </c>
      <c r="H36694" s="185"/>
    </row>
    <row r="36695">
      <c r="D36695" s="185"/>
      <c r="E36695" s="185" t="s">
        <v>470</v>
      </c>
      <c r="H36695" s="185"/>
    </row>
    <row r="36696">
      <c r="D36696" s="185"/>
      <c r="E36696" s="185" t="s">
        <v>470</v>
      </c>
      <c r="H36696" s="185"/>
    </row>
    <row r="36697">
      <c r="D36697" s="185"/>
      <c r="E36697" s="185" t="s">
        <v>470</v>
      </c>
      <c r="H36697" s="185"/>
    </row>
    <row r="36698">
      <c r="D36698" s="185"/>
      <c r="E36698" s="185" t="s">
        <v>470</v>
      </c>
      <c r="H36698" s="185"/>
    </row>
    <row r="36699">
      <c r="D36699" s="185"/>
      <c r="E36699" s="185" t="s">
        <v>470</v>
      </c>
      <c r="H36699" s="185"/>
    </row>
    <row r="36700">
      <c r="D36700" s="185"/>
      <c r="E36700" s="185" t="s">
        <v>470</v>
      </c>
      <c r="H36700" s="185"/>
    </row>
    <row r="36701">
      <c r="D36701" s="185"/>
      <c r="E36701" s="185" t="s">
        <v>470</v>
      </c>
      <c r="H36701" s="185"/>
    </row>
    <row r="36702">
      <c r="D36702" s="185"/>
      <c r="E36702" s="185" t="s">
        <v>470</v>
      </c>
      <c r="H36702" s="185"/>
    </row>
    <row r="36703">
      <c r="D36703" s="185"/>
      <c r="E36703" s="185" t="s">
        <v>470</v>
      </c>
      <c r="H36703" s="185"/>
    </row>
    <row r="36704">
      <c r="D36704" s="185"/>
      <c r="E36704" s="185" t="s">
        <v>470</v>
      </c>
      <c r="H36704" s="185"/>
    </row>
    <row r="36705">
      <c r="D36705" s="185"/>
      <c r="E36705" s="185" t="s">
        <v>470</v>
      </c>
      <c r="H36705" s="185"/>
    </row>
    <row r="36706">
      <c r="D36706" s="185"/>
      <c r="E36706" s="185" t="s">
        <v>470</v>
      </c>
      <c r="H36706" s="185"/>
    </row>
    <row r="36707">
      <c r="D36707" s="185"/>
      <c r="E36707" s="185" t="s">
        <v>470</v>
      </c>
      <c r="H36707" s="185"/>
    </row>
    <row r="36708">
      <c r="D36708" s="185"/>
      <c r="E36708" s="185" t="s">
        <v>470</v>
      </c>
      <c r="H36708" s="185"/>
    </row>
    <row r="36709">
      <c r="D36709" s="185"/>
      <c r="E36709" s="185" t="s">
        <v>470</v>
      </c>
      <c r="H36709" s="185"/>
    </row>
    <row r="36710">
      <c r="D36710" s="185"/>
      <c r="E36710" s="185" t="s">
        <v>470</v>
      </c>
      <c r="H36710" s="185"/>
    </row>
    <row r="36711">
      <c r="D36711" s="185"/>
      <c r="E36711" s="185" t="s">
        <v>470</v>
      </c>
      <c r="H36711" s="185"/>
    </row>
    <row r="36712">
      <c r="D36712" s="185"/>
      <c r="E36712" s="185" t="s">
        <v>470</v>
      </c>
      <c r="H36712" s="185"/>
    </row>
    <row r="36713">
      <c r="D36713" s="185"/>
      <c r="E36713" s="185" t="s">
        <v>470</v>
      </c>
      <c r="H36713" s="185"/>
    </row>
    <row r="36714">
      <c r="D36714" s="185"/>
      <c r="E36714" s="185" t="s">
        <v>470</v>
      </c>
      <c r="H36714" s="185"/>
    </row>
    <row r="36715">
      <c r="D36715" s="185"/>
      <c r="E36715" s="185" t="s">
        <v>470</v>
      </c>
      <c r="H36715" s="185"/>
    </row>
    <row r="36716">
      <c r="D36716" s="185"/>
      <c r="E36716" s="185" t="s">
        <v>470</v>
      </c>
      <c r="H36716" s="185"/>
    </row>
    <row r="36717">
      <c r="D36717" s="185"/>
      <c r="E36717" s="185" t="s">
        <v>470</v>
      </c>
      <c r="H36717" s="185"/>
    </row>
    <row r="36718">
      <c r="D36718" s="185"/>
      <c r="E36718" s="185" t="s">
        <v>470</v>
      </c>
      <c r="H36718" s="185"/>
    </row>
    <row r="36719">
      <c r="D36719" s="185"/>
      <c r="E36719" s="185" t="s">
        <v>470</v>
      </c>
      <c r="H36719" s="185"/>
    </row>
    <row r="36720">
      <c r="D36720" s="185"/>
      <c r="E36720" s="185" t="s">
        <v>470</v>
      </c>
      <c r="H36720" s="185"/>
    </row>
    <row r="36721">
      <c r="D36721" s="185"/>
      <c r="E36721" s="185" t="s">
        <v>470</v>
      </c>
      <c r="H36721" s="185"/>
    </row>
    <row r="36722">
      <c r="D36722" s="185"/>
      <c r="E36722" s="185" t="s">
        <v>470</v>
      </c>
      <c r="H36722" s="185"/>
    </row>
    <row r="36723">
      <c r="D36723" s="185"/>
      <c r="E36723" s="185" t="s">
        <v>470</v>
      </c>
      <c r="H36723" s="185"/>
    </row>
    <row r="36724">
      <c r="D36724" s="185"/>
      <c r="E36724" s="185" t="s">
        <v>470</v>
      </c>
      <c r="H36724" s="185"/>
    </row>
    <row r="36725">
      <c r="D36725" s="185"/>
      <c r="E36725" s="185" t="s">
        <v>470</v>
      </c>
      <c r="H36725" s="185"/>
    </row>
    <row r="36726">
      <c r="D36726" s="185"/>
      <c r="E36726" s="185" t="s">
        <v>470</v>
      </c>
      <c r="H36726" s="185"/>
    </row>
    <row r="36727">
      <c r="D36727" s="185"/>
      <c r="E36727" s="185" t="s">
        <v>470</v>
      </c>
      <c r="H36727" s="185"/>
    </row>
    <row r="36728">
      <c r="D36728" s="185"/>
      <c r="E36728" s="185" t="s">
        <v>470</v>
      </c>
      <c r="H36728" s="185"/>
    </row>
    <row r="36729">
      <c r="D36729" s="185"/>
      <c r="E36729" s="185" t="s">
        <v>470</v>
      </c>
      <c r="H36729" s="185"/>
    </row>
    <row r="36730">
      <c r="D36730" s="185"/>
      <c r="E36730" s="185" t="s">
        <v>470</v>
      </c>
      <c r="H36730" s="185"/>
    </row>
    <row r="36731">
      <c r="D36731" s="185"/>
      <c r="E36731" s="185" t="s">
        <v>470</v>
      </c>
      <c r="H36731" s="185"/>
    </row>
    <row r="36732">
      <c r="D36732" s="185"/>
      <c r="E36732" s="185" t="s">
        <v>470</v>
      </c>
      <c r="H36732" s="185"/>
    </row>
    <row r="36733">
      <c r="D36733" s="185"/>
      <c r="E36733" s="185" t="s">
        <v>470</v>
      </c>
      <c r="H36733" s="185"/>
    </row>
    <row r="36734">
      <c r="D36734" s="185"/>
      <c r="E36734" s="185" t="s">
        <v>470</v>
      </c>
      <c r="H36734" s="185"/>
    </row>
    <row r="36735">
      <c r="D36735" s="185"/>
      <c r="E36735" s="185" t="s">
        <v>470</v>
      </c>
      <c r="H36735" s="185"/>
    </row>
    <row r="36736">
      <c r="D36736" s="185"/>
      <c r="E36736" s="185" t="s">
        <v>470</v>
      </c>
      <c r="H36736" s="185"/>
    </row>
    <row r="36737">
      <c r="D36737" s="185"/>
      <c r="E36737" s="185" t="s">
        <v>470</v>
      </c>
      <c r="H36737" s="185"/>
    </row>
    <row r="36738">
      <c r="D36738" s="185"/>
      <c r="E36738" s="185" t="s">
        <v>470</v>
      </c>
      <c r="H36738" s="185"/>
    </row>
    <row r="36739">
      <c r="D36739" s="185"/>
      <c r="E36739" s="185" t="s">
        <v>470</v>
      </c>
      <c r="H36739" s="185"/>
    </row>
    <row r="36740">
      <c r="D36740" s="185"/>
      <c r="E36740" s="185" t="s">
        <v>470</v>
      </c>
      <c r="H36740" s="185"/>
    </row>
    <row r="36741">
      <c r="D36741" s="185"/>
      <c r="E36741" s="185" t="s">
        <v>470</v>
      </c>
      <c r="H36741" s="185"/>
    </row>
    <row r="36742">
      <c r="D36742" s="185"/>
      <c r="E36742" s="185" t="s">
        <v>470</v>
      </c>
      <c r="H36742" s="185"/>
    </row>
    <row r="36743">
      <c r="D36743" s="185"/>
      <c r="E36743" s="185" t="s">
        <v>470</v>
      </c>
      <c r="H36743" s="185"/>
    </row>
    <row r="36744">
      <c r="D36744" s="185"/>
      <c r="E36744" s="185" t="s">
        <v>470</v>
      </c>
      <c r="H36744" s="185"/>
    </row>
    <row r="36745">
      <c r="D36745" s="185"/>
      <c r="E36745" s="185" t="s">
        <v>470</v>
      </c>
      <c r="H36745" s="185"/>
    </row>
    <row r="36746">
      <c r="D36746" s="185"/>
      <c r="E36746" s="185" t="s">
        <v>470</v>
      </c>
      <c r="H36746" s="185"/>
    </row>
    <row r="36747">
      <c r="D36747" s="185"/>
      <c r="E36747" s="185" t="s">
        <v>470</v>
      </c>
      <c r="H36747" s="185"/>
    </row>
    <row r="36748">
      <c r="D36748" s="185"/>
      <c r="E36748" s="185" t="s">
        <v>470</v>
      </c>
      <c r="H36748" s="185"/>
    </row>
    <row r="36749">
      <c r="D36749" s="185"/>
      <c r="E36749" s="185" t="s">
        <v>470</v>
      </c>
      <c r="H36749" s="185"/>
    </row>
    <row r="36750">
      <c r="D36750" s="185"/>
      <c r="E36750" s="185" t="s">
        <v>470</v>
      </c>
      <c r="H36750" s="185"/>
    </row>
    <row r="36751">
      <c r="D36751" s="185"/>
      <c r="E36751" s="185" t="s">
        <v>470</v>
      </c>
      <c r="H36751" s="185"/>
    </row>
    <row r="36752">
      <c r="D36752" s="185"/>
      <c r="E36752" s="185" t="s">
        <v>470</v>
      </c>
      <c r="H36752" s="185"/>
    </row>
    <row r="36753">
      <c r="D36753" s="185"/>
      <c r="E36753" s="185" t="s">
        <v>470</v>
      </c>
      <c r="H36753" s="185"/>
    </row>
    <row r="36754">
      <c r="D36754" s="185"/>
      <c r="E36754" s="185" t="s">
        <v>470</v>
      </c>
      <c r="H36754" s="185"/>
    </row>
    <row r="36755">
      <c r="D36755" s="185"/>
      <c r="E36755" s="185" t="s">
        <v>470</v>
      </c>
      <c r="H36755" s="185"/>
    </row>
    <row r="36756">
      <c r="D36756" s="185"/>
      <c r="E36756" s="185" t="s">
        <v>470</v>
      </c>
      <c r="H36756" s="185"/>
    </row>
    <row r="36757">
      <c r="D36757" s="185"/>
      <c r="E36757" s="185" t="s">
        <v>470</v>
      </c>
      <c r="H36757" s="185"/>
    </row>
    <row r="36758">
      <c r="D36758" s="185"/>
      <c r="E36758" s="185" t="s">
        <v>470</v>
      </c>
      <c r="H36758" s="185"/>
    </row>
    <row r="36759">
      <c r="D36759" s="185"/>
      <c r="E36759" s="185" t="s">
        <v>470</v>
      </c>
      <c r="H36759" s="185"/>
    </row>
    <row r="36760">
      <c r="D36760" s="185"/>
      <c r="E36760" s="185" t="s">
        <v>470</v>
      </c>
      <c r="H36760" s="185"/>
    </row>
    <row r="36761">
      <c r="D36761" s="185"/>
      <c r="E36761" s="185" t="s">
        <v>470</v>
      </c>
      <c r="H36761" s="185"/>
    </row>
    <row r="36762">
      <c r="D36762" s="185"/>
      <c r="E36762" s="185" t="s">
        <v>470</v>
      </c>
      <c r="H36762" s="185"/>
    </row>
    <row r="36763">
      <c r="D36763" s="185"/>
      <c r="E36763" s="185" t="s">
        <v>470</v>
      </c>
      <c r="H36763" s="185"/>
    </row>
    <row r="36764">
      <c r="D36764" s="185"/>
      <c r="E36764" s="185" t="s">
        <v>470</v>
      </c>
      <c r="H36764" s="185"/>
    </row>
    <row r="36765">
      <c r="D36765" s="185"/>
      <c r="E36765" s="185" t="s">
        <v>470</v>
      </c>
      <c r="H36765" s="185"/>
    </row>
    <row r="36766">
      <c r="D36766" s="185"/>
      <c r="E36766" s="185" t="s">
        <v>470</v>
      </c>
      <c r="H36766" s="185"/>
    </row>
    <row r="36767">
      <c r="D36767" s="185"/>
      <c r="E36767" s="185" t="s">
        <v>470</v>
      </c>
      <c r="H36767" s="185"/>
    </row>
    <row r="36768">
      <c r="D36768" s="185"/>
      <c r="E36768" s="185" t="s">
        <v>470</v>
      </c>
      <c r="H36768" s="185"/>
    </row>
    <row r="36769">
      <c r="D36769" s="185"/>
      <c r="E36769" s="185" t="s">
        <v>470</v>
      </c>
      <c r="H36769" s="185"/>
    </row>
    <row r="36770">
      <c r="D36770" s="185"/>
      <c r="E36770" s="185" t="s">
        <v>470</v>
      </c>
      <c r="H36770" s="185"/>
    </row>
    <row r="36771">
      <c r="D36771" s="185"/>
      <c r="E36771" s="185" t="s">
        <v>470</v>
      </c>
      <c r="H36771" s="185"/>
    </row>
    <row r="36772">
      <c r="D36772" s="185"/>
      <c r="E36772" s="185" t="s">
        <v>470</v>
      </c>
      <c r="H36772" s="185"/>
    </row>
    <row r="36773">
      <c r="D36773" s="185"/>
      <c r="E36773" s="185" t="s">
        <v>470</v>
      </c>
      <c r="H36773" s="185"/>
    </row>
    <row r="36774">
      <c r="D36774" s="185"/>
      <c r="E36774" s="185" t="s">
        <v>470</v>
      </c>
      <c r="H36774" s="185"/>
    </row>
    <row r="36775">
      <c r="D36775" s="185"/>
      <c r="E36775" s="185" t="s">
        <v>470</v>
      </c>
      <c r="H36775" s="185"/>
    </row>
    <row r="36776">
      <c r="D36776" s="185"/>
      <c r="E36776" s="185" t="s">
        <v>470</v>
      </c>
      <c r="H36776" s="185"/>
    </row>
    <row r="36777">
      <c r="D36777" s="185"/>
      <c r="E36777" s="185" t="s">
        <v>470</v>
      </c>
      <c r="H36777" s="185"/>
    </row>
    <row r="36778">
      <c r="D36778" s="185"/>
      <c r="E36778" s="185" t="s">
        <v>470</v>
      </c>
      <c r="H36778" s="185"/>
    </row>
    <row r="36779">
      <c r="D36779" s="185"/>
      <c r="E36779" s="185" t="s">
        <v>470</v>
      </c>
      <c r="H36779" s="185"/>
    </row>
    <row r="36780">
      <c r="D36780" s="185"/>
      <c r="E36780" s="185" t="s">
        <v>470</v>
      </c>
      <c r="H36780" s="185"/>
    </row>
    <row r="36781">
      <c r="D36781" s="185"/>
      <c r="E36781" s="185" t="s">
        <v>470</v>
      </c>
      <c r="H36781" s="185"/>
    </row>
    <row r="36782">
      <c r="D36782" s="185"/>
      <c r="E36782" s="185" t="s">
        <v>470</v>
      </c>
      <c r="H36782" s="185"/>
    </row>
    <row r="36783">
      <c r="D36783" s="185"/>
      <c r="E36783" s="185" t="s">
        <v>470</v>
      </c>
      <c r="H36783" s="185"/>
    </row>
    <row r="36784">
      <c r="D36784" s="185"/>
      <c r="E36784" s="185" t="s">
        <v>470</v>
      </c>
      <c r="H36784" s="185"/>
    </row>
    <row r="36785">
      <c r="D36785" s="185"/>
      <c r="E36785" s="185" t="s">
        <v>470</v>
      </c>
      <c r="H36785" s="185"/>
    </row>
    <row r="36786">
      <c r="D36786" s="185"/>
      <c r="E36786" s="185" t="s">
        <v>470</v>
      </c>
      <c r="H36786" s="185"/>
    </row>
    <row r="36787">
      <c r="D36787" s="185"/>
      <c r="E36787" s="185" t="s">
        <v>470</v>
      </c>
      <c r="H36787" s="185"/>
    </row>
    <row r="36788">
      <c r="D36788" s="185"/>
      <c r="E36788" s="185" t="s">
        <v>470</v>
      </c>
      <c r="H36788" s="185"/>
    </row>
    <row r="36789">
      <c r="D36789" s="185"/>
      <c r="E36789" s="185" t="s">
        <v>470</v>
      </c>
      <c r="H36789" s="185"/>
    </row>
    <row r="36790">
      <c r="D36790" s="185"/>
      <c r="E36790" s="185" t="s">
        <v>470</v>
      </c>
      <c r="H36790" s="185"/>
    </row>
    <row r="36791">
      <c r="D36791" s="185"/>
      <c r="E36791" s="185" t="s">
        <v>470</v>
      </c>
      <c r="H36791" s="185"/>
    </row>
    <row r="36792">
      <c r="D36792" s="185"/>
      <c r="E36792" s="185" t="s">
        <v>470</v>
      </c>
      <c r="H36792" s="185"/>
    </row>
    <row r="36793">
      <c r="D36793" s="185"/>
      <c r="E36793" s="185" t="s">
        <v>470</v>
      </c>
      <c r="H36793" s="185"/>
    </row>
    <row r="36794">
      <c r="D36794" s="185"/>
      <c r="E36794" s="185" t="s">
        <v>470</v>
      </c>
      <c r="H36794" s="185"/>
    </row>
    <row r="36795">
      <c r="D36795" s="185"/>
      <c r="E36795" s="185" t="s">
        <v>470</v>
      </c>
      <c r="H36795" s="185"/>
    </row>
    <row r="36796">
      <c r="D36796" s="185"/>
      <c r="E36796" s="185" t="s">
        <v>470</v>
      </c>
      <c r="H36796" s="185"/>
    </row>
    <row r="36797">
      <c r="D36797" s="185"/>
      <c r="E36797" s="185" t="s">
        <v>470</v>
      </c>
      <c r="H36797" s="185"/>
    </row>
    <row r="36798">
      <c r="D36798" s="185"/>
      <c r="E36798" s="185" t="s">
        <v>470</v>
      </c>
      <c r="H36798" s="185"/>
    </row>
    <row r="36799">
      <c r="D36799" s="185"/>
      <c r="E36799" s="185" t="s">
        <v>470</v>
      </c>
      <c r="H36799" s="185"/>
    </row>
    <row r="36800">
      <c r="D36800" s="185"/>
      <c r="E36800" s="185" t="s">
        <v>470</v>
      </c>
      <c r="H36800" s="185"/>
    </row>
    <row r="36801">
      <c r="D36801" s="185"/>
      <c r="E36801" s="185" t="s">
        <v>470</v>
      </c>
      <c r="H36801" s="185"/>
    </row>
    <row r="36802">
      <c r="D36802" s="185"/>
      <c r="E36802" s="185" t="s">
        <v>470</v>
      </c>
      <c r="H36802" s="185"/>
    </row>
    <row r="36803">
      <c r="D36803" s="185"/>
      <c r="E36803" s="185" t="s">
        <v>470</v>
      </c>
      <c r="H36803" s="185"/>
    </row>
    <row r="36804">
      <c r="D36804" s="185"/>
      <c r="E36804" s="185" t="s">
        <v>470</v>
      </c>
      <c r="H36804" s="185"/>
    </row>
    <row r="36805">
      <c r="D36805" s="185"/>
      <c r="E36805" s="185" t="s">
        <v>470</v>
      </c>
      <c r="H36805" s="185"/>
    </row>
    <row r="36806">
      <c r="D36806" s="185"/>
      <c r="E36806" s="185" t="s">
        <v>470</v>
      </c>
      <c r="H36806" s="185"/>
    </row>
    <row r="36807">
      <c r="D36807" s="185"/>
      <c r="E36807" s="185" t="s">
        <v>470</v>
      </c>
      <c r="H36807" s="185"/>
    </row>
    <row r="36808">
      <c r="D36808" s="185"/>
      <c r="E36808" s="185" t="s">
        <v>470</v>
      </c>
      <c r="H36808" s="185"/>
    </row>
    <row r="36809">
      <c r="D36809" s="185"/>
      <c r="E36809" s="185" t="s">
        <v>470</v>
      </c>
      <c r="H36809" s="185"/>
    </row>
    <row r="36810">
      <c r="D36810" s="185"/>
      <c r="E36810" s="185" t="s">
        <v>470</v>
      </c>
      <c r="H36810" s="185"/>
    </row>
    <row r="36811">
      <c r="D36811" s="185"/>
      <c r="E36811" s="185" t="s">
        <v>470</v>
      </c>
      <c r="H36811" s="185"/>
    </row>
    <row r="36812">
      <c r="D36812" s="185"/>
      <c r="E36812" s="185" t="s">
        <v>470</v>
      </c>
      <c r="H36812" s="185"/>
    </row>
    <row r="36813">
      <c r="D36813" s="185"/>
      <c r="E36813" s="185" t="s">
        <v>470</v>
      </c>
      <c r="H36813" s="185"/>
    </row>
    <row r="36814">
      <c r="D36814" s="185"/>
      <c r="E36814" s="185" t="s">
        <v>470</v>
      </c>
      <c r="H36814" s="185"/>
    </row>
    <row r="36815">
      <c r="D36815" s="185"/>
      <c r="E36815" s="185" t="s">
        <v>470</v>
      </c>
      <c r="H36815" s="185"/>
    </row>
    <row r="36816">
      <c r="D36816" s="185"/>
      <c r="E36816" s="185" t="s">
        <v>470</v>
      </c>
      <c r="H36816" s="185"/>
    </row>
    <row r="36817">
      <c r="D36817" s="185"/>
      <c r="E36817" s="185" t="s">
        <v>470</v>
      </c>
      <c r="H36817" s="185"/>
    </row>
    <row r="36818">
      <c r="D36818" s="185"/>
      <c r="E36818" s="185" t="s">
        <v>470</v>
      </c>
      <c r="H36818" s="185"/>
    </row>
    <row r="36819">
      <c r="D36819" s="185"/>
      <c r="E36819" s="185" t="s">
        <v>470</v>
      </c>
      <c r="H36819" s="185"/>
    </row>
    <row r="36820">
      <c r="D36820" s="185"/>
      <c r="E36820" s="185" t="s">
        <v>470</v>
      </c>
      <c r="H36820" s="185"/>
    </row>
    <row r="36821">
      <c r="D36821" s="185"/>
      <c r="E36821" s="185" t="s">
        <v>470</v>
      </c>
      <c r="H36821" s="185"/>
    </row>
    <row r="36822">
      <c r="D36822" s="185"/>
      <c r="E36822" s="185" t="s">
        <v>470</v>
      </c>
      <c r="H36822" s="185"/>
    </row>
    <row r="36823">
      <c r="D36823" s="185"/>
      <c r="E36823" s="185" t="s">
        <v>470</v>
      </c>
      <c r="H36823" s="185"/>
    </row>
    <row r="36824">
      <c r="D36824" s="185"/>
      <c r="E36824" s="185" t="s">
        <v>470</v>
      </c>
      <c r="H36824" s="185"/>
    </row>
    <row r="36825">
      <c r="D36825" s="185"/>
      <c r="E36825" s="185" t="s">
        <v>470</v>
      </c>
      <c r="H36825" s="185"/>
    </row>
    <row r="36826">
      <c r="D36826" s="185"/>
      <c r="E36826" s="185" t="s">
        <v>470</v>
      </c>
      <c r="H36826" s="185"/>
    </row>
    <row r="36827">
      <c r="D36827" s="185"/>
      <c r="E36827" s="185" t="s">
        <v>470</v>
      </c>
      <c r="H36827" s="185"/>
    </row>
    <row r="36828">
      <c r="D36828" s="185"/>
      <c r="E36828" s="185" t="s">
        <v>470</v>
      </c>
      <c r="H36828" s="185"/>
    </row>
    <row r="36829">
      <c r="D36829" s="185"/>
      <c r="E36829" s="185" t="s">
        <v>470</v>
      </c>
      <c r="H36829" s="185"/>
    </row>
    <row r="36830">
      <c r="D36830" s="185"/>
      <c r="E36830" s="185" t="s">
        <v>470</v>
      </c>
      <c r="H36830" s="185"/>
    </row>
    <row r="36831">
      <c r="D36831" s="185"/>
      <c r="E36831" s="185" t="s">
        <v>470</v>
      </c>
      <c r="H36831" s="185"/>
    </row>
    <row r="36832">
      <c r="D36832" s="185"/>
      <c r="E36832" s="185" t="s">
        <v>470</v>
      </c>
      <c r="H36832" s="185"/>
    </row>
    <row r="36833">
      <c r="D36833" s="185"/>
      <c r="E36833" s="185" t="s">
        <v>470</v>
      </c>
      <c r="H36833" s="185"/>
    </row>
    <row r="36834">
      <c r="D36834" s="185"/>
      <c r="E36834" s="185" t="s">
        <v>470</v>
      </c>
      <c r="H36834" s="185"/>
    </row>
    <row r="36835">
      <c r="D36835" s="185"/>
      <c r="E36835" s="185" t="s">
        <v>470</v>
      </c>
      <c r="H36835" s="185"/>
    </row>
    <row r="36836">
      <c r="D36836" s="185"/>
      <c r="E36836" s="185" t="s">
        <v>470</v>
      </c>
      <c r="H36836" s="185"/>
    </row>
    <row r="36837">
      <c r="D36837" s="185"/>
      <c r="E36837" s="185" t="s">
        <v>470</v>
      </c>
      <c r="H36837" s="185"/>
    </row>
    <row r="36838">
      <c r="D36838" s="185"/>
      <c r="E36838" s="185" t="s">
        <v>470</v>
      </c>
      <c r="H36838" s="185"/>
    </row>
    <row r="36839">
      <c r="D36839" s="185"/>
      <c r="E36839" s="185" t="s">
        <v>470</v>
      </c>
      <c r="H36839" s="185"/>
    </row>
    <row r="36840">
      <c r="D36840" s="185"/>
      <c r="E36840" s="185" t="s">
        <v>470</v>
      </c>
      <c r="H36840" s="185"/>
    </row>
    <row r="36841">
      <c r="D36841" s="185"/>
      <c r="E36841" s="185" t="s">
        <v>470</v>
      </c>
      <c r="H36841" s="185"/>
    </row>
    <row r="36842">
      <c r="D36842" s="185"/>
      <c r="E36842" s="185" t="s">
        <v>470</v>
      </c>
      <c r="H36842" s="185"/>
    </row>
    <row r="36843">
      <c r="D36843" s="185"/>
      <c r="E36843" s="185" t="s">
        <v>470</v>
      </c>
      <c r="H36843" s="185"/>
    </row>
    <row r="36844">
      <c r="D36844" s="185"/>
      <c r="E36844" s="185" t="s">
        <v>470</v>
      </c>
      <c r="H36844" s="185"/>
    </row>
    <row r="36845">
      <c r="D36845" s="185"/>
      <c r="E36845" s="185" t="s">
        <v>470</v>
      </c>
      <c r="H36845" s="185"/>
    </row>
    <row r="36846">
      <c r="D36846" s="185"/>
      <c r="E36846" s="185" t="s">
        <v>470</v>
      </c>
      <c r="H36846" s="185"/>
    </row>
    <row r="36847">
      <c r="D36847" s="185"/>
      <c r="E36847" s="185" t="s">
        <v>470</v>
      </c>
      <c r="H36847" s="185"/>
    </row>
    <row r="36848">
      <c r="D36848" s="185"/>
      <c r="E36848" s="185" t="s">
        <v>470</v>
      </c>
      <c r="H36848" s="185"/>
    </row>
    <row r="36849">
      <c r="D36849" s="185"/>
      <c r="E36849" s="185" t="s">
        <v>470</v>
      </c>
      <c r="H36849" s="185"/>
    </row>
    <row r="36850">
      <c r="D36850" s="185"/>
      <c r="E36850" s="185" t="s">
        <v>470</v>
      </c>
      <c r="H36850" s="185"/>
    </row>
    <row r="36851">
      <c r="D36851" s="185"/>
      <c r="E36851" s="185" t="s">
        <v>470</v>
      </c>
      <c r="H36851" s="185"/>
    </row>
    <row r="36852">
      <c r="D36852" s="185"/>
      <c r="E36852" s="185" t="s">
        <v>470</v>
      </c>
      <c r="H36852" s="185"/>
    </row>
    <row r="36853">
      <c r="D36853" s="185"/>
      <c r="E36853" s="185" t="s">
        <v>470</v>
      </c>
      <c r="H36853" s="185"/>
    </row>
    <row r="36854">
      <c r="D36854" s="185"/>
      <c r="E36854" s="185" t="s">
        <v>470</v>
      </c>
      <c r="H36854" s="185"/>
    </row>
    <row r="36855">
      <c r="D36855" s="185"/>
      <c r="E36855" s="185" t="s">
        <v>470</v>
      </c>
      <c r="H36855" s="185"/>
    </row>
    <row r="36856">
      <c r="D36856" s="185"/>
      <c r="E36856" s="185" t="s">
        <v>470</v>
      </c>
      <c r="H36856" s="185"/>
    </row>
    <row r="36857">
      <c r="D36857" s="185"/>
      <c r="E36857" s="185" t="s">
        <v>470</v>
      </c>
      <c r="H36857" s="185"/>
    </row>
    <row r="36858">
      <c r="D36858" s="185"/>
      <c r="E36858" s="185" t="s">
        <v>470</v>
      </c>
      <c r="H36858" s="185"/>
    </row>
    <row r="36859">
      <c r="D36859" s="185"/>
      <c r="E36859" s="185" t="s">
        <v>470</v>
      </c>
      <c r="H36859" s="185"/>
    </row>
    <row r="36860">
      <c r="D36860" s="185"/>
      <c r="E36860" s="185" t="s">
        <v>470</v>
      </c>
      <c r="H36860" s="185"/>
    </row>
    <row r="36861">
      <c r="D36861" s="185"/>
      <c r="E36861" s="185" t="s">
        <v>470</v>
      </c>
      <c r="H36861" s="185"/>
    </row>
    <row r="36862">
      <c r="D36862" s="185"/>
      <c r="E36862" s="185" t="s">
        <v>470</v>
      </c>
      <c r="H36862" s="185"/>
    </row>
    <row r="36863">
      <c r="D36863" s="185"/>
      <c r="E36863" s="185" t="s">
        <v>470</v>
      </c>
      <c r="H36863" s="185"/>
    </row>
    <row r="36864">
      <c r="D36864" s="185"/>
      <c r="E36864" s="185" t="s">
        <v>470</v>
      </c>
      <c r="H36864" s="185"/>
    </row>
    <row r="36865">
      <c r="D36865" s="185"/>
      <c r="E36865" s="185" t="s">
        <v>470</v>
      </c>
      <c r="H36865" s="185"/>
    </row>
    <row r="36866">
      <c r="D36866" s="185"/>
      <c r="E36866" s="185" t="s">
        <v>470</v>
      </c>
      <c r="H36866" s="185"/>
    </row>
    <row r="36867">
      <c r="D36867" s="185"/>
      <c r="E36867" s="185" t="s">
        <v>470</v>
      </c>
      <c r="H36867" s="185"/>
    </row>
    <row r="36868">
      <c r="D36868" s="185"/>
      <c r="E36868" s="185" t="s">
        <v>470</v>
      </c>
      <c r="H36868" s="185"/>
    </row>
    <row r="36869">
      <c r="D36869" s="185"/>
      <c r="E36869" s="185" t="s">
        <v>470</v>
      </c>
      <c r="H36869" s="185"/>
    </row>
    <row r="36870">
      <c r="D36870" s="185"/>
      <c r="E36870" s="185" t="s">
        <v>470</v>
      </c>
      <c r="H36870" s="185"/>
    </row>
    <row r="36871">
      <c r="D36871" s="185"/>
      <c r="E36871" s="185" t="s">
        <v>470</v>
      </c>
      <c r="H36871" s="185"/>
    </row>
    <row r="36872">
      <c r="D36872" s="185"/>
      <c r="E36872" s="185" t="s">
        <v>470</v>
      </c>
      <c r="H36872" s="185"/>
    </row>
    <row r="36873">
      <c r="D36873" s="185"/>
      <c r="E36873" s="185" t="s">
        <v>470</v>
      </c>
      <c r="H36873" s="185"/>
    </row>
    <row r="36874">
      <c r="D36874" s="185"/>
      <c r="E36874" s="185" t="s">
        <v>470</v>
      </c>
      <c r="H36874" s="185"/>
    </row>
    <row r="36875">
      <c r="D36875" s="185"/>
      <c r="E36875" s="185" t="s">
        <v>470</v>
      </c>
      <c r="H36875" s="185"/>
    </row>
    <row r="36876">
      <c r="D36876" s="185"/>
      <c r="E36876" s="185" t="s">
        <v>470</v>
      </c>
      <c r="H36876" s="185"/>
    </row>
    <row r="36877">
      <c r="D36877" s="185"/>
      <c r="E36877" s="185" t="s">
        <v>470</v>
      </c>
      <c r="H36877" s="185"/>
    </row>
    <row r="36878">
      <c r="D36878" s="185"/>
      <c r="E36878" s="185" t="s">
        <v>470</v>
      </c>
      <c r="H36878" s="185"/>
    </row>
    <row r="36879">
      <c r="D36879" s="185"/>
      <c r="E36879" s="185" t="s">
        <v>470</v>
      </c>
      <c r="H36879" s="185"/>
    </row>
    <row r="36880">
      <c r="D36880" s="185"/>
      <c r="E36880" s="185" t="s">
        <v>470</v>
      </c>
      <c r="H36880" s="185"/>
    </row>
    <row r="36881">
      <c r="D36881" s="185"/>
      <c r="E36881" s="185" t="s">
        <v>470</v>
      </c>
      <c r="H36881" s="185"/>
    </row>
    <row r="36882">
      <c r="D36882" s="185"/>
      <c r="E36882" s="185" t="s">
        <v>470</v>
      </c>
      <c r="H36882" s="185"/>
    </row>
    <row r="36883">
      <c r="D36883" s="185"/>
      <c r="E36883" s="185" t="s">
        <v>470</v>
      </c>
      <c r="H36883" s="185"/>
    </row>
    <row r="36884">
      <c r="D36884" s="185"/>
      <c r="E36884" s="185" t="s">
        <v>470</v>
      </c>
      <c r="H36884" s="185"/>
    </row>
    <row r="36885">
      <c r="D36885" s="185"/>
      <c r="E36885" s="185" t="s">
        <v>470</v>
      </c>
      <c r="H36885" s="185"/>
    </row>
    <row r="36886">
      <c r="D36886" s="185"/>
      <c r="E36886" s="185" t="s">
        <v>470</v>
      </c>
      <c r="H36886" s="185"/>
    </row>
    <row r="36887">
      <c r="D36887" s="185"/>
      <c r="E36887" s="185" t="s">
        <v>470</v>
      </c>
      <c r="H36887" s="185"/>
    </row>
    <row r="36888">
      <c r="D36888" s="185"/>
      <c r="E36888" s="185" t="s">
        <v>470</v>
      </c>
      <c r="H36888" s="185"/>
    </row>
    <row r="36889">
      <c r="D36889" s="185"/>
      <c r="E36889" s="185" t="s">
        <v>470</v>
      </c>
      <c r="H36889" s="185"/>
    </row>
    <row r="36890">
      <c r="D36890" s="185"/>
      <c r="E36890" s="185" t="s">
        <v>470</v>
      </c>
      <c r="H36890" s="185"/>
    </row>
    <row r="36891">
      <c r="D36891" s="185"/>
      <c r="E36891" s="185" t="s">
        <v>470</v>
      </c>
      <c r="H36891" s="185"/>
    </row>
    <row r="36892">
      <c r="D36892" s="185"/>
      <c r="E36892" s="185" t="s">
        <v>470</v>
      </c>
      <c r="H36892" s="185"/>
    </row>
    <row r="36893">
      <c r="D36893" s="185"/>
      <c r="E36893" s="185" t="s">
        <v>470</v>
      </c>
      <c r="H36893" s="185"/>
    </row>
    <row r="36894">
      <c r="D36894" s="185"/>
      <c r="E36894" s="185" t="s">
        <v>470</v>
      </c>
      <c r="H36894" s="185"/>
    </row>
    <row r="36895">
      <c r="D36895" s="185"/>
      <c r="E36895" s="185" t="s">
        <v>470</v>
      </c>
      <c r="H36895" s="185"/>
    </row>
    <row r="36896">
      <c r="D36896" s="185"/>
      <c r="E36896" s="185" t="s">
        <v>470</v>
      </c>
      <c r="H36896" s="185"/>
    </row>
    <row r="36897">
      <c r="D36897" s="185"/>
      <c r="E36897" s="185" t="s">
        <v>470</v>
      </c>
      <c r="H36897" s="185"/>
    </row>
    <row r="36898">
      <c r="D36898" s="185"/>
      <c r="E36898" s="185" t="s">
        <v>470</v>
      </c>
      <c r="H36898" s="185"/>
    </row>
    <row r="36899">
      <c r="D36899" s="185"/>
      <c r="E36899" s="185" t="s">
        <v>470</v>
      </c>
      <c r="H36899" s="185"/>
    </row>
    <row r="36900">
      <c r="D36900" s="185"/>
      <c r="E36900" s="185" t="s">
        <v>470</v>
      </c>
      <c r="H36900" s="185"/>
    </row>
    <row r="36901">
      <c r="D36901" s="185"/>
      <c r="E36901" s="185" t="s">
        <v>470</v>
      </c>
      <c r="H36901" s="185"/>
    </row>
    <row r="36902">
      <c r="D36902" s="185"/>
      <c r="E36902" s="185" t="s">
        <v>470</v>
      </c>
      <c r="H36902" s="185"/>
    </row>
    <row r="36903">
      <c r="D36903" s="185"/>
      <c r="E36903" s="185" t="s">
        <v>470</v>
      </c>
      <c r="H36903" s="185"/>
    </row>
    <row r="36904">
      <c r="D36904" s="185"/>
      <c r="E36904" s="185" t="s">
        <v>470</v>
      </c>
      <c r="H36904" s="185"/>
    </row>
    <row r="36905">
      <c r="D36905" s="185"/>
      <c r="E36905" s="185" t="s">
        <v>470</v>
      </c>
      <c r="H36905" s="185"/>
    </row>
    <row r="36906">
      <c r="D36906" s="185"/>
      <c r="E36906" s="185" t="s">
        <v>470</v>
      </c>
      <c r="H36906" s="185"/>
    </row>
    <row r="36907">
      <c r="D36907" s="185"/>
      <c r="E36907" s="185" t="s">
        <v>470</v>
      </c>
      <c r="H36907" s="185"/>
    </row>
    <row r="36908">
      <c r="D36908" s="185"/>
      <c r="E36908" s="185" t="s">
        <v>470</v>
      </c>
      <c r="H36908" s="185"/>
    </row>
    <row r="36909">
      <c r="D36909" s="185"/>
      <c r="E36909" s="185" t="s">
        <v>470</v>
      </c>
      <c r="H36909" s="185"/>
    </row>
    <row r="36910">
      <c r="D36910" s="185"/>
      <c r="E36910" s="185" t="s">
        <v>470</v>
      </c>
      <c r="H36910" s="185"/>
    </row>
    <row r="36911">
      <c r="D36911" s="185"/>
      <c r="E36911" s="185" t="s">
        <v>470</v>
      </c>
      <c r="H36911" s="185"/>
    </row>
    <row r="36912">
      <c r="D36912" s="185"/>
      <c r="E36912" s="185" t="s">
        <v>470</v>
      </c>
      <c r="H36912" s="185"/>
    </row>
    <row r="36913">
      <c r="D36913" s="185"/>
      <c r="E36913" s="185" t="s">
        <v>470</v>
      </c>
      <c r="H36913" s="185"/>
    </row>
    <row r="36914">
      <c r="D36914" s="185"/>
      <c r="E36914" s="185" t="s">
        <v>470</v>
      </c>
      <c r="H36914" s="185"/>
    </row>
    <row r="36915">
      <c r="D36915" s="185"/>
      <c r="E36915" s="185" t="s">
        <v>470</v>
      </c>
      <c r="H36915" s="185"/>
    </row>
    <row r="36916">
      <c r="D36916" s="185"/>
      <c r="E36916" s="185" t="s">
        <v>470</v>
      </c>
      <c r="H36916" s="185"/>
    </row>
    <row r="36917">
      <c r="D36917" s="185"/>
      <c r="E36917" s="185" t="s">
        <v>470</v>
      </c>
      <c r="H36917" s="185"/>
    </row>
    <row r="36918">
      <c r="D36918" s="185"/>
      <c r="E36918" s="185" t="s">
        <v>470</v>
      </c>
      <c r="H36918" s="185"/>
    </row>
    <row r="36919">
      <c r="D36919" s="185"/>
      <c r="E36919" s="185" t="s">
        <v>470</v>
      </c>
      <c r="H36919" s="185"/>
    </row>
    <row r="36920">
      <c r="D36920" s="185"/>
      <c r="E36920" s="185" t="s">
        <v>470</v>
      </c>
      <c r="H36920" s="185"/>
    </row>
    <row r="36921">
      <c r="D36921" s="185"/>
      <c r="E36921" s="185" t="s">
        <v>470</v>
      </c>
      <c r="H36921" s="185"/>
    </row>
    <row r="36922">
      <c r="D36922" s="185"/>
      <c r="E36922" s="185" t="s">
        <v>470</v>
      </c>
      <c r="H36922" s="185"/>
    </row>
    <row r="36923">
      <c r="D36923" s="185"/>
      <c r="E36923" s="185" t="s">
        <v>470</v>
      </c>
      <c r="H36923" s="185"/>
    </row>
    <row r="36924">
      <c r="D36924" s="185"/>
      <c r="E36924" s="185" t="s">
        <v>470</v>
      </c>
      <c r="H36924" s="185"/>
    </row>
    <row r="36925">
      <c r="D36925" s="185"/>
      <c r="E36925" s="185" t="s">
        <v>470</v>
      </c>
      <c r="H36925" s="185"/>
    </row>
    <row r="36926">
      <c r="D36926" s="185"/>
      <c r="E36926" s="185" t="s">
        <v>470</v>
      </c>
      <c r="H36926" s="185"/>
    </row>
    <row r="36927">
      <c r="D36927" s="185"/>
      <c r="E36927" s="185" t="s">
        <v>470</v>
      </c>
      <c r="H36927" s="185"/>
    </row>
    <row r="36928">
      <c r="D36928" s="185"/>
      <c r="E36928" s="185" t="s">
        <v>470</v>
      </c>
      <c r="H36928" s="185"/>
    </row>
    <row r="36929">
      <c r="D36929" s="185"/>
      <c r="E36929" s="185" t="s">
        <v>470</v>
      </c>
      <c r="H36929" s="185"/>
    </row>
    <row r="36930">
      <c r="D36930" s="185"/>
      <c r="E36930" s="185" t="s">
        <v>470</v>
      </c>
      <c r="H36930" s="185"/>
    </row>
    <row r="36931">
      <c r="D36931" s="185"/>
      <c r="E36931" s="185" t="s">
        <v>470</v>
      </c>
      <c r="H36931" s="185"/>
    </row>
    <row r="36932">
      <c r="D36932" s="185"/>
      <c r="E36932" s="185" t="s">
        <v>470</v>
      </c>
      <c r="H36932" s="185"/>
    </row>
    <row r="36933">
      <c r="D36933" s="185"/>
      <c r="E36933" s="185" t="s">
        <v>470</v>
      </c>
      <c r="H36933" s="185"/>
    </row>
    <row r="36934">
      <c r="D36934" s="185"/>
      <c r="E36934" s="185" t="s">
        <v>470</v>
      </c>
      <c r="H36934" s="185"/>
    </row>
    <row r="36935">
      <c r="D36935" s="185"/>
      <c r="E36935" s="185" t="s">
        <v>470</v>
      </c>
      <c r="H36935" s="185"/>
    </row>
    <row r="36936">
      <c r="D36936" s="185"/>
      <c r="E36936" s="185" t="s">
        <v>470</v>
      </c>
      <c r="H36936" s="185"/>
    </row>
    <row r="36937">
      <c r="D36937" s="185"/>
      <c r="E36937" s="185" t="s">
        <v>470</v>
      </c>
      <c r="H36937" s="185"/>
    </row>
    <row r="36938">
      <c r="D36938" s="185"/>
      <c r="E36938" s="185" t="s">
        <v>470</v>
      </c>
      <c r="H36938" s="185"/>
    </row>
    <row r="36939">
      <c r="D36939" s="185"/>
      <c r="E36939" s="185" t="s">
        <v>470</v>
      </c>
      <c r="H36939" s="185"/>
    </row>
    <row r="36940">
      <c r="D36940" s="185"/>
      <c r="E36940" s="185" t="s">
        <v>470</v>
      </c>
      <c r="H36940" s="185"/>
    </row>
    <row r="36941">
      <c r="D36941" s="185"/>
      <c r="E36941" s="185" t="s">
        <v>470</v>
      </c>
      <c r="H36941" s="185"/>
    </row>
    <row r="36942">
      <c r="D36942" s="185"/>
      <c r="E36942" s="185" t="s">
        <v>470</v>
      </c>
      <c r="H36942" s="185"/>
    </row>
    <row r="36943">
      <c r="D36943" s="185"/>
      <c r="E36943" s="185" t="s">
        <v>470</v>
      </c>
      <c r="H36943" s="185"/>
    </row>
    <row r="36944">
      <c r="D36944" s="185"/>
      <c r="E36944" s="185" t="s">
        <v>470</v>
      </c>
      <c r="H36944" s="185"/>
    </row>
    <row r="36945">
      <c r="D36945" s="185"/>
      <c r="E36945" s="185" t="s">
        <v>470</v>
      </c>
      <c r="H36945" s="185"/>
    </row>
    <row r="36946">
      <c r="D36946" s="185"/>
      <c r="E36946" s="185" t="s">
        <v>470</v>
      </c>
      <c r="H36946" s="185"/>
    </row>
    <row r="36947">
      <c r="D36947" s="185"/>
      <c r="E36947" s="185" t="s">
        <v>470</v>
      </c>
      <c r="H36947" s="185"/>
    </row>
    <row r="36948">
      <c r="D36948" s="185"/>
      <c r="E36948" s="185" t="s">
        <v>470</v>
      </c>
      <c r="H36948" s="185"/>
    </row>
    <row r="36949">
      <c r="D36949" s="185"/>
      <c r="E36949" s="185" t="s">
        <v>470</v>
      </c>
      <c r="H36949" s="185"/>
    </row>
    <row r="36950">
      <c r="D36950" s="185"/>
      <c r="E36950" s="185" t="s">
        <v>470</v>
      </c>
      <c r="H36950" s="185"/>
    </row>
    <row r="36951">
      <c r="D36951" s="185"/>
      <c r="E36951" s="185" t="s">
        <v>470</v>
      </c>
      <c r="H36951" s="185"/>
    </row>
    <row r="36952">
      <c r="D36952" s="185"/>
      <c r="E36952" s="185" t="s">
        <v>470</v>
      </c>
      <c r="H36952" s="185"/>
    </row>
    <row r="36953">
      <c r="D36953" s="185"/>
      <c r="E36953" s="185" t="s">
        <v>470</v>
      </c>
      <c r="H36953" s="185"/>
    </row>
    <row r="36954">
      <c r="D36954" s="185"/>
      <c r="E36954" s="185" t="s">
        <v>470</v>
      </c>
      <c r="H36954" s="185"/>
    </row>
    <row r="36955">
      <c r="D36955" s="185"/>
      <c r="E36955" s="185" t="s">
        <v>470</v>
      </c>
      <c r="H36955" s="185"/>
    </row>
    <row r="36956">
      <c r="D36956" s="185"/>
      <c r="E36956" s="185" t="s">
        <v>470</v>
      </c>
      <c r="H36956" s="185"/>
    </row>
    <row r="36957">
      <c r="D36957" s="185"/>
      <c r="E36957" s="185" t="s">
        <v>470</v>
      </c>
      <c r="H36957" s="185"/>
    </row>
    <row r="36958">
      <c r="D36958" s="185"/>
      <c r="E36958" s="185" t="s">
        <v>470</v>
      </c>
      <c r="H36958" s="185"/>
    </row>
    <row r="36959">
      <c r="D36959" s="185"/>
      <c r="E36959" s="185" t="s">
        <v>470</v>
      </c>
      <c r="H36959" s="185"/>
    </row>
    <row r="36960">
      <c r="D36960" s="185"/>
      <c r="E36960" s="185" t="s">
        <v>470</v>
      </c>
      <c r="H36960" s="185"/>
    </row>
    <row r="36961">
      <c r="D36961" s="185"/>
      <c r="E36961" s="185" t="s">
        <v>470</v>
      </c>
      <c r="H36961" s="185"/>
    </row>
    <row r="36962">
      <c r="D36962" s="185"/>
      <c r="E36962" s="185" t="s">
        <v>470</v>
      </c>
      <c r="H36962" s="185"/>
    </row>
    <row r="36963">
      <c r="D36963" s="185"/>
      <c r="E36963" s="185" t="s">
        <v>470</v>
      </c>
      <c r="H36963" s="185"/>
    </row>
    <row r="36964">
      <c r="D36964" s="185"/>
      <c r="E36964" s="185" t="s">
        <v>470</v>
      </c>
      <c r="H36964" s="185"/>
    </row>
    <row r="36965">
      <c r="D36965" s="185"/>
      <c r="E36965" s="185" t="s">
        <v>470</v>
      </c>
      <c r="H36965" s="185"/>
    </row>
    <row r="36966">
      <c r="D36966" s="185"/>
      <c r="E36966" s="185" t="s">
        <v>470</v>
      </c>
      <c r="H36966" s="185"/>
    </row>
    <row r="36967">
      <c r="D36967" s="185"/>
      <c r="E36967" s="185" t="s">
        <v>470</v>
      </c>
      <c r="H36967" s="185"/>
    </row>
    <row r="36968">
      <c r="D36968" s="185"/>
      <c r="E36968" s="185" t="s">
        <v>470</v>
      </c>
      <c r="H36968" s="185"/>
    </row>
    <row r="36969">
      <c r="D36969" s="185"/>
      <c r="E36969" s="185" t="s">
        <v>470</v>
      </c>
      <c r="H36969" s="185"/>
    </row>
    <row r="36970">
      <c r="D36970" s="185"/>
      <c r="E36970" s="185" t="s">
        <v>470</v>
      </c>
      <c r="H36970" s="185"/>
    </row>
    <row r="36971">
      <c r="D36971" s="185"/>
      <c r="E36971" s="185" t="s">
        <v>470</v>
      </c>
      <c r="H36971" s="185"/>
    </row>
    <row r="36972">
      <c r="D36972" s="185"/>
      <c r="E36972" s="185" t="s">
        <v>470</v>
      </c>
      <c r="H36972" s="185"/>
    </row>
    <row r="36973">
      <c r="D36973" s="185"/>
      <c r="E36973" s="185" t="s">
        <v>470</v>
      </c>
      <c r="H36973" s="185"/>
    </row>
    <row r="36974">
      <c r="D36974" s="185"/>
      <c r="E36974" s="185" t="s">
        <v>470</v>
      </c>
      <c r="H36974" s="185"/>
    </row>
    <row r="36975">
      <c r="D36975" s="185"/>
      <c r="E36975" s="185" t="s">
        <v>470</v>
      </c>
      <c r="H36975" s="185"/>
    </row>
    <row r="36976">
      <c r="D36976" s="185"/>
      <c r="E36976" s="185" t="s">
        <v>470</v>
      </c>
      <c r="H36976" s="185"/>
    </row>
    <row r="36977">
      <c r="D36977" s="185"/>
      <c r="E36977" s="185" t="s">
        <v>470</v>
      </c>
      <c r="H36977" s="185"/>
    </row>
    <row r="36978">
      <c r="D36978" s="185"/>
      <c r="E36978" s="185" t="s">
        <v>470</v>
      </c>
      <c r="H36978" s="185"/>
    </row>
    <row r="36979">
      <c r="D36979" s="185"/>
      <c r="E36979" s="185" t="s">
        <v>470</v>
      </c>
      <c r="H36979" s="185"/>
    </row>
    <row r="36980">
      <c r="D36980" s="185"/>
      <c r="E36980" s="185" t="s">
        <v>470</v>
      </c>
      <c r="H36980" s="185"/>
    </row>
    <row r="36981">
      <c r="D36981" s="185"/>
      <c r="E36981" s="185" t="s">
        <v>470</v>
      </c>
      <c r="H36981" s="185"/>
    </row>
    <row r="36982">
      <c r="D36982" s="185"/>
      <c r="E36982" s="185" t="s">
        <v>470</v>
      </c>
      <c r="H36982" s="185"/>
    </row>
    <row r="36983">
      <c r="D36983" s="185"/>
      <c r="E36983" s="185" t="s">
        <v>470</v>
      </c>
      <c r="H36983" s="185"/>
    </row>
    <row r="36984">
      <c r="D36984" s="185"/>
      <c r="E36984" s="185" t="s">
        <v>470</v>
      </c>
      <c r="H36984" s="185"/>
    </row>
    <row r="36985">
      <c r="D36985" s="185"/>
      <c r="E36985" s="185" t="s">
        <v>470</v>
      </c>
      <c r="H36985" s="185"/>
    </row>
    <row r="36986">
      <c r="D36986" s="185"/>
      <c r="E36986" s="185" t="s">
        <v>470</v>
      </c>
      <c r="H36986" s="185"/>
    </row>
    <row r="36987">
      <c r="D36987" s="185"/>
      <c r="E36987" s="185" t="s">
        <v>470</v>
      </c>
      <c r="H36987" s="185"/>
    </row>
    <row r="36988">
      <c r="D36988" s="185"/>
      <c r="E36988" s="185" t="s">
        <v>470</v>
      </c>
      <c r="H36988" s="185"/>
    </row>
    <row r="36989">
      <c r="D36989" s="185"/>
      <c r="E36989" s="185" t="s">
        <v>470</v>
      </c>
      <c r="H36989" s="185"/>
    </row>
    <row r="36990">
      <c r="D36990" s="185"/>
      <c r="E36990" s="185" t="s">
        <v>470</v>
      </c>
      <c r="H36990" s="185"/>
    </row>
    <row r="36991">
      <c r="D36991" s="185"/>
      <c r="E36991" s="185" t="s">
        <v>470</v>
      </c>
      <c r="H36991" s="185"/>
    </row>
    <row r="36992">
      <c r="D36992" s="185"/>
      <c r="E36992" s="185" t="s">
        <v>470</v>
      </c>
      <c r="H36992" s="185"/>
    </row>
    <row r="36993">
      <c r="D36993" s="185"/>
      <c r="E36993" s="185" t="s">
        <v>470</v>
      </c>
      <c r="H36993" s="185"/>
    </row>
    <row r="36994">
      <c r="D36994" s="185"/>
      <c r="E36994" s="185" t="s">
        <v>470</v>
      </c>
      <c r="H36994" s="185"/>
    </row>
    <row r="36995">
      <c r="D36995" s="185"/>
      <c r="E36995" s="185" t="s">
        <v>470</v>
      </c>
      <c r="H36995" s="185"/>
    </row>
    <row r="36996">
      <c r="D36996" s="185"/>
      <c r="E36996" s="185" t="s">
        <v>470</v>
      </c>
      <c r="H36996" s="185"/>
    </row>
    <row r="36997">
      <c r="D36997" s="185"/>
      <c r="E36997" s="185" t="s">
        <v>470</v>
      </c>
      <c r="H36997" s="185"/>
    </row>
    <row r="36998">
      <c r="D36998" s="185"/>
      <c r="E36998" s="185" t="s">
        <v>470</v>
      </c>
      <c r="H36998" s="185"/>
    </row>
    <row r="36999">
      <c r="D36999" s="185"/>
      <c r="E36999" s="185" t="s">
        <v>470</v>
      </c>
      <c r="H36999" s="185"/>
    </row>
    <row r="37000">
      <c r="D37000" s="185"/>
      <c r="E37000" s="185" t="s">
        <v>470</v>
      </c>
      <c r="H37000" s="185"/>
    </row>
    <row r="37001">
      <c r="D37001" s="185"/>
      <c r="E37001" s="185" t="s">
        <v>470</v>
      </c>
      <c r="H37001" s="185"/>
    </row>
    <row r="37002">
      <c r="D37002" s="185"/>
      <c r="E37002" s="185" t="s">
        <v>470</v>
      </c>
      <c r="H37002" s="185"/>
    </row>
    <row r="37003">
      <c r="D37003" s="185"/>
      <c r="E37003" s="185" t="s">
        <v>470</v>
      </c>
      <c r="H37003" s="185"/>
    </row>
    <row r="37004">
      <c r="D37004" s="185"/>
      <c r="E37004" s="185" t="s">
        <v>470</v>
      </c>
      <c r="H37004" s="185"/>
    </row>
    <row r="37005">
      <c r="D37005" s="185"/>
      <c r="E37005" s="185" t="s">
        <v>470</v>
      </c>
      <c r="H37005" s="185"/>
    </row>
    <row r="37006">
      <c r="D37006" s="185"/>
      <c r="E37006" s="185" t="s">
        <v>470</v>
      </c>
      <c r="H37006" s="185"/>
    </row>
    <row r="37007">
      <c r="D37007" s="185"/>
      <c r="E37007" s="185" t="s">
        <v>470</v>
      </c>
      <c r="H37007" s="185"/>
    </row>
    <row r="37008">
      <c r="D37008" s="185"/>
      <c r="E37008" s="185" t="s">
        <v>470</v>
      </c>
      <c r="H37008" s="185"/>
    </row>
    <row r="37009">
      <c r="D37009" s="185"/>
      <c r="E37009" s="185" t="s">
        <v>470</v>
      </c>
      <c r="H37009" s="185"/>
    </row>
    <row r="37010">
      <c r="D37010" s="185"/>
      <c r="E37010" s="185" t="s">
        <v>470</v>
      </c>
      <c r="H37010" s="185"/>
    </row>
    <row r="37011">
      <c r="D37011" s="185"/>
      <c r="E37011" s="185" t="s">
        <v>470</v>
      </c>
      <c r="H37011" s="185"/>
    </row>
    <row r="37012">
      <c r="D37012" s="185"/>
      <c r="E37012" s="185" t="s">
        <v>470</v>
      </c>
      <c r="H37012" s="185"/>
    </row>
    <row r="37013">
      <c r="D37013" s="185"/>
      <c r="E37013" s="185" t="s">
        <v>470</v>
      </c>
      <c r="H37013" s="185"/>
    </row>
    <row r="37014">
      <c r="D37014" s="185"/>
      <c r="E37014" s="185" t="s">
        <v>470</v>
      </c>
      <c r="H37014" s="185"/>
    </row>
    <row r="37015">
      <c r="D37015" s="185"/>
      <c r="E37015" s="185" t="s">
        <v>470</v>
      </c>
      <c r="H37015" s="185"/>
    </row>
    <row r="37016">
      <c r="D37016" s="185"/>
      <c r="E37016" s="185" t="s">
        <v>470</v>
      </c>
      <c r="H37016" s="185"/>
    </row>
    <row r="37017">
      <c r="D37017" s="185"/>
      <c r="E37017" s="185" t="s">
        <v>470</v>
      </c>
      <c r="H37017" s="185"/>
    </row>
    <row r="37018">
      <c r="D37018" s="185"/>
      <c r="E37018" s="185" t="s">
        <v>470</v>
      </c>
      <c r="H37018" s="185"/>
    </row>
    <row r="37019">
      <c r="D37019" s="185"/>
      <c r="E37019" s="185" t="s">
        <v>470</v>
      </c>
      <c r="H37019" s="185"/>
    </row>
    <row r="37020">
      <c r="D37020" s="185"/>
      <c r="E37020" s="185" t="s">
        <v>470</v>
      </c>
      <c r="H37020" s="185"/>
    </row>
    <row r="37021">
      <c r="D37021" s="185"/>
      <c r="E37021" s="185" t="s">
        <v>470</v>
      </c>
      <c r="H37021" s="185"/>
    </row>
    <row r="37022">
      <c r="D37022" s="185"/>
      <c r="E37022" s="185" t="s">
        <v>470</v>
      </c>
      <c r="H37022" s="185"/>
    </row>
    <row r="37023">
      <c r="D37023" s="185"/>
      <c r="E37023" s="185" t="s">
        <v>470</v>
      </c>
      <c r="H37023" s="185"/>
    </row>
    <row r="37024">
      <c r="D37024" s="185"/>
      <c r="E37024" s="185" t="s">
        <v>470</v>
      </c>
      <c r="H37024" s="185"/>
    </row>
    <row r="37025">
      <c r="D37025" s="185"/>
      <c r="E37025" s="185" t="s">
        <v>470</v>
      </c>
      <c r="H37025" s="185"/>
    </row>
    <row r="37026">
      <c r="D37026" s="185"/>
      <c r="E37026" s="185" t="s">
        <v>470</v>
      </c>
      <c r="H37026" s="185"/>
    </row>
    <row r="37027">
      <c r="D37027" s="185"/>
      <c r="E37027" s="185" t="s">
        <v>470</v>
      </c>
      <c r="H37027" s="185"/>
    </row>
    <row r="37028">
      <c r="D37028" s="185"/>
      <c r="E37028" s="185" t="s">
        <v>470</v>
      </c>
      <c r="H37028" s="185"/>
    </row>
    <row r="37029">
      <c r="D37029" s="185"/>
      <c r="E37029" s="185" t="s">
        <v>470</v>
      </c>
      <c r="H37029" s="185"/>
    </row>
    <row r="37030">
      <c r="D37030" s="185"/>
      <c r="E37030" s="185" t="s">
        <v>470</v>
      </c>
      <c r="H37030" s="185"/>
    </row>
    <row r="37031">
      <c r="D37031" s="185"/>
      <c r="E37031" s="185" t="s">
        <v>470</v>
      </c>
      <c r="H37031" s="185"/>
    </row>
    <row r="37032">
      <c r="D37032" s="185"/>
      <c r="E37032" s="185" t="s">
        <v>470</v>
      </c>
      <c r="H37032" s="185"/>
    </row>
    <row r="37033">
      <c r="D37033" s="185"/>
      <c r="E37033" s="185" t="s">
        <v>470</v>
      </c>
      <c r="H37033" s="185"/>
    </row>
    <row r="37034">
      <c r="D37034" s="185"/>
      <c r="E37034" s="185" t="s">
        <v>470</v>
      </c>
      <c r="H37034" s="185"/>
    </row>
    <row r="37035">
      <c r="D37035" s="185"/>
      <c r="E37035" s="185" t="s">
        <v>470</v>
      </c>
      <c r="H37035" s="185"/>
    </row>
    <row r="37036">
      <c r="D37036" s="185"/>
      <c r="E37036" s="185" t="s">
        <v>470</v>
      </c>
      <c r="H37036" s="185"/>
    </row>
    <row r="37037">
      <c r="D37037" s="185"/>
      <c r="E37037" s="185" t="s">
        <v>470</v>
      </c>
      <c r="H37037" s="185"/>
    </row>
    <row r="37038">
      <c r="D37038" s="185"/>
      <c r="E37038" s="185" t="s">
        <v>470</v>
      </c>
      <c r="H37038" s="185"/>
    </row>
    <row r="37039">
      <c r="D37039" s="185"/>
      <c r="E37039" s="185" t="s">
        <v>470</v>
      </c>
      <c r="H37039" s="185"/>
    </row>
    <row r="37040">
      <c r="D37040" s="185"/>
      <c r="E37040" s="185" t="s">
        <v>470</v>
      </c>
      <c r="H37040" s="185"/>
    </row>
    <row r="37041">
      <c r="D37041" s="185"/>
      <c r="E37041" s="185" t="s">
        <v>470</v>
      </c>
      <c r="H37041" s="185"/>
    </row>
    <row r="37042">
      <c r="D37042" s="185"/>
      <c r="E37042" s="185" t="s">
        <v>470</v>
      </c>
      <c r="H37042" s="185"/>
    </row>
    <row r="37043">
      <c r="D37043" s="185"/>
      <c r="E37043" s="185" t="s">
        <v>470</v>
      </c>
      <c r="H37043" s="185"/>
    </row>
    <row r="37044">
      <c r="D37044" s="185"/>
      <c r="E37044" s="185" t="s">
        <v>470</v>
      </c>
      <c r="H37044" s="185"/>
    </row>
    <row r="37045">
      <c r="D37045" s="185"/>
      <c r="E37045" s="185" t="s">
        <v>470</v>
      </c>
      <c r="H37045" s="185"/>
    </row>
    <row r="37046">
      <c r="D37046" s="185"/>
      <c r="E37046" s="185" t="s">
        <v>470</v>
      </c>
      <c r="H37046" s="185"/>
    </row>
    <row r="37047">
      <c r="D37047" s="185"/>
      <c r="E37047" s="185" t="s">
        <v>470</v>
      </c>
      <c r="H37047" s="185"/>
    </row>
    <row r="37048">
      <c r="D37048" s="185"/>
      <c r="E37048" s="185" t="s">
        <v>470</v>
      </c>
      <c r="H37048" s="185"/>
    </row>
    <row r="37049">
      <c r="D37049" s="185"/>
      <c r="E37049" s="185" t="s">
        <v>470</v>
      </c>
      <c r="H37049" s="185"/>
    </row>
    <row r="37050">
      <c r="D37050" s="185"/>
      <c r="E37050" s="185" t="s">
        <v>470</v>
      </c>
      <c r="H37050" s="185"/>
    </row>
    <row r="37051">
      <c r="D37051" s="185"/>
      <c r="E37051" s="185" t="s">
        <v>470</v>
      </c>
      <c r="H37051" s="185"/>
    </row>
    <row r="37052">
      <c r="D37052" s="185"/>
      <c r="E37052" s="185" t="s">
        <v>470</v>
      </c>
      <c r="H37052" s="185"/>
    </row>
    <row r="37053">
      <c r="D37053" s="185"/>
      <c r="E37053" s="185" t="s">
        <v>470</v>
      </c>
      <c r="H37053" s="185"/>
    </row>
    <row r="37054">
      <c r="D37054" s="185"/>
      <c r="E37054" s="185" t="s">
        <v>470</v>
      </c>
      <c r="H37054" s="185"/>
    </row>
    <row r="37055">
      <c r="D37055" s="185"/>
      <c r="E37055" s="185" t="s">
        <v>470</v>
      </c>
      <c r="H37055" s="185"/>
    </row>
    <row r="37056">
      <c r="D37056" s="185"/>
      <c r="E37056" s="185" t="s">
        <v>470</v>
      </c>
      <c r="H37056" s="185"/>
    </row>
    <row r="37057">
      <c r="D37057" s="185"/>
      <c r="E37057" s="185" t="s">
        <v>470</v>
      </c>
      <c r="H37057" s="185"/>
    </row>
    <row r="37058">
      <c r="D37058" s="185"/>
      <c r="E37058" s="185" t="s">
        <v>470</v>
      </c>
      <c r="H37058" s="185"/>
    </row>
    <row r="37059">
      <c r="D37059" s="185"/>
      <c r="E37059" s="185" t="s">
        <v>470</v>
      </c>
      <c r="H37059" s="185"/>
    </row>
    <row r="37060">
      <c r="D37060" s="185"/>
      <c r="E37060" s="185" t="s">
        <v>470</v>
      </c>
      <c r="H37060" s="185"/>
    </row>
    <row r="37061">
      <c r="D37061" s="185"/>
      <c r="E37061" s="185" t="s">
        <v>470</v>
      </c>
      <c r="H37061" s="185"/>
    </row>
    <row r="37062">
      <c r="D37062" s="185"/>
      <c r="E37062" s="185" t="s">
        <v>470</v>
      </c>
      <c r="H37062" s="185"/>
    </row>
    <row r="37063">
      <c r="D37063" s="185"/>
      <c r="E37063" s="185" t="s">
        <v>470</v>
      </c>
      <c r="H37063" s="185"/>
    </row>
    <row r="37064">
      <c r="D37064" s="185"/>
      <c r="E37064" s="185" t="s">
        <v>470</v>
      </c>
      <c r="H37064" s="185"/>
    </row>
    <row r="37065">
      <c r="D37065" s="185"/>
      <c r="E37065" s="185" t="s">
        <v>470</v>
      </c>
      <c r="H37065" s="185"/>
    </row>
    <row r="37066">
      <c r="D37066" s="185"/>
      <c r="E37066" s="185" t="s">
        <v>470</v>
      </c>
      <c r="H37066" s="185"/>
    </row>
    <row r="37067">
      <c r="D37067" s="185"/>
      <c r="E37067" s="185" t="s">
        <v>470</v>
      </c>
      <c r="H37067" s="185"/>
    </row>
    <row r="37068">
      <c r="D37068" s="185"/>
      <c r="E37068" s="185" t="s">
        <v>470</v>
      </c>
      <c r="H37068" s="185"/>
    </row>
    <row r="37069">
      <c r="D37069" s="185"/>
      <c r="E37069" s="185" t="s">
        <v>470</v>
      </c>
      <c r="H37069" s="185"/>
    </row>
    <row r="37070">
      <c r="D37070" s="185"/>
      <c r="E37070" s="185" t="s">
        <v>470</v>
      </c>
      <c r="H37070" s="185"/>
    </row>
    <row r="37071">
      <c r="D37071" s="185"/>
      <c r="E37071" s="185" t="s">
        <v>470</v>
      </c>
      <c r="H37071" s="185"/>
    </row>
    <row r="37072">
      <c r="D37072" s="185"/>
      <c r="E37072" s="185" t="s">
        <v>470</v>
      </c>
      <c r="H37072" s="185"/>
    </row>
    <row r="37073">
      <c r="D37073" s="185"/>
      <c r="E37073" s="185" t="s">
        <v>470</v>
      </c>
      <c r="H37073" s="185"/>
    </row>
    <row r="37074">
      <c r="D37074" s="185"/>
      <c r="E37074" s="185" t="s">
        <v>470</v>
      </c>
      <c r="H37074" s="185"/>
    </row>
    <row r="37075">
      <c r="D37075" s="185"/>
      <c r="E37075" s="185" t="s">
        <v>470</v>
      </c>
      <c r="H37075" s="185"/>
    </row>
    <row r="37076">
      <c r="D37076" s="185"/>
      <c r="E37076" s="185" t="s">
        <v>470</v>
      </c>
      <c r="H37076" s="185"/>
    </row>
    <row r="37077">
      <c r="D37077" s="185"/>
      <c r="E37077" s="185" t="s">
        <v>470</v>
      </c>
      <c r="H37077" s="185"/>
    </row>
    <row r="37078">
      <c r="D37078" s="185"/>
      <c r="E37078" s="185" t="s">
        <v>470</v>
      </c>
      <c r="H37078" s="185"/>
    </row>
    <row r="37079">
      <c r="D37079" s="185"/>
      <c r="E37079" s="185" t="s">
        <v>470</v>
      </c>
      <c r="H37079" s="185"/>
    </row>
    <row r="37080">
      <c r="D37080" s="185"/>
      <c r="E37080" s="185" t="s">
        <v>470</v>
      </c>
      <c r="H37080" s="185"/>
    </row>
    <row r="37081">
      <c r="D37081" s="185"/>
      <c r="E37081" s="185" t="s">
        <v>470</v>
      </c>
      <c r="H37081" s="185"/>
    </row>
    <row r="37082">
      <c r="D37082" s="185"/>
      <c r="E37082" s="185" t="s">
        <v>470</v>
      </c>
      <c r="H37082" s="185"/>
    </row>
    <row r="37083">
      <c r="D37083" s="185"/>
      <c r="E37083" s="185" t="s">
        <v>470</v>
      </c>
      <c r="H37083" s="185"/>
    </row>
    <row r="37084">
      <c r="D37084" s="185"/>
      <c r="E37084" s="185" t="s">
        <v>470</v>
      </c>
      <c r="H37084" s="185"/>
    </row>
    <row r="37085">
      <c r="D37085" s="185"/>
      <c r="E37085" s="185" t="s">
        <v>470</v>
      </c>
      <c r="H37085" s="185"/>
    </row>
    <row r="37086">
      <c r="D37086" s="185"/>
      <c r="E37086" s="185" t="s">
        <v>470</v>
      </c>
      <c r="H37086" s="185"/>
    </row>
    <row r="37087">
      <c r="D37087" s="185"/>
      <c r="E37087" s="185" t="s">
        <v>470</v>
      </c>
      <c r="H37087" s="185"/>
    </row>
    <row r="37088">
      <c r="D37088" s="185"/>
      <c r="E37088" s="185" t="s">
        <v>470</v>
      </c>
      <c r="H37088" s="185"/>
    </row>
    <row r="37089">
      <c r="D37089" s="185"/>
      <c r="E37089" s="185" t="s">
        <v>470</v>
      </c>
      <c r="H37089" s="185"/>
    </row>
    <row r="37090">
      <c r="D37090" s="185"/>
      <c r="E37090" s="185" t="s">
        <v>470</v>
      </c>
      <c r="H37090" s="185"/>
    </row>
    <row r="37091">
      <c r="D37091" s="185"/>
      <c r="E37091" s="185" t="s">
        <v>470</v>
      </c>
      <c r="H37091" s="185"/>
    </row>
    <row r="37092">
      <c r="D37092" s="185"/>
      <c r="E37092" s="185" t="s">
        <v>470</v>
      </c>
      <c r="H37092" s="185"/>
    </row>
    <row r="37093">
      <c r="D37093" s="185"/>
      <c r="E37093" s="185" t="s">
        <v>470</v>
      </c>
      <c r="H37093" s="185"/>
    </row>
    <row r="37094">
      <c r="D37094" s="185"/>
      <c r="E37094" s="185" t="s">
        <v>470</v>
      </c>
      <c r="H37094" s="185"/>
    </row>
    <row r="37095">
      <c r="D37095" s="185"/>
      <c r="E37095" s="185" t="s">
        <v>470</v>
      </c>
      <c r="H37095" s="185"/>
    </row>
    <row r="37096">
      <c r="D37096" s="185"/>
      <c r="E37096" s="185" t="s">
        <v>470</v>
      </c>
      <c r="H37096" s="185"/>
    </row>
    <row r="37097">
      <c r="D37097" s="185"/>
      <c r="E37097" s="185" t="s">
        <v>470</v>
      </c>
      <c r="H37097" s="185"/>
    </row>
    <row r="37098">
      <c r="D37098" s="185"/>
      <c r="E37098" s="185" t="s">
        <v>470</v>
      </c>
      <c r="H37098" s="185"/>
    </row>
    <row r="37099">
      <c r="D37099" s="185"/>
      <c r="E37099" s="185" t="s">
        <v>470</v>
      </c>
      <c r="H37099" s="185"/>
    </row>
    <row r="37100">
      <c r="D37100" s="185"/>
      <c r="E37100" s="185" t="s">
        <v>470</v>
      </c>
      <c r="H37100" s="185"/>
    </row>
    <row r="37101">
      <c r="D37101" s="185"/>
      <c r="E37101" s="185" t="s">
        <v>470</v>
      </c>
      <c r="H37101" s="185"/>
    </row>
    <row r="37102">
      <c r="D37102" s="185"/>
      <c r="E37102" s="185" t="s">
        <v>470</v>
      </c>
      <c r="H37102" s="185"/>
    </row>
    <row r="37103">
      <c r="D37103" s="185"/>
      <c r="E37103" s="185" t="s">
        <v>470</v>
      </c>
      <c r="H37103" s="185"/>
    </row>
    <row r="37104">
      <c r="D37104" s="185"/>
      <c r="E37104" s="185" t="s">
        <v>470</v>
      </c>
      <c r="H37104" s="185"/>
    </row>
    <row r="37105">
      <c r="D37105" s="185"/>
      <c r="E37105" s="185" t="s">
        <v>470</v>
      </c>
      <c r="H37105" s="185"/>
    </row>
    <row r="37106">
      <c r="D37106" s="185"/>
      <c r="E37106" s="185" t="s">
        <v>470</v>
      </c>
      <c r="H37106" s="185"/>
    </row>
    <row r="37107">
      <c r="D37107" s="185"/>
      <c r="E37107" s="185" t="s">
        <v>470</v>
      </c>
      <c r="H37107" s="185"/>
    </row>
    <row r="37108">
      <c r="D37108" s="185"/>
      <c r="E37108" s="185" t="s">
        <v>470</v>
      </c>
      <c r="H37108" s="185"/>
    </row>
    <row r="37109">
      <c r="D37109" s="185"/>
      <c r="E37109" s="185" t="s">
        <v>470</v>
      </c>
      <c r="H37109" s="185"/>
    </row>
    <row r="37110">
      <c r="D37110" s="185"/>
      <c r="E37110" s="185" t="s">
        <v>470</v>
      </c>
      <c r="H37110" s="185"/>
    </row>
    <row r="37111">
      <c r="D37111" s="185"/>
      <c r="E37111" s="185" t="s">
        <v>470</v>
      </c>
      <c r="H37111" s="185"/>
    </row>
    <row r="37112">
      <c r="D37112" s="185"/>
      <c r="E37112" s="185" t="s">
        <v>470</v>
      </c>
      <c r="H37112" s="185"/>
    </row>
    <row r="37113">
      <c r="D37113" s="185"/>
      <c r="E37113" s="185" t="s">
        <v>470</v>
      </c>
      <c r="H37113" s="185"/>
    </row>
    <row r="37114">
      <c r="D37114" s="185"/>
      <c r="E37114" s="185" t="s">
        <v>470</v>
      </c>
      <c r="H37114" s="185"/>
    </row>
    <row r="37115">
      <c r="D37115" s="185"/>
      <c r="E37115" s="185" t="s">
        <v>470</v>
      </c>
      <c r="H37115" s="185"/>
    </row>
    <row r="37116">
      <c r="D37116" s="185"/>
      <c r="E37116" s="185" t="s">
        <v>470</v>
      </c>
      <c r="H37116" s="185"/>
    </row>
    <row r="37117">
      <c r="D37117" s="185"/>
      <c r="E37117" s="185" t="s">
        <v>470</v>
      </c>
      <c r="H37117" s="185"/>
    </row>
    <row r="37118">
      <c r="D37118" s="185"/>
      <c r="E37118" s="185" t="s">
        <v>470</v>
      </c>
      <c r="H37118" s="185"/>
    </row>
    <row r="37119">
      <c r="D37119" s="185"/>
      <c r="E37119" s="185" t="s">
        <v>470</v>
      </c>
      <c r="H37119" s="185"/>
    </row>
    <row r="37120">
      <c r="D37120" s="185"/>
      <c r="E37120" s="185" t="s">
        <v>470</v>
      </c>
      <c r="H37120" s="185"/>
    </row>
    <row r="37121">
      <c r="D37121" s="185"/>
      <c r="E37121" s="185" t="s">
        <v>470</v>
      </c>
      <c r="H37121" s="185"/>
    </row>
    <row r="37122">
      <c r="D37122" s="185"/>
      <c r="E37122" s="185" t="s">
        <v>470</v>
      </c>
      <c r="H37122" s="185"/>
    </row>
    <row r="37123">
      <c r="D37123" s="185"/>
      <c r="E37123" s="185" t="s">
        <v>470</v>
      </c>
      <c r="H37123" s="185"/>
    </row>
    <row r="37124">
      <c r="D37124" s="185"/>
      <c r="E37124" s="185" t="s">
        <v>470</v>
      </c>
      <c r="H37124" s="185"/>
    </row>
    <row r="37125">
      <c r="D37125" s="185"/>
      <c r="E37125" s="185" t="s">
        <v>470</v>
      </c>
      <c r="H37125" s="185"/>
    </row>
    <row r="37126">
      <c r="D37126" s="185"/>
      <c r="E37126" s="185" t="s">
        <v>470</v>
      </c>
      <c r="H37126" s="185"/>
    </row>
    <row r="37127">
      <c r="D37127" s="185"/>
      <c r="E37127" s="185" t="s">
        <v>470</v>
      </c>
      <c r="H37127" s="185"/>
    </row>
    <row r="37128">
      <c r="D37128" s="185"/>
      <c r="E37128" s="185" t="s">
        <v>470</v>
      </c>
      <c r="H37128" s="185"/>
    </row>
    <row r="37129">
      <c r="D37129" s="185"/>
      <c r="E37129" s="185" t="s">
        <v>470</v>
      </c>
      <c r="H37129" s="185"/>
    </row>
    <row r="37130">
      <c r="D37130" s="185"/>
      <c r="E37130" s="185" t="s">
        <v>470</v>
      </c>
      <c r="H37130" s="185"/>
    </row>
    <row r="37131">
      <c r="D37131" s="185"/>
      <c r="E37131" s="185" t="s">
        <v>470</v>
      </c>
      <c r="H37131" s="185"/>
    </row>
    <row r="37132">
      <c r="D37132" s="185"/>
      <c r="E37132" s="185" t="s">
        <v>470</v>
      </c>
      <c r="H37132" s="185"/>
    </row>
    <row r="37133">
      <c r="D37133" s="185"/>
      <c r="E37133" s="185" t="s">
        <v>470</v>
      </c>
      <c r="H37133" s="185"/>
    </row>
    <row r="37134">
      <c r="D37134" s="185"/>
      <c r="E37134" s="185" t="s">
        <v>470</v>
      </c>
      <c r="H37134" s="185"/>
    </row>
    <row r="37135">
      <c r="D37135" s="185"/>
      <c r="E37135" s="185" t="s">
        <v>470</v>
      </c>
      <c r="H37135" s="185"/>
    </row>
    <row r="37136">
      <c r="D37136" s="185"/>
      <c r="E37136" s="185" t="s">
        <v>470</v>
      </c>
      <c r="H37136" s="185"/>
    </row>
    <row r="37137">
      <c r="D37137" s="185"/>
      <c r="E37137" s="185" t="s">
        <v>470</v>
      </c>
      <c r="H37137" s="185"/>
    </row>
    <row r="37138">
      <c r="D37138" s="185"/>
      <c r="E37138" s="185" t="s">
        <v>470</v>
      </c>
      <c r="H37138" s="185"/>
    </row>
    <row r="37139">
      <c r="D37139" s="185"/>
      <c r="E37139" s="185" t="s">
        <v>470</v>
      </c>
      <c r="H37139" s="185"/>
    </row>
    <row r="37140">
      <c r="D37140" s="185"/>
      <c r="E37140" s="185" t="s">
        <v>470</v>
      </c>
      <c r="H37140" s="185"/>
    </row>
    <row r="37141">
      <c r="D37141" s="185"/>
      <c r="E37141" s="185" t="s">
        <v>470</v>
      </c>
      <c r="H37141" s="185"/>
    </row>
    <row r="37142">
      <c r="D37142" s="185"/>
      <c r="E37142" s="185" t="s">
        <v>470</v>
      </c>
      <c r="H37142" s="185"/>
    </row>
    <row r="37143">
      <c r="D37143" s="185"/>
      <c r="E37143" s="185" t="s">
        <v>470</v>
      </c>
      <c r="H37143" s="185"/>
    </row>
    <row r="37144">
      <c r="D37144" s="185"/>
      <c r="E37144" s="185" t="s">
        <v>470</v>
      </c>
      <c r="H37144" s="185"/>
    </row>
    <row r="37145">
      <c r="D37145" s="185"/>
      <c r="E37145" s="185" t="s">
        <v>470</v>
      </c>
      <c r="H37145" s="185"/>
    </row>
    <row r="37146">
      <c r="D37146" s="185"/>
      <c r="E37146" s="185" t="s">
        <v>470</v>
      </c>
      <c r="H37146" s="185"/>
    </row>
    <row r="37147">
      <c r="D37147" s="185"/>
      <c r="E37147" s="185" t="s">
        <v>470</v>
      </c>
      <c r="H37147" s="185"/>
    </row>
    <row r="37148">
      <c r="D37148" s="185"/>
      <c r="E37148" s="185" t="s">
        <v>470</v>
      </c>
      <c r="H37148" s="185"/>
    </row>
    <row r="37149">
      <c r="D37149" s="185"/>
      <c r="E37149" s="185" t="s">
        <v>470</v>
      </c>
      <c r="H37149" s="185"/>
    </row>
    <row r="37150">
      <c r="D37150" s="185"/>
      <c r="E37150" s="185" t="s">
        <v>470</v>
      </c>
      <c r="H37150" s="185"/>
    </row>
    <row r="37151">
      <c r="D37151" s="185"/>
      <c r="E37151" s="185" t="s">
        <v>470</v>
      </c>
      <c r="H37151" s="185"/>
    </row>
    <row r="37152">
      <c r="D37152" s="185"/>
      <c r="E37152" s="185" t="s">
        <v>470</v>
      </c>
      <c r="H37152" s="185"/>
    </row>
    <row r="37153">
      <c r="D37153" s="185"/>
      <c r="E37153" s="185" t="s">
        <v>470</v>
      </c>
      <c r="H37153" s="185"/>
    </row>
    <row r="37154">
      <c r="D37154" s="185"/>
      <c r="E37154" s="185" t="s">
        <v>470</v>
      </c>
      <c r="H37154" s="185"/>
    </row>
    <row r="37155">
      <c r="D37155" s="185"/>
      <c r="E37155" s="185" t="s">
        <v>470</v>
      </c>
      <c r="H37155" s="185"/>
    </row>
    <row r="37156">
      <c r="D37156" s="185"/>
      <c r="E37156" s="185" t="s">
        <v>470</v>
      </c>
      <c r="H37156" s="185"/>
    </row>
    <row r="37157">
      <c r="D37157" s="185"/>
      <c r="E37157" s="185" t="s">
        <v>470</v>
      </c>
      <c r="H37157" s="185"/>
    </row>
    <row r="37158">
      <c r="D37158" s="185"/>
      <c r="E37158" s="185" t="s">
        <v>470</v>
      </c>
      <c r="H37158" s="185"/>
    </row>
    <row r="37159">
      <c r="D37159" s="185"/>
      <c r="E37159" s="185" t="s">
        <v>470</v>
      </c>
      <c r="H37159" s="185"/>
    </row>
    <row r="37160">
      <c r="D37160" s="185"/>
      <c r="E37160" s="185" t="s">
        <v>470</v>
      </c>
      <c r="H37160" s="185"/>
    </row>
    <row r="37161">
      <c r="D37161" s="185"/>
      <c r="E37161" s="185" t="s">
        <v>470</v>
      </c>
      <c r="H37161" s="185"/>
    </row>
    <row r="37162">
      <c r="D37162" s="185"/>
      <c r="E37162" s="185" t="s">
        <v>470</v>
      </c>
      <c r="H37162" s="185"/>
    </row>
    <row r="37163">
      <c r="D37163" s="185"/>
      <c r="E37163" s="185" t="s">
        <v>470</v>
      </c>
      <c r="H37163" s="185"/>
    </row>
    <row r="37164">
      <c r="D37164" s="185"/>
      <c r="E37164" s="185" t="s">
        <v>470</v>
      </c>
      <c r="H37164" s="185"/>
    </row>
    <row r="37165">
      <c r="D37165" s="185"/>
      <c r="E37165" s="185" t="s">
        <v>470</v>
      </c>
      <c r="H37165" s="185"/>
    </row>
    <row r="37166">
      <c r="D37166" s="185"/>
      <c r="E37166" s="185" t="s">
        <v>470</v>
      </c>
      <c r="H37166" s="185"/>
    </row>
    <row r="37167">
      <c r="D37167" s="185"/>
      <c r="E37167" s="185" t="s">
        <v>470</v>
      </c>
      <c r="H37167" s="185"/>
    </row>
    <row r="37168">
      <c r="D37168" s="185"/>
      <c r="E37168" s="185" t="s">
        <v>470</v>
      </c>
      <c r="H37168" s="185"/>
    </row>
    <row r="37169">
      <c r="D37169" s="185"/>
      <c r="E37169" s="185" t="s">
        <v>470</v>
      </c>
      <c r="H37169" s="185"/>
    </row>
    <row r="37170">
      <c r="D37170" s="185"/>
      <c r="E37170" s="185" t="s">
        <v>470</v>
      </c>
      <c r="H37170" s="185"/>
    </row>
    <row r="37171">
      <c r="D37171" s="185"/>
      <c r="E37171" s="185" t="s">
        <v>470</v>
      </c>
      <c r="H37171" s="185"/>
    </row>
    <row r="37172">
      <c r="D37172" s="185"/>
      <c r="E37172" s="185" t="s">
        <v>470</v>
      </c>
      <c r="H37172" s="185"/>
    </row>
    <row r="37173">
      <c r="D37173" s="185"/>
      <c r="E37173" s="185" t="s">
        <v>470</v>
      </c>
      <c r="H37173" s="185"/>
    </row>
    <row r="37174">
      <c r="D37174" s="185"/>
      <c r="E37174" s="185" t="s">
        <v>470</v>
      </c>
      <c r="H37174" s="185"/>
    </row>
    <row r="37175">
      <c r="D37175" s="185"/>
      <c r="E37175" s="185" t="s">
        <v>470</v>
      </c>
      <c r="H37175" s="185"/>
    </row>
    <row r="37176">
      <c r="D37176" s="185"/>
      <c r="E37176" s="185" t="s">
        <v>470</v>
      </c>
      <c r="H37176" s="185"/>
    </row>
    <row r="37177">
      <c r="D37177" s="185"/>
      <c r="E37177" s="185" t="s">
        <v>470</v>
      </c>
      <c r="H37177" s="185"/>
    </row>
    <row r="37178">
      <c r="D37178" s="185"/>
      <c r="E37178" s="185" t="s">
        <v>470</v>
      </c>
      <c r="H37178" s="185"/>
    </row>
    <row r="37179">
      <c r="D37179" s="185"/>
      <c r="E37179" s="185" t="s">
        <v>470</v>
      </c>
      <c r="H37179" s="185"/>
    </row>
    <row r="37180">
      <c r="D37180" s="185"/>
      <c r="E37180" s="185" t="s">
        <v>470</v>
      </c>
      <c r="H37180" s="185"/>
    </row>
    <row r="37181">
      <c r="D37181" s="185"/>
      <c r="E37181" s="185" t="s">
        <v>470</v>
      </c>
      <c r="H37181" s="185"/>
    </row>
    <row r="37182">
      <c r="D37182" s="185"/>
      <c r="E37182" s="185" t="s">
        <v>470</v>
      </c>
      <c r="H37182" s="185"/>
    </row>
    <row r="37183">
      <c r="D37183" s="185"/>
      <c r="E37183" s="185" t="s">
        <v>470</v>
      </c>
      <c r="H37183" s="185"/>
    </row>
    <row r="37184">
      <c r="D37184" s="185"/>
      <c r="E37184" s="185" t="s">
        <v>470</v>
      </c>
      <c r="H37184" s="185"/>
    </row>
    <row r="37185">
      <c r="D37185" s="185"/>
      <c r="E37185" s="185" t="s">
        <v>470</v>
      </c>
      <c r="H37185" s="185"/>
    </row>
    <row r="37186">
      <c r="D37186" s="185"/>
      <c r="E37186" s="185" t="s">
        <v>470</v>
      </c>
      <c r="H37186" s="185"/>
    </row>
    <row r="37187">
      <c r="D37187" s="185"/>
      <c r="E37187" s="185" t="s">
        <v>470</v>
      </c>
      <c r="H37187" s="185"/>
    </row>
    <row r="37188">
      <c r="D37188" s="185"/>
      <c r="E37188" s="185" t="s">
        <v>470</v>
      </c>
      <c r="H37188" s="185"/>
    </row>
    <row r="37189">
      <c r="D37189" s="185"/>
      <c r="E37189" s="185" t="s">
        <v>470</v>
      </c>
      <c r="H37189" s="185"/>
    </row>
    <row r="37190">
      <c r="D37190" s="185"/>
      <c r="E37190" s="185" t="s">
        <v>470</v>
      </c>
      <c r="H37190" s="185"/>
    </row>
    <row r="37191">
      <c r="D37191" s="185"/>
      <c r="E37191" s="185" t="s">
        <v>470</v>
      </c>
      <c r="H37191" s="185"/>
    </row>
    <row r="37192">
      <c r="D37192" s="185"/>
      <c r="E37192" s="185" t="s">
        <v>470</v>
      </c>
      <c r="H37192" s="185"/>
    </row>
    <row r="37193">
      <c r="D37193" s="185"/>
      <c r="E37193" s="185" t="s">
        <v>470</v>
      </c>
      <c r="H37193" s="185"/>
    </row>
    <row r="37194">
      <c r="D37194" s="185"/>
      <c r="E37194" s="185" t="s">
        <v>470</v>
      </c>
      <c r="H37194" s="185"/>
    </row>
    <row r="37195">
      <c r="D37195" s="185"/>
      <c r="E37195" s="185" t="s">
        <v>470</v>
      </c>
      <c r="H37195" s="185"/>
    </row>
    <row r="37196">
      <c r="D37196" s="185"/>
      <c r="E37196" s="185" t="s">
        <v>470</v>
      </c>
      <c r="H37196" s="185"/>
    </row>
    <row r="37197">
      <c r="D37197" s="185"/>
      <c r="E37197" s="185" t="s">
        <v>470</v>
      </c>
      <c r="H37197" s="185"/>
    </row>
    <row r="37198">
      <c r="D37198" s="185"/>
      <c r="E37198" s="185" t="s">
        <v>470</v>
      </c>
      <c r="H37198" s="185"/>
    </row>
    <row r="37199">
      <c r="D37199" s="185"/>
      <c r="E37199" s="185" t="s">
        <v>470</v>
      </c>
      <c r="H37199" s="185"/>
    </row>
    <row r="37200">
      <c r="D37200" s="185"/>
      <c r="E37200" s="185" t="s">
        <v>470</v>
      </c>
      <c r="H37200" s="185"/>
    </row>
    <row r="37201">
      <c r="D37201" s="185"/>
      <c r="E37201" s="185" t="s">
        <v>470</v>
      </c>
      <c r="H37201" s="185"/>
    </row>
    <row r="37202">
      <c r="D37202" s="185"/>
      <c r="E37202" s="185" t="s">
        <v>470</v>
      </c>
      <c r="H37202" s="185"/>
    </row>
    <row r="37203">
      <c r="D37203" s="185"/>
      <c r="E37203" s="185" t="s">
        <v>470</v>
      </c>
      <c r="H37203" s="185"/>
    </row>
    <row r="37204">
      <c r="D37204" s="185"/>
      <c r="E37204" s="185" t="s">
        <v>470</v>
      </c>
      <c r="H37204" s="185"/>
    </row>
    <row r="37205">
      <c r="D37205" s="185"/>
      <c r="E37205" s="185" t="s">
        <v>470</v>
      </c>
      <c r="H37205" s="185"/>
    </row>
    <row r="37206">
      <c r="D37206" s="185"/>
      <c r="E37206" s="185" t="s">
        <v>470</v>
      </c>
      <c r="H37206" s="185"/>
    </row>
    <row r="37207">
      <c r="D37207" s="185"/>
      <c r="E37207" s="185" t="s">
        <v>470</v>
      </c>
      <c r="H37207" s="185"/>
    </row>
    <row r="37208">
      <c r="D37208" s="185"/>
      <c r="E37208" s="185" t="s">
        <v>470</v>
      </c>
      <c r="H37208" s="185"/>
    </row>
    <row r="37209">
      <c r="D37209" s="185"/>
      <c r="E37209" s="185" t="s">
        <v>470</v>
      </c>
      <c r="H37209" s="185"/>
    </row>
    <row r="37210">
      <c r="D37210" s="185"/>
      <c r="E37210" s="185" t="s">
        <v>470</v>
      </c>
      <c r="H37210" s="185"/>
    </row>
    <row r="37211">
      <c r="D37211" s="185"/>
      <c r="E37211" s="185" t="s">
        <v>470</v>
      </c>
      <c r="H37211" s="185"/>
    </row>
    <row r="37212">
      <c r="D37212" s="185"/>
      <c r="E37212" s="185" t="s">
        <v>470</v>
      </c>
      <c r="H37212" s="185"/>
    </row>
    <row r="37213">
      <c r="D37213" s="185"/>
      <c r="E37213" s="185" t="s">
        <v>470</v>
      </c>
      <c r="H37213" s="185"/>
    </row>
    <row r="37214">
      <c r="D37214" s="185"/>
      <c r="E37214" s="185" t="s">
        <v>470</v>
      </c>
      <c r="H37214" s="185"/>
    </row>
    <row r="37215">
      <c r="D37215" s="185"/>
      <c r="E37215" s="185" t="s">
        <v>470</v>
      </c>
      <c r="H37215" s="185"/>
    </row>
    <row r="37216">
      <c r="D37216" s="185"/>
      <c r="E37216" s="185" t="s">
        <v>470</v>
      </c>
      <c r="H37216" s="185"/>
    </row>
    <row r="37217">
      <c r="D37217" s="185"/>
      <c r="E37217" s="185" t="s">
        <v>470</v>
      </c>
      <c r="H37217" s="185"/>
    </row>
    <row r="37218">
      <c r="D37218" s="185"/>
      <c r="E37218" s="185" t="s">
        <v>470</v>
      </c>
      <c r="H37218" s="185"/>
    </row>
    <row r="37219">
      <c r="D37219" s="185"/>
      <c r="E37219" s="185" t="s">
        <v>470</v>
      </c>
      <c r="H37219" s="185"/>
    </row>
    <row r="37220">
      <c r="D37220" s="185"/>
      <c r="E37220" s="185" t="s">
        <v>470</v>
      </c>
      <c r="H37220" s="185"/>
    </row>
    <row r="37221">
      <c r="D37221" s="185"/>
      <c r="E37221" s="185" t="s">
        <v>470</v>
      </c>
      <c r="H37221" s="185"/>
    </row>
    <row r="37222">
      <c r="D37222" s="185"/>
      <c r="E37222" s="185" t="s">
        <v>470</v>
      </c>
      <c r="H37222" s="185"/>
    </row>
    <row r="37223">
      <c r="D37223" s="185"/>
      <c r="E37223" s="185" t="s">
        <v>470</v>
      </c>
      <c r="H37223" s="185"/>
    </row>
    <row r="37224">
      <c r="D37224" s="185"/>
      <c r="E37224" s="185" t="s">
        <v>470</v>
      </c>
      <c r="H37224" s="185"/>
    </row>
    <row r="37225">
      <c r="D37225" s="185"/>
      <c r="E37225" s="185" t="s">
        <v>470</v>
      </c>
      <c r="H37225" s="185"/>
    </row>
    <row r="37226">
      <c r="D37226" s="185"/>
      <c r="E37226" s="185" t="s">
        <v>470</v>
      </c>
      <c r="H37226" s="185"/>
    </row>
    <row r="37227">
      <c r="D37227" s="185"/>
      <c r="E37227" s="185" t="s">
        <v>470</v>
      </c>
      <c r="H37227" s="185"/>
    </row>
    <row r="37228">
      <c r="D37228" s="185"/>
      <c r="E37228" s="185" t="s">
        <v>470</v>
      </c>
      <c r="H37228" s="185"/>
    </row>
    <row r="37229">
      <c r="D37229" s="185"/>
      <c r="E37229" s="185" t="s">
        <v>470</v>
      </c>
      <c r="H37229" s="185"/>
    </row>
    <row r="37230">
      <c r="D37230" s="185"/>
      <c r="E37230" s="185" t="s">
        <v>470</v>
      </c>
      <c r="H37230" s="185"/>
    </row>
    <row r="37231">
      <c r="D37231" s="185"/>
      <c r="E37231" s="185" t="s">
        <v>470</v>
      </c>
      <c r="H37231" s="185"/>
    </row>
    <row r="37232">
      <c r="D37232" s="185"/>
      <c r="E37232" s="185" t="s">
        <v>470</v>
      </c>
      <c r="H37232" s="185"/>
    </row>
    <row r="37233">
      <c r="D37233" s="185"/>
      <c r="E37233" s="185" t="s">
        <v>470</v>
      </c>
      <c r="H37233" s="185"/>
    </row>
    <row r="37234">
      <c r="D37234" s="185"/>
      <c r="E37234" s="185" t="s">
        <v>470</v>
      </c>
      <c r="H37234" s="185"/>
    </row>
    <row r="37235">
      <c r="D37235" s="185"/>
      <c r="E37235" s="185" t="s">
        <v>470</v>
      </c>
      <c r="H37235" s="185"/>
    </row>
    <row r="37236">
      <c r="D37236" s="185"/>
      <c r="E37236" s="185" t="s">
        <v>470</v>
      </c>
      <c r="H37236" s="185"/>
    </row>
    <row r="37237">
      <c r="D37237" s="185"/>
      <c r="E37237" s="185" t="s">
        <v>470</v>
      </c>
      <c r="H37237" s="185"/>
    </row>
    <row r="37238">
      <c r="D37238" s="185"/>
      <c r="E37238" s="185" t="s">
        <v>470</v>
      </c>
      <c r="H37238" s="185"/>
    </row>
    <row r="37239">
      <c r="D37239" s="185"/>
      <c r="E37239" s="185" t="s">
        <v>470</v>
      </c>
      <c r="H37239" s="185"/>
    </row>
    <row r="37240">
      <c r="D37240" s="185"/>
      <c r="E37240" s="185" t="s">
        <v>470</v>
      </c>
      <c r="H37240" s="185"/>
    </row>
    <row r="37241">
      <c r="D37241" s="185"/>
      <c r="E37241" s="185" t="s">
        <v>470</v>
      </c>
      <c r="H37241" s="185"/>
    </row>
    <row r="37242">
      <c r="D37242" s="185"/>
      <c r="E37242" s="185" t="s">
        <v>470</v>
      </c>
      <c r="H37242" s="185"/>
    </row>
    <row r="37243">
      <c r="D37243" s="185"/>
      <c r="E37243" s="185" t="s">
        <v>470</v>
      </c>
      <c r="H37243" s="185"/>
    </row>
    <row r="37244">
      <c r="D37244" s="185"/>
      <c r="E37244" s="185" t="s">
        <v>470</v>
      </c>
      <c r="H37244" s="185"/>
    </row>
    <row r="37245">
      <c r="D37245" s="185"/>
      <c r="E37245" s="185" t="s">
        <v>470</v>
      </c>
      <c r="H37245" s="185"/>
    </row>
    <row r="37246">
      <c r="D37246" s="185"/>
      <c r="E37246" s="185" t="s">
        <v>470</v>
      </c>
      <c r="H37246" s="185"/>
    </row>
    <row r="37247">
      <c r="D37247" s="185"/>
      <c r="E37247" s="185" t="s">
        <v>470</v>
      </c>
      <c r="H37247" s="185"/>
    </row>
    <row r="37248">
      <c r="D37248" s="185"/>
      <c r="E37248" s="185" t="s">
        <v>470</v>
      </c>
      <c r="H37248" s="185"/>
    </row>
    <row r="37249">
      <c r="D37249" s="185"/>
      <c r="E37249" s="185" t="s">
        <v>470</v>
      </c>
      <c r="H37249" s="185"/>
    </row>
    <row r="37250">
      <c r="D37250" s="185"/>
      <c r="E37250" s="185" t="s">
        <v>470</v>
      </c>
      <c r="H37250" s="185"/>
    </row>
    <row r="37251">
      <c r="D37251" s="185"/>
      <c r="E37251" s="185" t="s">
        <v>470</v>
      </c>
      <c r="H37251" s="185"/>
    </row>
    <row r="37252">
      <c r="D37252" s="185"/>
      <c r="E37252" s="185" t="s">
        <v>470</v>
      </c>
      <c r="H37252" s="185"/>
    </row>
    <row r="37253">
      <c r="D37253" s="185"/>
      <c r="E37253" s="185" t="s">
        <v>470</v>
      </c>
      <c r="H37253" s="185"/>
    </row>
    <row r="37254">
      <c r="D37254" s="185"/>
      <c r="E37254" s="185" t="s">
        <v>470</v>
      </c>
      <c r="H37254" s="185"/>
    </row>
    <row r="37255">
      <c r="D37255" s="185"/>
      <c r="E37255" s="185" t="s">
        <v>470</v>
      </c>
      <c r="H37255" s="185"/>
    </row>
    <row r="37256">
      <c r="D37256" s="185"/>
      <c r="E37256" s="185" t="s">
        <v>470</v>
      </c>
      <c r="H37256" s="185"/>
    </row>
    <row r="37257">
      <c r="D37257" s="185"/>
      <c r="E37257" s="185" t="s">
        <v>470</v>
      </c>
      <c r="H37257" s="185"/>
    </row>
    <row r="37258">
      <c r="D37258" s="185"/>
      <c r="E37258" s="185" t="s">
        <v>470</v>
      </c>
      <c r="H37258" s="185"/>
    </row>
    <row r="37259">
      <c r="D37259" s="185"/>
      <c r="E37259" s="185" t="s">
        <v>470</v>
      </c>
      <c r="H37259" s="185"/>
    </row>
    <row r="37260">
      <c r="D37260" s="185"/>
      <c r="E37260" s="185" t="s">
        <v>470</v>
      </c>
      <c r="H37260" s="185"/>
    </row>
    <row r="37261">
      <c r="D37261" s="185"/>
      <c r="E37261" s="185" t="s">
        <v>470</v>
      </c>
      <c r="H37261" s="185"/>
    </row>
    <row r="37262">
      <c r="D37262" s="185"/>
      <c r="E37262" s="185" t="s">
        <v>470</v>
      </c>
      <c r="H37262" s="185"/>
    </row>
    <row r="37263">
      <c r="D37263" s="185"/>
      <c r="E37263" s="185" t="s">
        <v>470</v>
      </c>
      <c r="H37263" s="185"/>
    </row>
    <row r="37264">
      <c r="D37264" s="185"/>
      <c r="E37264" s="185" t="s">
        <v>470</v>
      </c>
      <c r="H37264" s="185"/>
    </row>
    <row r="37265">
      <c r="D37265" s="185"/>
      <c r="E37265" s="185" t="s">
        <v>470</v>
      </c>
      <c r="H37265" s="185"/>
    </row>
    <row r="37266">
      <c r="D37266" s="185"/>
      <c r="E37266" s="185" t="s">
        <v>470</v>
      </c>
      <c r="H37266" s="185"/>
    </row>
    <row r="37267">
      <c r="D37267" s="185"/>
      <c r="E37267" s="185" t="s">
        <v>470</v>
      </c>
      <c r="H37267" s="185"/>
    </row>
    <row r="37268">
      <c r="D37268" s="185"/>
      <c r="E37268" s="185" t="s">
        <v>470</v>
      </c>
      <c r="H37268" s="185"/>
    </row>
    <row r="37269">
      <c r="D37269" s="185"/>
      <c r="E37269" s="185" t="s">
        <v>470</v>
      </c>
      <c r="H37269" s="185"/>
    </row>
    <row r="37270">
      <c r="D37270" s="185"/>
      <c r="E37270" s="185" t="s">
        <v>470</v>
      </c>
      <c r="H37270" s="185"/>
    </row>
    <row r="37271">
      <c r="D37271" s="185"/>
      <c r="E37271" s="185" t="s">
        <v>470</v>
      </c>
      <c r="H37271" s="185"/>
    </row>
    <row r="37272">
      <c r="D37272" s="185"/>
      <c r="E37272" s="185" t="s">
        <v>470</v>
      </c>
      <c r="H37272" s="185"/>
    </row>
    <row r="37273">
      <c r="D37273" s="185"/>
      <c r="E37273" s="185" t="s">
        <v>470</v>
      </c>
      <c r="H37273" s="185"/>
    </row>
    <row r="37274">
      <c r="D37274" s="185"/>
      <c r="E37274" s="185" t="s">
        <v>470</v>
      </c>
      <c r="H37274" s="185"/>
    </row>
    <row r="37275">
      <c r="D37275" s="185"/>
      <c r="E37275" s="185" t="s">
        <v>470</v>
      </c>
      <c r="H37275" s="185"/>
    </row>
    <row r="37276">
      <c r="D37276" s="185"/>
      <c r="E37276" s="185" t="s">
        <v>470</v>
      </c>
      <c r="H37276" s="185"/>
    </row>
    <row r="37277">
      <c r="D37277" s="185"/>
      <c r="E37277" s="185" t="s">
        <v>470</v>
      </c>
      <c r="H37277" s="185"/>
    </row>
    <row r="37278">
      <c r="D37278" s="185"/>
      <c r="E37278" s="185" t="s">
        <v>470</v>
      </c>
      <c r="H37278" s="185"/>
    </row>
    <row r="37279">
      <c r="D37279" s="185"/>
      <c r="E37279" s="185" t="s">
        <v>470</v>
      </c>
      <c r="H37279" s="185"/>
    </row>
    <row r="37280">
      <c r="D37280" s="185"/>
      <c r="E37280" s="185" t="s">
        <v>470</v>
      </c>
      <c r="H37280" s="185"/>
    </row>
    <row r="37281">
      <c r="D37281" s="185"/>
      <c r="E37281" s="185" t="s">
        <v>470</v>
      </c>
      <c r="H37281" s="185"/>
    </row>
    <row r="37282">
      <c r="D37282" s="185"/>
      <c r="E37282" s="185" t="s">
        <v>470</v>
      </c>
      <c r="H37282" s="185"/>
    </row>
    <row r="37283">
      <c r="D37283" s="185"/>
      <c r="E37283" s="185" t="s">
        <v>470</v>
      </c>
      <c r="H37283" s="185"/>
    </row>
    <row r="37284">
      <c r="D37284" s="185"/>
      <c r="E37284" s="185" t="s">
        <v>470</v>
      </c>
      <c r="H37284" s="185"/>
    </row>
    <row r="37285">
      <c r="D37285" s="185"/>
      <c r="E37285" s="185" t="s">
        <v>470</v>
      </c>
      <c r="H37285" s="185"/>
    </row>
    <row r="37286">
      <c r="D37286" s="185"/>
      <c r="E37286" s="185" t="s">
        <v>470</v>
      </c>
      <c r="H37286" s="185"/>
    </row>
    <row r="37287">
      <c r="D37287" s="185"/>
      <c r="E37287" s="185" t="s">
        <v>470</v>
      </c>
      <c r="H37287" s="185"/>
    </row>
    <row r="37288">
      <c r="D37288" s="185"/>
      <c r="E37288" s="185" t="s">
        <v>470</v>
      </c>
      <c r="H37288" s="185"/>
    </row>
    <row r="37289">
      <c r="D37289" s="185"/>
      <c r="E37289" s="185" t="s">
        <v>470</v>
      </c>
      <c r="H37289" s="185"/>
    </row>
    <row r="37290">
      <c r="D37290" s="185"/>
      <c r="E37290" s="185" t="s">
        <v>470</v>
      </c>
      <c r="H37290" s="185"/>
    </row>
    <row r="37291">
      <c r="D37291" s="185"/>
      <c r="E37291" s="185" t="s">
        <v>470</v>
      </c>
      <c r="H37291" s="185"/>
    </row>
    <row r="37292">
      <c r="D37292" s="185"/>
      <c r="E37292" s="185" t="s">
        <v>470</v>
      </c>
      <c r="H37292" s="185"/>
    </row>
    <row r="37293">
      <c r="D37293" s="185"/>
      <c r="E37293" s="185" t="s">
        <v>470</v>
      </c>
      <c r="H37293" s="185"/>
    </row>
    <row r="37294">
      <c r="D37294" s="185"/>
      <c r="E37294" s="185" t="s">
        <v>470</v>
      </c>
      <c r="H37294" s="185"/>
    </row>
    <row r="37295">
      <c r="D37295" s="185"/>
      <c r="E37295" s="185" t="s">
        <v>470</v>
      </c>
      <c r="H37295" s="185"/>
    </row>
    <row r="37296">
      <c r="D37296" s="185"/>
      <c r="E37296" s="185" t="s">
        <v>470</v>
      </c>
      <c r="H37296" s="185"/>
    </row>
    <row r="37297">
      <c r="D37297" s="185"/>
      <c r="E37297" s="185" t="s">
        <v>470</v>
      </c>
      <c r="H37297" s="185"/>
    </row>
    <row r="37298">
      <c r="D37298" s="185"/>
      <c r="E37298" s="185" t="s">
        <v>470</v>
      </c>
      <c r="H37298" s="185"/>
    </row>
    <row r="37299">
      <c r="D37299" s="185"/>
      <c r="E37299" s="185" t="s">
        <v>470</v>
      </c>
      <c r="H37299" s="185"/>
    </row>
    <row r="37300">
      <c r="D37300" s="185"/>
      <c r="E37300" s="185" t="s">
        <v>470</v>
      </c>
      <c r="H37300" s="185"/>
    </row>
    <row r="37301">
      <c r="D37301" s="185"/>
      <c r="E37301" s="185" t="s">
        <v>470</v>
      </c>
      <c r="H37301" s="185"/>
    </row>
    <row r="37302">
      <c r="D37302" s="185"/>
      <c r="E37302" s="185" t="s">
        <v>470</v>
      </c>
      <c r="H37302" s="185"/>
    </row>
    <row r="37303">
      <c r="D37303" s="185"/>
      <c r="E37303" s="185" t="s">
        <v>470</v>
      </c>
      <c r="H37303" s="185"/>
    </row>
    <row r="37304">
      <c r="D37304" s="185"/>
      <c r="E37304" s="185" t="s">
        <v>470</v>
      </c>
      <c r="H37304" s="185"/>
    </row>
    <row r="37305">
      <c r="D37305" s="185"/>
      <c r="E37305" s="185" t="s">
        <v>470</v>
      </c>
      <c r="H37305" s="185"/>
    </row>
    <row r="37306">
      <c r="D37306" s="185"/>
      <c r="E37306" s="185" t="s">
        <v>470</v>
      </c>
      <c r="H37306" s="185"/>
    </row>
    <row r="37307">
      <c r="D37307" s="185"/>
      <c r="E37307" s="185" t="s">
        <v>470</v>
      </c>
      <c r="H37307" s="185"/>
    </row>
    <row r="37308">
      <c r="D37308" s="185"/>
      <c r="E37308" s="185" t="s">
        <v>470</v>
      </c>
      <c r="H37308" s="185"/>
    </row>
    <row r="37309">
      <c r="D37309" s="185"/>
      <c r="E37309" s="185" t="s">
        <v>470</v>
      </c>
      <c r="H37309" s="185"/>
    </row>
    <row r="37310">
      <c r="D37310" s="185"/>
      <c r="E37310" s="185" t="s">
        <v>470</v>
      </c>
      <c r="H37310" s="185"/>
    </row>
    <row r="37311">
      <c r="D37311" s="185"/>
      <c r="E37311" s="185" t="s">
        <v>470</v>
      </c>
      <c r="H37311" s="185"/>
    </row>
    <row r="37312">
      <c r="D37312" s="185"/>
      <c r="E37312" s="185" t="s">
        <v>470</v>
      </c>
      <c r="H37312" s="185"/>
    </row>
    <row r="37313">
      <c r="D37313" s="185"/>
      <c r="E37313" s="185" t="s">
        <v>470</v>
      </c>
      <c r="H37313" s="185"/>
    </row>
    <row r="37314">
      <c r="D37314" s="185"/>
      <c r="E37314" s="185" t="s">
        <v>470</v>
      </c>
      <c r="H37314" s="185"/>
    </row>
    <row r="37315">
      <c r="D37315" s="185"/>
      <c r="E37315" s="185" t="s">
        <v>470</v>
      </c>
      <c r="H37315" s="185"/>
    </row>
    <row r="37316">
      <c r="D37316" s="185"/>
      <c r="E37316" s="185" t="s">
        <v>470</v>
      </c>
      <c r="H37316" s="185"/>
    </row>
    <row r="37317">
      <c r="D37317" s="185"/>
      <c r="E37317" s="185" t="s">
        <v>470</v>
      </c>
      <c r="H37317" s="185"/>
    </row>
    <row r="37318">
      <c r="D37318" s="185"/>
      <c r="E37318" s="185" t="s">
        <v>470</v>
      </c>
      <c r="H37318" s="185"/>
    </row>
    <row r="37319">
      <c r="D37319" s="185"/>
      <c r="E37319" s="185" t="s">
        <v>470</v>
      </c>
      <c r="H37319" s="185"/>
    </row>
    <row r="37320">
      <c r="D37320" s="185"/>
      <c r="E37320" s="185" t="s">
        <v>470</v>
      </c>
      <c r="H37320" s="185"/>
    </row>
    <row r="37321">
      <c r="D37321" s="185"/>
      <c r="E37321" s="185" t="s">
        <v>470</v>
      </c>
      <c r="H37321" s="185"/>
    </row>
    <row r="37322">
      <c r="D37322" s="185"/>
      <c r="E37322" s="185" t="s">
        <v>470</v>
      </c>
      <c r="H37322" s="185"/>
    </row>
    <row r="37323">
      <c r="D37323" s="185"/>
      <c r="E37323" s="185" t="s">
        <v>470</v>
      </c>
      <c r="H37323" s="185"/>
    </row>
    <row r="37324">
      <c r="D37324" s="185"/>
      <c r="E37324" s="185" t="s">
        <v>470</v>
      </c>
      <c r="H37324" s="185"/>
    </row>
    <row r="37325">
      <c r="D37325" s="185"/>
      <c r="E37325" s="185" t="s">
        <v>470</v>
      </c>
      <c r="H37325" s="185"/>
    </row>
    <row r="37326">
      <c r="D37326" s="185"/>
      <c r="E37326" s="185" t="s">
        <v>470</v>
      </c>
      <c r="H37326" s="185"/>
    </row>
    <row r="37327">
      <c r="D37327" s="185"/>
      <c r="E37327" s="185" t="s">
        <v>470</v>
      </c>
      <c r="H37327" s="185"/>
    </row>
    <row r="37328">
      <c r="D37328" s="185"/>
      <c r="E37328" s="185" t="s">
        <v>470</v>
      </c>
      <c r="H37328" s="185"/>
    </row>
    <row r="37329">
      <c r="D37329" s="185"/>
      <c r="E37329" s="185" t="s">
        <v>470</v>
      </c>
      <c r="H37329" s="185"/>
    </row>
    <row r="37330">
      <c r="D37330" s="185"/>
      <c r="E37330" s="185" t="s">
        <v>470</v>
      </c>
      <c r="H37330" s="185"/>
    </row>
    <row r="37331">
      <c r="D37331" s="185"/>
      <c r="E37331" s="185" t="s">
        <v>470</v>
      </c>
      <c r="H37331" s="185"/>
    </row>
    <row r="37332">
      <c r="D37332" s="185"/>
      <c r="E37332" s="185" t="s">
        <v>470</v>
      </c>
      <c r="H37332" s="185"/>
    </row>
    <row r="37333">
      <c r="D37333" s="185"/>
      <c r="E37333" s="185" t="s">
        <v>470</v>
      </c>
      <c r="H37333" s="185"/>
    </row>
    <row r="37334">
      <c r="D37334" s="185"/>
      <c r="E37334" s="185" t="s">
        <v>470</v>
      </c>
      <c r="H37334" s="185"/>
    </row>
    <row r="37335">
      <c r="D37335" s="185"/>
      <c r="E37335" s="185" t="s">
        <v>470</v>
      </c>
      <c r="H37335" s="185"/>
    </row>
    <row r="37336">
      <c r="D37336" s="185"/>
      <c r="E37336" s="185" t="s">
        <v>470</v>
      </c>
      <c r="H37336" s="185"/>
    </row>
    <row r="37337">
      <c r="D37337" s="185"/>
      <c r="E37337" s="185" t="s">
        <v>470</v>
      </c>
      <c r="H37337" s="185"/>
    </row>
    <row r="37338">
      <c r="D37338" s="185"/>
      <c r="E37338" s="185" t="s">
        <v>470</v>
      </c>
      <c r="H37338" s="185"/>
    </row>
    <row r="37339">
      <c r="D37339" s="185"/>
      <c r="E37339" s="185" t="s">
        <v>470</v>
      </c>
      <c r="H37339" s="185"/>
    </row>
    <row r="37340">
      <c r="D37340" s="185"/>
      <c r="E37340" s="185" t="s">
        <v>470</v>
      </c>
      <c r="H37340" s="185"/>
    </row>
    <row r="37341">
      <c r="D37341" s="185"/>
      <c r="E37341" s="185" t="s">
        <v>470</v>
      </c>
      <c r="H37341" s="185"/>
    </row>
    <row r="37342">
      <c r="D37342" s="185"/>
      <c r="E37342" s="185" t="s">
        <v>470</v>
      </c>
      <c r="H37342" s="185"/>
    </row>
    <row r="37343">
      <c r="D37343" s="185"/>
      <c r="E37343" s="185" t="s">
        <v>470</v>
      </c>
      <c r="H37343" s="185"/>
    </row>
    <row r="37344">
      <c r="D37344" s="185"/>
      <c r="E37344" s="185" t="s">
        <v>470</v>
      </c>
      <c r="H37344" s="185"/>
    </row>
    <row r="37345">
      <c r="D37345" s="185"/>
      <c r="E37345" s="185" t="s">
        <v>470</v>
      </c>
      <c r="H37345" s="185"/>
    </row>
    <row r="37346">
      <c r="D37346" s="185"/>
      <c r="E37346" s="185" t="s">
        <v>470</v>
      </c>
      <c r="H37346" s="185"/>
    </row>
    <row r="37347">
      <c r="D37347" s="185"/>
      <c r="E37347" s="185" t="s">
        <v>470</v>
      </c>
      <c r="H37347" s="185"/>
    </row>
    <row r="37348">
      <c r="D37348" s="185"/>
      <c r="E37348" s="185" t="s">
        <v>470</v>
      </c>
      <c r="H37348" s="185"/>
    </row>
    <row r="37349">
      <c r="D37349" s="185"/>
      <c r="E37349" s="185" t="s">
        <v>470</v>
      </c>
      <c r="H37349" s="185"/>
    </row>
    <row r="37350">
      <c r="D37350" s="185"/>
      <c r="E37350" s="185" t="s">
        <v>470</v>
      </c>
      <c r="H37350" s="185"/>
    </row>
    <row r="37351">
      <c r="D37351" s="185"/>
      <c r="E37351" s="185" t="s">
        <v>470</v>
      </c>
      <c r="H37351" s="185"/>
    </row>
    <row r="37352">
      <c r="D37352" s="185"/>
      <c r="E37352" s="185" t="s">
        <v>470</v>
      </c>
      <c r="H37352" s="185"/>
    </row>
    <row r="37353">
      <c r="D37353" s="185"/>
      <c r="E37353" s="185" t="s">
        <v>470</v>
      </c>
      <c r="H37353" s="185"/>
    </row>
    <row r="37354">
      <c r="D37354" s="185"/>
      <c r="E37354" s="185" t="s">
        <v>470</v>
      </c>
      <c r="H37354" s="185"/>
    </row>
    <row r="37355">
      <c r="D37355" s="185"/>
      <c r="E37355" s="185" t="s">
        <v>470</v>
      </c>
      <c r="H37355" s="185"/>
    </row>
    <row r="37356">
      <c r="D37356" s="185"/>
      <c r="E37356" s="185" t="s">
        <v>470</v>
      </c>
      <c r="H37356" s="185"/>
    </row>
    <row r="37357">
      <c r="D37357" s="185"/>
      <c r="E37357" s="185" t="s">
        <v>470</v>
      </c>
      <c r="H37357" s="185"/>
    </row>
    <row r="37358">
      <c r="D37358" s="185"/>
      <c r="E37358" s="185" t="s">
        <v>470</v>
      </c>
      <c r="H37358" s="185"/>
    </row>
    <row r="37359">
      <c r="D37359" s="185"/>
      <c r="E37359" s="185" t="s">
        <v>470</v>
      </c>
      <c r="H37359" s="185"/>
    </row>
    <row r="37360">
      <c r="D37360" s="185"/>
      <c r="E37360" s="185" t="s">
        <v>470</v>
      </c>
      <c r="H37360" s="185"/>
    </row>
    <row r="37361">
      <c r="D37361" s="185"/>
      <c r="E37361" s="185" t="s">
        <v>470</v>
      </c>
      <c r="H37361" s="185"/>
    </row>
    <row r="37362">
      <c r="D37362" s="185"/>
      <c r="E37362" s="185" t="s">
        <v>470</v>
      </c>
      <c r="H37362" s="185"/>
    </row>
    <row r="37363">
      <c r="D37363" s="185"/>
      <c r="E37363" s="185" t="s">
        <v>470</v>
      </c>
      <c r="H37363" s="185"/>
    </row>
    <row r="37364">
      <c r="D37364" s="185"/>
      <c r="E37364" s="185" t="s">
        <v>470</v>
      </c>
      <c r="H37364" s="185"/>
    </row>
    <row r="37365">
      <c r="D37365" s="185"/>
      <c r="E37365" s="185" t="s">
        <v>470</v>
      </c>
      <c r="H37365" s="185"/>
    </row>
    <row r="37366">
      <c r="D37366" s="185"/>
      <c r="E37366" s="185" t="s">
        <v>470</v>
      </c>
      <c r="H37366" s="185"/>
    </row>
    <row r="37367">
      <c r="D37367" s="185"/>
      <c r="E37367" s="185" t="s">
        <v>470</v>
      </c>
      <c r="H37367" s="185"/>
    </row>
    <row r="37368">
      <c r="D37368" s="185"/>
      <c r="E37368" s="185" t="s">
        <v>470</v>
      </c>
      <c r="H37368" s="185"/>
    </row>
    <row r="37369">
      <c r="D37369" s="185"/>
      <c r="E37369" s="185" t="s">
        <v>470</v>
      </c>
      <c r="H37369" s="185"/>
    </row>
    <row r="37370">
      <c r="D37370" s="185"/>
      <c r="E37370" s="185" t="s">
        <v>470</v>
      </c>
      <c r="H37370" s="185"/>
    </row>
    <row r="37371">
      <c r="D37371" s="185"/>
      <c r="E37371" s="185" t="s">
        <v>470</v>
      </c>
      <c r="H37371" s="185"/>
    </row>
    <row r="37372">
      <c r="D37372" s="185"/>
      <c r="E37372" s="185" t="s">
        <v>470</v>
      </c>
      <c r="H37372" s="185"/>
    </row>
    <row r="37373">
      <c r="D37373" s="185"/>
      <c r="E37373" s="185" t="s">
        <v>470</v>
      </c>
      <c r="H37373" s="185"/>
    </row>
    <row r="37374">
      <c r="D37374" s="185"/>
      <c r="E37374" s="185" t="s">
        <v>470</v>
      </c>
      <c r="H37374" s="185"/>
    </row>
    <row r="37375">
      <c r="D37375" s="185"/>
      <c r="E37375" s="185" t="s">
        <v>470</v>
      </c>
      <c r="H37375" s="185"/>
    </row>
    <row r="37376">
      <c r="D37376" s="185"/>
      <c r="E37376" s="185" t="s">
        <v>470</v>
      </c>
      <c r="H37376" s="185"/>
    </row>
    <row r="37377">
      <c r="D37377" s="185"/>
      <c r="E37377" s="185" t="s">
        <v>470</v>
      </c>
      <c r="H37377" s="185"/>
    </row>
    <row r="37378">
      <c r="D37378" s="185"/>
      <c r="E37378" s="185" t="s">
        <v>470</v>
      </c>
      <c r="H37378" s="185"/>
    </row>
    <row r="37379">
      <c r="D37379" s="185"/>
      <c r="E37379" s="185" t="s">
        <v>470</v>
      </c>
      <c r="H37379" s="185"/>
    </row>
    <row r="37380">
      <c r="D37380" s="185"/>
      <c r="E37380" s="185" t="s">
        <v>470</v>
      </c>
      <c r="H37380" s="185"/>
    </row>
    <row r="37381">
      <c r="D37381" s="185"/>
      <c r="E37381" s="185" t="s">
        <v>470</v>
      </c>
      <c r="H37381" s="185"/>
    </row>
    <row r="37382">
      <c r="D37382" s="185"/>
      <c r="E37382" s="185" t="s">
        <v>470</v>
      </c>
      <c r="H37382" s="185"/>
    </row>
    <row r="37383">
      <c r="D37383" s="185"/>
      <c r="E37383" s="185" t="s">
        <v>470</v>
      </c>
      <c r="H37383" s="185"/>
    </row>
    <row r="37384">
      <c r="D37384" s="185"/>
      <c r="E37384" s="185" t="s">
        <v>470</v>
      </c>
      <c r="H37384" s="185"/>
    </row>
    <row r="37385">
      <c r="D37385" s="185"/>
      <c r="E37385" s="185" t="s">
        <v>470</v>
      </c>
      <c r="H37385" s="185"/>
    </row>
    <row r="37386">
      <c r="D37386" s="185"/>
      <c r="E37386" s="185" t="s">
        <v>470</v>
      </c>
      <c r="H37386" s="185"/>
    </row>
    <row r="37387">
      <c r="D37387" s="185"/>
      <c r="E37387" s="185" t="s">
        <v>470</v>
      </c>
      <c r="H37387" s="185"/>
    </row>
    <row r="37388">
      <c r="D37388" s="185"/>
      <c r="E37388" s="185" t="s">
        <v>470</v>
      </c>
      <c r="H37388" s="185"/>
    </row>
    <row r="37389">
      <c r="D37389" s="185"/>
      <c r="E37389" s="185" t="s">
        <v>470</v>
      </c>
      <c r="H37389" s="185"/>
    </row>
    <row r="37390">
      <c r="D37390" s="185"/>
      <c r="E37390" s="185" t="s">
        <v>470</v>
      </c>
      <c r="H37390" s="185"/>
    </row>
    <row r="37391">
      <c r="D37391" s="185"/>
      <c r="E37391" s="185" t="s">
        <v>470</v>
      </c>
      <c r="H37391" s="185"/>
    </row>
    <row r="37392">
      <c r="D37392" s="185"/>
      <c r="E37392" s="185" t="s">
        <v>470</v>
      </c>
      <c r="H37392" s="185"/>
    </row>
    <row r="37393">
      <c r="D37393" s="185"/>
      <c r="E37393" s="185" t="s">
        <v>470</v>
      </c>
      <c r="H37393" s="185"/>
    </row>
    <row r="37394">
      <c r="D37394" s="185"/>
      <c r="E37394" s="185" t="s">
        <v>470</v>
      </c>
      <c r="H37394" s="185"/>
    </row>
    <row r="37395">
      <c r="D37395" s="185"/>
      <c r="E37395" s="185" t="s">
        <v>470</v>
      </c>
      <c r="H37395" s="185"/>
    </row>
    <row r="37396">
      <c r="D37396" s="185"/>
      <c r="E37396" s="185" t="s">
        <v>470</v>
      </c>
      <c r="H37396" s="185"/>
    </row>
    <row r="37397">
      <c r="D37397" s="185"/>
      <c r="E37397" s="185" t="s">
        <v>470</v>
      </c>
      <c r="H37397" s="185"/>
    </row>
    <row r="37398">
      <c r="D37398" s="185"/>
      <c r="E37398" s="185" t="s">
        <v>470</v>
      </c>
      <c r="H37398" s="185"/>
    </row>
    <row r="37399">
      <c r="D37399" s="185"/>
      <c r="E37399" s="185" t="s">
        <v>470</v>
      </c>
      <c r="H37399" s="185"/>
    </row>
    <row r="37400">
      <c r="D37400" s="185"/>
      <c r="E37400" s="185" t="s">
        <v>470</v>
      </c>
      <c r="H37400" s="185"/>
    </row>
    <row r="37401">
      <c r="D37401" s="185"/>
      <c r="E37401" s="185" t="s">
        <v>470</v>
      </c>
      <c r="H37401" s="185"/>
    </row>
    <row r="37402">
      <c r="D37402" s="185"/>
      <c r="E37402" s="185" t="s">
        <v>470</v>
      </c>
      <c r="H37402" s="185"/>
    </row>
    <row r="37403">
      <c r="D37403" s="185"/>
      <c r="E37403" s="185" t="s">
        <v>470</v>
      </c>
      <c r="H37403" s="185"/>
    </row>
    <row r="37404">
      <c r="D37404" s="185"/>
      <c r="E37404" s="185" t="s">
        <v>470</v>
      </c>
      <c r="H37404" s="185"/>
    </row>
    <row r="37405">
      <c r="D37405" s="185"/>
      <c r="E37405" s="185" t="s">
        <v>470</v>
      </c>
      <c r="H37405" s="185"/>
    </row>
    <row r="37406">
      <c r="D37406" s="185"/>
      <c r="E37406" s="185" t="s">
        <v>470</v>
      </c>
      <c r="H37406" s="185"/>
    </row>
    <row r="37407">
      <c r="D37407" s="185"/>
      <c r="E37407" s="185" t="s">
        <v>470</v>
      </c>
      <c r="H37407" s="185"/>
    </row>
    <row r="37408">
      <c r="D37408" s="185"/>
      <c r="E37408" s="185" t="s">
        <v>470</v>
      </c>
      <c r="H37408" s="185"/>
    </row>
    <row r="37409">
      <c r="D37409" s="185"/>
      <c r="E37409" s="185" t="s">
        <v>470</v>
      </c>
      <c r="H37409" s="185"/>
    </row>
    <row r="37410">
      <c r="D37410" s="185"/>
      <c r="E37410" s="185" t="s">
        <v>470</v>
      </c>
      <c r="H37410" s="185"/>
    </row>
    <row r="37411">
      <c r="D37411" s="185"/>
      <c r="E37411" s="185" t="s">
        <v>470</v>
      </c>
      <c r="H37411" s="185"/>
    </row>
    <row r="37412">
      <c r="D37412" s="185"/>
      <c r="E37412" s="185" t="s">
        <v>470</v>
      </c>
      <c r="H37412" s="185"/>
    </row>
    <row r="37413">
      <c r="D37413" s="185"/>
      <c r="E37413" s="185" t="s">
        <v>470</v>
      </c>
      <c r="H37413" s="185"/>
    </row>
    <row r="37414">
      <c r="D37414" s="185"/>
      <c r="E37414" s="185" t="s">
        <v>470</v>
      </c>
      <c r="H37414" s="185"/>
    </row>
    <row r="37415">
      <c r="D37415" s="185"/>
      <c r="E37415" s="185" t="s">
        <v>470</v>
      </c>
      <c r="H37415" s="185"/>
    </row>
    <row r="37416">
      <c r="D37416" s="185"/>
      <c r="E37416" s="185" t="s">
        <v>470</v>
      </c>
      <c r="H37416" s="185"/>
    </row>
    <row r="37417">
      <c r="D37417" s="185"/>
      <c r="E37417" s="185" t="s">
        <v>470</v>
      </c>
      <c r="H37417" s="185"/>
    </row>
    <row r="37418">
      <c r="D37418" s="185"/>
      <c r="E37418" s="185" t="s">
        <v>470</v>
      </c>
      <c r="H37418" s="185"/>
    </row>
    <row r="37419">
      <c r="D37419" s="185"/>
      <c r="E37419" s="185" t="s">
        <v>470</v>
      </c>
      <c r="H37419" s="185"/>
    </row>
    <row r="37420">
      <c r="D37420" s="185"/>
      <c r="E37420" s="185" t="s">
        <v>470</v>
      </c>
      <c r="H37420" s="185"/>
    </row>
    <row r="37421">
      <c r="D37421" s="185"/>
      <c r="E37421" s="185" t="s">
        <v>470</v>
      </c>
      <c r="H37421" s="185"/>
    </row>
    <row r="37422">
      <c r="D37422" s="185"/>
      <c r="E37422" s="185" t="s">
        <v>470</v>
      </c>
      <c r="H37422" s="185"/>
    </row>
    <row r="37423">
      <c r="D37423" s="185"/>
      <c r="E37423" s="185" t="s">
        <v>470</v>
      </c>
      <c r="H37423" s="185"/>
    </row>
    <row r="37424">
      <c r="D37424" s="185"/>
      <c r="E37424" s="185" t="s">
        <v>470</v>
      </c>
      <c r="H37424" s="185"/>
    </row>
    <row r="37425">
      <c r="D37425" s="185"/>
      <c r="E37425" s="185" t="s">
        <v>470</v>
      </c>
      <c r="H37425" s="185"/>
    </row>
    <row r="37426">
      <c r="D37426" s="185"/>
      <c r="E37426" s="185" t="s">
        <v>470</v>
      </c>
      <c r="H37426" s="185"/>
    </row>
    <row r="37427">
      <c r="D37427" s="185"/>
      <c r="E37427" s="185" t="s">
        <v>470</v>
      </c>
      <c r="H37427" s="185"/>
    </row>
    <row r="37428">
      <c r="D37428" s="185"/>
      <c r="E37428" s="185" t="s">
        <v>470</v>
      </c>
      <c r="H37428" s="185"/>
    </row>
    <row r="37429">
      <c r="D37429" s="185"/>
      <c r="E37429" s="185" t="s">
        <v>470</v>
      </c>
      <c r="H37429" s="185"/>
    </row>
    <row r="37430">
      <c r="D37430" s="185"/>
      <c r="E37430" s="185" t="s">
        <v>470</v>
      </c>
      <c r="H37430" s="185"/>
    </row>
    <row r="37431">
      <c r="D37431" s="185"/>
      <c r="E37431" s="185" t="s">
        <v>470</v>
      </c>
      <c r="H37431" s="185"/>
    </row>
    <row r="37432">
      <c r="D37432" s="185"/>
      <c r="E37432" s="185" t="s">
        <v>470</v>
      </c>
      <c r="H37432" s="185"/>
    </row>
    <row r="37433">
      <c r="D37433" s="185"/>
      <c r="E37433" s="185" t="s">
        <v>470</v>
      </c>
      <c r="H37433" s="185"/>
    </row>
    <row r="37434">
      <c r="D37434" s="185"/>
      <c r="E37434" s="185" t="s">
        <v>470</v>
      </c>
      <c r="H37434" s="185"/>
    </row>
    <row r="37435">
      <c r="D37435" s="185"/>
      <c r="E37435" s="185" t="s">
        <v>470</v>
      </c>
      <c r="H37435" s="185"/>
    </row>
    <row r="37436">
      <c r="D37436" s="185"/>
      <c r="E37436" s="185" t="s">
        <v>470</v>
      </c>
      <c r="H37436" s="185"/>
    </row>
    <row r="37437">
      <c r="D37437" s="185"/>
      <c r="E37437" s="185" t="s">
        <v>470</v>
      </c>
      <c r="H37437" s="185"/>
    </row>
    <row r="37438">
      <c r="D37438" s="185"/>
      <c r="E37438" s="185" t="s">
        <v>470</v>
      </c>
      <c r="H37438" s="185"/>
    </row>
    <row r="37439">
      <c r="D37439" s="185"/>
      <c r="E37439" s="185" t="s">
        <v>470</v>
      </c>
      <c r="H37439" s="185"/>
    </row>
    <row r="37440">
      <c r="D37440" s="185"/>
      <c r="E37440" s="185" t="s">
        <v>470</v>
      </c>
      <c r="H37440" s="185"/>
    </row>
    <row r="37441">
      <c r="D37441" s="185"/>
      <c r="E37441" s="185" t="s">
        <v>470</v>
      </c>
      <c r="H37441" s="185"/>
    </row>
    <row r="37442">
      <c r="D37442" s="185"/>
      <c r="E37442" s="185" t="s">
        <v>470</v>
      </c>
      <c r="H37442" s="185"/>
    </row>
    <row r="37443">
      <c r="D37443" s="185"/>
      <c r="E37443" s="185" t="s">
        <v>470</v>
      </c>
      <c r="H37443" s="185"/>
    </row>
    <row r="37444">
      <c r="D37444" s="185"/>
      <c r="E37444" s="185" t="s">
        <v>470</v>
      </c>
      <c r="H37444" s="185"/>
    </row>
    <row r="37445">
      <c r="D37445" s="185"/>
      <c r="E37445" s="185" t="s">
        <v>470</v>
      </c>
      <c r="H37445" s="185"/>
    </row>
    <row r="37446">
      <c r="D37446" s="185"/>
      <c r="E37446" s="185" t="s">
        <v>470</v>
      </c>
      <c r="H37446" s="185"/>
    </row>
    <row r="37447">
      <c r="D37447" s="185"/>
      <c r="E37447" s="185" t="s">
        <v>470</v>
      </c>
      <c r="H37447" s="185"/>
    </row>
    <row r="37448">
      <c r="D37448" s="185"/>
      <c r="E37448" s="185" t="s">
        <v>470</v>
      </c>
      <c r="H37448" s="185"/>
    </row>
    <row r="37449">
      <c r="D37449" s="185"/>
      <c r="E37449" s="185" t="s">
        <v>470</v>
      </c>
      <c r="H37449" s="185"/>
    </row>
    <row r="37450">
      <c r="D37450" s="185"/>
      <c r="E37450" s="185" t="s">
        <v>470</v>
      </c>
      <c r="H37450" s="185"/>
    </row>
    <row r="37451">
      <c r="D37451" s="185"/>
      <c r="E37451" s="185" t="s">
        <v>470</v>
      </c>
      <c r="H37451" s="185"/>
    </row>
    <row r="37452">
      <c r="D37452" s="185"/>
      <c r="E37452" s="185" t="s">
        <v>470</v>
      </c>
      <c r="H37452" s="185"/>
    </row>
    <row r="37453">
      <c r="D37453" s="185"/>
      <c r="E37453" s="185" t="s">
        <v>470</v>
      </c>
      <c r="H37453" s="185"/>
    </row>
    <row r="37454">
      <c r="D37454" s="185"/>
      <c r="E37454" s="185" t="s">
        <v>470</v>
      </c>
      <c r="H37454" s="185"/>
    </row>
    <row r="37455">
      <c r="D37455" s="185"/>
      <c r="E37455" s="185" t="s">
        <v>470</v>
      </c>
      <c r="H37455" s="185"/>
    </row>
    <row r="37456">
      <c r="D37456" s="185"/>
      <c r="E37456" s="185" t="s">
        <v>470</v>
      </c>
      <c r="H37456" s="185"/>
    </row>
    <row r="37457">
      <c r="D37457" s="185"/>
      <c r="E37457" s="185" t="s">
        <v>470</v>
      </c>
      <c r="H37457" s="185"/>
    </row>
    <row r="37458">
      <c r="D37458" s="185"/>
      <c r="E37458" s="185" t="s">
        <v>470</v>
      </c>
      <c r="H37458" s="185"/>
    </row>
    <row r="37459">
      <c r="D37459" s="185"/>
      <c r="E37459" s="185" t="s">
        <v>470</v>
      </c>
      <c r="H37459" s="185"/>
    </row>
    <row r="37460">
      <c r="D37460" s="185"/>
      <c r="E37460" s="185" t="s">
        <v>470</v>
      </c>
      <c r="H37460" s="185"/>
    </row>
    <row r="37461">
      <c r="D37461" s="185"/>
      <c r="E37461" s="185" t="s">
        <v>470</v>
      </c>
      <c r="H37461" s="185"/>
    </row>
    <row r="37462">
      <c r="D37462" s="185"/>
      <c r="E37462" s="185" t="s">
        <v>470</v>
      </c>
      <c r="H37462" s="185"/>
    </row>
    <row r="37463">
      <c r="D37463" s="185"/>
      <c r="E37463" s="185" t="s">
        <v>470</v>
      </c>
      <c r="H37463" s="185"/>
    </row>
    <row r="37464">
      <c r="D37464" s="185"/>
      <c r="E37464" s="185" t="s">
        <v>470</v>
      </c>
      <c r="H37464" s="185"/>
    </row>
    <row r="37465">
      <c r="D37465" s="185"/>
      <c r="E37465" s="185" t="s">
        <v>470</v>
      </c>
      <c r="H37465" s="185"/>
    </row>
    <row r="37466">
      <c r="D37466" s="185"/>
      <c r="E37466" s="185" t="s">
        <v>470</v>
      </c>
      <c r="H37466" s="185"/>
    </row>
    <row r="37467">
      <c r="D37467" s="185"/>
      <c r="E37467" s="185" t="s">
        <v>470</v>
      </c>
      <c r="H37467" s="185"/>
    </row>
    <row r="37468">
      <c r="D37468" s="185"/>
      <c r="E37468" s="185" t="s">
        <v>470</v>
      </c>
      <c r="H37468" s="185"/>
    </row>
    <row r="37469">
      <c r="D37469" s="185"/>
      <c r="E37469" s="185" t="s">
        <v>470</v>
      </c>
      <c r="H37469" s="185"/>
    </row>
    <row r="37470">
      <c r="D37470" s="185"/>
      <c r="E37470" s="185" t="s">
        <v>470</v>
      </c>
      <c r="H37470" s="185"/>
    </row>
    <row r="37471">
      <c r="D37471" s="185"/>
      <c r="E37471" s="185" t="s">
        <v>470</v>
      </c>
      <c r="H37471" s="185"/>
    </row>
    <row r="37472">
      <c r="D37472" s="185"/>
      <c r="E37472" s="185" t="s">
        <v>470</v>
      </c>
      <c r="H37472" s="185"/>
    </row>
    <row r="37473">
      <c r="D37473" s="185"/>
      <c r="E37473" s="185" t="s">
        <v>470</v>
      </c>
      <c r="H37473" s="185"/>
    </row>
    <row r="37474">
      <c r="D37474" s="185"/>
      <c r="E37474" s="185" t="s">
        <v>470</v>
      </c>
      <c r="H37474" s="185"/>
    </row>
    <row r="37475">
      <c r="D37475" s="185"/>
      <c r="E37475" s="185" t="s">
        <v>470</v>
      </c>
      <c r="H37475" s="185"/>
    </row>
    <row r="37476">
      <c r="D37476" s="185"/>
      <c r="E37476" s="185" t="s">
        <v>470</v>
      </c>
      <c r="H37476" s="185"/>
    </row>
    <row r="37477">
      <c r="D37477" s="185"/>
      <c r="E37477" s="185" t="s">
        <v>470</v>
      </c>
      <c r="H37477" s="185"/>
    </row>
    <row r="37478">
      <c r="D37478" s="185"/>
      <c r="E37478" s="185" t="s">
        <v>470</v>
      </c>
      <c r="H37478" s="185"/>
    </row>
    <row r="37479">
      <c r="D37479" s="185"/>
      <c r="E37479" s="185" t="s">
        <v>470</v>
      </c>
      <c r="H37479" s="185"/>
    </row>
    <row r="37480">
      <c r="D37480" s="185"/>
      <c r="E37480" s="185" t="s">
        <v>470</v>
      </c>
      <c r="H37480" s="185"/>
    </row>
    <row r="37481">
      <c r="D37481" s="185"/>
      <c r="E37481" s="185" t="s">
        <v>470</v>
      </c>
      <c r="H37481" s="185"/>
    </row>
    <row r="37482">
      <c r="D37482" s="185"/>
      <c r="E37482" s="185" t="s">
        <v>470</v>
      </c>
      <c r="H37482" s="185"/>
    </row>
    <row r="37483">
      <c r="D37483" s="185"/>
      <c r="E37483" s="185" t="s">
        <v>470</v>
      </c>
      <c r="H37483" s="185"/>
    </row>
    <row r="37484">
      <c r="D37484" s="185"/>
      <c r="E37484" s="185" t="s">
        <v>470</v>
      </c>
      <c r="H37484" s="185"/>
    </row>
    <row r="37485">
      <c r="D37485" s="185"/>
      <c r="E37485" s="185" t="s">
        <v>470</v>
      </c>
      <c r="H37485" s="185"/>
    </row>
    <row r="37486">
      <c r="D37486" s="185"/>
      <c r="E37486" s="185" t="s">
        <v>470</v>
      </c>
      <c r="H37486" s="185"/>
    </row>
    <row r="37487">
      <c r="D37487" s="185"/>
      <c r="E37487" s="185" t="s">
        <v>470</v>
      </c>
      <c r="H37487" s="185"/>
    </row>
    <row r="37488">
      <c r="D37488" s="185"/>
      <c r="E37488" s="185" t="s">
        <v>470</v>
      </c>
      <c r="H37488" s="185"/>
    </row>
    <row r="37489">
      <c r="D37489" s="185"/>
      <c r="E37489" s="185" t="s">
        <v>470</v>
      </c>
      <c r="H37489" s="185"/>
    </row>
    <row r="37490">
      <c r="D37490" s="185"/>
      <c r="E37490" s="185" t="s">
        <v>470</v>
      </c>
      <c r="H37490" s="185"/>
    </row>
    <row r="37491">
      <c r="D37491" s="185"/>
      <c r="E37491" s="185" t="s">
        <v>470</v>
      </c>
      <c r="H37491" s="185"/>
    </row>
    <row r="37492">
      <c r="D37492" s="185"/>
      <c r="E37492" s="185" t="s">
        <v>470</v>
      </c>
      <c r="H37492" s="185"/>
    </row>
    <row r="37493">
      <c r="D37493" s="185"/>
      <c r="E37493" s="185" t="s">
        <v>470</v>
      </c>
      <c r="H37493" s="185"/>
    </row>
    <row r="37494">
      <c r="D37494" s="185"/>
      <c r="E37494" s="185" t="s">
        <v>470</v>
      </c>
      <c r="H37494" s="185"/>
    </row>
    <row r="37495">
      <c r="D37495" s="185"/>
      <c r="E37495" s="185" t="s">
        <v>470</v>
      </c>
      <c r="H37495" s="185"/>
    </row>
    <row r="37496">
      <c r="D37496" s="185"/>
      <c r="E37496" s="185" t="s">
        <v>470</v>
      </c>
      <c r="H37496" s="185"/>
    </row>
    <row r="37497">
      <c r="D37497" s="185"/>
      <c r="E37497" s="185" t="s">
        <v>470</v>
      </c>
      <c r="H37497" s="185"/>
    </row>
    <row r="37498">
      <c r="D37498" s="185"/>
      <c r="E37498" s="185" t="s">
        <v>470</v>
      </c>
      <c r="H37498" s="185"/>
    </row>
    <row r="37499">
      <c r="D37499" s="185"/>
      <c r="E37499" s="185" t="s">
        <v>470</v>
      </c>
      <c r="H37499" s="185"/>
    </row>
    <row r="37500">
      <c r="D37500" s="185"/>
      <c r="E37500" s="185" t="s">
        <v>470</v>
      </c>
      <c r="H37500" s="185"/>
    </row>
    <row r="37501">
      <c r="D37501" s="185"/>
      <c r="E37501" s="185" t="s">
        <v>470</v>
      </c>
      <c r="H37501" s="185"/>
    </row>
    <row r="37502">
      <c r="D37502" s="185"/>
      <c r="E37502" s="185" t="s">
        <v>470</v>
      </c>
      <c r="H37502" s="185"/>
    </row>
    <row r="37503">
      <c r="D37503" s="185"/>
      <c r="E37503" s="185" t="s">
        <v>470</v>
      </c>
      <c r="H37503" s="185"/>
    </row>
    <row r="37504">
      <c r="D37504" s="185"/>
      <c r="E37504" s="185" t="s">
        <v>470</v>
      </c>
      <c r="H37504" s="185"/>
    </row>
    <row r="37505">
      <c r="D37505" s="185"/>
      <c r="E37505" s="185" t="s">
        <v>470</v>
      </c>
      <c r="H37505" s="185"/>
    </row>
    <row r="37506">
      <c r="D37506" s="185"/>
      <c r="E37506" s="185" t="s">
        <v>470</v>
      </c>
      <c r="H37506" s="185"/>
    </row>
    <row r="37507">
      <c r="D37507" s="185"/>
      <c r="E37507" s="185" t="s">
        <v>470</v>
      </c>
      <c r="H37507" s="185"/>
    </row>
    <row r="37508">
      <c r="D37508" s="185"/>
      <c r="E37508" s="185" t="s">
        <v>470</v>
      </c>
      <c r="H37508" s="185"/>
    </row>
    <row r="37509">
      <c r="D37509" s="185"/>
      <c r="E37509" s="185" t="s">
        <v>470</v>
      </c>
      <c r="H37509" s="185"/>
    </row>
    <row r="37510">
      <c r="D37510" s="185"/>
      <c r="E37510" s="185" t="s">
        <v>470</v>
      </c>
      <c r="H37510" s="185"/>
    </row>
    <row r="37511">
      <c r="D37511" s="185"/>
      <c r="E37511" s="185" t="s">
        <v>470</v>
      </c>
      <c r="H37511" s="185"/>
    </row>
    <row r="37512">
      <c r="D37512" s="185"/>
      <c r="E37512" s="185" t="s">
        <v>470</v>
      </c>
      <c r="H37512" s="185"/>
    </row>
    <row r="37513">
      <c r="D37513" s="185"/>
      <c r="E37513" s="185" t="s">
        <v>470</v>
      </c>
      <c r="H37513" s="185"/>
    </row>
    <row r="37514">
      <c r="D37514" s="185"/>
      <c r="E37514" s="185" t="s">
        <v>470</v>
      </c>
      <c r="H37514" s="185"/>
    </row>
    <row r="37515">
      <c r="D37515" s="185"/>
      <c r="E37515" s="185" t="s">
        <v>470</v>
      </c>
      <c r="H37515" s="185"/>
    </row>
    <row r="37516">
      <c r="D37516" s="185"/>
      <c r="E37516" s="185" t="s">
        <v>470</v>
      </c>
      <c r="H37516" s="185"/>
    </row>
    <row r="37517">
      <c r="D37517" s="185"/>
      <c r="E37517" s="185" t="s">
        <v>470</v>
      </c>
      <c r="H37517" s="185"/>
    </row>
    <row r="37518">
      <c r="D37518" s="185"/>
      <c r="E37518" s="185" t="s">
        <v>470</v>
      </c>
      <c r="H37518" s="185"/>
    </row>
    <row r="37519">
      <c r="D37519" s="185"/>
      <c r="E37519" s="185" t="s">
        <v>470</v>
      </c>
      <c r="H37519" s="185"/>
    </row>
    <row r="37520">
      <c r="D37520" s="185"/>
      <c r="E37520" s="185" t="s">
        <v>470</v>
      </c>
      <c r="H37520" s="185"/>
    </row>
    <row r="37521">
      <c r="D37521" s="185"/>
      <c r="E37521" s="185" t="s">
        <v>470</v>
      </c>
      <c r="H37521" s="185"/>
    </row>
    <row r="37522">
      <c r="D37522" s="185"/>
      <c r="E37522" s="185" t="s">
        <v>470</v>
      </c>
      <c r="H37522" s="185"/>
    </row>
    <row r="37523">
      <c r="D37523" s="185"/>
      <c r="E37523" s="185" t="s">
        <v>470</v>
      </c>
      <c r="H37523" s="185"/>
    </row>
    <row r="37524">
      <c r="D37524" s="185"/>
      <c r="E37524" s="185" t="s">
        <v>470</v>
      </c>
      <c r="H37524" s="185"/>
    </row>
    <row r="37525">
      <c r="D37525" s="185"/>
      <c r="E37525" s="185" t="s">
        <v>470</v>
      </c>
      <c r="H37525" s="185"/>
    </row>
    <row r="37526">
      <c r="D37526" s="185"/>
      <c r="E37526" s="185" t="s">
        <v>470</v>
      </c>
      <c r="H37526" s="185"/>
    </row>
    <row r="37527">
      <c r="D37527" s="185"/>
      <c r="E37527" s="185" t="s">
        <v>470</v>
      </c>
      <c r="H37527" s="185"/>
    </row>
    <row r="37528">
      <c r="D37528" s="185"/>
      <c r="E37528" s="185" t="s">
        <v>470</v>
      </c>
      <c r="H37528" s="185"/>
    </row>
    <row r="37529">
      <c r="D37529" s="185"/>
      <c r="E37529" s="185" t="s">
        <v>470</v>
      </c>
      <c r="H37529" s="185"/>
    </row>
    <row r="37530">
      <c r="D37530" s="185"/>
      <c r="E37530" s="185" t="s">
        <v>470</v>
      </c>
      <c r="H37530" s="185"/>
    </row>
    <row r="37531">
      <c r="D37531" s="185"/>
      <c r="E37531" s="185" t="s">
        <v>470</v>
      </c>
      <c r="H37531" s="185"/>
    </row>
    <row r="37532">
      <c r="D37532" s="185"/>
      <c r="E37532" s="185" t="s">
        <v>470</v>
      </c>
      <c r="H37532" s="185"/>
    </row>
    <row r="37533">
      <c r="D37533" s="185"/>
      <c r="E37533" s="185" t="s">
        <v>470</v>
      </c>
      <c r="H37533" s="185"/>
    </row>
    <row r="37534">
      <c r="D37534" s="185"/>
      <c r="E37534" s="185" t="s">
        <v>470</v>
      </c>
      <c r="H37534" s="185"/>
    </row>
    <row r="37535">
      <c r="D37535" s="185"/>
      <c r="E37535" s="185" t="s">
        <v>470</v>
      </c>
      <c r="H37535" s="185"/>
    </row>
    <row r="37536">
      <c r="D37536" s="185"/>
      <c r="E37536" s="185" t="s">
        <v>470</v>
      </c>
      <c r="H37536" s="185"/>
    </row>
    <row r="37537">
      <c r="D37537" s="185"/>
      <c r="E37537" s="185" t="s">
        <v>470</v>
      </c>
      <c r="H37537" s="185"/>
    </row>
    <row r="37538">
      <c r="D37538" s="185"/>
      <c r="E37538" s="185" t="s">
        <v>470</v>
      </c>
      <c r="H37538" s="185"/>
    </row>
    <row r="37539">
      <c r="D37539" s="185"/>
      <c r="E37539" s="185" t="s">
        <v>470</v>
      </c>
      <c r="H37539" s="185"/>
    </row>
    <row r="37540">
      <c r="D37540" s="185"/>
      <c r="E37540" s="185" t="s">
        <v>470</v>
      </c>
      <c r="H37540" s="185"/>
    </row>
    <row r="37541">
      <c r="D37541" s="185"/>
      <c r="E37541" s="185" t="s">
        <v>470</v>
      </c>
      <c r="H37541" s="185"/>
    </row>
    <row r="37542">
      <c r="D37542" s="185"/>
      <c r="E37542" s="185" t="s">
        <v>470</v>
      </c>
      <c r="H37542" s="185"/>
    </row>
    <row r="37543">
      <c r="D37543" s="185"/>
      <c r="E37543" s="185" t="s">
        <v>470</v>
      </c>
      <c r="H37543" s="185"/>
    </row>
    <row r="37544">
      <c r="D37544" s="185"/>
      <c r="E37544" s="185" t="s">
        <v>470</v>
      </c>
      <c r="H37544" s="185"/>
    </row>
    <row r="37545">
      <c r="D37545" s="185"/>
      <c r="E37545" s="185" t="s">
        <v>470</v>
      </c>
      <c r="H37545" s="185"/>
    </row>
    <row r="37546">
      <c r="D37546" s="185"/>
      <c r="E37546" s="185" t="s">
        <v>470</v>
      </c>
      <c r="H37546" s="185"/>
    </row>
    <row r="37547">
      <c r="D37547" s="185"/>
      <c r="E37547" s="185" t="s">
        <v>470</v>
      </c>
      <c r="H37547" s="185"/>
    </row>
    <row r="37548">
      <c r="D37548" s="185"/>
      <c r="E37548" s="185" t="s">
        <v>470</v>
      </c>
      <c r="H37548" s="185"/>
    </row>
    <row r="37549">
      <c r="D37549" s="185"/>
      <c r="E37549" s="185" t="s">
        <v>470</v>
      </c>
      <c r="H37549" s="185"/>
    </row>
    <row r="37550">
      <c r="D37550" s="185"/>
      <c r="E37550" s="185" t="s">
        <v>470</v>
      </c>
      <c r="H37550" s="185"/>
    </row>
    <row r="37551">
      <c r="D37551" s="185"/>
      <c r="E37551" s="185" t="s">
        <v>470</v>
      </c>
      <c r="H37551" s="185"/>
    </row>
    <row r="37552">
      <c r="D37552" s="185"/>
      <c r="E37552" s="185" t="s">
        <v>470</v>
      </c>
      <c r="H37552" s="185"/>
    </row>
    <row r="37553">
      <c r="D37553" s="185"/>
      <c r="E37553" s="185" t="s">
        <v>470</v>
      </c>
      <c r="H37553" s="185"/>
    </row>
    <row r="37554">
      <c r="D37554" s="185"/>
      <c r="E37554" s="185" t="s">
        <v>470</v>
      </c>
      <c r="H37554" s="185"/>
    </row>
    <row r="37555">
      <c r="D37555" s="185"/>
      <c r="E37555" s="185" t="s">
        <v>470</v>
      </c>
      <c r="H37555" s="185"/>
    </row>
    <row r="37556">
      <c r="D37556" s="185"/>
      <c r="E37556" s="185" t="s">
        <v>470</v>
      </c>
      <c r="H37556" s="185"/>
    </row>
    <row r="37557">
      <c r="D37557" s="185"/>
      <c r="E37557" s="185" t="s">
        <v>470</v>
      </c>
      <c r="H37557" s="185"/>
    </row>
    <row r="37558">
      <c r="D37558" s="185"/>
      <c r="E37558" s="185" t="s">
        <v>470</v>
      </c>
      <c r="H37558" s="185"/>
    </row>
    <row r="37559">
      <c r="D37559" s="185"/>
      <c r="E37559" s="185" t="s">
        <v>470</v>
      </c>
      <c r="H37559" s="185"/>
    </row>
    <row r="37560">
      <c r="D37560" s="185"/>
      <c r="E37560" s="185" t="s">
        <v>470</v>
      </c>
      <c r="H37560" s="185"/>
    </row>
    <row r="37561">
      <c r="D37561" s="185"/>
      <c r="E37561" s="185" t="s">
        <v>470</v>
      </c>
      <c r="H37561" s="185"/>
    </row>
    <row r="37562">
      <c r="D37562" s="185"/>
      <c r="E37562" s="185" t="s">
        <v>470</v>
      </c>
      <c r="H37562" s="185"/>
    </row>
    <row r="37563">
      <c r="D37563" s="185"/>
      <c r="E37563" s="185" t="s">
        <v>470</v>
      </c>
      <c r="H37563" s="185"/>
    </row>
    <row r="37564">
      <c r="D37564" s="185"/>
      <c r="E37564" s="185" t="s">
        <v>470</v>
      </c>
      <c r="H37564" s="185"/>
    </row>
    <row r="37565">
      <c r="D37565" s="185"/>
      <c r="E37565" s="185" t="s">
        <v>470</v>
      </c>
      <c r="H37565" s="185"/>
    </row>
    <row r="37566">
      <c r="D37566" s="185"/>
      <c r="E37566" s="185" t="s">
        <v>470</v>
      </c>
      <c r="H37566" s="185"/>
    </row>
    <row r="37567">
      <c r="D37567" s="185"/>
      <c r="E37567" s="185" t="s">
        <v>470</v>
      </c>
      <c r="H37567" s="185"/>
    </row>
    <row r="37568">
      <c r="D37568" s="185"/>
      <c r="E37568" s="185" t="s">
        <v>470</v>
      </c>
      <c r="H37568" s="185"/>
    </row>
    <row r="37569">
      <c r="D37569" s="185"/>
      <c r="E37569" s="185" t="s">
        <v>470</v>
      </c>
      <c r="H37569" s="185"/>
    </row>
    <row r="37570">
      <c r="D37570" s="185"/>
      <c r="E37570" s="185" t="s">
        <v>470</v>
      </c>
      <c r="H37570" s="185"/>
    </row>
    <row r="37571">
      <c r="D37571" s="185"/>
      <c r="E37571" s="185" t="s">
        <v>470</v>
      </c>
      <c r="H37571" s="185"/>
    </row>
    <row r="37572">
      <c r="D37572" s="185"/>
      <c r="E37572" s="185" t="s">
        <v>470</v>
      </c>
      <c r="H37572" s="185"/>
    </row>
    <row r="37573">
      <c r="D37573" s="185"/>
      <c r="E37573" s="185" t="s">
        <v>470</v>
      </c>
      <c r="H37573" s="185"/>
    </row>
    <row r="37574">
      <c r="D37574" s="185"/>
      <c r="E37574" s="185" t="s">
        <v>470</v>
      </c>
      <c r="H37574" s="185"/>
    </row>
    <row r="37575">
      <c r="D37575" s="185"/>
      <c r="E37575" s="185" t="s">
        <v>470</v>
      </c>
      <c r="H37575" s="185"/>
    </row>
    <row r="37576">
      <c r="D37576" s="185"/>
      <c r="E37576" s="185" t="s">
        <v>470</v>
      </c>
      <c r="H37576" s="185"/>
    </row>
    <row r="37577">
      <c r="D37577" s="185"/>
      <c r="E37577" s="185" t="s">
        <v>470</v>
      </c>
      <c r="H37577" s="185"/>
    </row>
    <row r="37578">
      <c r="D37578" s="185"/>
      <c r="E37578" s="185" t="s">
        <v>470</v>
      </c>
      <c r="H37578" s="185"/>
    </row>
    <row r="37579">
      <c r="D37579" s="185"/>
      <c r="E37579" s="185" t="s">
        <v>470</v>
      </c>
      <c r="H37579" s="185"/>
    </row>
    <row r="37580">
      <c r="D37580" s="185"/>
      <c r="E37580" s="185" t="s">
        <v>470</v>
      </c>
      <c r="H37580" s="185"/>
    </row>
    <row r="37581">
      <c r="D37581" s="185"/>
      <c r="E37581" s="185" t="s">
        <v>470</v>
      </c>
      <c r="H37581" s="185"/>
    </row>
    <row r="37582">
      <c r="D37582" s="185"/>
      <c r="E37582" s="185" t="s">
        <v>470</v>
      </c>
      <c r="H37582" s="185"/>
    </row>
    <row r="37583">
      <c r="D37583" s="185"/>
      <c r="E37583" s="185" t="s">
        <v>470</v>
      </c>
      <c r="H37583" s="185"/>
    </row>
    <row r="37584">
      <c r="D37584" s="185"/>
      <c r="E37584" s="185" t="s">
        <v>470</v>
      </c>
      <c r="H37584" s="185"/>
    </row>
    <row r="37585">
      <c r="D37585" s="185"/>
      <c r="E37585" s="185" t="s">
        <v>470</v>
      </c>
      <c r="H37585" s="185"/>
    </row>
    <row r="37586">
      <c r="D37586" s="185"/>
      <c r="E37586" s="185" t="s">
        <v>470</v>
      </c>
      <c r="H37586" s="185"/>
    </row>
    <row r="37587">
      <c r="D37587" s="185"/>
      <c r="E37587" s="185" t="s">
        <v>470</v>
      </c>
      <c r="H37587" s="185"/>
    </row>
    <row r="37588">
      <c r="D37588" s="185"/>
      <c r="E37588" s="185" t="s">
        <v>470</v>
      </c>
      <c r="H37588" s="185"/>
    </row>
    <row r="37589">
      <c r="D37589" s="185"/>
      <c r="E37589" s="185" t="s">
        <v>470</v>
      </c>
      <c r="H37589" s="185"/>
    </row>
    <row r="37590">
      <c r="D37590" s="185"/>
      <c r="E37590" s="185" t="s">
        <v>470</v>
      </c>
      <c r="H37590" s="185"/>
    </row>
    <row r="37591">
      <c r="D37591" s="185"/>
      <c r="E37591" s="185" t="s">
        <v>470</v>
      </c>
      <c r="H37591" s="185"/>
    </row>
    <row r="37592">
      <c r="D37592" s="185"/>
      <c r="E37592" s="185" t="s">
        <v>470</v>
      </c>
      <c r="H37592" s="185"/>
    </row>
    <row r="37593">
      <c r="D37593" s="185"/>
      <c r="E37593" s="185" t="s">
        <v>470</v>
      </c>
      <c r="H37593" s="185"/>
    </row>
    <row r="37594">
      <c r="D37594" s="185"/>
      <c r="E37594" s="185" t="s">
        <v>470</v>
      </c>
      <c r="H37594" s="185"/>
    </row>
    <row r="37595">
      <c r="D37595" s="185"/>
      <c r="E37595" s="185" t="s">
        <v>470</v>
      </c>
      <c r="H37595" s="185"/>
    </row>
    <row r="37596">
      <c r="D37596" s="185"/>
      <c r="E37596" s="185" t="s">
        <v>470</v>
      </c>
      <c r="H37596" s="185"/>
    </row>
    <row r="37597">
      <c r="D37597" s="185"/>
      <c r="E37597" s="185" t="s">
        <v>470</v>
      </c>
      <c r="H37597" s="185"/>
    </row>
    <row r="37598">
      <c r="D37598" s="185"/>
      <c r="E37598" s="185" t="s">
        <v>470</v>
      </c>
      <c r="H37598" s="185"/>
    </row>
    <row r="37599">
      <c r="D37599" s="185"/>
      <c r="E37599" s="185" t="s">
        <v>470</v>
      </c>
      <c r="H37599" s="185"/>
    </row>
    <row r="37600">
      <c r="D37600" s="185"/>
      <c r="E37600" s="185" t="s">
        <v>470</v>
      </c>
      <c r="H37600" s="185"/>
    </row>
    <row r="37601">
      <c r="D37601" s="185"/>
      <c r="E37601" s="185" t="s">
        <v>470</v>
      </c>
      <c r="H37601" s="185"/>
    </row>
    <row r="37602">
      <c r="D37602" s="185"/>
      <c r="E37602" s="185" t="s">
        <v>470</v>
      </c>
      <c r="H37602" s="185"/>
    </row>
    <row r="37603">
      <c r="D37603" s="185"/>
      <c r="E37603" s="185" t="s">
        <v>470</v>
      </c>
      <c r="H37603" s="185"/>
    </row>
    <row r="37604">
      <c r="D37604" s="185"/>
      <c r="E37604" s="185" t="s">
        <v>470</v>
      </c>
      <c r="H37604" s="185"/>
    </row>
    <row r="37605">
      <c r="D37605" s="185"/>
      <c r="E37605" s="185" t="s">
        <v>470</v>
      </c>
      <c r="H37605" s="185"/>
    </row>
    <row r="37606">
      <c r="D37606" s="185"/>
      <c r="E37606" s="185" t="s">
        <v>470</v>
      </c>
      <c r="H37606" s="185"/>
    </row>
    <row r="37607">
      <c r="D37607" s="185"/>
      <c r="E37607" s="185" t="s">
        <v>470</v>
      </c>
      <c r="H37607" s="185"/>
    </row>
    <row r="37608">
      <c r="D37608" s="185"/>
      <c r="E37608" s="185" t="s">
        <v>470</v>
      </c>
      <c r="H37608" s="185"/>
    </row>
    <row r="37609">
      <c r="D37609" s="185"/>
      <c r="E37609" s="185" t="s">
        <v>470</v>
      </c>
      <c r="H37609" s="185"/>
    </row>
    <row r="37610">
      <c r="D37610" s="185"/>
      <c r="E37610" s="185" t="s">
        <v>470</v>
      </c>
      <c r="H37610" s="185"/>
    </row>
    <row r="37611">
      <c r="D37611" s="185"/>
      <c r="E37611" s="185" t="s">
        <v>470</v>
      </c>
      <c r="H37611" s="185"/>
    </row>
    <row r="37612">
      <c r="D37612" s="185"/>
      <c r="E37612" s="185" t="s">
        <v>470</v>
      </c>
      <c r="H37612" s="185"/>
    </row>
    <row r="37613">
      <c r="D37613" s="185"/>
      <c r="E37613" s="185" t="s">
        <v>470</v>
      </c>
      <c r="H37613" s="185"/>
    </row>
    <row r="37614">
      <c r="D37614" s="185"/>
      <c r="E37614" s="185" t="s">
        <v>470</v>
      </c>
      <c r="H37614" s="185"/>
    </row>
    <row r="37615">
      <c r="D37615" s="185"/>
      <c r="E37615" s="185" t="s">
        <v>470</v>
      </c>
      <c r="H37615" s="185"/>
    </row>
    <row r="37616">
      <c r="D37616" s="185"/>
      <c r="E37616" s="185" t="s">
        <v>470</v>
      </c>
      <c r="H37616" s="185"/>
    </row>
    <row r="37617">
      <c r="D37617" s="185"/>
      <c r="E37617" s="185" t="s">
        <v>470</v>
      </c>
      <c r="H37617" s="185"/>
    </row>
    <row r="37618">
      <c r="D37618" s="185"/>
      <c r="E37618" s="185" t="s">
        <v>470</v>
      </c>
      <c r="H37618" s="185"/>
    </row>
    <row r="37619">
      <c r="D37619" s="185"/>
      <c r="E37619" s="185" t="s">
        <v>470</v>
      </c>
      <c r="H37619" s="185"/>
    </row>
    <row r="37620">
      <c r="D37620" s="185"/>
      <c r="E37620" s="185" t="s">
        <v>470</v>
      </c>
      <c r="H37620" s="185"/>
    </row>
    <row r="37621">
      <c r="D37621" s="185"/>
      <c r="E37621" s="185" t="s">
        <v>470</v>
      </c>
      <c r="H37621" s="185"/>
    </row>
    <row r="37622">
      <c r="D37622" s="185"/>
      <c r="E37622" s="185" t="s">
        <v>470</v>
      </c>
      <c r="H37622" s="185"/>
    </row>
    <row r="37623">
      <c r="D37623" s="185"/>
      <c r="E37623" s="185" t="s">
        <v>470</v>
      </c>
      <c r="H37623" s="185"/>
    </row>
    <row r="37624">
      <c r="D37624" s="185"/>
      <c r="E37624" s="185" t="s">
        <v>470</v>
      </c>
      <c r="H37624" s="185"/>
    </row>
    <row r="37625">
      <c r="D37625" s="185"/>
      <c r="E37625" s="185" t="s">
        <v>470</v>
      </c>
      <c r="H37625" s="185"/>
    </row>
    <row r="37626">
      <c r="D37626" s="185"/>
      <c r="E37626" s="185" t="s">
        <v>470</v>
      </c>
      <c r="H37626" s="185"/>
    </row>
    <row r="37627">
      <c r="D37627" s="185"/>
      <c r="E37627" s="185" t="s">
        <v>470</v>
      </c>
      <c r="H37627" s="185"/>
    </row>
    <row r="37628">
      <c r="D37628" s="185"/>
      <c r="E37628" s="185" t="s">
        <v>470</v>
      </c>
      <c r="H37628" s="185"/>
    </row>
    <row r="37629">
      <c r="D37629" s="185"/>
      <c r="E37629" s="185" t="s">
        <v>470</v>
      </c>
      <c r="H37629" s="185"/>
    </row>
    <row r="37630">
      <c r="D37630" s="185"/>
      <c r="E37630" s="185" t="s">
        <v>470</v>
      </c>
      <c r="H37630" s="185"/>
    </row>
    <row r="37631">
      <c r="D37631" s="185"/>
      <c r="E37631" s="185" t="s">
        <v>470</v>
      </c>
      <c r="H37631" s="185"/>
    </row>
    <row r="37632">
      <c r="D37632" s="185"/>
      <c r="E37632" s="185" t="s">
        <v>470</v>
      </c>
      <c r="H37632" s="185"/>
    </row>
    <row r="37633">
      <c r="D37633" s="185"/>
      <c r="E37633" s="185" t="s">
        <v>470</v>
      </c>
      <c r="H37633" s="185"/>
    </row>
    <row r="37634">
      <c r="D37634" s="185"/>
      <c r="E37634" s="185" t="s">
        <v>470</v>
      </c>
      <c r="H37634" s="185"/>
    </row>
    <row r="37635">
      <c r="D37635" s="185"/>
      <c r="E37635" s="185" t="s">
        <v>470</v>
      </c>
      <c r="H37635" s="185"/>
    </row>
    <row r="37636">
      <c r="D37636" s="185"/>
      <c r="E37636" s="185" t="s">
        <v>470</v>
      </c>
      <c r="H37636" s="185"/>
    </row>
    <row r="37637">
      <c r="D37637" s="185"/>
      <c r="E37637" s="185" t="s">
        <v>470</v>
      </c>
      <c r="H37637" s="185"/>
    </row>
    <row r="37638">
      <c r="D37638" s="185"/>
      <c r="E37638" s="185" t="s">
        <v>470</v>
      </c>
      <c r="H37638" s="185"/>
    </row>
    <row r="37639">
      <c r="D37639" s="185"/>
      <c r="E37639" s="185" t="s">
        <v>470</v>
      </c>
      <c r="H37639" s="185"/>
    </row>
    <row r="37640">
      <c r="D37640" s="185"/>
      <c r="E37640" s="185" t="s">
        <v>470</v>
      </c>
      <c r="H37640" s="185"/>
    </row>
    <row r="37641">
      <c r="D37641" s="185"/>
      <c r="E37641" s="185" t="s">
        <v>470</v>
      </c>
      <c r="H37641" s="185"/>
    </row>
    <row r="37642">
      <c r="D37642" s="185"/>
      <c r="E37642" s="185" t="s">
        <v>470</v>
      </c>
      <c r="H37642" s="185"/>
    </row>
    <row r="37643">
      <c r="D37643" s="185"/>
      <c r="E37643" s="185" t="s">
        <v>470</v>
      </c>
      <c r="H37643" s="185"/>
    </row>
    <row r="37644">
      <c r="D37644" s="185"/>
      <c r="E37644" s="185" t="s">
        <v>470</v>
      </c>
      <c r="H37644" s="185"/>
    </row>
    <row r="37645">
      <c r="D37645" s="185"/>
      <c r="E37645" s="185" t="s">
        <v>470</v>
      </c>
      <c r="H37645" s="185"/>
    </row>
    <row r="37646">
      <c r="D37646" s="185"/>
      <c r="E37646" s="185" t="s">
        <v>470</v>
      </c>
      <c r="H37646" s="185"/>
    </row>
    <row r="37647">
      <c r="D37647" s="185"/>
      <c r="E37647" s="185" t="s">
        <v>470</v>
      </c>
      <c r="H37647" s="185"/>
    </row>
    <row r="37648">
      <c r="D37648" s="185"/>
      <c r="E37648" s="185" t="s">
        <v>470</v>
      </c>
      <c r="H37648" s="185"/>
    </row>
    <row r="37649">
      <c r="D37649" s="185"/>
      <c r="E37649" s="185" t="s">
        <v>470</v>
      </c>
      <c r="H37649" s="185"/>
    </row>
    <row r="37650">
      <c r="D37650" s="185"/>
      <c r="E37650" s="185" t="s">
        <v>470</v>
      </c>
      <c r="H37650" s="185"/>
    </row>
    <row r="37651">
      <c r="D37651" s="185"/>
      <c r="E37651" s="185" t="s">
        <v>470</v>
      </c>
      <c r="H37651" s="185"/>
    </row>
    <row r="37652">
      <c r="D37652" s="185"/>
      <c r="E37652" s="185" t="s">
        <v>470</v>
      </c>
      <c r="H37652" s="185"/>
    </row>
    <row r="37653">
      <c r="D37653" s="185"/>
      <c r="E37653" s="185" t="s">
        <v>470</v>
      </c>
      <c r="H37653" s="185"/>
    </row>
    <row r="37654">
      <c r="D37654" s="185"/>
      <c r="E37654" s="185" t="s">
        <v>470</v>
      </c>
      <c r="H37654" s="185"/>
    </row>
    <row r="37655">
      <c r="D37655" s="185"/>
      <c r="E37655" s="185" t="s">
        <v>470</v>
      </c>
      <c r="H37655" s="185"/>
    </row>
    <row r="37656">
      <c r="D37656" s="185"/>
      <c r="E37656" s="185" t="s">
        <v>470</v>
      </c>
      <c r="H37656" s="185"/>
    </row>
    <row r="37657">
      <c r="D37657" s="185"/>
      <c r="E37657" s="185" t="s">
        <v>470</v>
      </c>
      <c r="H37657" s="185"/>
    </row>
    <row r="37658">
      <c r="D37658" s="185"/>
      <c r="E37658" s="185" t="s">
        <v>470</v>
      </c>
      <c r="H37658" s="185"/>
    </row>
    <row r="37659">
      <c r="D37659" s="185"/>
      <c r="E37659" s="185" t="s">
        <v>470</v>
      </c>
      <c r="H37659" s="185"/>
    </row>
    <row r="37660">
      <c r="D37660" s="185"/>
      <c r="E37660" s="185" t="s">
        <v>470</v>
      </c>
      <c r="H37660" s="185"/>
    </row>
    <row r="37661">
      <c r="D37661" s="185"/>
      <c r="E37661" s="185" t="s">
        <v>470</v>
      </c>
      <c r="H37661" s="185"/>
    </row>
    <row r="37662">
      <c r="D37662" s="185"/>
      <c r="E37662" s="185" t="s">
        <v>470</v>
      </c>
      <c r="H37662" s="185"/>
    </row>
    <row r="37663">
      <c r="D37663" s="185"/>
      <c r="E37663" s="185" t="s">
        <v>470</v>
      </c>
      <c r="H37663" s="185"/>
    </row>
    <row r="37664">
      <c r="D37664" s="185"/>
      <c r="E37664" s="185" t="s">
        <v>470</v>
      </c>
      <c r="H37664" s="185"/>
    </row>
    <row r="37665">
      <c r="D37665" s="185"/>
      <c r="E37665" s="185" t="s">
        <v>470</v>
      </c>
      <c r="H37665" s="185"/>
    </row>
    <row r="37666">
      <c r="D37666" s="185"/>
      <c r="E37666" s="185" t="s">
        <v>470</v>
      </c>
      <c r="H37666" s="185"/>
    </row>
    <row r="37667">
      <c r="D37667" s="185"/>
      <c r="E37667" s="185" t="s">
        <v>470</v>
      </c>
      <c r="H37667" s="185"/>
    </row>
    <row r="37668">
      <c r="D37668" s="185"/>
      <c r="E37668" s="185" t="s">
        <v>470</v>
      </c>
      <c r="H37668" s="185"/>
    </row>
    <row r="37669">
      <c r="D37669" s="185"/>
      <c r="E37669" s="185" t="s">
        <v>470</v>
      </c>
      <c r="H37669" s="185"/>
    </row>
    <row r="37670">
      <c r="D37670" s="185"/>
      <c r="E37670" s="185" t="s">
        <v>470</v>
      </c>
      <c r="H37670" s="185"/>
    </row>
    <row r="37671">
      <c r="D37671" s="185"/>
      <c r="E37671" s="185" t="s">
        <v>470</v>
      </c>
      <c r="H37671" s="185"/>
    </row>
    <row r="37672">
      <c r="D37672" s="185"/>
      <c r="E37672" s="185" t="s">
        <v>470</v>
      </c>
      <c r="H37672" s="185"/>
    </row>
    <row r="37673">
      <c r="D37673" s="185"/>
      <c r="E37673" s="185" t="s">
        <v>470</v>
      </c>
      <c r="H37673" s="185"/>
    </row>
    <row r="37674">
      <c r="D37674" s="185"/>
      <c r="E37674" s="185" t="s">
        <v>470</v>
      </c>
      <c r="H37674" s="185"/>
    </row>
    <row r="37675">
      <c r="D37675" s="185"/>
      <c r="E37675" s="185" t="s">
        <v>470</v>
      </c>
      <c r="H37675" s="185"/>
    </row>
    <row r="37676">
      <c r="D37676" s="185"/>
      <c r="E37676" s="185" t="s">
        <v>470</v>
      </c>
      <c r="H37676" s="185"/>
    </row>
    <row r="37677">
      <c r="D37677" s="185"/>
      <c r="E37677" s="185" t="s">
        <v>470</v>
      </c>
      <c r="H37677" s="185"/>
    </row>
    <row r="37678">
      <c r="D37678" s="185"/>
      <c r="E37678" s="185" t="s">
        <v>470</v>
      </c>
      <c r="H37678" s="185"/>
    </row>
    <row r="37679">
      <c r="D37679" s="185"/>
      <c r="E37679" s="185" t="s">
        <v>470</v>
      </c>
      <c r="H37679" s="185"/>
    </row>
    <row r="37680">
      <c r="D37680" s="185"/>
      <c r="E37680" s="185" t="s">
        <v>470</v>
      </c>
      <c r="H37680" s="185"/>
    </row>
    <row r="37681">
      <c r="D37681" s="185"/>
      <c r="E37681" s="185" t="s">
        <v>470</v>
      </c>
      <c r="H37681" s="185"/>
    </row>
    <row r="37682">
      <c r="D37682" s="185"/>
      <c r="E37682" s="185" t="s">
        <v>470</v>
      </c>
      <c r="H37682" s="185"/>
    </row>
    <row r="37683">
      <c r="D37683" s="185"/>
      <c r="E37683" s="185" t="s">
        <v>470</v>
      </c>
      <c r="H37683" s="185"/>
    </row>
    <row r="37684">
      <c r="D37684" s="185"/>
      <c r="E37684" s="185" t="s">
        <v>470</v>
      </c>
      <c r="H37684" s="185"/>
    </row>
    <row r="37685">
      <c r="D37685" s="185"/>
      <c r="E37685" s="185" t="s">
        <v>470</v>
      </c>
      <c r="H37685" s="185"/>
    </row>
    <row r="37686">
      <c r="D37686" s="185"/>
      <c r="E37686" s="185" t="s">
        <v>470</v>
      </c>
      <c r="H37686" s="185"/>
    </row>
    <row r="37687">
      <c r="D37687" s="185"/>
      <c r="E37687" s="185" t="s">
        <v>470</v>
      </c>
      <c r="H37687" s="185"/>
    </row>
    <row r="37688">
      <c r="D37688" s="185"/>
      <c r="E37688" s="185" t="s">
        <v>470</v>
      </c>
      <c r="H37688" s="185"/>
    </row>
    <row r="37689">
      <c r="D37689" s="185"/>
      <c r="E37689" s="185" t="s">
        <v>470</v>
      </c>
      <c r="H37689" s="185"/>
    </row>
    <row r="37690">
      <c r="D37690" s="185"/>
      <c r="E37690" s="185" t="s">
        <v>470</v>
      </c>
      <c r="H37690" s="185"/>
    </row>
    <row r="37691">
      <c r="D37691" s="185"/>
      <c r="E37691" s="185" t="s">
        <v>470</v>
      </c>
      <c r="H37691" s="185"/>
    </row>
    <row r="37692">
      <c r="D37692" s="185"/>
      <c r="E37692" s="185" t="s">
        <v>470</v>
      </c>
      <c r="H37692" s="185"/>
    </row>
    <row r="37693">
      <c r="D37693" s="185"/>
      <c r="E37693" s="185" t="s">
        <v>470</v>
      </c>
      <c r="H37693" s="185"/>
    </row>
    <row r="37694">
      <c r="D37694" s="185"/>
      <c r="E37694" s="185" t="s">
        <v>470</v>
      </c>
      <c r="H37694" s="185"/>
    </row>
    <row r="37695">
      <c r="D37695" s="185"/>
      <c r="E37695" s="185" t="s">
        <v>470</v>
      </c>
      <c r="H37695" s="185"/>
    </row>
    <row r="37696">
      <c r="D37696" s="185"/>
      <c r="E37696" s="185" t="s">
        <v>470</v>
      </c>
      <c r="H37696" s="185"/>
    </row>
    <row r="37697">
      <c r="D37697" s="185"/>
      <c r="E37697" s="185" t="s">
        <v>470</v>
      </c>
      <c r="H37697" s="185"/>
    </row>
    <row r="37698">
      <c r="D37698" s="185"/>
      <c r="E37698" s="185" t="s">
        <v>470</v>
      </c>
      <c r="H37698" s="185"/>
    </row>
    <row r="37699">
      <c r="D37699" s="185"/>
      <c r="E37699" s="185" t="s">
        <v>470</v>
      </c>
      <c r="H37699" s="185"/>
    </row>
    <row r="37700">
      <c r="D37700" s="185"/>
      <c r="E37700" s="185" t="s">
        <v>470</v>
      </c>
      <c r="H37700" s="185"/>
    </row>
    <row r="37701">
      <c r="D37701" s="185"/>
      <c r="E37701" s="185" t="s">
        <v>470</v>
      </c>
      <c r="H37701" s="185"/>
    </row>
    <row r="37702">
      <c r="D37702" s="185"/>
      <c r="E37702" s="185" t="s">
        <v>470</v>
      </c>
      <c r="H37702" s="185"/>
    </row>
    <row r="37703">
      <c r="D37703" s="185"/>
      <c r="E37703" s="185" t="s">
        <v>470</v>
      </c>
      <c r="H37703" s="185"/>
    </row>
    <row r="37704">
      <c r="D37704" s="185"/>
      <c r="E37704" s="185" t="s">
        <v>470</v>
      </c>
      <c r="H37704" s="185"/>
    </row>
    <row r="37705">
      <c r="D37705" s="185"/>
      <c r="E37705" s="185" t="s">
        <v>470</v>
      </c>
      <c r="H37705" s="185"/>
    </row>
    <row r="37706">
      <c r="D37706" s="185"/>
      <c r="E37706" s="185" t="s">
        <v>470</v>
      </c>
      <c r="H37706" s="185"/>
    </row>
    <row r="37707">
      <c r="D37707" s="185"/>
      <c r="E37707" s="185" t="s">
        <v>470</v>
      </c>
      <c r="H37707" s="185"/>
    </row>
    <row r="37708">
      <c r="D37708" s="185"/>
      <c r="E37708" s="185" t="s">
        <v>470</v>
      </c>
      <c r="H37708" s="185"/>
    </row>
    <row r="37709">
      <c r="D37709" s="185"/>
      <c r="E37709" s="185" t="s">
        <v>470</v>
      </c>
      <c r="H37709" s="185"/>
    </row>
    <row r="37710">
      <c r="D37710" s="185"/>
      <c r="E37710" s="185" t="s">
        <v>470</v>
      </c>
      <c r="H37710" s="185"/>
    </row>
    <row r="37711">
      <c r="D37711" s="185"/>
      <c r="E37711" s="185" t="s">
        <v>470</v>
      </c>
      <c r="H37711" s="185"/>
    </row>
    <row r="37712">
      <c r="D37712" s="185"/>
      <c r="E37712" s="185" t="s">
        <v>470</v>
      </c>
      <c r="H37712" s="185"/>
    </row>
    <row r="37713">
      <c r="D37713" s="185"/>
      <c r="E37713" s="185" t="s">
        <v>470</v>
      </c>
      <c r="H37713" s="185"/>
    </row>
    <row r="37714">
      <c r="D37714" s="185"/>
      <c r="E37714" s="185" t="s">
        <v>470</v>
      </c>
      <c r="H37714" s="185"/>
    </row>
    <row r="37715">
      <c r="D37715" s="185"/>
      <c r="E37715" s="185" t="s">
        <v>470</v>
      </c>
      <c r="H37715" s="185"/>
    </row>
    <row r="37716">
      <c r="D37716" s="185"/>
      <c r="E37716" s="185" t="s">
        <v>470</v>
      </c>
      <c r="H37716" s="185"/>
    </row>
    <row r="37717">
      <c r="D37717" s="185"/>
      <c r="E37717" s="185" t="s">
        <v>470</v>
      </c>
      <c r="H37717" s="185"/>
    </row>
    <row r="37718">
      <c r="D37718" s="185"/>
      <c r="E37718" s="185" t="s">
        <v>470</v>
      </c>
      <c r="H37718" s="185"/>
    </row>
    <row r="37719">
      <c r="D37719" s="185"/>
      <c r="E37719" s="185" t="s">
        <v>470</v>
      </c>
      <c r="H37719" s="185"/>
    </row>
    <row r="37720">
      <c r="D37720" s="185"/>
      <c r="E37720" s="185" t="s">
        <v>470</v>
      </c>
      <c r="H37720" s="185"/>
    </row>
    <row r="37721">
      <c r="D37721" s="185"/>
      <c r="E37721" s="185" t="s">
        <v>470</v>
      </c>
      <c r="H37721" s="185"/>
    </row>
    <row r="37722">
      <c r="D37722" s="185"/>
      <c r="E37722" s="185" t="s">
        <v>470</v>
      </c>
      <c r="H37722" s="185"/>
    </row>
    <row r="37723">
      <c r="D37723" s="185"/>
      <c r="E37723" s="185" t="s">
        <v>470</v>
      </c>
      <c r="H37723" s="185"/>
    </row>
    <row r="37724">
      <c r="D37724" s="185"/>
      <c r="E37724" s="185" t="s">
        <v>470</v>
      </c>
      <c r="H37724" s="185"/>
    </row>
    <row r="37725">
      <c r="D37725" s="185"/>
      <c r="E37725" s="185" t="s">
        <v>470</v>
      </c>
      <c r="H37725" s="185"/>
    </row>
    <row r="37726">
      <c r="D37726" s="185"/>
      <c r="E37726" s="185" t="s">
        <v>470</v>
      </c>
      <c r="H37726" s="185"/>
    </row>
    <row r="37727">
      <c r="D37727" s="185"/>
      <c r="E37727" s="185" t="s">
        <v>470</v>
      </c>
      <c r="H37727" s="185"/>
    </row>
    <row r="37728">
      <c r="D37728" s="185"/>
      <c r="E37728" s="185" t="s">
        <v>470</v>
      </c>
      <c r="H37728" s="185"/>
    </row>
    <row r="37729">
      <c r="D37729" s="185"/>
      <c r="E37729" s="185" t="s">
        <v>470</v>
      </c>
      <c r="H37729" s="185"/>
    </row>
    <row r="37730">
      <c r="D37730" s="185"/>
      <c r="E37730" s="185" t="s">
        <v>470</v>
      </c>
      <c r="H37730" s="185"/>
    </row>
    <row r="37731">
      <c r="D37731" s="185"/>
      <c r="E37731" s="185" t="s">
        <v>470</v>
      </c>
      <c r="H37731" s="185"/>
    </row>
    <row r="37732">
      <c r="D37732" s="185"/>
      <c r="E37732" s="185" t="s">
        <v>470</v>
      </c>
      <c r="H37732" s="185"/>
    </row>
    <row r="37733">
      <c r="D37733" s="185"/>
      <c r="E37733" s="185" t="s">
        <v>470</v>
      </c>
      <c r="H37733" s="185"/>
    </row>
    <row r="37734">
      <c r="D37734" s="185"/>
      <c r="E37734" s="185" t="s">
        <v>470</v>
      </c>
      <c r="H37734" s="185"/>
    </row>
    <row r="37735">
      <c r="D37735" s="185"/>
      <c r="E37735" s="185" t="s">
        <v>470</v>
      </c>
      <c r="H37735" s="185"/>
    </row>
    <row r="37736">
      <c r="D37736" s="185"/>
      <c r="E37736" s="185" t="s">
        <v>470</v>
      </c>
      <c r="H37736" s="185"/>
    </row>
    <row r="37737">
      <c r="D37737" s="185"/>
      <c r="E37737" s="185" t="s">
        <v>470</v>
      </c>
      <c r="H37737" s="185"/>
    </row>
    <row r="37738">
      <c r="D37738" s="185"/>
      <c r="E37738" s="185" t="s">
        <v>470</v>
      </c>
      <c r="H37738" s="185"/>
    </row>
    <row r="37739">
      <c r="D37739" s="185"/>
      <c r="E37739" s="185" t="s">
        <v>470</v>
      </c>
      <c r="H37739" s="185"/>
    </row>
    <row r="37740">
      <c r="D37740" s="185"/>
      <c r="E37740" s="185" t="s">
        <v>470</v>
      </c>
      <c r="H37740" s="185"/>
    </row>
    <row r="37741">
      <c r="D37741" s="185"/>
      <c r="E37741" s="185" t="s">
        <v>470</v>
      </c>
      <c r="H37741" s="185"/>
    </row>
    <row r="37742">
      <c r="D37742" s="185"/>
      <c r="E37742" s="185" t="s">
        <v>470</v>
      </c>
      <c r="H37742" s="185"/>
    </row>
    <row r="37743">
      <c r="D37743" s="185"/>
      <c r="E37743" s="185" t="s">
        <v>470</v>
      </c>
      <c r="H37743" s="185"/>
    </row>
    <row r="37744">
      <c r="D37744" s="185"/>
      <c r="E37744" s="185" t="s">
        <v>470</v>
      </c>
      <c r="H37744" s="185"/>
    </row>
    <row r="37745">
      <c r="D37745" s="185"/>
      <c r="E37745" s="185" t="s">
        <v>470</v>
      </c>
      <c r="H37745" s="185"/>
    </row>
    <row r="37746">
      <c r="D37746" s="185"/>
      <c r="E37746" s="185" t="s">
        <v>470</v>
      </c>
      <c r="H37746" s="185"/>
    </row>
    <row r="37747">
      <c r="D37747" s="185"/>
      <c r="E37747" s="185" t="s">
        <v>470</v>
      </c>
      <c r="H37747" s="185"/>
    </row>
    <row r="37748">
      <c r="D37748" s="185"/>
      <c r="E37748" s="185" t="s">
        <v>470</v>
      </c>
      <c r="H37748" s="185"/>
    </row>
    <row r="37749">
      <c r="D37749" s="185"/>
      <c r="E37749" s="185" t="s">
        <v>470</v>
      </c>
      <c r="H37749" s="185"/>
    </row>
    <row r="37750">
      <c r="D37750" s="185"/>
      <c r="E37750" s="185" t="s">
        <v>470</v>
      </c>
      <c r="H37750" s="185"/>
    </row>
    <row r="37751">
      <c r="D37751" s="185"/>
      <c r="E37751" s="185" t="s">
        <v>470</v>
      </c>
      <c r="H37751" s="185"/>
    </row>
    <row r="37752">
      <c r="D37752" s="185"/>
      <c r="E37752" s="185" t="s">
        <v>470</v>
      </c>
      <c r="H37752" s="185"/>
    </row>
    <row r="37753">
      <c r="D37753" s="185"/>
      <c r="E37753" s="185" t="s">
        <v>470</v>
      </c>
      <c r="H37753" s="185"/>
    </row>
    <row r="37754">
      <c r="D37754" s="185"/>
      <c r="E37754" s="185" t="s">
        <v>470</v>
      </c>
      <c r="H37754" s="185"/>
    </row>
    <row r="37755">
      <c r="D37755" s="185"/>
      <c r="E37755" s="185" t="s">
        <v>470</v>
      </c>
      <c r="H37755" s="185"/>
    </row>
    <row r="37756">
      <c r="D37756" s="185"/>
      <c r="E37756" s="185" t="s">
        <v>470</v>
      </c>
      <c r="H37756" s="185"/>
    </row>
    <row r="37757">
      <c r="D37757" s="185"/>
      <c r="E37757" s="185" t="s">
        <v>470</v>
      </c>
      <c r="H37757" s="185"/>
    </row>
    <row r="37758">
      <c r="D37758" s="185"/>
      <c r="E37758" s="185" t="s">
        <v>470</v>
      </c>
      <c r="H37758" s="185"/>
    </row>
    <row r="37759">
      <c r="D37759" s="185"/>
      <c r="E37759" s="185" t="s">
        <v>470</v>
      </c>
      <c r="H37759" s="185"/>
    </row>
    <row r="37760">
      <c r="D37760" s="185"/>
      <c r="E37760" s="185" t="s">
        <v>470</v>
      </c>
      <c r="H37760" s="185"/>
    </row>
    <row r="37761">
      <c r="D37761" s="185"/>
      <c r="E37761" s="185" t="s">
        <v>470</v>
      </c>
      <c r="H37761" s="185"/>
    </row>
    <row r="37762">
      <c r="D37762" s="185"/>
      <c r="E37762" s="185" t="s">
        <v>470</v>
      </c>
      <c r="H37762" s="185"/>
    </row>
    <row r="37763">
      <c r="D37763" s="185"/>
      <c r="E37763" s="185" t="s">
        <v>470</v>
      </c>
      <c r="H37763" s="185"/>
    </row>
    <row r="37764">
      <c r="D37764" s="185"/>
      <c r="E37764" s="185" t="s">
        <v>470</v>
      </c>
      <c r="H37764" s="185"/>
    </row>
    <row r="37765">
      <c r="D37765" s="185"/>
      <c r="E37765" s="185" t="s">
        <v>470</v>
      </c>
      <c r="H37765" s="185"/>
    </row>
    <row r="37766">
      <c r="D37766" s="185"/>
      <c r="E37766" s="185" t="s">
        <v>470</v>
      </c>
      <c r="H37766" s="185"/>
    </row>
    <row r="37767">
      <c r="D37767" s="185"/>
      <c r="E37767" s="185" t="s">
        <v>470</v>
      </c>
      <c r="H37767" s="185"/>
    </row>
    <row r="37768">
      <c r="D37768" s="185"/>
      <c r="E37768" s="185" t="s">
        <v>470</v>
      </c>
      <c r="H37768" s="185"/>
    </row>
    <row r="37769">
      <c r="D37769" s="185"/>
      <c r="E37769" s="185" t="s">
        <v>470</v>
      </c>
      <c r="H37769" s="185"/>
    </row>
    <row r="37770">
      <c r="D37770" s="185"/>
      <c r="E37770" s="185" t="s">
        <v>470</v>
      </c>
      <c r="H37770" s="185"/>
    </row>
    <row r="37771">
      <c r="D37771" s="185"/>
      <c r="E37771" s="185" t="s">
        <v>470</v>
      </c>
      <c r="H37771" s="185"/>
    </row>
    <row r="37772">
      <c r="D37772" s="185"/>
      <c r="E37772" s="185" t="s">
        <v>470</v>
      </c>
      <c r="H37772" s="185"/>
    </row>
    <row r="37773">
      <c r="D37773" s="185"/>
      <c r="E37773" s="185" t="s">
        <v>470</v>
      </c>
      <c r="H37773" s="185"/>
    </row>
    <row r="37774">
      <c r="D37774" s="185"/>
      <c r="E37774" s="185" t="s">
        <v>470</v>
      </c>
      <c r="H37774" s="185"/>
    </row>
    <row r="37775">
      <c r="D37775" s="185"/>
      <c r="E37775" s="185" t="s">
        <v>470</v>
      </c>
      <c r="H37775" s="185"/>
    </row>
    <row r="37776">
      <c r="D37776" s="185"/>
      <c r="E37776" s="185" t="s">
        <v>470</v>
      </c>
      <c r="H37776" s="185"/>
    </row>
    <row r="37777">
      <c r="D37777" s="185"/>
      <c r="E37777" s="185" t="s">
        <v>470</v>
      </c>
      <c r="H37777" s="185"/>
    </row>
    <row r="37778">
      <c r="D37778" s="185"/>
      <c r="E37778" s="185" t="s">
        <v>470</v>
      </c>
      <c r="H37778" s="185"/>
    </row>
    <row r="37779">
      <c r="D37779" s="185"/>
      <c r="E37779" s="185" t="s">
        <v>470</v>
      </c>
      <c r="H37779" s="185"/>
    </row>
    <row r="37780">
      <c r="D37780" s="185"/>
      <c r="E37780" s="185" t="s">
        <v>470</v>
      </c>
      <c r="H37780" s="185"/>
    </row>
    <row r="37781">
      <c r="D37781" s="185"/>
      <c r="E37781" s="185" t="s">
        <v>470</v>
      </c>
      <c r="H37781" s="185"/>
    </row>
    <row r="37782">
      <c r="D37782" s="185"/>
      <c r="E37782" s="185" t="s">
        <v>470</v>
      </c>
      <c r="H37782" s="185"/>
    </row>
    <row r="37783">
      <c r="D37783" s="185"/>
      <c r="E37783" s="185" t="s">
        <v>470</v>
      </c>
      <c r="H37783" s="185"/>
    </row>
    <row r="37784">
      <c r="D37784" s="185"/>
      <c r="E37784" s="185" t="s">
        <v>470</v>
      </c>
      <c r="H37784" s="185"/>
    </row>
    <row r="37785">
      <c r="D37785" s="185"/>
      <c r="E37785" s="185" t="s">
        <v>470</v>
      </c>
      <c r="H37785" s="185"/>
    </row>
    <row r="37786">
      <c r="D37786" s="185"/>
      <c r="E37786" s="185" t="s">
        <v>470</v>
      </c>
      <c r="H37786" s="185"/>
    </row>
    <row r="37787">
      <c r="D37787" s="185"/>
      <c r="E37787" s="185" t="s">
        <v>470</v>
      </c>
      <c r="H37787" s="185"/>
    </row>
    <row r="37788">
      <c r="D37788" s="185"/>
      <c r="E37788" s="185" t="s">
        <v>470</v>
      </c>
      <c r="H37788" s="185"/>
    </row>
    <row r="37789">
      <c r="D37789" s="185"/>
      <c r="E37789" s="185" t="s">
        <v>470</v>
      </c>
      <c r="H37789" s="185"/>
    </row>
    <row r="37790">
      <c r="D37790" s="185"/>
      <c r="E37790" s="185" t="s">
        <v>470</v>
      </c>
      <c r="H37790" s="185"/>
    </row>
    <row r="37791">
      <c r="D37791" s="185"/>
      <c r="E37791" s="185" t="s">
        <v>470</v>
      </c>
      <c r="H37791" s="185"/>
    </row>
    <row r="37792">
      <c r="D37792" s="185"/>
      <c r="E37792" s="185" t="s">
        <v>470</v>
      </c>
      <c r="H37792" s="185"/>
    </row>
    <row r="37793">
      <c r="D37793" s="185"/>
      <c r="E37793" s="185" t="s">
        <v>470</v>
      </c>
      <c r="H37793" s="185"/>
    </row>
    <row r="37794">
      <c r="D37794" s="185"/>
      <c r="E37794" s="185" t="s">
        <v>470</v>
      </c>
      <c r="H37794" s="185"/>
    </row>
    <row r="37795">
      <c r="D37795" s="185"/>
      <c r="E37795" s="185" t="s">
        <v>470</v>
      </c>
      <c r="H37795" s="185"/>
    </row>
    <row r="37796">
      <c r="D37796" s="185"/>
      <c r="E37796" s="185" t="s">
        <v>470</v>
      </c>
      <c r="H37796" s="185"/>
    </row>
    <row r="37797">
      <c r="D37797" s="185"/>
      <c r="E37797" s="185" t="s">
        <v>470</v>
      </c>
      <c r="H37797" s="185"/>
    </row>
    <row r="37798">
      <c r="D37798" s="185"/>
      <c r="E37798" s="185" t="s">
        <v>470</v>
      </c>
      <c r="H37798" s="185"/>
    </row>
    <row r="37799">
      <c r="D37799" s="185"/>
      <c r="E37799" s="185" t="s">
        <v>470</v>
      </c>
      <c r="H37799" s="185"/>
    </row>
    <row r="37800">
      <c r="D37800" s="185"/>
      <c r="E37800" s="185" t="s">
        <v>470</v>
      </c>
      <c r="H37800" s="185"/>
    </row>
    <row r="37801">
      <c r="D37801" s="185"/>
      <c r="E37801" s="185" t="s">
        <v>470</v>
      </c>
      <c r="H37801" s="185"/>
    </row>
    <row r="37802">
      <c r="D37802" s="185"/>
      <c r="E37802" s="185" t="s">
        <v>470</v>
      </c>
      <c r="H37802" s="185"/>
    </row>
    <row r="37803">
      <c r="D37803" s="185"/>
      <c r="E37803" s="185" t="s">
        <v>470</v>
      </c>
      <c r="H37803" s="185"/>
    </row>
    <row r="37804">
      <c r="D37804" s="185"/>
      <c r="E37804" s="185" t="s">
        <v>470</v>
      </c>
      <c r="H37804" s="185"/>
    </row>
    <row r="37805">
      <c r="D37805" s="185"/>
      <c r="E37805" s="185" t="s">
        <v>470</v>
      </c>
      <c r="H37805" s="185"/>
    </row>
    <row r="37806">
      <c r="D37806" s="185"/>
      <c r="E37806" s="185" t="s">
        <v>470</v>
      </c>
      <c r="H37806" s="185"/>
    </row>
    <row r="37807">
      <c r="D37807" s="185"/>
      <c r="E37807" s="185" t="s">
        <v>470</v>
      </c>
      <c r="H37807" s="185"/>
    </row>
    <row r="37808">
      <c r="D37808" s="185"/>
      <c r="E37808" s="185" t="s">
        <v>470</v>
      </c>
      <c r="H37808" s="185"/>
    </row>
    <row r="37809">
      <c r="D37809" s="185"/>
      <c r="E37809" s="185" t="s">
        <v>470</v>
      </c>
      <c r="H37809" s="185"/>
    </row>
    <row r="37810">
      <c r="D37810" s="185"/>
      <c r="E37810" s="185" t="s">
        <v>470</v>
      </c>
      <c r="H37810" s="185"/>
    </row>
    <row r="37811">
      <c r="D37811" s="185"/>
      <c r="E37811" s="185" t="s">
        <v>470</v>
      </c>
      <c r="H37811" s="185"/>
    </row>
    <row r="37812">
      <c r="D37812" s="185"/>
      <c r="E37812" s="185" t="s">
        <v>470</v>
      </c>
      <c r="H37812" s="185"/>
    </row>
    <row r="37813">
      <c r="D37813" s="185"/>
      <c r="E37813" s="185" t="s">
        <v>470</v>
      </c>
      <c r="H37813" s="185"/>
    </row>
    <row r="37814">
      <c r="D37814" s="185"/>
      <c r="E37814" s="185" t="s">
        <v>470</v>
      </c>
      <c r="H37814" s="185"/>
    </row>
    <row r="37815">
      <c r="D37815" s="185"/>
      <c r="E37815" s="185" t="s">
        <v>470</v>
      </c>
      <c r="H37815" s="185"/>
    </row>
    <row r="37816">
      <c r="D37816" s="185"/>
      <c r="E37816" s="185" t="s">
        <v>470</v>
      </c>
      <c r="H37816" s="185"/>
    </row>
    <row r="37817">
      <c r="D37817" s="185"/>
      <c r="E37817" s="185" t="s">
        <v>470</v>
      </c>
      <c r="H37817" s="185"/>
    </row>
    <row r="37818">
      <c r="D37818" s="185"/>
      <c r="E37818" s="185" t="s">
        <v>470</v>
      </c>
      <c r="H37818" s="185"/>
    </row>
    <row r="37819">
      <c r="D37819" s="185"/>
      <c r="E37819" s="185" t="s">
        <v>470</v>
      </c>
      <c r="H37819" s="185"/>
    </row>
    <row r="37820">
      <c r="D37820" s="185"/>
      <c r="E37820" s="185" t="s">
        <v>470</v>
      </c>
      <c r="H37820" s="185"/>
    </row>
    <row r="37821">
      <c r="D37821" s="185"/>
      <c r="E37821" s="185" t="s">
        <v>470</v>
      </c>
      <c r="H37821" s="185"/>
    </row>
    <row r="37822">
      <c r="D37822" s="185"/>
      <c r="E37822" s="185" t="s">
        <v>470</v>
      </c>
      <c r="H37822" s="185"/>
    </row>
    <row r="37823">
      <c r="D37823" s="185"/>
      <c r="E37823" s="185" t="s">
        <v>470</v>
      </c>
      <c r="H37823" s="185"/>
    </row>
    <row r="37824">
      <c r="D37824" s="185"/>
      <c r="E37824" s="185" t="s">
        <v>470</v>
      </c>
      <c r="H37824" s="185"/>
    </row>
    <row r="37825">
      <c r="D37825" s="185"/>
      <c r="E37825" s="185" t="s">
        <v>470</v>
      </c>
      <c r="H37825" s="185"/>
    </row>
    <row r="37826">
      <c r="D37826" s="185"/>
      <c r="E37826" s="185" t="s">
        <v>470</v>
      </c>
      <c r="H37826" s="185"/>
    </row>
    <row r="37827">
      <c r="D37827" s="185"/>
      <c r="E37827" s="185" t="s">
        <v>470</v>
      </c>
      <c r="H37827" s="185"/>
    </row>
    <row r="37828">
      <c r="D37828" s="185"/>
      <c r="E37828" s="185" t="s">
        <v>470</v>
      </c>
      <c r="H37828" s="185"/>
    </row>
    <row r="37829">
      <c r="D37829" s="185"/>
      <c r="E37829" s="185" t="s">
        <v>470</v>
      </c>
      <c r="H37829" s="185"/>
    </row>
    <row r="37830">
      <c r="D37830" s="185"/>
      <c r="E37830" s="185" t="s">
        <v>470</v>
      </c>
      <c r="H37830" s="185"/>
    </row>
    <row r="37831">
      <c r="D37831" s="185"/>
      <c r="E37831" s="185" t="s">
        <v>470</v>
      </c>
      <c r="H37831" s="185"/>
    </row>
    <row r="37832">
      <c r="D37832" s="185"/>
      <c r="E37832" s="185" t="s">
        <v>470</v>
      </c>
      <c r="H37832" s="185"/>
    </row>
    <row r="37833">
      <c r="D37833" s="185"/>
      <c r="E37833" s="185" t="s">
        <v>470</v>
      </c>
      <c r="H37833" s="185"/>
    </row>
    <row r="37834">
      <c r="D37834" s="185"/>
      <c r="E37834" s="185" t="s">
        <v>470</v>
      </c>
      <c r="H37834" s="185"/>
    </row>
    <row r="37835">
      <c r="D37835" s="185"/>
      <c r="E37835" s="185" t="s">
        <v>470</v>
      </c>
      <c r="H37835" s="185"/>
    </row>
    <row r="37836">
      <c r="D37836" s="185"/>
      <c r="E37836" s="185" t="s">
        <v>470</v>
      </c>
      <c r="H37836" s="185"/>
    </row>
    <row r="37837">
      <c r="D37837" s="185"/>
      <c r="E37837" s="185" t="s">
        <v>470</v>
      </c>
      <c r="H37837" s="185"/>
    </row>
    <row r="37838">
      <c r="D37838" s="185"/>
      <c r="E37838" s="185" t="s">
        <v>470</v>
      </c>
      <c r="H37838" s="185"/>
    </row>
    <row r="37839">
      <c r="D37839" s="185"/>
      <c r="E37839" s="185" t="s">
        <v>470</v>
      </c>
      <c r="H37839" s="185"/>
    </row>
    <row r="37840">
      <c r="D37840" s="185"/>
      <c r="E37840" s="185" t="s">
        <v>470</v>
      </c>
      <c r="H37840" s="185"/>
    </row>
    <row r="37841">
      <c r="D37841" s="185"/>
      <c r="E37841" s="185" t="s">
        <v>470</v>
      </c>
      <c r="H37841" s="185"/>
    </row>
    <row r="37842">
      <c r="D37842" s="185"/>
      <c r="E37842" s="185" t="s">
        <v>470</v>
      </c>
      <c r="H37842" s="185"/>
    </row>
    <row r="37843">
      <c r="D37843" s="185"/>
      <c r="E37843" s="185" t="s">
        <v>470</v>
      </c>
      <c r="H37843" s="185"/>
    </row>
    <row r="37844">
      <c r="D37844" s="185"/>
      <c r="E37844" s="185" t="s">
        <v>470</v>
      </c>
      <c r="H37844" s="185"/>
    </row>
    <row r="37845">
      <c r="D37845" s="185"/>
      <c r="E37845" s="185" t="s">
        <v>470</v>
      </c>
      <c r="H37845" s="185"/>
    </row>
    <row r="37846">
      <c r="D37846" s="185"/>
      <c r="E37846" s="185" t="s">
        <v>470</v>
      </c>
      <c r="H37846" s="185"/>
    </row>
    <row r="37847">
      <c r="D37847" s="185"/>
      <c r="E37847" s="185" t="s">
        <v>470</v>
      </c>
      <c r="H37847" s="185"/>
    </row>
    <row r="37848">
      <c r="D37848" s="185"/>
      <c r="E37848" s="185" t="s">
        <v>470</v>
      </c>
      <c r="H37848" s="185"/>
    </row>
    <row r="37849">
      <c r="D37849" s="185"/>
      <c r="E37849" s="185" t="s">
        <v>470</v>
      </c>
      <c r="H37849" s="185"/>
    </row>
    <row r="37850">
      <c r="D37850" s="185"/>
      <c r="E37850" s="185" t="s">
        <v>470</v>
      </c>
      <c r="H37850" s="185"/>
    </row>
    <row r="37851">
      <c r="D37851" s="185"/>
      <c r="E37851" s="185" t="s">
        <v>470</v>
      </c>
      <c r="H37851" s="185"/>
    </row>
    <row r="37852">
      <c r="D37852" s="185"/>
      <c r="E37852" s="185" t="s">
        <v>470</v>
      </c>
      <c r="H37852" s="185"/>
    </row>
    <row r="37853">
      <c r="D37853" s="185"/>
      <c r="E37853" s="185" t="s">
        <v>470</v>
      </c>
      <c r="H37853" s="185"/>
    </row>
    <row r="37854">
      <c r="D37854" s="185"/>
      <c r="E37854" s="185" t="s">
        <v>470</v>
      </c>
      <c r="H37854" s="185"/>
    </row>
    <row r="37855">
      <c r="D37855" s="185"/>
      <c r="E37855" s="185" t="s">
        <v>470</v>
      </c>
      <c r="H37855" s="185"/>
    </row>
    <row r="37856">
      <c r="D37856" s="185"/>
      <c r="E37856" s="185" t="s">
        <v>470</v>
      </c>
      <c r="H37856" s="185"/>
    </row>
    <row r="37857">
      <c r="D37857" s="185"/>
      <c r="E37857" s="185" t="s">
        <v>470</v>
      </c>
      <c r="H37857" s="185"/>
    </row>
    <row r="37858">
      <c r="D37858" s="185"/>
      <c r="E37858" s="185" t="s">
        <v>470</v>
      </c>
      <c r="H37858" s="185"/>
    </row>
    <row r="37859">
      <c r="D37859" s="185"/>
      <c r="E37859" s="185" t="s">
        <v>470</v>
      </c>
      <c r="H37859" s="185"/>
    </row>
    <row r="37860">
      <c r="D37860" s="185"/>
      <c r="E37860" s="185" t="s">
        <v>470</v>
      </c>
      <c r="H37860" s="185"/>
    </row>
    <row r="37861">
      <c r="D37861" s="185"/>
      <c r="E37861" s="185" t="s">
        <v>470</v>
      </c>
      <c r="H37861" s="185"/>
    </row>
    <row r="37862">
      <c r="D37862" s="185"/>
      <c r="E37862" s="185" t="s">
        <v>470</v>
      </c>
      <c r="H37862" s="185"/>
    </row>
    <row r="37863">
      <c r="D37863" s="185"/>
      <c r="E37863" s="185" t="s">
        <v>470</v>
      </c>
      <c r="H37863" s="185"/>
    </row>
    <row r="37864">
      <c r="D37864" s="185"/>
      <c r="E37864" s="185" t="s">
        <v>470</v>
      </c>
      <c r="H37864" s="185"/>
    </row>
    <row r="37865">
      <c r="D37865" s="185"/>
      <c r="E37865" s="185" t="s">
        <v>470</v>
      </c>
      <c r="H37865" s="185"/>
    </row>
    <row r="37866">
      <c r="D37866" s="185"/>
      <c r="E37866" s="185" t="s">
        <v>470</v>
      </c>
      <c r="H37866" s="185"/>
    </row>
    <row r="37867">
      <c r="D37867" s="185"/>
      <c r="E37867" s="185" t="s">
        <v>470</v>
      </c>
      <c r="H37867" s="185"/>
    </row>
    <row r="37868">
      <c r="D37868" s="185"/>
      <c r="E37868" s="185" t="s">
        <v>470</v>
      </c>
      <c r="H37868" s="185"/>
    </row>
    <row r="37869">
      <c r="D37869" s="185"/>
      <c r="E37869" s="185" t="s">
        <v>470</v>
      </c>
      <c r="H37869" s="185"/>
    </row>
    <row r="37870">
      <c r="D37870" s="185"/>
      <c r="E37870" s="185" t="s">
        <v>470</v>
      </c>
      <c r="H37870" s="185"/>
    </row>
    <row r="37871">
      <c r="D37871" s="185"/>
      <c r="E37871" s="185" t="s">
        <v>470</v>
      </c>
      <c r="H37871" s="185"/>
    </row>
    <row r="37872">
      <c r="D37872" s="185"/>
      <c r="E37872" s="185" t="s">
        <v>470</v>
      </c>
      <c r="H37872" s="185"/>
    </row>
    <row r="37873">
      <c r="D37873" s="185"/>
      <c r="E37873" s="185" t="s">
        <v>470</v>
      </c>
      <c r="H37873" s="185"/>
    </row>
    <row r="37874">
      <c r="D37874" s="185"/>
      <c r="E37874" s="185" t="s">
        <v>470</v>
      </c>
      <c r="H37874" s="185"/>
    </row>
    <row r="37875">
      <c r="D37875" s="185"/>
      <c r="E37875" s="185" t="s">
        <v>470</v>
      </c>
      <c r="H37875" s="185"/>
    </row>
    <row r="37876">
      <c r="D37876" s="185"/>
      <c r="E37876" s="185" t="s">
        <v>470</v>
      </c>
      <c r="H37876" s="185"/>
    </row>
    <row r="37877">
      <c r="D37877" s="185"/>
      <c r="E37877" s="185" t="s">
        <v>470</v>
      </c>
      <c r="H37877" s="185"/>
    </row>
    <row r="37878">
      <c r="D37878" s="185"/>
      <c r="E37878" s="185" t="s">
        <v>470</v>
      </c>
      <c r="H37878" s="185"/>
    </row>
    <row r="37879">
      <c r="D37879" s="185"/>
      <c r="E37879" s="185" t="s">
        <v>470</v>
      </c>
      <c r="H37879" s="185"/>
    </row>
    <row r="37880">
      <c r="D37880" s="185"/>
      <c r="E37880" s="185" t="s">
        <v>470</v>
      </c>
      <c r="H37880" s="185"/>
    </row>
    <row r="37881">
      <c r="D37881" s="185"/>
      <c r="E37881" s="185" t="s">
        <v>470</v>
      </c>
      <c r="H37881" s="185"/>
    </row>
    <row r="37882">
      <c r="D37882" s="185"/>
      <c r="E37882" s="185" t="s">
        <v>470</v>
      </c>
      <c r="H37882" s="185"/>
    </row>
    <row r="37883">
      <c r="D37883" s="185"/>
      <c r="E37883" s="185" t="s">
        <v>470</v>
      </c>
      <c r="H37883" s="185"/>
    </row>
    <row r="37884">
      <c r="D37884" s="185"/>
      <c r="E37884" s="185" t="s">
        <v>470</v>
      </c>
      <c r="H37884" s="185"/>
    </row>
    <row r="37885">
      <c r="D37885" s="185"/>
      <c r="E37885" s="185" t="s">
        <v>470</v>
      </c>
      <c r="H37885" s="185"/>
    </row>
    <row r="37886">
      <c r="D37886" s="185"/>
      <c r="E37886" s="185" t="s">
        <v>470</v>
      </c>
      <c r="H37886" s="185"/>
    </row>
    <row r="37887">
      <c r="D37887" s="185"/>
      <c r="E37887" s="185" t="s">
        <v>470</v>
      </c>
      <c r="H37887" s="185"/>
    </row>
    <row r="37888">
      <c r="D37888" s="185"/>
      <c r="E37888" s="185" t="s">
        <v>470</v>
      </c>
      <c r="H37888" s="185"/>
    </row>
    <row r="37889">
      <c r="D37889" s="185"/>
      <c r="E37889" s="185" t="s">
        <v>470</v>
      </c>
      <c r="H37889" s="185"/>
    </row>
    <row r="37890">
      <c r="D37890" s="185"/>
      <c r="E37890" s="185" t="s">
        <v>470</v>
      </c>
      <c r="H37890" s="185"/>
    </row>
    <row r="37891">
      <c r="D37891" s="185"/>
      <c r="E37891" s="185" t="s">
        <v>470</v>
      </c>
      <c r="H37891" s="185"/>
    </row>
    <row r="37892">
      <c r="D37892" s="185"/>
      <c r="E37892" s="185" t="s">
        <v>470</v>
      </c>
      <c r="H37892" s="185"/>
    </row>
    <row r="37893">
      <c r="D37893" s="185"/>
      <c r="E37893" s="185" t="s">
        <v>470</v>
      </c>
      <c r="H37893" s="185"/>
    </row>
    <row r="37894">
      <c r="D37894" s="185"/>
      <c r="E37894" s="185" t="s">
        <v>470</v>
      </c>
      <c r="H37894" s="185"/>
    </row>
    <row r="37895">
      <c r="D37895" s="185"/>
      <c r="E37895" s="185" t="s">
        <v>470</v>
      </c>
      <c r="H37895" s="185"/>
    </row>
    <row r="37896">
      <c r="D37896" s="185"/>
      <c r="E37896" s="185" t="s">
        <v>470</v>
      </c>
      <c r="H37896" s="185"/>
    </row>
    <row r="37897">
      <c r="D37897" s="185"/>
      <c r="E37897" s="185" t="s">
        <v>470</v>
      </c>
      <c r="H37897" s="185"/>
    </row>
    <row r="37898">
      <c r="D37898" s="185"/>
      <c r="E37898" s="185" t="s">
        <v>470</v>
      </c>
      <c r="H37898" s="185"/>
    </row>
    <row r="37899">
      <c r="D37899" s="185"/>
      <c r="E37899" s="185" t="s">
        <v>470</v>
      </c>
      <c r="H37899" s="185"/>
    </row>
    <row r="37900">
      <c r="D37900" s="185"/>
      <c r="E37900" s="185" t="s">
        <v>470</v>
      </c>
      <c r="H37900" s="185"/>
    </row>
    <row r="37901">
      <c r="D37901" s="185"/>
      <c r="E37901" s="185" t="s">
        <v>470</v>
      </c>
      <c r="H37901" s="185"/>
    </row>
    <row r="37902">
      <c r="D37902" s="185"/>
      <c r="E37902" s="185" t="s">
        <v>470</v>
      </c>
      <c r="H37902" s="185"/>
    </row>
    <row r="37903">
      <c r="D37903" s="185"/>
      <c r="E37903" s="185" t="s">
        <v>470</v>
      </c>
      <c r="H37903" s="185"/>
    </row>
    <row r="37904">
      <c r="D37904" s="185"/>
      <c r="E37904" s="185" t="s">
        <v>470</v>
      </c>
      <c r="H37904" s="185"/>
    </row>
    <row r="37905">
      <c r="D37905" s="185"/>
      <c r="E37905" s="185" t="s">
        <v>470</v>
      </c>
      <c r="H37905" s="185"/>
    </row>
    <row r="37906">
      <c r="D37906" s="185"/>
      <c r="E37906" s="185" t="s">
        <v>470</v>
      </c>
      <c r="H37906" s="185"/>
    </row>
    <row r="37907">
      <c r="D37907" s="185"/>
      <c r="E37907" s="185" t="s">
        <v>470</v>
      </c>
      <c r="H37907" s="185"/>
    </row>
    <row r="37908">
      <c r="D37908" s="185"/>
      <c r="E37908" s="185" t="s">
        <v>470</v>
      </c>
      <c r="H37908" s="185"/>
    </row>
    <row r="37909">
      <c r="D37909" s="185"/>
      <c r="E37909" s="185" t="s">
        <v>470</v>
      </c>
      <c r="H37909" s="185"/>
    </row>
    <row r="37910">
      <c r="D37910" s="185"/>
      <c r="E37910" s="185" t="s">
        <v>470</v>
      </c>
      <c r="H37910" s="185"/>
    </row>
    <row r="37911">
      <c r="D37911" s="185"/>
      <c r="E37911" s="185" t="s">
        <v>470</v>
      </c>
      <c r="H37911" s="185"/>
    </row>
    <row r="37912">
      <c r="D37912" s="185"/>
      <c r="E37912" s="185" t="s">
        <v>470</v>
      </c>
      <c r="H37912" s="185"/>
    </row>
    <row r="37913">
      <c r="D37913" s="185"/>
      <c r="E37913" s="185" t="s">
        <v>470</v>
      </c>
      <c r="H37913" s="185"/>
    </row>
    <row r="37914">
      <c r="D37914" s="185"/>
      <c r="E37914" s="185" t="s">
        <v>470</v>
      </c>
      <c r="H37914" s="185"/>
    </row>
    <row r="37915">
      <c r="D37915" s="185"/>
      <c r="E37915" s="185" t="s">
        <v>470</v>
      </c>
      <c r="H37915" s="185"/>
    </row>
    <row r="37916">
      <c r="D37916" s="185"/>
      <c r="E37916" s="185" t="s">
        <v>470</v>
      </c>
      <c r="H37916" s="185"/>
    </row>
    <row r="37917">
      <c r="D37917" s="185"/>
      <c r="E37917" s="185" t="s">
        <v>470</v>
      </c>
      <c r="H37917" s="185"/>
    </row>
    <row r="37918">
      <c r="D37918" s="185"/>
      <c r="E37918" s="185" t="s">
        <v>470</v>
      </c>
      <c r="H37918" s="185"/>
    </row>
    <row r="37919">
      <c r="D37919" s="185"/>
      <c r="E37919" s="185" t="s">
        <v>470</v>
      </c>
      <c r="H37919" s="185"/>
    </row>
    <row r="37920">
      <c r="D37920" s="185"/>
      <c r="E37920" s="185" t="s">
        <v>470</v>
      </c>
      <c r="H37920" s="185"/>
    </row>
    <row r="37921">
      <c r="D37921" s="185"/>
      <c r="E37921" s="185" t="s">
        <v>470</v>
      </c>
      <c r="H37921" s="185"/>
    </row>
    <row r="37922">
      <c r="D37922" s="185"/>
      <c r="E37922" s="185" t="s">
        <v>470</v>
      </c>
      <c r="H37922" s="185"/>
    </row>
    <row r="37923">
      <c r="D37923" s="185"/>
      <c r="E37923" s="185" t="s">
        <v>470</v>
      </c>
      <c r="H37923" s="185"/>
    </row>
    <row r="37924">
      <c r="D37924" s="185"/>
      <c r="E37924" s="185" t="s">
        <v>470</v>
      </c>
      <c r="H37924" s="185"/>
    </row>
    <row r="37925">
      <c r="D37925" s="185"/>
      <c r="E37925" s="185" t="s">
        <v>470</v>
      </c>
      <c r="H37925" s="185"/>
    </row>
    <row r="37926">
      <c r="D37926" s="185"/>
      <c r="E37926" s="185" t="s">
        <v>470</v>
      </c>
      <c r="H37926" s="185"/>
    </row>
    <row r="37927">
      <c r="D37927" s="185"/>
      <c r="E37927" s="185" t="s">
        <v>470</v>
      </c>
      <c r="H37927" s="185"/>
    </row>
    <row r="37928">
      <c r="D37928" s="185"/>
      <c r="E37928" s="185" t="s">
        <v>470</v>
      </c>
      <c r="H37928" s="185"/>
    </row>
    <row r="37929">
      <c r="D37929" s="185"/>
      <c r="E37929" s="185" t="s">
        <v>470</v>
      </c>
      <c r="H37929" s="185"/>
    </row>
    <row r="37930">
      <c r="D37930" s="185"/>
      <c r="E37930" s="185" t="s">
        <v>470</v>
      </c>
      <c r="H37930" s="185"/>
    </row>
    <row r="37931">
      <c r="D37931" s="185"/>
      <c r="E37931" s="185" t="s">
        <v>470</v>
      </c>
      <c r="H37931" s="185"/>
    </row>
    <row r="37932">
      <c r="D37932" s="185"/>
      <c r="E37932" s="185" t="s">
        <v>470</v>
      </c>
      <c r="H37932" s="185"/>
    </row>
    <row r="37933">
      <c r="D37933" s="185"/>
      <c r="E37933" s="185" t="s">
        <v>470</v>
      </c>
      <c r="H37933" s="185"/>
    </row>
    <row r="37934">
      <c r="D37934" s="185"/>
      <c r="E37934" s="185" t="s">
        <v>470</v>
      </c>
      <c r="H37934" s="185"/>
    </row>
    <row r="37935">
      <c r="D37935" s="185"/>
      <c r="E37935" s="185" t="s">
        <v>470</v>
      </c>
      <c r="H37935" s="185"/>
    </row>
    <row r="37936">
      <c r="D37936" s="185"/>
      <c r="E37936" s="185" t="s">
        <v>470</v>
      </c>
      <c r="H37936" s="185"/>
    </row>
    <row r="37937">
      <c r="D37937" s="185"/>
      <c r="E37937" s="185" t="s">
        <v>470</v>
      </c>
      <c r="H37937" s="185"/>
    </row>
    <row r="37938">
      <c r="D37938" s="185"/>
      <c r="E37938" s="185" t="s">
        <v>470</v>
      </c>
      <c r="H37938" s="185"/>
    </row>
    <row r="37939">
      <c r="D37939" s="185"/>
      <c r="E37939" s="185" t="s">
        <v>470</v>
      </c>
      <c r="H37939" s="185"/>
    </row>
    <row r="37940">
      <c r="D37940" s="185"/>
      <c r="E37940" s="185" t="s">
        <v>470</v>
      </c>
      <c r="H37940" s="185"/>
    </row>
    <row r="37941">
      <c r="D37941" s="185"/>
      <c r="E37941" s="185" t="s">
        <v>470</v>
      </c>
      <c r="H37941" s="185"/>
    </row>
    <row r="37942">
      <c r="D37942" s="185"/>
      <c r="E37942" s="185" t="s">
        <v>470</v>
      </c>
      <c r="H37942" s="185"/>
    </row>
    <row r="37943">
      <c r="D37943" s="185"/>
      <c r="E37943" s="185" t="s">
        <v>470</v>
      </c>
      <c r="H37943" s="185"/>
    </row>
    <row r="37944">
      <c r="D37944" s="185"/>
      <c r="E37944" s="185" t="s">
        <v>470</v>
      </c>
      <c r="H37944" s="185"/>
    </row>
    <row r="37945">
      <c r="D37945" s="185"/>
      <c r="E37945" s="185" t="s">
        <v>470</v>
      </c>
      <c r="H37945" s="185"/>
    </row>
    <row r="37946">
      <c r="D37946" s="185"/>
      <c r="E37946" s="185" t="s">
        <v>470</v>
      </c>
      <c r="H37946" s="185"/>
    </row>
    <row r="37947">
      <c r="D37947" s="185"/>
      <c r="E37947" s="185" t="s">
        <v>470</v>
      </c>
      <c r="H37947" s="185"/>
    </row>
    <row r="37948">
      <c r="D37948" s="185"/>
      <c r="E37948" s="185" t="s">
        <v>470</v>
      </c>
      <c r="H37948" s="185"/>
    </row>
    <row r="37949">
      <c r="D37949" s="185"/>
      <c r="E37949" s="185" t="s">
        <v>470</v>
      </c>
      <c r="H37949" s="185"/>
    </row>
    <row r="37950">
      <c r="D37950" s="185"/>
      <c r="E37950" s="185" t="s">
        <v>470</v>
      </c>
      <c r="H37950" s="185"/>
    </row>
    <row r="37951">
      <c r="D37951" s="185"/>
      <c r="E37951" s="185" t="s">
        <v>470</v>
      </c>
      <c r="H37951" s="185"/>
    </row>
    <row r="37952">
      <c r="D37952" s="185"/>
      <c r="E37952" s="185" t="s">
        <v>470</v>
      </c>
      <c r="H37952" s="185"/>
    </row>
    <row r="37953">
      <c r="D37953" s="185"/>
      <c r="E37953" s="185" t="s">
        <v>470</v>
      </c>
      <c r="H37953" s="185"/>
    </row>
    <row r="37954">
      <c r="D37954" s="185"/>
      <c r="E37954" s="185" t="s">
        <v>470</v>
      </c>
      <c r="H37954" s="185"/>
    </row>
    <row r="37955">
      <c r="D37955" s="185"/>
      <c r="E37955" s="185" t="s">
        <v>470</v>
      </c>
      <c r="H37955" s="185"/>
    </row>
    <row r="37956">
      <c r="D37956" s="185"/>
      <c r="E37956" s="185" t="s">
        <v>470</v>
      </c>
      <c r="H37956" s="185"/>
    </row>
    <row r="37957">
      <c r="D37957" s="185"/>
      <c r="E37957" s="185" t="s">
        <v>470</v>
      </c>
      <c r="H37957" s="185"/>
    </row>
    <row r="37958">
      <c r="D37958" s="185"/>
      <c r="E37958" s="185" t="s">
        <v>470</v>
      </c>
      <c r="H37958" s="185"/>
    </row>
    <row r="37959">
      <c r="D37959" s="185"/>
      <c r="E37959" s="185" t="s">
        <v>470</v>
      </c>
      <c r="H37959" s="185"/>
    </row>
    <row r="37960">
      <c r="D37960" s="185"/>
      <c r="E37960" s="185" t="s">
        <v>470</v>
      </c>
      <c r="H37960" s="185"/>
    </row>
    <row r="37961">
      <c r="D37961" s="185"/>
      <c r="E37961" s="185" t="s">
        <v>470</v>
      </c>
      <c r="H37961" s="185"/>
    </row>
    <row r="37962">
      <c r="D37962" s="185"/>
      <c r="E37962" s="185" t="s">
        <v>470</v>
      </c>
      <c r="H37962" s="185"/>
    </row>
    <row r="37963">
      <c r="D37963" s="185"/>
      <c r="E37963" s="185" t="s">
        <v>470</v>
      </c>
      <c r="H37963" s="185"/>
    </row>
    <row r="37964">
      <c r="D37964" s="185"/>
      <c r="E37964" s="185" t="s">
        <v>470</v>
      </c>
      <c r="H37964" s="185"/>
    </row>
    <row r="37965">
      <c r="D37965" s="185"/>
      <c r="E37965" s="185" t="s">
        <v>470</v>
      </c>
      <c r="H37965" s="185"/>
    </row>
    <row r="37966">
      <c r="D37966" s="185"/>
      <c r="E37966" s="185" t="s">
        <v>470</v>
      </c>
      <c r="H37966" s="185"/>
    </row>
    <row r="37967">
      <c r="D37967" s="185"/>
      <c r="E37967" s="185" t="s">
        <v>470</v>
      </c>
      <c r="H37967" s="185"/>
    </row>
    <row r="37968">
      <c r="D37968" s="185"/>
      <c r="E37968" s="185" t="s">
        <v>470</v>
      </c>
      <c r="H37968" s="185"/>
    </row>
    <row r="37969">
      <c r="D37969" s="185"/>
      <c r="E37969" s="185" t="s">
        <v>470</v>
      </c>
      <c r="H37969" s="185"/>
    </row>
    <row r="37970">
      <c r="D37970" s="185"/>
      <c r="E37970" s="185" t="s">
        <v>470</v>
      </c>
      <c r="H37970" s="185"/>
    </row>
    <row r="37971">
      <c r="D37971" s="185"/>
      <c r="E37971" s="185" t="s">
        <v>470</v>
      </c>
      <c r="H37971" s="185"/>
    </row>
    <row r="37972">
      <c r="D37972" s="185"/>
      <c r="E37972" s="185" t="s">
        <v>470</v>
      </c>
      <c r="H37972" s="185"/>
    </row>
    <row r="37973">
      <c r="D37973" s="185"/>
      <c r="E37973" s="185" t="s">
        <v>470</v>
      </c>
      <c r="H37973" s="185"/>
    </row>
    <row r="37974">
      <c r="D37974" s="185"/>
      <c r="E37974" s="185" t="s">
        <v>470</v>
      </c>
      <c r="H37974" s="185"/>
    </row>
    <row r="37975">
      <c r="D37975" s="185"/>
      <c r="E37975" s="185" t="s">
        <v>470</v>
      </c>
      <c r="H37975" s="185"/>
    </row>
    <row r="37976">
      <c r="D37976" s="185"/>
      <c r="E37976" s="185" t="s">
        <v>470</v>
      </c>
      <c r="H37976" s="185"/>
    </row>
    <row r="37977">
      <c r="D37977" s="185"/>
      <c r="E37977" s="185" t="s">
        <v>470</v>
      </c>
      <c r="H37977" s="185"/>
    </row>
    <row r="37978">
      <c r="D37978" s="185"/>
      <c r="E37978" s="185" t="s">
        <v>470</v>
      </c>
      <c r="H37978" s="185"/>
    </row>
    <row r="37979">
      <c r="D37979" s="185"/>
      <c r="E37979" s="185" t="s">
        <v>470</v>
      </c>
      <c r="H37979" s="185"/>
    </row>
    <row r="37980">
      <c r="D37980" s="185"/>
      <c r="E37980" s="185" t="s">
        <v>470</v>
      </c>
      <c r="H37980" s="185"/>
    </row>
    <row r="37981">
      <c r="D37981" s="185"/>
      <c r="E37981" s="185" t="s">
        <v>470</v>
      </c>
      <c r="H37981" s="185"/>
    </row>
    <row r="37982">
      <c r="D37982" s="185"/>
      <c r="E37982" s="185" t="s">
        <v>470</v>
      </c>
      <c r="H37982" s="185"/>
    </row>
    <row r="37983">
      <c r="D37983" s="185"/>
      <c r="E37983" s="185" t="s">
        <v>470</v>
      </c>
      <c r="H37983" s="185"/>
    </row>
    <row r="37984">
      <c r="D37984" s="185"/>
      <c r="E37984" s="185" t="s">
        <v>470</v>
      </c>
      <c r="H37984" s="185"/>
    </row>
    <row r="37985">
      <c r="D37985" s="185"/>
      <c r="E37985" s="185" t="s">
        <v>470</v>
      </c>
      <c r="H37985" s="185"/>
    </row>
    <row r="37986">
      <c r="D37986" s="185"/>
      <c r="E37986" s="185" t="s">
        <v>470</v>
      </c>
      <c r="H37986" s="185"/>
    </row>
    <row r="37987">
      <c r="D37987" s="185"/>
      <c r="E37987" s="185" t="s">
        <v>470</v>
      </c>
      <c r="H37987" s="185"/>
    </row>
    <row r="37988">
      <c r="D37988" s="185"/>
      <c r="E37988" s="185" t="s">
        <v>470</v>
      </c>
      <c r="H37988" s="185"/>
    </row>
    <row r="37989">
      <c r="D37989" s="185"/>
      <c r="E37989" s="185" t="s">
        <v>470</v>
      </c>
      <c r="H37989" s="185"/>
    </row>
    <row r="37990">
      <c r="D37990" s="185"/>
      <c r="E37990" s="185" t="s">
        <v>470</v>
      </c>
      <c r="H37990" s="185"/>
    </row>
    <row r="37991">
      <c r="D37991" s="185"/>
      <c r="E37991" s="185" t="s">
        <v>470</v>
      </c>
      <c r="H37991" s="185"/>
    </row>
    <row r="37992">
      <c r="D37992" s="185"/>
      <c r="E37992" s="185" t="s">
        <v>470</v>
      </c>
      <c r="H37992" s="185"/>
    </row>
    <row r="37993">
      <c r="D37993" s="185"/>
      <c r="E37993" s="185" t="s">
        <v>470</v>
      </c>
      <c r="H37993" s="185"/>
    </row>
    <row r="37994">
      <c r="D37994" s="185"/>
      <c r="E37994" s="185" t="s">
        <v>470</v>
      </c>
      <c r="H37994" s="185"/>
    </row>
    <row r="37995">
      <c r="D37995" s="185"/>
      <c r="E37995" s="185" t="s">
        <v>470</v>
      </c>
      <c r="H37995" s="185"/>
    </row>
    <row r="37996">
      <c r="D37996" s="185"/>
      <c r="E37996" s="185" t="s">
        <v>470</v>
      </c>
      <c r="H37996" s="185"/>
    </row>
    <row r="37997">
      <c r="D37997" s="185"/>
      <c r="E37997" s="185" t="s">
        <v>470</v>
      </c>
      <c r="H37997" s="185"/>
    </row>
    <row r="37998">
      <c r="D37998" s="185"/>
      <c r="E37998" s="185" t="s">
        <v>470</v>
      </c>
      <c r="H37998" s="185"/>
    </row>
    <row r="37999">
      <c r="D37999" s="185"/>
      <c r="E37999" s="185" t="s">
        <v>470</v>
      </c>
      <c r="H37999" s="185"/>
    </row>
    <row r="38000">
      <c r="D38000" s="185"/>
      <c r="E38000" s="185" t="s">
        <v>470</v>
      </c>
      <c r="H38000" s="185"/>
    </row>
    <row r="38001">
      <c r="D38001" s="185"/>
      <c r="E38001" s="185" t="s">
        <v>470</v>
      </c>
      <c r="H38001" s="185"/>
    </row>
    <row r="38002">
      <c r="D38002" s="185"/>
      <c r="E38002" s="185" t="s">
        <v>470</v>
      </c>
      <c r="H38002" s="185"/>
    </row>
    <row r="38003">
      <c r="D38003" s="185"/>
      <c r="E38003" s="185" t="s">
        <v>470</v>
      </c>
      <c r="H38003" s="185"/>
    </row>
    <row r="38004">
      <c r="D38004" s="185"/>
      <c r="E38004" s="185" t="s">
        <v>470</v>
      </c>
      <c r="H38004" s="185"/>
    </row>
    <row r="38005">
      <c r="D38005" s="185"/>
      <c r="E38005" s="185" t="s">
        <v>470</v>
      </c>
      <c r="H38005" s="185"/>
    </row>
    <row r="38006">
      <c r="D38006" s="185"/>
      <c r="E38006" s="185" t="s">
        <v>470</v>
      </c>
      <c r="H38006" s="185"/>
    </row>
    <row r="38007">
      <c r="D38007" s="185"/>
      <c r="E38007" s="185" t="s">
        <v>470</v>
      </c>
      <c r="H38007" s="185"/>
    </row>
    <row r="38008">
      <c r="D38008" s="185"/>
      <c r="E38008" s="185" t="s">
        <v>470</v>
      </c>
      <c r="H38008" s="185"/>
    </row>
    <row r="38009">
      <c r="D38009" s="185"/>
      <c r="E38009" s="185" t="s">
        <v>470</v>
      </c>
      <c r="H38009" s="185"/>
    </row>
    <row r="38010">
      <c r="D38010" s="185"/>
      <c r="E38010" s="185" t="s">
        <v>470</v>
      </c>
      <c r="H38010" s="185"/>
    </row>
    <row r="38011">
      <c r="D38011" s="185"/>
      <c r="E38011" s="185" t="s">
        <v>470</v>
      </c>
      <c r="H38011" s="185"/>
    </row>
    <row r="38012">
      <c r="D38012" s="185"/>
      <c r="E38012" s="185" t="s">
        <v>470</v>
      </c>
      <c r="H38012" s="185"/>
    </row>
    <row r="38013">
      <c r="D38013" s="185"/>
      <c r="E38013" s="185" t="s">
        <v>470</v>
      </c>
      <c r="H38013" s="185"/>
    </row>
    <row r="38014">
      <c r="D38014" s="185"/>
      <c r="E38014" s="185" t="s">
        <v>470</v>
      </c>
      <c r="H38014" s="185"/>
    </row>
    <row r="38015">
      <c r="D38015" s="185"/>
      <c r="E38015" s="185" t="s">
        <v>470</v>
      </c>
      <c r="H38015" s="185"/>
    </row>
    <row r="38016">
      <c r="D38016" s="185"/>
      <c r="E38016" s="185" t="s">
        <v>470</v>
      </c>
      <c r="H38016" s="185"/>
    </row>
    <row r="38017">
      <c r="D38017" s="185"/>
      <c r="E38017" s="185" t="s">
        <v>470</v>
      </c>
      <c r="H38017" s="185"/>
    </row>
    <row r="38018">
      <c r="D38018" s="185"/>
      <c r="E38018" s="185" t="s">
        <v>470</v>
      </c>
      <c r="H38018" s="185"/>
    </row>
    <row r="38019">
      <c r="D38019" s="185"/>
      <c r="E38019" s="185" t="s">
        <v>470</v>
      </c>
      <c r="H38019" s="185"/>
    </row>
    <row r="38020">
      <c r="D38020" s="185"/>
      <c r="E38020" s="185" t="s">
        <v>470</v>
      </c>
      <c r="H38020" s="185"/>
    </row>
    <row r="38021">
      <c r="D38021" s="185"/>
      <c r="E38021" s="185" t="s">
        <v>470</v>
      </c>
      <c r="H38021" s="185"/>
    </row>
    <row r="38022">
      <c r="D38022" s="185"/>
      <c r="E38022" s="185" t="s">
        <v>470</v>
      </c>
      <c r="H38022" s="185"/>
    </row>
    <row r="38023">
      <c r="D38023" s="185"/>
      <c r="E38023" s="185" t="s">
        <v>470</v>
      </c>
      <c r="H38023" s="185"/>
    </row>
    <row r="38024">
      <c r="D38024" s="185"/>
      <c r="E38024" s="185" t="s">
        <v>470</v>
      </c>
      <c r="H38024" s="185"/>
    </row>
    <row r="38025">
      <c r="D38025" s="185"/>
      <c r="E38025" s="185" t="s">
        <v>470</v>
      </c>
      <c r="H38025" s="185"/>
    </row>
    <row r="38026">
      <c r="D38026" s="185"/>
      <c r="E38026" s="185" t="s">
        <v>470</v>
      </c>
      <c r="H38026" s="185"/>
    </row>
    <row r="38027">
      <c r="D38027" s="185"/>
      <c r="E38027" s="185" t="s">
        <v>470</v>
      </c>
      <c r="H38027" s="185"/>
    </row>
    <row r="38028">
      <c r="D38028" s="185"/>
      <c r="E38028" s="185" t="s">
        <v>470</v>
      </c>
      <c r="H38028" s="185"/>
    </row>
    <row r="38029">
      <c r="D38029" s="185"/>
      <c r="E38029" s="185" t="s">
        <v>470</v>
      </c>
      <c r="H38029" s="185"/>
    </row>
    <row r="38030">
      <c r="D38030" s="185"/>
      <c r="E38030" s="185" t="s">
        <v>470</v>
      </c>
      <c r="H38030" s="185"/>
    </row>
    <row r="38031">
      <c r="D38031" s="185"/>
      <c r="E38031" s="185" t="s">
        <v>470</v>
      </c>
      <c r="H38031" s="185"/>
    </row>
    <row r="38032">
      <c r="D38032" s="185"/>
      <c r="E38032" s="185" t="s">
        <v>470</v>
      </c>
      <c r="H38032" s="185"/>
    </row>
    <row r="38033">
      <c r="D38033" s="185"/>
      <c r="E38033" s="185" t="s">
        <v>470</v>
      </c>
      <c r="H38033" s="185"/>
    </row>
    <row r="38034">
      <c r="D38034" s="185"/>
      <c r="E38034" s="185" t="s">
        <v>470</v>
      </c>
      <c r="H38034" s="185"/>
    </row>
    <row r="38035">
      <c r="D38035" s="185"/>
      <c r="E38035" s="185" t="s">
        <v>470</v>
      </c>
      <c r="H38035" s="185"/>
    </row>
    <row r="38036">
      <c r="D38036" s="185"/>
      <c r="E38036" s="185" t="s">
        <v>470</v>
      </c>
      <c r="H38036" s="185"/>
    </row>
    <row r="38037">
      <c r="D38037" s="185"/>
      <c r="E38037" s="185" t="s">
        <v>470</v>
      </c>
      <c r="H38037" s="185"/>
    </row>
    <row r="38038">
      <c r="D38038" s="185"/>
      <c r="E38038" s="185" t="s">
        <v>470</v>
      </c>
      <c r="H38038" s="185"/>
    </row>
    <row r="38039">
      <c r="D38039" s="185"/>
      <c r="E38039" s="185" t="s">
        <v>470</v>
      </c>
      <c r="H38039" s="185"/>
    </row>
    <row r="38040">
      <c r="D38040" s="185"/>
      <c r="E38040" s="185" t="s">
        <v>470</v>
      </c>
      <c r="H38040" s="185"/>
    </row>
    <row r="38041">
      <c r="D38041" s="185"/>
      <c r="E38041" s="185" t="s">
        <v>470</v>
      </c>
      <c r="H38041" s="185"/>
    </row>
    <row r="38042">
      <c r="D38042" s="185"/>
      <c r="E38042" s="185" t="s">
        <v>470</v>
      </c>
      <c r="H38042" s="185"/>
    </row>
    <row r="38043">
      <c r="D38043" s="185"/>
      <c r="E38043" s="185" t="s">
        <v>470</v>
      </c>
      <c r="H38043" s="185"/>
    </row>
    <row r="38044">
      <c r="D38044" s="185"/>
      <c r="E38044" s="185" t="s">
        <v>470</v>
      </c>
      <c r="H38044" s="185"/>
    </row>
    <row r="38045">
      <c r="D38045" s="185"/>
      <c r="E38045" s="185" t="s">
        <v>470</v>
      </c>
      <c r="H38045" s="185"/>
    </row>
    <row r="38046">
      <c r="D38046" s="185"/>
      <c r="E38046" s="185" t="s">
        <v>470</v>
      </c>
      <c r="H38046" s="185"/>
    </row>
    <row r="38047">
      <c r="D38047" s="185"/>
      <c r="E38047" s="185" t="s">
        <v>470</v>
      </c>
      <c r="H38047" s="185"/>
    </row>
    <row r="38048">
      <c r="D38048" s="185"/>
      <c r="E38048" s="185" t="s">
        <v>470</v>
      </c>
      <c r="H38048" s="185"/>
    </row>
    <row r="38049">
      <c r="D38049" s="185"/>
      <c r="E38049" s="185" t="s">
        <v>470</v>
      </c>
      <c r="H38049" s="185"/>
    </row>
    <row r="38050">
      <c r="D38050" s="185"/>
      <c r="E38050" s="185" t="s">
        <v>470</v>
      </c>
      <c r="H38050" s="185"/>
    </row>
    <row r="38051">
      <c r="D38051" s="185"/>
      <c r="E38051" s="185" t="s">
        <v>470</v>
      </c>
      <c r="H38051" s="185"/>
    </row>
    <row r="38052">
      <c r="D38052" s="185"/>
      <c r="E38052" s="185" t="s">
        <v>470</v>
      </c>
      <c r="H38052" s="185"/>
    </row>
    <row r="38053">
      <c r="D38053" s="185"/>
      <c r="E38053" s="185" t="s">
        <v>470</v>
      </c>
      <c r="H38053" s="185"/>
    </row>
    <row r="38054">
      <c r="D38054" s="185"/>
      <c r="E38054" s="185" t="s">
        <v>470</v>
      </c>
      <c r="H38054" s="185"/>
    </row>
    <row r="38055">
      <c r="D38055" s="185"/>
      <c r="E38055" s="185" t="s">
        <v>470</v>
      </c>
      <c r="H38055" s="185"/>
    </row>
    <row r="38056">
      <c r="D38056" s="185"/>
      <c r="E38056" s="185" t="s">
        <v>470</v>
      </c>
      <c r="H38056" s="185"/>
    </row>
    <row r="38057">
      <c r="D38057" s="185"/>
      <c r="E38057" s="185" t="s">
        <v>470</v>
      </c>
      <c r="H38057" s="185"/>
    </row>
    <row r="38058">
      <c r="D38058" s="185"/>
      <c r="E38058" s="185" t="s">
        <v>470</v>
      </c>
      <c r="H38058" s="185"/>
    </row>
    <row r="38059">
      <c r="D38059" s="185"/>
      <c r="E38059" s="185" t="s">
        <v>470</v>
      </c>
      <c r="H38059" s="185"/>
    </row>
    <row r="38060">
      <c r="D38060" s="185"/>
      <c r="E38060" s="185" t="s">
        <v>470</v>
      </c>
      <c r="H38060" s="185"/>
    </row>
    <row r="38061">
      <c r="D38061" s="185"/>
      <c r="E38061" s="185" t="s">
        <v>470</v>
      </c>
      <c r="H38061" s="185"/>
    </row>
    <row r="38062">
      <c r="D38062" s="185"/>
      <c r="E38062" s="185" t="s">
        <v>470</v>
      </c>
      <c r="H38062" s="185"/>
    </row>
    <row r="38063">
      <c r="D38063" s="185"/>
      <c r="E38063" s="185" t="s">
        <v>470</v>
      </c>
      <c r="H38063" s="185"/>
    </row>
    <row r="38064">
      <c r="D38064" s="185"/>
      <c r="E38064" s="185" t="s">
        <v>470</v>
      </c>
      <c r="H38064" s="185"/>
    </row>
    <row r="38065">
      <c r="D38065" s="185"/>
      <c r="E38065" s="185" t="s">
        <v>470</v>
      </c>
      <c r="H38065" s="185"/>
    </row>
    <row r="38066">
      <c r="D38066" s="185"/>
      <c r="E38066" s="185" t="s">
        <v>470</v>
      </c>
      <c r="H38066" s="185"/>
    </row>
    <row r="38067">
      <c r="D38067" s="185"/>
      <c r="E38067" s="185" t="s">
        <v>470</v>
      </c>
      <c r="H38067" s="185"/>
    </row>
    <row r="38068">
      <c r="D38068" s="185"/>
      <c r="E38068" s="185" t="s">
        <v>470</v>
      </c>
      <c r="H38068" s="185"/>
    </row>
    <row r="38069">
      <c r="D38069" s="185"/>
      <c r="E38069" s="185" t="s">
        <v>470</v>
      </c>
      <c r="H38069" s="185"/>
    </row>
    <row r="38070">
      <c r="D38070" s="185"/>
      <c r="E38070" s="185" t="s">
        <v>470</v>
      </c>
      <c r="H38070" s="185"/>
    </row>
    <row r="38071">
      <c r="D38071" s="185"/>
      <c r="E38071" s="185" t="s">
        <v>470</v>
      </c>
      <c r="H38071" s="185"/>
    </row>
    <row r="38072">
      <c r="D38072" s="185"/>
      <c r="E38072" s="185" t="s">
        <v>470</v>
      </c>
      <c r="H38072" s="185"/>
    </row>
    <row r="38073">
      <c r="D38073" s="185"/>
      <c r="E38073" s="185" t="s">
        <v>470</v>
      </c>
      <c r="H38073" s="185"/>
    </row>
    <row r="38074">
      <c r="D38074" s="185"/>
      <c r="E38074" s="185" t="s">
        <v>470</v>
      </c>
      <c r="H38074" s="185"/>
    </row>
    <row r="38075">
      <c r="D38075" s="185"/>
      <c r="E38075" s="185" t="s">
        <v>470</v>
      </c>
      <c r="H38075" s="185"/>
    </row>
    <row r="38076">
      <c r="D38076" s="185"/>
      <c r="E38076" s="185" t="s">
        <v>470</v>
      </c>
      <c r="H38076" s="185"/>
    </row>
    <row r="38077">
      <c r="D38077" s="185"/>
      <c r="E38077" s="185" t="s">
        <v>470</v>
      </c>
      <c r="H38077" s="185"/>
    </row>
    <row r="38078">
      <c r="D38078" s="185"/>
      <c r="E38078" s="185" t="s">
        <v>470</v>
      </c>
      <c r="H38078" s="185"/>
    </row>
    <row r="38079">
      <c r="D38079" s="185"/>
      <c r="E38079" s="185" t="s">
        <v>470</v>
      </c>
      <c r="H38079" s="185"/>
    </row>
    <row r="38080">
      <c r="D38080" s="185"/>
      <c r="E38080" s="185" t="s">
        <v>470</v>
      </c>
      <c r="H38080" s="185"/>
    </row>
    <row r="38081">
      <c r="D38081" s="185"/>
      <c r="E38081" s="185" t="s">
        <v>470</v>
      </c>
      <c r="H38081" s="185"/>
    </row>
    <row r="38082">
      <c r="D38082" s="185"/>
      <c r="E38082" s="185" t="s">
        <v>470</v>
      </c>
      <c r="H38082" s="185"/>
    </row>
    <row r="38083">
      <c r="D38083" s="185"/>
      <c r="E38083" s="185" t="s">
        <v>470</v>
      </c>
      <c r="H38083" s="185"/>
    </row>
    <row r="38084">
      <c r="D38084" s="185"/>
      <c r="E38084" s="185" t="s">
        <v>470</v>
      </c>
      <c r="H38084" s="185"/>
    </row>
    <row r="38085">
      <c r="D38085" s="185"/>
      <c r="E38085" s="185" t="s">
        <v>470</v>
      </c>
      <c r="H38085" s="185"/>
    </row>
    <row r="38086">
      <c r="D38086" s="185"/>
      <c r="E38086" s="185" t="s">
        <v>470</v>
      </c>
      <c r="H38086" s="185"/>
    </row>
    <row r="38087">
      <c r="D38087" s="185"/>
      <c r="E38087" s="185" t="s">
        <v>470</v>
      </c>
      <c r="H38087" s="185"/>
    </row>
    <row r="38088">
      <c r="D38088" s="185"/>
      <c r="E38088" s="185" t="s">
        <v>470</v>
      </c>
      <c r="H38088" s="185"/>
    </row>
    <row r="38089">
      <c r="D38089" s="185"/>
      <c r="E38089" s="185" t="s">
        <v>470</v>
      </c>
      <c r="H38089" s="185"/>
    </row>
    <row r="38090">
      <c r="D38090" s="185"/>
      <c r="E38090" s="185" t="s">
        <v>470</v>
      </c>
      <c r="H38090" s="185"/>
    </row>
    <row r="38091">
      <c r="D38091" s="185"/>
      <c r="E38091" s="185" t="s">
        <v>470</v>
      </c>
      <c r="H38091" s="185"/>
    </row>
    <row r="38092">
      <c r="D38092" s="185"/>
      <c r="E38092" s="185" t="s">
        <v>470</v>
      </c>
      <c r="H38092" s="185"/>
    </row>
    <row r="38093">
      <c r="D38093" s="185"/>
      <c r="E38093" s="185" t="s">
        <v>470</v>
      </c>
      <c r="H38093" s="185"/>
    </row>
    <row r="38094">
      <c r="D38094" s="185"/>
      <c r="E38094" s="185" t="s">
        <v>470</v>
      </c>
      <c r="H38094" s="185"/>
    </row>
    <row r="38095">
      <c r="D38095" s="185"/>
      <c r="E38095" s="185" t="s">
        <v>470</v>
      </c>
      <c r="H38095" s="185"/>
    </row>
    <row r="38096">
      <c r="D38096" s="185"/>
      <c r="E38096" s="185" t="s">
        <v>470</v>
      </c>
      <c r="H38096" s="185"/>
    </row>
    <row r="38097">
      <c r="D38097" s="185"/>
      <c r="E38097" s="185" t="s">
        <v>470</v>
      </c>
      <c r="H38097" s="185"/>
    </row>
    <row r="38098">
      <c r="D38098" s="185"/>
      <c r="E38098" s="185" t="s">
        <v>470</v>
      </c>
      <c r="H38098" s="185"/>
    </row>
    <row r="38099">
      <c r="D38099" s="185"/>
      <c r="E38099" s="185" t="s">
        <v>470</v>
      </c>
      <c r="H38099" s="185"/>
    </row>
    <row r="38100">
      <c r="D38100" s="185"/>
      <c r="E38100" s="185" t="s">
        <v>470</v>
      </c>
      <c r="H38100" s="185"/>
    </row>
    <row r="38101">
      <c r="D38101" s="185"/>
      <c r="E38101" s="185" t="s">
        <v>470</v>
      </c>
      <c r="H38101" s="185"/>
    </row>
    <row r="38102">
      <c r="D38102" s="185"/>
      <c r="E38102" s="185" t="s">
        <v>470</v>
      </c>
      <c r="H38102" s="185"/>
    </row>
    <row r="38103">
      <c r="D38103" s="185"/>
      <c r="E38103" s="185" t="s">
        <v>470</v>
      </c>
      <c r="H38103" s="185"/>
    </row>
    <row r="38104">
      <c r="D38104" s="185"/>
      <c r="E38104" s="185" t="s">
        <v>470</v>
      </c>
      <c r="H38104" s="185"/>
    </row>
    <row r="38105">
      <c r="D38105" s="185"/>
      <c r="E38105" s="185" t="s">
        <v>470</v>
      </c>
      <c r="H38105" s="185"/>
    </row>
    <row r="38106">
      <c r="D38106" s="185"/>
      <c r="E38106" s="185" t="s">
        <v>470</v>
      </c>
      <c r="H38106" s="185"/>
    </row>
    <row r="38107">
      <c r="D38107" s="185"/>
      <c r="E38107" s="185" t="s">
        <v>470</v>
      </c>
      <c r="H38107" s="185"/>
    </row>
    <row r="38108">
      <c r="D38108" s="185"/>
      <c r="E38108" s="185" t="s">
        <v>470</v>
      </c>
      <c r="H38108" s="185"/>
    </row>
    <row r="38109">
      <c r="D38109" s="185"/>
      <c r="E38109" s="185" t="s">
        <v>470</v>
      </c>
      <c r="H38109" s="185"/>
    </row>
    <row r="38110">
      <c r="D38110" s="185"/>
      <c r="E38110" s="185" t="s">
        <v>470</v>
      </c>
      <c r="H38110" s="185"/>
    </row>
    <row r="38111">
      <c r="D38111" s="185"/>
      <c r="E38111" s="185" t="s">
        <v>470</v>
      </c>
      <c r="H38111" s="185"/>
    </row>
    <row r="38112">
      <c r="D38112" s="185"/>
      <c r="E38112" s="185" t="s">
        <v>470</v>
      </c>
      <c r="H38112" s="185"/>
    </row>
    <row r="38113">
      <c r="D38113" s="185"/>
      <c r="E38113" s="185" t="s">
        <v>470</v>
      </c>
      <c r="H38113" s="185"/>
    </row>
    <row r="38114">
      <c r="D38114" s="185"/>
      <c r="E38114" s="185" t="s">
        <v>470</v>
      </c>
      <c r="H38114" s="185"/>
    </row>
    <row r="38115">
      <c r="D38115" s="185"/>
      <c r="E38115" s="185" t="s">
        <v>470</v>
      </c>
      <c r="H38115" s="185"/>
    </row>
    <row r="38116">
      <c r="D38116" s="185"/>
      <c r="E38116" s="185" t="s">
        <v>470</v>
      </c>
      <c r="H38116" s="185"/>
    </row>
    <row r="38117">
      <c r="D38117" s="185"/>
      <c r="E38117" s="185" t="s">
        <v>470</v>
      </c>
      <c r="H38117" s="185"/>
    </row>
    <row r="38118">
      <c r="D38118" s="185"/>
      <c r="E38118" s="185" t="s">
        <v>470</v>
      </c>
      <c r="H38118" s="185"/>
    </row>
    <row r="38119">
      <c r="D38119" s="185"/>
      <c r="E38119" s="185" t="s">
        <v>470</v>
      </c>
      <c r="H38119" s="185"/>
    </row>
    <row r="38120">
      <c r="D38120" s="185"/>
      <c r="E38120" s="185" t="s">
        <v>470</v>
      </c>
      <c r="H38120" s="185"/>
    </row>
    <row r="38121">
      <c r="D38121" s="185"/>
      <c r="E38121" s="185" t="s">
        <v>470</v>
      </c>
      <c r="H38121" s="185"/>
    </row>
    <row r="38122">
      <c r="D38122" s="185"/>
      <c r="E38122" s="185" t="s">
        <v>470</v>
      </c>
      <c r="H38122" s="185"/>
    </row>
    <row r="38123">
      <c r="D38123" s="185"/>
      <c r="E38123" s="185" t="s">
        <v>470</v>
      </c>
      <c r="H38123" s="185"/>
    </row>
    <row r="38124">
      <c r="D38124" s="185"/>
      <c r="E38124" s="185" t="s">
        <v>470</v>
      </c>
      <c r="H38124" s="185"/>
    </row>
    <row r="38125">
      <c r="D38125" s="185"/>
      <c r="E38125" s="185" t="s">
        <v>470</v>
      </c>
      <c r="H38125" s="185"/>
    </row>
    <row r="38126">
      <c r="D38126" s="185"/>
      <c r="E38126" s="185" t="s">
        <v>470</v>
      </c>
      <c r="H38126" s="185"/>
    </row>
    <row r="38127">
      <c r="D38127" s="185"/>
      <c r="E38127" s="185" t="s">
        <v>470</v>
      </c>
      <c r="H38127" s="185"/>
    </row>
    <row r="38128">
      <c r="D38128" s="185"/>
      <c r="E38128" s="185" t="s">
        <v>470</v>
      </c>
      <c r="H38128" s="185"/>
    </row>
    <row r="38129">
      <c r="D38129" s="185"/>
      <c r="E38129" s="185" t="s">
        <v>470</v>
      </c>
      <c r="H38129" s="185"/>
    </row>
    <row r="38130">
      <c r="D38130" s="185"/>
      <c r="E38130" s="185" t="s">
        <v>470</v>
      </c>
      <c r="H38130" s="185"/>
    </row>
    <row r="38131">
      <c r="D38131" s="185"/>
      <c r="E38131" s="185" t="s">
        <v>470</v>
      </c>
      <c r="H38131" s="185"/>
    </row>
    <row r="38132">
      <c r="D38132" s="185"/>
      <c r="E38132" s="185" t="s">
        <v>470</v>
      </c>
      <c r="H38132" s="185"/>
    </row>
    <row r="38133">
      <c r="D38133" s="185"/>
      <c r="E38133" s="185" t="s">
        <v>470</v>
      </c>
      <c r="H38133" s="185"/>
    </row>
    <row r="38134">
      <c r="D38134" s="185"/>
      <c r="E38134" s="185" t="s">
        <v>470</v>
      </c>
      <c r="H38134" s="185"/>
    </row>
    <row r="38135">
      <c r="D38135" s="185"/>
      <c r="E38135" s="185" t="s">
        <v>470</v>
      </c>
      <c r="H38135" s="185"/>
    </row>
    <row r="38136">
      <c r="D38136" s="185"/>
      <c r="E38136" s="185" t="s">
        <v>470</v>
      </c>
      <c r="H38136" s="185"/>
    </row>
    <row r="38137">
      <c r="D38137" s="185"/>
      <c r="E38137" s="185" t="s">
        <v>470</v>
      </c>
      <c r="H38137" s="185"/>
    </row>
    <row r="38138">
      <c r="D38138" s="185"/>
      <c r="E38138" s="185" t="s">
        <v>470</v>
      </c>
      <c r="H38138" s="185"/>
    </row>
    <row r="38139">
      <c r="D38139" s="185"/>
      <c r="E38139" s="185" t="s">
        <v>470</v>
      </c>
      <c r="H38139" s="185"/>
    </row>
    <row r="38140">
      <c r="D38140" s="185"/>
      <c r="E38140" s="185" t="s">
        <v>470</v>
      </c>
      <c r="H38140" s="185"/>
    </row>
    <row r="38141">
      <c r="D38141" s="185"/>
      <c r="E38141" s="185" t="s">
        <v>470</v>
      </c>
      <c r="H38141" s="185"/>
    </row>
    <row r="38142">
      <c r="D38142" s="185"/>
      <c r="E38142" s="185" t="s">
        <v>470</v>
      </c>
      <c r="H38142" s="185"/>
    </row>
    <row r="38143">
      <c r="D38143" s="185"/>
      <c r="E38143" s="185" t="s">
        <v>470</v>
      </c>
      <c r="H38143" s="185"/>
    </row>
    <row r="38144">
      <c r="D38144" s="185"/>
      <c r="E38144" s="185" t="s">
        <v>470</v>
      </c>
      <c r="H38144" s="185"/>
    </row>
    <row r="38145">
      <c r="D38145" s="185"/>
      <c r="E38145" s="185" t="s">
        <v>470</v>
      </c>
      <c r="H38145" s="185"/>
    </row>
    <row r="38146">
      <c r="D38146" s="185"/>
      <c r="E38146" s="185" t="s">
        <v>470</v>
      </c>
      <c r="H38146" s="185"/>
    </row>
    <row r="38147">
      <c r="D38147" s="185"/>
      <c r="E38147" s="185" t="s">
        <v>470</v>
      </c>
      <c r="H38147" s="185"/>
    </row>
    <row r="38148">
      <c r="D38148" s="185"/>
      <c r="E38148" s="185" t="s">
        <v>470</v>
      </c>
      <c r="H38148" s="185"/>
    </row>
    <row r="38149">
      <c r="D38149" s="185"/>
      <c r="E38149" s="185" t="s">
        <v>470</v>
      </c>
      <c r="H38149" s="185"/>
    </row>
    <row r="38150">
      <c r="D38150" s="185"/>
      <c r="E38150" s="185" t="s">
        <v>470</v>
      </c>
      <c r="H38150" s="185"/>
    </row>
    <row r="38151">
      <c r="D38151" s="185"/>
      <c r="E38151" s="185" t="s">
        <v>470</v>
      </c>
      <c r="H38151" s="185"/>
    </row>
    <row r="38152">
      <c r="D38152" s="185"/>
      <c r="E38152" s="185" t="s">
        <v>470</v>
      </c>
      <c r="H38152" s="185"/>
    </row>
    <row r="38153">
      <c r="D38153" s="185"/>
      <c r="E38153" s="185" t="s">
        <v>470</v>
      </c>
      <c r="H38153" s="185"/>
    </row>
    <row r="38154">
      <c r="D38154" s="185"/>
      <c r="E38154" s="185" t="s">
        <v>470</v>
      </c>
      <c r="H38154" s="185"/>
    </row>
    <row r="38155">
      <c r="D38155" s="185"/>
      <c r="E38155" s="185" t="s">
        <v>470</v>
      </c>
      <c r="H38155" s="185"/>
    </row>
    <row r="38156">
      <c r="D38156" s="185"/>
      <c r="E38156" s="185" t="s">
        <v>470</v>
      </c>
      <c r="H38156" s="185"/>
    </row>
    <row r="38157">
      <c r="D38157" s="185"/>
      <c r="E38157" s="185" t="s">
        <v>470</v>
      </c>
      <c r="H38157" s="185"/>
    </row>
    <row r="38158">
      <c r="D38158" s="185"/>
      <c r="E38158" s="185" t="s">
        <v>470</v>
      </c>
      <c r="H38158" s="185"/>
    </row>
    <row r="38159">
      <c r="D38159" s="185"/>
      <c r="E38159" s="185" t="s">
        <v>470</v>
      </c>
      <c r="H38159" s="185"/>
    </row>
    <row r="38160">
      <c r="D38160" s="185"/>
      <c r="E38160" s="185" t="s">
        <v>470</v>
      </c>
      <c r="H38160" s="185"/>
    </row>
    <row r="38161">
      <c r="D38161" s="185"/>
      <c r="E38161" s="185" t="s">
        <v>470</v>
      </c>
      <c r="H38161" s="185"/>
    </row>
    <row r="38162">
      <c r="D38162" s="185"/>
      <c r="E38162" s="185" t="s">
        <v>470</v>
      </c>
      <c r="H38162" s="185"/>
    </row>
    <row r="38163">
      <c r="D38163" s="185"/>
      <c r="E38163" s="185" t="s">
        <v>470</v>
      </c>
      <c r="H38163" s="185"/>
    </row>
    <row r="38164">
      <c r="D38164" s="185"/>
      <c r="E38164" s="185" t="s">
        <v>470</v>
      </c>
      <c r="H38164" s="185"/>
    </row>
    <row r="38165">
      <c r="D38165" s="185"/>
      <c r="E38165" s="185" t="s">
        <v>470</v>
      </c>
      <c r="H38165" s="185"/>
    </row>
    <row r="38166">
      <c r="D38166" s="185"/>
      <c r="E38166" s="185" t="s">
        <v>470</v>
      </c>
      <c r="H38166" s="185"/>
    </row>
    <row r="38167">
      <c r="D38167" s="185"/>
      <c r="E38167" s="185" t="s">
        <v>470</v>
      </c>
      <c r="H38167" s="185"/>
    </row>
    <row r="38168">
      <c r="D38168" s="185"/>
      <c r="E38168" s="185" t="s">
        <v>470</v>
      </c>
      <c r="H38168" s="185"/>
    </row>
    <row r="38169">
      <c r="D38169" s="185"/>
      <c r="E38169" s="185" t="s">
        <v>470</v>
      </c>
      <c r="H38169" s="185"/>
    </row>
    <row r="38170">
      <c r="D38170" s="185"/>
      <c r="E38170" s="185" t="s">
        <v>470</v>
      </c>
      <c r="H38170" s="185"/>
    </row>
    <row r="38171">
      <c r="D38171" s="185"/>
      <c r="E38171" s="185" t="s">
        <v>470</v>
      </c>
      <c r="H38171" s="185"/>
    </row>
    <row r="38172">
      <c r="D38172" s="185"/>
      <c r="E38172" s="185" t="s">
        <v>470</v>
      </c>
      <c r="H38172" s="185"/>
    </row>
    <row r="38173">
      <c r="D38173" s="185"/>
      <c r="E38173" s="185" t="s">
        <v>470</v>
      </c>
      <c r="H38173" s="185"/>
    </row>
    <row r="38174">
      <c r="D38174" s="185"/>
      <c r="E38174" s="185" t="s">
        <v>470</v>
      </c>
      <c r="H38174" s="185"/>
    </row>
    <row r="38175">
      <c r="D38175" s="185"/>
      <c r="E38175" s="185" t="s">
        <v>470</v>
      </c>
      <c r="H38175" s="185"/>
    </row>
    <row r="38176">
      <c r="D38176" s="185"/>
      <c r="E38176" s="185" t="s">
        <v>470</v>
      </c>
      <c r="H38176" s="185"/>
    </row>
    <row r="38177">
      <c r="D38177" s="185"/>
      <c r="E38177" s="185" t="s">
        <v>470</v>
      </c>
      <c r="H38177" s="185"/>
    </row>
    <row r="38178">
      <c r="D38178" s="185"/>
      <c r="E38178" s="185" t="s">
        <v>470</v>
      </c>
      <c r="H38178" s="185"/>
    </row>
    <row r="38179">
      <c r="D38179" s="185"/>
      <c r="E38179" s="185" t="s">
        <v>470</v>
      </c>
      <c r="H38179" s="185"/>
    </row>
    <row r="38180">
      <c r="D38180" s="185"/>
      <c r="E38180" s="185" t="s">
        <v>470</v>
      </c>
      <c r="H38180" s="185"/>
    </row>
    <row r="38181">
      <c r="D38181" s="185"/>
      <c r="E38181" s="185" t="s">
        <v>470</v>
      </c>
      <c r="H38181" s="185"/>
    </row>
    <row r="38182">
      <c r="D38182" s="185"/>
      <c r="E38182" s="185" t="s">
        <v>470</v>
      </c>
      <c r="H38182" s="185"/>
    </row>
    <row r="38183">
      <c r="D38183" s="185"/>
      <c r="E38183" s="185" t="s">
        <v>470</v>
      </c>
      <c r="H38183" s="185"/>
    </row>
    <row r="38184">
      <c r="D38184" s="185"/>
      <c r="E38184" s="185" t="s">
        <v>470</v>
      </c>
      <c r="H38184" s="185"/>
    </row>
    <row r="38185">
      <c r="D38185" s="185"/>
      <c r="E38185" s="185" t="s">
        <v>470</v>
      </c>
      <c r="H38185" s="185"/>
    </row>
    <row r="38186">
      <c r="D38186" s="185"/>
      <c r="E38186" s="185" t="s">
        <v>470</v>
      </c>
      <c r="H38186" s="185"/>
    </row>
    <row r="38187">
      <c r="D38187" s="185"/>
      <c r="E38187" s="185" t="s">
        <v>470</v>
      </c>
      <c r="H38187" s="185"/>
    </row>
    <row r="38188">
      <c r="D38188" s="185"/>
      <c r="E38188" s="185" t="s">
        <v>470</v>
      </c>
      <c r="H38188" s="185"/>
    </row>
    <row r="38189">
      <c r="D38189" s="185"/>
      <c r="E38189" s="185" t="s">
        <v>470</v>
      </c>
      <c r="H38189" s="185"/>
    </row>
    <row r="38190">
      <c r="D38190" s="185"/>
      <c r="E38190" s="185" t="s">
        <v>470</v>
      </c>
      <c r="H38190" s="185"/>
    </row>
    <row r="38191">
      <c r="D38191" s="185"/>
      <c r="E38191" s="185" t="s">
        <v>470</v>
      </c>
      <c r="H38191" s="185"/>
    </row>
    <row r="38192">
      <c r="D38192" s="185"/>
      <c r="E38192" s="185" t="s">
        <v>470</v>
      </c>
      <c r="H38192" s="185"/>
    </row>
    <row r="38193">
      <c r="D38193" s="185"/>
      <c r="E38193" s="185" t="s">
        <v>470</v>
      </c>
      <c r="H38193" s="185"/>
    </row>
    <row r="38194">
      <c r="D38194" s="185"/>
      <c r="E38194" s="185" t="s">
        <v>470</v>
      </c>
      <c r="H38194" s="185"/>
    </row>
    <row r="38195">
      <c r="D38195" s="185"/>
      <c r="E38195" s="185" t="s">
        <v>470</v>
      </c>
      <c r="H38195" s="185"/>
    </row>
    <row r="38196">
      <c r="D38196" s="185"/>
      <c r="E38196" s="185" t="s">
        <v>470</v>
      </c>
      <c r="H38196" s="185"/>
    </row>
    <row r="38197">
      <c r="D38197" s="185"/>
      <c r="E38197" s="185" t="s">
        <v>470</v>
      </c>
      <c r="H38197" s="185"/>
    </row>
    <row r="38198">
      <c r="D38198" s="185"/>
      <c r="E38198" s="185" t="s">
        <v>470</v>
      </c>
      <c r="H38198" s="185"/>
    </row>
    <row r="38199">
      <c r="D38199" s="185"/>
      <c r="E38199" s="185" t="s">
        <v>470</v>
      </c>
      <c r="H38199" s="185"/>
    </row>
    <row r="38200">
      <c r="D38200" s="185"/>
      <c r="E38200" s="185" t="s">
        <v>470</v>
      </c>
      <c r="H38200" s="185"/>
    </row>
    <row r="38201">
      <c r="D38201" s="185"/>
      <c r="E38201" s="185" t="s">
        <v>470</v>
      </c>
      <c r="H38201" s="185"/>
    </row>
    <row r="38202">
      <c r="D38202" s="185"/>
      <c r="E38202" s="185" t="s">
        <v>470</v>
      </c>
      <c r="H38202" s="185"/>
    </row>
    <row r="38203">
      <c r="D38203" s="185"/>
      <c r="E38203" s="185" t="s">
        <v>470</v>
      </c>
      <c r="H38203" s="185"/>
    </row>
    <row r="38204">
      <c r="D38204" s="185"/>
      <c r="E38204" s="185" t="s">
        <v>470</v>
      </c>
      <c r="H38204" s="185"/>
    </row>
    <row r="38205">
      <c r="D38205" s="185"/>
      <c r="E38205" s="185" t="s">
        <v>470</v>
      </c>
      <c r="H38205" s="185"/>
    </row>
    <row r="38206">
      <c r="D38206" s="185"/>
      <c r="E38206" s="185" t="s">
        <v>470</v>
      </c>
      <c r="H38206" s="185"/>
    </row>
    <row r="38207">
      <c r="D38207" s="185"/>
      <c r="E38207" s="185" t="s">
        <v>470</v>
      </c>
      <c r="H38207" s="185"/>
    </row>
    <row r="38208">
      <c r="D38208" s="185"/>
      <c r="E38208" s="185" t="s">
        <v>470</v>
      </c>
      <c r="H38208" s="185"/>
    </row>
    <row r="38209">
      <c r="D38209" s="185"/>
      <c r="E38209" s="185" t="s">
        <v>470</v>
      </c>
      <c r="H38209" s="185"/>
    </row>
    <row r="38210">
      <c r="D38210" s="185"/>
      <c r="E38210" s="185" t="s">
        <v>470</v>
      </c>
      <c r="H38210" s="185"/>
    </row>
    <row r="38211">
      <c r="D38211" s="185"/>
      <c r="E38211" s="185" t="s">
        <v>470</v>
      </c>
      <c r="H38211" s="185"/>
    </row>
    <row r="38212">
      <c r="D38212" s="185"/>
      <c r="E38212" s="185" t="s">
        <v>470</v>
      </c>
      <c r="H38212" s="185"/>
    </row>
    <row r="38213">
      <c r="D38213" s="185"/>
      <c r="E38213" s="185" t="s">
        <v>470</v>
      </c>
      <c r="H38213" s="185"/>
    </row>
    <row r="38214">
      <c r="D38214" s="185"/>
      <c r="E38214" s="185" t="s">
        <v>470</v>
      </c>
      <c r="H38214" s="185"/>
    </row>
    <row r="38215">
      <c r="D38215" s="185"/>
      <c r="E38215" s="185" t="s">
        <v>470</v>
      </c>
      <c r="H38215" s="185"/>
    </row>
    <row r="38216">
      <c r="D38216" s="185"/>
      <c r="E38216" s="185" t="s">
        <v>470</v>
      </c>
      <c r="H38216" s="185"/>
    </row>
    <row r="38217">
      <c r="D38217" s="185"/>
      <c r="E38217" s="185" t="s">
        <v>470</v>
      </c>
      <c r="H38217" s="185"/>
    </row>
    <row r="38218">
      <c r="D38218" s="185"/>
      <c r="E38218" s="185" t="s">
        <v>470</v>
      </c>
      <c r="H38218" s="185"/>
    </row>
    <row r="38219">
      <c r="D38219" s="185"/>
      <c r="E38219" s="185" t="s">
        <v>470</v>
      </c>
      <c r="H38219" s="185"/>
    </row>
    <row r="38220">
      <c r="D38220" s="185"/>
      <c r="E38220" s="185" t="s">
        <v>470</v>
      </c>
      <c r="H38220" s="185"/>
    </row>
    <row r="38221">
      <c r="D38221" s="185"/>
      <c r="E38221" s="185" t="s">
        <v>470</v>
      </c>
      <c r="H38221" s="185"/>
    </row>
    <row r="38222">
      <c r="D38222" s="185"/>
      <c r="E38222" s="185" t="s">
        <v>470</v>
      </c>
      <c r="H38222" s="185"/>
    </row>
    <row r="38223">
      <c r="D38223" s="185"/>
      <c r="E38223" s="185" t="s">
        <v>470</v>
      </c>
      <c r="H38223" s="185"/>
    </row>
    <row r="38224">
      <c r="D38224" s="185"/>
      <c r="E38224" s="185" t="s">
        <v>470</v>
      </c>
      <c r="H38224" s="185"/>
    </row>
    <row r="38225">
      <c r="D38225" s="185"/>
      <c r="E38225" s="185" t="s">
        <v>470</v>
      </c>
      <c r="H38225" s="185"/>
    </row>
    <row r="38226">
      <c r="D38226" s="185"/>
      <c r="E38226" s="185" t="s">
        <v>470</v>
      </c>
      <c r="H38226" s="185"/>
    </row>
    <row r="38227">
      <c r="D38227" s="185"/>
      <c r="E38227" s="185" t="s">
        <v>470</v>
      </c>
      <c r="H38227" s="185"/>
    </row>
    <row r="38228">
      <c r="D38228" s="185"/>
      <c r="E38228" s="185" t="s">
        <v>470</v>
      </c>
      <c r="H38228" s="185"/>
    </row>
    <row r="38229">
      <c r="D38229" s="185"/>
      <c r="E38229" s="185" t="s">
        <v>470</v>
      </c>
      <c r="H38229" s="185"/>
    </row>
    <row r="38230">
      <c r="D38230" s="185"/>
      <c r="E38230" s="185" t="s">
        <v>470</v>
      </c>
      <c r="H38230" s="185"/>
    </row>
    <row r="38231">
      <c r="D38231" s="185"/>
      <c r="E38231" s="185" t="s">
        <v>470</v>
      </c>
      <c r="H38231" s="185"/>
    </row>
    <row r="38232">
      <c r="D38232" s="185"/>
      <c r="E38232" s="185" t="s">
        <v>470</v>
      </c>
      <c r="H38232" s="185"/>
    </row>
    <row r="38233">
      <c r="D38233" s="185"/>
      <c r="E38233" s="185" t="s">
        <v>470</v>
      </c>
      <c r="H38233" s="185"/>
    </row>
    <row r="38234">
      <c r="D38234" s="185"/>
      <c r="E38234" s="185" t="s">
        <v>470</v>
      </c>
      <c r="H38234" s="185"/>
    </row>
    <row r="38235">
      <c r="D38235" s="185"/>
      <c r="E38235" s="185" t="s">
        <v>470</v>
      </c>
      <c r="H38235" s="185"/>
    </row>
    <row r="38236">
      <c r="D38236" s="185"/>
      <c r="E38236" s="185" t="s">
        <v>470</v>
      </c>
      <c r="H38236" s="185"/>
    </row>
    <row r="38237">
      <c r="D38237" s="185"/>
      <c r="E38237" s="185" t="s">
        <v>470</v>
      </c>
      <c r="H38237" s="185"/>
    </row>
    <row r="38238">
      <c r="D38238" s="185"/>
      <c r="E38238" s="185" t="s">
        <v>470</v>
      </c>
      <c r="H38238" s="185"/>
    </row>
    <row r="38239">
      <c r="D38239" s="185"/>
      <c r="E38239" s="185" t="s">
        <v>470</v>
      </c>
      <c r="H38239" s="185"/>
    </row>
    <row r="38240">
      <c r="D38240" s="185"/>
      <c r="E38240" s="185" t="s">
        <v>470</v>
      </c>
      <c r="H38240" s="185"/>
    </row>
    <row r="38241">
      <c r="D38241" s="185"/>
      <c r="E38241" s="185" t="s">
        <v>470</v>
      </c>
      <c r="H38241" s="185"/>
    </row>
    <row r="38242">
      <c r="D38242" s="185"/>
      <c r="E38242" s="185" t="s">
        <v>470</v>
      </c>
      <c r="H38242" s="185"/>
    </row>
    <row r="38243">
      <c r="D38243" s="185"/>
      <c r="E38243" s="185" t="s">
        <v>470</v>
      </c>
      <c r="H38243" s="185"/>
    </row>
    <row r="38244">
      <c r="D38244" s="185"/>
      <c r="E38244" s="185" t="s">
        <v>470</v>
      </c>
      <c r="H38244" s="185"/>
    </row>
    <row r="38245">
      <c r="D38245" s="185"/>
      <c r="E38245" s="185" t="s">
        <v>470</v>
      </c>
      <c r="H38245" s="185"/>
    </row>
    <row r="38246">
      <c r="D38246" s="185"/>
      <c r="E38246" s="185" t="s">
        <v>470</v>
      </c>
      <c r="H38246" s="185"/>
    </row>
    <row r="38247">
      <c r="D38247" s="185"/>
      <c r="E38247" s="185" t="s">
        <v>470</v>
      </c>
      <c r="H38247" s="185"/>
    </row>
    <row r="38248">
      <c r="D38248" s="185"/>
      <c r="E38248" s="185" t="s">
        <v>470</v>
      </c>
      <c r="H38248" s="185"/>
    </row>
    <row r="38249">
      <c r="D38249" s="185"/>
      <c r="E38249" s="185" t="s">
        <v>470</v>
      </c>
      <c r="H38249" s="185"/>
    </row>
    <row r="38250">
      <c r="D38250" s="185"/>
      <c r="E38250" s="185" t="s">
        <v>470</v>
      </c>
      <c r="H38250" s="185"/>
    </row>
    <row r="38251">
      <c r="D38251" s="185"/>
      <c r="E38251" s="185" t="s">
        <v>470</v>
      </c>
      <c r="H38251" s="185"/>
    </row>
    <row r="38252">
      <c r="D38252" s="185"/>
      <c r="E38252" s="185" t="s">
        <v>470</v>
      </c>
      <c r="H38252" s="185"/>
    </row>
    <row r="38253">
      <c r="D38253" s="185"/>
      <c r="E38253" s="185" t="s">
        <v>470</v>
      </c>
      <c r="H38253" s="185"/>
    </row>
    <row r="38254">
      <c r="D38254" s="185"/>
      <c r="E38254" s="185" t="s">
        <v>470</v>
      </c>
      <c r="H38254" s="185"/>
    </row>
    <row r="38255">
      <c r="D38255" s="185"/>
      <c r="E38255" s="185" t="s">
        <v>470</v>
      </c>
      <c r="H38255" s="185"/>
    </row>
    <row r="38256">
      <c r="D38256" s="185"/>
      <c r="E38256" s="185" t="s">
        <v>470</v>
      </c>
      <c r="H38256" s="185"/>
    </row>
    <row r="38257">
      <c r="D38257" s="185"/>
      <c r="E38257" s="185" t="s">
        <v>470</v>
      </c>
      <c r="H38257" s="185"/>
    </row>
    <row r="38258">
      <c r="D38258" s="185"/>
      <c r="E38258" s="185" t="s">
        <v>470</v>
      </c>
      <c r="H38258" s="185"/>
    </row>
    <row r="38259">
      <c r="D38259" s="185"/>
      <c r="E38259" s="185" t="s">
        <v>470</v>
      </c>
      <c r="H38259" s="185"/>
    </row>
    <row r="38260">
      <c r="D38260" s="185"/>
      <c r="E38260" s="185" t="s">
        <v>470</v>
      </c>
      <c r="H38260" s="185"/>
    </row>
    <row r="38261">
      <c r="D38261" s="185"/>
      <c r="E38261" s="185" t="s">
        <v>470</v>
      </c>
      <c r="H38261" s="185"/>
    </row>
    <row r="38262">
      <c r="D38262" s="185"/>
      <c r="E38262" s="185" t="s">
        <v>470</v>
      </c>
      <c r="H38262" s="185"/>
    </row>
    <row r="38263">
      <c r="D38263" s="185"/>
      <c r="E38263" s="185" t="s">
        <v>470</v>
      </c>
      <c r="H38263" s="185"/>
    </row>
    <row r="38264">
      <c r="D38264" s="185"/>
      <c r="E38264" s="185" t="s">
        <v>470</v>
      </c>
      <c r="H38264" s="185"/>
    </row>
    <row r="38265">
      <c r="D38265" s="185"/>
      <c r="E38265" s="185" t="s">
        <v>470</v>
      </c>
      <c r="H38265" s="185"/>
    </row>
    <row r="38266">
      <c r="D38266" s="185"/>
      <c r="E38266" s="185" t="s">
        <v>470</v>
      </c>
      <c r="H38266" s="185"/>
    </row>
    <row r="38267">
      <c r="D38267" s="185"/>
      <c r="E38267" s="185" t="s">
        <v>470</v>
      </c>
      <c r="H38267" s="185"/>
    </row>
    <row r="38268">
      <c r="D38268" s="185"/>
      <c r="E38268" s="185" t="s">
        <v>470</v>
      </c>
      <c r="H38268" s="185"/>
    </row>
    <row r="38269">
      <c r="D38269" s="185"/>
      <c r="E38269" s="185" t="s">
        <v>470</v>
      </c>
      <c r="H38269" s="185"/>
    </row>
    <row r="38270">
      <c r="D38270" s="185"/>
      <c r="E38270" s="185" t="s">
        <v>470</v>
      </c>
      <c r="H38270" s="185"/>
    </row>
    <row r="38271">
      <c r="D38271" s="185"/>
      <c r="E38271" s="185" t="s">
        <v>470</v>
      </c>
      <c r="H38271" s="185"/>
    </row>
    <row r="38272">
      <c r="D38272" s="185"/>
      <c r="E38272" s="185" t="s">
        <v>470</v>
      </c>
      <c r="H38272" s="185"/>
    </row>
    <row r="38273">
      <c r="D38273" s="185"/>
      <c r="E38273" s="185" t="s">
        <v>470</v>
      </c>
      <c r="H38273" s="185"/>
    </row>
    <row r="38274">
      <c r="D38274" s="185"/>
      <c r="E38274" s="185" t="s">
        <v>470</v>
      </c>
      <c r="H38274" s="185"/>
    </row>
    <row r="38275">
      <c r="D38275" s="185"/>
      <c r="E38275" s="185" t="s">
        <v>470</v>
      </c>
      <c r="H38275" s="185"/>
    </row>
    <row r="38276">
      <c r="D38276" s="185"/>
      <c r="E38276" s="185" t="s">
        <v>470</v>
      </c>
      <c r="H38276" s="185"/>
    </row>
    <row r="38277">
      <c r="D38277" s="185"/>
      <c r="E38277" s="185" t="s">
        <v>470</v>
      </c>
      <c r="H38277" s="185"/>
    </row>
    <row r="38278">
      <c r="D38278" s="185"/>
      <c r="E38278" s="185" t="s">
        <v>470</v>
      </c>
      <c r="H38278" s="185"/>
    </row>
    <row r="38279">
      <c r="D38279" s="185"/>
      <c r="E38279" s="185" t="s">
        <v>470</v>
      </c>
      <c r="H38279" s="185"/>
    </row>
    <row r="38280">
      <c r="D38280" s="185"/>
      <c r="E38280" s="185" t="s">
        <v>470</v>
      </c>
      <c r="H38280" s="185"/>
    </row>
    <row r="38281">
      <c r="D38281" s="185"/>
      <c r="E38281" s="185" t="s">
        <v>470</v>
      </c>
      <c r="H38281" s="185"/>
    </row>
    <row r="38282">
      <c r="D38282" s="185"/>
      <c r="E38282" s="185" t="s">
        <v>470</v>
      </c>
      <c r="H38282" s="185"/>
    </row>
    <row r="38283">
      <c r="D38283" s="185"/>
      <c r="E38283" s="185" t="s">
        <v>470</v>
      </c>
      <c r="H38283" s="185"/>
    </row>
    <row r="38284">
      <c r="D38284" s="185"/>
      <c r="E38284" s="185" t="s">
        <v>470</v>
      </c>
      <c r="H38284" s="185"/>
    </row>
    <row r="38285">
      <c r="D38285" s="185"/>
      <c r="E38285" s="185" t="s">
        <v>470</v>
      </c>
      <c r="H38285" s="185"/>
    </row>
    <row r="38286">
      <c r="D38286" s="185"/>
      <c r="E38286" s="185" t="s">
        <v>470</v>
      </c>
      <c r="H38286" s="185"/>
    </row>
    <row r="38287">
      <c r="D38287" s="185"/>
      <c r="E38287" s="185" t="s">
        <v>470</v>
      </c>
      <c r="H38287" s="185"/>
    </row>
    <row r="38288">
      <c r="D38288" s="185"/>
      <c r="E38288" s="185" t="s">
        <v>470</v>
      </c>
      <c r="H38288" s="185"/>
    </row>
    <row r="38289">
      <c r="D38289" s="185"/>
      <c r="E38289" s="185" t="s">
        <v>470</v>
      </c>
      <c r="H38289" s="185"/>
    </row>
    <row r="38290">
      <c r="D38290" s="185"/>
      <c r="E38290" s="185" t="s">
        <v>470</v>
      </c>
      <c r="H38290" s="185"/>
    </row>
    <row r="38291">
      <c r="D38291" s="185"/>
      <c r="E38291" s="185" t="s">
        <v>470</v>
      </c>
      <c r="H38291" s="185"/>
    </row>
    <row r="38292">
      <c r="D38292" s="185"/>
      <c r="E38292" s="185" t="s">
        <v>470</v>
      </c>
      <c r="H38292" s="185"/>
    </row>
    <row r="38293">
      <c r="D38293" s="185"/>
      <c r="E38293" s="185" t="s">
        <v>470</v>
      </c>
      <c r="H38293" s="185"/>
    </row>
    <row r="38294">
      <c r="D38294" s="185"/>
      <c r="E38294" s="185" t="s">
        <v>470</v>
      </c>
      <c r="H38294" s="185"/>
    </row>
    <row r="38295">
      <c r="D38295" s="185"/>
      <c r="E38295" s="185" t="s">
        <v>470</v>
      </c>
      <c r="H38295" s="185"/>
    </row>
    <row r="38296">
      <c r="D38296" s="185"/>
      <c r="E38296" s="185" t="s">
        <v>470</v>
      </c>
      <c r="H38296" s="185"/>
    </row>
    <row r="38297">
      <c r="D38297" s="185"/>
      <c r="E38297" s="185" t="s">
        <v>470</v>
      </c>
      <c r="H38297" s="185"/>
    </row>
    <row r="38298">
      <c r="D38298" s="185"/>
      <c r="E38298" s="185" t="s">
        <v>470</v>
      </c>
      <c r="H38298" s="185"/>
    </row>
    <row r="38299">
      <c r="D38299" s="185"/>
      <c r="E38299" s="185" t="s">
        <v>470</v>
      </c>
      <c r="H38299" s="185"/>
    </row>
    <row r="38300">
      <c r="D38300" s="185"/>
      <c r="E38300" s="185" t="s">
        <v>470</v>
      </c>
      <c r="H38300" s="185"/>
    </row>
    <row r="38301">
      <c r="D38301" s="185"/>
      <c r="E38301" s="185" t="s">
        <v>470</v>
      </c>
      <c r="H38301" s="185"/>
    </row>
    <row r="38302">
      <c r="D38302" s="185"/>
      <c r="E38302" s="185" t="s">
        <v>470</v>
      </c>
      <c r="H38302" s="185"/>
    </row>
    <row r="38303">
      <c r="D38303" s="185"/>
      <c r="E38303" s="185" t="s">
        <v>470</v>
      </c>
      <c r="H38303" s="185"/>
    </row>
    <row r="38304">
      <c r="D38304" s="185"/>
      <c r="E38304" s="185" t="s">
        <v>470</v>
      </c>
      <c r="H38304" s="185"/>
    </row>
    <row r="38305">
      <c r="D38305" s="185"/>
      <c r="E38305" s="185" t="s">
        <v>470</v>
      </c>
      <c r="H38305" s="185"/>
    </row>
    <row r="38306">
      <c r="D38306" s="185"/>
      <c r="E38306" s="185" t="s">
        <v>470</v>
      </c>
      <c r="H38306" s="185"/>
    </row>
    <row r="38307">
      <c r="D38307" s="185"/>
      <c r="E38307" s="185" t="s">
        <v>470</v>
      </c>
      <c r="H38307" s="185"/>
    </row>
    <row r="38308">
      <c r="D38308" s="185"/>
      <c r="E38308" s="185" t="s">
        <v>470</v>
      </c>
      <c r="H38308" s="185"/>
    </row>
    <row r="38309">
      <c r="D38309" s="185"/>
      <c r="E38309" s="185" t="s">
        <v>470</v>
      </c>
      <c r="H38309" s="185"/>
    </row>
    <row r="38310">
      <c r="D38310" s="185"/>
      <c r="E38310" s="185" t="s">
        <v>470</v>
      </c>
      <c r="H38310" s="185"/>
    </row>
    <row r="38311">
      <c r="D38311" s="185"/>
      <c r="E38311" s="185" t="s">
        <v>470</v>
      </c>
      <c r="H38311" s="185"/>
    </row>
    <row r="38312">
      <c r="D38312" s="185"/>
      <c r="E38312" s="185" t="s">
        <v>470</v>
      </c>
      <c r="H38312" s="185"/>
    </row>
    <row r="38313">
      <c r="D38313" s="185"/>
      <c r="E38313" s="185" t="s">
        <v>470</v>
      </c>
      <c r="H38313" s="185"/>
    </row>
    <row r="38314">
      <c r="D38314" s="185"/>
      <c r="E38314" s="185" t="s">
        <v>470</v>
      </c>
      <c r="H38314" s="185"/>
    </row>
    <row r="38315">
      <c r="D38315" s="185"/>
      <c r="E38315" s="185" t="s">
        <v>470</v>
      </c>
      <c r="H38315" s="185"/>
    </row>
    <row r="38316">
      <c r="D38316" s="185"/>
      <c r="E38316" s="185" t="s">
        <v>470</v>
      </c>
      <c r="H38316" s="185"/>
    </row>
    <row r="38317">
      <c r="D38317" s="185"/>
      <c r="E38317" s="185" t="s">
        <v>470</v>
      </c>
      <c r="H38317" s="185"/>
    </row>
    <row r="38318">
      <c r="D38318" s="185"/>
      <c r="E38318" s="185" t="s">
        <v>470</v>
      </c>
      <c r="H38318" s="185"/>
    </row>
    <row r="38319">
      <c r="D38319" s="185"/>
      <c r="E38319" s="185" t="s">
        <v>470</v>
      </c>
      <c r="H38319" s="185"/>
    </row>
    <row r="38320">
      <c r="D38320" s="185"/>
      <c r="E38320" s="185" t="s">
        <v>470</v>
      </c>
      <c r="H38320" s="185"/>
    </row>
    <row r="38321">
      <c r="D38321" s="185"/>
      <c r="E38321" s="185" t="s">
        <v>470</v>
      </c>
      <c r="H38321" s="185"/>
    </row>
    <row r="38322">
      <c r="D38322" s="185"/>
      <c r="E38322" s="185" t="s">
        <v>470</v>
      </c>
      <c r="H38322" s="185"/>
    </row>
    <row r="38323">
      <c r="D38323" s="185"/>
      <c r="E38323" s="185" t="s">
        <v>470</v>
      </c>
      <c r="H38323" s="185"/>
    </row>
    <row r="38324">
      <c r="D38324" s="185"/>
      <c r="E38324" s="185" t="s">
        <v>470</v>
      </c>
      <c r="H38324" s="185"/>
    </row>
    <row r="38325">
      <c r="D38325" s="185"/>
      <c r="E38325" s="185" t="s">
        <v>470</v>
      </c>
      <c r="H38325" s="185"/>
    </row>
    <row r="38326">
      <c r="D38326" s="185"/>
      <c r="E38326" s="185" t="s">
        <v>470</v>
      </c>
      <c r="H38326" s="185"/>
    </row>
    <row r="38327">
      <c r="D38327" s="185"/>
      <c r="E38327" s="185" t="s">
        <v>470</v>
      </c>
      <c r="H38327" s="185"/>
    </row>
    <row r="38328">
      <c r="D38328" s="185"/>
      <c r="E38328" s="185" t="s">
        <v>470</v>
      </c>
      <c r="H38328" s="185"/>
    </row>
    <row r="38329">
      <c r="D38329" s="185"/>
      <c r="E38329" s="185" t="s">
        <v>470</v>
      </c>
      <c r="H38329" s="185"/>
    </row>
    <row r="38330">
      <c r="D38330" s="185"/>
      <c r="E38330" s="185" t="s">
        <v>470</v>
      </c>
      <c r="H38330" s="185"/>
    </row>
    <row r="38331">
      <c r="D38331" s="185"/>
      <c r="E38331" s="185" t="s">
        <v>470</v>
      </c>
      <c r="H38331" s="185"/>
    </row>
    <row r="38332">
      <c r="D38332" s="185"/>
      <c r="E38332" s="185" t="s">
        <v>470</v>
      </c>
      <c r="H38332" s="185"/>
    </row>
    <row r="38333">
      <c r="D38333" s="185"/>
      <c r="E38333" s="185" t="s">
        <v>470</v>
      </c>
      <c r="H38333" s="185"/>
    </row>
    <row r="38334">
      <c r="D38334" s="185"/>
      <c r="E38334" s="185" t="s">
        <v>470</v>
      </c>
      <c r="H38334" s="185"/>
    </row>
    <row r="38335">
      <c r="D38335" s="185"/>
      <c r="E38335" s="185" t="s">
        <v>470</v>
      </c>
      <c r="H38335" s="185"/>
    </row>
    <row r="38336">
      <c r="D38336" s="185"/>
      <c r="E38336" s="185" t="s">
        <v>470</v>
      </c>
      <c r="H38336" s="185"/>
    </row>
    <row r="38337">
      <c r="D38337" s="185"/>
      <c r="E38337" s="185" t="s">
        <v>470</v>
      </c>
      <c r="H38337" s="185"/>
    </row>
    <row r="38338">
      <c r="D38338" s="185"/>
      <c r="E38338" s="185" t="s">
        <v>470</v>
      </c>
      <c r="H38338" s="185"/>
    </row>
    <row r="38339">
      <c r="D38339" s="185"/>
      <c r="E38339" s="185" t="s">
        <v>470</v>
      </c>
      <c r="H38339" s="185"/>
    </row>
    <row r="38340">
      <c r="D38340" s="185"/>
      <c r="E38340" s="185" t="s">
        <v>470</v>
      </c>
      <c r="H38340" s="185"/>
    </row>
    <row r="38341">
      <c r="D38341" s="185"/>
      <c r="E38341" s="185" t="s">
        <v>470</v>
      </c>
      <c r="H38341" s="185"/>
    </row>
    <row r="38342">
      <c r="D38342" s="185"/>
      <c r="E38342" s="185" t="s">
        <v>470</v>
      </c>
      <c r="H38342" s="185"/>
    </row>
    <row r="38343">
      <c r="D38343" s="185"/>
      <c r="E38343" s="185" t="s">
        <v>470</v>
      </c>
      <c r="H38343" s="185"/>
    </row>
    <row r="38344">
      <c r="D38344" s="185"/>
      <c r="E38344" s="185" t="s">
        <v>470</v>
      </c>
      <c r="H38344" s="185"/>
    </row>
    <row r="38345">
      <c r="D38345" s="185"/>
      <c r="E38345" s="185" t="s">
        <v>470</v>
      </c>
      <c r="H38345" s="185"/>
    </row>
    <row r="38346">
      <c r="D38346" s="185"/>
      <c r="E38346" s="185" t="s">
        <v>470</v>
      </c>
      <c r="H38346" s="185"/>
    </row>
    <row r="38347">
      <c r="D38347" s="185"/>
      <c r="E38347" s="185" t="s">
        <v>470</v>
      </c>
      <c r="H38347" s="185"/>
    </row>
    <row r="38348">
      <c r="D38348" s="185"/>
      <c r="E38348" s="185" t="s">
        <v>470</v>
      </c>
      <c r="H38348" s="185"/>
    </row>
    <row r="38349">
      <c r="D38349" s="185"/>
      <c r="E38349" s="185" t="s">
        <v>470</v>
      </c>
      <c r="H38349" s="185"/>
    </row>
    <row r="38350">
      <c r="D38350" s="185"/>
      <c r="E38350" s="185" t="s">
        <v>470</v>
      </c>
      <c r="H38350" s="185"/>
    </row>
    <row r="38351">
      <c r="D38351" s="185"/>
      <c r="E38351" s="185" t="s">
        <v>470</v>
      </c>
      <c r="H38351" s="185"/>
    </row>
    <row r="38352">
      <c r="D38352" s="185"/>
      <c r="E38352" s="185" t="s">
        <v>470</v>
      </c>
      <c r="H38352" s="185"/>
    </row>
    <row r="38353">
      <c r="D38353" s="185"/>
      <c r="E38353" s="185" t="s">
        <v>470</v>
      </c>
      <c r="H38353" s="185"/>
    </row>
    <row r="38354">
      <c r="D38354" s="185"/>
      <c r="E38354" s="185" t="s">
        <v>470</v>
      </c>
      <c r="H38354" s="185"/>
    </row>
    <row r="38355">
      <c r="D38355" s="185"/>
      <c r="E38355" s="185" t="s">
        <v>470</v>
      </c>
      <c r="H38355" s="185"/>
    </row>
    <row r="38356">
      <c r="D38356" s="185"/>
      <c r="E38356" s="185" t="s">
        <v>470</v>
      </c>
      <c r="H38356" s="185"/>
    </row>
    <row r="38357">
      <c r="D38357" s="185"/>
      <c r="E38357" s="185" t="s">
        <v>470</v>
      </c>
      <c r="H38357" s="185"/>
    </row>
    <row r="38358">
      <c r="D38358" s="185"/>
      <c r="E38358" s="185" t="s">
        <v>470</v>
      </c>
      <c r="H38358" s="185"/>
    </row>
    <row r="38359">
      <c r="D38359" s="185"/>
      <c r="E38359" s="185" t="s">
        <v>470</v>
      </c>
      <c r="H38359" s="185"/>
    </row>
    <row r="38360">
      <c r="D38360" s="185"/>
      <c r="E38360" s="185" t="s">
        <v>470</v>
      </c>
      <c r="H38360" s="185"/>
    </row>
    <row r="38361">
      <c r="D38361" s="185"/>
      <c r="E38361" s="185" t="s">
        <v>470</v>
      </c>
      <c r="H38361" s="185"/>
    </row>
    <row r="38362">
      <c r="D38362" s="185"/>
      <c r="E38362" s="185" t="s">
        <v>470</v>
      </c>
      <c r="H38362" s="185"/>
    </row>
    <row r="38363">
      <c r="D38363" s="185"/>
      <c r="E38363" s="185" t="s">
        <v>470</v>
      </c>
      <c r="H38363" s="185"/>
    </row>
    <row r="38364">
      <c r="D38364" s="185"/>
      <c r="E38364" s="185" t="s">
        <v>470</v>
      </c>
      <c r="H38364" s="185"/>
    </row>
    <row r="38365">
      <c r="D38365" s="185"/>
      <c r="E38365" s="185" t="s">
        <v>470</v>
      </c>
      <c r="H38365" s="185"/>
    </row>
    <row r="38366">
      <c r="D38366" s="185"/>
      <c r="E38366" s="185" t="s">
        <v>470</v>
      </c>
      <c r="H38366" s="185"/>
    </row>
    <row r="38367">
      <c r="D38367" s="185"/>
      <c r="E38367" s="185" t="s">
        <v>470</v>
      </c>
      <c r="H38367" s="185"/>
    </row>
    <row r="38368">
      <c r="D38368" s="185"/>
      <c r="E38368" s="185" t="s">
        <v>470</v>
      </c>
      <c r="H38368" s="185"/>
    </row>
    <row r="38369">
      <c r="D38369" s="185"/>
      <c r="E38369" s="185" t="s">
        <v>470</v>
      </c>
      <c r="H38369" s="185"/>
    </row>
    <row r="38370">
      <c r="D38370" s="185"/>
      <c r="E38370" s="185" t="s">
        <v>470</v>
      </c>
      <c r="H38370" s="185"/>
    </row>
    <row r="38371">
      <c r="D38371" s="185"/>
      <c r="E38371" s="185" t="s">
        <v>470</v>
      </c>
      <c r="H38371" s="185"/>
    </row>
    <row r="38372">
      <c r="D38372" s="185"/>
      <c r="E38372" s="185" t="s">
        <v>470</v>
      </c>
      <c r="H38372" s="185"/>
    </row>
    <row r="38373">
      <c r="D38373" s="185"/>
      <c r="E38373" s="185" t="s">
        <v>470</v>
      </c>
      <c r="H38373" s="185"/>
    </row>
    <row r="38374">
      <c r="D38374" s="185"/>
      <c r="E38374" s="185" t="s">
        <v>470</v>
      </c>
      <c r="H38374" s="185"/>
    </row>
    <row r="38375">
      <c r="D38375" s="185"/>
      <c r="E38375" s="185" t="s">
        <v>470</v>
      </c>
      <c r="H38375" s="185"/>
    </row>
    <row r="38376">
      <c r="D38376" s="185"/>
      <c r="E38376" s="185" t="s">
        <v>470</v>
      </c>
      <c r="H38376" s="185"/>
    </row>
    <row r="38377">
      <c r="D38377" s="185"/>
      <c r="E38377" s="185" t="s">
        <v>470</v>
      </c>
      <c r="H38377" s="185"/>
    </row>
    <row r="38378">
      <c r="D38378" s="185"/>
      <c r="E38378" s="185" t="s">
        <v>470</v>
      </c>
      <c r="H38378" s="185"/>
    </row>
    <row r="38379">
      <c r="D38379" s="185"/>
      <c r="E38379" s="185" t="s">
        <v>470</v>
      </c>
      <c r="H38379" s="185"/>
    </row>
    <row r="38380">
      <c r="D38380" s="185"/>
      <c r="E38380" s="185" t="s">
        <v>470</v>
      </c>
      <c r="H38380" s="185"/>
    </row>
    <row r="38381">
      <c r="D38381" s="185"/>
      <c r="E38381" s="185" t="s">
        <v>470</v>
      </c>
      <c r="H38381" s="185"/>
    </row>
    <row r="38382">
      <c r="D38382" s="185"/>
      <c r="E38382" s="185" t="s">
        <v>470</v>
      </c>
      <c r="H38382" s="185"/>
    </row>
    <row r="38383">
      <c r="D38383" s="185"/>
      <c r="E38383" s="185" t="s">
        <v>470</v>
      </c>
      <c r="H38383" s="185"/>
    </row>
    <row r="38384">
      <c r="D38384" s="185"/>
      <c r="E38384" s="185" t="s">
        <v>470</v>
      </c>
      <c r="H38384" s="185"/>
    </row>
    <row r="38385">
      <c r="D38385" s="185"/>
      <c r="E38385" s="185" t="s">
        <v>470</v>
      </c>
      <c r="H38385" s="185"/>
    </row>
    <row r="38386">
      <c r="D38386" s="185"/>
      <c r="E38386" s="185" t="s">
        <v>470</v>
      </c>
      <c r="H38386" s="185"/>
    </row>
    <row r="38387">
      <c r="D38387" s="185"/>
      <c r="E38387" s="185" t="s">
        <v>470</v>
      </c>
      <c r="H38387" s="185"/>
    </row>
    <row r="38388">
      <c r="D38388" s="185"/>
      <c r="E38388" s="185" t="s">
        <v>470</v>
      </c>
      <c r="H38388" s="185"/>
    </row>
    <row r="38389">
      <c r="D38389" s="185"/>
      <c r="E38389" s="185" t="s">
        <v>470</v>
      </c>
      <c r="H38389" s="185"/>
    </row>
    <row r="38390">
      <c r="D38390" s="185"/>
      <c r="E38390" s="185" t="s">
        <v>470</v>
      </c>
      <c r="H38390" s="185"/>
    </row>
    <row r="38391">
      <c r="D38391" s="185"/>
      <c r="E38391" s="185" t="s">
        <v>470</v>
      </c>
      <c r="H38391" s="185"/>
    </row>
    <row r="38392">
      <c r="D38392" s="185"/>
      <c r="E38392" s="185" t="s">
        <v>470</v>
      </c>
      <c r="H38392" s="185"/>
    </row>
    <row r="38393">
      <c r="D38393" s="185"/>
      <c r="E38393" s="185" t="s">
        <v>470</v>
      </c>
      <c r="H38393" s="185"/>
    </row>
    <row r="38394">
      <c r="D38394" s="185"/>
      <c r="E38394" s="185" t="s">
        <v>470</v>
      </c>
      <c r="H38394" s="185"/>
    </row>
    <row r="38395">
      <c r="D38395" s="185"/>
      <c r="E38395" s="185" t="s">
        <v>470</v>
      </c>
      <c r="H38395" s="185"/>
    </row>
    <row r="38396">
      <c r="D38396" s="185"/>
      <c r="E38396" s="185" t="s">
        <v>470</v>
      </c>
      <c r="H38396" s="185"/>
    </row>
    <row r="38397">
      <c r="D38397" s="185"/>
      <c r="E38397" s="185" t="s">
        <v>470</v>
      </c>
      <c r="H38397" s="185"/>
    </row>
    <row r="38398">
      <c r="D38398" s="185"/>
      <c r="E38398" s="185" t="s">
        <v>470</v>
      </c>
      <c r="H38398" s="185"/>
    </row>
    <row r="38399">
      <c r="D38399" s="185"/>
      <c r="E38399" s="185" t="s">
        <v>470</v>
      </c>
      <c r="H38399" s="185"/>
    </row>
    <row r="38400">
      <c r="D38400" s="185"/>
      <c r="E38400" s="185" t="s">
        <v>470</v>
      </c>
      <c r="H38400" s="185"/>
    </row>
    <row r="38401">
      <c r="D38401" s="185"/>
      <c r="E38401" s="185" t="s">
        <v>470</v>
      </c>
      <c r="H38401" s="185"/>
    </row>
    <row r="38402">
      <c r="D38402" s="185"/>
      <c r="E38402" s="185" t="s">
        <v>470</v>
      </c>
      <c r="H38402" s="185"/>
    </row>
    <row r="38403">
      <c r="D38403" s="185"/>
      <c r="E38403" s="185" t="s">
        <v>470</v>
      </c>
      <c r="H38403" s="185"/>
    </row>
    <row r="38404">
      <c r="D38404" s="185"/>
      <c r="E38404" s="185" t="s">
        <v>470</v>
      </c>
      <c r="H38404" s="185"/>
    </row>
    <row r="38405">
      <c r="D38405" s="185"/>
      <c r="E38405" s="185" t="s">
        <v>470</v>
      </c>
      <c r="H38405" s="185"/>
    </row>
    <row r="38406">
      <c r="D38406" s="185"/>
      <c r="E38406" s="185" t="s">
        <v>470</v>
      </c>
      <c r="H38406" s="185"/>
    </row>
    <row r="38407">
      <c r="D38407" s="185"/>
      <c r="E38407" s="185" t="s">
        <v>470</v>
      </c>
      <c r="H38407" s="185"/>
    </row>
    <row r="38408">
      <c r="D38408" s="185"/>
      <c r="E38408" s="185" t="s">
        <v>470</v>
      </c>
      <c r="H38408" s="185"/>
    </row>
    <row r="38409">
      <c r="D38409" s="185"/>
      <c r="E38409" s="185" t="s">
        <v>470</v>
      </c>
      <c r="H38409" s="185"/>
    </row>
    <row r="38410">
      <c r="D38410" s="185"/>
      <c r="E38410" s="185" t="s">
        <v>470</v>
      </c>
      <c r="H38410" s="185"/>
    </row>
    <row r="38411">
      <c r="D38411" s="185"/>
      <c r="E38411" s="185" t="s">
        <v>470</v>
      </c>
      <c r="H38411" s="185"/>
    </row>
    <row r="38412">
      <c r="D38412" s="185"/>
      <c r="E38412" s="185" t="s">
        <v>470</v>
      </c>
      <c r="H38412" s="185"/>
    </row>
    <row r="38413">
      <c r="D38413" s="185"/>
      <c r="E38413" s="185" t="s">
        <v>470</v>
      </c>
      <c r="H38413" s="185"/>
    </row>
    <row r="38414">
      <c r="D38414" s="185"/>
      <c r="E38414" s="185" t="s">
        <v>470</v>
      </c>
      <c r="H38414" s="185"/>
    </row>
    <row r="38415">
      <c r="D38415" s="185"/>
      <c r="E38415" s="185" t="s">
        <v>470</v>
      </c>
      <c r="H38415" s="185"/>
    </row>
    <row r="38416">
      <c r="D38416" s="185"/>
      <c r="E38416" s="185" t="s">
        <v>470</v>
      </c>
      <c r="H38416" s="185"/>
    </row>
    <row r="38417">
      <c r="D38417" s="185"/>
      <c r="E38417" s="185" t="s">
        <v>470</v>
      </c>
      <c r="H38417" s="185"/>
    </row>
    <row r="38418">
      <c r="D38418" s="185"/>
      <c r="E38418" s="185" t="s">
        <v>470</v>
      </c>
      <c r="H38418" s="185"/>
    </row>
    <row r="38419">
      <c r="D38419" s="185"/>
      <c r="E38419" s="185" t="s">
        <v>470</v>
      </c>
      <c r="H38419" s="185"/>
    </row>
    <row r="38420">
      <c r="D38420" s="185"/>
      <c r="E38420" s="185" t="s">
        <v>470</v>
      </c>
      <c r="H38420" s="185"/>
    </row>
    <row r="38421">
      <c r="D38421" s="185"/>
      <c r="E38421" s="185" t="s">
        <v>470</v>
      </c>
      <c r="H38421" s="185"/>
    </row>
    <row r="38422">
      <c r="D38422" s="185"/>
      <c r="E38422" s="185" t="s">
        <v>470</v>
      </c>
      <c r="H38422" s="185"/>
    </row>
    <row r="38423">
      <c r="D38423" s="185"/>
      <c r="E38423" s="185" t="s">
        <v>470</v>
      </c>
      <c r="H38423" s="185"/>
    </row>
    <row r="38424">
      <c r="D38424" s="185"/>
      <c r="E38424" s="185" t="s">
        <v>470</v>
      </c>
      <c r="H38424" s="185"/>
    </row>
    <row r="38425">
      <c r="D38425" s="185"/>
      <c r="E38425" s="185" t="s">
        <v>470</v>
      </c>
      <c r="H38425" s="185"/>
    </row>
    <row r="38426">
      <c r="D38426" s="185"/>
      <c r="E38426" s="185" t="s">
        <v>470</v>
      </c>
      <c r="H38426" s="185"/>
    </row>
    <row r="38427">
      <c r="D38427" s="185"/>
      <c r="E38427" s="185" t="s">
        <v>470</v>
      </c>
      <c r="H38427" s="185"/>
    </row>
    <row r="38428">
      <c r="D38428" s="185"/>
      <c r="E38428" s="185" t="s">
        <v>470</v>
      </c>
      <c r="H38428" s="185"/>
    </row>
    <row r="38429">
      <c r="D38429" s="185"/>
      <c r="E38429" s="185" t="s">
        <v>470</v>
      </c>
      <c r="H38429" s="185"/>
    </row>
    <row r="38430">
      <c r="D38430" s="185"/>
      <c r="E38430" s="185" t="s">
        <v>470</v>
      </c>
      <c r="H38430" s="185"/>
    </row>
    <row r="38431">
      <c r="D38431" s="185"/>
      <c r="E38431" s="185" t="s">
        <v>470</v>
      </c>
      <c r="H38431" s="185"/>
    </row>
    <row r="38432">
      <c r="D38432" s="185"/>
      <c r="E38432" s="185" t="s">
        <v>470</v>
      </c>
      <c r="H38432" s="185"/>
    </row>
    <row r="38433">
      <c r="D38433" s="185"/>
      <c r="E38433" s="185" t="s">
        <v>470</v>
      </c>
      <c r="H38433" s="185"/>
    </row>
    <row r="38434">
      <c r="D38434" s="185"/>
      <c r="E38434" s="185" t="s">
        <v>470</v>
      </c>
      <c r="H38434" s="185"/>
    </row>
    <row r="38435">
      <c r="D38435" s="185"/>
      <c r="E38435" s="185" t="s">
        <v>470</v>
      </c>
      <c r="H38435" s="185"/>
    </row>
    <row r="38436">
      <c r="D38436" s="185"/>
      <c r="E38436" s="185" t="s">
        <v>470</v>
      </c>
      <c r="H38436" s="185"/>
    </row>
    <row r="38437">
      <c r="D38437" s="185"/>
      <c r="E38437" s="185" t="s">
        <v>470</v>
      </c>
      <c r="H38437" s="185"/>
    </row>
    <row r="38438">
      <c r="D38438" s="185"/>
      <c r="E38438" s="185" t="s">
        <v>470</v>
      </c>
      <c r="H38438" s="185"/>
    </row>
    <row r="38439">
      <c r="D38439" s="185"/>
      <c r="E38439" s="185" t="s">
        <v>470</v>
      </c>
      <c r="H38439" s="185"/>
    </row>
    <row r="38440">
      <c r="D38440" s="185"/>
      <c r="E38440" s="185" t="s">
        <v>470</v>
      </c>
      <c r="H38440" s="185"/>
    </row>
    <row r="38441">
      <c r="D38441" s="185"/>
      <c r="E38441" s="185" t="s">
        <v>470</v>
      </c>
      <c r="H38441" s="185"/>
    </row>
    <row r="38442">
      <c r="D38442" s="185"/>
      <c r="E38442" s="185" t="s">
        <v>470</v>
      </c>
      <c r="H38442" s="185"/>
    </row>
    <row r="38443">
      <c r="D38443" s="185"/>
      <c r="E38443" s="185" t="s">
        <v>470</v>
      </c>
      <c r="H38443" s="185"/>
    </row>
    <row r="38444">
      <c r="D38444" s="185"/>
      <c r="E38444" s="185" t="s">
        <v>470</v>
      </c>
      <c r="H38444" s="185"/>
    </row>
    <row r="38445">
      <c r="D38445" s="185"/>
      <c r="E38445" s="185" t="s">
        <v>470</v>
      </c>
      <c r="H38445" s="185"/>
    </row>
    <row r="38446">
      <c r="D38446" s="185"/>
      <c r="E38446" s="185" t="s">
        <v>470</v>
      </c>
      <c r="H38446" s="185"/>
    </row>
    <row r="38447">
      <c r="D38447" s="185"/>
      <c r="E38447" s="185" t="s">
        <v>470</v>
      </c>
      <c r="H38447" s="185"/>
    </row>
    <row r="38448">
      <c r="D38448" s="185"/>
      <c r="E38448" s="185" t="s">
        <v>470</v>
      </c>
      <c r="H38448" s="185"/>
    </row>
    <row r="38449">
      <c r="D38449" s="185"/>
      <c r="E38449" s="185" t="s">
        <v>470</v>
      </c>
      <c r="H38449" s="185"/>
    </row>
    <row r="38450">
      <c r="D38450" s="185"/>
      <c r="E38450" s="185" t="s">
        <v>470</v>
      </c>
      <c r="H38450" s="185"/>
    </row>
    <row r="38451">
      <c r="D38451" s="185"/>
      <c r="E38451" s="185" t="s">
        <v>470</v>
      </c>
      <c r="H38451" s="185"/>
    </row>
    <row r="38452">
      <c r="D38452" s="185"/>
      <c r="E38452" s="185" t="s">
        <v>470</v>
      </c>
      <c r="H38452" s="185"/>
    </row>
    <row r="38453">
      <c r="D38453" s="185"/>
      <c r="E38453" s="185" t="s">
        <v>470</v>
      </c>
      <c r="H38453" s="185"/>
    </row>
    <row r="38454">
      <c r="D38454" s="185"/>
      <c r="E38454" s="185" t="s">
        <v>470</v>
      </c>
      <c r="H38454" s="185"/>
    </row>
    <row r="38455">
      <c r="D38455" s="185"/>
      <c r="E38455" s="185" t="s">
        <v>470</v>
      </c>
      <c r="H38455" s="185"/>
    </row>
    <row r="38456">
      <c r="D38456" s="185"/>
      <c r="E38456" s="185" t="s">
        <v>470</v>
      </c>
      <c r="H38456" s="185"/>
    </row>
    <row r="38457">
      <c r="D38457" s="185"/>
      <c r="E38457" s="185" t="s">
        <v>470</v>
      </c>
      <c r="H38457" s="185"/>
    </row>
    <row r="38458">
      <c r="D38458" s="185"/>
      <c r="E38458" s="185" t="s">
        <v>470</v>
      </c>
      <c r="H38458" s="185"/>
    </row>
    <row r="38459">
      <c r="D38459" s="185"/>
      <c r="E38459" s="185" t="s">
        <v>470</v>
      </c>
      <c r="H38459" s="185"/>
    </row>
    <row r="38460">
      <c r="D38460" s="185"/>
      <c r="E38460" s="185" t="s">
        <v>470</v>
      </c>
      <c r="H38460" s="185"/>
    </row>
    <row r="38461">
      <c r="D38461" s="185"/>
      <c r="E38461" s="185" t="s">
        <v>470</v>
      </c>
      <c r="H38461" s="185"/>
    </row>
    <row r="38462">
      <c r="D38462" s="185"/>
      <c r="E38462" s="185" t="s">
        <v>470</v>
      </c>
      <c r="H38462" s="185"/>
    </row>
    <row r="38463">
      <c r="D38463" s="185"/>
      <c r="E38463" s="185" t="s">
        <v>470</v>
      </c>
      <c r="H38463" s="185"/>
    </row>
    <row r="38464">
      <c r="D38464" s="185"/>
      <c r="E38464" s="185" t="s">
        <v>470</v>
      </c>
      <c r="H38464" s="185"/>
    </row>
    <row r="38465">
      <c r="D38465" s="185"/>
      <c r="E38465" s="185" t="s">
        <v>470</v>
      </c>
      <c r="H38465" s="185"/>
    </row>
    <row r="38466">
      <c r="D38466" s="185"/>
      <c r="E38466" s="185" t="s">
        <v>470</v>
      </c>
      <c r="H38466" s="185"/>
    </row>
    <row r="38467">
      <c r="D38467" s="185"/>
      <c r="E38467" s="185" t="s">
        <v>470</v>
      </c>
      <c r="H38467" s="185"/>
    </row>
    <row r="38468">
      <c r="D38468" s="185"/>
      <c r="E38468" s="185" t="s">
        <v>470</v>
      </c>
      <c r="H38468" s="185"/>
    </row>
    <row r="38469">
      <c r="D38469" s="185"/>
      <c r="E38469" s="185" t="s">
        <v>470</v>
      </c>
      <c r="H38469" s="185"/>
    </row>
    <row r="38470">
      <c r="D38470" s="185"/>
      <c r="E38470" s="185" t="s">
        <v>470</v>
      </c>
      <c r="H38470" s="185"/>
    </row>
    <row r="38471">
      <c r="D38471" s="185"/>
      <c r="E38471" s="185" t="s">
        <v>470</v>
      </c>
      <c r="H38471" s="185"/>
    </row>
    <row r="38472">
      <c r="D38472" s="185"/>
      <c r="E38472" s="185" t="s">
        <v>470</v>
      </c>
      <c r="H38472" s="185"/>
    </row>
    <row r="38473">
      <c r="D38473" s="185"/>
      <c r="E38473" s="185" t="s">
        <v>470</v>
      </c>
      <c r="H38473" s="185"/>
    </row>
    <row r="38474">
      <c r="D38474" s="185"/>
      <c r="E38474" s="185" t="s">
        <v>470</v>
      </c>
      <c r="H38474" s="185"/>
    </row>
    <row r="38475">
      <c r="D38475" s="185"/>
      <c r="E38475" s="185" t="s">
        <v>470</v>
      </c>
      <c r="H38475" s="185"/>
    </row>
    <row r="38476">
      <c r="D38476" s="185"/>
      <c r="E38476" s="185" t="s">
        <v>470</v>
      </c>
      <c r="H38476" s="185"/>
    </row>
    <row r="38477">
      <c r="D38477" s="185"/>
      <c r="E38477" s="185" t="s">
        <v>470</v>
      </c>
      <c r="H38477" s="185"/>
    </row>
    <row r="38478">
      <c r="D38478" s="185"/>
      <c r="E38478" s="185" t="s">
        <v>470</v>
      </c>
      <c r="H38478" s="185"/>
    </row>
    <row r="38479">
      <c r="D38479" s="185"/>
      <c r="E38479" s="185" t="s">
        <v>470</v>
      </c>
      <c r="H38479" s="185"/>
    </row>
    <row r="38480">
      <c r="D38480" s="185"/>
      <c r="E38480" s="185" t="s">
        <v>470</v>
      </c>
      <c r="H38480" s="185"/>
    </row>
    <row r="38481">
      <c r="D38481" s="185"/>
      <c r="E38481" s="185" t="s">
        <v>470</v>
      </c>
      <c r="H38481" s="185"/>
    </row>
    <row r="38482">
      <c r="D38482" s="185"/>
      <c r="E38482" s="185" t="s">
        <v>470</v>
      </c>
      <c r="H38482" s="185"/>
    </row>
    <row r="38483">
      <c r="D38483" s="185"/>
      <c r="E38483" s="185" t="s">
        <v>470</v>
      </c>
      <c r="H38483" s="185"/>
    </row>
    <row r="38484">
      <c r="D38484" s="185"/>
      <c r="E38484" s="185" t="s">
        <v>470</v>
      </c>
      <c r="H38484" s="185"/>
    </row>
    <row r="38485">
      <c r="D38485" s="185"/>
      <c r="E38485" s="185" t="s">
        <v>470</v>
      </c>
      <c r="H38485" s="185"/>
    </row>
    <row r="38486">
      <c r="D38486" s="185"/>
      <c r="E38486" s="185" t="s">
        <v>470</v>
      </c>
      <c r="H38486" s="185"/>
    </row>
    <row r="38487">
      <c r="D38487" s="185"/>
      <c r="E38487" s="185" t="s">
        <v>470</v>
      </c>
      <c r="H38487" s="185"/>
    </row>
    <row r="38488">
      <c r="D38488" s="185"/>
      <c r="E38488" s="185" t="s">
        <v>470</v>
      </c>
      <c r="H38488" s="185"/>
    </row>
    <row r="38489">
      <c r="D38489" s="185"/>
      <c r="E38489" s="185" t="s">
        <v>470</v>
      </c>
      <c r="H38489" s="185"/>
    </row>
    <row r="38490">
      <c r="D38490" s="185"/>
      <c r="E38490" s="185" t="s">
        <v>470</v>
      </c>
      <c r="H38490" s="185"/>
    </row>
    <row r="38491">
      <c r="D38491" s="185"/>
      <c r="E38491" s="185" t="s">
        <v>470</v>
      </c>
      <c r="H38491" s="185"/>
    </row>
    <row r="38492">
      <c r="D38492" s="185"/>
      <c r="E38492" s="185" t="s">
        <v>470</v>
      </c>
      <c r="H38492" s="185"/>
    </row>
    <row r="38493">
      <c r="D38493" s="185"/>
      <c r="E38493" s="185" t="s">
        <v>470</v>
      </c>
      <c r="H38493" s="185"/>
    </row>
    <row r="38494">
      <c r="D38494" s="185"/>
      <c r="E38494" s="185" t="s">
        <v>470</v>
      </c>
      <c r="H38494" s="185"/>
    </row>
    <row r="38495">
      <c r="D38495" s="185"/>
      <c r="E38495" s="185" t="s">
        <v>470</v>
      </c>
      <c r="H38495" s="185"/>
    </row>
    <row r="38496">
      <c r="D38496" s="185"/>
      <c r="E38496" s="185" t="s">
        <v>470</v>
      </c>
      <c r="H38496" s="185"/>
    </row>
    <row r="38497">
      <c r="D38497" s="185"/>
      <c r="E38497" s="185" t="s">
        <v>470</v>
      </c>
      <c r="H38497" s="185"/>
    </row>
    <row r="38498">
      <c r="D38498" s="185"/>
      <c r="E38498" s="185" t="s">
        <v>470</v>
      </c>
      <c r="H38498" s="185"/>
    </row>
    <row r="38499">
      <c r="D38499" s="185"/>
      <c r="E38499" s="185" t="s">
        <v>470</v>
      </c>
      <c r="H38499" s="185"/>
    </row>
    <row r="38500">
      <c r="D38500" s="185"/>
      <c r="E38500" s="185" t="s">
        <v>470</v>
      </c>
      <c r="H38500" s="185"/>
    </row>
    <row r="38501">
      <c r="D38501" s="185"/>
      <c r="E38501" s="185" t="s">
        <v>470</v>
      </c>
      <c r="H38501" s="185"/>
    </row>
    <row r="38502">
      <c r="D38502" s="185"/>
      <c r="E38502" s="185" t="s">
        <v>470</v>
      </c>
      <c r="H38502" s="185"/>
    </row>
    <row r="38503">
      <c r="D38503" s="185"/>
      <c r="E38503" s="185" t="s">
        <v>470</v>
      </c>
      <c r="H38503" s="185"/>
    </row>
    <row r="38504">
      <c r="D38504" s="185"/>
      <c r="E38504" s="185" t="s">
        <v>470</v>
      </c>
      <c r="H38504" s="185"/>
    </row>
    <row r="38505">
      <c r="D38505" s="185"/>
      <c r="E38505" s="185" t="s">
        <v>470</v>
      </c>
      <c r="H38505" s="185"/>
    </row>
    <row r="38506">
      <c r="D38506" s="185"/>
      <c r="E38506" s="185" t="s">
        <v>470</v>
      </c>
      <c r="H38506" s="185"/>
    </row>
    <row r="38507">
      <c r="D38507" s="185"/>
      <c r="E38507" s="185" t="s">
        <v>470</v>
      </c>
      <c r="H38507" s="185"/>
    </row>
    <row r="38508">
      <c r="D38508" s="185"/>
      <c r="E38508" s="185" t="s">
        <v>470</v>
      </c>
      <c r="H38508" s="185"/>
    </row>
    <row r="38509">
      <c r="D38509" s="185"/>
      <c r="E38509" s="185" t="s">
        <v>470</v>
      </c>
      <c r="H38509" s="185"/>
    </row>
    <row r="38510">
      <c r="D38510" s="185"/>
      <c r="E38510" s="185" t="s">
        <v>470</v>
      </c>
      <c r="H38510" s="185"/>
    </row>
    <row r="38511">
      <c r="D38511" s="185"/>
      <c r="E38511" s="185" t="s">
        <v>470</v>
      </c>
      <c r="H38511" s="185"/>
    </row>
    <row r="38512">
      <c r="D38512" s="185"/>
      <c r="E38512" s="185" t="s">
        <v>470</v>
      </c>
      <c r="H38512" s="185"/>
    </row>
    <row r="38513">
      <c r="D38513" s="185"/>
      <c r="E38513" s="185" t="s">
        <v>470</v>
      </c>
      <c r="H38513" s="185"/>
    </row>
    <row r="38514">
      <c r="D38514" s="185"/>
      <c r="E38514" s="185" t="s">
        <v>470</v>
      </c>
      <c r="H38514" s="185"/>
    </row>
    <row r="38515">
      <c r="D38515" s="185"/>
      <c r="E38515" s="185" t="s">
        <v>470</v>
      </c>
      <c r="H38515" s="185"/>
    </row>
    <row r="38516">
      <c r="D38516" s="185"/>
      <c r="E38516" s="185" t="s">
        <v>470</v>
      </c>
      <c r="H38516" s="185"/>
    </row>
    <row r="38517">
      <c r="D38517" s="185"/>
      <c r="E38517" s="185" t="s">
        <v>470</v>
      </c>
      <c r="H38517" s="185"/>
    </row>
    <row r="38518">
      <c r="D38518" s="185"/>
      <c r="E38518" s="185" t="s">
        <v>470</v>
      </c>
      <c r="H38518" s="185"/>
    </row>
    <row r="38519">
      <c r="D38519" s="185"/>
      <c r="E38519" s="185" t="s">
        <v>470</v>
      </c>
      <c r="H38519" s="185"/>
    </row>
    <row r="38520">
      <c r="D38520" s="185"/>
      <c r="E38520" s="185" t="s">
        <v>470</v>
      </c>
      <c r="H38520" s="185"/>
    </row>
    <row r="38521">
      <c r="D38521" s="185"/>
      <c r="E38521" s="185" t="s">
        <v>470</v>
      </c>
      <c r="H38521" s="185"/>
    </row>
    <row r="38522">
      <c r="D38522" s="185"/>
      <c r="E38522" s="185" t="s">
        <v>470</v>
      </c>
      <c r="H38522" s="185"/>
    </row>
    <row r="38523">
      <c r="D38523" s="185"/>
      <c r="E38523" s="185" t="s">
        <v>470</v>
      </c>
      <c r="H38523" s="185"/>
    </row>
    <row r="38524">
      <c r="D38524" s="185"/>
      <c r="E38524" s="185" t="s">
        <v>470</v>
      </c>
      <c r="H38524" s="185"/>
    </row>
    <row r="38525">
      <c r="D38525" s="185"/>
      <c r="E38525" s="185" t="s">
        <v>470</v>
      </c>
      <c r="H38525" s="185"/>
    </row>
    <row r="38526">
      <c r="D38526" s="185"/>
      <c r="E38526" s="185" t="s">
        <v>470</v>
      </c>
      <c r="H38526" s="185"/>
    </row>
    <row r="38527">
      <c r="D38527" s="185"/>
      <c r="E38527" s="185" t="s">
        <v>470</v>
      </c>
      <c r="H38527" s="185"/>
    </row>
    <row r="38528">
      <c r="D38528" s="185"/>
      <c r="E38528" s="185" t="s">
        <v>470</v>
      </c>
      <c r="H38528" s="185"/>
    </row>
    <row r="38529">
      <c r="D38529" s="185"/>
      <c r="E38529" s="185" t="s">
        <v>470</v>
      </c>
      <c r="H38529" s="185"/>
    </row>
    <row r="38530">
      <c r="D38530" s="185"/>
      <c r="E38530" s="185" t="s">
        <v>470</v>
      </c>
      <c r="H38530" s="185"/>
    </row>
    <row r="38531">
      <c r="D38531" s="185"/>
      <c r="E38531" s="185" t="s">
        <v>470</v>
      </c>
      <c r="H38531" s="185"/>
    </row>
    <row r="38532">
      <c r="D38532" s="185"/>
      <c r="E38532" s="185" t="s">
        <v>470</v>
      </c>
      <c r="H38532" s="185"/>
    </row>
    <row r="38533">
      <c r="D38533" s="185"/>
      <c r="E38533" s="185" t="s">
        <v>470</v>
      </c>
      <c r="H38533" s="185"/>
    </row>
    <row r="38534">
      <c r="D38534" s="185"/>
      <c r="E38534" s="185" t="s">
        <v>470</v>
      </c>
      <c r="H38534" s="185"/>
    </row>
    <row r="38535">
      <c r="D38535" s="185"/>
      <c r="E38535" s="185" t="s">
        <v>470</v>
      </c>
      <c r="H38535" s="185"/>
    </row>
    <row r="38536">
      <c r="D38536" s="185"/>
      <c r="E38536" s="185" t="s">
        <v>470</v>
      </c>
      <c r="H38536" s="185"/>
    </row>
    <row r="38537">
      <c r="D38537" s="185"/>
      <c r="E38537" s="185" t="s">
        <v>470</v>
      </c>
      <c r="H38537" s="185"/>
    </row>
    <row r="38538">
      <c r="D38538" s="185"/>
      <c r="E38538" s="185" t="s">
        <v>470</v>
      </c>
      <c r="H38538" s="185"/>
    </row>
    <row r="38539">
      <c r="D38539" s="185"/>
      <c r="E38539" s="185" t="s">
        <v>470</v>
      </c>
      <c r="H38539" s="185"/>
    </row>
    <row r="38540">
      <c r="D38540" s="185"/>
      <c r="E38540" s="185" t="s">
        <v>470</v>
      </c>
      <c r="H38540" s="185"/>
    </row>
    <row r="38541">
      <c r="D38541" s="185"/>
      <c r="E38541" s="185" t="s">
        <v>470</v>
      </c>
      <c r="H38541" s="185"/>
    </row>
    <row r="38542">
      <c r="D38542" s="185"/>
      <c r="E38542" s="185" t="s">
        <v>470</v>
      </c>
      <c r="H38542" s="185"/>
    </row>
    <row r="38543">
      <c r="D38543" s="185"/>
      <c r="E38543" s="185" t="s">
        <v>470</v>
      </c>
      <c r="H38543" s="185"/>
    </row>
    <row r="38544">
      <c r="D38544" s="185"/>
      <c r="E38544" s="185" t="s">
        <v>470</v>
      </c>
      <c r="H38544" s="185"/>
    </row>
    <row r="38545">
      <c r="D38545" s="185"/>
      <c r="E38545" s="185" t="s">
        <v>470</v>
      </c>
      <c r="H38545" s="185"/>
    </row>
    <row r="38546">
      <c r="D38546" s="185"/>
      <c r="E38546" s="185" t="s">
        <v>470</v>
      </c>
      <c r="H38546" s="185"/>
    </row>
    <row r="38547">
      <c r="D38547" s="185"/>
      <c r="E38547" s="185" t="s">
        <v>470</v>
      </c>
      <c r="H38547" s="185"/>
    </row>
    <row r="38548">
      <c r="D38548" s="185"/>
      <c r="E38548" s="185" t="s">
        <v>470</v>
      </c>
      <c r="H38548" s="185"/>
    </row>
    <row r="38549">
      <c r="D38549" s="185"/>
      <c r="E38549" s="185" t="s">
        <v>470</v>
      </c>
      <c r="H38549" s="185"/>
    </row>
    <row r="38550">
      <c r="D38550" s="185"/>
      <c r="E38550" s="185" t="s">
        <v>470</v>
      </c>
      <c r="H38550" s="185"/>
    </row>
    <row r="38551">
      <c r="D38551" s="185"/>
      <c r="E38551" s="185" t="s">
        <v>470</v>
      </c>
      <c r="H38551" s="185"/>
    </row>
    <row r="38552">
      <c r="D38552" s="185"/>
      <c r="E38552" s="185" t="s">
        <v>470</v>
      </c>
      <c r="H38552" s="185"/>
    </row>
    <row r="38553">
      <c r="D38553" s="185"/>
      <c r="E38553" s="185" t="s">
        <v>470</v>
      </c>
      <c r="H38553" s="185"/>
    </row>
    <row r="38554">
      <c r="D38554" s="185"/>
      <c r="E38554" s="185" t="s">
        <v>470</v>
      </c>
      <c r="H38554" s="185"/>
    </row>
    <row r="38555">
      <c r="D38555" s="185"/>
      <c r="E38555" s="185" t="s">
        <v>470</v>
      </c>
      <c r="H38555" s="185"/>
    </row>
    <row r="38556">
      <c r="D38556" s="185"/>
      <c r="E38556" s="185" t="s">
        <v>470</v>
      </c>
      <c r="H38556" s="185"/>
    </row>
    <row r="38557">
      <c r="D38557" s="185"/>
      <c r="E38557" s="185" t="s">
        <v>470</v>
      </c>
      <c r="H38557" s="185"/>
    </row>
    <row r="38558">
      <c r="D38558" s="185"/>
      <c r="E38558" s="185" t="s">
        <v>470</v>
      </c>
      <c r="H38558" s="185"/>
    </row>
    <row r="38559">
      <c r="D38559" s="185"/>
      <c r="E38559" s="185" t="s">
        <v>470</v>
      </c>
      <c r="H38559" s="185"/>
    </row>
    <row r="38560">
      <c r="D38560" s="185"/>
      <c r="E38560" s="185" t="s">
        <v>470</v>
      </c>
      <c r="H38560" s="185"/>
    </row>
    <row r="38561">
      <c r="D38561" s="185"/>
      <c r="E38561" s="185" t="s">
        <v>470</v>
      </c>
      <c r="H38561" s="185"/>
    </row>
    <row r="38562">
      <c r="D38562" s="185"/>
      <c r="E38562" s="185" t="s">
        <v>470</v>
      </c>
      <c r="H38562" s="185"/>
    </row>
    <row r="38563">
      <c r="D38563" s="185"/>
      <c r="E38563" s="185" t="s">
        <v>470</v>
      </c>
      <c r="H38563" s="185"/>
    </row>
    <row r="38564">
      <c r="D38564" s="185"/>
      <c r="E38564" s="185" t="s">
        <v>470</v>
      </c>
      <c r="H38564" s="185"/>
    </row>
    <row r="38565">
      <c r="D38565" s="185"/>
      <c r="E38565" s="185" t="s">
        <v>470</v>
      </c>
      <c r="H38565" s="185"/>
    </row>
    <row r="38566">
      <c r="D38566" s="185"/>
      <c r="E38566" s="185" t="s">
        <v>470</v>
      </c>
      <c r="H38566" s="185"/>
    </row>
    <row r="38567">
      <c r="D38567" s="185"/>
      <c r="E38567" s="185" t="s">
        <v>470</v>
      </c>
      <c r="H38567" s="185"/>
    </row>
    <row r="38568">
      <c r="D38568" s="185"/>
      <c r="E38568" s="185" t="s">
        <v>470</v>
      </c>
      <c r="H38568" s="185"/>
    </row>
    <row r="38569">
      <c r="D38569" s="185"/>
      <c r="E38569" s="185" t="s">
        <v>470</v>
      </c>
      <c r="H38569" s="185"/>
    </row>
    <row r="38570">
      <c r="D38570" s="185"/>
      <c r="E38570" s="185" t="s">
        <v>470</v>
      </c>
      <c r="H38570" s="185"/>
    </row>
    <row r="38571">
      <c r="D38571" s="185"/>
      <c r="E38571" s="185" t="s">
        <v>470</v>
      </c>
      <c r="H38571" s="185"/>
    </row>
    <row r="38572">
      <c r="D38572" s="185"/>
      <c r="E38572" s="185" t="s">
        <v>470</v>
      </c>
      <c r="H38572" s="185"/>
    </row>
    <row r="38573">
      <c r="D38573" s="185"/>
      <c r="E38573" s="185" t="s">
        <v>470</v>
      </c>
      <c r="H38573" s="185"/>
    </row>
    <row r="38574">
      <c r="D38574" s="185"/>
      <c r="E38574" s="185" t="s">
        <v>470</v>
      </c>
      <c r="H38574" s="185"/>
    </row>
    <row r="38575">
      <c r="D38575" s="185"/>
      <c r="E38575" s="185" t="s">
        <v>470</v>
      </c>
      <c r="H38575" s="185"/>
    </row>
    <row r="38576">
      <c r="D38576" s="185"/>
      <c r="E38576" s="185" t="s">
        <v>470</v>
      </c>
      <c r="H38576" s="185"/>
    </row>
    <row r="38577">
      <c r="D38577" s="185"/>
      <c r="E38577" s="185" t="s">
        <v>470</v>
      </c>
      <c r="H38577" s="185"/>
    </row>
    <row r="38578">
      <c r="D38578" s="185"/>
      <c r="E38578" s="185" t="s">
        <v>470</v>
      </c>
      <c r="H38578" s="185"/>
    </row>
    <row r="38579">
      <c r="D38579" s="185"/>
      <c r="E38579" s="185" t="s">
        <v>470</v>
      </c>
      <c r="H38579" s="185"/>
    </row>
    <row r="38580">
      <c r="D38580" s="185"/>
      <c r="E38580" s="185" t="s">
        <v>470</v>
      </c>
      <c r="H38580" s="185"/>
    </row>
    <row r="38581">
      <c r="D38581" s="185"/>
      <c r="E38581" s="185" t="s">
        <v>470</v>
      </c>
      <c r="H38581" s="185"/>
    </row>
    <row r="38582">
      <c r="D38582" s="185"/>
      <c r="E38582" s="185" t="s">
        <v>470</v>
      </c>
      <c r="H38582" s="185"/>
    </row>
    <row r="38583">
      <c r="D38583" s="185"/>
      <c r="E38583" s="185" t="s">
        <v>470</v>
      </c>
      <c r="H38583" s="185"/>
    </row>
    <row r="38584">
      <c r="D38584" s="185"/>
      <c r="E38584" s="185" t="s">
        <v>470</v>
      </c>
      <c r="H38584" s="185"/>
    </row>
    <row r="38585">
      <c r="D38585" s="185"/>
      <c r="E38585" s="185" t="s">
        <v>470</v>
      </c>
      <c r="H38585" s="185"/>
    </row>
    <row r="38586">
      <c r="D38586" s="185"/>
      <c r="E38586" s="185" t="s">
        <v>470</v>
      </c>
      <c r="H38586" s="185"/>
    </row>
    <row r="38587">
      <c r="D38587" s="185"/>
      <c r="E38587" s="185" t="s">
        <v>470</v>
      </c>
      <c r="H38587" s="185"/>
    </row>
    <row r="38588">
      <c r="D38588" s="185"/>
      <c r="E38588" s="185" t="s">
        <v>470</v>
      </c>
      <c r="H38588" s="185"/>
    </row>
    <row r="38589">
      <c r="D38589" s="185"/>
      <c r="E38589" s="185" t="s">
        <v>470</v>
      </c>
      <c r="H38589" s="185"/>
    </row>
    <row r="38590">
      <c r="D38590" s="185"/>
      <c r="E38590" s="185" t="s">
        <v>470</v>
      </c>
      <c r="H38590" s="185"/>
    </row>
    <row r="38591">
      <c r="D38591" s="185"/>
      <c r="E38591" s="185" t="s">
        <v>470</v>
      </c>
      <c r="H38591" s="185"/>
    </row>
    <row r="38592">
      <c r="D38592" s="185"/>
      <c r="E38592" s="185" t="s">
        <v>470</v>
      </c>
      <c r="H38592" s="185"/>
    </row>
    <row r="38593">
      <c r="D38593" s="185"/>
      <c r="E38593" s="185" t="s">
        <v>470</v>
      </c>
      <c r="H38593" s="185"/>
    </row>
    <row r="38594">
      <c r="D38594" s="185"/>
      <c r="E38594" s="185" t="s">
        <v>470</v>
      </c>
      <c r="H38594" s="185"/>
    </row>
    <row r="38595">
      <c r="D38595" s="185"/>
      <c r="E38595" s="185" t="s">
        <v>470</v>
      </c>
      <c r="H38595" s="185"/>
    </row>
    <row r="38596">
      <c r="D38596" s="185"/>
      <c r="E38596" s="185" t="s">
        <v>470</v>
      </c>
      <c r="H38596" s="185"/>
    </row>
    <row r="38597">
      <c r="D38597" s="185"/>
      <c r="E38597" s="185" t="s">
        <v>470</v>
      </c>
      <c r="H38597" s="185"/>
    </row>
    <row r="38598">
      <c r="D38598" s="185"/>
      <c r="E38598" s="185" t="s">
        <v>470</v>
      </c>
      <c r="H38598" s="185"/>
    </row>
    <row r="38599">
      <c r="D38599" s="185"/>
      <c r="E38599" s="185" t="s">
        <v>470</v>
      </c>
      <c r="H38599" s="185"/>
    </row>
    <row r="38600">
      <c r="D38600" s="185"/>
      <c r="E38600" s="185" t="s">
        <v>470</v>
      </c>
      <c r="H38600" s="185"/>
    </row>
    <row r="38601">
      <c r="D38601" s="185"/>
      <c r="E38601" s="185" t="s">
        <v>470</v>
      </c>
      <c r="H38601" s="185"/>
    </row>
    <row r="38602">
      <c r="D38602" s="185"/>
      <c r="E38602" s="185" t="s">
        <v>470</v>
      </c>
      <c r="H38602" s="185"/>
    </row>
    <row r="38603">
      <c r="D38603" s="185"/>
      <c r="E38603" s="185" t="s">
        <v>470</v>
      </c>
      <c r="H38603" s="185"/>
    </row>
    <row r="38604">
      <c r="D38604" s="185"/>
      <c r="E38604" s="185" t="s">
        <v>470</v>
      </c>
      <c r="H38604" s="185"/>
    </row>
    <row r="38605">
      <c r="D38605" s="185"/>
      <c r="E38605" s="185" t="s">
        <v>470</v>
      </c>
      <c r="H38605" s="185"/>
    </row>
    <row r="38606">
      <c r="D38606" s="185"/>
      <c r="E38606" s="185" t="s">
        <v>470</v>
      </c>
      <c r="H38606" s="185"/>
    </row>
    <row r="38607">
      <c r="D38607" s="185"/>
      <c r="E38607" s="185" t="s">
        <v>470</v>
      </c>
      <c r="H38607" s="185"/>
    </row>
    <row r="38608">
      <c r="D38608" s="185"/>
      <c r="E38608" s="185" t="s">
        <v>470</v>
      </c>
      <c r="H38608" s="185"/>
    </row>
    <row r="38609">
      <c r="D38609" s="185"/>
      <c r="E38609" s="185" t="s">
        <v>470</v>
      </c>
      <c r="H38609" s="185"/>
    </row>
    <row r="38610">
      <c r="D38610" s="185"/>
      <c r="E38610" s="185" t="s">
        <v>470</v>
      </c>
      <c r="H38610" s="185"/>
    </row>
    <row r="38611">
      <c r="D38611" s="185"/>
      <c r="E38611" s="185" t="s">
        <v>470</v>
      </c>
      <c r="H38611" s="185"/>
    </row>
    <row r="38612">
      <c r="D38612" s="185"/>
      <c r="E38612" s="185" t="s">
        <v>470</v>
      </c>
      <c r="H38612" s="185"/>
    </row>
    <row r="38613">
      <c r="D38613" s="185"/>
      <c r="E38613" s="185" t="s">
        <v>470</v>
      </c>
      <c r="H38613" s="185"/>
    </row>
    <row r="38614">
      <c r="D38614" s="185"/>
      <c r="E38614" s="185" t="s">
        <v>470</v>
      </c>
      <c r="H38614" s="185"/>
    </row>
    <row r="38615">
      <c r="D38615" s="185"/>
      <c r="E38615" s="185" t="s">
        <v>470</v>
      </c>
      <c r="H38615" s="185"/>
    </row>
    <row r="38616">
      <c r="D38616" s="185"/>
      <c r="E38616" s="185" t="s">
        <v>470</v>
      </c>
      <c r="H38616" s="185"/>
    </row>
    <row r="38617">
      <c r="D38617" s="185"/>
      <c r="E38617" s="185" t="s">
        <v>470</v>
      </c>
      <c r="H38617" s="185"/>
    </row>
    <row r="38618">
      <c r="D38618" s="185"/>
      <c r="E38618" s="185" t="s">
        <v>470</v>
      </c>
      <c r="H38618" s="185"/>
    </row>
    <row r="38619">
      <c r="D38619" s="185"/>
      <c r="E38619" s="185" t="s">
        <v>470</v>
      </c>
      <c r="H38619" s="185"/>
    </row>
    <row r="38620">
      <c r="D38620" s="185"/>
      <c r="E38620" s="185" t="s">
        <v>470</v>
      </c>
      <c r="H38620" s="185"/>
    </row>
    <row r="38621">
      <c r="D38621" s="185"/>
      <c r="E38621" s="185" t="s">
        <v>470</v>
      </c>
      <c r="H38621" s="185"/>
    </row>
    <row r="38622">
      <c r="D38622" s="185"/>
      <c r="E38622" s="185" t="s">
        <v>470</v>
      </c>
      <c r="H38622" s="185"/>
    </row>
    <row r="38623">
      <c r="D38623" s="185"/>
      <c r="E38623" s="185" t="s">
        <v>470</v>
      </c>
      <c r="H38623" s="185"/>
    </row>
    <row r="38624">
      <c r="D38624" s="185"/>
      <c r="E38624" s="185" t="s">
        <v>470</v>
      </c>
      <c r="H38624" s="185"/>
    </row>
    <row r="38625">
      <c r="D38625" s="185"/>
      <c r="E38625" s="185" t="s">
        <v>470</v>
      </c>
      <c r="H38625" s="185"/>
    </row>
    <row r="38626">
      <c r="D38626" s="185"/>
      <c r="E38626" s="185" t="s">
        <v>470</v>
      </c>
      <c r="H38626" s="185"/>
    </row>
    <row r="38627">
      <c r="D38627" s="185"/>
      <c r="E38627" s="185" t="s">
        <v>470</v>
      </c>
      <c r="H38627" s="185"/>
    </row>
    <row r="38628">
      <c r="D38628" s="185"/>
      <c r="E38628" s="185" t="s">
        <v>470</v>
      </c>
      <c r="H38628" s="185"/>
    </row>
    <row r="38629">
      <c r="D38629" s="185"/>
      <c r="E38629" s="185" t="s">
        <v>470</v>
      </c>
      <c r="H38629" s="185"/>
    </row>
    <row r="38630">
      <c r="D38630" s="185"/>
      <c r="E38630" s="185" t="s">
        <v>470</v>
      </c>
      <c r="H38630" s="185"/>
    </row>
    <row r="38631">
      <c r="D38631" s="185"/>
      <c r="E38631" s="185" t="s">
        <v>470</v>
      </c>
      <c r="H38631" s="185"/>
    </row>
    <row r="38632">
      <c r="D38632" s="185"/>
      <c r="E38632" s="185" t="s">
        <v>470</v>
      </c>
      <c r="H38632" s="185"/>
    </row>
    <row r="38633">
      <c r="D38633" s="185"/>
      <c r="E38633" s="185" t="s">
        <v>470</v>
      </c>
      <c r="H38633" s="185"/>
    </row>
    <row r="38634">
      <c r="D38634" s="185"/>
      <c r="E38634" s="185" t="s">
        <v>470</v>
      </c>
      <c r="H38634" s="185"/>
    </row>
    <row r="38635">
      <c r="D38635" s="185"/>
      <c r="E38635" s="185" t="s">
        <v>470</v>
      </c>
      <c r="H38635" s="185"/>
    </row>
    <row r="38636">
      <c r="D38636" s="185"/>
      <c r="E38636" s="185" t="s">
        <v>470</v>
      </c>
      <c r="H38636" s="185"/>
    </row>
    <row r="38637">
      <c r="D38637" s="185"/>
      <c r="E38637" s="185" t="s">
        <v>470</v>
      </c>
      <c r="H38637" s="185"/>
    </row>
    <row r="38638">
      <c r="D38638" s="185"/>
      <c r="E38638" s="185" t="s">
        <v>470</v>
      </c>
      <c r="H38638" s="185"/>
    </row>
    <row r="38639">
      <c r="D38639" s="185"/>
      <c r="E38639" s="185" t="s">
        <v>470</v>
      </c>
      <c r="H38639" s="185"/>
    </row>
    <row r="38640">
      <c r="D38640" s="185"/>
      <c r="E38640" s="185" t="s">
        <v>470</v>
      </c>
      <c r="H38640" s="185"/>
    </row>
    <row r="38641">
      <c r="D38641" s="185"/>
      <c r="E38641" s="185" t="s">
        <v>470</v>
      </c>
      <c r="H38641" s="185"/>
    </row>
    <row r="38642">
      <c r="D38642" s="185"/>
      <c r="E38642" s="185" t="s">
        <v>470</v>
      </c>
      <c r="H38642" s="185"/>
    </row>
    <row r="38643">
      <c r="D38643" s="185"/>
      <c r="E38643" s="185" t="s">
        <v>470</v>
      </c>
      <c r="H38643" s="185"/>
    </row>
    <row r="38644">
      <c r="D38644" s="185"/>
      <c r="E38644" s="185" t="s">
        <v>470</v>
      </c>
      <c r="H38644" s="185"/>
    </row>
    <row r="38645">
      <c r="D38645" s="185"/>
      <c r="E38645" s="185" t="s">
        <v>470</v>
      </c>
      <c r="H38645" s="185"/>
    </row>
    <row r="38646">
      <c r="D38646" s="185"/>
      <c r="E38646" s="185" t="s">
        <v>470</v>
      </c>
      <c r="H38646" s="185"/>
    </row>
    <row r="38647">
      <c r="D38647" s="185"/>
      <c r="E38647" s="185" t="s">
        <v>470</v>
      </c>
      <c r="H38647" s="185"/>
    </row>
    <row r="38648">
      <c r="D38648" s="185"/>
      <c r="E38648" s="185" t="s">
        <v>470</v>
      </c>
      <c r="H38648" s="185"/>
    </row>
    <row r="38649">
      <c r="D38649" s="185"/>
      <c r="E38649" s="185" t="s">
        <v>470</v>
      </c>
      <c r="H38649" s="185"/>
    </row>
    <row r="38650">
      <c r="D38650" s="185"/>
      <c r="E38650" s="185" t="s">
        <v>470</v>
      </c>
      <c r="H38650" s="185"/>
    </row>
    <row r="38651">
      <c r="D38651" s="185"/>
      <c r="E38651" s="185" t="s">
        <v>470</v>
      </c>
      <c r="H38651" s="185"/>
    </row>
    <row r="38652">
      <c r="D38652" s="185"/>
      <c r="E38652" s="185" t="s">
        <v>470</v>
      </c>
      <c r="H38652" s="185"/>
    </row>
    <row r="38653">
      <c r="D38653" s="185"/>
      <c r="E38653" s="185" t="s">
        <v>470</v>
      </c>
      <c r="H38653" s="185"/>
    </row>
    <row r="38654">
      <c r="D38654" s="185"/>
      <c r="E38654" s="185" t="s">
        <v>470</v>
      </c>
      <c r="H38654" s="185"/>
    </row>
    <row r="38655">
      <c r="D38655" s="185"/>
      <c r="E38655" s="185" t="s">
        <v>470</v>
      </c>
      <c r="H38655" s="185"/>
    </row>
    <row r="38656">
      <c r="D38656" s="185"/>
      <c r="E38656" s="185" t="s">
        <v>470</v>
      </c>
      <c r="H38656" s="185"/>
    </row>
    <row r="38657">
      <c r="D38657" s="185"/>
      <c r="E38657" s="185" t="s">
        <v>470</v>
      </c>
      <c r="H38657" s="185"/>
    </row>
    <row r="38658">
      <c r="D38658" s="185"/>
      <c r="E38658" s="185" t="s">
        <v>470</v>
      </c>
      <c r="H38658" s="185"/>
    </row>
    <row r="38659">
      <c r="D38659" s="185"/>
      <c r="E38659" s="185" t="s">
        <v>470</v>
      </c>
      <c r="H38659" s="185"/>
    </row>
    <row r="38660">
      <c r="D38660" s="185"/>
      <c r="E38660" s="185" t="s">
        <v>470</v>
      </c>
      <c r="H38660" s="185"/>
    </row>
    <row r="38661">
      <c r="D38661" s="185"/>
      <c r="E38661" s="185" t="s">
        <v>470</v>
      </c>
      <c r="H38661" s="185"/>
    </row>
    <row r="38662">
      <c r="D38662" s="185"/>
      <c r="E38662" s="185" t="s">
        <v>470</v>
      </c>
      <c r="H38662" s="185"/>
    </row>
    <row r="38663">
      <c r="D38663" s="185"/>
      <c r="E38663" s="185" t="s">
        <v>470</v>
      </c>
      <c r="H38663" s="185"/>
    </row>
    <row r="38664">
      <c r="D38664" s="185"/>
      <c r="E38664" s="185" t="s">
        <v>470</v>
      </c>
      <c r="H38664" s="185"/>
    </row>
    <row r="38665">
      <c r="D38665" s="185"/>
      <c r="E38665" s="185" t="s">
        <v>470</v>
      </c>
      <c r="H38665" s="185"/>
    </row>
    <row r="38666">
      <c r="D38666" s="185"/>
      <c r="E38666" s="185" t="s">
        <v>470</v>
      </c>
      <c r="H38666" s="185"/>
    </row>
    <row r="38667">
      <c r="D38667" s="185"/>
      <c r="E38667" s="185" t="s">
        <v>470</v>
      </c>
      <c r="H38667" s="185"/>
    </row>
    <row r="38668">
      <c r="D38668" s="185"/>
      <c r="E38668" s="185" t="s">
        <v>470</v>
      </c>
      <c r="H38668" s="185"/>
    </row>
    <row r="38669">
      <c r="D38669" s="185"/>
      <c r="E38669" s="185" t="s">
        <v>470</v>
      </c>
      <c r="H38669" s="185"/>
    </row>
    <row r="38670">
      <c r="D38670" s="185"/>
      <c r="E38670" s="185" t="s">
        <v>470</v>
      </c>
      <c r="H38670" s="185"/>
    </row>
    <row r="38671">
      <c r="D38671" s="185"/>
      <c r="E38671" s="185" t="s">
        <v>470</v>
      </c>
      <c r="H38671" s="185"/>
    </row>
    <row r="38672">
      <c r="D38672" s="185"/>
      <c r="E38672" s="185" t="s">
        <v>470</v>
      </c>
      <c r="H38672" s="185"/>
    </row>
    <row r="38673">
      <c r="D38673" s="185"/>
      <c r="E38673" s="185" t="s">
        <v>470</v>
      </c>
      <c r="H38673" s="185"/>
    </row>
    <row r="38674">
      <c r="D38674" s="185"/>
      <c r="E38674" s="185" t="s">
        <v>470</v>
      </c>
      <c r="H38674" s="185"/>
    </row>
    <row r="38675">
      <c r="D38675" s="185"/>
      <c r="E38675" s="185" t="s">
        <v>470</v>
      </c>
      <c r="H38675" s="185"/>
    </row>
    <row r="38676">
      <c r="D38676" s="185"/>
      <c r="E38676" s="185" t="s">
        <v>470</v>
      </c>
      <c r="H38676" s="185"/>
    </row>
    <row r="38677">
      <c r="D38677" s="185"/>
      <c r="E38677" s="185" t="s">
        <v>470</v>
      </c>
      <c r="H38677" s="185"/>
    </row>
    <row r="38678">
      <c r="D38678" s="185"/>
      <c r="E38678" s="185" t="s">
        <v>470</v>
      </c>
      <c r="H38678" s="185"/>
    </row>
    <row r="38679">
      <c r="D38679" s="185"/>
      <c r="E38679" s="185" t="s">
        <v>470</v>
      </c>
      <c r="H38679" s="185"/>
    </row>
    <row r="38680">
      <c r="D38680" s="185"/>
      <c r="E38680" s="185" t="s">
        <v>470</v>
      </c>
      <c r="H38680" s="185"/>
    </row>
    <row r="38681">
      <c r="D38681" s="185"/>
      <c r="E38681" s="185" t="s">
        <v>470</v>
      </c>
      <c r="H38681" s="185"/>
    </row>
    <row r="38682">
      <c r="D38682" s="185"/>
      <c r="E38682" s="185" t="s">
        <v>470</v>
      </c>
      <c r="H38682" s="185"/>
    </row>
    <row r="38683">
      <c r="D38683" s="185"/>
      <c r="E38683" s="185" t="s">
        <v>470</v>
      </c>
      <c r="H38683" s="185"/>
    </row>
    <row r="38684">
      <c r="D38684" s="185"/>
      <c r="E38684" s="185" t="s">
        <v>470</v>
      </c>
      <c r="H38684" s="185"/>
    </row>
    <row r="38685">
      <c r="D38685" s="185"/>
      <c r="E38685" s="185" t="s">
        <v>470</v>
      </c>
      <c r="H38685" s="185"/>
    </row>
    <row r="38686">
      <c r="D38686" s="185"/>
      <c r="E38686" s="185" t="s">
        <v>470</v>
      </c>
      <c r="H38686" s="185"/>
    </row>
    <row r="38687">
      <c r="D38687" s="185"/>
      <c r="E38687" s="185" t="s">
        <v>470</v>
      </c>
      <c r="H38687" s="185"/>
    </row>
    <row r="38688">
      <c r="D38688" s="185"/>
      <c r="E38688" s="185" t="s">
        <v>470</v>
      </c>
      <c r="H38688" s="185"/>
    </row>
    <row r="38689">
      <c r="D38689" s="185"/>
      <c r="E38689" s="185" t="s">
        <v>470</v>
      </c>
      <c r="H38689" s="185"/>
    </row>
    <row r="38690">
      <c r="D38690" s="185"/>
      <c r="E38690" s="185" t="s">
        <v>470</v>
      </c>
      <c r="H38690" s="185"/>
    </row>
    <row r="38691">
      <c r="D38691" s="185"/>
      <c r="E38691" s="185" t="s">
        <v>470</v>
      </c>
      <c r="H38691" s="185"/>
    </row>
    <row r="38692">
      <c r="D38692" s="185"/>
      <c r="E38692" s="185" t="s">
        <v>470</v>
      </c>
      <c r="H38692" s="185"/>
    </row>
    <row r="38693">
      <c r="D38693" s="185"/>
      <c r="E38693" s="185" t="s">
        <v>470</v>
      </c>
      <c r="H38693" s="185"/>
    </row>
    <row r="38694">
      <c r="D38694" s="185"/>
      <c r="E38694" s="185" t="s">
        <v>470</v>
      </c>
      <c r="H38694" s="185"/>
    </row>
    <row r="38695">
      <c r="D38695" s="185"/>
      <c r="E38695" s="185" t="s">
        <v>470</v>
      </c>
      <c r="H38695" s="185"/>
    </row>
    <row r="38696">
      <c r="D38696" s="185"/>
      <c r="E38696" s="185" t="s">
        <v>470</v>
      </c>
      <c r="H38696" s="185"/>
    </row>
    <row r="38697">
      <c r="D38697" s="185"/>
      <c r="E38697" s="185" t="s">
        <v>470</v>
      </c>
      <c r="H38697" s="185"/>
    </row>
    <row r="38698">
      <c r="D38698" s="185"/>
      <c r="E38698" s="185" t="s">
        <v>470</v>
      </c>
      <c r="H38698" s="185"/>
    </row>
    <row r="38699">
      <c r="D38699" s="185"/>
      <c r="E38699" s="185" t="s">
        <v>470</v>
      </c>
      <c r="H38699" s="185"/>
    </row>
    <row r="38700">
      <c r="D38700" s="185"/>
      <c r="E38700" s="185" t="s">
        <v>470</v>
      </c>
      <c r="H38700" s="185"/>
    </row>
    <row r="38701">
      <c r="D38701" s="185"/>
      <c r="E38701" s="185" t="s">
        <v>470</v>
      </c>
      <c r="H38701" s="185"/>
    </row>
    <row r="38702">
      <c r="D38702" s="185"/>
      <c r="E38702" s="185" t="s">
        <v>470</v>
      </c>
      <c r="H38702" s="185"/>
    </row>
    <row r="38703">
      <c r="D38703" s="185"/>
      <c r="E38703" s="185" t="s">
        <v>470</v>
      </c>
      <c r="H38703" s="185"/>
    </row>
    <row r="38704">
      <c r="D38704" s="185"/>
      <c r="E38704" s="185" t="s">
        <v>470</v>
      </c>
      <c r="H38704" s="185"/>
    </row>
    <row r="38705">
      <c r="D38705" s="185"/>
      <c r="E38705" s="185" t="s">
        <v>470</v>
      </c>
      <c r="H38705" s="185"/>
    </row>
    <row r="38706">
      <c r="D38706" s="185"/>
      <c r="E38706" s="185" t="s">
        <v>470</v>
      </c>
      <c r="H38706" s="185"/>
    </row>
    <row r="38707">
      <c r="D38707" s="185"/>
      <c r="E38707" s="185" t="s">
        <v>470</v>
      </c>
      <c r="H38707" s="185"/>
    </row>
    <row r="38708">
      <c r="D38708" s="185"/>
      <c r="E38708" s="185" t="s">
        <v>470</v>
      </c>
      <c r="H38708" s="185"/>
    </row>
    <row r="38709">
      <c r="D38709" s="185"/>
      <c r="E38709" s="185" t="s">
        <v>470</v>
      </c>
      <c r="H38709" s="185"/>
    </row>
    <row r="38710">
      <c r="D38710" s="185"/>
      <c r="E38710" s="185" t="s">
        <v>470</v>
      </c>
      <c r="H38710" s="185"/>
    </row>
    <row r="38711">
      <c r="D38711" s="185"/>
      <c r="E38711" s="185" t="s">
        <v>470</v>
      </c>
      <c r="H38711" s="185"/>
    </row>
    <row r="38712">
      <c r="D38712" s="185"/>
      <c r="E38712" s="185" t="s">
        <v>470</v>
      </c>
      <c r="H38712" s="185"/>
    </row>
    <row r="38713">
      <c r="D38713" s="185"/>
      <c r="E38713" s="185" t="s">
        <v>470</v>
      </c>
      <c r="H38713" s="185"/>
    </row>
    <row r="38714">
      <c r="D38714" s="185"/>
      <c r="E38714" s="185" t="s">
        <v>470</v>
      </c>
      <c r="H38714" s="185"/>
    </row>
    <row r="38715">
      <c r="D38715" s="185"/>
      <c r="E38715" s="185" t="s">
        <v>470</v>
      </c>
      <c r="H38715" s="185"/>
    </row>
    <row r="38716">
      <c r="D38716" s="185"/>
      <c r="E38716" s="185" t="s">
        <v>470</v>
      </c>
      <c r="H38716" s="185"/>
    </row>
    <row r="38717">
      <c r="D38717" s="185"/>
      <c r="E38717" s="185" t="s">
        <v>470</v>
      </c>
      <c r="H38717" s="185"/>
    </row>
    <row r="38718">
      <c r="D38718" s="185"/>
      <c r="E38718" s="185" t="s">
        <v>470</v>
      </c>
      <c r="H38718" s="185"/>
    </row>
    <row r="38719">
      <c r="D38719" s="185"/>
      <c r="E38719" s="185" t="s">
        <v>470</v>
      </c>
      <c r="H38719" s="185"/>
    </row>
    <row r="38720">
      <c r="D38720" s="185"/>
      <c r="E38720" s="185" t="s">
        <v>470</v>
      </c>
      <c r="H38720" s="185"/>
    </row>
    <row r="38721">
      <c r="D38721" s="185"/>
      <c r="E38721" s="185" t="s">
        <v>470</v>
      </c>
      <c r="H38721" s="185"/>
    </row>
    <row r="38722">
      <c r="D38722" s="185"/>
      <c r="E38722" s="185" t="s">
        <v>470</v>
      </c>
      <c r="H38722" s="185"/>
    </row>
    <row r="38723">
      <c r="D38723" s="185"/>
      <c r="E38723" s="185" t="s">
        <v>470</v>
      </c>
      <c r="H38723" s="185"/>
    </row>
    <row r="38724">
      <c r="D38724" s="185"/>
      <c r="E38724" s="185" t="s">
        <v>470</v>
      </c>
      <c r="H38724" s="185"/>
    </row>
    <row r="38725">
      <c r="D38725" s="185"/>
      <c r="E38725" s="185" t="s">
        <v>470</v>
      </c>
      <c r="H38725" s="185"/>
    </row>
    <row r="38726">
      <c r="D38726" s="185"/>
      <c r="E38726" s="185" t="s">
        <v>470</v>
      </c>
      <c r="H38726" s="185"/>
    </row>
    <row r="38727">
      <c r="D38727" s="185"/>
      <c r="E38727" s="185" t="s">
        <v>470</v>
      </c>
      <c r="H38727" s="185"/>
    </row>
    <row r="38728">
      <c r="D38728" s="185"/>
      <c r="E38728" s="185" t="s">
        <v>470</v>
      </c>
      <c r="H38728" s="185"/>
    </row>
    <row r="38729">
      <c r="D38729" s="185"/>
      <c r="E38729" s="185" t="s">
        <v>470</v>
      </c>
      <c r="H38729" s="185"/>
    </row>
    <row r="38730">
      <c r="D38730" s="185"/>
      <c r="E38730" s="185" t="s">
        <v>470</v>
      </c>
      <c r="H38730" s="185"/>
    </row>
    <row r="38731">
      <c r="D38731" s="185"/>
      <c r="E38731" s="185" t="s">
        <v>470</v>
      </c>
      <c r="H38731" s="185"/>
    </row>
    <row r="38732">
      <c r="D38732" s="185"/>
      <c r="E38732" s="185" t="s">
        <v>470</v>
      </c>
      <c r="H38732" s="185"/>
    </row>
    <row r="38733">
      <c r="D38733" s="185"/>
      <c r="E38733" s="185" t="s">
        <v>470</v>
      </c>
      <c r="H38733" s="185"/>
    </row>
    <row r="38734">
      <c r="D38734" s="185"/>
      <c r="E38734" s="185" t="s">
        <v>470</v>
      </c>
      <c r="H38734" s="185"/>
    </row>
    <row r="38735">
      <c r="D38735" s="185"/>
      <c r="E38735" s="185" t="s">
        <v>470</v>
      </c>
      <c r="H38735" s="185"/>
    </row>
    <row r="38736">
      <c r="D38736" s="185"/>
      <c r="E38736" s="185" t="s">
        <v>470</v>
      </c>
      <c r="H38736" s="185"/>
    </row>
    <row r="38737">
      <c r="D38737" s="185"/>
      <c r="E38737" s="185" t="s">
        <v>470</v>
      </c>
      <c r="H38737" s="185"/>
    </row>
    <row r="38738">
      <c r="D38738" s="185"/>
      <c r="E38738" s="185" t="s">
        <v>470</v>
      </c>
      <c r="H38738" s="185"/>
    </row>
    <row r="38739">
      <c r="D38739" s="185"/>
      <c r="E38739" s="185" t="s">
        <v>470</v>
      </c>
      <c r="H38739" s="185"/>
    </row>
    <row r="38740">
      <c r="D38740" s="185"/>
      <c r="E38740" s="185" t="s">
        <v>470</v>
      </c>
      <c r="H38740" s="185"/>
    </row>
    <row r="38741">
      <c r="D38741" s="185"/>
      <c r="E38741" s="185" t="s">
        <v>470</v>
      </c>
      <c r="H38741" s="185"/>
    </row>
    <row r="38742">
      <c r="D38742" s="185"/>
      <c r="E38742" s="185" t="s">
        <v>470</v>
      </c>
      <c r="H38742" s="185"/>
    </row>
    <row r="38743">
      <c r="D38743" s="185"/>
      <c r="E38743" s="185" t="s">
        <v>470</v>
      </c>
      <c r="H38743" s="185"/>
    </row>
    <row r="38744">
      <c r="D38744" s="185"/>
      <c r="E38744" s="185" t="s">
        <v>470</v>
      </c>
      <c r="H38744" s="185"/>
    </row>
    <row r="38745">
      <c r="D38745" s="185"/>
      <c r="E38745" s="185" t="s">
        <v>470</v>
      </c>
      <c r="H38745" s="185"/>
    </row>
    <row r="38746">
      <c r="D38746" s="185"/>
      <c r="E38746" s="185" t="s">
        <v>470</v>
      </c>
      <c r="H38746" s="185"/>
    </row>
    <row r="38747">
      <c r="D38747" s="185"/>
      <c r="E38747" s="185" t="s">
        <v>470</v>
      </c>
      <c r="H38747" s="185"/>
    </row>
    <row r="38748">
      <c r="D38748" s="185"/>
      <c r="E38748" s="185" t="s">
        <v>470</v>
      </c>
      <c r="H38748" s="185"/>
    </row>
    <row r="38749">
      <c r="D38749" s="185"/>
      <c r="E38749" s="185" t="s">
        <v>470</v>
      </c>
      <c r="H38749" s="185"/>
    </row>
    <row r="38750">
      <c r="D38750" s="185"/>
      <c r="E38750" s="185" t="s">
        <v>470</v>
      </c>
      <c r="H38750" s="185"/>
    </row>
    <row r="38751">
      <c r="D38751" s="185"/>
      <c r="E38751" s="185" t="s">
        <v>470</v>
      </c>
      <c r="H38751" s="185"/>
    </row>
    <row r="38752">
      <c r="D38752" s="185"/>
      <c r="E38752" s="185" t="s">
        <v>470</v>
      </c>
      <c r="H38752" s="185"/>
    </row>
    <row r="38753">
      <c r="D38753" s="185"/>
      <c r="E38753" s="185" t="s">
        <v>470</v>
      </c>
      <c r="H38753" s="185"/>
    </row>
    <row r="38754">
      <c r="D38754" s="185"/>
      <c r="E38754" s="185" t="s">
        <v>470</v>
      </c>
      <c r="H38754" s="185"/>
    </row>
    <row r="38755">
      <c r="D38755" s="185"/>
      <c r="E38755" s="185" t="s">
        <v>470</v>
      </c>
      <c r="H38755" s="185"/>
    </row>
    <row r="38756">
      <c r="D38756" s="185"/>
      <c r="E38756" s="185" t="s">
        <v>470</v>
      </c>
      <c r="H38756" s="185"/>
    </row>
    <row r="38757">
      <c r="D38757" s="185"/>
      <c r="E38757" s="185" t="s">
        <v>470</v>
      </c>
      <c r="H38757" s="185"/>
    </row>
    <row r="38758">
      <c r="D38758" s="185"/>
      <c r="E38758" s="185" t="s">
        <v>470</v>
      </c>
      <c r="H38758" s="185"/>
    </row>
    <row r="38759">
      <c r="D38759" s="185"/>
      <c r="E38759" s="185" t="s">
        <v>470</v>
      </c>
      <c r="H38759" s="185"/>
    </row>
    <row r="38760">
      <c r="D38760" s="185"/>
      <c r="E38760" s="185" t="s">
        <v>470</v>
      </c>
      <c r="H38760" s="185"/>
    </row>
    <row r="38761">
      <c r="D38761" s="185"/>
      <c r="E38761" s="185" t="s">
        <v>470</v>
      </c>
      <c r="H38761" s="185"/>
    </row>
    <row r="38762">
      <c r="D38762" s="185"/>
      <c r="E38762" s="185" t="s">
        <v>470</v>
      </c>
      <c r="H38762" s="185"/>
    </row>
    <row r="38763">
      <c r="D38763" s="185"/>
      <c r="E38763" s="185" t="s">
        <v>470</v>
      </c>
      <c r="H38763" s="185"/>
    </row>
    <row r="38764">
      <c r="D38764" s="185"/>
      <c r="E38764" s="185" t="s">
        <v>470</v>
      </c>
      <c r="H38764" s="185"/>
    </row>
    <row r="38765">
      <c r="D38765" s="185"/>
      <c r="E38765" s="185" t="s">
        <v>470</v>
      </c>
      <c r="H38765" s="185"/>
    </row>
    <row r="38766">
      <c r="D38766" s="185"/>
      <c r="E38766" s="185" t="s">
        <v>470</v>
      </c>
      <c r="H38766" s="185"/>
    </row>
    <row r="38767">
      <c r="D38767" s="185"/>
      <c r="E38767" s="185" t="s">
        <v>470</v>
      </c>
      <c r="H38767" s="185"/>
    </row>
    <row r="38768">
      <c r="D38768" s="185"/>
      <c r="E38768" s="185" t="s">
        <v>470</v>
      </c>
      <c r="H38768" s="185"/>
    </row>
    <row r="38769">
      <c r="D38769" s="185"/>
      <c r="E38769" s="185" t="s">
        <v>470</v>
      </c>
      <c r="H38769" s="185"/>
    </row>
    <row r="38770">
      <c r="D38770" s="185"/>
      <c r="E38770" s="185" t="s">
        <v>470</v>
      </c>
      <c r="H38770" s="185"/>
    </row>
    <row r="38771">
      <c r="D38771" s="185"/>
      <c r="E38771" s="185" t="s">
        <v>470</v>
      </c>
      <c r="H38771" s="185"/>
    </row>
    <row r="38772">
      <c r="D38772" s="185"/>
      <c r="E38772" s="185" t="s">
        <v>470</v>
      </c>
      <c r="H38772" s="185"/>
    </row>
    <row r="38773">
      <c r="D38773" s="185"/>
      <c r="E38773" s="185" t="s">
        <v>470</v>
      </c>
      <c r="H38773" s="185"/>
    </row>
    <row r="38774">
      <c r="D38774" s="185"/>
      <c r="E38774" s="185" t="s">
        <v>470</v>
      </c>
      <c r="H38774" s="185"/>
    </row>
    <row r="38775">
      <c r="D38775" s="185"/>
      <c r="E38775" s="185" t="s">
        <v>470</v>
      </c>
      <c r="H38775" s="185"/>
    </row>
    <row r="38776">
      <c r="D38776" s="185"/>
      <c r="E38776" s="185" t="s">
        <v>470</v>
      </c>
      <c r="H38776" s="185"/>
    </row>
    <row r="38777">
      <c r="D38777" s="185"/>
      <c r="E38777" s="185" t="s">
        <v>470</v>
      </c>
      <c r="H38777" s="185"/>
    </row>
    <row r="38778">
      <c r="D38778" s="185"/>
      <c r="E38778" s="185" t="s">
        <v>470</v>
      </c>
      <c r="H38778" s="185"/>
    </row>
    <row r="38779">
      <c r="D38779" s="185"/>
      <c r="E38779" s="185" t="s">
        <v>470</v>
      </c>
      <c r="H38779" s="185"/>
    </row>
    <row r="38780">
      <c r="D38780" s="185"/>
      <c r="E38780" s="185" t="s">
        <v>470</v>
      </c>
      <c r="H38780" s="185"/>
    </row>
    <row r="38781">
      <c r="D38781" s="185"/>
      <c r="E38781" s="185" t="s">
        <v>470</v>
      </c>
      <c r="H38781" s="185"/>
    </row>
    <row r="38782">
      <c r="D38782" s="185"/>
      <c r="E38782" s="185" t="s">
        <v>470</v>
      </c>
      <c r="H38782" s="185"/>
    </row>
    <row r="38783">
      <c r="D38783" s="185"/>
      <c r="E38783" s="185" t="s">
        <v>470</v>
      </c>
      <c r="H38783" s="185"/>
    </row>
    <row r="38784">
      <c r="D38784" s="185"/>
      <c r="E38784" s="185" t="s">
        <v>470</v>
      </c>
      <c r="H38784" s="185"/>
    </row>
    <row r="38785">
      <c r="D38785" s="185"/>
      <c r="E38785" s="185" t="s">
        <v>470</v>
      </c>
      <c r="H38785" s="185"/>
    </row>
    <row r="38786">
      <c r="D38786" s="185"/>
      <c r="E38786" s="185" t="s">
        <v>470</v>
      </c>
      <c r="H38786" s="185"/>
    </row>
    <row r="38787">
      <c r="D38787" s="185"/>
      <c r="E38787" s="185" t="s">
        <v>470</v>
      </c>
      <c r="H38787" s="185"/>
    </row>
    <row r="38788">
      <c r="D38788" s="185"/>
      <c r="E38788" s="185" t="s">
        <v>470</v>
      </c>
      <c r="H38788" s="185"/>
    </row>
    <row r="38789">
      <c r="D38789" s="185"/>
      <c r="E38789" s="185" t="s">
        <v>470</v>
      </c>
      <c r="H38789" s="185"/>
    </row>
    <row r="38790">
      <c r="D38790" s="185"/>
      <c r="E38790" s="185" t="s">
        <v>470</v>
      </c>
      <c r="H38790" s="185"/>
    </row>
    <row r="38791">
      <c r="D38791" s="185"/>
      <c r="E38791" s="185" t="s">
        <v>470</v>
      </c>
      <c r="H38791" s="185"/>
    </row>
    <row r="38792">
      <c r="D38792" s="185"/>
      <c r="E38792" s="185" t="s">
        <v>470</v>
      </c>
      <c r="H38792" s="185"/>
    </row>
    <row r="38793">
      <c r="D38793" s="185"/>
      <c r="E38793" s="185" t="s">
        <v>470</v>
      </c>
      <c r="H38793" s="185"/>
    </row>
    <row r="38794">
      <c r="D38794" s="185"/>
      <c r="E38794" s="185" t="s">
        <v>470</v>
      </c>
      <c r="H38794" s="185"/>
    </row>
    <row r="38795">
      <c r="D38795" s="185"/>
      <c r="E38795" s="185" t="s">
        <v>470</v>
      </c>
      <c r="H38795" s="185"/>
    </row>
    <row r="38796">
      <c r="D38796" s="185"/>
      <c r="E38796" s="185" t="s">
        <v>470</v>
      </c>
      <c r="H38796" s="185"/>
    </row>
    <row r="38797">
      <c r="D38797" s="185"/>
      <c r="E38797" s="185" t="s">
        <v>470</v>
      </c>
      <c r="H38797" s="185"/>
    </row>
    <row r="38798">
      <c r="D38798" s="185"/>
      <c r="E38798" s="185" t="s">
        <v>470</v>
      </c>
      <c r="H38798" s="185"/>
    </row>
    <row r="38799">
      <c r="D38799" s="185"/>
      <c r="E38799" s="185" t="s">
        <v>470</v>
      </c>
      <c r="H38799" s="185"/>
    </row>
    <row r="38800">
      <c r="D38800" s="185"/>
      <c r="E38800" s="185" t="s">
        <v>470</v>
      </c>
      <c r="H38800" s="185"/>
    </row>
    <row r="38801">
      <c r="D38801" s="185"/>
      <c r="E38801" s="185" t="s">
        <v>470</v>
      </c>
      <c r="H38801" s="185"/>
    </row>
    <row r="38802">
      <c r="D38802" s="185"/>
      <c r="E38802" s="185" t="s">
        <v>470</v>
      </c>
      <c r="H38802" s="185"/>
    </row>
    <row r="38803">
      <c r="D38803" s="185"/>
      <c r="E38803" s="185" t="s">
        <v>470</v>
      </c>
      <c r="H38803" s="185"/>
    </row>
    <row r="38804">
      <c r="D38804" s="185"/>
      <c r="E38804" s="185" t="s">
        <v>470</v>
      </c>
      <c r="H38804" s="185"/>
    </row>
    <row r="38805">
      <c r="D38805" s="185"/>
      <c r="E38805" s="185" t="s">
        <v>470</v>
      </c>
      <c r="H38805" s="185"/>
    </row>
    <row r="38806">
      <c r="D38806" s="185"/>
      <c r="E38806" s="185" t="s">
        <v>470</v>
      </c>
      <c r="H38806" s="185"/>
    </row>
    <row r="38807">
      <c r="D38807" s="185"/>
      <c r="E38807" s="185" t="s">
        <v>470</v>
      </c>
      <c r="H38807" s="185"/>
    </row>
    <row r="38808">
      <c r="D38808" s="185"/>
      <c r="E38808" s="185" t="s">
        <v>470</v>
      </c>
      <c r="H38808" s="185"/>
    </row>
    <row r="38809">
      <c r="D38809" s="185"/>
      <c r="E38809" s="185" t="s">
        <v>470</v>
      </c>
      <c r="H38809" s="185"/>
    </row>
    <row r="38810">
      <c r="D38810" s="185"/>
      <c r="E38810" s="185" t="s">
        <v>470</v>
      </c>
      <c r="H38810" s="185"/>
    </row>
    <row r="38811">
      <c r="D38811" s="185"/>
      <c r="E38811" s="185" t="s">
        <v>470</v>
      </c>
      <c r="H38811" s="185"/>
    </row>
    <row r="38812">
      <c r="D38812" s="185"/>
      <c r="E38812" s="185" t="s">
        <v>470</v>
      </c>
      <c r="H38812" s="185"/>
    </row>
    <row r="38813">
      <c r="D38813" s="185"/>
      <c r="E38813" s="185" t="s">
        <v>470</v>
      </c>
      <c r="H38813" s="185"/>
    </row>
    <row r="38814">
      <c r="D38814" s="185"/>
      <c r="E38814" s="185" t="s">
        <v>470</v>
      </c>
      <c r="H38814" s="185"/>
    </row>
    <row r="38815">
      <c r="D38815" s="185"/>
      <c r="E38815" s="185" t="s">
        <v>470</v>
      </c>
      <c r="H38815" s="185"/>
    </row>
    <row r="38816">
      <c r="D38816" s="185"/>
      <c r="E38816" s="185" t="s">
        <v>470</v>
      </c>
      <c r="H38816" s="185"/>
    </row>
    <row r="38817">
      <c r="D38817" s="185"/>
      <c r="E38817" s="185" t="s">
        <v>470</v>
      </c>
      <c r="H38817" s="185"/>
    </row>
    <row r="38818">
      <c r="D38818" s="185"/>
      <c r="E38818" s="185" t="s">
        <v>470</v>
      </c>
      <c r="H38818" s="185"/>
    </row>
    <row r="38819">
      <c r="D38819" s="185"/>
      <c r="E38819" s="185" t="s">
        <v>470</v>
      </c>
      <c r="H38819" s="185"/>
    </row>
    <row r="38820">
      <c r="D38820" s="185"/>
      <c r="E38820" s="185" t="s">
        <v>470</v>
      </c>
      <c r="H38820" s="185"/>
    </row>
    <row r="38821">
      <c r="D38821" s="185"/>
      <c r="E38821" s="185" t="s">
        <v>470</v>
      </c>
      <c r="H38821" s="185"/>
    </row>
    <row r="38822">
      <c r="D38822" s="185"/>
      <c r="E38822" s="185" t="s">
        <v>470</v>
      </c>
      <c r="H38822" s="185"/>
    </row>
    <row r="38823">
      <c r="D38823" s="185"/>
      <c r="E38823" s="185" t="s">
        <v>470</v>
      </c>
      <c r="H38823" s="185"/>
    </row>
    <row r="38824">
      <c r="D38824" s="185"/>
      <c r="E38824" s="185" t="s">
        <v>470</v>
      </c>
      <c r="H38824" s="185"/>
    </row>
    <row r="38825">
      <c r="D38825" s="185"/>
      <c r="E38825" s="185" t="s">
        <v>470</v>
      </c>
      <c r="H38825" s="185"/>
    </row>
    <row r="38826">
      <c r="D38826" s="185"/>
      <c r="E38826" s="185" t="s">
        <v>470</v>
      </c>
      <c r="H38826" s="185"/>
    </row>
    <row r="38827">
      <c r="D38827" s="185"/>
      <c r="E38827" s="185" t="s">
        <v>470</v>
      </c>
      <c r="H38827" s="185"/>
    </row>
    <row r="38828">
      <c r="D38828" s="185"/>
      <c r="E38828" s="185" t="s">
        <v>470</v>
      </c>
      <c r="H38828" s="185"/>
    </row>
    <row r="38829">
      <c r="D38829" s="185"/>
      <c r="E38829" s="185" t="s">
        <v>470</v>
      </c>
      <c r="H38829" s="185"/>
    </row>
    <row r="38830">
      <c r="D38830" s="185"/>
      <c r="E38830" s="185" t="s">
        <v>470</v>
      </c>
      <c r="H38830" s="185"/>
    </row>
    <row r="38831">
      <c r="D38831" s="185"/>
      <c r="E38831" s="185" t="s">
        <v>470</v>
      </c>
      <c r="H38831" s="185"/>
    </row>
    <row r="38832">
      <c r="D38832" s="185"/>
      <c r="E38832" s="185" t="s">
        <v>470</v>
      </c>
      <c r="H38832" s="185"/>
    </row>
    <row r="38833">
      <c r="D38833" s="185"/>
      <c r="E38833" s="185" t="s">
        <v>470</v>
      </c>
      <c r="H38833" s="185"/>
    </row>
    <row r="38834">
      <c r="D38834" s="185"/>
      <c r="E38834" s="185" t="s">
        <v>470</v>
      </c>
      <c r="H38834" s="185"/>
    </row>
    <row r="38835">
      <c r="D38835" s="185"/>
      <c r="E38835" s="185" t="s">
        <v>470</v>
      </c>
      <c r="H38835" s="185"/>
    </row>
    <row r="38836">
      <c r="D38836" s="185"/>
      <c r="E38836" s="185" t="s">
        <v>470</v>
      </c>
      <c r="H38836" s="185"/>
    </row>
    <row r="38837">
      <c r="D38837" s="185"/>
      <c r="E38837" s="185" t="s">
        <v>470</v>
      </c>
      <c r="H38837" s="185"/>
    </row>
    <row r="38838">
      <c r="D38838" s="185"/>
      <c r="E38838" s="185" t="s">
        <v>470</v>
      </c>
      <c r="H38838" s="185"/>
    </row>
    <row r="38839">
      <c r="D38839" s="185"/>
      <c r="E38839" s="185" t="s">
        <v>470</v>
      </c>
      <c r="H38839" s="185"/>
    </row>
    <row r="38840">
      <c r="D38840" s="185"/>
      <c r="E38840" s="185" t="s">
        <v>470</v>
      </c>
      <c r="H38840" s="185"/>
    </row>
    <row r="38841">
      <c r="D38841" s="185"/>
      <c r="E38841" s="185" t="s">
        <v>470</v>
      </c>
      <c r="H38841" s="185"/>
    </row>
    <row r="38842">
      <c r="D38842" s="185"/>
      <c r="E38842" s="185" t="s">
        <v>470</v>
      </c>
      <c r="H38842" s="185"/>
    </row>
    <row r="38843">
      <c r="D38843" s="185"/>
      <c r="E38843" s="185" t="s">
        <v>470</v>
      </c>
      <c r="H38843" s="185"/>
    </row>
    <row r="38844">
      <c r="D38844" s="185"/>
      <c r="E38844" s="185" t="s">
        <v>470</v>
      </c>
      <c r="H38844" s="185"/>
    </row>
    <row r="38845">
      <c r="D38845" s="185"/>
      <c r="E38845" s="185" t="s">
        <v>470</v>
      </c>
      <c r="H38845" s="185"/>
    </row>
    <row r="38846">
      <c r="D38846" s="185"/>
      <c r="E38846" s="185" t="s">
        <v>470</v>
      </c>
      <c r="H38846" s="185"/>
    </row>
    <row r="38847">
      <c r="D38847" s="185"/>
      <c r="E38847" s="185" t="s">
        <v>470</v>
      </c>
      <c r="H38847" s="185"/>
    </row>
    <row r="38848">
      <c r="D38848" s="185"/>
      <c r="E38848" s="185" t="s">
        <v>470</v>
      </c>
      <c r="H38848" s="185"/>
    </row>
    <row r="38849">
      <c r="D38849" s="185"/>
      <c r="E38849" s="185" t="s">
        <v>470</v>
      </c>
      <c r="H38849" s="185"/>
    </row>
    <row r="38850">
      <c r="D38850" s="185"/>
      <c r="E38850" s="185" t="s">
        <v>470</v>
      </c>
      <c r="H38850" s="185"/>
    </row>
    <row r="38851">
      <c r="D38851" s="185"/>
      <c r="E38851" s="185" t="s">
        <v>470</v>
      </c>
      <c r="H38851" s="185"/>
    </row>
    <row r="38852">
      <c r="D38852" s="185"/>
      <c r="E38852" s="185" t="s">
        <v>470</v>
      </c>
      <c r="H38852" s="185"/>
    </row>
    <row r="38853">
      <c r="D38853" s="185"/>
      <c r="E38853" s="185" t="s">
        <v>470</v>
      </c>
      <c r="H38853" s="185"/>
    </row>
    <row r="38854">
      <c r="D38854" s="185"/>
      <c r="E38854" s="185" t="s">
        <v>470</v>
      </c>
      <c r="H38854" s="185"/>
    </row>
    <row r="38855">
      <c r="D38855" s="185"/>
      <c r="E38855" s="185" t="s">
        <v>470</v>
      </c>
      <c r="H38855" s="185"/>
    </row>
    <row r="38856">
      <c r="D38856" s="185"/>
      <c r="E38856" s="185" t="s">
        <v>470</v>
      </c>
      <c r="H38856" s="185"/>
    </row>
    <row r="38857">
      <c r="D38857" s="185"/>
      <c r="E38857" s="185" t="s">
        <v>470</v>
      </c>
      <c r="H38857" s="185"/>
    </row>
    <row r="38858">
      <c r="D38858" s="185"/>
      <c r="E38858" s="185" t="s">
        <v>470</v>
      </c>
      <c r="H38858" s="185"/>
    </row>
    <row r="38859">
      <c r="D38859" s="185"/>
      <c r="E38859" s="185" t="s">
        <v>470</v>
      </c>
      <c r="H38859" s="185"/>
    </row>
    <row r="38860">
      <c r="D38860" s="185"/>
      <c r="E38860" s="185" t="s">
        <v>470</v>
      </c>
      <c r="H38860" s="185"/>
    </row>
    <row r="38861">
      <c r="D38861" s="185"/>
      <c r="E38861" s="185" t="s">
        <v>470</v>
      </c>
      <c r="H38861" s="185"/>
    </row>
    <row r="38862">
      <c r="D38862" s="185"/>
      <c r="E38862" s="185" t="s">
        <v>470</v>
      </c>
      <c r="H38862" s="185"/>
    </row>
    <row r="38863">
      <c r="D38863" s="185"/>
      <c r="E38863" s="185" t="s">
        <v>470</v>
      </c>
      <c r="H38863" s="185"/>
    </row>
    <row r="38864">
      <c r="D38864" s="185"/>
      <c r="E38864" s="185" t="s">
        <v>470</v>
      </c>
      <c r="H38864" s="185"/>
    </row>
    <row r="38865">
      <c r="D38865" s="185"/>
      <c r="E38865" s="185" t="s">
        <v>470</v>
      </c>
      <c r="H38865" s="185"/>
    </row>
    <row r="38866">
      <c r="D38866" s="185"/>
      <c r="E38866" s="185" t="s">
        <v>470</v>
      </c>
      <c r="H38866" s="185"/>
    </row>
    <row r="38867">
      <c r="D38867" s="185"/>
      <c r="E38867" s="185" t="s">
        <v>470</v>
      </c>
      <c r="H38867" s="185"/>
    </row>
    <row r="38868">
      <c r="D38868" s="185"/>
      <c r="E38868" s="185" t="s">
        <v>470</v>
      </c>
      <c r="H38868" s="185"/>
    </row>
    <row r="38869">
      <c r="D38869" s="185"/>
      <c r="E38869" s="185" t="s">
        <v>470</v>
      </c>
      <c r="H38869" s="185"/>
    </row>
    <row r="38870">
      <c r="D38870" s="185"/>
      <c r="E38870" s="185" t="s">
        <v>470</v>
      </c>
      <c r="H38870" s="185"/>
    </row>
    <row r="38871">
      <c r="D38871" s="185"/>
      <c r="E38871" s="185" t="s">
        <v>470</v>
      </c>
      <c r="H38871" s="185"/>
    </row>
    <row r="38872">
      <c r="D38872" s="185"/>
      <c r="E38872" s="185" t="s">
        <v>470</v>
      </c>
      <c r="H38872" s="185"/>
    </row>
    <row r="38873">
      <c r="D38873" s="185"/>
      <c r="E38873" s="185" t="s">
        <v>470</v>
      </c>
      <c r="H38873" s="185"/>
    </row>
    <row r="38874">
      <c r="D38874" s="185"/>
      <c r="E38874" s="185" t="s">
        <v>470</v>
      </c>
      <c r="H38874" s="185"/>
    </row>
    <row r="38875">
      <c r="D38875" s="185"/>
      <c r="E38875" s="185" t="s">
        <v>470</v>
      </c>
      <c r="H38875" s="185"/>
    </row>
    <row r="38876">
      <c r="D38876" s="185"/>
      <c r="E38876" s="185" t="s">
        <v>470</v>
      </c>
      <c r="H38876" s="185"/>
    </row>
    <row r="38877">
      <c r="D38877" s="185"/>
      <c r="E38877" s="185" t="s">
        <v>470</v>
      </c>
      <c r="H38877" s="185"/>
    </row>
    <row r="38878">
      <c r="D38878" s="185"/>
      <c r="E38878" s="185" t="s">
        <v>470</v>
      </c>
      <c r="H38878" s="185"/>
    </row>
    <row r="38879">
      <c r="D38879" s="185"/>
      <c r="E38879" s="185" t="s">
        <v>470</v>
      </c>
      <c r="H38879" s="185"/>
    </row>
    <row r="38880">
      <c r="D38880" s="185"/>
      <c r="E38880" s="185" t="s">
        <v>470</v>
      </c>
      <c r="H38880" s="185"/>
    </row>
    <row r="38881">
      <c r="D38881" s="185"/>
      <c r="E38881" s="185" t="s">
        <v>470</v>
      </c>
      <c r="H38881" s="185"/>
    </row>
    <row r="38882">
      <c r="D38882" s="185"/>
      <c r="E38882" s="185" t="s">
        <v>470</v>
      </c>
      <c r="H38882" s="185"/>
    </row>
    <row r="38883">
      <c r="D38883" s="185"/>
      <c r="E38883" s="185" t="s">
        <v>470</v>
      </c>
      <c r="H38883" s="185"/>
    </row>
    <row r="38884">
      <c r="D38884" s="185"/>
      <c r="E38884" s="185" t="s">
        <v>470</v>
      </c>
      <c r="H38884" s="185"/>
    </row>
    <row r="38885">
      <c r="D38885" s="185"/>
      <c r="E38885" s="185" t="s">
        <v>470</v>
      </c>
      <c r="H38885" s="185"/>
    </row>
    <row r="38886">
      <c r="D38886" s="185"/>
      <c r="E38886" s="185" t="s">
        <v>470</v>
      </c>
      <c r="H38886" s="185"/>
    </row>
    <row r="38887">
      <c r="D38887" s="185"/>
      <c r="E38887" s="185" t="s">
        <v>470</v>
      </c>
      <c r="H38887" s="185"/>
    </row>
    <row r="38888">
      <c r="D38888" s="185"/>
      <c r="E38888" s="185" t="s">
        <v>470</v>
      </c>
      <c r="H38888" s="185"/>
    </row>
    <row r="38889">
      <c r="D38889" s="185"/>
      <c r="E38889" s="185" t="s">
        <v>470</v>
      </c>
      <c r="H38889" s="185"/>
    </row>
    <row r="38890">
      <c r="D38890" s="185"/>
      <c r="E38890" s="185" t="s">
        <v>470</v>
      </c>
      <c r="H38890" s="185"/>
    </row>
    <row r="38891">
      <c r="D38891" s="185"/>
      <c r="E38891" s="185" t="s">
        <v>470</v>
      </c>
      <c r="H38891" s="185"/>
    </row>
    <row r="38892">
      <c r="D38892" s="185"/>
      <c r="E38892" s="185" t="s">
        <v>470</v>
      </c>
      <c r="H38892" s="185"/>
    </row>
    <row r="38893">
      <c r="D38893" s="185"/>
      <c r="E38893" s="185" t="s">
        <v>470</v>
      </c>
      <c r="H38893" s="185"/>
    </row>
    <row r="38894">
      <c r="D38894" s="185"/>
      <c r="E38894" s="185" t="s">
        <v>470</v>
      </c>
      <c r="H38894" s="185"/>
    </row>
    <row r="38895">
      <c r="D38895" s="185"/>
      <c r="E38895" s="185" t="s">
        <v>470</v>
      </c>
      <c r="H38895" s="185"/>
    </row>
    <row r="38896">
      <c r="D38896" s="185"/>
      <c r="E38896" s="185" t="s">
        <v>470</v>
      </c>
      <c r="H38896" s="185"/>
    </row>
    <row r="38897">
      <c r="D38897" s="185"/>
      <c r="E38897" s="185" t="s">
        <v>470</v>
      </c>
      <c r="H38897" s="185"/>
    </row>
    <row r="38898">
      <c r="D38898" s="185"/>
      <c r="E38898" s="185" t="s">
        <v>470</v>
      </c>
      <c r="H38898" s="185"/>
    </row>
    <row r="38899">
      <c r="D38899" s="185"/>
      <c r="E38899" s="185" t="s">
        <v>470</v>
      </c>
      <c r="H38899" s="185"/>
    </row>
    <row r="38900">
      <c r="D38900" s="185"/>
      <c r="E38900" s="185" t="s">
        <v>470</v>
      </c>
      <c r="H38900" s="185"/>
    </row>
    <row r="38901">
      <c r="D38901" s="185"/>
      <c r="E38901" s="185" t="s">
        <v>470</v>
      </c>
      <c r="H38901" s="185"/>
    </row>
    <row r="38902">
      <c r="D38902" s="185"/>
      <c r="E38902" s="185" t="s">
        <v>470</v>
      </c>
      <c r="H38902" s="185"/>
    </row>
    <row r="38903">
      <c r="D38903" s="185"/>
      <c r="E38903" s="185" t="s">
        <v>470</v>
      </c>
      <c r="H38903" s="185"/>
    </row>
    <row r="38904">
      <c r="D38904" s="185"/>
      <c r="E38904" s="185" t="s">
        <v>470</v>
      </c>
      <c r="H38904" s="185"/>
    </row>
    <row r="38905">
      <c r="D38905" s="185"/>
      <c r="E38905" s="185" t="s">
        <v>470</v>
      </c>
      <c r="H38905" s="185"/>
    </row>
    <row r="38906">
      <c r="D38906" s="185"/>
      <c r="E38906" s="185" t="s">
        <v>470</v>
      </c>
      <c r="H38906" s="185"/>
    </row>
    <row r="38907">
      <c r="D38907" s="185"/>
      <c r="E38907" s="185" t="s">
        <v>470</v>
      </c>
      <c r="H38907" s="185"/>
    </row>
    <row r="38908">
      <c r="D38908" s="185"/>
      <c r="E38908" s="185" t="s">
        <v>470</v>
      </c>
      <c r="H38908" s="185"/>
    </row>
    <row r="38909">
      <c r="D38909" s="185"/>
      <c r="E38909" s="185" t="s">
        <v>470</v>
      </c>
      <c r="H38909" s="185"/>
    </row>
    <row r="38910">
      <c r="D38910" s="185"/>
      <c r="E38910" s="185" t="s">
        <v>470</v>
      </c>
      <c r="H38910" s="185"/>
    </row>
    <row r="38911">
      <c r="D38911" s="185"/>
      <c r="E38911" s="185" t="s">
        <v>470</v>
      </c>
      <c r="H38911" s="185"/>
    </row>
    <row r="38912">
      <c r="D38912" s="185"/>
      <c r="E38912" s="185" t="s">
        <v>470</v>
      </c>
      <c r="H38912" s="185"/>
    </row>
    <row r="38913">
      <c r="D38913" s="185"/>
      <c r="E38913" s="185" t="s">
        <v>470</v>
      </c>
      <c r="H38913" s="185"/>
    </row>
    <row r="38914">
      <c r="D38914" s="185"/>
      <c r="E38914" s="185" t="s">
        <v>470</v>
      </c>
      <c r="H38914" s="185"/>
    </row>
    <row r="38915">
      <c r="D38915" s="185"/>
      <c r="E38915" s="185" t="s">
        <v>470</v>
      </c>
      <c r="H38915" s="185"/>
    </row>
    <row r="38916">
      <c r="D38916" s="185"/>
      <c r="E38916" s="185" t="s">
        <v>470</v>
      </c>
      <c r="H38916" s="185"/>
    </row>
    <row r="38917">
      <c r="D38917" s="185"/>
      <c r="E38917" s="185" t="s">
        <v>470</v>
      </c>
      <c r="H38917" s="185"/>
    </row>
    <row r="38918">
      <c r="D38918" s="185"/>
      <c r="E38918" s="185" t="s">
        <v>470</v>
      </c>
      <c r="H38918" s="185"/>
    </row>
    <row r="38919">
      <c r="D38919" s="185"/>
      <c r="E38919" s="185" t="s">
        <v>470</v>
      </c>
      <c r="H38919" s="185"/>
    </row>
    <row r="38920">
      <c r="D38920" s="185"/>
      <c r="E38920" s="185" t="s">
        <v>470</v>
      </c>
      <c r="H38920" s="185"/>
    </row>
    <row r="38921">
      <c r="D38921" s="185"/>
      <c r="E38921" s="185" t="s">
        <v>470</v>
      </c>
      <c r="H38921" s="185"/>
    </row>
    <row r="38922">
      <c r="D38922" s="185"/>
      <c r="E38922" s="185" t="s">
        <v>470</v>
      </c>
      <c r="H38922" s="185"/>
    </row>
    <row r="38923">
      <c r="D38923" s="185"/>
      <c r="E38923" s="185" t="s">
        <v>470</v>
      </c>
      <c r="H38923" s="185"/>
    </row>
    <row r="38924">
      <c r="D38924" s="185"/>
      <c r="E38924" s="185" t="s">
        <v>470</v>
      </c>
      <c r="H38924" s="185"/>
    </row>
    <row r="38925">
      <c r="D38925" s="185"/>
      <c r="E38925" s="185" t="s">
        <v>470</v>
      </c>
      <c r="H38925" s="185"/>
    </row>
    <row r="38926">
      <c r="D38926" s="185"/>
      <c r="E38926" s="185" t="s">
        <v>470</v>
      </c>
      <c r="H38926" s="185"/>
    </row>
    <row r="38927">
      <c r="D38927" s="185"/>
      <c r="E38927" s="185" t="s">
        <v>470</v>
      </c>
      <c r="H38927" s="185"/>
    </row>
    <row r="38928">
      <c r="D38928" s="185"/>
      <c r="E38928" s="185" t="s">
        <v>470</v>
      </c>
      <c r="H38928" s="185"/>
    </row>
    <row r="38929">
      <c r="D38929" s="185"/>
      <c r="E38929" s="185" t="s">
        <v>470</v>
      </c>
      <c r="H38929" s="185"/>
    </row>
    <row r="38930">
      <c r="D38930" s="185"/>
      <c r="E38930" s="185" t="s">
        <v>470</v>
      </c>
      <c r="H38930" s="185"/>
    </row>
    <row r="38931">
      <c r="D38931" s="185"/>
      <c r="E38931" s="185" t="s">
        <v>470</v>
      </c>
      <c r="H38931" s="185"/>
    </row>
    <row r="38932">
      <c r="D38932" s="185"/>
      <c r="E38932" s="185" t="s">
        <v>470</v>
      </c>
      <c r="H38932" s="185"/>
    </row>
    <row r="38933">
      <c r="D38933" s="185"/>
      <c r="E38933" s="185" t="s">
        <v>470</v>
      </c>
      <c r="H38933" s="185"/>
    </row>
    <row r="38934">
      <c r="D38934" s="185"/>
      <c r="E38934" s="185" t="s">
        <v>470</v>
      </c>
      <c r="H38934" s="185"/>
    </row>
    <row r="38935">
      <c r="D38935" s="185"/>
      <c r="E38935" s="185" t="s">
        <v>470</v>
      </c>
      <c r="H38935" s="185"/>
    </row>
    <row r="38936">
      <c r="D38936" s="185"/>
      <c r="E38936" s="185" t="s">
        <v>470</v>
      </c>
      <c r="H38936" s="185"/>
    </row>
    <row r="38937">
      <c r="D38937" s="185"/>
      <c r="E38937" s="185" t="s">
        <v>470</v>
      </c>
      <c r="H38937" s="185"/>
    </row>
    <row r="38938">
      <c r="D38938" s="185"/>
      <c r="E38938" s="185" t="s">
        <v>470</v>
      </c>
      <c r="H38938" s="185"/>
    </row>
    <row r="38939">
      <c r="D38939" s="185"/>
      <c r="E38939" s="185" t="s">
        <v>470</v>
      </c>
      <c r="H38939" s="185"/>
    </row>
    <row r="38940">
      <c r="D38940" s="185"/>
      <c r="E38940" s="185" t="s">
        <v>470</v>
      </c>
      <c r="H38940" s="185"/>
    </row>
    <row r="38941">
      <c r="D38941" s="185"/>
      <c r="E38941" s="185" t="s">
        <v>470</v>
      </c>
      <c r="H38941" s="185"/>
    </row>
    <row r="38942">
      <c r="D38942" s="185"/>
      <c r="E38942" s="185" t="s">
        <v>470</v>
      </c>
      <c r="H38942" s="185"/>
    </row>
    <row r="38943">
      <c r="D38943" s="185"/>
      <c r="E38943" s="185" t="s">
        <v>470</v>
      </c>
      <c r="H38943" s="185"/>
    </row>
    <row r="38944">
      <c r="D38944" s="185"/>
      <c r="E38944" s="185" t="s">
        <v>470</v>
      </c>
      <c r="H38944" s="185"/>
    </row>
    <row r="38945">
      <c r="D38945" s="185"/>
      <c r="E38945" s="185" t="s">
        <v>470</v>
      </c>
      <c r="H38945" s="185"/>
    </row>
    <row r="38946">
      <c r="D38946" s="185"/>
      <c r="E38946" s="185" t="s">
        <v>470</v>
      </c>
      <c r="H38946" s="185"/>
    </row>
    <row r="38947">
      <c r="D38947" s="185"/>
      <c r="E38947" s="185" t="s">
        <v>470</v>
      </c>
      <c r="H38947" s="185"/>
    </row>
    <row r="38948">
      <c r="D38948" s="185"/>
      <c r="E38948" s="185" t="s">
        <v>470</v>
      </c>
      <c r="H38948" s="185"/>
    </row>
    <row r="38949">
      <c r="D38949" s="185"/>
      <c r="E38949" s="185" t="s">
        <v>470</v>
      </c>
      <c r="H38949" s="185"/>
    </row>
    <row r="38950">
      <c r="D38950" s="185"/>
      <c r="E38950" s="185" t="s">
        <v>470</v>
      </c>
      <c r="H38950" s="185"/>
    </row>
    <row r="38951">
      <c r="D38951" s="185"/>
      <c r="E38951" s="185" t="s">
        <v>470</v>
      </c>
      <c r="H38951" s="185"/>
    </row>
    <row r="38952">
      <c r="D38952" s="185"/>
      <c r="E38952" s="185" t="s">
        <v>470</v>
      </c>
      <c r="H38952" s="185"/>
    </row>
    <row r="38953">
      <c r="D38953" s="185"/>
      <c r="E38953" s="185" t="s">
        <v>470</v>
      </c>
      <c r="H38953" s="185"/>
    </row>
    <row r="38954">
      <c r="D38954" s="185"/>
      <c r="E38954" s="185" t="s">
        <v>470</v>
      </c>
      <c r="H38954" s="185"/>
    </row>
    <row r="38955">
      <c r="D38955" s="185"/>
      <c r="E38955" s="185" t="s">
        <v>470</v>
      </c>
      <c r="H38955" s="185"/>
    </row>
    <row r="38956">
      <c r="D38956" s="185"/>
      <c r="E38956" s="185" t="s">
        <v>470</v>
      </c>
      <c r="H38956" s="185"/>
    </row>
    <row r="38957">
      <c r="D38957" s="185"/>
      <c r="E38957" s="185" t="s">
        <v>470</v>
      </c>
      <c r="H38957" s="185"/>
    </row>
    <row r="38958">
      <c r="D38958" s="185"/>
      <c r="E38958" s="185" t="s">
        <v>470</v>
      </c>
      <c r="H38958" s="185"/>
    </row>
    <row r="38959">
      <c r="D38959" s="185"/>
      <c r="E38959" s="185" t="s">
        <v>470</v>
      </c>
      <c r="H38959" s="185"/>
    </row>
    <row r="38960">
      <c r="D38960" s="185"/>
      <c r="E38960" s="185" t="s">
        <v>470</v>
      </c>
      <c r="H38960" s="185"/>
    </row>
    <row r="38961">
      <c r="D38961" s="185"/>
      <c r="E38961" s="185" t="s">
        <v>470</v>
      </c>
      <c r="H38961" s="185"/>
    </row>
    <row r="38962">
      <c r="D38962" s="185"/>
      <c r="E38962" s="185" t="s">
        <v>470</v>
      </c>
      <c r="H38962" s="185"/>
    </row>
    <row r="38963">
      <c r="D38963" s="185"/>
      <c r="E38963" s="185" t="s">
        <v>470</v>
      </c>
      <c r="H38963" s="185"/>
    </row>
    <row r="38964">
      <c r="D38964" s="185"/>
      <c r="E38964" s="185" t="s">
        <v>470</v>
      </c>
      <c r="H38964" s="185"/>
    </row>
    <row r="38965">
      <c r="D38965" s="185"/>
      <c r="E38965" s="185" t="s">
        <v>470</v>
      </c>
      <c r="H38965" s="185"/>
    </row>
    <row r="38966">
      <c r="D38966" s="185"/>
      <c r="E38966" s="185" t="s">
        <v>470</v>
      </c>
      <c r="H38966" s="185"/>
    </row>
    <row r="38967">
      <c r="D38967" s="185"/>
      <c r="E38967" s="185" t="s">
        <v>470</v>
      </c>
      <c r="H38967" s="185"/>
    </row>
    <row r="38968">
      <c r="D38968" s="185"/>
      <c r="E38968" s="185" t="s">
        <v>470</v>
      </c>
      <c r="H38968" s="185"/>
    </row>
    <row r="38969">
      <c r="D38969" s="185"/>
      <c r="E38969" s="185" t="s">
        <v>470</v>
      </c>
      <c r="H38969" s="185"/>
    </row>
    <row r="38970">
      <c r="D38970" s="185"/>
      <c r="E38970" s="185" t="s">
        <v>470</v>
      </c>
      <c r="H38970" s="185"/>
    </row>
    <row r="38971">
      <c r="D38971" s="185"/>
      <c r="E38971" s="185" t="s">
        <v>470</v>
      </c>
      <c r="H38971" s="185"/>
    </row>
    <row r="38972">
      <c r="D38972" s="185"/>
      <c r="E38972" s="185" t="s">
        <v>470</v>
      </c>
      <c r="H38972" s="185"/>
    </row>
    <row r="38973">
      <c r="D38973" s="185"/>
      <c r="E38973" s="185" t="s">
        <v>470</v>
      </c>
      <c r="H38973" s="185"/>
    </row>
    <row r="38974">
      <c r="D38974" s="185"/>
      <c r="E38974" s="185" t="s">
        <v>470</v>
      </c>
      <c r="H38974" s="185"/>
    </row>
    <row r="38975">
      <c r="D38975" s="185"/>
      <c r="E38975" s="185" t="s">
        <v>470</v>
      </c>
      <c r="H38975" s="185"/>
    </row>
    <row r="38976">
      <c r="D38976" s="185"/>
      <c r="E38976" s="185" t="s">
        <v>470</v>
      </c>
      <c r="H38976" s="185"/>
    </row>
    <row r="38977">
      <c r="D38977" s="185"/>
      <c r="E38977" s="185" t="s">
        <v>470</v>
      </c>
      <c r="H38977" s="185"/>
    </row>
    <row r="38978">
      <c r="D38978" s="185"/>
      <c r="E38978" s="185" t="s">
        <v>470</v>
      </c>
      <c r="H38978" s="185"/>
    </row>
    <row r="38979">
      <c r="D38979" s="185"/>
      <c r="E38979" s="185" t="s">
        <v>470</v>
      </c>
      <c r="H38979" s="185"/>
    </row>
    <row r="38980">
      <c r="D38980" s="185"/>
      <c r="E38980" s="185" t="s">
        <v>470</v>
      </c>
      <c r="H38980" s="185"/>
    </row>
    <row r="38981">
      <c r="D38981" s="185"/>
      <c r="E38981" s="185" t="s">
        <v>470</v>
      </c>
      <c r="H38981" s="185"/>
    </row>
    <row r="38982">
      <c r="D38982" s="185"/>
      <c r="E38982" s="185" t="s">
        <v>470</v>
      </c>
      <c r="H38982" s="185"/>
    </row>
    <row r="38983">
      <c r="D38983" s="185"/>
      <c r="E38983" s="185" t="s">
        <v>470</v>
      </c>
      <c r="H38983" s="185"/>
    </row>
    <row r="38984">
      <c r="D38984" s="185"/>
      <c r="E38984" s="185" t="s">
        <v>470</v>
      </c>
      <c r="H38984" s="185"/>
    </row>
    <row r="38985">
      <c r="D38985" s="185"/>
      <c r="E38985" s="185" t="s">
        <v>470</v>
      </c>
      <c r="H38985" s="185"/>
    </row>
    <row r="38986">
      <c r="D38986" s="185"/>
      <c r="E38986" s="185" t="s">
        <v>470</v>
      </c>
      <c r="H38986" s="185"/>
    </row>
    <row r="38987">
      <c r="D38987" s="185"/>
      <c r="E38987" s="185" t="s">
        <v>470</v>
      </c>
      <c r="H38987" s="185"/>
    </row>
    <row r="38988">
      <c r="D38988" s="185"/>
      <c r="E38988" s="185" t="s">
        <v>470</v>
      </c>
      <c r="H38988" s="185"/>
    </row>
    <row r="38989">
      <c r="D38989" s="185"/>
      <c r="E38989" s="185" t="s">
        <v>470</v>
      </c>
      <c r="H38989" s="185"/>
    </row>
    <row r="38990">
      <c r="D38990" s="185"/>
      <c r="E38990" s="185" t="s">
        <v>470</v>
      </c>
      <c r="H38990" s="185"/>
    </row>
    <row r="38991">
      <c r="D38991" s="185"/>
      <c r="E38991" s="185" t="s">
        <v>470</v>
      </c>
      <c r="H38991" s="185"/>
    </row>
    <row r="38992">
      <c r="D38992" s="185"/>
      <c r="E38992" s="185" t="s">
        <v>470</v>
      </c>
      <c r="H38992" s="185"/>
    </row>
    <row r="38993">
      <c r="D38993" s="185"/>
      <c r="E38993" s="185" t="s">
        <v>470</v>
      </c>
      <c r="H38993" s="185"/>
    </row>
    <row r="38994">
      <c r="D38994" s="185"/>
      <c r="E38994" s="185" t="s">
        <v>470</v>
      </c>
      <c r="H38994" s="185"/>
    </row>
    <row r="38995">
      <c r="D38995" s="185"/>
      <c r="E38995" s="185" t="s">
        <v>470</v>
      </c>
      <c r="H38995" s="185"/>
    </row>
    <row r="38996">
      <c r="D38996" s="185"/>
      <c r="E38996" s="185" t="s">
        <v>470</v>
      </c>
      <c r="H38996" s="185"/>
    </row>
    <row r="38997">
      <c r="D38997" s="185"/>
      <c r="E38997" s="185" t="s">
        <v>470</v>
      </c>
      <c r="H38997" s="185"/>
    </row>
    <row r="38998">
      <c r="D38998" s="185"/>
      <c r="E38998" s="185" t="s">
        <v>470</v>
      </c>
      <c r="H38998" s="185"/>
    </row>
    <row r="38999">
      <c r="D38999" s="185"/>
      <c r="E38999" s="185" t="s">
        <v>470</v>
      </c>
      <c r="H38999" s="185"/>
    </row>
    <row r="39000">
      <c r="D39000" s="185"/>
      <c r="E39000" s="185" t="s">
        <v>470</v>
      </c>
      <c r="H39000" s="185"/>
    </row>
    <row r="39001">
      <c r="D39001" s="185"/>
      <c r="E39001" s="185" t="s">
        <v>470</v>
      </c>
      <c r="H39001" s="185"/>
    </row>
    <row r="39002">
      <c r="D39002" s="185"/>
      <c r="E39002" s="185" t="s">
        <v>470</v>
      </c>
      <c r="H39002" s="185"/>
    </row>
    <row r="39003">
      <c r="D39003" s="185"/>
      <c r="E39003" s="185" t="s">
        <v>470</v>
      </c>
      <c r="H39003" s="185"/>
    </row>
    <row r="39004">
      <c r="D39004" s="185"/>
      <c r="E39004" s="185" t="s">
        <v>470</v>
      </c>
      <c r="H39004" s="185"/>
    </row>
    <row r="39005">
      <c r="D39005" s="185"/>
      <c r="E39005" s="185" t="s">
        <v>470</v>
      </c>
      <c r="H39005" s="185"/>
    </row>
    <row r="39006">
      <c r="D39006" s="185"/>
      <c r="E39006" s="185" t="s">
        <v>470</v>
      </c>
      <c r="H39006" s="185"/>
    </row>
    <row r="39007">
      <c r="D39007" s="185"/>
      <c r="E39007" s="185" t="s">
        <v>470</v>
      </c>
      <c r="H39007" s="185"/>
    </row>
    <row r="39008">
      <c r="D39008" s="185"/>
      <c r="E39008" s="185" t="s">
        <v>470</v>
      </c>
      <c r="H39008" s="185"/>
    </row>
    <row r="39009">
      <c r="D39009" s="185"/>
      <c r="E39009" s="185" t="s">
        <v>470</v>
      </c>
      <c r="H39009" s="185"/>
    </row>
    <row r="39010">
      <c r="D39010" s="185"/>
      <c r="E39010" s="185" t="s">
        <v>470</v>
      </c>
      <c r="H39010" s="185"/>
    </row>
    <row r="39011">
      <c r="D39011" s="185"/>
      <c r="E39011" s="185" t="s">
        <v>470</v>
      </c>
      <c r="H39011" s="185"/>
    </row>
    <row r="39012">
      <c r="D39012" s="185"/>
      <c r="E39012" s="185" t="s">
        <v>470</v>
      </c>
      <c r="H39012" s="185"/>
    </row>
    <row r="39013">
      <c r="D39013" s="185"/>
      <c r="E39013" s="185" t="s">
        <v>470</v>
      </c>
      <c r="H39013" s="185"/>
    </row>
    <row r="39014">
      <c r="D39014" s="185"/>
      <c r="E39014" s="185" t="s">
        <v>470</v>
      </c>
      <c r="H39014" s="185"/>
    </row>
    <row r="39015">
      <c r="D39015" s="185"/>
      <c r="E39015" s="185" t="s">
        <v>470</v>
      </c>
      <c r="H39015" s="185"/>
    </row>
    <row r="39016">
      <c r="D39016" s="185"/>
      <c r="E39016" s="185" t="s">
        <v>470</v>
      </c>
      <c r="H39016" s="185"/>
    </row>
    <row r="39017">
      <c r="D39017" s="185"/>
      <c r="E39017" s="185" t="s">
        <v>470</v>
      </c>
      <c r="H39017" s="185"/>
    </row>
    <row r="39018">
      <c r="D39018" s="185"/>
      <c r="E39018" s="185" t="s">
        <v>470</v>
      </c>
      <c r="H39018" s="185"/>
    </row>
    <row r="39019">
      <c r="D39019" s="185"/>
      <c r="E39019" s="185" t="s">
        <v>470</v>
      </c>
      <c r="H39019" s="185"/>
    </row>
    <row r="39020">
      <c r="D39020" s="185"/>
      <c r="E39020" s="185" t="s">
        <v>470</v>
      </c>
      <c r="H39020" s="185"/>
    </row>
    <row r="39021">
      <c r="D39021" s="185"/>
      <c r="E39021" s="185" t="s">
        <v>470</v>
      </c>
      <c r="H39021" s="185"/>
    </row>
    <row r="39022">
      <c r="D39022" s="185"/>
      <c r="E39022" s="185" t="s">
        <v>470</v>
      </c>
      <c r="H39022" s="185"/>
    </row>
    <row r="39023">
      <c r="D39023" s="185"/>
      <c r="E39023" s="185" t="s">
        <v>470</v>
      </c>
      <c r="H39023" s="185"/>
    </row>
    <row r="39024">
      <c r="D39024" s="185"/>
      <c r="E39024" s="185" t="s">
        <v>470</v>
      </c>
      <c r="H39024" s="185"/>
    </row>
    <row r="39025">
      <c r="D39025" s="185"/>
      <c r="E39025" s="185" t="s">
        <v>470</v>
      </c>
      <c r="H39025" s="185"/>
    </row>
    <row r="39026">
      <c r="D39026" s="185"/>
      <c r="E39026" s="185" t="s">
        <v>470</v>
      </c>
      <c r="H39026" s="185"/>
    </row>
    <row r="39027">
      <c r="D39027" s="185"/>
      <c r="E39027" s="185" t="s">
        <v>470</v>
      </c>
      <c r="H39027" s="185"/>
    </row>
    <row r="39028">
      <c r="D39028" s="185"/>
      <c r="E39028" s="185" t="s">
        <v>470</v>
      </c>
      <c r="H39028" s="185"/>
    </row>
    <row r="39029">
      <c r="D39029" s="185"/>
      <c r="E39029" s="185" t="s">
        <v>470</v>
      </c>
      <c r="H39029" s="185"/>
    </row>
    <row r="39030">
      <c r="D39030" s="185"/>
      <c r="E39030" s="185" t="s">
        <v>470</v>
      </c>
      <c r="H39030" s="185"/>
    </row>
    <row r="39031">
      <c r="D39031" s="185"/>
      <c r="E39031" s="185" t="s">
        <v>470</v>
      </c>
      <c r="H39031" s="185"/>
    </row>
    <row r="39032">
      <c r="D39032" s="185"/>
      <c r="E39032" s="185" t="s">
        <v>470</v>
      </c>
      <c r="H39032" s="185"/>
    </row>
    <row r="39033">
      <c r="D39033" s="185"/>
      <c r="E39033" s="185" t="s">
        <v>470</v>
      </c>
      <c r="H39033" s="185"/>
    </row>
    <row r="39034">
      <c r="D39034" s="185"/>
      <c r="E39034" s="185" t="s">
        <v>470</v>
      </c>
      <c r="H39034" s="185"/>
    </row>
    <row r="39035">
      <c r="D39035" s="185"/>
      <c r="E39035" s="185" t="s">
        <v>470</v>
      </c>
      <c r="H39035" s="185"/>
    </row>
    <row r="39036">
      <c r="D39036" s="185"/>
      <c r="E39036" s="185" t="s">
        <v>470</v>
      </c>
      <c r="H39036" s="185"/>
    </row>
    <row r="39037">
      <c r="D39037" s="185"/>
      <c r="E39037" s="185" t="s">
        <v>470</v>
      </c>
      <c r="H39037" s="185"/>
    </row>
    <row r="39038">
      <c r="D39038" s="185"/>
      <c r="E39038" s="185" t="s">
        <v>470</v>
      </c>
      <c r="H39038" s="185"/>
    </row>
    <row r="39039">
      <c r="D39039" s="185"/>
      <c r="E39039" s="185" t="s">
        <v>470</v>
      </c>
      <c r="H39039" s="185"/>
    </row>
    <row r="39040">
      <c r="D39040" s="185"/>
      <c r="E39040" s="185" t="s">
        <v>470</v>
      </c>
      <c r="H39040" s="185"/>
    </row>
    <row r="39041">
      <c r="D39041" s="185"/>
      <c r="E39041" s="185" t="s">
        <v>470</v>
      </c>
      <c r="H39041" s="185"/>
    </row>
    <row r="39042">
      <c r="D39042" s="185"/>
      <c r="E39042" s="185" t="s">
        <v>470</v>
      </c>
      <c r="H39042" s="185"/>
    </row>
    <row r="39043">
      <c r="D39043" s="185"/>
      <c r="E39043" s="185" t="s">
        <v>470</v>
      </c>
      <c r="H39043" s="185"/>
    </row>
    <row r="39044">
      <c r="D39044" s="185"/>
      <c r="E39044" s="185" t="s">
        <v>470</v>
      </c>
      <c r="H39044" s="185"/>
    </row>
    <row r="39045">
      <c r="D39045" s="185"/>
      <c r="E39045" s="185" t="s">
        <v>470</v>
      </c>
      <c r="H39045" s="185"/>
    </row>
    <row r="39046">
      <c r="D39046" s="185"/>
      <c r="E39046" s="185" t="s">
        <v>470</v>
      </c>
      <c r="H39046" s="185"/>
    </row>
    <row r="39047">
      <c r="D39047" s="185"/>
      <c r="E39047" s="185" t="s">
        <v>470</v>
      </c>
      <c r="H39047" s="185"/>
    </row>
    <row r="39048">
      <c r="D39048" s="185"/>
      <c r="E39048" s="185" t="s">
        <v>470</v>
      </c>
      <c r="H39048" s="185"/>
    </row>
    <row r="39049">
      <c r="D39049" s="185"/>
      <c r="E39049" s="185" t="s">
        <v>470</v>
      </c>
      <c r="H39049" s="185"/>
    </row>
    <row r="39050">
      <c r="D39050" s="185"/>
      <c r="E39050" s="185" t="s">
        <v>470</v>
      </c>
      <c r="H39050" s="185"/>
    </row>
    <row r="39051">
      <c r="D39051" s="185"/>
      <c r="E39051" s="185" t="s">
        <v>470</v>
      </c>
      <c r="H39051" s="185"/>
    </row>
    <row r="39052">
      <c r="D39052" s="185"/>
      <c r="E39052" s="185" t="s">
        <v>470</v>
      </c>
      <c r="H39052" s="185"/>
    </row>
    <row r="39053">
      <c r="D39053" s="185"/>
      <c r="E39053" s="185" t="s">
        <v>470</v>
      </c>
      <c r="H39053" s="185"/>
    </row>
    <row r="39054">
      <c r="D39054" s="185"/>
      <c r="E39054" s="185" t="s">
        <v>470</v>
      </c>
      <c r="H39054" s="185"/>
    </row>
    <row r="39055">
      <c r="D39055" s="185"/>
      <c r="E39055" s="185" t="s">
        <v>470</v>
      </c>
      <c r="H39055" s="185"/>
    </row>
    <row r="39056">
      <c r="D39056" s="185"/>
      <c r="E39056" s="185" t="s">
        <v>470</v>
      </c>
      <c r="H39056" s="185"/>
    </row>
    <row r="39057">
      <c r="D39057" s="185"/>
      <c r="E39057" s="185" t="s">
        <v>470</v>
      </c>
      <c r="H39057" s="185"/>
    </row>
    <row r="39058">
      <c r="D39058" s="185"/>
      <c r="E39058" s="185" t="s">
        <v>470</v>
      </c>
      <c r="H39058" s="185"/>
    </row>
    <row r="39059">
      <c r="D39059" s="185"/>
      <c r="E39059" s="185" t="s">
        <v>470</v>
      </c>
      <c r="H39059" s="185"/>
    </row>
    <row r="39060">
      <c r="D39060" s="185"/>
      <c r="E39060" s="185" t="s">
        <v>470</v>
      </c>
      <c r="H39060" s="185"/>
    </row>
    <row r="39061">
      <c r="D39061" s="185"/>
      <c r="E39061" s="185" t="s">
        <v>470</v>
      </c>
      <c r="H39061" s="185"/>
    </row>
    <row r="39062">
      <c r="D39062" s="185"/>
      <c r="E39062" s="185" t="s">
        <v>470</v>
      </c>
      <c r="H39062" s="185"/>
    </row>
    <row r="39063">
      <c r="D39063" s="185"/>
      <c r="E39063" s="185" t="s">
        <v>470</v>
      </c>
      <c r="H39063" s="185"/>
    </row>
    <row r="39064">
      <c r="D39064" s="185"/>
      <c r="E39064" s="185" t="s">
        <v>470</v>
      </c>
      <c r="H39064" s="185"/>
    </row>
    <row r="39065">
      <c r="D39065" s="185"/>
      <c r="E39065" s="185" t="s">
        <v>470</v>
      </c>
      <c r="H39065" s="185"/>
    </row>
    <row r="39066">
      <c r="D39066" s="185"/>
      <c r="E39066" s="185" t="s">
        <v>470</v>
      </c>
      <c r="H39066" s="185"/>
    </row>
    <row r="39067">
      <c r="D39067" s="185"/>
      <c r="E39067" s="185" t="s">
        <v>470</v>
      </c>
      <c r="H39067" s="185"/>
    </row>
    <row r="39068">
      <c r="D39068" s="185"/>
      <c r="E39068" s="185" t="s">
        <v>470</v>
      </c>
      <c r="H39068" s="185"/>
    </row>
    <row r="39069">
      <c r="D39069" s="185"/>
      <c r="E39069" s="185" t="s">
        <v>470</v>
      </c>
      <c r="H39069" s="185"/>
    </row>
    <row r="39070">
      <c r="D39070" s="185"/>
      <c r="E39070" s="185" t="s">
        <v>470</v>
      </c>
      <c r="H39070" s="185"/>
    </row>
    <row r="39071">
      <c r="D39071" s="185"/>
      <c r="E39071" s="185" t="s">
        <v>470</v>
      </c>
      <c r="H39071" s="185"/>
    </row>
    <row r="39072">
      <c r="D39072" s="185"/>
      <c r="E39072" s="185" t="s">
        <v>470</v>
      </c>
      <c r="H39072" s="185"/>
    </row>
    <row r="39073">
      <c r="D39073" s="185"/>
      <c r="E39073" s="185" t="s">
        <v>470</v>
      </c>
      <c r="H39073" s="185"/>
    </row>
    <row r="39074">
      <c r="D39074" s="185"/>
      <c r="E39074" s="185" t="s">
        <v>470</v>
      </c>
      <c r="H39074" s="185"/>
    </row>
    <row r="39075">
      <c r="D39075" s="185"/>
      <c r="E39075" s="185" t="s">
        <v>470</v>
      </c>
      <c r="H39075" s="185"/>
    </row>
    <row r="39076">
      <c r="D39076" s="185"/>
      <c r="E39076" s="185" t="s">
        <v>470</v>
      </c>
      <c r="H39076" s="185"/>
    </row>
    <row r="39077">
      <c r="D39077" s="185"/>
      <c r="E39077" s="185" t="s">
        <v>470</v>
      </c>
      <c r="H39077" s="185"/>
    </row>
    <row r="39078">
      <c r="D39078" s="185"/>
      <c r="E39078" s="185" t="s">
        <v>470</v>
      </c>
      <c r="H39078" s="185"/>
    </row>
    <row r="39079">
      <c r="D39079" s="185"/>
      <c r="E39079" s="185" t="s">
        <v>470</v>
      </c>
      <c r="H39079" s="185"/>
    </row>
    <row r="39080">
      <c r="D39080" s="185"/>
      <c r="E39080" s="185" t="s">
        <v>470</v>
      </c>
      <c r="H39080" s="185"/>
    </row>
    <row r="39081">
      <c r="D39081" s="185"/>
      <c r="E39081" s="185" t="s">
        <v>470</v>
      </c>
      <c r="H39081" s="185"/>
    </row>
    <row r="39082">
      <c r="D39082" s="185"/>
      <c r="E39082" s="185" t="s">
        <v>470</v>
      </c>
      <c r="H39082" s="185"/>
    </row>
    <row r="39083">
      <c r="D39083" s="185"/>
      <c r="E39083" s="185" t="s">
        <v>470</v>
      </c>
      <c r="H39083" s="185"/>
    </row>
    <row r="39084">
      <c r="D39084" s="185"/>
      <c r="E39084" s="185" t="s">
        <v>470</v>
      </c>
      <c r="H39084" s="185"/>
    </row>
    <row r="39085">
      <c r="D39085" s="185"/>
      <c r="E39085" s="185" t="s">
        <v>470</v>
      </c>
      <c r="H39085" s="185"/>
    </row>
    <row r="39086">
      <c r="D39086" s="185"/>
      <c r="E39086" s="185" t="s">
        <v>470</v>
      </c>
      <c r="H39086" s="185"/>
    </row>
    <row r="39087">
      <c r="D39087" s="185"/>
      <c r="E39087" s="185" t="s">
        <v>470</v>
      </c>
      <c r="H39087" s="185"/>
    </row>
    <row r="39088">
      <c r="D39088" s="185"/>
      <c r="E39088" s="185" t="s">
        <v>470</v>
      </c>
      <c r="H39088" s="185"/>
    </row>
    <row r="39089">
      <c r="D39089" s="185"/>
      <c r="E39089" s="185" t="s">
        <v>470</v>
      </c>
      <c r="H39089" s="185"/>
    </row>
    <row r="39090">
      <c r="D39090" s="185"/>
      <c r="E39090" s="185" t="s">
        <v>470</v>
      </c>
      <c r="H39090" s="185"/>
    </row>
    <row r="39091">
      <c r="D39091" s="185"/>
      <c r="E39091" s="185" t="s">
        <v>470</v>
      </c>
      <c r="H39091" s="185"/>
    </row>
    <row r="39092">
      <c r="D39092" s="185"/>
      <c r="E39092" s="185" t="s">
        <v>470</v>
      </c>
      <c r="H39092" s="185"/>
    </row>
    <row r="39093">
      <c r="D39093" s="185"/>
      <c r="E39093" s="185" t="s">
        <v>470</v>
      </c>
      <c r="H39093" s="185"/>
    </row>
    <row r="39094">
      <c r="D39094" s="185"/>
      <c r="E39094" s="185" t="s">
        <v>470</v>
      </c>
      <c r="H39094" s="185"/>
    </row>
    <row r="39095">
      <c r="D39095" s="185"/>
      <c r="E39095" s="185" t="s">
        <v>470</v>
      </c>
      <c r="H39095" s="185"/>
    </row>
    <row r="39096">
      <c r="D39096" s="185"/>
      <c r="E39096" s="185" t="s">
        <v>470</v>
      </c>
      <c r="H39096" s="185"/>
    </row>
    <row r="39097">
      <c r="D39097" s="185"/>
      <c r="E39097" s="185" t="s">
        <v>470</v>
      </c>
      <c r="H39097" s="185"/>
    </row>
    <row r="39098">
      <c r="D39098" s="185"/>
      <c r="E39098" s="185" t="s">
        <v>470</v>
      </c>
      <c r="H39098" s="185"/>
    </row>
    <row r="39099">
      <c r="D39099" s="185"/>
      <c r="E39099" s="185" t="s">
        <v>470</v>
      </c>
      <c r="H39099" s="185"/>
    </row>
    <row r="39100">
      <c r="D39100" s="185"/>
      <c r="E39100" s="185" t="s">
        <v>470</v>
      </c>
      <c r="H39100" s="185"/>
    </row>
    <row r="39101">
      <c r="D39101" s="185"/>
      <c r="E39101" s="185" t="s">
        <v>470</v>
      </c>
      <c r="H39101" s="185"/>
    </row>
    <row r="39102">
      <c r="D39102" s="185"/>
      <c r="E39102" s="185" t="s">
        <v>470</v>
      </c>
      <c r="H39102" s="185"/>
    </row>
    <row r="39103">
      <c r="D39103" s="185"/>
      <c r="E39103" s="185" t="s">
        <v>470</v>
      </c>
      <c r="H39103" s="185"/>
    </row>
    <row r="39104">
      <c r="D39104" s="185"/>
      <c r="E39104" s="185" t="s">
        <v>470</v>
      </c>
      <c r="H39104" s="185"/>
    </row>
    <row r="39105">
      <c r="D39105" s="185"/>
      <c r="E39105" s="185" t="s">
        <v>470</v>
      </c>
      <c r="H39105" s="185"/>
    </row>
    <row r="39106">
      <c r="D39106" s="185"/>
      <c r="E39106" s="185" t="s">
        <v>470</v>
      </c>
      <c r="H39106" s="185"/>
    </row>
    <row r="39107">
      <c r="D39107" s="185"/>
      <c r="E39107" s="185" t="s">
        <v>470</v>
      </c>
      <c r="H39107" s="185"/>
    </row>
    <row r="39108">
      <c r="D39108" s="185"/>
      <c r="E39108" s="185" t="s">
        <v>470</v>
      </c>
      <c r="H39108" s="185"/>
    </row>
    <row r="39109">
      <c r="D39109" s="185"/>
      <c r="E39109" s="185" t="s">
        <v>470</v>
      </c>
      <c r="H39109" s="185"/>
    </row>
    <row r="39110">
      <c r="D39110" s="185"/>
      <c r="E39110" s="185" t="s">
        <v>470</v>
      </c>
      <c r="H39110" s="185"/>
    </row>
    <row r="39111">
      <c r="D39111" s="185"/>
      <c r="E39111" s="185" t="s">
        <v>470</v>
      </c>
      <c r="H39111" s="185"/>
    </row>
    <row r="39112">
      <c r="D39112" s="185"/>
      <c r="E39112" s="185" t="s">
        <v>470</v>
      </c>
      <c r="H39112" s="185"/>
    </row>
    <row r="39113">
      <c r="D39113" s="185"/>
      <c r="E39113" s="185" t="s">
        <v>470</v>
      </c>
      <c r="H39113" s="185"/>
    </row>
    <row r="39114">
      <c r="D39114" s="185"/>
      <c r="E39114" s="185" t="s">
        <v>470</v>
      </c>
      <c r="H39114" s="185"/>
    </row>
    <row r="39115">
      <c r="D39115" s="185"/>
      <c r="E39115" s="185" t="s">
        <v>470</v>
      </c>
      <c r="H39115" s="185"/>
    </row>
    <row r="39116">
      <c r="D39116" s="185"/>
      <c r="E39116" s="185" t="s">
        <v>470</v>
      </c>
      <c r="H39116" s="185"/>
    </row>
    <row r="39117">
      <c r="D39117" s="185"/>
      <c r="E39117" s="185" t="s">
        <v>470</v>
      </c>
      <c r="H39117" s="185"/>
    </row>
    <row r="39118">
      <c r="D39118" s="185"/>
      <c r="E39118" s="185" t="s">
        <v>470</v>
      </c>
      <c r="H39118" s="185"/>
    </row>
    <row r="39119">
      <c r="D39119" s="185"/>
      <c r="E39119" s="185" t="s">
        <v>470</v>
      </c>
      <c r="H39119" s="185"/>
    </row>
    <row r="39120">
      <c r="D39120" s="185"/>
      <c r="E39120" s="185" t="s">
        <v>470</v>
      </c>
      <c r="H39120" s="185"/>
    </row>
    <row r="39121">
      <c r="D39121" s="185"/>
      <c r="E39121" s="185" t="s">
        <v>470</v>
      </c>
      <c r="H39121" s="185"/>
    </row>
    <row r="39122">
      <c r="D39122" s="185"/>
      <c r="E39122" s="185" t="s">
        <v>470</v>
      </c>
      <c r="H39122" s="185"/>
    </row>
    <row r="39123">
      <c r="D39123" s="185"/>
      <c r="E39123" s="185" t="s">
        <v>470</v>
      </c>
      <c r="H39123" s="185"/>
    </row>
    <row r="39124">
      <c r="D39124" s="185"/>
      <c r="E39124" s="185" t="s">
        <v>470</v>
      </c>
      <c r="H39124" s="185"/>
    </row>
    <row r="39125">
      <c r="D39125" s="185"/>
      <c r="E39125" s="185" t="s">
        <v>470</v>
      </c>
      <c r="H39125" s="185"/>
    </row>
    <row r="39126">
      <c r="D39126" s="185"/>
      <c r="E39126" s="185" t="s">
        <v>470</v>
      </c>
      <c r="H39126" s="185"/>
    </row>
    <row r="39127">
      <c r="D39127" s="185"/>
      <c r="E39127" s="185" t="s">
        <v>470</v>
      </c>
      <c r="H39127" s="185"/>
    </row>
    <row r="39128">
      <c r="D39128" s="185"/>
      <c r="E39128" s="185" t="s">
        <v>470</v>
      </c>
      <c r="H39128" s="185"/>
    </row>
    <row r="39129">
      <c r="D39129" s="185"/>
      <c r="E39129" s="185" t="s">
        <v>470</v>
      </c>
      <c r="H39129" s="185"/>
    </row>
    <row r="39130">
      <c r="D39130" s="185"/>
      <c r="E39130" s="185" t="s">
        <v>470</v>
      </c>
      <c r="H39130" s="185"/>
    </row>
    <row r="39131">
      <c r="D39131" s="185"/>
      <c r="E39131" s="185" t="s">
        <v>470</v>
      </c>
      <c r="H39131" s="185"/>
    </row>
    <row r="39132">
      <c r="D39132" s="185"/>
      <c r="E39132" s="185" t="s">
        <v>470</v>
      </c>
      <c r="H39132" s="185"/>
    </row>
    <row r="39133">
      <c r="D39133" s="185"/>
      <c r="E39133" s="185" t="s">
        <v>470</v>
      </c>
      <c r="H39133" s="185"/>
    </row>
    <row r="39134">
      <c r="D39134" s="185"/>
      <c r="E39134" s="185" t="s">
        <v>470</v>
      </c>
      <c r="H39134" s="185"/>
    </row>
    <row r="39135">
      <c r="D39135" s="185"/>
      <c r="E39135" s="185" t="s">
        <v>470</v>
      </c>
      <c r="H39135" s="185"/>
    </row>
    <row r="39136">
      <c r="D39136" s="185"/>
      <c r="E39136" s="185" t="s">
        <v>470</v>
      </c>
      <c r="H39136" s="185"/>
    </row>
    <row r="39137">
      <c r="D39137" s="185"/>
      <c r="E39137" s="185" t="s">
        <v>470</v>
      </c>
      <c r="H39137" s="185"/>
    </row>
    <row r="39138">
      <c r="D39138" s="185"/>
      <c r="E39138" s="185" t="s">
        <v>470</v>
      </c>
      <c r="H39138" s="185"/>
    </row>
    <row r="39139">
      <c r="D39139" s="185"/>
      <c r="E39139" s="185" t="s">
        <v>470</v>
      </c>
      <c r="H39139" s="185"/>
    </row>
    <row r="39140">
      <c r="D39140" s="185"/>
      <c r="E39140" s="185" t="s">
        <v>470</v>
      </c>
      <c r="H39140" s="185"/>
    </row>
    <row r="39141">
      <c r="D39141" s="185"/>
      <c r="E39141" s="185" t="s">
        <v>470</v>
      </c>
      <c r="H39141" s="185"/>
    </row>
    <row r="39142">
      <c r="D39142" s="185"/>
      <c r="E39142" s="185" t="s">
        <v>470</v>
      </c>
      <c r="H39142" s="185"/>
    </row>
    <row r="39143">
      <c r="D39143" s="185"/>
      <c r="E39143" s="185" t="s">
        <v>470</v>
      </c>
      <c r="H39143" s="185"/>
    </row>
    <row r="39144">
      <c r="D39144" s="185"/>
      <c r="E39144" s="185" t="s">
        <v>470</v>
      </c>
      <c r="H39144" s="185"/>
    </row>
    <row r="39145">
      <c r="D39145" s="185"/>
      <c r="E39145" s="185" t="s">
        <v>470</v>
      </c>
      <c r="H39145" s="185"/>
    </row>
    <row r="39146">
      <c r="D39146" s="185"/>
      <c r="E39146" s="185" t="s">
        <v>470</v>
      </c>
      <c r="H39146" s="185"/>
    </row>
    <row r="39147">
      <c r="D39147" s="185"/>
      <c r="E39147" s="185" t="s">
        <v>470</v>
      </c>
      <c r="H39147" s="185"/>
    </row>
    <row r="39148">
      <c r="D39148" s="185"/>
      <c r="E39148" s="185" t="s">
        <v>470</v>
      </c>
      <c r="H39148" s="185"/>
    </row>
    <row r="39149">
      <c r="D39149" s="185"/>
      <c r="E39149" s="185" t="s">
        <v>470</v>
      </c>
      <c r="H39149" s="185"/>
    </row>
    <row r="39150">
      <c r="D39150" s="185"/>
      <c r="E39150" s="185" t="s">
        <v>470</v>
      </c>
      <c r="H39150" s="185"/>
    </row>
    <row r="39151">
      <c r="D39151" s="185"/>
      <c r="E39151" s="185" t="s">
        <v>470</v>
      </c>
      <c r="H39151" s="185"/>
    </row>
    <row r="39152">
      <c r="D39152" s="185"/>
      <c r="E39152" s="185" t="s">
        <v>470</v>
      </c>
      <c r="H39152" s="185"/>
    </row>
    <row r="39153">
      <c r="D39153" s="185"/>
      <c r="E39153" s="185" t="s">
        <v>470</v>
      </c>
      <c r="H39153" s="185"/>
    </row>
    <row r="39154">
      <c r="D39154" s="185"/>
      <c r="E39154" s="185" t="s">
        <v>470</v>
      </c>
      <c r="H39154" s="185"/>
    </row>
    <row r="39155">
      <c r="D39155" s="185"/>
      <c r="E39155" s="185" t="s">
        <v>470</v>
      </c>
      <c r="H39155" s="185"/>
    </row>
    <row r="39156">
      <c r="D39156" s="185"/>
      <c r="E39156" s="185" t="s">
        <v>470</v>
      </c>
      <c r="H39156" s="185"/>
    </row>
    <row r="39157">
      <c r="D39157" s="185"/>
      <c r="E39157" s="185" t="s">
        <v>470</v>
      </c>
      <c r="H39157" s="185"/>
    </row>
    <row r="39158">
      <c r="D39158" s="185"/>
      <c r="E39158" s="185" t="s">
        <v>470</v>
      </c>
      <c r="H39158" s="185"/>
    </row>
    <row r="39159">
      <c r="D39159" s="185"/>
      <c r="E39159" s="185" t="s">
        <v>470</v>
      </c>
      <c r="H39159" s="185"/>
    </row>
    <row r="39160">
      <c r="D39160" s="185"/>
      <c r="E39160" s="185" t="s">
        <v>470</v>
      </c>
      <c r="H39160" s="185"/>
    </row>
    <row r="39161">
      <c r="D39161" s="185"/>
      <c r="E39161" s="185" t="s">
        <v>470</v>
      </c>
      <c r="H39161" s="185"/>
    </row>
    <row r="39162">
      <c r="D39162" s="185"/>
      <c r="E39162" s="185" t="s">
        <v>470</v>
      </c>
      <c r="H39162" s="185"/>
    </row>
    <row r="39163">
      <c r="D39163" s="185"/>
      <c r="E39163" s="185" t="s">
        <v>470</v>
      </c>
      <c r="H39163" s="185"/>
    </row>
    <row r="39164">
      <c r="D39164" s="185"/>
      <c r="E39164" s="185" t="s">
        <v>470</v>
      </c>
      <c r="H39164" s="185"/>
    </row>
    <row r="39165">
      <c r="D39165" s="185"/>
      <c r="E39165" s="185" t="s">
        <v>470</v>
      </c>
      <c r="H39165" s="185"/>
    </row>
    <row r="39166">
      <c r="D39166" s="185"/>
      <c r="E39166" s="185" t="s">
        <v>470</v>
      </c>
      <c r="H39166" s="185"/>
    </row>
    <row r="39167">
      <c r="D39167" s="185"/>
      <c r="E39167" s="185" t="s">
        <v>470</v>
      </c>
      <c r="H39167" s="185"/>
    </row>
    <row r="39168">
      <c r="D39168" s="185"/>
      <c r="E39168" s="185" t="s">
        <v>470</v>
      </c>
      <c r="H39168" s="185"/>
    </row>
    <row r="39169">
      <c r="D39169" s="185"/>
      <c r="E39169" s="185" t="s">
        <v>470</v>
      </c>
      <c r="H39169" s="185"/>
    </row>
    <row r="39170">
      <c r="D39170" s="185"/>
      <c r="E39170" s="185" t="s">
        <v>470</v>
      </c>
      <c r="H39170" s="185"/>
    </row>
    <row r="39171">
      <c r="D39171" s="185"/>
      <c r="E39171" s="185" t="s">
        <v>470</v>
      </c>
      <c r="H39171" s="185"/>
    </row>
    <row r="39172">
      <c r="D39172" s="185"/>
      <c r="E39172" s="185" t="s">
        <v>470</v>
      </c>
      <c r="H39172" s="185"/>
    </row>
    <row r="39173">
      <c r="D39173" s="185"/>
      <c r="E39173" s="185" t="s">
        <v>470</v>
      </c>
      <c r="H39173" s="185"/>
    </row>
    <row r="39174">
      <c r="D39174" s="185"/>
      <c r="E39174" s="185" t="s">
        <v>470</v>
      </c>
      <c r="H39174" s="185"/>
    </row>
    <row r="39175">
      <c r="D39175" s="185"/>
      <c r="E39175" s="185" t="s">
        <v>470</v>
      </c>
      <c r="H39175" s="185"/>
    </row>
    <row r="39176">
      <c r="D39176" s="185"/>
      <c r="E39176" s="185" t="s">
        <v>470</v>
      </c>
      <c r="H39176" s="185"/>
    </row>
    <row r="39177">
      <c r="D39177" s="185"/>
      <c r="E39177" s="185" t="s">
        <v>470</v>
      </c>
      <c r="H39177" s="185"/>
    </row>
    <row r="39178">
      <c r="D39178" s="185"/>
      <c r="E39178" s="185" t="s">
        <v>470</v>
      </c>
      <c r="H39178" s="185"/>
    </row>
    <row r="39179">
      <c r="D39179" s="185"/>
      <c r="E39179" s="185" t="s">
        <v>470</v>
      </c>
      <c r="H39179" s="185"/>
    </row>
    <row r="39180">
      <c r="D39180" s="185"/>
      <c r="E39180" s="185" t="s">
        <v>470</v>
      </c>
      <c r="H39180" s="185"/>
    </row>
    <row r="39181">
      <c r="D39181" s="185"/>
      <c r="E39181" s="185" t="s">
        <v>470</v>
      </c>
      <c r="H39181" s="185"/>
    </row>
    <row r="39182">
      <c r="D39182" s="185"/>
      <c r="E39182" s="185" t="s">
        <v>470</v>
      </c>
      <c r="H39182" s="185"/>
    </row>
    <row r="39183">
      <c r="D39183" s="185"/>
      <c r="E39183" s="185" t="s">
        <v>470</v>
      </c>
      <c r="H39183" s="185"/>
    </row>
    <row r="39184">
      <c r="D39184" s="185"/>
      <c r="E39184" s="185" t="s">
        <v>470</v>
      </c>
      <c r="H39184" s="185"/>
    </row>
    <row r="39185">
      <c r="D39185" s="185"/>
      <c r="E39185" s="185" t="s">
        <v>470</v>
      </c>
      <c r="H39185" s="185"/>
    </row>
    <row r="39186">
      <c r="D39186" s="185"/>
      <c r="E39186" s="185" t="s">
        <v>470</v>
      </c>
      <c r="H39186" s="185"/>
    </row>
    <row r="39187">
      <c r="D39187" s="185"/>
      <c r="E39187" s="185" t="s">
        <v>470</v>
      </c>
      <c r="H39187" s="185"/>
    </row>
    <row r="39188">
      <c r="D39188" s="185"/>
      <c r="E39188" s="185" t="s">
        <v>470</v>
      </c>
      <c r="H39188" s="185"/>
    </row>
    <row r="39189">
      <c r="D39189" s="185"/>
      <c r="E39189" s="185" t="s">
        <v>470</v>
      </c>
      <c r="H39189" s="185"/>
    </row>
    <row r="39190">
      <c r="D39190" s="185"/>
      <c r="E39190" s="185" t="s">
        <v>470</v>
      </c>
      <c r="H39190" s="185"/>
    </row>
    <row r="39191">
      <c r="D39191" s="185"/>
      <c r="E39191" s="185" t="s">
        <v>470</v>
      </c>
      <c r="H39191" s="185"/>
    </row>
    <row r="39192">
      <c r="D39192" s="185"/>
      <c r="E39192" s="185" t="s">
        <v>470</v>
      </c>
      <c r="H39192" s="185"/>
    </row>
    <row r="39193">
      <c r="D39193" s="185"/>
      <c r="E39193" s="185" t="s">
        <v>470</v>
      </c>
      <c r="H39193" s="185"/>
    </row>
    <row r="39194">
      <c r="D39194" s="185"/>
      <c r="E39194" s="185" t="s">
        <v>470</v>
      </c>
      <c r="H39194" s="185"/>
    </row>
    <row r="39195">
      <c r="D39195" s="185"/>
      <c r="E39195" s="185" t="s">
        <v>470</v>
      </c>
      <c r="H39195" s="185"/>
    </row>
    <row r="39196">
      <c r="D39196" s="185"/>
      <c r="E39196" s="185" t="s">
        <v>470</v>
      </c>
      <c r="H39196" s="185"/>
    </row>
    <row r="39197">
      <c r="D39197" s="185"/>
      <c r="E39197" s="185" t="s">
        <v>470</v>
      </c>
      <c r="H39197" s="185"/>
    </row>
    <row r="39198">
      <c r="D39198" s="185"/>
      <c r="E39198" s="185" t="s">
        <v>470</v>
      </c>
      <c r="H39198" s="185"/>
    </row>
    <row r="39199">
      <c r="D39199" s="185"/>
      <c r="E39199" s="185" t="s">
        <v>470</v>
      </c>
      <c r="H39199" s="185"/>
    </row>
    <row r="39200">
      <c r="D39200" s="185"/>
      <c r="E39200" s="185" t="s">
        <v>470</v>
      </c>
      <c r="H39200" s="185"/>
    </row>
    <row r="39201">
      <c r="D39201" s="185"/>
      <c r="E39201" s="185" t="s">
        <v>470</v>
      </c>
      <c r="H39201" s="185"/>
    </row>
    <row r="39202">
      <c r="D39202" s="185"/>
      <c r="E39202" s="185" t="s">
        <v>470</v>
      </c>
      <c r="H39202" s="185"/>
    </row>
    <row r="39203">
      <c r="D39203" s="185"/>
      <c r="E39203" s="185" t="s">
        <v>470</v>
      </c>
      <c r="H39203" s="185"/>
    </row>
    <row r="39204">
      <c r="D39204" s="185"/>
      <c r="E39204" s="185" t="s">
        <v>470</v>
      </c>
      <c r="H39204" s="185"/>
    </row>
    <row r="39205">
      <c r="D39205" s="185"/>
      <c r="E39205" s="185" t="s">
        <v>470</v>
      </c>
      <c r="H39205" s="185"/>
    </row>
    <row r="39206">
      <c r="D39206" s="185"/>
      <c r="E39206" s="185" t="s">
        <v>470</v>
      </c>
      <c r="H39206" s="185"/>
    </row>
    <row r="39207">
      <c r="D39207" s="185"/>
      <c r="E39207" s="185" t="s">
        <v>470</v>
      </c>
      <c r="H39207" s="185"/>
    </row>
    <row r="39208">
      <c r="D39208" s="185"/>
      <c r="E39208" s="185" t="s">
        <v>470</v>
      </c>
      <c r="H39208" s="185"/>
    </row>
    <row r="39209">
      <c r="D39209" s="185"/>
      <c r="E39209" s="185" t="s">
        <v>470</v>
      </c>
      <c r="H39209" s="185"/>
    </row>
    <row r="39210">
      <c r="D39210" s="185"/>
      <c r="E39210" s="185" t="s">
        <v>470</v>
      </c>
      <c r="H39210" s="185"/>
    </row>
    <row r="39211">
      <c r="D39211" s="185"/>
      <c r="E39211" s="185" t="s">
        <v>470</v>
      </c>
      <c r="H39211" s="185"/>
    </row>
    <row r="39212">
      <c r="D39212" s="185"/>
      <c r="E39212" s="185" t="s">
        <v>470</v>
      </c>
      <c r="H39212" s="185"/>
    </row>
    <row r="39213">
      <c r="D39213" s="185"/>
      <c r="E39213" s="185" t="s">
        <v>470</v>
      </c>
      <c r="H39213" s="185"/>
    </row>
    <row r="39214">
      <c r="D39214" s="185"/>
      <c r="E39214" s="185" t="s">
        <v>470</v>
      </c>
      <c r="H39214" s="185"/>
    </row>
    <row r="39215">
      <c r="D39215" s="185"/>
      <c r="E39215" s="185" t="s">
        <v>470</v>
      </c>
      <c r="H39215" s="185"/>
    </row>
    <row r="39216">
      <c r="D39216" s="185"/>
      <c r="E39216" s="185" t="s">
        <v>470</v>
      </c>
      <c r="H39216" s="185"/>
    </row>
    <row r="39217">
      <c r="D39217" s="185"/>
      <c r="E39217" s="185" t="s">
        <v>470</v>
      </c>
      <c r="H39217" s="185"/>
    </row>
    <row r="39218">
      <c r="D39218" s="185"/>
      <c r="E39218" s="185" t="s">
        <v>470</v>
      </c>
      <c r="H39218" s="185"/>
    </row>
    <row r="39219">
      <c r="D39219" s="185"/>
      <c r="E39219" s="185" t="s">
        <v>470</v>
      </c>
      <c r="H39219" s="185"/>
    </row>
    <row r="39220">
      <c r="D39220" s="185"/>
      <c r="E39220" s="185" t="s">
        <v>470</v>
      </c>
      <c r="H39220" s="185"/>
    </row>
    <row r="39221">
      <c r="D39221" s="185"/>
      <c r="E39221" s="185" t="s">
        <v>470</v>
      </c>
      <c r="H39221" s="185"/>
    </row>
    <row r="39222">
      <c r="D39222" s="185"/>
      <c r="E39222" s="185" t="s">
        <v>470</v>
      </c>
      <c r="H39222" s="185"/>
    </row>
    <row r="39223">
      <c r="D39223" s="185"/>
      <c r="E39223" s="185" t="s">
        <v>470</v>
      </c>
      <c r="H39223" s="185"/>
    </row>
    <row r="39224">
      <c r="D39224" s="185"/>
      <c r="E39224" s="185" t="s">
        <v>470</v>
      </c>
      <c r="H39224" s="185"/>
    </row>
    <row r="39225">
      <c r="D39225" s="185"/>
      <c r="E39225" s="185" t="s">
        <v>470</v>
      </c>
      <c r="H39225" s="185"/>
    </row>
    <row r="39226">
      <c r="D39226" s="185"/>
      <c r="E39226" s="185" t="s">
        <v>470</v>
      </c>
      <c r="H39226" s="185"/>
    </row>
    <row r="39227">
      <c r="D39227" s="185"/>
      <c r="E39227" s="185" t="s">
        <v>470</v>
      </c>
      <c r="H39227" s="185"/>
    </row>
    <row r="39228">
      <c r="D39228" s="185"/>
      <c r="E39228" s="185" t="s">
        <v>470</v>
      </c>
      <c r="H39228" s="185"/>
    </row>
    <row r="39229">
      <c r="D39229" s="185"/>
      <c r="E39229" s="185" t="s">
        <v>470</v>
      </c>
      <c r="H39229" s="185"/>
    </row>
    <row r="39230">
      <c r="D39230" s="185"/>
      <c r="E39230" s="185" t="s">
        <v>470</v>
      </c>
      <c r="H39230" s="185"/>
    </row>
    <row r="39231">
      <c r="D39231" s="185"/>
      <c r="E39231" s="185" t="s">
        <v>470</v>
      </c>
      <c r="H39231" s="185"/>
    </row>
    <row r="39232">
      <c r="D39232" s="185"/>
      <c r="E39232" s="185" t="s">
        <v>470</v>
      </c>
      <c r="H39232" s="185"/>
    </row>
    <row r="39233">
      <c r="D39233" s="185"/>
      <c r="E39233" s="185" t="s">
        <v>470</v>
      </c>
      <c r="H39233" s="185"/>
    </row>
    <row r="39234">
      <c r="D39234" s="185"/>
      <c r="E39234" s="185" t="s">
        <v>470</v>
      </c>
      <c r="H39234" s="185"/>
    </row>
    <row r="39235">
      <c r="D39235" s="185"/>
      <c r="E39235" s="185" t="s">
        <v>470</v>
      </c>
      <c r="H39235" s="185"/>
    </row>
    <row r="39236">
      <c r="D39236" s="185"/>
      <c r="E39236" s="185" t="s">
        <v>470</v>
      </c>
      <c r="H39236" s="185"/>
    </row>
    <row r="39237">
      <c r="D39237" s="185"/>
      <c r="E39237" s="185" t="s">
        <v>470</v>
      </c>
      <c r="H39237" s="185"/>
    </row>
    <row r="39238">
      <c r="D39238" s="185"/>
      <c r="E39238" s="185" t="s">
        <v>470</v>
      </c>
      <c r="H39238" s="185"/>
    </row>
    <row r="39239">
      <c r="D39239" s="185"/>
      <c r="E39239" s="185" t="s">
        <v>470</v>
      </c>
      <c r="H39239" s="185"/>
    </row>
    <row r="39240">
      <c r="D39240" s="185"/>
      <c r="E39240" s="185" t="s">
        <v>470</v>
      </c>
      <c r="H39240" s="185"/>
    </row>
    <row r="39241">
      <c r="D39241" s="185"/>
      <c r="E39241" s="185" t="s">
        <v>470</v>
      </c>
      <c r="H39241" s="185"/>
    </row>
    <row r="39242">
      <c r="D39242" s="185"/>
      <c r="E39242" s="185" t="s">
        <v>470</v>
      </c>
      <c r="H39242" s="185"/>
    </row>
    <row r="39243">
      <c r="D39243" s="185"/>
      <c r="E39243" s="185" t="s">
        <v>470</v>
      </c>
      <c r="H39243" s="185"/>
    </row>
    <row r="39244">
      <c r="D39244" s="185"/>
      <c r="E39244" s="185" t="s">
        <v>470</v>
      </c>
      <c r="H39244" s="185"/>
    </row>
    <row r="39245">
      <c r="D39245" s="185"/>
      <c r="E39245" s="185" t="s">
        <v>470</v>
      </c>
      <c r="H39245" s="185"/>
    </row>
    <row r="39246">
      <c r="D39246" s="185"/>
      <c r="E39246" s="185" t="s">
        <v>470</v>
      </c>
      <c r="H39246" s="185"/>
    </row>
    <row r="39247">
      <c r="D39247" s="185"/>
      <c r="E39247" s="185" t="s">
        <v>470</v>
      </c>
      <c r="H39247" s="185"/>
    </row>
    <row r="39248">
      <c r="D39248" s="185"/>
      <c r="E39248" s="185" t="s">
        <v>470</v>
      </c>
      <c r="H39248" s="185"/>
    </row>
    <row r="39249">
      <c r="D39249" s="185"/>
      <c r="E39249" s="185" t="s">
        <v>470</v>
      </c>
      <c r="H39249" s="185"/>
    </row>
    <row r="39250">
      <c r="D39250" s="185"/>
      <c r="E39250" s="185" t="s">
        <v>470</v>
      </c>
      <c r="H39250" s="185"/>
    </row>
    <row r="39251">
      <c r="D39251" s="185"/>
      <c r="E39251" s="185" t="s">
        <v>470</v>
      </c>
      <c r="H39251" s="185"/>
    </row>
    <row r="39252">
      <c r="D39252" s="185"/>
      <c r="E39252" s="185" t="s">
        <v>470</v>
      </c>
      <c r="H39252" s="185"/>
    </row>
    <row r="39253">
      <c r="D39253" s="185"/>
      <c r="E39253" s="185" t="s">
        <v>470</v>
      </c>
      <c r="H39253" s="185"/>
    </row>
    <row r="39254">
      <c r="D39254" s="185"/>
      <c r="E39254" s="185" t="s">
        <v>470</v>
      </c>
      <c r="H39254" s="185"/>
    </row>
    <row r="39255">
      <c r="D39255" s="185"/>
      <c r="E39255" s="185" t="s">
        <v>470</v>
      </c>
      <c r="H39255" s="185"/>
    </row>
    <row r="39256">
      <c r="D39256" s="185"/>
      <c r="E39256" s="185" t="s">
        <v>470</v>
      </c>
      <c r="H39256" s="185"/>
    </row>
    <row r="39257">
      <c r="D39257" s="185"/>
      <c r="E39257" s="185" t="s">
        <v>470</v>
      </c>
      <c r="H39257" s="185"/>
    </row>
    <row r="39258">
      <c r="D39258" s="185"/>
      <c r="E39258" s="185" t="s">
        <v>470</v>
      </c>
      <c r="H39258" s="185"/>
    </row>
    <row r="39259">
      <c r="D39259" s="185"/>
      <c r="E39259" s="185" t="s">
        <v>470</v>
      </c>
      <c r="H39259" s="185"/>
    </row>
    <row r="39260">
      <c r="D39260" s="185"/>
      <c r="E39260" s="185" t="s">
        <v>470</v>
      </c>
      <c r="H39260" s="185"/>
    </row>
    <row r="39261">
      <c r="D39261" s="185"/>
      <c r="E39261" s="185" t="s">
        <v>470</v>
      </c>
      <c r="H39261" s="185"/>
    </row>
    <row r="39262">
      <c r="D39262" s="185"/>
      <c r="E39262" s="185" t="s">
        <v>470</v>
      </c>
      <c r="H39262" s="185"/>
    </row>
    <row r="39263">
      <c r="D39263" s="185"/>
      <c r="E39263" s="185" t="s">
        <v>470</v>
      </c>
      <c r="H39263" s="185"/>
    </row>
    <row r="39264">
      <c r="D39264" s="185"/>
      <c r="E39264" s="185" t="s">
        <v>470</v>
      </c>
      <c r="H39264" s="185"/>
    </row>
    <row r="39265">
      <c r="D39265" s="185"/>
      <c r="E39265" s="185" t="s">
        <v>470</v>
      </c>
      <c r="H39265" s="185"/>
    </row>
    <row r="39266">
      <c r="D39266" s="185"/>
      <c r="E39266" s="185" t="s">
        <v>470</v>
      </c>
      <c r="H39266" s="185"/>
    </row>
    <row r="39267">
      <c r="D39267" s="185"/>
      <c r="E39267" s="185" t="s">
        <v>470</v>
      </c>
      <c r="H39267" s="185"/>
    </row>
    <row r="39268">
      <c r="D39268" s="185"/>
      <c r="E39268" s="185" t="s">
        <v>470</v>
      </c>
      <c r="H39268" s="185"/>
    </row>
    <row r="39269">
      <c r="D39269" s="185"/>
      <c r="E39269" s="185" t="s">
        <v>470</v>
      </c>
      <c r="H39269" s="185"/>
    </row>
    <row r="39270">
      <c r="D39270" s="185"/>
      <c r="E39270" s="185" t="s">
        <v>470</v>
      </c>
      <c r="H39270" s="185"/>
    </row>
    <row r="39271">
      <c r="D39271" s="185"/>
      <c r="E39271" s="185" t="s">
        <v>470</v>
      </c>
      <c r="H39271" s="185"/>
    </row>
    <row r="39272">
      <c r="D39272" s="185"/>
      <c r="E39272" s="185" t="s">
        <v>470</v>
      </c>
      <c r="H39272" s="185"/>
    </row>
    <row r="39273">
      <c r="D39273" s="185"/>
      <c r="E39273" s="185" t="s">
        <v>470</v>
      </c>
      <c r="H39273" s="185"/>
    </row>
    <row r="39274">
      <c r="D39274" s="185"/>
      <c r="E39274" s="185" t="s">
        <v>470</v>
      </c>
      <c r="H39274" s="185"/>
    </row>
    <row r="39275">
      <c r="D39275" s="185"/>
      <c r="E39275" s="185" t="s">
        <v>470</v>
      </c>
      <c r="H39275" s="185"/>
    </row>
    <row r="39276">
      <c r="D39276" s="185"/>
      <c r="E39276" s="185" t="s">
        <v>470</v>
      </c>
      <c r="H39276" s="185"/>
    </row>
    <row r="39277">
      <c r="D39277" s="185"/>
      <c r="E39277" s="185" t="s">
        <v>470</v>
      </c>
      <c r="H39277" s="185"/>
    </row>
    <row r="39278">
      <c r="D39278" s="185"/>
      <c r="E39278" s="185" t="s">
        <v>470</v>
      </c>
      <c r="H39278" s="185"/>
    </row>
    <row r="39279">
      <c r="D39279" s="185"/>
      <c r="E39279" s="185" t="s">
        <v>470</v>
      </c>
      <c r="H39279" s="185"/>
    </row>
    <row r="39280">
      <c r="D39280" s="185"/>
      <c r="E39280" s="185" t="s">
        <v>470</v>
      </c>
      <c r="H39280" s="185"/>
    </row>
    <row r="39281">
      <c r="D39281" s="185"/>
      <c r="E39281" s="185" t="s">
        <v>470</v>
      </c>
      <c r="H39281" s="185"/>
    </row>
    <row r="39282">
      <c r="D39282" s="185"/>
      <c r="E39282" s="185" t="s">
        <v>470</v>
      </c>
      <c r="H39282" s="185"/>
    </row>
    <row r="39283">
      <c r="D39283" s="185"/>
      <c r="E39283" s="185" t="s">
        <v>470</v>
      </c>
      <c r="H39283" s="185"/>
    </row>
    <row r="39284">
      <c r="D39284" s="185"/>
      <c r="E39284" s="185" t="s">
        <v>470</v>
      </c>
      <c r="H39284" s="185"/>
    </row>
    <row r="39285">
      <c r="D39285" s="185"/>
      <c r="E39285" s="185" t="s">
        <v>470</v>
      </c>
      <c r="H39285" s="185"/>
    </row>
    <row r="39286">
      <c r="D39286" s="185"/>
      <c r="E39286" s="185" t="s">
        <v>470</v>
      </c>
      <c r="H39286" s="185"/>
    </row>
    <row r="39287">
      <c r="D39287" s="185"/>
      <c r="E39287" s="185" t="s">
        <v>470</v>
      </c>
      <c r="H39287" s="185"/>
    </row>
    <row r="39288">
      <c r="D39288" s="185"/>
      <c r="E39288" s="185" t="s">
        <v>470</v>
      </c>
      <c r="H39288" s="185"/>
    </row>
    <row r="39289">
      <c r="D39289" s="185"/>
      <c r="E39289" s="185" t="s">
        <v>470</v>
      </c>
      <c r="H39289" s="185"/>
    </row>
    <row r="39290">
      <c r="D39290" s="185"/>
      <c r="E39290" s="185" t="s">
        <v>470</v>
      </c>
      <c r="H39290" s="185"/>
    </row>
    <row r="39291">
      <c r="D39291" s="185"/>
      <c r="E39291" s="185" t="s">
        <v>470</v>
      </c>
      <c r="H39291" s="185"/>
    </row>
    <row r="39292">
      <c r="D39292" s="185"/>
      <c r="E39292" s="185" t="s">
        <v>470</v>
      </c>
      <c r="H39292" s="185"/>
    </row>
    <row r="39293">
      <c r="D39293" s="185"/>
      <c r="E39293" s="185" t="s">
        <v>470</v>
      </c>
      <c r="H39293" s="185"/>
    </row>
    <row r="39294">
      <c r="D39294" s="185"/>
      <c r="E39294" s="185" t="s">
        <v>470</v>
      </c>
      <c r="H39294" s="185"/>
    </row>
    <row r="39295">
      <c r="D39295" s="185"/>
      <c r="E39295" s="185" t="s">
        <v>470</v>
      </c>
      <c r="H39295" s="185"/>
    </row>
    <row r="39296">
      <c r="D39296" s="185"/>
      <c r="E39296" s="185" t="s">
        <v>470</v>
      </c>
      <c r="H39296" s="185"/>
    </row>
    <row r="39297">
      <c r="D39297" s="185"/>
      <c r="E39297" s="185" t="s">
        <v>470</v>
      </c>
      <c r="H39297" s="185"/>
    </row>
    <row r="39298">
      <c r="D39298" s="185"/>
      <c r="E39298" s="185" t="s">
        <v>470</v>
      </c>
      <c r="H39298" s="185"/>
    </row>
    <row r="39299">
      <c r="D39299" s="185"/>
      <c r="E39299" s="185" t="s">
        <v>470</v>
      </c>
      <c r="H39299" s="185"/>
    </row>
    <row r="39300">
      <c r="D39300" s="185"/>
      <c r="E39300" s="185" t="s">
        <v>470</v>
      </c>
      <c r="H39300" s="185"/>
    </row>
    <row r="39301">
      <c r="D39301" s="185"/>
      <c r="E39301" s="185" t="s">
        <v>470</v>
      </c>
      <c r="H39301" s="185"/>
    </row>
    <row r="39302">
      <c r="D39302" s="185"/>
      <c r="E39302" s="185" t="s">
        <v>470</v>
      </c>
      <c r="H39302" s="185"/>
    </row>
    <row r="39303">
      <c r="D39303" s="185"/>
      <c r="E39303" s="185" t="s">
        <v>470</v>
      </c>
      <c r="H39303" s="185"/>
    </row>
    <row r="39304">
      <c r="D39304" s="185"/>
      <c r="E39304" s="185" t="s">
        <v>470</v>
      </c>
      <c r="H39304" s="185"/>
    </row>
    <row r="39305">
      <c r="D39305" s="185"/>
      <c r="E39305" s="185" t="s">
        <v>470</v>
      </c>
      <c r="H39305" s="185"/>
    </row>
    <row r="39306">
      <c r="D39306" s="185"/>
      <c r="E39306" s="185" t="s">
        <v>470</v>
      </c>
      <c r="H39306" s="185"/>
    </row>
    <row r="39307">
      <c r="D39307" s="185"/>
      <c r="E39307" s="185" t="s">
        <v>470</v>
      </c>
      <c r="H39307" s="185"/>
    </row>
    <row r="39308">
      <c r="D39308" s="185"/>
      <c r="E39308" s="185" t="s">
        <v>470</v>
      </c>
      <c r="H39308" s="185"/>
    </row>
    <row r="39309">
      <c r="D39309" s="185"/>
      <c r="E39309" s="185" t="s">
        <v>470</v>
      </c>
      <c r="H39309" s="185"/>
    </row>
    <row r="39310">
      <c r="D39310" s="185"/>
      <c r="E39310" s="185" t="s">
        <v>470</v>
      </c>
      <c r="H39310" s="185"/>
    </row>
    <row r="39311">
      <c r="D39311" s="185"/>
      <c r="E39311" s="185" t="s">
        <v>470</v>
      </c>
      <c r="H39311" s="185"/>
    </row>
    <row r="39312">
      <c r="D39312" s="185"/>
      <c r="E39312" s="185" t="s">
        <v>470</v>
      </c>
      <c r="H39312" s="185"/>
    </row>
    <row r="39313">
      <c r="D39313" s="185"/>
      <c r="E39313" s="185" t="s">
        <v>470</v>
      </c>
      <c r="H39313" s="185"/>
    </row>
    <row r="39314">
      <c r="D39314" s="185"/>
      <c r="E39314" s="185" t="s">
        <v>470</v>
      </c>
      <c r="H39314" s="185"/>
    </row>
    <row r="39315">
      <c r="D39315" s="185"/>
      <c r="E39315" s="185" t="s">
        <v>470</v>
      </c>
      <c r="H39315" s="185"/>
    </row>
    <row r="39316">
      <c r="D39316" s="185"/>
      <c r="E39316" s="185" t="s">
        <v>470</v>
      </c>
      <c r="H39316" s="185"/>
    </row>
    <row r="39317">
      <c r="D39317" s="185"/>
      <c r="E39317" s="185" t="s">
        <v>470</v>
      </c>
      <c r="H39317" s="185"/>
    </row>
    <row r="39318">
      <c r="D39318" s="185"/>
      <c r="E39318" s="185" t="s">
        <v>470</v>
      </c>
      <c r="H39318" s="185"/>
    </row>
    <row r="39319">
      <c r="D39319" s="185"/>
      <c r="E39319" s="185" t="s">
        <v>470</v>
      </c>
      <c r="H39319" s="185"/>
    </row>
    <row r="39320">
      <c r="D39320" s="185"/>
      <c r="E39320" s="185" t="s">
        <v>470</v>
      </c>
      <c r="H39320" s="185"/>
    </row>
    <row r="39321">
      <c r="D39321" s="185"/>
      <c r="E39321" s="185" t="s">
        <v>470</v>
      </c>
      <c r="H39321" s="185"/>
    </row>
    <row r="39322">
      <c r="D39322" s="185"/>
      <c r="E39322" s="185" t="s">
        <v>470</v>
      </c>
      <c r="H39322" s="185"/>
    </row>
    <row r="39323">
      <c r="D39323" s="185"/>
      <c r="E39323" s="185" t="s">
        <v>470</v>
      </c>
      <c r="H39323" s="185"/>
    </row>
    <row r="39324">
      <c r="D39324" s="185"/>
      <c r="E39324" s="185" t="s">
        <v>470</v>
      </c>
      <c r="H39324" s="185"/>
    </row>
    <row r="39325">
      <c r="D39325" s="185"/>
      <c r="E39325" s="185" t="s">
        <v>470</v>
      </c>
      <c r="H39325" s="185"/>
    </row>
    <row r="39326">
      <c r="D39326" s="185"/>
      <c r="E39326" s="185" t="s">
        <v>470</v>
      </c>
      <c r="H39326" s="185"/>
    </row>
    <row r="39327">
      <c r="D39327" s="185"/>
      <c r="E39327" s="185" t="s">
        <v>470</v>
      </c>
      <c r="H39327" s="185"/>
    </row>
    <row r="39328">
      <c r="D39328" s="185"/>
      <c r="E39328" s="185" t="s">
        <v>470</v>
      </c>
      <c r="H39328" s="185"/>
    </row>
    <row r="39329">
      <c r="D39329" s="185"/>
      <c r="E39329" s="185" t="s">
        <v>470</v>
      </c>
      <c r="H39329" s="185"/>
    </row>
    <row r="39330">
      <c r="D39330" s="185"/>
      <c r="E39330" s="185" t="s">
        <v>470</v>
      </c>
      <c r="H39330" s="185"/>
    </row>
    <row r="39331">
      <c r="D39331" s="185"/>
      <c r="E39331" s="185" t="s">
        <v>470</v>
      </c>
      <c r="H39331" s="185"/>
    </row>
    <row r="39332">
      <c r="D39332" s="185"/>
      <c r="E39332" s="185" t="s">
        <v>470</v>
      </c>
      <c r="H39332" s="185"/>
    </row>
    <row r="39333">
      <c r="D39333" s="185"/>
      <c r="E39333" s="185" t="s">
        <v>470</v>
      </c>
      <c r="H39333" s="185"/>
    </row>
    <row r="39334">
      <c r="D39334" s="185"/>
      <c r="E39334" s="185" t="s">
        <v>470</v>
      </c>
      <c r="H39334" s="185"/>
    </row>
    <row r="39335">
      <c r="D39335" s="185"/>
      <c r="E39335" s="185" t="s">
        <v>470</v>
      </c>
      <c r="H39335" s="185"/>
    </row>
    <row r="39336">
      <c r="D39336" s="185"/>
      <c r="E39336" s="185" t="s">
        <v>470</v>
      </c>
      <c r="H39336" s="185"/>
    </row>
    <row r="39337">
      <c r="D39337" s="185"/>
      <c r="E39337" s="185" t="s">
        <v>470</v>
      </c>
      <c r="H39337" s="185"/>
    </row>
    <row r="39338">
      <c r="D39338" s="185"/>
      <c r="E39338" s="185" t="s">
        <v>470</v>
      </c>
      <c r="H39338" s="185"/>
    </row>
    <row r="39339">
      <c r="D39339" s="185"/>
      <c r="E39339" s="185" t="s">
        <v>470</v>
      </c>
      <c r="H39339" s="185"/>
    </row>
    <row r="39340">
      <c r="D39340" s="185"/>
      <c r="E39340" s="185" t="s">
        <v>470</v>
      </c>
      <c r="H39340" s="185"/>
    </row>
    <row r="39341">
      <c r="D39341" s="185"/>
      <c r="E39341" s="185" t="s">
        <v>470</v>
      </c>
      <c r="H39341" s="185"/>
    </row>
    <row r="39342">
      <c r="D39342" s="185"/>
      <c r="E39342" s="185" t="s">
        <v>470</v>
      </c>
      <c r="H39342" s="185"/>
    </row>
    <row r="39343">
      <c r="D39343" s="185"/>
      <c r="E39343" s="185" t="s">
        <v>470</v>
      </c>
      <c r="H39343" s="185"/>
    </row>
    <row r="39344">
      <c r="D39344" s="185"/>
      <c r="E39344" s="185" t="s">
        <v>470</v>
      </c>
      <c r="H39344" s="185"/>
    </row>
    <row r="39345">
      <c r="D39345" s="185"/>
      <c r="E39345" s="185" t="s">
        <v>470</v>
      </c>
      <c r="H39345" s="185"/>
    </row>
    <row r="39346">
      <c r="D39346" s="185"/>
      <c r="E39346" s="185" t="s">
        <v>470</v>
      </c>
      <c r="H39346" s="185"/>
    </row>
    <row r="39347">
      <c r="D39347" s="185"/>
      <c r="E39347" s="185" t="s">
        <v>470</v>
      </c>
      <c r="H39347" s="185"/>
    </row>
    <row r="39348">
      <c r="D39348" s="185"/>
      <c r="E39348" s="185" t="s">
        <v>470</v>
      </c>
      <c r="H39348" s="185"/>
    </row>
    <row r="39349">
      <c r="D39349" s="185"/>
      <c r="E39349" s="185" t="s">
        <v>470</v>
      </c>
      <c r="H39349" s="185"/>
    </row>
    <row r="39350">
      <c r="D39350" s="185"/>
      <c r="E39350" s="185" t="s">
        <v>470</v>
      </c>
      <c r="H39350" s="185"/>
    </row>
    <row r="39351">
      <c r="D39351" s="185"/>
      <c r="E39351" s="185" t="s">
        <v>470</v>
      </c>
      <c r="H39351" s="185"/>
    </row>
    <row r="39352">
      <c r="D39352" s="185"/>
      <c r="E39352" s="185" t="s">
        <v>470</v>
      </c>
      <c r="H39352" s="185"/>
    </row>
    <row r="39353">
      <c r="D39353" s="185"/>
      <c r="E39353" s="185" t="s">
        <v>470</v>
      </c>
      <c r="H39353" s="185"/>
    </row>
    <row r="39354">
      <c r="D39354" s="185"/>
      <c r="E39354" s="185" t="s">
        <v>470</v>
      </c>
      <c r="H39354" s="185"/>
    </row>
    <row r="39355">
      <c r="D39355" s="185"/>
      <c r="E39355" s="185" t="s">
        <v>470</v>
      </c>
      <c r="H39355" s="185"/>
    </row>
    <row r="39356">
      <c r="D39356" s="185"/>
      <c r="E39356" s="185" t="s">
        <v>470</v>
      </c>
      <c r="H39356" s="185"/>
    </row>
    <row r="39357">
      <c r="D39357" s="185"/>
      <c r="E39357" s="185" t="s">
        <v>470</v>
      </c>
      <c r="H39357" s="185"/>
    </row>
    <row r="39358">
      <c r="D39358" s="185"/>
      <c r="E39358" s="185" t="s">
        <v>470</v>
      </c>
      <c r="H39358" s="185"/>
    </row>
    <row r="39359">
      <c r="D39359" s="185"/>
      <c r="E39359" s="185" t="s">
        <v>470</v>
      </c>
      <c r="H39359" s="185"/>
    </row>
    <row r="39360">
      <c r="D39360" s="185"/>
      <c r="E39360" s="185" t="s">
        <v>470</v>
      </c>
      <c r="H39360" s="185"/>
    </row>
    <row r="39361">
      <c r="D39361" s="185"/>
      <c r="E39361" s="185" t="s">
        <v>470</v>
      </c>
      <c r="H39361" s="185"/>
    </row>
    <row r="39362">
      <c r="D39362" s="185"/>
      <c r="E39362" s="185" t="s">
        <v>470</v>
      </c>
      <c r="H39362" s="185"/>
    </row>
    <row r="39363">
      <c r="D39363" s="185"/>
      <c r="E39363" s="185" t="s">
        <v>470</v>
      </c>
      <c r="H39363" s="185"/>
    </row>
    <row r="39364">
      <c r="D39364" s="185"/>
      <c r="E39364" s="185" t="s">
        <v>470</v>
      </c>
      <c r="H39364" s="185"/>
    </row>
    <row r="39365">
      <c r="D39365" s="185"/>
      <c r="E39365" s="185" t="s">
        <v>470</v>
      </c>
      <c r="H39365" s="185"/>
    </row>
    <row r="39366">
      <c r="D39366" s="185"/>
      <c r="E39366" s="185" t="s">
        <v>470</v>
      </c>
      <c r="H39366" s="185"/>
    </row>
    <row r="39367">
      <c r="D39367" s="185"/>
      <c r="E39367" s="185" t="s">
        <v>470</v>
      </c>
      <c r="H39367" s="185"/>
    </row>
    <row r="39368">
      <c r="D39368" s="185"/>
      <c r="E39368" s="185" t="s">
        <v>470</v>
      </c>
      <c r="H39368" s="185"/>
    </row>
    <row r="39369">
      <c r="D39369" s="185"/>
      <c r="E39369" s="185" t="s">
        <v>470</v>
      </c>
      <c r="H39369" s="185"/>
    </row>
    <row r="39370">
      <c r="D39370" s="185"/>
      <c r="E39370" s="185" t="s">
        <v>470</v>
      </c>
      <c r="H39370" s="185"/>
    </row>
    <row r="39371">
      <c r="D39371" s="185"/>
      <c r="E39371" s="185" t="s">
        <v>470</v>
      </c>
      <c r="H39371" s="185"/>
    </row>
    <row r="39372">
      <c r="D39372" s="185"/>
      <c r="E39372" s="185" t="s">
        <v>470</v>
      </c>
      <c r="H39372" s="185"/>
    </row>
    <row r="39373">
      <c r="D39373" s="185"/>
      <c r="E39373" s="185" t="s">
        <v>470</v>
      </c>
      <c r="H39373" s="185"/>
    </row>
    <row r="39374">
      <c r="D39374" s="185"/>
      <c r="E39374" s="185" t="s">
        <v>470</v>
      </c>
      <c r="H39374" s="185"/>
    </row>
    <row r="39375">
      <c r="D39375" s="185"/>
      <c r="E39375" s="185" t="s">
        <v>470</v>
      </c>
      <c r="H39375" s="185"/>
    </row>
    <row r="39376">
      <c r="D39376" s="185"/>
      <c r="E39376" s="185" t="s">
        <v>470</v>
      </c>
      <c r="H39376" s="185"/>
    </row>
    <row r="39377">
      <c r="D39377" s="185"/>
      <c r="E39377" s="185" t="s">
        <v>470</v>
      </c>
      <c r="H39377" s="185"/>
    </row>
    <row r="39378">
      <c r="D39378" s="185"/>
      <c r="E39378" s="185" t="s">
        <v>470</v>
      </c>
      <c r="H39378" s="185"/>
    </row>
    <row r="39379">
      <c r="D39379" s="185"/>
      <c r="E39379" s="185" t="s">
        <v>470</v>
      </c>
      <c r="H39379" s="185"/>
    </row>
    <row r="39380">
      <c r="D39380" s="185"/>
      <c r="E39380" s="185" t="s">
        <v>470</v>
      </c>
      <c r="H39380" s="185"/>
    </row>
    <row r="39381">
      <c r="D39381" s="185"/>
      <c r="E39381" s="185" t="s">
        <v>470</v>
      </c>
      <c r="H39381" s="185"/>
    </row>
    <row r="39382">
      <c r="D39382" s="185"/>
      <c r="E39382" s="185" t="s">
        <v>470</v>
      </c>
      <c r="H39382" s="185"/>
    </row>
    <row r="39383">
      <c r="D39383" s="185"/>
      <c r="E39383" s="185" t="s">
        <v>470</v>
      </c>
      <c r="H39383" s="185"/>
    </row>
    <row r="39384">
      <c r="D39384" s="185"/>
      <c r="E39384" s="185" t="s">
        <v>470</v>
      </c>
      <c r="H39384" s="185"/>
    </row>
    <row r="39385">
      <c r="D39385" s="185"/>
      <c r="E39385" s="185" t="s">
        <v>470</v>
      </c>
      <c r="H39385" s="185"/>
    </row>
    <row r="39386">
      <c r="D39386" s="185"/>
      <c r="E39386" s="185" t="s">
        <v>470</v>
      </c>
      <c r="H39386" s="185"/>
    </row>
    <row r="39387">
      <c r="D39387" s="185"/>
      <c r="E39387" s="185" t="s">
        <v>470</v>
      </c>
      <c r="H39387" s="185"/>
    </row>
    <row r="39388">
      <c r="D39388" s="185"/>
      <c r="E39388" s="185" t="s">
        <v>470</v>
      </c>
      <c r="H39388" s="185"/>
    </row>
    <row r="39389">
      <c r="D39389" s="185"/>
      <c r="E39389" s="185" t="s">
        <v>470</v>
      </c>
      <c r="H39389" s="185"/>
    </row>
    <row r="39390">
      <c r="D39390" s="185"/>
      <c r="E39390" s="185" t="s">
        <v>470</v>
      </c>
      <c r="H39390" s="185"/>
    </row>
    <row r="39391">
      <c r="D39391" s="185"/>
      <c r="E39391" s="185" t="s">
        <v>470</v>
      </c>
      <c r="H39391" s="185"/>
    </row>
    <row r="39392">
      <c r="D39392" s="185"/>
      <c r="E39392" s="185" t="s">
        <v>470</v>
      </c>
      <c r="H39392" s="185"/>
    </row>
    <row r="39393">
      <c r="D39393" s="185"/>
      <c r="E39393" s="185" t="s">
        <v>470</v>
      </c>
      <c r="H39393" s="185"/>
    </row>
    <row r="39394">
      <c r="D39394" s="185"/>
      <c r="E39394" s="185" t="s">
        <v>470</v>
      </c>
      <c r="H39394" s="185"/>
    </row>
    <row r="39395">
      <c r="D39395" s="185"/>
      <c r="E39395" s="185" t="s">
        <v>470</v>
      </c>
      <c r="H39395" s="185"/>
    </row>
    <row r="39396">
      <c r="D39396" s="185"/>
      <c r="E39396" s="185" t="s">
        <v>470</v>
      </c>
      <c r="H39396" s="185"/>
    </row>
    <row r="39397">
      <c r="D39397" s="185"/>
      <c r="E39397" s="185" t="s">
        <v>470</v>
      </c>
      <c r="H39397" s="185"/>
    </row>
    <row r="39398">
      <c r="D39398" s="185"/>
      <c r="E39398" s="185" t="s">
        <v>470</v>
      </c>
      <c r="H39398" s="185"/>
    </row>
    <row r="39399">
      <c r="D39399" s="185"/>
      <c r="E39399" s="185" t="s">
        <v>470</v>
      </c>
      <c r="H39399" s="185"/>
    </row>
    <row r="39400">
      <c r="D39400" s="185"/>
      <c r="E39400" s="185" t="s">
        <v>470</v>
      </c>
      <c r="H39400" s="185"/>
    </row>
    <row r="39401">
      <c r="D39401" s="185"/>
      <c r="E39401" s="185" t="s">
        <v>470</v>
      </c>
      <c r="H39401" s="185"/>
    </row>
    <row r="39402">
      <c r="D39402" s="185"/>
      <c r="E39402" s="185" t="s">
        <v>470</v>
      </c>
      <c r="H39402" s="185"/>
    </row>
    <row r="39403">
      <c r="D39403" s="185"/>
      <c r="E39403" s="185" t="s">
        <v>470</v>
      </c>
      <c r="H39403" s="185"/>
    </row>
    <row r="39404">
      <c r="D39404" s="185"/>
      <c r="E39404" s="185" t="s">
        <v>470</v>
      </c>
      <c r="H39404" s="185"/>
    </row>
    <row r="39405">
      <c r="D39405" s="185"/>
      <c r="E39405" s="185" t="s">
        <v>470</v>
      </c>
      <c r="H39405" s="185"/>
    </row>
    <row r="39406">
      <c r="D39406" s="185"/>
      <c r="E39406" s="185" t="s">
        <v>470</v>
      </c>
      <c r="H39406" s="185"/>
    </row>
    <row r="39407">
      <c r="D39407" s="185"/>
      <c r="E39407" s="185" t="s">
        <v>470</v>
      </c>
      <c r="H39407" s="185"/>
    </row>
    <row r="39408">
      <c r="D39408" s="185"/>
      <c r="E39408" s="185" t="s">
        <v>470</v>
      </c>
      <c r="H39408" s="185"/>
    </row>
    <row r="39409">
      <c r="D39409" s="185"/>
      <c r="E39409" s="185" t="s">
        <v>470</v>
      </c>
      <c r="H39409" s="185"/>
    </row>
    <row r="39410">
      <c r="D39410" s="185"/>
      <c r="E39410" s="185" t="s">
        <v>470</v>
      </c>
      <c r="H39410" s="185"/>
    </row>
    <row r="39411">
      <c r="D39411" s="185"/>
      <c r="E39411" s="185" t="s">
        <v>470</v>
      </c>
      <c r="H39411" s="185"/>
    </row>
    <row r="39412">
      <c r="D39412" s="185"/>
      <c r="E39412" s="185" t="s">
        <v>470</v>
      </c>
      <c r="H39412" s="185"/>
    </row>
    <row r="39413">
      <c r="D39413" s="185"/>
      <c r="E39413" s="185" t="s">
        <v>470</v>
      </c>
      <c r="H39413" s="185"/>
    </row>
    <row r="39414">
      <c r="D39414" s="185"/>
      <c r="E39414" s="185" t="s">
        <v>470</v>
      </c>
      <c r="H39414" s="185"/>
    </row>
    <row r="39415">
      <c r="D39415" s="185"/>
      <c r="E39415" s="185" t="s">
        <v>470</v>
      </c>
      <c r="H39415" s="185"/>
    </row>
    <row r="39416">
      <c r="D39416" s="185"/>
      <c r="E39416" s="185" t="s">
        <v>470</v>
      </c>
      <c r="H39416" s="185"/>
    </row>
    <row r="39417">
      <c r="D39417" s="185"/>
      <c r="E39417" s="185" t="s">
        <v>470</v>
      </c>
      <c r="H39417" s="185"/>
    </row>
    <row r="39418">
      <c r="D39418" s="185"/>
      <c r="E39418" s="185" t="s">
        <v>470</v>
      </c>
      <c r="H39418" s="185"/>
    </row>
    <row r="39419">
      <c r="D39419" s="185"/>
      <c r="E39419" s="185" t="s">
        <v>470</v>
      </c>
      <c r="H39419" s="185"/>
    </row>
    <row r="39420">
      <c r="D39420" s="185"/>
      <c r="E39420" s="185" t="s">
        <v>470</v>
      </c>
      <c r="H39420" s="185"/>
    </row>
    <row r="39421">
      <c r="D39421" s="185"/>
      <c r="E39421" s="185" t="s">
        <v>470</v>
      </c>
      <c r="H39421" s="185"/>
    </row>
    <row r="39422">
      <c r="D39422" s="185"/>
      <c r="E39422" s="185" t="s">
        <v>470</v>
      </c>
      <c r="H39422" s="185"/>
    </row>
    <row r="39423">
      <c r="D39423" s="185"/>
      <c r="E39423" s="185" t="s">
        <v>470</v>
      </c>
      <c r="H39423" s="185"/>
    </row>
    <row r="39424">
      <c r="D39424" s="185"/>
      <c r="E39424" s="185" t="s">
        <v>470</v>
      </c>
      <c r="H39424" s="185"/>
    </row>
    <row r="39425">
      <c r="D39425" s="185"/>
      <c r="E39425" s="185" t="s">
        <v>470</v>
      </c>
      <c r="H39425" s="185"/>
    </row>
    <row r="39426">
      <c r="D39426" s="185"/>
      <c r="E39426" s="185" t="s">
        <v>470</v>
      </c>
      <c r="H39426" s="185"/>
    </row>
    <row r="39427">
      <c r="D39427" s="185"/>
      <c r="E39427" s="185" t="s">
        <v>470</v>
      </c>
      <c r="H39427" s="185"/>
    </row>
    <row r="39428">
      <c r="D39428" s="185"/>
      <c r="E39428" s="185" t="s">
        <v>470</v>
      </c>
      <c r="H39428" s="185"/>
    </row>
    <row r="39429">
      <c r="D39429" s="185"/>
      <c r="E39429" s="185" t="s">
        <v>470</v>
      </c>
      <c r="H39429" s="185"/>
    </row>
    <row r="39430">
      <c r="D39430" s="185"/>
      <c r="E39430" s="185" t="s">
        <v>470</v>
      </c>
      <c r="H39430" s="185"/>
    </row>
    <row r="39431">
      <c r="D39431" s="185"/>
      <c r="E39431" s="185" t="s">
        <v>470</v>
      </c>
      <c r="H39431" s="185"/>
    </row>
    <row r="39432">
      <c r="D39432" s="185"/>
      <c r="E39432" s="185" t="s">
        <v>470</v>
      </c>
      <c r="H39432" s="185"/>
    </row>
    <row r="39433">
      <c r="D39433" s="185"/>
      <c r="E39433" s="185" t="s">
        <v>470</v>
      </c>
      <c r="H39433" s="185"/>
    </row>
    <row r="39434">
      <c r="D39434" s="185"/>
      <c r="E39434" s="185" t="s">
        <v>470</v>
      </c>
      <c r="H39434" s="185"/>
    </row>
    <row r="39435">
      <c r="D39435" s="185"/>
      <c r="E39435" s="185" t="s">
        <v>470</v>
      </c>
      <c r="H39435" s="185"/>
    </row>
    <row r="39436">
      <c r="D39436" s="185"/>
      <c r="E39436" s="185" t="s">
        <v>470</v>
      </c>
      <c r="H39436" s="185"/>
    </row>
    <row r="39437">
      <c r="D39437" s="185"/>
      <c r="E39437" s="185" t="s">
        <v>470</v>
      </c>
      <c r="H39437" s="185"/>
    </row>
    <row r="39438">
      <c r="D39438" s="185"/>
      <c r="E39438" s="185" t="s">
        <v>470</v>
      </c>
      <c r="H39438" s="185"/>
    </row>
    <row r="39439">
      <c r="D39439" s="185"/>
      <c r="E39439" s="185" t="s">
        <v>470</v>
      </c>
      <c r="H39439" s="185"/>
    </row>
    <row r="39440">
      <c r="D39440" s="185"/>
      <c r="E39440" s="185" t="s">
        <v>470</v>
      </c>
      <c r="H39440" s="185"/>
    </row>
    <row r="39441">
      <c r="D39441" s="185"/>
      <c r="E39441" s="185" t="s">
        <v>470</v>
      </c>
      <c r="H39441" s="185"/>
    </row>
    <row r="39442">
      <c r="D39442" s="185"/>
      <c r="E39442" s="185" t="s">
        <v>470</v>
      </c>
      <c r="H39442" s="185"/>
    </row>
    <row r="39443">
      <c r="D39443" s="185"/>
      <c r="E39443" s="185" t="s">
        <v>470</v>
      </c>
      <c r="H39443" s="185"/>
    </row>
    <row r="39444">
      <c r="D39444" s="185"/>
      <c r="E39444" s="185" t="s">
        <v>470</v>
      </c>
      <c r="H39444" s="185"/>
    </row>
    <row r="39445">
      <c r="D39445" s="185"/>
      <c r="E39445" s="185" t="s">
        <v>470</v>
      </c>
      <c r="H39445" s="185"/>
    </row>
    <row r="39446">
      <c r="D39446" s="185"/>
      <c r="E39446" s="185" t="s">
        <v>470</v>
      </c>
      <c r="H39446" s="185"/>
    </row>
    <row r="39447">
      <c r="D39447" s="185"/>
      <c r="E39447" s="185" t="s">
        <v>470</v>
      </c>
      <c r="H39447" s="185"/>
    </row>
    <row r="39448">
      <c r="D39448" s="185"/>
      <c r="E39448" s="185" t="s">
        <v>470</v>
      </c>
      <c r="H39448" s="185"/>
    </row>
    <row r="39449">
      <c r="D39449" s="185"/>
      <c r="E39449" s="185" t="s">
        <v>470</v>
      </c>
      <c r="H39449" s="185"/>
    </row>
    <row r="39450">
      <c r="D39450" s="185"/>
      <c r="E39450" s="185" t="s">
        <v>470</v>
      </c>
      <c r="H39450" s="185"/>
    </row>
    <row r="39451">
      <c r="D39451" s="185"/>
      <c r="E39451" s="185" t="s">
        <v>470</v>
      </c>
      <c r="H39451" s="185"/>
    </row>
    <row r="39452">
      <c r="D39452" s="185"/>
      <c r="E39452" s="185" t="s">
        <v>470</v>
      </c>
      <c r="H39452" s="185"/>
    </row>
    <row r="39453">
      <c r="D39453" s="185"/>
      <c r="E39453" s="185" t="s">
        <v>470</v>
      </c>
      <c r="H39453" s="185"/>
    </row>
    <row r="39454">
      <c r="D39454" s="185"/>
      <c r="E39454" s="185" t="s">
        <v>470</v>
      </c>
      <c r="H39454" s="185"/>
    </row>
    <row r="39455">
      <c r="D39455" s="185"/>
      <c r="E39455" s="185" t="s">
        <v>470</v>
      </c>
      <c r="H39455" s="185"/>
    </row>
    <row r="39456">
      <c r="D39456" s="185"/>
      <c r="E39456" s="185" t="s">
        <v>470</v>
      </c>
      <c r="H39456" s="185"/>
    </row>
    <row r="39457">
      <c r="D39457" s="185"/>
      <c r="E39457" s="185" t="s">
        <v>470</v>
      </c>
      <c r="H39457" s="185"/>
    </row>
    <row r="39458">
      <c r="D39458" s="185"/>
      <c r="E39458" s="185" t="s">
        <v>470</v>
      </c>
      <c r="H39458" s="185"/>
    </row>
    <row r="39459">
      <c r="D39459" s="185"/>
      <c r="E39459" s="185" t="s">
        <v>470</v>
      </c>
      <c r="H39459" s="185"/>
    </row>
    <row r="39460">
      <c r="D39460" s="185"/>
      <c r="E39460" s="185" t="s">
        <v>470</v>
      </c>
      <c r="H39460" s="185"/>
    </row>
    <row r="39461">
      <c r="D39461" s="185"/>
      <c r="E39461" s="185" t="s">
        <v>470</v>
      </c>
      <c r="H39461" s="185"/>
    </row>
    <row r="39462">
      <c r="D39462" s="185"/>
      <c r="E39462" s="185" t="s">
        <v>470</v>
      </c>
      <c r="H39462" s="185"/>
    </row>
    <row r="39463">
      <c r="D39463" s="185"/>
      <c r="E39463" s="185" t="s">
        <v>470</v>
      </c>
      <c r="H39463" s="185"/>
    </row>
    <row r="39464">
      <c r="D39464" s="185"/>
      <c r="E39464" s="185" t="s">
        <v>470</v>
      </c>
      <c r="H39464" s="185"/>
    </row>
    <row r="39465">
      <c r="D39465" s="185"/>
      <c r="E39465" s="185" t="s">
        <v>470</v>
      </c>
      <c r="H39465" s="185"/>
    </row>
    <row r="39466">
      <c r="D39466" s="185"/>
      <c r="E39466" s="185" t="s">
        <v>470</v>
      </c>
      <c r="H39466" s="185"/>
    </row>
    <row r="39467">
      <c r="D39467" s="185"/>
      <c r="E39467" s="185" t="s">
        <v>470</v>
      </c>
      <c r="H39467" s="185"/>
    </row>
    <row r="39468">
      <c r="D39468" s="185"/>
      <c r="E39468" s="185" t="s">
        <v>470</v>
      </c>
      <c r="H39468" s="185"/>
    </row>
    <row r="39469">
      <c r="D39469" s="185"/>
      <c r="E39469" s="185" t="s">
        <v>470</v>
      </c>
      <c r="H39469" s="185"/>
    </row>
    <row r="39470">
      <c r="D39470" s="185"/>
      <c r="E39470" s="185" t="s">
        <v>470</v>
      </c>
      <c r="H39470" s="185"/>
    </row>
    <row r="39471">
      <c r="D39471" s="185"/>
      <c r="E39471" s="185" t="s">
        <v>470</v>
      </c>
      <c r="H39471" s="185"/>
    </row>
    <row r="39472">
      <c r="D39472" s="185"/>
      <c r="E39472" s="185" t="s">
        <v>470</v>
      </c>
      <c r="H39472" s="185"/>
    </row>
    <row r="39473">
      <c r="D39473" s="185"/>
      <c r="E39473" s="185" t="s">
        <v>470</v>
      </c>
      <c r="H39473" s="185"/>
    </row>
    <row r="39474">
      <c r="D39474" s="185"/>
      <c r="E39474" s="185" t="s">
        <v>470</v>
      </c>
      <c r="H39474" s="185"/>
    </row>
    <row r="39475">
      <c r="D39475" s="185"/>
      <c r="E39475" s="185" t="s">
        <v>470</v>
      </c>
      <c r="H39475" s="185"/>
    </row>
    <row r="39476">
      <c r="D39476" s="185"/>
      <c r="E39476" s="185" t="s">
        <v>470</v>
      </c>
      <c r="H39476" s="185"/>
    </row>
    <row r="39477">
      <c r="D39477" s="185"/>
      <c r="E39477" s="185" t="s">
        <v>470</v>
      </c>
      <c r="H39477" s="185"/>
    </row>
    <row r="39478">
      <c r="D39478" s="185"/>
      <c r="E39478" s="185" t="s">
        <v>470</v>
      </c>
      <c r="H39478" s="185"/>
    </row>
    <row r="39479">
      <c r="D39479" s="185"/>
      <c r="E39479" s="185" t="s">
        <v>470</v>
      </c>
      <c r="H39479" s="185"/>
    </row>
    <row r="39480">
      <c r="D39480" s="185"/>
      <c r="E39480" s="185" t="s">
        <v>470</v>
      </c>
      <c r="H39480" s="185"/>
    </row>
    <row r="39481">
      <c r="D39481" s="185"/>
      <c r="E39481" s="185" t="s">
        <v>470</v>
      </c>
      <c r="H39481" s="185"/>
    </row>
    <row r="39482">
      <c r="D39482" s="185"/>
      <c r="E39482" s="185" t="s">
        <v>470</v>
      </c>
      <c r="H39482" s="185"/>
    </row>
    <row r="39483">
      <c r="D39483" s="185"/>
      <c r="E39483" s="185" t="s">
        <v>470</v>
      </c>
      <c r="H39483" s="185"/>
    </row>
    <row r="39484">
      <c r="D39484" s="185"/>
      <c r="E39484" s="185" t="s">
        <v>470</v>
      </c>
      <c r="H39484" s="185"/>
    </row>
    <row r="39485">
      <c r="D39485" s="185"/>
      <c r="E39485" s="185" t="s">
        <v>470</v>
      </c>
      <c r="H39485" s="185"/>
    </row>
    <row r="39486">
      <c r="D39486" s="185"/>
      <c r="E39486" s="185" t="s">
        <v>470</v>
      </c>
      <c r="H39486" s="185"/>
    </row>
    <row r="39487">
      <c r="D39487" s="185"/>
      <c r="E39487" s="185" t="s">
        <v>470</v>
      </c>
      <c r="H39487" s="185"/>
    </row>
    <row r="39488">
      <c r="D39488" s="185"/>
      <c r="E39488" s="185" t="s">
        <v>470</v>
      </c>
      <c r="H39488" s="185"/>
    </row>
    <row r="39489">
      <c r="D39489" s="185"/>
      <c r="E39489" s="185" t="s">
        <v>470</v>
      </c>
      <c r="H39489" s="185"/>
    </row>
    <row r="39490">
      <c r="D39490" s="185"/>
      <c r="E39490" s="185" t="s">
        <v>470</v>
      </c>
      <c r="H39490" s="185"/>
    </row>
    <row r="39491">
      <c r="D39491" s="185"/>
      <c r="E39491" s="185" t="s">
        <v>470</v>
      </c>
      <c r="H39491" s="185"/>
    </row>
    <row r="39492">
      <c r="D39492" s="185"/>
      <c r="E39492" s="185" t="s">
        <v>470</v>
      </c>
      <c r="H39492" s="185"/>
    </row>
    <row r="39493">
      <c r="D39493" s="185"/>
      <c r="E39493" s="185" t="s">
        <v>470</v>
      </c>
      <c r="H39493" s="185"/>
    </row>
    <row r="39494">
      <c r="D39494" s="185"/>
      <c r="E39494" s="185" t="s">
        <v>470</v>
      </c>
      <c r="H39494" s="185"/>
    </row>
    <row r="39495">
      <c r="D39495" s="185"/>
      <c r="E39495" s="185" t="s">
        <v>470</v>
      </c>
      <c r="H39495" s="185"/>
    </row>
    <row r="39496">
      <c r="D39496" s="185"/>
      <c r="E39496" s="185" t="s">
        <v>470</v>
      </c>
      <c r="H39496" s="185"/>
    </row>
    <row r="39497">
      <c r="D39497" s="185"/>
      <c r="E39497" s="185" t="s">
        <v>470</v>
      </c>
      <c r="H39497" s="185"/>
    </row>
    <row r="39498">
      <c r="D39498" s="185"/>
      <c r="E39498" s="185" t="s">
        <v>470</v>
      </c>
      <c r="H39498" s="185"/>
    </row>
    <row r="39499">
      <c r="D39499" s="185"/>
      <c r="E39499" s="185" t="s">
        <v>470</v>
      </c>
      <c r="H39499" s="185"/>
    </row>
    <row r="39500">
      <c r="D39500" s="185"/>
      <c r="E39500" s="185" t="s">
        <v>470</v>
      </c>
      <c r="H39500" s="185"/>
    </row>
    <row r="39501">
      <c r="D39501" s="185"/>
      <c r="E39501" s="185" t="s">
        <v>470</v>
      </c>
      <c r="H39501" s="185"/>
    </row>
    <row r="39502">
      <c r="D39502" s="185"/>
      <c r="E39502" s="185" t="s">
        <v>470</v>
      </c>
      <c r="H39502" s="185"/>
    </row>
    <row r="39503">
      <c r="D39503" s="185"/>
      <c r="E39503" s="185" t="s">
        <v>470</v>
      </c>
      <c r="H39503" s="185"/>
    </row>
    <row r="39504">
      <c r="D39504" s="185"/>
      <c r="E39504" s="185" t="s">
        <v>470</v>
      </c>
      <c r="H39504" s="185"/>
    </row>
    <row r="39505">
      <c r="D39505" s="185"/>
      <c r="E39505" s="185" t="s">
        <v>470</v>
      </c>
      <c r="H39505" s="185"/>
    </row>
    <row r="39506">
      <c r="D39506" s="185"/>
      <c r="E39506" s="185" t="s">
        <v>470</v>
      </c>
      <c r="H39506" s="185"/>
    </row>
    <row r="39507">
      <c r="D39507" s="185"/>
      <c r="E39507" s="185" t="s">
        <v>470</v>
      </c>
      <c r="H39507" s="185"/>
    </row>
    <row r="39508">
      <c r="D39508" s="185"/>
      <c r="E39508" s="185" t="s">
        <v>470</v>
      </c>
      <c r="H39508" s="185"/>
    </row>
    <row r="39509">
      <c r="D39509" s="185"/>
      <c r="E39509" s="185" t="s">
        <v>470</v>
      </c>
      <c r="H39509" s="185"/>
    </row>
    <row r="39510">
      <c r="D39510" s="185"/>
      <c r="E39510" s="185" t="s">
        <v>470</v>
      </c>
      <c r="H39510" s="185"/>
    </row>
    <row r="39511">
      <c r="D39511" s="185"/>
      <c r="E39511" s="185" t="s">
        <v>470</v>
      </c>
      <c r="H39511" s="185"/>
    </row>
    <row r="39512">
      <c r="D39512" s="185"/>
      <c r="E39512" s="185" t="s">
        <v>470</v>
      </c>
      <c r="H39512" s="185"/>
    </row>
    <row r="39513">
      <c r="D39513" s="185"/>
      <c r="E39513" s="185" t="s">
        <v>470</v>
      </c>
      <c r="H39513" s="185"/>
    </row>
    <row r="39514">
      <c r="D39514" s="185"/>
      <c r="E39514" s="185" t="s">
        <v>470</v>
      </c>
      <c r="H39514" s="185"/>
    </row>
    <row r="39515">
      <c r="D39515" s="185"/>
      <c r="E39515" s="185" t="s">
        <v>470</v>
      </c>
      <c r="H39515" s="185"/>
    </row>
    <row r="39516">
      <c r="D39516" s="185"/>
      <c r="E39516" s="185" t="s">
        <v>470</v>
      </c>
      <c r="H39516" s="185"/>
    </row>
    <row r="39517">
      <c r="D39517" s="185"/>
      <c r="E39517" s="185" t="s">
        <v>470</v>
      </c>
      <c r="H39517" s="185"/>
    </row>
    <row r="39518">
      <c r="D39518" s="185"/>
      <c r="E39518" s="185" t="s">
        <v>470</v>
      </c>
      <c r="H39518" s="185"/>
    </row>
    <row r="39519">
      <c r="D39519" s="185"/>
      <c r="E39519" s="185" t="s">
        <v>470</v>
      </c>
      <c r="H39519" s="185"/>
    </row>
    <row r="39520">
      <c r="D39520" s="185"/>
      <c r="E39520" s="185" t="s">
        <v>470</v>
      </c>
      <c r="H39520" s="185"/>
    </row>
    <row r="39521">
      <c r="D39521" s="185"/>
      <c r="E39521" s="185" t="s">
        <v>470</v>
      </c>
      <c r="H39521" s="185"/>
    </row>
    <row r="39522">
      <c r="D39522" s="185"/>
      <c r="E39522" s="185" t="s">
        <v>470</v>
      </c>
      <c r="H39522" s="185"/>
    </row>
    <row r="39523">
      <c r="D39523" s="185"/>
      <c r="E39523" s="185" t="s">
        <v>470</v>
      </c>
      <c r="H39523" s="185"/>
    </row>
    <row r="39524">
      <c r="D39524" s="185"/>
      <c r="E39524" s="185" t="s">
        <v>470</v>
      </c>
      <c r="H39524" s="185"/>
    </row>
    <row r="39525">
      <c r="D39525" s="185"/>
      <c r="E39525" s="185" t="s">
        <v>470</v>
      </c>
      <c r="H39525" s="185"/>
    </row>
    <row r="39526">
      <c r="D39526" s="185"/>
      <c r="E39526" s="185" t="s">
        <v>470</v>
      </c>
      <c r="H39526" s="185"/>
    </row>
    <row r="39527">
      <c r="D39527" s="185"/>
      <c r="E39527" s="185" t="s">
        <v>470</v>
      </c>
      <c r="H39527" s="185"/>
    </row>
    <row r="39528">
      <c r="D39528" s="185"/>
      <c r="E39528" s="185" t="s">
        <v>470</v>
      </c>
      <c r="H39528" s="185"/>
    </row>
    <row r="39529">
      <c r="D39529" s="185"/>
      <c r="E39529" s="185" t="s">
        <v>470</v>
      </c>
      <c r="H39529" s="185"/>
    </row>
    <row r="39530">
      <c r="D39530" s="185"/>
      <c r="E39530" s="185" t="s">
        <v>470</v>
      </c>
      <c r="H39530" s="185"/>
    </row>
    <row r="39531">
      <c r="D39531" s="185"/>
      <c r="E39531" s="185" t="s">
        <v>470</v>
      </c>
      <c r="H39531" s="185"/>
    </row>
    <row r="39532">
      <c r="D39532" s="185"/>
      <c r="E39532" s="185" t="s">
        <v>470</v>
      </c>
      <c r="H39532" s="185"/>
    </row>
    <row r="39533">
      <c r="D39533" s="185"/>
      <c r="E39533" s="185" t="s">
        <v>470</v>
      </c>
      <c r="H39533" s="185"/>
    </row>
    <row r="39534">
      <c r="D39534" s="185"/>
      <c r="E39534" s="185" t="s">
        <v>470</v>
      </c>
      <c r="H39534" s="185"/>
    </row>
    <row r="39535">
      <c r="D39535" s="185"/>
      <c r="E39535" s="185" t="s">
        <v>470</v>
      </c>
      <c r="H39535" s="185"/>
    </row>
    <row r="39536">
      <c r="D39536" s="185"/>
      <c r="E39536" s="185" t="s">
        <v>470</v>
      </c>
      <c r="H39536" s="185"/>
    </row>
    <row r="39537">
      <c r="D39537" s="185"/>
      <c r="E39537" s="185" t="s">
        <v>470</v>
      </c>
      <c r="H39537" s="185"/>
    </row>
    <row r="39538">
      <c r="D39538" s="185"/>
      <c r="E39538" s="185" t="s">
        <v>470</v>
      </c>
      <c r="H39538" s="185"/>
    </row>
    <row r="39539">
      <c r="D39539" s="185"/>
      <c r="E39539" s="185" t="s">
        <v>470</v>
      </c>
      <c r="H39539" s="185"/>
    </row>
    <row r="39540">
      <c r="D39540" s="185"/>
      <c r="E39540" s="185" t="s">
        <v>470</v>
      </c>
      <c r="H39540" s="185"/>
    </row>
    <row r="39541">
      <c r="D39541" s="185"/>
      <c r="E39541" s="185" t="s">
        <v>470</v>
      </c>
      <c r="H39541" s="185"/>
    </row>
    <row r="39542">
      <c r="D39542" s="185"/>
      <c r="E39542" s="185" t="s">
        <v>470</v>
      </c>
      <c r="H39542" s="185"/>
    </row>
    <row r="39543">
      <c r="D39543" s="185"/>
      <c r="E39543" s="185" t="s">
        <v>470</v>
      </c>
      <c r="H39543" s="185"/>
    </row>
    <row r="39544">
      <c r="D39544" s="185"/>
      <c r="E39544" s="185" t="s">
        <v>470</v>
      </c>
      <c r="H39544" s="185"/>
    </row>
    <row r="39545">
      <c r="D39545" s="185"/>
      <c r="E39545" s="185" t="s">
        <v>470</v>
      </c>
      <c r="H39545" s="185"/>
    </row>
    <row r="39546">
      <c r="D39546" s="185"/>
      <c r="E39546" s="185" t="s">
        <v>470</v>
      </c>
      <c r="H39546" s="185"/>
    </row>
    <row r="39547">
      <c r="D39547" s="185"/>
      <c r="E39547" s="185" t="s">
        <v>470</v>
      </c>
      <c r="H39547" s="185"/>
    </row>
    <row r="39548">
      <c r="D39548" s="185"/>
      <c r="E39548" s="185" t="s">
        <v>470</v>
      </c>
      <c r="H39548" s="185"/>
    </row>
    <row r="39549">
      <c r="D39549" s="185"/>
      <c r="E39549" s="185" t="s">
        <v>470</v>
      </c>
      <c r="H39549" s="185"/>
    </row>
    <row r="39550">
      <c r="D39550" s="185"/>
      <c r="E39550" s="185" t="s">
        <v>470</v>
      </c>
      <c r="H39550" s="185"/>
    </row>
    <row r="39551">
      <c r="D39551" s="185"/>
      <c r="E39551" s="185" t="s">
        <v>470</v>
      </c>
      <c r="H39551" s="185"/>
    </row>
    <row r="39552">
      <c r="D39552" s="185"/>
      <c r="E39552" s="185" t="s">
        <v>470</v>
      </c>
      <c r="H39552" s="185"/>
    </row>
    <row r="39553">
      <c r="D39553" s="185"/>
      <c r="E39553" s="185" t="s">
        <v>470</v>
      </c>
      <c r="H39553" s="185"/>
    </row>
    <row r="39554">
      <c r="D39554" s="185"/>
      <c r="E39554" s="185" t="s">
        <v>470</v>
      </c>
      <c r="H39554" s="185"/>
    </row>
    <row r="39555">
      <c r="D39555" s="185"/>
      <c r="E39555" s="185" t="s">
        <v>470</v>
      </c>
      <c r="H39555" s="185"/>
    </row>
    <row r="39556">
      <c r="D39556" s="185"/>
      <c r="E39556" s="185" t="s">
        <v>470</v>
      </c>
      <c r="H39556" s="185"/>
    </row>
    <row r="39557">
      <c r="D39557" s="185"/>
      <c r="E39557" s="185" t="s">
        <v>470</v>
      </c>
      <c r="H39557" s="185"/>
    </row>
    <row r="39558">
      <c r="D39558" s="185"/>
      <c r="E39558" s="185" t="s">
        <v>470</v>
      </c>
      <c r="H39558" s="185"/>
    </row>
    <row r="39559">
      <c r="D39559" s="185"/>
      <c r="E39559" s="185" t="s">
        <v>470</v>
      </c>
      <c r="H39559" s="185"/>
    </row>
    <row r="39560">
      <c r="D39560" s="185"/>
      <c r="E39560" s="185" t="s">
        <v>470</v>
      </c>
      <c r="H39560" s="185"/>
    </row>
    <row r="39561">
      <c r="D39561" s="185"/>
      <c r="E39561" s="185" t="s">
        <v>470</v>
      </c>
      <c r="H39561" s="185"/>
    </row>
    <row r="39562">
      <c r="D39562" s="185"/>
      <c r="E39562" s="185" t="s">
        <v>470</v>
      </c>
      <c r="H39562" s="185"/>
    </row>
    <row r="39563">
      <c r="D39563" s="185"/>
      <c r="E39563" s="185" t="s">
        <v>470</v>
      </c>
      <c r="H39563" s="185"/>
    </row>
    <row r="39564">
      <c r="D39564" s="185"/>
      <c r="E39564" s="185" t="s">
        <v>470</v>
      </c>
      <c r="H39564" s="185"/>
    </row>
    <row r="39565">
      <c r="D39565" s="185"/>
      <c r="E39565" s="185" t="s">
        <v>470</v>
      </c>
      <c r="H39565" s="185"/>
    </row>
    <row r="39566">
      <c r="D39566" s="185"/>
      <c r="E39566" s="185" t="s">
        <v>470</v>
      </c>
      <c r="H39566" s="185"/>
    </row>
    <row r="39567">
      <c r="D39567" s="185"/>
      <c r="E39567" s="185" t="s">
        <v>470</v>
      </c>
      <c r="H39567" s="185"/>
    </row>
    <row r="39568">
      <c r="D39568" s="185"/>
      <c r="E39568" s="185" t="s">
        <v>470</v>
      </c>
      <c r="H39568" s="185"/>
    </row>
    <row r="39569">
      <c r="D39569" s="185"/>
      <c r="E39569" s="185" t="s">
        <v>470</v>
      </c>
      <c r="H39569" s="185"/>
    </row>
    <row r="39570">
      <c r="D39570" s="185"/>
      <c r="E39570" s="185" t="s">
        <v>470</v>
      </c>
      <c r="H39570" s="185"/>
    </row>
    <row r="39571">
      <c r="D39571" s="185"/>
      <c r="E39571" s="185" t="s">
        <v>470</v>
      </c>
      <c r="H39571" s="185"/>
    </row>
    <row r="39572">
      <c r="D39572" s="185"/>
      <c r="E39572" s="185" t="s">
        <v>470</v>
      </c>
      <c r="H39572" s="185"/>
    </row>
    <row r="39573">
      <c r="D39573" s="185"/>
      <c r="E39573" s="185" t="s">
        <v>470</v>
      </c>
      <c r="H39573" s="185"/>
    </row>
    <row r="39574">
      <c r="D39574" s="185"/>
      <c r="E39574" s="185" t="s">
        <v>470</v>
      </c>
      <c r="H39574" s="185"/>
    </row>
    <row r="39575">
      <c r="D39575" s="185"/>
      <c r="E39575" s="185" t="s">
        <v>470</v>
      </c>
      <c r="H39575" s="185"/>
    </row>
    <row r="39576">
      <c r="D39576" s="185"/>
      <c r="E39576" s="185" t="s">
        <v>470</v>
      </c>
      <c r="H39576" s="185"/>
    </row>
    <row r="39577">
      <c r="D39577" s="185"/>
      <c r="E39577" s="185" t="s">
        <v>470</v>
      </c>
      <c r="H39577" s="185"/>
    </row>
    <row r="39578">
      <c r="D39578" s="185"/>
      <c r="E39578" s="185" t="s">
        <v>470</v>
      </c>
      <c r="H39578" s="185"/>
    </row>
    <row r="39579">
      <c r="D39579" s="185"/>
      <c r="E39579" s="185" t="s">
        <v>470</v>
      </c>
      <c r="H39579" s="185"/>
    </row>
    <row r="39580">
      <c r="D39580" s="185"/>
      <c r="E39580" s="185" t="s">
        <v>470</v>
      </c>
      <c r="H39580" s="185"/>
    </row>
    <row r="39581">
      <c r="D39581" s="185"/>
      <c r="E39581" s="185" t="s">
        <v>470</v>
      </c>
      <c r="H39581" s="185"/>
    </row>
    <row r="39582">
      <c r="D39582" s="185"/>
      <c r="E39582" s="185" t="s">
        <v>470</v>
      </c>
      <c r="H39582" s="185"/>
    </row>
    <row r="39583">
      <c r="D39583" s="185"/>
      <c r="E39583" s="185" t="s">
        <v>470</v>
      </c>
      <c r="H39583" s="185"/>
    </row>
    <row r="39584">
      <c r="D39584" s="185"/>
      <c r="E39584" s="185" t="s">
        <v>470</v>
      </c>
      <c r="H39584" s="185"/>
    </row>
    <row r="39585">
      <c r="D39585" s="185"/>
      <c r="E39585" s="185" t="s">
        <v>470</v>
      </c>
      <c r="H39585" s="185"/>
    </row>
    <row r="39586">
      <c r="D39586" s="185"/>
      <c r="E39586" s="185" t="s">
        <v>470</v>
      </c>
      <c r="H39586" s="185"/>
    </row>
    <row r="39587">
      <c r="D39587" s="185"/>
      <c r="E39587" s="185" t="s">
        <v>470</v>
      </c>
      <c r="H39587" s="185"/>
    </row>
    <row r="39588">
      <c r="D39588" s="185"/>
      <c r="E39588" s="185" t="s">
        <v>470</v>
      </c>
      <c r="H39588" s="185"/>
    </row>
    <row r="39589">
      <c r="D39589" s="185"/>
      <c r="E39589" s="185" t="s">
        <v>470</v>
      </c>
      <c r="H39589" s="185"/>
    </row>
    <row r="39590">
      <c r="D39590" s="185"/>
      <c r="E39590" s="185" t="s">
        <v>470</v>
      </c>
      <c r="H39590" s="185"/>
    </row>
    <row r="39591">
      <c r="D39591" s="185"/>
      <c r="E39591" s="185" t="s">
        <v>470</v>
      </c>
      <c r="H39591" s="185"/>
    </row>
    <row r="39592">
      <c r="D39592" s="185"/>
      <c r="E39592" s="185" t="s">
        <v>470</v>
      </c>
      <c r="H39592" s="185"/>
    </row>
    <row r="39593">
      <c r="D39593" s="185"/>
      <c r="E39593" s="185" t="s">
        <v>470</v>
      </c>
      <c r="H39593" s="185"/>
    </row>
    <row r="39594">
      <c r="D39594" s="185"/>
      <c r="E39594" s="185" t="s">
        <v>470</v>
      </c>
      <c r="H39594" s="185"/>
    </row>
    <row r="39595">
      <c r="D39595" s="185"/>
      <c r="E39595" s="185" t="s">
        <v>470</v>
      </c>
      <c r="H39595" s="185"/>
    </row>
    <row r="39596">
      <c r="D39596" s="185"/>
      <c r="E39596" s="185" t="s">
        <v>470</v>
      </c>
      <c r="H39596" s="185"/>
    </row>
    <row r="39597">
      <c r="D39597" s="185"/>
      <c r="E39597" s="185" t="s">
        <v>470</v>
      </c>
      <c r="H39597" s="185"/>
    </row>
    <row r="39598">
      <c r="D39598" s="185"/>
      <c r="E39598" s="185" t="s">
        <v>470</v>
      </c>
      <c r="H39598" s="185"/>
    </row>
    <row r="39599">
      <c r="D39599" s="185"/>
      <c r="E39599" s="185" t="s">
        <v>470</v>
      </c>
      <c r="H39599" s="185"/>
    </row>
    <row r="39600">
      <c r="D39600" s="185"/>
      <c r="E39600" s="185" t="s">
        <v>470</v>
      </c>
      <c r="H39600" s="185"/>
    </row>
    <row r="39601">
      <c r="D39601" s="185"/>
      <c r="E39601" s="185" t="s">
        <v>470</v>
      </c>
      <c r="H39601" s="185"/>
    </row>
    <row r="39602">
      <c r="D39602" s="185"/>
      <c r="E39602" s="185" t="s">
        <v>470</v>
      </c>
      <c r="H39602" s="185"/>
    </row>
    <row r="39603">
      <c r="D39603" s="185"/>
      <c r="E39603" s="185" t="s">
        <v>470</v>
      </c>
      <c r="H39603" s="185"/>
    </row>
    <row r="39604">
      <c r="D39604" s="185"/>
      <c r="E39604" s="185" t="s">
        <v>470</v>
      </c>
      <c r="H39604" s="185"/>
    </row>
    <row r="39605">
      <c r="D39605" s="185"/>
      <c r="E39605" s="185" t="s">
        <v>470</v>
      </c>
      <c r="H39605" s="185"/>
    </row>
    <row r="39606">
      <c r="D39606" s="185"/>
      <c r="E39606" s="185" t="s">
        <v>470</v>
      </c>
      <c r="H39606" s="185"/>
    </row>
    <row r="39607">
      <c r="D39607" s="185"/>
      <c r="E39607" s="185" t="s">
        <v>470</v>
      </c>
      <c r="H39607" s="185"/>
    </row>
    <row r="39608">
      <c r="D39608" s="185"/>
      <c r="E39608" s="185" t="s">
        <v>470</v>
      </c>
      <c r="H39608" s="185"/>
    </row>
    <row r="39609">
      <c r="D39609" s="185"/>
      <c r="E39609" s="185" t="s">
        <v>470</v>
      </c>
      <c r="H39609" s="185"/>
    </row>
    <row r="39610">
      <c r="D39610" s="185"/>
      <c r="E39610" s="185" t="s">
        <v>470</v>
      </c>
      <c r="H39610" s="185"/>
    </row>
    <row r="39611">
      <c r="D39611" s="185"/>
      <c r="E39611" s="185" t="s">
        <v>470</v>
      </c>
      <c r="H39611" s="185"/>
    </row>
    <row r="39612">
      <c r="D39612" s="185"/>
      <c r="E39612" s="185" t="s">
        <v>470</v>
      </c>
      <c r="H39612" s="185"/>
    </row>
    <row r="39613">
      <c r="D39613" s="185"/>
      <c r="E39613" s="185" t="s">
        <v>470</v>
      </c>
      <c r="H39613" s="185"/>
    </row>
    <row r="39614">
      <c r="D39614" s="185"/>
      <c r="E39614" s="185" t="s">
        <v>470</v>
      </c>
      <c r="H39614" s="185"/>
    </row>
    <row r="39615">
      <c r="D39615" s="185"/>
      <c r="E39615" s="185" t="s">
        <v>470</v>
      </c>
      <c r="H39615" s="185"/>
    </row>
    <row r="39616">
      <c r="D39616" s="185"/>
      <c r="E39616" s="185" t="s">
        <v>470</v>
      </c>
      <c r="H39616" s="185"/>
    </row>
    <row r="39617">
      <c r="D39617" s="185"/>
      <c r="E39617" s="185" t="s">
        <v>470</v>
      </c>
      <c r="H39617" s="185"/>
    </row>
    <row r="39618">
      <c r="D39618" s="185"/>
      <c r="E39618" s="185" t="s">
        <v>470</v>
      </c>
      <c r="H39618" s="185"/>
    </row>
    <row r="39619">
      <c r="D39619" s="185"/>
      <c r="E39619" s="185" t="s">
        <v>470</v>
      </c>
      <c r="H39619" s="185"/>
    </row>
    <row r="39620">
      <c r="D39620" s="185"/>
      <c r="E39620" s="185" t="s">
        <v>470</v>
      </c>
      <c r="H39620" s="185"/>
    </row>
    <row r="39621">
      <c r="D39621" s="185"/>
      <c r="E39621" s="185" t="s">
        <v>470</v>
      </c>
      <c r="H39621" s="185"/>
    </row>
    <row r="39622">
      <c r="D39622" s="185"/>
      <c r="E39622" s="185" t="s">
        <v>470</v>
      </c>
      <c r="H39622" s="185"/>
    </row>
    <row r="39623">
      <c r="D39623" s="185"/>
      <c r="E39623" s="185" t="s">
        <v>470</v>
      </c>
      <c r="H39623" s="185"/>
    </row>
    <row r="39624">
      <c r="D39624" s="185"/>
      <c r="E39624" s="185" t="s">
        <v>470</v>
      </c>
      <c r="H39624" s="185"/>
    </row>
    <row r="39625">
      <c r="D39625" s="185"/>
      <c r="E39625" s="185" t="s">
        <v>470</v>
      </c>
      <c r="H39625" s="185"/>
    </row>
    <row r="39626">
      <c r="D39626" s="185"/>
      <c r="E39626" s="185" t="s">
        <v>470</v>
      </c>
      <c r="H39626" s="185"/>
    </row>
    <row r="39627">
      <c r="D39627" s="185"/>
      <c r="E39627" s="185" t="s">
        <v>470</v>
      </c>
      <c r="H39627" s="185"/>
    </row>
    <row r="39628">
      <c r="D39628" s="185"/>
      <c r="E39628" s="185" t="s">
        <v>470</v>
      </c>
      <c r="H39628" s="185"/>
    </row>
    <row r="39629">
      <c r="D39629" s="185"/>
      <c r="E39629" s="185" t="s">
        <v>470</v>
      </c>
      <c r="H39629" s="185"/>
    </row>
    <row r="39630">
      <c r="D39630" s="185"/>
      <c r="E39630" s="185" t="s">
        <v>470</v>
      </c>
      <c r="H39630" s="185"/>
    </row>
    <row r="39631">
      <c r="D39631" s="185"/>
      <c r="E39631" s="185" t="s">
        <v>470</v>
      </c>
      <c r="H39631" s="185"/>
    </row>
    <row r="39632">
      <c r="D39632" s="185"/>
      <c r="E39632" s="185" t="s">
        <v>470</v>
      </c>
      <c r="H39632" s="185"/>
    </row>
    <row r="39633">
      <c r="D39633" s="185"/>
      <c r="E39633" s="185" t="s">
        <v>470</v>
      </c>
      <c r="H39633" s="185"/>
    </row>
    <row r="39634">
      <c r="D39634" s="185"/>
      <c r="E39634" s="185" t="s">
        <v>470</v>
      </c>
      <c r="H39634" s="185"/>
    </row>
    <row r="39635">
      <c r="D39635" s="185"/>
      <c r="E39635" s="185" t="s">
        <v>470</v>
      </c>
      <c r="H39635" s="185"/>
    </row>
    <row r="39636">
      <c r="D39636" s="185"/>
      <c r="E39636" s="185" t="s">
        <v>470</v>
      </c>
      <c r="H39636" s="185"/>
    </row>
    <row r="39637">
      <c r="D39637" s="185"/>
      <c r="E39637" s="185" t="s">
        <v>470</v>
      </c>
      <c r="H39637" s="185"/>
    </row>
    <row r="39638">
      <c r="D39638" s="185"/>
      <c r="E39638" s="185" t="s">
        <v>470</v>
      </c>
      <c r="H39638" s="185"/>
    </row>
    <row r="39639">
      <c r="D39639" s="185"/>
      <c r="E39639" s="185" t="s">
        <v>470</v>
      </c>
      <c r="H39639" s="185"/>
    </row>
    <row r="39640">
      <c r="D39640" s="185"/>
      <c r="E39640" s="185" t="s">
        <v>470</v>
      </c>
      <c r="H39640" s="185"/>
    </row>
    <row r="39641">
      <c r="D39641" s="185"/>
      <c r="E39641" s="185" t="s">
        <v>470</v>
      </c>
      <c r="H39641" s="185"/>
    </row>
    <row r="39642">
      <c r="D39642" s="185"/>
      <c r="E39642" s="185" t="s">
        <v>470</v>
      </c>
      <c r="H39642" s="185"/>
    </row>
    <row r="39643">
      <c r="D39643" s="185"/>
      <c r="E39643" s="185" t="s">
        <v>470</v>
      </c>
      <c r="H39643" s="185"/>
    </row>
    <row r="39644">
      <c r="D39644" s="185"/>
      <c r="E39644" s="185" t="s">
        <v>470</v>
      </c>
      <c r="H39644" s="185"/>
    </row>
    <row r="39645">
      <c r="D39645" s="185"/>
      <c r="E39645" s="185" t="s">
        <v>470</v>
      </c>
      <c r="H39645" s="185"/>
    </row>
    <row r="39646">
      <c r="D39646" s="185"/>
      <c r="E39646" s="185" t="s">
        <v>470</v>
      </c>
      <c r="H39646" s="185"/>
    </row>
    <row r="39647">
      <c r="D39647" s="185"/>
      <c r="E39647" s="185" t="s">
        <v>470</v>
      </c>
      <c r="H39647" s="185"/>
    </row>
    <row r="39648">
      <c r="D39648" s="185"/>
      <c r="E39648" s="185" t="s">
        <v>470</v>
      </c>
      <c r="H39648" s="185"/>
    </row>
    <row r="39649">
      <c r="D39649" s="185"/>
      <c r="E39649" s="185" t="s">
        <v>470</v>
      </c>
      <c r="H39649" s="185"/>
    </row>
    <row r="39650">
      <c r="D39650" s="185"/>
      <c r="E39650" s="185" t="s">
        <v>470</v>
      </c>
      <c r="H39650" s="185"/>
    </row>
    <row r="39651">
      <c r="D39651" s="185"/>
      <c r="E39651" s="185" t="s">
        <v>470</v>
      </c>
      <c r="H39651" s="185"/>
    </row>
    <row r="39652">
      <c r="D39652" s="185"/>
      <c r="E39652" s="185" t="s">
        <v>470</v>
      </c>
      <c r="H39652" s="185"/>
    </row>
    <row r="39653">
      <c r="D39653" s="185"/>
      <c r="E39653" s="185" t="s">
        <v>470</v>
      </c>
      <c r="H39653" s="185"/>
    </row>
    <row r="39654">
      <c r="D39654" s="185"/>
      <c r="E39654" s="185" t="s">
        <v>470</v>
      </c>
      <c r="H39654" s="185"/>
    </row>
    <row r="39655">
      <c r="D39655" s="185"/>
      <c r="E39655" s="185" t="s">
        <v>470</v>
      </c>
      <c r="H39655" s="185"/>
    </row>
    <row r="39656">
      <c r="D39656" s="185"/>
      <c r="E39656" s="185" t="s">
        <v>470</v>
      </c>
      <c r="H39656" s="185"/>
    </row>
    <row r="39657">
      <c r="D39657" s="185"/>
      <c r="E39657" s="185" t="s">
        <v>470</v>
      </c>
      <c r="H39657" s="185"/>
    </row>
    <row r="39658">
      <c r="D39658" s="185"/>
      <c r="E39658" s="185" t="s">
        <v>470</v>
      </c>
      <c r="H39658" s="185"/>
    </row>
    <row r="39659">
      <c r="D39659" s="185"/>
      <c r="E39659" s="185" t="s">
        <v>470</v>
      </c>
      <c r="H39659" s="185"/>
    </row>
    <row r="39660">
      <c r="D39660" s="185"/>
      <c r="E39660" s="185" t="s">
        <v>470</v>
      </c>
      <c r="H39660" s="185"/>
    </row>
    <row r="39661">
      <c r="D39661" s="185"/>
      <c r="E39661" s="185" t="s">
        <v>470</v>
      </c>
      <c r="H39661" s="185"/>
    </row>
    <row r="39662">
      <c r="D39662" s="185"/>
      <c r="E39662" s="185" t="s">
        <v>470</v>
      </c>
      <c r="H39662" s="185"/>
    </row>
    <row r="39663">
      <c r="D39663" s="185"/>
      <c r="E39663" s="185" t="s">
        <v>470</v>
      </c>
      <c r="H39663" s="185"/>
    </row>
    <row r="39664">
      <c r="D39664" s="185"/>
      <c r="E39664" s="185" t="s">
        <v>470</v>
      </c>
      <c r="H39664" s="185"/>
    </row>
    <row r="39665">
      <c r="D39665" s="185"/>
      <c r="E39665" s="185" t="s">
        <v>470</v>
      </c>
      <c r="H39665" s="185"/>
    </row>
    <row r="39666">
      <c r="D39666" s="185"/>
      <c r="E39666" s="185" t="s">
        <v>470</v>
      </c>
      <c r="H39666" s="185"/>
    </row>
    <row r="39667">
      <c r="D39667" s="185"/>
      <c r="E39667" s="185" t="s">
        <v>470</v>
      </c>
      <c r="H39667" s="185"/>
    </row>
    <row r="39668">
      <c r="D39668" s="185"/>
      <c r="E39668" s="185" t="s">
        <v>470</v>
      </c>
      <c r="H39668" s="185"/>
    </row>
    <row r="39669">
      <c r="D39669" s="185"/>
      <c r="E39669" s="185" t="s">
        <v>470</v>
      </c>
      <c r="H39669" s="185"/>
    </row>
    <row r="39670">
      <c r="D39670" s="185"/>
      <c r="E39670" s="185" t="s">
        <v>470</v>
      </c>
      <c r="H39670" s="185"/>
    </row>
    <row r="39671">
      <c r="D39671" s="185"/>
      <c r="E39671" s="185" t="s">
        <v>470</v>
      </c>
      <c r="H39671" s="185"/>
    </row>
    <row r="39672">
      <c r="D39672" s="185"/>
      <c r="E39672" s="185" t="s">
        <v>470</v>
      </c>
      <c r="H39672" s="185"/>
    </row>
    <row r="39673">
      <c r="D39673" s="185"/>
      <c r="E39673" s="185" t="s">
        <v>470</v>
      </c>
      <c r="H39673" s="185"/>
    </row>
    <row r="39674">
      <c r="D39674" s="185"/>
      <c r="E39674" s="185" t="s">
        <v>470</v>
      </c>
      <c r="H39674" s="185"/>
    </row>
    <row r="39675">
      <c r="D39675" s="185"/>
      <c r="E39675" s="185" t="s">
        <v>470</v>
      </c>
      <c r="H39675" s="185"/>
    </row>
    <row r="39676">
      <c r="D39676" s="185"/>
      <c r="E39676" s="185" t="s">
        <v>470</v>
      </c>
      <c r="H39676" s="185"/>
    </row>
    <row r="39677">
      <c r="D39677" s="185"/>
      <c r="E39677" s="185" t="s">
        <v>470</v>
      </c>
      <c r="H39677" s="185"/>
    </row>
    <row r="39678">
      <c r="D39678" s="185"/>
      <c r="E39678" s="185" t="s">
        <v>470</v>
      </c>
      <c r="H39678" s="185"/>
    </row>
    <row r="39679">
      <c r="D39679" s="185"/>
      <c r="E39679" s="185" t="s">
        <v>470</v>
      </c>
      <c r="H39679" s="185"/>
    </row>
    <row r="39680">
      <c r="D39680" s="185"/>
      <c r="E39680" s="185" t="s">
        <v>470</v>
      </c>
      <c r="H39680" s="185"/>
    </row>
    <row r="39681">
      <c r="D39681" s="185"/>
      <c r="E39681" s="185" t="s">
        <v>470</v>
      </c>
      <c r="H39681" s="185"/>
    </row>
    <row r="39682">
      <c r="D39682" s="185"/>
      <c r="E39682" s="185" t="s">
        <v>470</v>
      </c>
      <c r="H39682" s="185"/>
    </row>
    <row r="39683">
      <c r="D39683" s="185"/>
      <c r="E39683" s="185" t="s">
        <v>470</v>
      </c>
      <c r="H39683" s="185"/>
    </row>
    <row r="39684">
      <c r="D39684" s="185"/>
      <c r="E39684" s="185" t="s">
        <v>470</v>
      </c>
      <c r="H39684" s="185"/>
    </row>
    <row r="39685">
      <c r="D39685" s="185"/>
      <c r="E39685" s="185" t="s">
        <v>470</v>
      </c>
      <c r="H39685" s="185"/>
    </row>
    <row r="39686">
      <c r="D39686" s="185"/>
      <c r="E39686" s="185" t="s">
        <v>470</v>
      </c>
      <c r="H39686" s="185"/>
    </row>
    <row r="39687">
      <c r="D39687" s="185"/>
      <c r="E39687" s="185" t="s">
        <v>470</v>
      </c>
      <c r="H39687" s="185"/>
    </row>
    <row r="39688">
      <c r="D39688" s="185"/>
      <c r="E39688" s="185" t="s">
        <v>470</v>
      </c>
      <c r="H39688" s="185"/>
    </row>
    <row r="39689">
      <c r="D39689" s="185"/>
      <c r="E39689" s="185" t="s">
        <v>470</v>
      </c>
      <c r="H39689" s="185"/>
    </row>
    <row r="39690">
      <c r="D39690" s="185"/>
      <c r="E39690" s="185" t="s">
        <v>470</v>
      </c>
      <c r="H39690" s="185"/>
    </row>
    <row r="39691">
      <c r="D39691" s="185"/>
      <c r="E39691" s="185" t="s">
        <v>470</v>
      </c>
      <c r="H39691" s="185"/>
    </row>
    <row r="39692">
      <c r="D39692" s="185"/>
      <c r="E39692" s="185" t="s">
        <v>470</v>
      </c>
      <c r="H39692" s="185"/>
    </row>
    <row r="39693">
      <c r="D39693" s="185"/>
      <c r="E39693" s="185" t="s">
        <v>470</v>
      </c>
      <c r="H39693" s="185"/>
    </row>
    <row r="39694">
      <c r="D39694" s="185"/>
      <c r="E39694" s="185" t="s">
        <v>470</v>
      </c>
      <c r="H39694" s="185"/>
    </row>
    <row r="39695">
      <c r="D39695" s="185"/>
      <c r="E39695" s="185" t="s">
        <v>470</v>
      </c>
      <c r="H39695" s="185"/>
    </row>
    <row r="39696">
      <c r="D39696" s="185"/>
      <c r="E39696" s="185" t="s">
        <v>470</v>
      </c>
      <c r="H39696" s="185"/>
    </row>
    <row r="39697">
      <c r="D39697" s="185"/>
      <c r="E39697" s="185" t="s">
        <v>470</v>
      </c>
      <c r="H39697" s="185"/>
    </row>
    <row r="39698">
      <c r="D39698" s="185"/>
      <c r="E39698" s="185" t="s">
        <v>470</v>
      </c>
      <c r="H39698" s="185"/>
    </row>
    <row r="39699">
      <c r="D39699" s="185"/>
      <c r="E39699" s="185" t="s">
        <v>470</v>
      </c>
      <c r="H39699" s="185"/>
    </row>
    <row r="39700">
      <c r="D39700" s="185"/>
      <c r="E39700" s="185" t="s">
        <v>470</v>
      </c>
      <c r="H39700" s="185"/>
    </row>
    <row r="39701">
      <c r="D39701" s="185"/>
      <c r="E39701" s="185" t="s">
        <v>470</v>
      </c>
      <c r="H39701" s="185"/>
    </row>
    <row r="39702">
      <c r="D39702" s="185"/>
      <c r="E39702" s="185" t="s">
        <v>470</v>
      </c>
      <c r="H39702" s="185"/>
    </row>
    <row r="39703">
      <c r="D39703" s="185"/>
      <c r="E39703" s="185" t="s">
        <v>470</v>
      </c>
      <c r="H39703" s="185"/>
    </row>
    <row r="39704">
      <c r="D39704" s="185"/>
      <c r="E39704" s="185" t="s">
        <v>470</v>
      </c>
      <c r="H39704" s="185"/>
    </row>
    <row r="39705">
      <c r="D39705" s="185"/>
      <c r="E39705" s="185" t="s">
        <v>470</v>
      </c>
      <c r="H39705" s="185"/>
    </row>
    <row r="39706">
      <c r="D39706" s="185"/>
      <c r="E39706" s="185" t="s">
        <v>470</v>
      </c>
      <c r="H39706" s="185"/>
    </row>
    <row r="39707">
      <c r="D39707" s="185"/>
      <c r="E39707" s="185" t="s">
        <v>470</v>
      </c>
      <c r="H39707" s="185"/>
    </row>
    <row r="39708">
      <c r="D39708" s="185"/>
      <c r="E39708" s="185" t="s">
        <v>470</v>
      </c>
      <c r="H39708" s="185"/>
    </row>
    <row r="39709">
      <c r="D39709" s="185"/>
      <c r="E39709" s="185" t="s">
        <v>470</v>
      </c>
      <c r="H39709" s="185"/>
    </row>
    <row r="39710">
      <c r="D39710" s="185"/>
      <c r="E39710" s="185" t="s">
        <v>470</v>
      </c>
      <c r="H39710" s="185"/>
    </row>
    <row r="39711">
      <c r="D39711" s="185"/>
      <c r="E39711" s="185" t="s">
        <v>470</v>
      </c>
      <c r="H39711" s="185"/>
    </row>
    <row r="39712">
      <c r="D39712" s="185"/>
      <c r="E39712" s="185" t="s">
        <v>470</v>
      </c>
      <c r="H39712" s="185"/>
    </row>
    <row r="39713">
      <c r="D39713" s="185"/>
      <c r="E39713" s="185" t="s">
        <v>470</v>
      </c>
      <c r="H39713" s="185"/>
    </row>
    <row r="39714">
      <c r="D39714" s="185"/>
      <c r="E39714" s="185" t="s">
        <v>470</v>
      </c>
      <c r="H39714" s="185"/>
    </row>
    <row r="39715">
      <c r="D39715" s="185"/>
      <c r="E39715" s="185" t="s">
        <v>470</v>
      </c>
      <c r="H39715" s="185"/>
    </row>
    <row r="39716">
      <c r="D39716" s="185"/>
      <c r="E39716" s="185" t="s">
        <v>470</v>
      </c>
      <c r="H39716" s="185"/>
    </row>
    <row r="39717">
      <c r="D39717" s="185"/>
      <c r="E39717" s="185" t="s">
        <v>470</v>
      </c>
      <c r="H39717" s="185"/>
    </row>
    <row r="39718">
      <c r="D39718" s="185"/>
      <c r="E39718" s="185" t="s">
        <v>470</v>
      </c>
      <c r="H39718" s="185"/>
    </row>
    <row r="39719">
      <c r="D39719" s="185"/>
      <c r="E39719" s="185" t="s">
        <v>470</v>
      </c>
      <c r="H39719" s="185"/>
    </row>
    <row r="39720">
      <c r="D39720" s="185"/>
      <c r="E39720" s="185" t="s">
        <v>470</v>
      </c>
      <c r="H39720" s="185"/>
    </row>
    <row r="39721">
      <c r="D39721" s="185"/>
      <c r="E39721" s="185" t="s">
        <v>470</v>
      </c>
      <c r="H39721" s="185"/>
    </row>
    <row r="39722">
      <c r="D39722" s="185"/>
      <c r="E39722" s="185" t="s">
        <v>470</v>
      </c>
      <c r="H39722" s="185"/>
    </row>
    <row r="39723">
      <c r="D39723" s="185"/>
      <c r="E39723" s="185" t="s">
        <v>470</v>
      </c>
      <c r="H39723" s="185"/>
    </row>
    <row r="39724">
      <c r="D39724" s="185"/>
      <c r="E39724" s="185" t="s">
        <v>470</v>
      </c>
      <c r="H39724" s="185"/>
    </row>
    <row r="39725">
      <c r="D39725" s="185"/>
      <c r="E39725" s="185" t="s">
        <v>470</v>
      </c>
      <c r="H39725" s="185"/>
    </row>
    <row r="39726">
      <c r="D39726" s="185"/>
      <c r="E39726" s="185" t="s">
        <v>470</v>
      </c>
      <c r="H39726" s="185"/>
    </row>
    <row r="39727">
      <c r="D39727" s="185"/>
      <c r="E39727" s="185" t="s">
        <v>470</v>
      </c>
      <c r="H39727" s="185"/>
    </row>
    <row r="39728">
      <c r="D39728" s="185"/>
      <c r="E39728" s="185" t="s">
        <v>470</v>
      </c>
      <c r="H39728" s="185"/>
    </row>
    <row r="39729">
      <c r="D39729" s="185"/>
      <c r="E39729" s="185" t="s">
        <v>470</v>
      </c>
      <c r="H39729" s="185"/>
    </row>
    <row r="39730">
      <c r="D39730" s="185"/>
      <c r="E39730" s="185" t="s">
        <v>470</v>
      </c>
      <c r="H39730" s="185"/>
    </row>
    <row r="39731">
      <c r="D39731" s="185"/>
      <c r="E39731" s="185" t="s">
        <v>470</v>
      </c>
      <c r="H39731" s="185"/>
    </row>
    <row r="39732">
      <c r="D39732" s="185"/>
      <c r="E39732" s="185" t="s">
        <v>470</v>
      </c>
      <c r="H39732" s="185"/>
    </row>
    <row r="39733">
      <c r="D39733" s="185"/>
      <c r="E39733" s="185" t="s">
        <v>470</v>
      </c>
      <c r="H39733" s="185"/>
    </row>
    <row r="39734">
      <c r="D39734" s="185"/>
      <c r="E39734" s="185" t="s">
        <v>470</v>
      </c>
      <c r="H39734" s="185"/>
    </row>
    <row r="39735">
      <c r="D39735" s="185"/>
      <c r="E39735" s="185" t="s">
        <v>470</v>
      </c>
      <c r="H39735" s="185"/>
    </row>
    <row r="39736">
      <c r="D39736" s="185"/>
      <c r="E39736" s="185" t="s">
        <v>470</v>
      </c>
      <c r="H39736" s="185"/>
    </row>
    <row r="39737">
      <c r="D39737" s="185"/>
      <c r="E39737" s="185" t="s">
        <v>470</v>
      </c>
      <c r="H39737" s="185"/>
    </row>
    <row r="39738">
      <c r="D39738" s="185"/>
      <c r="E39738" s="185" t="s">
        <v>470</v>
      </c>
      <c r="H39738" s="185"/>
    </row>
    <row r="39739">
      <c r="D39739" s="185"/>
      <c r="E39739" s="185" t="s">
        <v>470</v>
      </c>
      <c r="H39739" s="185"/>
    </row>
    <row r="39740">
      <c r="D39740" s="185"/>
      <c r="E39740" s="185" t="s">
        <v>470</v>
      </c>
      <c r="H39740" s="185"/>
    </row>
    <row r="39741">
      <c r="D39741" s="185"/>
      <c r="E39741" s="185" t="s">
        <v>470</v>
      </c>
      <c r="H39741" s="185"/>
    </row>
    <row r="39742">
      <c r="D39742" s="185"/>
      <c r="E39742" s="185" t="s">
        <v>470</v>
      </c>
      <c r="H39742" s="185"/>
    </row>
    <row r="39743">
      <c r="D39743" s="185"/>
      <c r="E39743" s="185" t="s">
        <v>470</v>
      </c>
      <c r="H39743" s="185"/>
    </row>
    <row r="39744">
      <c r="D39744" s="185"/>
      <c r="E39744" s="185" t="s">
        <v>470</v>
      </c>
      <c r="H39744" s="185"/>
    </row>
    <row r="39745">
      <c r="D39745" s="185"/>
      <c r="E39745" s="185" t="s">
        <v>470</v>
      </c>
      <c r="H39745" s="185"/>
    </row>
    <row r="39746">
      <c r="D39746" s="185"/>
      <c r="E39746" s="185" t="s">
        <v>470</v>
      </c>
      <c r="H39746" s="185"/>
    </row>
    <row r="39747">
      <c r="D39747" s="185"/>
      <c r="E39747" s="185" t="s">
        <v>470</v>
      </c>
      <c r="H39747" s="185"/>
    </row>
    <row r="39748">
      <c r="D39748" s="185"/>
      <c r="E39748" s="185" t="s">
        <v>470</v>
      </c>
      <c r="H39748" s="185"/>
    </row>
    <row r="39749">
      <c r="D39749" s="185"/>
      <c r="E39749" s="185" t="s">
        <v>470</v>
      </c>
      <c r="H39749" s="185"/>
    </row>
    <row r="39750">
      <c r="D39750" s="185"/>
      <c r="E39750" s="185" t="s">
        <v>470</v>
      </c>
      <c r="H39750" s="185"/>
    </row>
    <row r="39751">
      <c r="D39751" s="185"/>
      <c r="E39751" s="185" t="s">
        <v>470</v>
      </c>
      <c r="H39751" s="185"/>
    </row>
    <row r="39752">
      <c r="D39752" s="185"/>
      <c r="E39752" s="185" t="s">
        <v>470</v>
      </c>
      <c r="H39752" s="185"/>
    </row>
    <row r="39753">
      <c r="D39753" s="185"/>
      <c r="E39753" s="185" t="s">
        <v>470</v>
      </c>
      <c r="H39753" s="185"/>
    </row>
    <row r="39754">
      <c r="D39754" s="185"/>
      <c r="E39754" s="185" t="s">
        <v>470</v>
      </c>
      <c r="H39754" s="185"/>
    </row>
    <row r="39755">
      <c r="D39755" s="185"/>
      <c r="E39755" s="185" t="s">
        <v>470</v>
      </c>
      <c r="H39755" s="185"/>
    </row>
    <row r="39756">
      <c r="D39756" s="185"/>
      <c r="E39756" s="185" t="s">
        <v>470</v>
      </c>
      <c r="H39756" s="185"/>
    </row>
    <row r="39757">
      <c r="D39757" s="185"/>
      <c r="E39757" s="185" t="s">
        <v>470</v>
      </c>
      <c r="H39757" s="185"/>
    </row>
    <row r="39758">
      <c r="D39758" s="185"/>
      <c r="E39758" s="185" t="s">
        <v>470</v>
      </c>
      <c r="H39758" s="185"/>
    </row>
    <row r="39759">
      <c r="D39759" s="185"/>
      <c r="E39759" s="185" t="s">
        <v>470</v>
      </c>
      <c r="H39759" s="185"/>
    </row>
    <row r="39760">
      <c r="D39760" s="185"/>
      <c r="E39760" s="185" t="s">
        <v>470</v>
      </c>
      <c r="H39760" s="185"/>
    </row>
    <row r="39761">
      <c r="D39761" s="185"/>
      <c r="E39761" s="185" t="s">
        <v>470</v>
      </c>
      <c r="H39761" s="185"/>
    </row>
    <row r="39762">
      <c r="D39762" s="185"/>
      <c r="E39762" s="185" t="s">
        <v>470</v>
      </c>
      <c r="H39762" s="185"/>
    </row>
    <row r="39763">
      <c r="D39763" s="185"/>
      <c r="E39763" s="185" t="s">
        <v>470</v>
      </c>
      <c r="H39763" s="185"/>
    </row>
    <row r="39764">
      <c r="D39764" s="185"/>
      <c r="E39764" s="185" t="s">
        <v>470</v>
      </c>
      <c r="H39764" s="185"/>
    </row>
    <row r="39765">
      <c r="D39765" s="185"/>
      <c r="E39765" s="185" t="s">
        <v>470</v>
      </c>
      <c r="H39765" s="185"/>
    </row>
    <row r="39766">
      <c r="D39766" s="185"/>
      <c r="E39766" s="185" t="s">
        <v>470</v>
      </c>
      <c r="H39766" s="185"/>
    </row>
    <row r="39767">
      <c r="D39767" s="185"/>
      <c r="E39767" s="185" t="s">
        <v>470</v>
      </c>
      <c r="H39767" s="185"/>
    </row>
    <row r="39768">
      <c r="D39768" s="185"/>
      <c r="E39768" s="185" t="s">
        <v>470</v>
      </c>
      <c r="H39768" s="185"/>
    </row>
    <row r="39769">
      <c r="D39769" s="185"/>
      <c r="E39769" s="185" t="s">
        <v>470</v>
      </c>
      <c r="H39769" s="185"/>
    </row>
    <row r="39770">
      <c r="D39770" s="185"/>
      <c r="E39770" s="185" t="s">
        <v>470</v>
      </c>
      <c r="H39770" s="185"/>
    </row>
    <row r="39771">
      <c r="D39771" s="185"/>
      <c r="E39771" s="185" t="s">
        <v>470</v>
      </c>
      <c r="H39771" s="185"/>
    </row>
    <row r="39772">
      <c r="D39772" s="185"/>
      <c r="E39772" s="185" t="s">
        <v>470</v>
      </c>
      <c r="H39772" s="185"/>
    </row>
    <row r="39773">
      <c r="D39773" s="185"/>
      <c r="E39773" s="185" t="s">
        <v>470</v>
      </c>
      <c r="H39773" s="185"/>
    </row>
    <row r="39774">
      <c r="D39774" s="185"/>
      <c r="E39774" s="185" t="s">
        <v>470</v>
      </c>
      <c r="H39774" s="185"/>
    </row>
    <row r="39775">
      <c r="D39775" s="185"/>
      <c r="E39775" s="185" t="s">
        <v>470</v>
      </c>
      <c r="H39775" s="185"/>
    </row>
    <row r="39776">
      <c r="D39776" s="185"/>
      <c r="E39776" s="185" t="s">
        <v>470</v>
      </c>
      <c r="H39776" s="185"/>
    </row>
    <row r="39777">
      <c r="D39777" s="185"/>
      <c r="E39777" s="185" t="s">
        <v>470</v>
      </c>
      <c r="H39777" s="185"/>
    </row>
    <row r="39778">
      <c r="D39778" s="185"/>
      <c r="E39778" s="185" t="s">
        <v>470</v>
      </c>
      <c r="H39778" s="185"/>
    </row>
    <row r="39779">
      <c r="D39779" s="185"/>
      <c r="E39779" s="185" t="s">
        <v>470</v>
      </c>
      <c r="H39779" s="185"/>
    </row>
    <row r="39780">
      <c r="D39780" s="185"/>
      <c r="E39780" s="185" t="s">
        <v>470</v>
      </c>
      <c r="H39780" s="185"/>
    </row>
    <row r="39781">
      <c r="D39781" s="185"/>
      <c r="E39781" s="185" t="s">
        <v>470</v>
      </c>
      <c r="H39781" s="185"/>
    </row>
    <row r="39782">
      <c r="D39782" s="185"/>
      <c r="E39782" s="185" t="s">
        <v>470</v>
      </c>
      <c r="H39782" s="185"/>
    </row>
    <row r="39783">
      <c r="D39783" s="185"/>
      <c r="E39783" s="185" t="s">
        <v>470</v>
      </c>
      <c r="H39783" s="185"/>
    </row>
    <row r="39784">
      <c r="D39784" s="185"/>
      <c r="E39784" s="185" t="s">
        <v>470</v>
      </c>
      <c r="H39784" s="185"/>
    </row>
    <row r="39785">
      <c r="D39785" s="185"/>
      <c r="E39785" s="185" t="s">
        <v>470</v>
      </c>
      <c r="H39785" s="185"/>
    </row>
    <row r="39786">
      <c r="D39786" s="185"/>
      <c r="E39786" s="185" t="s">
        <v>470</v>
      </c>
      <c r="H39786" s="185"/>
    </row>
    <row r="39787">
      <c r="D39787" s="185"/>
      <c r="E39787" s="185" t="s">
        <v>470</v>
      </c>
      <c r="H39787" s="185"/>
    </row>
    <row r="39788">
      <c r="D39788" s="185"/>
      <c r="E39788" s="185" t="s">
        <v>470</v>
      </c>
      <c r="H39788" s="185"/>
    </row>
    <row r="39789">
      <c r="D39789" s="185"/>
      <c r="E39789" s="185" t="s">
        <v>470</v>
      </c>
      <c r="H39789" s="185"/>
    </row>
    <row r="39790">
      <c r="D39790" s="185"/>
      <c r="E39790" s="185" t="s">
        <v>470</v>
      </c>
      <c r="H39790" s="185"/>
    </row>
    <row r="39791">
      <c r="D39791" s="185"/>
      <c r="E39791" s="185" t="s">
        <v>470</v>
      </c>
      <c r="H39791" s="185"/>
    </row>
    <row r="39792">
      <c r="D39792" s="185"/>
      <c r="E39792" s="185" t="s">
        <v>470</v>
      </c>
      <c r="H39792" s="185"/>
    </row>
    <row r="39793">
      <c r="D39793" s="185"/>
      <c r="E39793" s="185" t="s">
        <v>470</v>
      </c>
      <c r="H39793" s="185"/>
    </row>
    <row r="39794">
      <c r="D39794" s="185"/>
      <c r="E39794" s="185" t="s">
        <v>470</v>
      </c>
      <c r="H39794" s="185"/>
    </row>
    <row r="39795">
      <c r="D39795" s="185"/>
      <c r="E39795" s="185" t="s">
        <v>470</v>
      </c>
      <c r="H39795" s="185"/>
    </row>
    <row r="39796">
      <c r="D39796" s="185"/>
      <c r="E39796" s="185" t="s">
        <v>470</v>
      </c>
      <c r="H39796" s="185"/>
    </row>
    <row r="39797">
      <c r="D39797" s="185"/>
      <c r="E39797" s="185" t="s">
        <v>470</v>
      </c>
      <c r="H39797" s="185"/>
    </row>
    <row r="39798">
      <c r="D39798" s="185"/>
      <c r="E39798" s="185" t="s">
        <v>470</v>
      </c>
      <c r="H39798" s="185"/>
    </row>
    <row r="39799">
      <c r="D39799" s="185"/>
      <c r="E39799" s="185" t="s">
        <v>470</v>
      </c>
      <c r="H39799" s="185"/>
    </row>
    <row r="39800">
      <c r="D39800" s="185"/>
      <c r="E39800" s="185" t="s">
        <v>470</v>
      </c>
      <c r="H39800" s="185"/>
    </row>
    <row r="39801">
      <c r="D39801" s="185"/>
      <c r="E39801" s="185" t="s">
        <v>470</v>
      </c>
      <c r="H39801" s="185"/>
    </row>
    <row r="39802">
      <c r="D39802" s="185"/>
      <c r="E39802" s="185" t="s">
        <v>470</v>
      </c>
      <c r="H39802" s="185"/>
    </row>
    <row r="39803">
      <c r="D39803" s="185"/>
      <c r="E39803" s="185" t="s">
        <v>470</v>
      </c>
      <c r="H39803" s="185"/>
    </row>
    <row r="39804">
      <c r="D39804" s="185"/>
      <c r="E39804" s="185" t="s">
        <v>470</v>
      </c>
      <c r="H39804" s="185"/>
    </row>
    <row r="39805">
      <c r="D39805" s="185"/>
      <c r="E39805" s="185" t="s">
        <v>470</v>
      </c>
      <c r="H39805" s="185"/>
    </row>
    <row r="39806">
      <c r="D39806" s="185"/>
      <c r="E39806" s="185" t="s">
        <v>470</v>
      </c>
      <c r="H39806" s="185"/>
    </row>
    <row r="39807">
      <c r="D39807" s="185"/>
      <c r="E39807" s="185" t="s">
        <v>470</v>
      </c>
      <c r="H39807" s="185"/>
    </row>
    <row r="39808">
      <c r="D39808" s="185"/>
      <c r="E39808" s="185" t="s">
        <v>470</v>
      </c>
      <c r="H39808" s="185"/>
    </row>
    <row r="39809">
      <c r="D39809" s="185"/>
      <c r="E39809" s="185" t="s">
        <v>470</v>
      </c>
      <c r="H39809" s="185"/>
    </row>
    <row r="39810">
      <c r="D39810" s="185"/>
      <c r="E39810" s="185" t="s">
        <v>470</v>
      </c>
      <c r="H39810" s="185"/>
    </row>
    <row r="39811">
      <c r="D39811" s="185"/>
      <c r="E39811" s="185" t="s">
        <v>470</v>
      </c>
      <c r="H39811" s="185"/>
    </row>
    <row r="39812">
      <c r="D39812" s="185"/>
      <c r="E39812" s="185" t="s">
        <v>470</v>
      </c>
      <c r="H39812" s="185"/>
    </row>
    <row r="39813">
      <c r="D39813" s="185"/>
      <c r="E39813" s="185" t="s">
        <v>470</v>
      </c>
      <c r="H39813" s="185"/>
    </row>
    <row r="39814">
      <c r="D39814" s="185"/>
      <c r="E39814" s="185" t="s">
        <v>470</v>
      </c>
      <c r="H39814" s="185"/>
    </row>
    <row r="39815">
      <c r="D39815" s="185"/>
      <c r="E39815" s="185" t="s">
        <v>470</v>
      </c>
      <c r="H39815" s="185"/>
    </row>
    <row r="39816">
      <c r="D39816" s="185"/>
      <c r="E39816" s="185" t="s">
        <v>470</v>
      </c>
      <c r="H39816" s="185"/>
    </row>
    <row r="39817">
      <c r="D39817" s="185"/>
      <c r="E39817" s="185" t="s">
        <v>470</v>
      </c>
      <c r="H39817" s="185"/>
    </row>
    <row r="39818">
      <c r="D39818" s="185"/>
      <c r="E39818" s="185" t="s">
        <v>470</v>
      </c>
      <c r="H39818" s="185"/>
    </row>
    <row r="39819">
      <c r="D39819" s="185"/>
      <c r="E39819" s="185" t="s">
        <v>470</v>
      </c>
      <c r="H39819" s="185"/>
    </row>
    <row r="39820">
      <c r="D39820" s="185"/>
      <c r="E39820" s="185" t="s">
        <v>470</v>
      </c>
      <c r="H39820" s="185"/>
    </row>
    <row r="39821">
      <c r="D39821" s="185"/>
      <c r="E39821" s="185" t="s">
        <v>470</v>
      </c>
      <c r="H39821" s="185"/>
    </row>
    <row r="39822">
      <c r="D39822" s="185"/>
      <c r="E39822" s="185" t="s">
        <v>470</v>
      </c>
      <c r="H39822" s="185"/>
    </row>
    <row r="39823">
      <c r="D39823" s="185"/>
      <c r="E39823" s="185" t="s">
        <v>470</v>
      </c>
      <c r="H39823" s="185"/>
    </row>
    <row r="39824">
      <c r="D39824" s="185"/>
      <c r="E39824" s="185" t="s">
        <v>470</v>
      </c>
      <c r="H39824" s="185"/>
    </row>
    <row r="39825">
      <c r="D39825" s="185"/>
      <c r="E39825" s="185" t="s">
        <v>470</v>
      </c>
      <c r="H39825" s="185"/>
    </row>
    <row r="39826">
      <c r="D39826" s="185"/>
      <c r="E39826" s="185" t="s">
        <v>470</v>
      </c>
      <c r="H39826" s="185"/>
    </row>
    <row r="39827">
      <c r="D39827" s="185"/>
      <c r="E39827" s="185" t="s">
        <v>470</v>
      </c>
      <c r="H39827" s="185"/>
    </row>
    <row r="39828">
      <c r="D39828" s="185"/>
      <c r="E39828" s="185" t="s">
        <v>470</v>
      </c>
      <c r="H39828" s="185"/>
    </row>
    <row r="39829">
      <c r="D39829" s="185"/>
      <c r="E39829" s="185" t="s">
        <v>470</v>
      </c>
      <c r="H39829" s="185"/>
    </row>
    <row r="39830">
      <c r="D39830" s="185"/>
      <c r="E39830" s="185" t="s">
        <v>470</v>
      </c>
      <c r="H39830" s="185"/>
    </row>
    <row r="39831">
      <c r="D39831" s="185"/>
      <c r="E39831" s="185" t="s">
        <v>470</v>
      </c>
      <c r="H39831" s="185"/>
    </row>
    <row r="39832">
      <c r="D39832" s="185"/>
      <c r="E39832" s="185" t="s">
        <v>470</v>
      </c>
      <c r="H39832" s="185"/>
    </row>
    <row r="39833">
      <c r="D39833" s="185"/>
      <c r="E39833" s="185" t="s">
        <v>470</v>
      </c>
      <c r="H39833" s="185"/>
    </row>
    <row r="39834">
      <c r="D39834" s="185"/>
      <c r="E39834" s="185" t="s">
        <v>470</v>
      </c>
      <c r="H39834" s="185"/>
    </row>
    <row r="39835">
      <c r="D39835" s="185"/>
      <c r="E39835" s="185" t="s">
        <v>470</v>
      </c>
      <c r="H39835" s="185"/>
    </row>
    <row r="39836">
      <c r="D39836" s="185"/>
      <c r="E39836" s="185" t="s">
        <v>470</v>
      </c>
      <c r="H39836" s="185"/>
    </row>
    <row r="39837">
      <c r="D39837" s="185"/>
      <c r="E39837" s="185" t="s">
        <v>470</v>
      </c>
      <c r="H39837" s="185"/>
    </row>
    <row r="39838">
      <c r="D39838" s="185"/>
      <c r="E39838" s="185" t="s">
        <v>470</v>
      </c>
      <c r="H39838" s="185"/>
    </row>
    <row r="39839">
      <c r="D39839" s="185"/>
      <c r="E39839" s="185" t="s">
        <v>470</v>
      </c>
      <c r="H39839" s="185"/>
    </row>
    <row r="39840">
      <c r="D39840" s="185"/>
      <c r="E39840" s="185" t="s">
        <v>470</v>
      </c>
      <c r="H39840" s="185"/>
    </row>
    <row r="39841">
      <c r="D39841" s="185"/>
      <c r="E39841" s="185" t="s">
        <v>470</v>
      </c>
      <c r="H39841" s="185"/>
    </row>
    <row r="39842">
      <c r="D39842" s="185"/>
      <c r="E39842" s="185" t="s">
        <v>470</v>
      </c>
      <c r="H39842" s="185"/>
    </row>
    <row r="39843">
      <c r="D39843" s="185"/>
      <c r="E39843" s="185" t="s">
        <v>470</v>
      </c>
      <c r="H39843" s="185"/>
    </row>
    <row r="39844">
      <c r="D39844" s="185"/>
      <c r="E39844" s="185" t="s">
        <v>470</v>
      </c>
      <c r="H39844" s="185"/>
    </row>
    <row r="39845">
      <c r="D39845" s="185"/>
      <c r="E39845" s="185" t="s">
        <v>470</v>
      </c>
      <c r="H39845" s="185"/>
    </row>
    <row r="39846">
      <c r="D39846" s="185"/>
      <c r="E39846" s="185" t="s">
        <v>470</v>
      </c>
      <c r="H39846" s="185"/>
    </row>
    <row r="39847">
      <c r="D39847" s="185"/>
      <c r="E39847" s="185" t="s">
        <v>470</v>
      </c>
      <c r="H39847" s="185"/>
    </row>
    <row r="39848">
      <c r="D39848" s="185"/>
      <c r="E39848" s="185" t="s">
        <v>470</v>
      </c>
      <c r="H39848" s="185"/>
    </row>
    <row r="39849">
      <c r="D39849" s="185"/>
      <c r="E39849" s="185" t="s">
        <v>470</v>
      </c>
      <c r="H39849" s="185"/>
    </row>
    <row r="39850">
      <c r="D39850" s="185"/>
      <c r="E39850" s="185" t="s">
        <v>470</v>
      </c>
      <c r="H39850" s="185"/>
    </row>
    <row r="39851">
      <c r="D39851" s="185"/>
      <c r="E39851" s="185" t="s">
        <v>470</v>
      </c>
      <c r="H39851" s="185"/>
    </row>
    <row r="39852">
      <c r="D39852" s="185"/>
      <c r="E39852" s="185" t="s">
        <v>470</v>
      </c>
      <c r="H39852" s="185"/>
    </row>
    <row r="39853">
      <c r="D39853" s="185"/>
      <c r="E39853" s="185" t="s">
        <v>470</v>
      </c>
      <c r="H39853" s="185"/>
    </row>
    <row r="39854">
      <c r="D39854" s="185"/>
      <c r="E39854" s="185" t="s">
        <v>470</v>
      </c>
      <c r="H39854" s="185"/>
    </row>
    <row r="39855">
      <c r="D39855" s="185"/>
      <c r="E39855" s="185" t="s">
        <v>470</v>
      </c>
      <c r="H39855" s="185"/>
    </row>
    <row r="39856">
      <c r="D39856" s="185"/>
      <c r="E39856" s="185" t="s">
        <v>470</v>
      </c>
      <c r="H39856" s="185"/>
    </row>
    <row r="39857">
      <c r="D39857" s="185"/>
      <c r="E39857" s="185" t="s">
        <v>470</v>
      </c>
      <c r="H39857" s="185"/>
    </row>
    <row r="39858">
      <c r="D39858" s="185"/>
      <c r="E39858" s="185" t="s">
        <v>470</v>
      </c>
      <c r="H39858" s="185"/>
    </row>
    <row r="39859">
      <c r="D39859" s="185"/>
      <c r="E39859" s="185" t="s">
        <v>470</v>
      </c>
      <c r="H39859" s="185"/>
    </row>
    <row r="39860">
      <c r="D39860" s="185"/>
      <c r="E39860" s="185" t="s">
        <v>470</v>
      </c>
      <c r="H39860" s="185"/>
    </row>
    <row r="39861">
      <c r="D39861" s="185"/>
      <c r="E39861" s="185" t="s">
        <v>470</v>
      </c>
      <c r="H39861" s="185"/>
    </row>
    <row r="39862">
      <c r="D39862" s="185"/>
      <c r="E39862" s="185" t="s">
        <v>470</v>
      </c>
      <c r="H39862" s="185"/>
    </row>
    <row r="39863">
      <c r="D39863" s="185"/>
      <c r="E39863" s="185" t="s">
        <v>470</v>
      </c>
      <c r="H39863" s="185"/>
    </row>
    <row r="39864">
      <c r="D39864" s="185"/>
      <c r="E39864" s="185" t="s">
        <v>470</v>
      </c>
      <c r="H39864" s="185"/>
    </row>
    <row r="39865">
      <c r="D39865" s="185"/>
      <c r="E39865" s="185" t="s">
        <v>470</v>
      </c>
      <c r="H39865" s="185"/>
    </row>
    <row r="39866">
      <c r="D39866" s="185"/>
      <c r="E39866" s="185" t="s">
        <v>470</v>
      </c>
      <c r="H39866" s="185"/>
    </row>
    <row r="39867">
      <c r="D39867" s="185"/>
      <c r="E39867" s="185" t="s">
        <v>470</v>
      </c>
      <c r="H39867" s="185"/>
    </row>
    <row r="39868">
      <c r="D39868" s="185"/>
      <c r="E39868" s="185" t="s">
        <v>470</v>
      </c>
      <c r="H39868" s="185"/>
    </row>
    <row r="39869">
      <c r="D39869" s="185"/>
      <c r="E39869" s="185" t="s">
        <v>470</v>
      </c>
      <c r="H39869" s="185"/>
    </row>
    <row r="39870">
      <c r="D39870" s="185"/>
      <c r="E39870" s="185" t="s">
        <v>470</v>
      </c>
      <c r="H39870" s="185"/>
    </row>
    <row r="39871">
      <c r="D39871" s="185"/>
      <c r="E39871" s="185" t="s">
        <v>470</v>
      </c>
      <c r="H39871" s="185"/>
    </row>
    <row r="39872">
      <c r="D39872" s="185"/>
      <c r="E39872" s="185" t="s">
        <v>470</v>
      </c>
      <c r="H39872" s="185"/>
    </row>
    <row r="39873">
      <c r="D39873" s="185"/>
      <c r="E39873" s="185" t="s">
        <v>470</v>
      </c>
      <c r="H39873" s="185"/>
    </row>
    <row r="39874">
      <c r="D39874" s="185"/>
      <c r="E39874" s="185" t="s">
        <v>470</v>
      </c>
      <c r="H39874" s="185"/>
    </row>
    <row r="39875">
      <c r="D39875" s="185"/>
      <c r="E39875" s="185" t="s">
        <v>470</v>
      </c>
      <c r="H39875" s="185"/>
    </row>
    <row r="39876">
      <c r="D39876" s="185"/>
      <c r="E39876" s="185" t="s">
        <v>470</v>
      </c>
      <c r="H39876" s="185"/>
    </row>
    <row r="39877">
      <c r="D39877" s="185"/>
      <c r="E39877" s="185" t="s">
        <v>470</v>
      </c>
      <c r="H39877" s="185"/>
    </row>
    <row r="39878">
      <c r="D39878" s="185"/>
      <c r="E39878" s="185" t="s">
        <v>470</v>
      </c>
      <c r="H39878" s="185"/>
    </row>
    <row r="39879">
      <c r="D39879" s="185"/>
      <c r="E39879" s="185" t="s">
        <v>470</v>
      </c>
      <c r="H39879" s="185"/>
    </row>
    <row r="39880">
      <c r="D39880" s="185"/>
      <c r="E39880" s="185" t="s">
        <v>470</v>
      </c>
      <c r="H39880" s="185"/>
    </row>
    <row r="39881">
      <c r="D39881" s="185"/>
      <c r="E39881" s="185" t="s">
        <v>470</v>
      </c>
      <c r="H39881" s="185"/>
    </row>
    <row r="39882">
      <c r="D39882" s="185"/>
      <c r="E39882" s="185" t="s">
        <v>470</v>
      </c>
      <c r="H39882" s="185"/>
    </row>
    <row r="39883">
      <c r="D39883" s="185"/>
      <c r="E39883" s="185" t="s">
        <v>470</v>
      </c>
      <c r="H39883" s="185"/>
    </row>
    <row r="39884">
      <c r="D39884" s="185"/>
      <c r="E39884" s="185" t="s">
        <v>470</v>
      </c>
      <c r="H39884" s="185"/>
    </row>
    <row r="39885">
      <c r="D39885" s="185"/>
      <c r="E39885" s="185" t="s">
        <v>470</v>
      </c>
      <c r="H39885" s="185"/>
    </row>
    <row r="39886">
      <c r="D39886" s="185"/>
      <c r="E39886" s="185" t="s">
        <v>470</v>
      </c>
      <c r="H39886" s="185"/>
    </row>
    <row r="39887">
      <c r="D39887" s="185"/>
      <c r="E39887" s="185" t="s">
        <v>470</v>
      </c>
      <c r="H39887" s="185"/>
    </row>
    <row r="39888">
      <c r="D39888" s="185"/>
      <c r="E39888" s="185" t="s">
        <v>470</v>
      </c>
      <c r="H39888" s="185"/>
    </row>
    <row r="39889">
      <c r="D39889" s="185"/>
      <c r="E39889" s="185" t="s">
        <v>470</v>
      </c>
      <c r="H39889" s="185"/>
    </row>
    <row r="39890">
      <c r="D39890" s="185"/>
      <c r="E39890" s="185" t="s">
        <v>470</v>
      </c>
      <c r="H39890" s="185"/>
    </row>
    <row r="39891">
      <c r="D39891" s="185"/>
      <c r="E39891" s="185" t="s">
        <v>470</v>
      </c>
      <c r="H39891" s="185"/>
    </row>
    <row r="39892">
      <c r="D39892" s="185"/>
      <c r="E39892" s="185" t="s">
        <v>470</v>
      </c>
      <c r="H39892" s="185"/>
    </row>
    <row r="39893">
      <c r="D39893" s="185"/>
      <c r="E39893" s="185" t="s">
        <v>470</v>
      </c>
      <c r="H39893" s="185"/>
    </row>
    <row r="39894">
      <c r="D39894" s="185"/>
      <c r="E39894" s="185" t="s">
        <v>470</v>
      </c>
      <c r="H39894" s="185"/>
    </row>
    <row r="39895">
      <c r="D39895" s="185"/>
      <c r="E39895" s="185" t="s">
        <v>470</v>
      </c>
      <c r="H39895" s="185"/>
    </row>
    <row r="39896">
      <c r="D39896" s="185"/>
      <c r="E39896" s="185" t="s">
        <v>470</v>
      </c>
      <c r="H39896" s="185"/>
    </row>
    <row r="39897">
      <c r="D39897" s="185"/>
      <c r="E39897" s="185" t="s">
        <v>470</v>
      </c>
      <c r="H39897" s="185"/>
    </row>
    <row r="39898">
      <c r="D39898" s="185"/>
      <c r="E39898" s="185" t="s">
        <v>470</v>
      </c>
      <c r="H39898" s="185"/>
    </row>
    <row r="39899">
      <c r="D39899" s="185"/>
      <c r="E39899" s="185" t="s">
        <v>470</v>
      </c>
      <c r="H39899" s="185"/>
    </row>
    <row r="39900">
      <c r="D39900" s="185"/>
      <c r="E39900" s="185" t="s">
        <v>470</v>
      </c>
      <c r="H39900" s="185"/>
    </row>
    <row r="39901">
      <c r="D39901" s="185"/>
      <c r="E39901" s="185" t="s">
        <v>470</v>
      </c>
      <c r="H39901" s="185"/>
    </row>
    <row r="39902">
      <c r="D39902" s="185"/>
      <c r="E39902" s="185" t="s">
        <v>470</v>
      </c>
      <c r="H39902" s="185"/>
    </row>
    <row r="39903">
      <c r="D39903" s="185"/>
      <c r="E39903" s="185" t="s">
        <v>470</v>
      </c>
      <c r="H39903" s="185"/>
    </row>
    <row r="39904">
      <c r="D39904" s="185"/>
      <c r="E39904" s="185" t="s">
        <v>470</v>
      </c>
      <c r="H39904" s="185"/>
    </row>
    <row r="39905">
      <c r="D39905" s="185"/>
      <c r="E39905" s="185" t="s">
        <v>470</v>
      </c>
      <c r="H39905" s="185"/>
    </row>
    <row r="39906">
      <c r="D39906" s="185"/>
      <c r="E39906" s="185" t="s">
        <v>470</v>
      </c>
      <c r="H39906" s="185"/>
    </row>
    <row r="39907">
      <c r="D39907" s="185"/>
      <c r="E39907" s="185" t="s">
        <v>470</v>
      </c>
      <c r="H39907" s="185"/>
    </row>
    <row r="39908">
      <c r="D39908" s="185"/>
      <c r="E39908" s="185" t="s">
        <v>470</v>
      </c>
      <c r="H39908" s="185"/>
    </row>
    <row r="39909">
      <c r="D39909" s="185"/>
      <c r="E39909" s="185" t="s">
        <v>470</v>
      </c>
      <c r="H39909" s="185"/>
    </row>
    <row r="39910">
      <c r="D39910" s="185"/>
      <c r="E39910" s="185" t="s">
        <v>470</v>
      </c>
      <c r="H39910" s="185"/>
    </row>
    <row r="39911">
      <c r="D39911" s="185"/>
      <c r="E39911" s="185" t="s">
        <v>470</v>
      </c>
      <c r="H39911" s="185"/>
    </row>
    <row r="39912">
      <c r="D39912" s="185"/>
      <c r="E39912" s="185" t="s">
        <v>470</v>
      </c>
      <c r="H39912" s="185"/>
    </row>
    <row r="39913">
      <c r="D39913" s="185"/>
      <c r="E39913" s="185" t="s">
        <v>470</v>
      </c>
      <c r="H39913" s="185"/>
    </row>
    <row r="39914">
      <c r="D39914" s="185"/>
      <c r="E39914" s="185" t="s">
        <v>470</v>
      </c>
      <c r="H39914" s="185"/>
    </row>
    <row r="39915">
      <c r="D39915" s="185"/>
      <c r="E39915" s="185" t="s">
        <v>470</v>
      </c>
      <c r="H39915" s="185"/>
    </row>
    <row r="39916">
      <c r="D39916" s="185"/>
      <c r="E39916" s="185" t="s">
        <v>470</v>
      </c>
      <c r="H39916" s="185"/>
    </row>
    <row r="39917">
      <c r="D39917" s="185"/>
      <c r="E39917" s="185" t="s">
        <v>470</v>
      </c>
      <c r="H39917" s="185"/>
    </row>
    <row r="39918">
      <c r="D39918" s="185"/>
      <c r="E39918" s="185" t="s">
        <v>470</v>
      </c>
      <c r="H39918" s="185"/>
    </row>
    <row r="39919">
      <c r="D39919" s="185"/>
      <c r="E39919" s="185" t="s">
        <v>470</v>
      </c>
      <c r="H39919" s="185"/>
    </row>
    <row r="39920">
      <c r="D39920" s="185"/>
      <c r="E39920" s="185" t="s">
        <v>470</v>
      </c>
      <c r="H39920" s="185"/>
    </row>
    <row r="39921">
      <c r="D39921" s="185"/>
      <c r="E39921" s="185" t="s">
        <v>470</v>
      </c>
      <c r="H39921" s="185"/>
    </row>
    <row r="39922">
      <c r="D39922" s="185"/>
      <c r="E39922" s="185" t="s">
        <v>470</v>
      </c>
      <c r="H39922" s="185"/>
    </row>
    <row r="39923">
      <c r="D39923" s="185"/>
      <c r="E39923" s="185" t="s">
        <v>470</v>
      </c>
      <c r="H39923" s="185"/>
    </row>
    <row r="39924">
      <c r="D39924" s="185"/>
      <c r="E39924" s="185" t="s">
        <v>470</v>
      </c>
      <c r="H39924" s="185"/>
    </row>
    <row r="39925">
      <c r="D39925" s="185"/>
      <c r="E39925" s="185" t="s">
        <v>470</v>
      </c>
      <c r="H39925" s="185"/>
    </row>
    <row r="39926">
      <c r="D39926" s="185"/>
      <c r="E39926" s="185" t="s">
        <v>470</v>
      </c>
      <c r="H39926" s="185"/>
    </row>
    <row r="39927">
      <c r="D39927" s="185"/>
      <c r="E39927" s="185" t="s">
        <v>470</v>
      </c>
      <c r="H39927" s="185"/>
    </row>
    <row r="39928">
      <c r="D39928" s="185"/>
      <c r="E39928" s="185" t="s">
        <v>470</v>
      </c>
      <c r="H39928" s="185"/>
    </row>
    <row r="39929">
      <c r="D39929" s="185"/>
      <c r="E39929" s="185" t="s">
        <v>470</v>
      </c>
      <c r="H39929" s="185"/>
    </row>
    <row r="39930">
      <c r="D39930" s="185"/>
      <c r="E39930" s="185" t="s">
        <v>470</v>
      </c>
      <c r="H39930" s="185"/>
    </row>
    <row r="39931">
      <c r="D39931" s="185"/>
      <c r="E39931" s="185" t="s">
        <v>470</v>
      </c>
      <c r="H39931" s="185"/>
    </row>
    <row r="39932">
      <c r="D39932" s="185"/>
      <c r="E39932" s="185" t="s">
        <v>470</v>
      </c>
      <c r="H39932" s="185"/>
    </row>
    <row r="39933">
      <c r="D39933" s="185"/>
      <c r="E39933" s="185" t="s">
        <v>470</v>
      </c>
      <c r="H39933" s="185"/>
    </row>
    <row r="39934">
      <c r="D39934" s="185"/>
      <c r="E39934" s="185" t="s">
        <v>470</v>
      </c>
      <c r="H39934" s="185"/>
    </row>
    <row r="39935">
      <c r="D39935" s="185"/>
      <c r="E39935" s="185" t="s">
        <v>470</v>
      </c>
      <c r="H39935" s="185"/>
    </row>
    <row r="39936">
      <c r="D39936" s="185"/>
      <c r="E39936" s="185" t="s">
        <v>470</v>
      </c>
      <c r="H39936" s="185"/>
    </row>
    <row r="39937">
      <c r="D39937" s="185"/>
      <c r="E39937" s="185" t="s">
        <v>470</v>
      </c>
      <c r="H39937" s="185"/>
    </row>
    <row r="39938">
      <c r="D39938" s="185"/>
      <c r="E39938" s="185" t="s">
        <v>470</v>
      </c>
      <c r="H39938" s="185"/>
    </row>
    <row r="39939">
      <c r="D39939" s="185"/>
      <c r="E39939" s="185" t="s">
        <v>470</v>
      </c>
      <c r="H39939" s="185"/>
    </row>
    <row r="39940">
      <c r="D39940" s="185"/>
      <c r="E39940" s="185" t="s">
        <v>470</v>
      </c>
      <c r="H39940" s="185"/>
    </row>
    <row r="39941">
      <c r="D39941" s="185"/>
      <c r="E39941" s="185" t="s">
        <v>470</v>
      </c>
      <c r="H39941" s="185"/>
    </row>
    <row r="39942">
      <c r="D39942" s="185"/>
      <c r="E39942" s="185" t="s">
        <v>470</v>
      </c>
      <c r="H39942" s="185"/>
    </row>
    <row r="39943">
      <c r="D39943" s="185"/>
      <c r="E39943" s="185" t="s">
        <v>470</v>
      </c>
      <c r="H39943" s="185"/>
    </row>
    <row r="39944">
      <c r="D39944" s="185"/>
      <c r="E39944" s="185" t="s">
        <v>470</v>
      </c>
      <c r="H39944" s="185"/>
    </row>
    <row r="39945">
      <c r="D39945" s="185"/>
      <c r="E39945" s="185" t="s">
        <v>470</v>
      </c>
      <c r="H39945" s="185"/>
    </row>
    <row r="39946">
      <c r="D39946" s="185"/>
      <c r="E39946" s="185" t="s">
        <v>470</v>
      </c>
      <c r="H39946" s="185"/>
    </row>
    <row r="39947">
      <c r="D39947" s="185"/>
      <c r="E39947" s="185" t="s">
        <v>470</v>
      </c>
      <c r="H39947" s="185"/>
    </row>
    <row r="39948">
      <c r="D39948" s="185"/>
      <c r="E39948" s="185" t="s">
        <v>470</v>
      </c>
      <c r="H39948" s="185"/>
    </row>
    <row r="39949">
      <c r="D39949" s="185"/>
      <c r="E39949" s="185" t="s">
        <v>470</v>
      </c>
      <c r="H39949" s="185"/>
    </row>
    <row r="39950">
      <c r="D39950" s="185"/>
      <c r="E39950" s="185" t="s">
        <v>470</v>
      </c>
      <c r="H39950" s="185"/>
    </row>
    <row r="39951">
      <c r="D39951" s="185"/>
      <c r="E39951" s="185" t="s">
        <v>470</v>
      </c>
      <c r="H39951" s="185"/>
    </row>
    <row r="39952">
      <c r="D39952" s="185"/>
      <c r="E39952" s="185" t="s">
        <v>470</v>
      </c>
      <c r="H39952" s="185"/>
    </row>
    <row r="39953">
      <c r="D39953" s="185"/>
      <c r="E39953" s="185" t="s">
        <v>470</v>
      </c>
      <c r="H39953" s="185"/>
    </row>
    <row r="39954">
      <c r="D39954" s="185"/>
      <c r="E39954" s="185" t="s">
        <v>470</v>
      </c>
      <c r="H39954" s="185"/>
    </row>
    <row r="39955">
      <c r="D39955" s="185"/>
      <c r="E39955" s="185" t="s">
        <v>470</v>
      </c>
      <c r="H39955" s="185"/>
    </row>
    <row r="39956">
      <c r="D39956" s="185"/>
      <c r="E39956" s="185" t="s">
        <v>470</v>
      </c>
      <c r="H39956" s="185"/>
    </row>
    <row r="39957">
      <c r="D39957" s="185"/>
      <c r="E39957" s="185" t="s">
        <v>470</v>
      </c>
      <c r="H39957" s="185"/>
    </row>
    <row r="39958">
      <c r="D39958" s="185"/>
      <c r="E39958" s="185" t="s">
        <v>470</v>
      </c>
      <c r="H39958" s="185"/>
    </row>
    <row r="39959">
      <c r="D39959" s="185"/>
      <c r="E39959" s="185" t="s">
        <v>470</v>
      </c>
      <c r="H39959" s="185"/>
    </row>
    <row r="39960">
      <c r="D39960" s="185"/>
      <c r="E39960" s="185" t="s">
        <v>470</v>
      </c>
      <c r="H39960" s="185"/>
    </row>
    <row r="39961">
      <c r="D39961" s="185"/>
      <c r="E39961" s="185" t="s">
        <v>470</v>
      </c>
      <c r="H39961" s="185"/>
    </row>
    <row r="39962">
      <c r="D39962" s="185"/>
      <c r="E39962" s="185" t="s">
        <v>470</v>
      </c>
      <c r="H39962" s="185"/>
    </row>
    <row r="39963">
      <c r="D39963" s="185"/>
      <c r="E39963" s="185" t="s">
        <v>470</v>
      </c>
      <c r="H39963" s="185"/>
    </row>
    <row r="39964">
      <c r="D39964" s="185"/>
      <c r="E39964" s="185" t="s">
        <v>470</v>
      </c>
      <c r="H39964" s="185"/>
    </row>
    <row r="39965">
      <c r="D39965" s="185"/>
      <c r="E39965" s="185" t="s">
        <v>470</v>
      </c>
      <c r="H39965" s="185"/>
    </row>
    <row r="39966">
      <c r="D39966" s="185"/>
      <c r="E39966" s="185" t="s">
        <v>470</v>
      </c>
      <c r="H39966" s="185"/>
    </row>
    <row r="39967">
      <c r="D39967" s="185"/>
      <c r="E39967" s="185" t="s">
        <v>470</v>
      </c>
      <c r="H39967" s="185"/>
    </row>
    <row r="39968">
      <c r="D39968" s="185"/>
      <c r="E39968" s="185" t="s">
        <v>470</v>
      </c>
      <c r="H39968" s="185"/>
    </row>
    <row r="39969">
      <c r="D39969" s="185"/>
      <c r="E39969" s="185" t="s">
        <v>470</v>
      </c>
      <c r="H39969" s="185"/>
    </row>
    <row r="39970">
      <c r="D39970" s="185"/>
      <c r="E39970" s="185" t="s">
        <v>470</v>
      </c>
      <c r="H39970" s="185"/>
    </row>
    <row r="39971">
      <c r="D39971" s="185"/>
      <c r="E39971" s="185" t="s">
        <v>470</v>
      </c>
      <c r="H39971" s="185"/>
    </row>
    <row r="39972">
      <c r="D39972" s="185"/>
      <c r="E39972" s="185" t="s">
        <v>470</v>
      </c>
      <c r="H39972" s="185"/>
    </row>
    <row r="39973">
      <c r="D39973" s="185"/>
      <c r="E39973" s="185" t="s">
        <v>470</v>
      </c>
      <c r="H39973" s="185"/>
    </row>
    <row r="39974">
      <c r="D39974" s="185"/>
      <c r="E39974" s="185" t="s">
        <v>470</v>
      </c>
      <c r="H39974" s="185"/>
    </row>
    <row r="39975">
      <c r="D39975" s="185"/>
      <c r="E39975" s="185" t="s">
        <v>470</v>
      </c>
      <c r="H39975" s="185"/>
    </row>
    <row r="39976">
      <c r="D39976" s="185"/>
      <c r="E39976" s="185" t="s">
        <v>470</v>
      </c>
      <c r="H39976" s="185"/>
    </row>
    <row r="39977">
      <c r="D39977" s="185"/>
      <c r="E39977" s="185" t="s">
        <v>470</v>
      </c>
      <c r="H39977" s="185"/>
    </row>
    <row r="39978">
      <c r="D39978" s="185"/>
      <c r="E39978" s="185" t="s">
        <v>470</v>
      </c>
      <c r="H39978" s="185"/>
    </row>
    <row r="39979">
      <c r="D39979" s="185"/>
      <c r="E39979" s="185" t="s">
        <v>470</v>
      </c>
      <c r="H39979" s="185"/>
    </row>
    <row r="39980">
      <c r="D39980" s="185"/>
      <c r="E39980" s="185" t="s">
        <v>470</v>
      </c>
      <c r="H39980" s="185"/>
    </row>
    <row r="39981">
      <c r="D39981" s="185"/>
      <c r="E39981" s="185" t="s">
        <v>470</v>
      </c>
      <c r="H39981" s="185"/>
    </row>
    <row r="39982">
      <c r="D39982" s="185"/>
      <c r="E39982" s="185" t="s">
        <v>470</v>
      </c>
      <c r="H39982" s="185"/>
    </row>
    <row r="39983">
      <c r="D39983" s="185"/>
      <c r="E39983" s="185" t="s">
        <v>470</v>
      </c>
      <c r="H39983" s="185"/>
    </row>
    <row r="39984">
      <c r="D39984" s="185"/>
      <c r="E39984" s="185" t="s">
        <v>470</v>
      </c>
      <c r="H39984" s="185"/>
    </row>
    <row r="39985">
      <c r="D39985" s="185"/>
      <c r="E39985" s="185" t="s">
        <v>470</v>
      </c>
      <c r="H39985" s="185"/>
    </row>
    <row r="39986">
      <c r="D39986" s="185"/>
      <c r="E39986" s="185" t="s">
        <v>470</v>
      </c>
      <c r="H39986" s="185"/>
    </row>
    <row r="39987">
      <c r="D39987" s="185"/>
      <c r="E39987" s="185" t="s">
        <v>470</v>
      </c>
      <c r="H39987" s="185"/>
    </row>
    <row r="39988">
      <c r="D39988" s="185"/>
      <c r="E39988" s="185" t="s">
        <v>470</v>
      </c>
      <c r="H39988" s="185"/>
    </row>
    <row r="39989">
      <c r="D39989" s="185"/>
      <c r="E39989" s="185" t="s">
        <v>470</v>
      </c>
      <c r="H39989" s="185"/>
    </row>
    <row r="39990">
      <c r="D39990" s="185"/>
      <c r="E39990" s="185" t="s">
        <v>470</v>
      </c>
      <c r="H39990" s="185"/>
    </row>
    <row r="39991">
      <c r="D39991" s="185"/>
      <c r="E39991" s="185" t="s">
        <v>470</v>
      </c>
      <c r="H39991" s="185"/>
    </row>
    <row r="39992">
      <c r="D39992" s="185"/>
      <c r="E39992" s="185" t="s">
        <v>470</v>
      </c>
      <c r="H39992" s="185"/>
    </row>
    <row r="39993">
      <c r="D39993" s="185"/>
      <c r="E39993" s="185" t="s">
        <v>470</v>
      </c>
      <c r="H39993" s="185"/>
    </row>
    <row r="39994">
      <c r="D39994" s="185"/>
      <c r="E39994" s="185" t="s">
        <v>470</v>
      </c>
      <c r="H39994" s="185"/>
    </row>
    <row r="39995">
      <c r="D39995" s="185"/>
      <c r="E39995" s="185" t="s">
        <v>470</v>
      </c>
      <c r="H39995" s="185"/>
    </row>
    <row r="39996">
      <c r="D39996" s="185"/>
      <c r="E39996" s="185" t="s">
        <v>470</v>
      </c>
      <c r="H39996" s="185"/>
    </row>
    <row r="39997">
      <c r="D39997" s="185"/>
      <c r="E39997" s="185" t="s">
        <v>470</v>
      </c>
      <c r="H39997" s="185"/>
    </row>
    <row r="39998">
      <c r="D39998" s="185"/>
      <c r="E39998" s="185" t="s">
        <v>470</v>
      </c>
      <c r="H39998" s="185"/>
    </row>
    <row r="39999">
      <c r="D39999" s="185"/>
      <c r="E39999" s="185" t="s">
        <v>470</v>
      </c>
      <c r="H39999" s="185"/>
    </row>
    <row r="40000">
      <c r="D40000" s="185"/>
      <c r="E40000" s="185" t="s">
        <v>470</v>
      </c>
      <c r="H40000" s="185"/>
    </row>
    <row r="40001">
      <c r="D40001" s="185"/>
      <c r="E40001" s="185" t="s">
        <v>470</v>
      </c>
      <c r="H40001" s="185"/>
    </row>
    <row r="40002">
      <c r="D40002" s="185"/>
      <c r="E40002" s="185" t="s">
        <v>470</v>
      </c>
      <c r="H40002" s="185"/>
    </row>
    <row r="40003">
      <c r="D40003" s="185"/>
      <c r="E40003" s="185" t="s">
        <v>470</v>
      </c>
      <c r="H40003" s="185"/>
    </row>
    <row r="40004">
      <c r="D40004" s="185"/>
      <c r="E40004" s="185" t="s">
        <v>470</v>
      </c>
      <c r="H40004" s="185"/>
    </row>
    <row r="40005">
      <c r="D40005" s="185"/>
      <c r="E40005" s="185" t="s">
        <v>470</v>
      </c>
      <c r="H40005" s="185"/>
    </row>
    <row r="40006">
      <c r="D40006" s="185"/>
      <c r="E40006" s="185" t="s">
        <v>470</v>
      </c>
      <c r="H40006" s="185"/>
    </row>
    <row r="40007">
      <c r="D40007" s="185"/>
      <c r="E40007" s="185" t="s">
        <v>470</v>
      </c>
      <c r="H40007" s="185"/>
    </row>
    <row r="40008">
      <c r="D40008" s="185"/>
      <c r="E40008" s="185" t="s">
        <v>470</v>
      </c>
      <c r="H40008" s="185"/>
    </row>
    <row r="40009">
      <c r="D40009" s="185"/>
      <c r="E40009" s="185" t="s">
        <v>470</v>
      </c>
      <c r="H40009" s="185"/>
    </row>
    <row r="40010">
      <c r="D40010" s="185"/>
      <c r="E40010" s="185" t="s">
        <v>470</v>
      </c>
      <c r="H40010" s="185"/>
    </row>
    <row r="40011">
      <c r="D40011" s="185"/>
      <c r="E40011" s="185" t="s">
        <v>470</v>
      </c>
      <c r="H40011" s="185"/>
    </row>
    <row r="40012">
      <c r="D40012" s="185"/>
      <c r="E40012" s="185" t="s">
        <v>470</v>
      </c>
      <c r="H40012" s="185"/>
    </row>
    <row r="40013">
      <c r="D40013" s="185"/>
      <c r="E40013" s="185" t="s">
        <v>470</v>
      </c>
      <c r="H40013" s="185"/>
    </row>
    <row r="40014">
      <c r="D40014" s="185"/>
      <c r="E40014" s="185" t="s">
        <v>470</v>
      </c>
      <c r="H40014" s="185"/>
    </row>
    <row r="40015">
      <c r="D40015" s="185"/>
      <c r="E40015" s="185" t="s">
        <v>470</v>
      </c>
      <c r="H40015" s="185"/>
    </row>
    <row r="40016">
      <c r="D40016" s="185"/>
      <c r="E40016" s="185" t="s">
        <v>470</v>
      </c>
      <c r="H40016" s="185"/>
    </row>
    <row r="40017">
      <c r="D40017" s="185"/>
      <c r="E40017" s="185" t="s">
        <v>470</v>
      </c>
      <c r="H40017" s="185"/>
    </row>
    <row r="40018">
      <c r="D40018" s="185"/>
      <c r="E40018" s="185" t="s">
        <v>470</v>
      </c>
      <c r="H40018" s="185"/>
    </row>
    <row r="40019">
      <c r="D40019" s="185"/>
      <c r="E40019" s="185" t="s">
        <v>470</v>
      </c>
      <c r="H40019" s="185"/>
    </row>
    <row r="40020">
      <c r="D40020" s="185"/>
      <c r="E40020" s="185" t="s">
        <v>470</v>
      </c>
      <c r="H40020" s="185"/>
    </row>
    <row r="40021">
      <c r="D40021" s="185"/>
      <c r="E40021" s="185" t="s">
        <v>470</v>
      </c>
      <c r="H40021" s="185"/>
    </row>
    <row r="40022">
      <c r="D40022" s="185"/>
      <c r="E40022" s="185" t="s">
        <v>470</v>
      </c>
      <c r="H40022" s="185"/>
    </row>
    <row r="40023">
      <c r="D40023" s="185"/>
      <c r="E40023" s="185" t="s">
        <v>470</v>
      </c>
      <c r="H40023" s="185"/>
    </row>
    <row r="40024">
      <c r="D40024" s="185"/>
      <c r="E40024" s="185" t="s">
        <v>470</v>
      </c>
      <c r="H40024" s="185"/>
    </row>
    <row r="40025">
      <c r="D40025" s="185"/>
      <c r="E40025" s="185" t="s">
        <v>470</v>
      </c>
      <c r="H40025" s="185"/>
    </row>
    <row r="40026">
      <c r="D40026" s="185"/>
      <c r="E40026" s="185" t="s">
        <v>470</v>
      </c>
      <c r="H40026" s="185"/>
    </row>
    <row r="40027">
      <c r="D40027" s="185"/>
      <c r="E40027" s="185" t="s">
        <v>470</v>
      </c>
      <c r="H40027" s="185"/>
    </row>
    <row r="40028">
      <c r="D40028" s="185"/>
      <c r="E40028" s="185" t="s">
        <v>470</v>
      </c>
      <c r="H40028" s="185"/>
    </row>
    <row r="40029">
      <c r="D40029" s="185"/>
      <c r="E40029" s="185" t="s">
        <v>470</v>
      </c>
      <c r="H40029" s="185"/>
    </row>
    <row r="40030">
      <c r="D40030" s="185"/>
      <c r="E40030" s="185" t="s">
        <v>470</v>
      </c>
      <c r="H40030" s="185"/>
    </row>
    <row r="40031">
      <c r="D40031" s="185"/>
      <c r="E40031" s="185" t="s">
        <v>470</v>
      </c>
      <c r="H40031" s="185"/>
    </row>
    <row r="40032">
      <c r="D40032" s="185"/>
      <c r="E40032" s="185" t="s">
        <v>470</v>
      </c>
      <c r="H40032" s="185"/>
    </row>
    <row r="40033">
      <c r="D40033" s="185"/>
      <c r="E40033" s="185" t="s">
        <v>470</v>
      </c>
      <c r="H40033" s="185"/>
    </row>
    <row r="40034">
      <c r="D40034" s="185"/>
      <c r="E40034" s="185" t="s">
        <v>470</v>
      </c>
      <c r="H40034" s="185"/>
    </row>
    <row r="40035">
      <c r="D40035" s="185"/>
      <c r="E40035" s="185" t="s">
        <v>470</v>
      </c>
      <c r="H40035" s="185"/>
    </row>
    <row r="40036">
      <c r="D40036" s="185"/>
      <c r="E40036" s="185" t="s">
        <v>470</v>
      </c>
      <c r="H40036" s="185"/>
    </row>
    <row r="40037">
      <c r="D40037" s="185"/>
      <c r="E40037" s="185" t="s">
        <v>470</v>
      </c>
      <c r="H40037" s="185"/>
    </row>
    <row r="40038">
      <c r="D40038" s="185"/>
      <c r="E40038" s="185" t="s">
        <v>470</v>
      </c>
      <c r="H40038" s="185"/>
    </row>
    <row r="40039">
      <c r="D40039" s="185"/>
      <c r="E40039" s="185" t="s">
        <v>470</v>
      </c>
      <c r="H40039" s="185"/>
    </row>
    <row r="40040">
      <c r="D40040" s="185"/>
      <c r="E40040" s="185" t="s">
        <v>470</v>
      </c>
      <c r="H40040" s="185"/>
    </row>
    <row r="40041">
      <c r="D40041" s="185"/>
      <c r="E40041" s="185" t="s">
        <v>470</v>
      </c>
      <c r="H40041" s="185"/>
    </row>
    <row r="40042">
      <c r="D40042" s="185"/>
      <c r="E40042" s="185" t="s">
        <v>470</v>
      </c>
      <c r="H40042" s="185"/>
    </row>
    <row r="40043">
      <c r="D40043" s="185"/>
      <c r="E40043" s="185" t="s">
        <v>470</v>
      </c>
      <c r="H40043" s="185"/>
    </row>
    <row r="40044">
      <c r="D40044" s="185"/>
      <c r="E40044" s="185" t="s">
        <v>470</v>
      </c>
      <c r="H40044" s="185"/>
    </row>
    <row r="40045">
      <c r="D40045" s="185"/>
      <c r="E40045" s="185" t="s">
        <v>470</v>
      </c>
      <c r="H40045" s="185"/>
    </row>
    <row r="40046">
      <c r="D40046" s="185"/>
      <c r="E40046" s="185" t="s">
        <v>470</v>
      </c>
      <c r="H40046" s="185"/>
    </row>
    <row r="40047">
      <c r="D40047" s="185"/>
      <c r="E40047" s="185" t="s">
        <v>470</v>
      </c>
      <c r="H40047" s="185"/>
    </row>
    <row r="40048">
      <c r="D40048" s="185"/>
      <c r="E40048" s="185" t="s">
        <v>470</v>
      </c>
      <c r="H40048" s="185"/>
    </row>
    <row r="40049">
      <c r="D40049" s="185"/>
      <c r="E40049" s="185" t="s">
        <v>470</v>
      </c>
      <c r="H40049" s="185"/>
    </row>
    <row r="40050">
      <c r="D40050" s="185"/>
      <c r="E40050" s="185" t="s">
        <v>470</v>
      </c>
      <c r="H40050" s="185"/>
    </row>
    <row r="40051">
      <c r="D40051" s="185"/>
      <c r="E40051" s="185" t="s">
        <v>470</v>
      </c>
      <c r="H40051" s="185"/>
    </row>
    <row r="40052">
      <c r="D40052" s="185"/>
      <c r="E40052" s="185" t="s">
        <v>470</v>
      </c>
      <c r="H40052" s="185"/>
    </row>
    <row r="40053">
      <c r="D40053" s="185"/>
      <c r="E40053" s="185" t="s">
        <v>470</v>
      </c>
      <c r="H40053" s="185"/>
    </row>
    <row r="40054">
      <c r="D40054" s="185"/>
      <c r="E40054" s="185" t="s">
        <v>470</v>
      </c>
      <c r="H40054" s="185"/>
    </row>
    <row r="40055">
      <c r="D40055" s="185"/>
      <c r="E40055" s="185" t="s">
        <v>470</v>
      </c>
      <c r="H40055" s="185"/>
    </row>
    <row r="40056">
      <c r="D40056" s="185"/>
      <c r="E40056" s="185" t="s">
        <v>470</v>
      </c>
      <c r="H40056" s="185"/>
    </row>
    <row r="40057">
      <c r="D40057" s="185"/>
      <c r="E40057" s="185" t="s">
        <v>470</v>
      </c>
      <c r="H40057" s="185"/>
    </row>
    <row r="40058">
      <c r="D40058" s="185"/>
      <c r="E40058" s="185" t="s">
        <v>470</v>
      </c>
      <c r="H40058" s="185"/>
    </row>
    <row r="40059">
      <c r="D40059" s="185"/>
      <c r="E40059" s="185" t="s">
        <v>470</v>
      </c>
      <c r="H40059" s="185"/>
    </row>
    <row r="40060">
      <c r="D40060" s="185"/>
      <c r="E40060" s="185" t="s">
        <v>470</v>
      </c>
      <c r="H40060" s="185"/>
    </row>
    <row r="40061">
      <c r="D40061" s="185"/>
      <c r="E40061" s="185" t="s">
        <v>470</v>
      </c>
      <c r="H40061" s="185"/>
    </row>
    <row r="40062">
      <c r="D40062" s="185"/>
      <c r="E40062" s="185" t="s">
        <v>470</v>
      </c>
      <c r="H40062" s="185"/>
    </row>
    <row r="40063">
      <c r="D40063" s="185"/>
      <c r="E40063" s="185" t="s">
        <v>470</v>
      </c>
      <c r="H40063" s="185"/>
    </row>
    <row r="40064">
      <c r="D40064" s="185"/>
      <c r="E40064" s="185" t="s">
        <v>470</v>
      </c>
      <c r="H40064" s="185"/>
    </row>
    <row r="40065">
      <c r="D40065" s="185"/>
      <c r="E40065" s="185" t="s">
        <v>470</v>
      </c>
      <c r="H40065" s="185"/>
    </row>
    <row r="40066">
      <c r="D40066" s="185"/>
      <c r="E40066" s="185" t="s">
        <v>470</v>
      </c>
      <c r="H40066" s="185"/>
    </row>
    <row r="40067">
      <c r="D40067" s="185"/>
      <c r="E40067" s="185" t="s">
        <v>470</v>
      </c>
      <c r="H40067" s="185"/>
    </row>
    <row r="40068">
      <c r="D40068" s="185"/>
      <c r="E40068" s="185" t="s">
        <v>470</v>
      </c>
      <c r="H40068" s="185"/>
    </row>
    <row r="40069">
      <c r="D40069" s="185"/>
      <c r="E40069" s="185" t="s">
        <v>470</v>
      </c>
      <c r="H40069" s="185"/>
    </row>
    <row r="40070">
      <c r="D40070" s="185"/>
      <c r="E40070" s="185" t="s">
        <v>470</v>
      </c>
      <c r="H40070" s="185"/>
    </row>
    <row r="40071">
      <c r="D40071" s="185"/>
      <c r="E40071" s="185" t="s">
        <v>470</v>
      </c>
      <c r="H40071" s="185"/>
    </row>
    <row r="40072">
      <c r="D40072" s="185"/>
      <c r="E40072" s="185" t="s">
        <v>470</v>
      </c>
      <c r="H40072" s="185"/>
    </row>
    <row r="40073">
      <c r="D40073" s="185"/>
      <c r="E40073" s="185" t="s">
        <v>470</v>
      </c>
      <c r="H40073" s="185"/>
    </row>
    <row r="40074">
      <c r="D40074" s="185"/>
      <c r="E40074" s="185" t="s">
        <v>470</v>
      </c>
      <c r="H40074" s="185"/>
    </row>
    <row r="40075">
      <c r="D40075" s="185"/>
      <c r="E40075" s="185" t="s">
        <v>470</v>
      </c>
      <c r="H40075" s="185"/>
    </row>
    <row r="40076">
      <c r="D40076" s="185"/>
      <c r="E40076" s="185" t="s">
        <v>470</v>
      </c>
      <c r="H40076" s="185"/>
    </row>
    <row r="40077">
      <c r="D40077" s="185"/>
      <c r="E40077" s="185" t="s">
        <v>470</v>
      </c>
      <c r="H40077" s="185"/>
    </row>
    <row r="40078">
      <c r="D40078" s="185"/>
      <c r="E40078" s="185" t="s">
        <v>470</v>
      </c>
      <c r="H40078" s="185"/>
    </row>
    <row r="40079">
      <c r="D40079" s="185"/>
      <c r="E40079" s="185" t="s">
        <v>470</v>
      </c>
      <c r="H40079" s="185"/>
    </row>
    <row r="40080">
      <c r="D40080" s="185"/>
      <c r="E40080" s="185" t="s">
        <v>470</v>
      </c>
      <c r="H40080" s="185"/>
    </row>
    <row r="40081">
      <c r="D40081" s="185"/>
      <c r="E40081" s="185" t="s">
        <v>470</v>
      </c>
      <c r="H40081" s="185"/>
    </row>
    <row r="40082">
      <c r="D40082" s="185"/>
      <c r="E40082" s="185" t="s">
        <v>470</v>
      </c>
      <c r="H40082" s="185"/>
    </row>
    <row r="40083">
      <c r="D40083" s="185"/>
      <c r="E40083" s="185" t="s">
        <v>470</v>
      </c>
      <c r="H40083" s="185"/>
    </row>
    <row r="40084">
      <c r="D40084" s="185"/>
      <c r="E40084" s="185" t="s">
        <v>470</v>
      </c>
      <c r="H40084" s="185"/>
    </row>
    <row r="40085">
      <c r="D40085" s="185"/>
      <c r="E40085" s="185" t="s">
        <v>470</v>
      </c>
      <c r="H40085" s="185"/>
    </row>
    <row r="40086">
      <c r="D40086" s="185"/>
      <c r="E40086" s="185" t="s">
        <v>470</v>
      </c>
      <c r="H40086" s="185"/>
    </row>
    <row r="40087">
      <c r="D40087" s="185"/>
      <c r="E40087" s="185" t="s">
        <v>470</v>
      </c>
      <c r="H40087" s="185"/>
    </row>
    <row r="40088">
      <c r="D40088" s="185"/>
      <c r="E40088" s="185" t="s">
        <v>470</v>
      </c>
      <c r="H40088" s="185"/>
    </row>
    <row r="40089">
      <c r="D40089" s="185"/>
      <c r="E40089" s="185" t="s">
        <v>470</v>
      </c>
      <c r="H40089" s="185"/>
    </row>
    <row r="40090">
      <c r="D40090" s="185"/>
      <c r="E40090" s="185" t="s">
        <v>470</v>
      </c>
      <c r="H40090" s="185"/>
    </row>
    <row r="40091">
      <c r="D40091" s="185"/>
      <c r="E40091" s="185" t="s">
        <v>470</v>
      </c>
      <c r="H40091" s="185"/>
    </row>
    <row r="40092">
      <c r="D40092" s="185"/>
      <c r="E40092" s="185" t="s">
        <v>470</v>
      </c>
      <c r="H40092" s="185"/>
    </row>
    <row r="40093">
      <c r="D40093" s="185"/>
      <c r="E40093" s="185" t="s">
        <v>470</v>
      </c>
      <c r="H40093" s="185"/>
    </row>
    <row r="40094">
      <c r="D40094" s="185"/>
      <c r="E40094" s="185" t="s">
        <v>470</v>
      </c>
      <c r="H40094" s="185"/>
    </row>
    <row r="40095">
      <c r="D40095" s="185"/>
      <c r="E40095" s="185" t="s">
        <v>470</v>
      </c>
      <c r="H40095" s="185"/>
    </row>
    <row r="40096">
      <c r="D40096" s="185"/>
      <c r="E40096" s="185" t="s">
        <v>470</v>
      </c>
      <c r="H40096" s="185"/>
    </row>
    <row r="40097">
      <c r="D40097" s="185"/>
      <c r="E40097" s="185" t="s">
        <v>470</v>
      </c>
      <c r="H40097" s="185"/>
    </row>
    <row r="40098">
      <c r="D40098" s="185"/>
      <c r="E40098" s="185" t="s">
        <v>470</v>
      </c>
      <c r="H40098" s="185"/>
    </row>
    <row r="40099">
      <c r="D40099" s="185"/>
      <c r="E40099" s="185" t="s">
        <v>470</v>
      </c>
      <c r="H40099" s="185"/>
    </row>
    <row r="40100">
      <c r="D40100" s="185"/>
      <c r="E40100" s="185" t="s">
        <v>470</v>
      </c>
      <c r="H40100" s="185"/>
    </row>
    <row r="40101">
      <c r="D40101" s="185"/>
      <c r="E40101" s="185" t="s">
        <v>470</v>
      </c>
      <c r="H40101" s="185"/>
    </row>
    <row r="40102">
      <c r="D40102" s="185"/>
      <c r="E40102" s="185" t="s">
        <v>470</v>
      </c>
      <c r="H40102" s="185"/>
    </row>
    <row r="40103">
      <c r="D40103" s="185"/>
      <c r="E40103" s="185" t="s">
        <v>470</v>
      </c>
      <c r="H40103" s="185"/>
    </row>
    <row r="40104">
      <c r="D40104" s="185"/>
      <c r="E40104" s="185" t="s">
        <v>470</v>
      </c>
      <c r="H40104" s="185"/>
    </row>
    <row r="40105">
      <c r="D40105" s="185"/>
      <c r="E40105" s="185" t="s">
        <v>470</v>
      </c>
      <c r="H40105" s="185"/>
    </row>
    <row r="40106">
      <c r="D40106" s="185"/>
      <c r="E40106" s="185" t="s">
        <v>470</v>
      </c>
      <c r="H40106" s="185"/>
    </row>
    <row r="40107">
      <c r="D40107" s="185"/>
      <c r="E40107" s="185" t="s">
        <v>470</v>
      </c>
      <c r="H40107" s="185"/>
    </row>
    <row r="40108">
      <c r="D40108" s="185"/>
      <c r="E40108" s="185" t="s">
        <v>470</v>
      </c>
      <c r="H40108" s="185"/>
    </row>
    <row r="40109">
      <c r="D40109" s="185"/>
      <c r="E40109" s="185" t="s">
        <v>470</v>
      </c>
      <c r="H40109" s="185"/>
    </row>
    <row r="40110">
      <c r="D40110" s="185"/>
      <c r="E40110" s="185" t="s">
        <v>470</v>
      </c>
      <c r="H40110" s="185"/>
    </row>
    <row r="40111">
      <c r="D40111" s="185"/>
      <c r="E40111" s="185" t="s">
        <v>470</v>
      </c>
      <c r="H40111" s="185"/>
    </row>
    <row r="40112">
      <c r="D40112" s="185"/>
      <c r="E40112" s="185" t="s">
        <v>470</v>
      </c>
      <c r="H40112" s="185"/>
    </row>
    <row r="40113">
      <c r="D40113" s="185"/>
      <c r="E40113" s="185" t="s">
        <v>470</v>
      </c>
      <c r="H40113" s="185"/>
    </row>
    <row r="40114">
      <c r="D40114" s="185"/>
      <c r="E40114" s="185" t="s">
        <v>470</v>
      </c>
      <c r="H40114" s="185"/>
    </row>
    <row r="40115">
      <c r="D40115" s="185"/>
      <c r="E40115" s="185" t="s">
        <v>470</v>
      </c>
      <c r="H40115" s="185"/>
    </row>
    <row r="40116">
      <c r="D40116" s="185"/>
      <c r="E40116" s="185" t="s">
        <v>470</v>
      </c>
      <c r="H40116" s="185"/>
    </row>
    <row r="40117">
      <c r="D40117" s="185"/>
      <c r="E40117" s="185" t="s">
        <v>470</v>
      </c>
      <c r="H40117" s="185"/>
    </row>
    <row r="40118">
      <c r="D40118" s="185"/>
      <c r="E40118" s="185" t="s">
        <v>470</v>
      </c>
      <c r="H40118" s="185"/>
    </row>
    <row r="40119">
      <c r="D40119" s="185"/>
      <c r="E40119" s="185" t="s">
        <v>470</v>
      </c>
      <c r="H40119" s="185"/>
    </row>
    <row r="40120">
      <c r="D40120" s="185"/>
      <c r="E40120" s="185" t="s">
        <v>470</v>
      </c>
      <c r="H40120" s="185"/>
    </row>
    <row r="40121">
      <c r="D40121" s="185"/>
      <c r="E40121" s="185" t="s">
        <v>470</v>
      </c>
      <c r="H40121" s="185"/>
    </row>
    <row r="40122">
      <c r="D40122" s="185"/>
      <c r="E40122" s="185" t="s">
        <v>470</v>
      </c>
      <c r="H40122" s="185"/>
    </row>
    <row r="40123">
      <c r="D40123" s="185"/>
      <c r="E40123" s="185" t="s">
        <v>470</v>
      </c>
      <c r="H40123" s="185"/>
    </row>
    <row r="40124">
      <c r="D40124" s="185"/>
      <c r="E40124" s="185" t="s">
        <v>470</v>
      </c>
      <c r="H40124" s="185"/>
    </row>
    <row r="40125">
      <c r="D40125" s="185"/>
      <c r="E40125" s="185" t="s">
        <v>470</v>
      </c>
      <c r="H40125" s="185"/>
    </row>
    <row r="40126">
      <c r="D40126" s="185"/>
      <c r="E40126" s="185" t="s">
        <v>470</v>
      </c>
      <c r="H40126" s="185"/>
    </row>
    <row r="40127">
      <c r="D40127" s="185"/>
      <c r="E40127" s="185" t="s">
        <v>470</v>
      </c>
      <c r="H40127" s="185"/>
    </row>
    <row r="40128">
      <c r="D40128" s="185"/>
      <c r="E40128" s="185" t="s">
        <v>470</v>
      </c>
      <c r="H40128" s="185"/>
    </row>
    <row r="40129">
      <c r="D40129" s="185"/>
      <c r="E40129" s="185" t="s">
        <v>470</v>
      </c>
      <c r="H40129" s="185"/>
    </row>
    <row r="40130">
      <c r="D40130" s="185"/>
      <c r="E40130" s="185" t="s">
        <v>470</v>
      </c>
      <c r="H40130" s="185"/>
    </row>
    <row r="40131">
      <c r="D40131" s="185"/>
      <c r="E40131" s="185" t="s">
        <v>470</v>
      </c>
      <c r="H40131" s="185"/>
    </row>
    <row r="40132">
      <c r="D40132" s="185"/>
      <c r="E40132" s="185" t="s">
        <v>470</v>
      </c>
      <c r="H40132" s="185"/>
    </row>
    <row r="40133">
      <c r="D40133" s="185"/>
      <c r="E40133" s="185" t="s">
        <v>470</v>
      </c>
      <c r="H40133" s="185"/>
    </row>
    <row r="40134">
      <c r="D40134" s="185"/>
      <c r="E40134" s="185" t="s">
        <v>470</v>
      </c>
      <c r="H40134" s="185"/>
    </row>
    <row r="40135">
      <c r="D40135" s="185"/>
      <c r="E40135" s="185" t="s">
        <v>470</v>
      </c>
      <c r="H40135" s="185"/>
    </row>
    <row r="40136">
      <c r="D40136" s="185"/>
      <c r="E40136" s="185" t="s">
        <v>470</v>
      </c>
      <c r="H40136" s="185"/>
    </row>
    <row r="40137">
      <c r="D40137" s="185"/>
      <c r="E40137" s="185" t="s">
        <v>470</v>
      </c>
      <c r="H40137" s="185"/>
    </row>
    <row r="40138">
      <c r="D40138" s="185"/>
      <c r="E40138" s="185" t="s">
        <v>470</v>
      </c>
      <c r="H40138" s="185"/>
    </row>
    <row r="40139">
      <c r="D40139" s="185"/>
      <c r="E40139" s="185" t="s">
        <v>470</v>
      </c>
      <c r="H40139" s="185"/>
    </row>
    <row r="40140">
      <c r="D40140" s="185"/>
      <c r="E40140" s="185" t="s">
        <v>470</v>
      </c>
      <c r="H40140" s="185"/>
    </row>
    <row r="40141">
      <c r="D40141" s="185"/>
      <c r="E40141" s="185" t="s">
        <v>470</v>
      </c>
      <c r="H40141" s="185"/>
    </row>
    <row r="40142">
      <c r="D40142" s="185"/>
      <c r="E40142" s="185" t="s">
        <v>470</v>
      </c>
      <c r="H40142" s="185"/>
    </row>
    <row r="40143">
      <c r="D40143" s="185"/>
      <c r="E40143" s="185" t="s">
        <v>470</v>
      </c>
      <c r="H40143" s="185"/>
    </row>
    <row r="40144">
      <c r="D40144" s="185"/>
      <c r="E40144" s="185" t="s">
        <v>470</v>
      </c>
      <c r="H40144" s="185"/>
    </row>
    <row r="40145">
      <c r="D40145" s="185"/>
      <c r="E40145" s="185" t="s">
        <v>470</v>
      </c>
      <c r="H40145" s="185"/>
    </row>
    <row r="40146">
      <c r="D40146" s="185"/>
      <c r="E40146" s="185" t="s">
        <v>470</v>
      </c>
      <c r="H40146" s="185"/>
    </row>
    <row r="40147">
      <c r="D40147" s="185"/>
      <c r="E40147" s="185" t="s">
        <v>470</v>
      </c>
      <c r="H40147" s="185"/>
    </row>
    <row r="40148">
      <c r="D40148" s="185"/>
      <c r="E40148" s="185" t="s">
        <v>470</v>
      </c>
      <c r="H40148" s="185"/>
    </row>
    <row r="40149">
      <c r="D40149" s="185"/>
      <c r="E40149" s="185" t="s">
        <v>470</v>
      </c>
      <c r="H40149" s="185"/>
    </row>
    <row r="40150">
      <c r="D40150" s="185"/>
      <c r="E40150" s="185" t="s">
        <v>470</v>
      </c>
      <c r="H40150" s="185"/>
    </row>
    <row r="40151">
      <c r="D40151" s="185"/>
      <c r="E40151" s="185" t="s">
        <v>470</v>
      </c>
      <c r="H40151" s="185"/>
    </row>
    <row r="40152">
      <c r="D40152" s="185"/>
      <c r="E40152" s="185" t="s">
        <v>470</v>
      </c>
      <c r="H40152" s="185"/>
    </row>
    <row r="40153">
      <c r="D40153" s="185"/>
      <c r="E40153" s="185" t="s">
        <v>470</v>
      </c>
      <c r="H40153" s="185"/>
    </row>
    <row r="40154">
      <c r="D40154" s="185"/>
      <c r="E40154" s="185" t="s">
        <v>470</v>
      </c>
      <c r="H40154" s="185"/>
    </row>
    <row r="40155">
      <c r="D40155" s="185"/>
      <c r="E40155" s="185" t="s">
        <v>470</v>
      </c>
      <c r="H40155" s="185"/>
    </row>
    <row r="40156">
      <c r="D40156" s="185"/>
      <c r="E40156" s="185" t="s">
        <v>470</v>
      </c>
      <c r="H40156" s="185"/>
    </row>
    <row r="40157">
      <c r="D40157" s="185"/>
      <c r="E40157" s="185" t="s">
        <v>470</v>
      </c>
      <c r="H40157" s="185"/>
    </row>
    <row r="40158">
      <c r="D40158" s="185"/>
      <c r="E40158" s="185" t="s">
        <v>470</v>
      </c>
      <c r="H40158" s="185"/>
    </row>
    <row r="40159">
      <c r="D40159" s="185"/>
      <c r="E40159" s="185" t="s">
        <v>470</v>
      </c>
      <c r="H40159" s="185"/>
    </row>
    <row r="40160">
      <c r="D40160" s="185"/>
      <c r="E40160" s="185" t="s">
        <v>470</v>
      </c>
      <c r="H40160" s="185"/>
    </row>
    <row r="40161">
      <c r="D40161" s="185"/>
      <c r="E40161" s="185" t="s">
        <v>470</v>
      </c>
      <c r="H40161" s="185"/>
    </row>
    <row r="40162">
      <c r="D40162" s="185"/>
      <c r="E40162" s="185" t="s">
        <v>470</v>
      </c>
      <c r="H40162" s="185"/>
    </row>
    <row r="40163">
      <c r="D40163" s="185"/>
      <c r="E40163" s="185" t="s">
        <v>470</v>
      </c>
      <c r="H40163" s="185"/>
    </row>
    <row r="40164">
      <c r="D40164" s="185"/>
      <c r="E40164" s="185" t="s">
        <v>470</v>
      </c>
      <c r="H40164" s="185"/>
    </row>
    <row r="40165">
      <c r="D40165" s="185"/>
      <c r="E40165" s="185" t="s">
        <v>470</v>
      </c>
      <c r="H40165" s="185"/>
    </row>
    <row r="40166">
      <c r="D40166" s="185"/>
      <c r="E40166" s="185" t="s">
        <v>470</v>
      </c>
      <c r="H40166" s="185"/>
    </row>
    <row r="40167">
      <c r="D40167" s="185"/>
      <c r="E40167" s="185" t="s">
        <v>470</v>
      </c>
      <c r="H40167" s="185"/>
    </row>
    <row r="40168">
      <c r="D40168" s="185"/>
      <c r="E40168" s="185" t="s">
        <v>470</v>
      </c>
      <c r="H40168" s="185"/>
    </row>
    <row r="40169">
      <c r="D40169" s="185"/>
      <c r="E40169" s="185" t="s">
        <v>470</v>
      </c>
      <c r="H40169" s="185"/>
    </row>
    <row r="40170">
      <c r="D40170" s="185"/>
      <c r="E40170" s="185" t="s">
        <v>470</v>
      </c>
      <c r="H40170" s="185"/>
    </row>
    <row r="40171">
      <c r="D40171" s="185"/>
      <c r="E40171" s="185" t="s">
        <v>470</v>
      </c>
      <c r="H40171" s="185"/>
    </row>
    <row r="40172">
      <c r="D40172" s="185"/>
      <c r="E40172" s="185" t="s">
        <v>470</v>
      </c>
      <c r="H40172" s="185"/>
    </row>
    <row r="40173">
      <c r="D40173" s="185"/>
      <c r="E40173" s="185" t="s">
        <v>470</v>
      </c>
      <c r="H40173" s="185"/>
    </row>
    <row r="40174">
      <c r="D40174" s="185"/>
      <c r="E40174" s="185" t="s">
        <v>470</v>
      </c>
      <c r="H40174" s="185"/>
    </row>
    <row r="40175">
      <c r="D40175" s="185"/>
      <c r="E40175" s="185" t="s">
        <v>470</v>
      </c>
      <c r="H40175" s="185"/>
    </row>
    <row r="40176">
      <c r="D40176" s="185"/>
      <c r="E40176" s="185" t="s">
        <v>470</v>
      </c>
      <c r="H40176" s="185"/>
    </row>
    <row r="40177">
      <c r="D40177" s="185"/>
      <c r="E40177" s="185" t="s">
        <v>470</v>
      </c>
      <c r="H40177" s="185"/>
    </row>
    <row r="40178">
      <c r="D40178" s="185"/>
      <c r="E40178" s="185" t="s">
        <v>470</v>
      </c>
      <c r="H40178" s="185"/>
    </row>
    <row r="40179">
      <c r="D40179" s="185"/>
      <c r="E40179" s="185" t="s">
        <v>470</v>
      </c>
      <c r="H40179" s="185"/>
    </row>
    <row r="40180">
      <c r="D40180" s="185"/>
      <c r="E40180" s="185" t="s">
        <v>470</v>
      </c>
      <c r="H40180" s="185"/>
    </row>
    <row r="40181">
      <c r="D40181" s="185"/>
      <c r="E40181" s="185" t="s">
        <v>470</v>
      </c>
      <c r="H40181" s="185"/>
    </row>
    <row r="40182">
      <c r="D40182" s="185"/>
      <c r="E40182" s="185" t="s">
        <v>470</v>
      </c>
      <c r="H40182" s="185"/>
    </row>
    <row r="40183">
      <c r="D40183" s="185"/>
      <c r="E40183" s="185" t="s">
        <v>470</v>
      </c>
      <c r="H40183" s="185"/>
    </row>
    <row r="40184">
      <c r="D40184" s="185"/>
      <c r="E40184" s="185" t="s">
        <v>470</v>
      </c>
      <c r="H40184" s="185"/>
    </row>
    <row r="40185">
      <c r="D40185" s="185"/>
      <c r="E40185" s="185" t="s">
        <v>470</v>
      </c>
      <c r="H40185" s="185"/>
    </row>
    <row r="40186">
      <c r="D40186" s="185"/>
      <c r="E40186" s="185" t="s">
        <v>470</v>
      </c>
      <c r="H40186" s="185"/>
    </row>
    <row r="40187">
      <c r="D40187" s="185"/>
      <c r="E40187" s="185" t="s">
        <v>470</v>
      </c>
      <c r="H40187" s="185"/>
    </row>
    <row r="40188">
      <c r="D40188" s="185"/>
      <c r="E40188" s="185" t="s">
        <v>470</v>
      </c>
      <c r="H40188" s="185"/>
    </row>
    <row r="40189">
      <c r="D40189" s="185"/>
      <c r="E40189" s="185" t="s">
        <v>470</v>
      </c>
      <c r="H40189" s="185"/>
    </row>
    <row r="40190">
      <c r="D40190" s="185"/>
      <c r="E40190" s="185" t="s">
        <v>470</v>
      </c>
      <c r="H40190" s="185"/>
    </row>
    <row r="40191">
      <c r="D40191" s="185"/>
      <c r="E40191" s="185" t="s">
        <v>470</v>
      </c>
      <c r="H40191" s="185"/>
    </row>
    <row r="40192">
      <c r="D40192" s="185"/>
      <c r="E40192" s="185" t="s">
        <v>470</v>
      </c>
      <c r="H40192" s="185"/>
    </row>
    <row r="40193">
      <c r="D40193" s="185"/>
      <c r="E40193" s="185" t="s">
        <v>470</v>
      </c>
      <c r="H40193" s="185"/>
    </row>
    <row r="40194">
      <c r="D40194" s="185"/>
      <c r="E40194" s="185" t="s">
        <v>470</v>
      </c>
      <c r="H40194" s="185"/>
    </row>
    <row r="40195">
      <c r="D40195" s="185"/>
      <c r="E40195" s="185" t="s">
        <v>470</v>
      </c>
      <c r="H40195" s="185"/>
    </row>
    <row r="40196">
      <c r="D40196" s="185"/>
      <c r="E40196" s="185" t="s">
        <v>470</v>
      </c>
      <c r="H40196" s="185"/>
    </row>
    <row r="40197">
      <c r="D40197" s="185"/>
      <c r="E40197" s="185" t="s">
        <v>470</v>
      </c>
      <c r="H40197" s="185"/>
    </row>
    <row r="40198">
      <c r="D40198" s="185"/>
      <c r="E40198" s="185" t="s">
        <v>470</v>
      </c>
      <c r="H40198" s="185"/>
    </row>
    <row r="40199">
      <c r="D40199" s="185"/>
      <c r="E40199" s="185" t="s">
        <v>470</v>
      </c>
      <c r="H40199" s="185"/>
    </row>
    <row r="40200">
      <c r="D40200" s="185"/>
      <c r="E40200" s="185" t="s">
        <v>470</v>
      </c>
      <c r="H40200" s="185"/>
    </row>
    <row r="40201">
      <c r="D40201" s="185"/>
      <c r="E40201" s="185" t="s">
        <v>470</v>
      </c>
      <c r="H40201" s="185"/>
    </row>
    <row r="40202">
      <c r="D40202" s="185"/>
      <c r="E40202" s="185" t="s">
        <v>470</v>
      </c>
      <c r="H40202" s="185"/>
    </row>
    <row r="40203">
      <c r="D40203" s="185"/>
      <c r="E40203" s="185" t="s">
        <v>470</v>
      </c>
      <c r="H40203" s="185"/>
    </row>
    <row r="40204">
      <c r="D40204" s="185"/>
      <c r="E40204" s="185" t="s">
        <v>470</v>
      </c>
      <c r="H40204" s="185"/>
    </row>
    <row r="40205">
      <c r="D40205" s="185"/>
      <c r="E40205" s="185" t="s">
        <v>470</v>
      </c>
      <c r="H40205" s="185"/>
    </row>
    <row r="40206">
      <c r="D40206" s="185"/>
      <c r="E40206" s="185" t="s">
        <v>470</v>
      </c>
      <c r="H40206" s="185"/>
    </row>
    <row r="40207">
      <c r="D40207" s="185"/>
      <c r="E40207" s="185" t="s">
        <v>470</v>
      </c>
      <c r="H40207" s="185"/>
    </row>
    <row r="40208">
      <c r="D40208" s="185"/>
      <c r="E40208" s="185" t="s">
        <v>470</v>
      </c>
      <c r="H40208" s="185"/>
    </row>
    <row r="40209">
      <c r="D40209" s="185"/>
      <c r="E40209" s="185" t="s">
        <v>470</v>
      </c>
      <c r="H40209" s="185"/>
    </row>
    <row r="40210">
      <c r="D40210" s="185"/>
      <c r="E40210" s="185" t="s">
        <v>470</v>
      </c>
      <c r="H40210" s="185"/>
    </row>
    <row r="40211">
      <c r="D40211" s="185"/>
      <c r="E40211" s="185" t="s">
        <v>470</v>
      </c>
      <c r="H40211" s="185"/>
    </row>
    <row r="40212">
      <c r="D40212" s="185"/>
      <c r="E40212" s="185" t="s">
        <v>470</v>
      </c>
      <c r="H40212" s="185"/>
    </row>
    <row r="40213">
      <c r="D40213" s="185"/>
      <c r="E40213" s="185" t="s">
        <v>470</v>
      </c>
      <c r="H40213" s="185"/>
    </row>
    <row r="40214">
      <c r="D40214" s="185"/>
      <c r="E40214" s="185" t="s">
        <v>470</v>
      </c>
      <c r="H40214" s="185"/>
    </row>
    <row r="40215">
      <c r="D40215" s="185"/>
      <c r="E40215" s="185" t="s">
        <v>470</v>
      </c>
      <c r="H40215" s="185"/>
    </row>
    <row r="40216">
      <c r="D40216" s="185"/>
      <c r="E40216" s="185" t="s">
        <v>470</v>
      </c>
      <c r="H40216" s="185"/>
    </row>
    <row r="40217">
      <c r="D40217" s="185"/>
      <c r="E40217" s="185" t="s">
        <v>470</v>
      </c>
      <c r="H40217" s="185"/>
    </row>
    <row r="40218">
      <c r="D40218" s="185"/>
      <c r="E40218" s="185" t="s">
        <v>470</v>
      </c>
      <c r="H40218" s="185"/>
    </row>
    <row r="40219">
      <c r="D40219" s="185"/>
      <c r="E40219" s="185" t="s">
        <v>470</v>
      </c>
      <c r="H40219" s="185"/>
    </row>
    <row r="40220">
      <c r="D40220" s="185"/>
      <c r="E40220" s="185" t="s">
        <v>470</v>
      </c>
      <c r="H40220" s="185"/>
    </row>
    <row r="40221">
      <c r="D40221" s="185"/>
      <c r="E40221" s="185" t="s">
        <v>470</v>
      </c>
      <c r="H40221" s="185"/>
    </row>
    <row r="40222">
      <c r="D40222" s="185"/>
      <c r="E40222" s="185" t="s">
        <v>470</v>
      </c>
      <c r="H40222" s="185"/>
    </row>
    <row r="40223">
      <c r="D40223" s="185"/>
      <c r="E40223" s="185" t="s">
        <v>470</v>
      </c>
      <c r="H40223" s="185"/>
    </row>
    <row r="40224">
      <c r="D40224" s="185"/>
      <c r="E40224" s="185" t="s">
        <v>470</v>
      </c>
      <c r="H40224" s="185"/>
    </row>
    <row r="40225">
      <c r="D40225" s="185"/>
      <c r="E40225" s="185" t="s">
        <v>470</v>
      </c>
      <c r="H40225" s="185"/>
    </row>
    <row r="40226">
      <c r="D40226" s="185"/>
      <c r="E40226" s="185" t="s">
        <v>470</v>
      </c>
      <c r="H40226" s="185"/>
    </row>
    <row r="40227">
      <c r="D40227" s="185"/>
      <c r="E40227" s="185" t="s">
        <v>470</v>
      </c>
      <c r="H40227" s="185"/>
    </row>
    <row r="40228">
      <c r="D40228" s="185"/>
      <c r="E40228" s="185" t="s">
        <v>470</v>
      </c>
      <c r="H40228" s="185"/>
    </row>
    <row r="40229">
      <c r="D40229" s="185"/>
      <c r="E40229" s="185" t="s">
        <v>470</v>
      </c>
      <c r="H40229" s="185"/>
    </row>
    <row r="40230">
      <c r="D40230" s="185"/>
      <c r="E40230" s="185" t="s">
        <v>470</v>
      </c>
      <c r="H40230" s="185"/>
    </row>
    <row r="40231">
      <c r="D40231" s="185"/>
      <c r="E40231" s="185" t="s">
        <v>470</v>
      </c>
      <c r="H40231" s="185"/>
    </row>
    <row r="40232">
      <c r="D40232" s="185"/>
      <c r="E40232" s="185" t="s">
        <v>470</v>
      </c>
      <c r="H40232" s="185"/>
    </row>
    <row r="40233">
      <c r="D40233" s="185"/>
      <c r="E40233" s="185" t="s">
        <v>470</v>
      </c>
      <c r="H40233" s="185"/>
    </row>
    <row r="40234">
      <c r="D40234" s="185"/>
      <c r="E40234" s="185" t="s">
        <v>470</v>
      </c>
      <c r="H40234" s="185"/>
    </row>
    <row r="40235">
      <c r="D40235" s="185"/>
      <c r="E40235" s="185" t="s">
        <v>470</v>
      </c>
      <c r="H40235" s="185"/>
    </row>
    <row r="40236">
      <c r="D40236" s="185"/>
      <c r="E40236" s="185" t="s">
        <v>470</v>
      </c>
      <c r="H40236" s="185"/>
    </row>
    <row r="40237">
      <c r="D40237" s="185"/>
      <c r="E40237" s="185" t="s">
        <v>470</v>
      </c>
      <c r="H40237" s="185"/>
    </row>
    <row r="40238">
      <c r="D40238" s="185"/>
      <c r="E40238" s="185" t="s">
        <v>470</v>
      </c>
      <c r="H40238" s="185"/>
    </row>
    <row r="40239">
      <c r="D40239" s="185"/>
      <c r="E40239" s="185" t="s">
        <v>470</v>
      </c>
      <c r="H40239" s="185"/>
    </row>
    <row r="40240">
      <c r="D40240" s="185"/>
      <c r="E40240" s="185" t="s">
        <v>470</v>
      </c>
      <c r="H40240" s="185"/>
    </row>
    <row r="40241">
      <c r="D40241" s="185"/>
      <c r="E40241" s="185" t="s">
        <v>470</v>
      </c>
      <c r="H40241" s="185"/>
    </row>
    <row r="40242">
      <c r="D40242" s="185"/>
      <c r="E40242" s="185" t="s">
        <v>470</v>
      </c>
      <c r="H40242" s="185"/>
    </row>
    <row r="40243">
      <c r="D40243" s="185"/>
      <c r="E40243" s="185" t="s">
        <v>470</v>
      </c>
      <c r="H40243" s="185"/>
    </row>
    <row r="40244">
      <c r="D40244" s="185"/>
      <c r="E40244" s="185" t="s">
        <v>470</v>
      </c>
      <c r="H40244" s="185"/>
    </row>
    <row r="40245">
      <c r="D40245" s="185"/>
      <c r="E40245" s="185" t="s">
        <v>470</v>
      </c>
      <c r="H40245" s="185"/>
    </row>
    <row r="40246">
      <c r="D40246" s="185"/>
      <c r="E40246" s="185" t="s">
        <v>470</v>
      </c>
      <c r="H40246" s="185"/>
    </row>
    <row r="40247">
      <c r="D40247" s="185"/>
      <c r="E40247" s="185" t="s">
        <v>470</v>
      </c>
      <c r="H40247" s="185"/>
    </row>
    <row r="40248">
      <c r="D40248" s="185"/>
      <c r="E40248" s="185" t="s">
        <v>470</v>
      </c>
      <c r="H40248" s="185"/>
    </row>
    <row r="40249">
      <c r="D40249" s="185"/>
      <c r="E40249" s="185" t="s">
        <v>470</v>
      </c>
      <c r="H40249" s="185"/>
    </row>
    <row r="40250">
      <c r="D40250" s="185"/>
      <c r="E40250" s="185" t="s">
        <v>470</v>
      </c>
      <c r="H40250" s="185"/>
    </row>
    <row r="40251">
      <c r="D40251" s="185"/>
      <c r="E40251" s="185" t="s">
        <v>470</v>
      </c>
      <c r="H40251" s="185"/>
    </row>
    <row r="40252">
      <c r="D40252" s="185"/>
      <c r="E40252" s="185" t="s">
        <v>470</v>
      </c>
      <c r="H40252" s="185"/>
    </row>
    <row r="40253">
      <c r="D40253" s="185"/>
      <c r="E40253" s="185" t="s">
        <v>470</v>
      </c>
      <c r="H40253" s="185"/>
    </row>
    <row r="40254">
      <c r="D40254" s="185"/>
      <c r="E40254" s="185" t="s">
        <v>470</v>
      </c>
      <c r="H40254" s="185"/>
    </row>
    <row r="40255">
      <c r="D40255" s="185"/>
      <c r="E40255" s="185" t="s">
        <v>470</v>
      </c>
      <c r="H40255" s="185"/>
    </row>
    <row r="40256">
      <c r="D40256" s="185"/>
      <c r="E40256" s="185" t="s">
        <v>470</v>
      </c>
      <c r="H40256" s="185"/>
    </row>
    <row r="40257">
      <c r="D40257" s="185"/>
      <c r="E40257" s="185" t="s">
        <v>470</v>
      </c>
      <c r="H40257" s="185"/>
    </row>
    <row r="40258">
      <c r="D40258" s="185"/>
      <c r="E40258" s="185" t="s">
        <v>470</v>
      </c>
      <c r="H40258" s="185"/>
    </row>
    <row r="40259">
      <c r="D40259" s="185"/>
      <c r="E40259" s="185" t="s">
        <v>470</v>
      </c>
      <c r="H40259" s="185"/>
    </row>
    <row r="40260">
      <c r="D40260" s="185"/>
      <c r="E40260" s="185" t="s">
        <v>470</v>
      </c>
      <c r="H40260" s="185"/>
    </row>
    <row r="40261">
      <c r="D40261" s="185"/>
      <c r="E40261" s="185" t="s">
        <v>470</v>
      </c>
      <c r="H40261" s="185"/>
    </row>
    <row r="40262">
      <c r="D40262" s="185"/>
      <c r="E40262" s="185" t="s">
        <v>470</v>
      </c>
      <c r="H40262" s="185"/>
    </row>
    <row r="40263">
      <c r="D40263" s="185"/>
      <c r="E40263" s="185" t="s">
        <v>470</v>
      </c>
      <c r="H40263" s="185"/>
    </row>
    <row r="40264">
      <c r="D40264" s="185"/>
      <c r="E40264" s="185" t="s">
        <v>470</v>
      </c>
      <c r="H40264" s="185"/>
    </row>
    <row r="40265">
      <c r="D40265" s="185"/>
      <c r="E40265" s="185" t="s">
        <v>470</v>
      </c>
      <c r="H40265" s="185"/>
    </row>
    <row r="40266">
      <c r="D40266" s="185"/>
      <c r="E40266" s="185" t="s">
        <v>470</v>
      </c>
      <c r="H40266" s="185"/>
    </row>
    <row r="40267">
      <c r="D40267" s="185"/>
      <c r="E40267" s="185" t="s">
        <v>470</v>
      </c>
      <c r="H40267" s="185"/>
    </row>
    <row r="40268">
      <c r="D40268" s="185"/>
      <c r="E40268" s="185" t="s">
        <v>470</v>
      </c>
      <c r="H40268" s="185"/>
    </row>
    <row r="40269">
      <c r="D40269" s="185"/>
      <c r="E40269" s="185" t="s">
        <v>470</v>
      </c>
      <c r="H40269" s="185"/>
    </row>
    <row r="40270">
      <c r="D40270" s="185"/>
      <c r="E40270" s="185" t="s">
        <v>470</v>
      </c>
      <c r="H40270" s="185"/>
    </row>
    <row r="40271">
      <c r="D40271" s="185"/>
      <c r="E40271" s="185" t="s">
        <v>470</v>
      </c>
      <c r="H40271" s="185"/>
    </row>
    <row r="40272">
      <c r="D40272" s="185"/>
      <c r="E40272" s="185" t="s">
        <v>470</v>
      </c>
      <c r="H40272" s="185"/>
    </row>
    <row r="40273">
      <c r="D40273" s="185"/>
      <c r="E40273" s="185" t="s">
        <v>470</v>
      </c>
      <c r="H40273" s="185"/>
    </row>
    <row r="40274">
      <c r="D40274" s="185"/>
      <c r="E40274" s="185" t="s">
        <v>470</v>
      </c>
      <c r="H40274" s="185"/>
    </row>
    <row r="40275">
      <c r="D40275" s="185"/>
      <c r="E40275" s="185" t="s">
        <v>470</v>
      </c>
      <c r="H40275" s="185"/>
    </row>
    <row r="40276">
      <c r="D40276" s="185"/>
      <c r="E40276" s="185" t="s">
        <v>470</v>
      </c>
      <c r="H40276" s="185"/>
    </row>
    <row r="40277">
      <c r="D40277" s="185"/>
      <c r="E40277" s="185" t="s">
        <v>470</v>
      </c>
      <c r="H40277" s="185"/>
    </row>
    <row r="40278">
      <c r="D40278" s="185"/>
      <c r="E40278" s="185" t="s">
        <v>470</v>
      </c>
      <c r="H40278" s="185"/>
    </row>
    <row r="40279">
      <c r="D40279" s="185"/>
      <c r="E40279" s="185" t="s">
        <v>470</v>
      </c>
      <c r="H40279" s="185"/>
    </row>
    <row r="40280">
      <c r="D40280" s="185"/>
      <c r="E40280" s="185" t="s">
        <v>470</v>
      </c>
      <c r="H40280" s="185"/>
    </row>
    <row r="40281">
      <c r="D40281" s="185"/>
      <c r="E40281" s="185" t="s">
        <v>470</v>
      </c>
      <c r="H40281" s="185"/>
    </row>
    <row r="40282">
      <c r="D40282" s="185"/>
      <c r="E40282" s="185" t="s">
        <v>470</v>
      </c>
      <c r="H40282" s="185"/>
    </row>
    <row r="40283">
      <c r="D40283" s="185"/>
      <c r="E40283" s="185" t="s">
        <v>470</v>
      </c>
      <c r="H40283" s="185"/>
    </row>
    <row r="40284">
      <c r="D40284" s="185"/>
      <c r="E40284" s="185" t="s">
        <v>470</v>
      </c>
      <c r="H40284" s="185"/>
    </row>
    <row r="40285">
      <c r="D40285" s="185"/>
      <c r="E40285" s="185" t="s">
        <v>470</v>
      </c>
      <c r="H40285" s="185"/>
    </row>
    <row r="40286">
      <c r="D40286" s="185"/>
      <c r="E40286" s="185" t="s">
        <v>470</v>
      </c>
      <c r="H40286" s="185"/>
    </row>
    <row r="40287">
      <c r="D40287" s="185"/>
      <c r="E40287" s="185" t="s">
        <v>470</v>
      </c>
      <c r="H40287" s="185"/>
    </row>
    <row r="40288">
      <c r="D40288" s="185"/>
      <c r="E40288" s="185" t="s">
        <v>470</v>
      </c>
      <c r="H40288" s="185"/>
    </row>
    <row r="40289">
      <c r="D40289" s="185"/>
      <c r="E40289" s="185" t="s">
        <v>470</v>
      </c>
      <c r="H40289" s="185"/>
    </row>
    <row r="40290">
      <c r="D40290" s="185"/>
      <c r="E40290" s="185" t="s">
        <v>470</v>
      </c>
      <c r="H40290" s="185"/>
    </row>
    <row r="40291">
      <c r="D40291" s="185"/>
      <c r="E40291" s="185" t="s">
        <v>470</v>
      </c>
      <c r="H40291" s="185"/>
    </row>
    <row r="40292">
      <c r="D40292" s="185"/>
      <c r="E40292" s="185" t="s">
        <v>470</v>
      </c>
      <c r="H40292" s="185"/>
    </row>
    <row r="40293">
      <c r="D40293" s="185"/>
      <c r="E40293" s="185" t="s">
        <v>470</v>
      </c>
      <c r="H40293" s="185"/>
    </row>
    <row r="40294">
      <c r="D40294" s="185"/>
      <c r="E40294" s="185" t="s">
        <v>470</v>
      </c>
      <c r="H40294" s="185"/>
    </row>
    <row r="40295">
      <c r="D40295" s="185"/>
      <c r="E40295" s="185" t="s">
        <v>470</v>
      </c>
      <c r="H40295" s="185"/>
    </row>
    <row r="40296">
      <c r="D40296" s="185"/>
      <c r="E40296" s="185" t="s">
        <v>470</v>
      </c>
      <c r="H40296" s="185"/>
    </row>
    <row r="40297">
      <c r="D40297" s="185"/>
      <c r="E40297" s="185" t="s">
        <v>470</v>
      </c>
      <c r="H40297" s="185"/>
    </row>
    <row r="40298">
      <c r="D40298" s="185"/>
      <c r="E40298" s="185" t="s">
        <v>470</v>
      </c>
      <c r="H40298" s="185"/>
    </row>
    <row r="40299">
      <c r="D40299" s="185"/>
      <c r="E40299" s="185" t="s">
        <v>470</v>
      </c>
      <c r="H40299" s="185"/>
    </row>
    <row r="40300">
      <c r="D40300" s="185"/>
      <c r="E40300" s="185" t="s">
        <v>470</v>
      </c>
      <c r="H40300" s="185"/>
    </row>
    <row r="40301">
      <c r="D40301" s="185"/>
      <c r="E40301" s="185" t="s">
        <v>470</v>
      </c>
      <c r="H40301" s="185"/>
    </row>
    <row r="40302">
      <c r="D40302" s="185"/>
      <c r="E40302" s="185" t="s">
        <v>470</v>
      </c>
      <c r="H40302" s="185"/>
    </row>
    <row r="40303">
      <c r="D40303" s="185"/>
      <c r="E40303" s="185" t="s">
        <v>470</v>
      </c>
      <c r="H40303" s="185"/>
    </row>
    <row r="40304">
      <c r="D40304" s="185"/>
      <c r="E40304" s="185" t="s">
        <v>470</v>
      </c>
      <c r="H40304" s="185"/>
    </row>
    <row r="40305">
      <c r="D40305" s="185"/>
      <c r="E40305" s="185" t="s">
        <v>470</v>
      </c>
      <c r="H40305" s="185"/>
    </row>
    <row r="40306">
      <c r="D40306" s="185"/>
      <c r="E40306" s="185" t="s">
        <v>470</v>
      </c>
      <c r="H40306" s="185"/>
    </row>
    <row r="40307">
      <c r="D40307" s="185"/>
      <c r="E40307" s="185" t="s">
        <v>470</v>
      </c>
      <c r="H40307" s="185"/>
    </row>
    <row r="40308">
      <c r="D40308" s="185"/>
      <c r="E40308" s="185" t="s">
        <v>470</v>
      </c>
      <c r="H40308" s="185"/>
    </row>
    <row r="40309">
      <c r="D40309" s="185"/>
      <c r="E40309" s="185" t="s">
        <v>470</v>
      </c>
      <c r="H40309" s="185"/>
    </row>
    <row r="40310">
      <c r="D40310" s="185"/>
      <c r="E40310" s="185" t="s">
        <v>470</v>
      </c>
      <c r="H40310" s="185"/>
    </row>
    <row r="40311">
      <c r="D40311" s="185"/>
      <c r="E40311" s="185" t="s">
        <v>470</v>
      </c>
      <c r="H40311" s="185"/>
    </row>
    <row r="40312">
      <c r="D40312" s="185"/>
      <c r="E40312" s="185" t="s">
        <v>470</v>
      </c>
      <c r="H40312" s="185"/>
    </row>
    <row r="40313">
      <c r="D40313" s="185"/>
      <c r="E40313" s="185" t="s">
        <v>470</v>
      </c>
      <c r="H40313" s="185"/>
    </row>
    <row r="40314">
      <c r="D40314" s="185"/>
      <c r="E40314" s="185" t="s">
        <v>470</v>
      </c>
      <c r="H40314" s="185"/>
    </row>
    <row r="40315">
      <c r="D40315" s="185"/>
      <c r="E40315" s="185" t="s">
        <v>470</v>
      </c>
      <c r="H40315" s="185"/>
    </row>
    <row r="40316">
      <c r="D40316" s="185"/>
      <c r="E40316" s="185" t="s">
        <v>470</v>
      </c>
      <c r="H40316" s="185"/>
    </row>
    <row r="40317">
      <c r="D40317" s="185"/>
      <c r="E40317" s="185" t="s">
        <v>470</v>
      </c>
      <c r="H40317" s="185"/>
    </row>
    <row r="40318">
      <c r="D40318" s="185"/>
      <c r="E40318" s="185" t="s">
        <v>470</v>
      </c>
      <c r="H40318" s="185"/>
    </row>
    <row r="40319">
      <c r="D40319" s="185"/>
      <c r="E40319" s="185" t="s">
        <v>470</v>
      </c>
      <c r="H40319" s="185"/>
    </row>
    <row r="40320">
      <c r="D40320" s="185"/>
      <c r="E40320" s="185" t="s">
        <v>470</v>
      </c>
      <c r="H40320" s="185"/>
    </row>
    <row r="40321">
      <c r="D40321" s="185"/>
      <c r="E40321" s="185" t="s">
        <v>470</v>
      </c>
      <c r="H40321" s="185"/>
    </row>
    <row r="40322">
      <c r="D40322" s="185"/>
      <c r="E40322" s="185" t="s">
        <v>470</v>
      </c>
      <c r="H40322" s="185"/>
    </row>
    <row r="40323">
      <c r="D40323" s="185"/>
      <c r="E40323" s="185" t="s">
        <v>470</v>
      </c>
      <c r="H40323" s="185"/>
    </row>
    <row r="40324">
      <c r="D40324" s="185"/>
      <c r="E40324" s="185" t="s">
        <v>470</v>
      </c>
      <c r="H40324" s="185"/>
    </row>
    <row r="40325">
      <c r="D40325" s="185"/>
      <c r="E40325" s="185" t="s">
        <v>470</v>
      </c>
      <c r="H40325" s="185"/>
    </row>
    <row r="40326">
      <c r="D40326" s="185"/>
      <c r="E40326" s="185" t="s">
        <v>470</v>
      </c>
      <c r="H40326" s="185"/>
    </row>
    <row r="40327">
      <c r="D40327" s="185"/>
      <c r="E40327" s="185" t="s">
        <v>470</v>
      </c>
      <c r="H40327" s="185"/>
    </row>
    <row r="40328">
      <c r="D40328" s="185"/>
      <c r="E40328" s="185" t="s">
        <v>470</v>
      </c>
      <c r="H40328" s="185"/>
    </row>
    <row r="40329">
      <c r="D40329" s="185"/>
      <c r="E40329" s="185" t="s">
        <v>470</v>
      </c>
      <c r="H40329" s="185"/>
    </row>
    <row r="40330">
      <c r="D40330" s="185"/>
      <c r="E40330" s="185" t="s">
        <v>470</v>
      </c>
      <c r="H40330" s="185"/>
    </row>
    <row r="40331">
      <c r="D40331" s="185"/>
      <c r="E40331" s="185" t="s">
        <v>470</v>
      </c>
      <c r="H40331" s="185"/>
    </row>
    <row r="40332">
      <c r="D40332" s="185"/>
      <c r="E40332" s="185" t="s">
        <v>470</v>
      </c>
      <c r="H40332" s="185"/>
    </row>
    <row r="40333">
      <c r="D40333" s="185"/>
      <c r="E40333" s="185" t="s">
        <v>470</v>
      </c>
      <c r="H40333" s="185"/>
    </row>
    <row r="40334">
      <c r="D40334" s="185"/>
      <c r="E40334" s="185" t="s">
        <v>470</v>
      </c>
      <c r="H40334" s="185"/>
    </row>
    <row r="40335">
      <c r="D40335" s="185"/>
      <c r="E40335" s="185" t="s">
        <v>470</v>
      </c>
      <c r="H40335" s="185"/>
    </row>
    <row r="40336">
      <c r="D40336" s="185"/>
      <c r="E40336" s="185" t="s">
        <v>470</v>
      </c>
      <c r="H40336" s="185"/>
    </row>
    <row r="40337">
      <c r="D40337" s="185"/>
      <c r="E40337" s="185" t="s">
        <v>470</v>
      </c>
      <c r="H40337" s="185"/>
    </row>
    <row r="40338">
      <c r="D40338" s="185"/>
      <c r="E40338" s="185" t="s">
        <v>470</v>
      </c>
      <c r="H40338" s="185"/>
    </row>
    <row r="40339">
      <c r="D40339" s="185"/>
      <c r="E40339" s="185" t="s">
        <v>470</v>
      </c>
      <c r="H40339" s="185"/>
    </row>
    <row r="40340">
      <c r="D40340" s="185"/>
      <c r="E40340" s="185" t="s">
        <v>470</v>
      </c>
      <c r="H40340" s="185"/>
    </row>
    <row r="40341">
      <c r="D40341" s="185"/>
      <c r="E40341" s="185" t="s">
        <v>470</v>
      </c>
      <c r="H40341" s="185"/>
    </row>
    <row r="40342">
      <c r="D40342" s="185"/>
      <c r="E40342" s="185" t="s">
        <v>470</v>
      </c>
      <c r="H40342" s="185"/>
    </row>
    <row r="40343">
      <c r="D40343" s="185"/>
      <c r="E40343" s="185" t="s">
        <v>470</v>
      </c>
      <c r="H40343" s="185"/>
    </row>
    <row r="40344">
      <c r="D40344" s="185"/>
      <c r="E40344" s="185" t="s">
        <v>470</v>
      </c>
      <c r="H40344" s="185"/>
    </row>
    <row r="40345">
      <c r="D40345" s="185"/>
      <c r="E40345" s="185" t="s">
        <v>470</v>
      </c>
      <c r="H40345" s="185"/>
    </row>
    <row r="40346">
      <c r="D40346" s="185"/>
      <c r="E40346" s="185" t="s">
        <v>470</v>
      </c>
      <c r="H40346" s="185"/>
    </row>
    <row r="40347">
      <c r="D40347" s="185"/>
      <c r="E40347" s="185" t="s">
        <v>470</v>
      </c>
      <c r="H40347" s="185"/>
    </row>
    <row r="40348">
      <c r="D40348" s="185"/>
      <c r="E40348" s="185" t="s">
        <v>470</v>
      </c>
      <c r="H40348" s="185"/>
    </row>
    <row r="40349">
      <c r="D40349" s="185"/>
      <c r="E40349" s="185" t="s">
        <v>470</v>
      </c>
      <c r="H40349" s="185"/>
    </row>
    <row r="40350">
      <c r="D40350" s="185"/>
      <c r="E40350" s="185" t="s">
        <v>470</v>
      </c>
      <c r="H40350" s="185"/>
    </row>
    <row r="40351">
      <c r="D40351" s="185"/>
      <c r="E40351" s="185" t="s">
        <v>470</v>
      </c>
      <c r="H40351" s="185"/>
    </row>
    <row r="40352">
      <c r="D40352" s="185"/>
      <c r="E40352" s="185" t="s">
        <v>470</v>
      </c>
      <c r="H40352" s="185"/>
    </row>
    <row r="40353">
      <c r="D40353" s="185"/>
      <c r="E40353" s="185" t="s">
        <v>470</v>
      </c>
      <c r="H40353" s="185"/>
    </row>
    <row r="40354">
      <c r="D40354" s="185"/>
      <c r="E40354" s="185" t="s">
        <v>470</v>
      </c>
      <c r="H40354" s="185"/>
    </row>
    <row r="40355">
      <c r="D40355" s="185"/>
      <c r="E40355" s="185" t="s">
        <v>470</v>
      </c>
      <c r="H40355" s="185"/>
    </row>
    <row r="40356">
      <c r="D40356" s="185"/>
      <c r="E40356" s="185" t="s">
        <v>470</v>
      </c>
      <c r="H40356" s="185"/>
    </row>
    <row r="40357">
      <c r="D40357" s="185"/>
      <c r="E40357" s="185" t="s">
        <v>470</v>
      </c>
      <c r="H40357" s="185"/>
    </row>
    <row r="40358">
      <c r="D40358" s="185"/>
      <c r="E40358" s="185" t="s">
        <v>470</v>
      </c>
      <c r="H40358" s="185"/>
    </row>
    <row r="40359">
      <c r="D40359" s="185"/>
      <c r="E40359" s="185" t="s">
        <v>470</v>
      </c>
      <c r="H40359" s="185"/>
    </row>
    <row r="40360">
      <c r="D40360" s="185"/>
      <c r="E40360" s="185" t="s">
        <v>470</v>
      </c>
      <c r="H40360" s="185"/>
    </row>
    <row r="40361">
      <c r="D40361" s="185"/>
      <c r="E40361" s="185" t="s">
        <v>470</v>
      </c>
      <c r="H40361" s="185"/>
    </row>
    <row r="40362">
      <c r="D40362" s="185"/>
      <c r="E40362" s="185" t="s">
        <v>470</v>
      </c>
      <c r="H40362" s="185"/>
    </row>
    <row r="40363">
      <c r="D40363" s="185"/>
      <c r="E40363" s="185" t="s">
        <v>470</v>
      </c>
      <c r="H40363" s="185"/>
    </row>
    <row r="40364">
      <c r="D40364" s="185"/>
      <c r="E40364" s="185" t="s">
        <v>470</v>
      </c>
      <c r="H40364" s="185"/>
    </row>
    <row r="40365">
      <c r="D40365" s="185"/>
      <c r="E40365" s="185" t="s">
        <v>470</v>
      </c>
      <c r="H40365" s="185"/>
    </row>
    <row r="40366">
      <c r="D40366" s="185"/>
      <c r="E40366" s="185" t="s">
        <v>470</v>
      </c>
      <c r="H40366" s="185"/>
    </row>
    <row r="40367">
      <c r="D40367" s="185"/>
      <c r="E40367" s="185" t="s">
        <v>470</v>
      </c>
      <c r="H40367" s="185"/>
    </row>
    <row r="40368">
      <c r="D40368" s="185"/>
      <c r="E40368" s="185" t="s">
        <v>470</v>
      </c>
      <c r="H40368" s="185"/>
    </row>
    <row r="40369">
      <c r="D40369" s="185"/>
      <c r="E40369" s="185" t="s">
        <v>470</v>
      </c>
      <c r="H40369" s="185"/>
    </row>
    <row r="40370">
      <c r="D40370" s="185"/>
      <c r="E40370" s="185" t="s">
        <v>470</v>
      </c>
      <c r="H40370" s="185"/>
    </row>
    <row r="40371">
      <c r="D40371" s="185"/>
      <c r="E40371" s="185" t="s">
        <v>470</v>
      </c>
      <c r="H40371" s="185"/>
    </row>
    <row r="40372">
      <c r="D40372" s="185"/>
      <c r="E40372" s="185" t="s">
        <v>470</v>
      </c>
      <c r="H40372" s="185"/>
    </row>
    <row r="40373">
      <c r="D40373" s="185"/>
      <c r="E40373" s="185" t="s">
        <v>470</v>
      </c>
      <c r="H40373" s="185"/>
    </row>
    <row r="40374">
      <c r="D40374" s="185"/>
      <c r="E40374" s="185" t="s">
        <v>470</v>
      </c>
      <c r="H40374" s="185"/>
    </row>
    <row r="40375">
      <c r="D40375" s="185"/>
      <c r="E40375" s="185" t="s">
        <v>470</v>
      </c>
      <c r="H40375" s="185"/>
    </row>
    <row r="40376">
      <c r="D40376" s="185"/>
      <c r="E40376" s="185" t="s">
        <v>470</v>
      </c>
      <c r="H40376" s="185"/>
    </row>
    <row r="40377">
      <c r="D40377" s="185"/>
      <c r="E40377" s="185" t="s">
        <v>470</v>
      </c>
      <c r="H40377" s="185"/>
    </row>
    <row r="40378">
      <c r="D40378" s="185"/>
      <c r="E40378" s="185" t="s">
        <v>470</v>
      </c>
      <c r="H40378" s="185"/>
    </row>
    <row r="40379">
      <c r="D40379" s="185"/>
      <c r="E40379" s="185" t="s">
        <v>470</v>
      </c>
      <c r="H40379" s="185"/>
    </row>
    <row r="40380">
      <c r="D40380" s="185"/>
      <c r="E40380" s="185" t="s">
        <v>470</v>
      </c>
      <c r="H40380" s="185"/>
    </row>
    <row r="40381">
      <c r="D40381" s="185"/>
      <c r="E40381" s="185" t="s">
        <v>470</v>
      </c>
      <c r="H40381" s="185"/>
    </row>
    <row r="40382">
      <c r="D40382" s="185"/>
      <c r="E40382" s="185" t="s">
        <v>470</v>
      </c>
      <c r="H40382" s="185"/>
    </row>
    <row r="40383">
      <c r="D40383" s="185"/>
      <c r="E40383" s="185" t="s">
        <v>470</v>
      </c>
      <c r="H40383" s="185"/>
    </row>
    <row r="40384">
      <c r="D40384" s="185"/>
      <c r="E40384" s="185" t="s">
        <v>470</v>
      </c>
      <c r="H40384" s="185"/>
    </row>
    <row r="40385">
      <c r="D40385" s="185"/>
      <c r="E40385" s="185" t="s">
        <v>470</v>
      </c>
      <c r="H40385" s="185"/>
    </row>
    <row r="40386">
      <c r="D40386" s="185"/>
      <c r="E40386" s="185" t="s">
        <v>470</v>
      </c>
      <c r="H40386" s="185"/>
    </row>
    <row r="40387">
      <c r="D40387" s="185"/>
      <c r="E40387" s="185" t="s">
        <v>470</v>
      </c>
      <c r="H40387" s="185"/>
    </row>
    <row r="40388">
      <c r="D40388" s="185"/>
      <c r="E40388" s="185" t="s">
        <v>470</v>
      </c>
      <c r="H40388" s="185"/>
    </row>
    <row r="40389">
      <c r="D40389" s="185"/>
      <c r="E40389" s="185" t="s">
        <v>470</v>
      </c>
      <c r="H40389" s="185"/>
    </row>
    <row r="40390">
      <c r="D40390" s="185"/>
      <c r="E40390" s="185" t="s">
        <v>470</v>
      </c>
      <c r="H40390" s="185"/>
    </row>
    <row r="40391">
      <c r="D40391" s="185"/>
      <c r="E40391" s="185" t="s">
        <v>470</v>
      </c>
      <c r="H40391" s="185"/>
    </row>
    <row r="40392">
      <c r="D40392" s="185"/>
      <c r="E40392" s="185" t="s">
        <v>470</v>
      </c>
      <c r="H40392" s="185"/>
    </row>
    <row r="40393">
      <c r="D40393" s="185"/>
      <c r="E40393" s="185" t="s">
        <v>470</v>
      </c>
      <c r="H40393" s="185"/>
    </row>
    <row r="40394">
      <c r="D40394" s="185"/>
      <c r="E40394" s="185" t="s">
        <v>470</v>
      </c>
      <c r="H40394" s="185"/>
    </row>
    <row r="40395">
      <c r="D40395" s="185"/>
      <c r="E40395" s="185" t="s">
        <v>470</v>
      </c>
      <c r="H40395" s="185"/>
    </row>
    <row r="40396">
      <c r="D40396" s="185"/>
      <c r="E40396" s="185" t="s">
        <v>470</v>
      </c>
      <c r="H40396" s="185"/>
    </row>
    <row r="40397">
      <c r="D40397" s="185"/>
      <c r="E40397" s="185" t="s">
        <v>470</v>
      </c>
      <c r="H40397" s="185"/>
    </row>
    <row r="40398">
      <c r="D40398" s="185"/>
      <c r="E40398" s="185" t="s">
        <v>470</v>
      </c>
      <c r="H40398" s="185"/>
    </row>
    <row r="40399">
      <c r="D40399" s="185"/>
      <c r="E40399" s="185" t="s">
        <v>470</v>
      </c>
      <c r="H40399" s="185"/>
    </row>
    <row r="40400">
      <c r="D40400" s="185"/>
      <c r="E40400" s="185" t="s">
        <v>470</v>
      </c>
      <c r="H40400" s="185"/>
    </row>
    <row r="40401">
      <c r="D40401" s="185"/>
      <c r="E40401" s="185" t="s">
        <v>470</v>
      </c>
      <c r="H40401" s="185"/>
    </row>
    <row r="40402">
      <c r="D40402" s="185"/>
      <c r="E40402" s="185" t="s">
        <v>470</v>
      </c>
      <c r="H40402" s="185"/>
    </row>
    <row r="40403">
      <c r="D40403" s="185"/>
      <c r="E40403" s="185" t="s">
        <v>470</v>
      </c>
      <c r="H40403" s="185"/>
    </row>
    <row r="40404">
      <c r="D40404" s="185"/>
      <c r="E40404" s="185" t="s">
        <v>470</v>
      </c>
      <c r="H40404" s="185"/>
    </row>
    <row r="40405">
      <c r="D40405" s="185"/>
      <c r="E40405" s="185" t="s">
        <v>470</v>
      </c>
      <c r="H40405" s="185"/>
    </row>
    <row r="40406">
      <c r="D40406" s="185"/>
      <c r="E40406" s="185" t="s">
        <v>470</v>
      </c>
      <c r="H40406" s="185"/>
    </row>
    <row r="40407">
      <c r="D40407" s="185"/>
      <c r="E40407" s="185" t="s">
        <v>470</v>
      </c>
      <c r="H40407" s="185"/>
    </row>
    <row r="40408">
      <c r="D40408" s="185"/>
      <c r="E40408" s="185" t="s">
        <v>470</v>
      </c>
      <c r="H40408" s="185"/>
    </row>
    <row r="40409">
      <c r="D40409" s="185"/>
      <c r="E40409" s="185" t="s">
        <v>470</v>
      </c>
      <c r="H40409" s="185"/>
    </row>
    <row r="40410">
      <c r="D40410" s="185"/>
      <c r="E40410" s="185" t="s">
        <v>470</v>
      </c>
      <c r="H40410" s="185"/>
    </row>
    <row r="40411">
      <c r="D40411" s="185"/>
      <c r="E40411" s="185" t="s">
        <v>470</v>
      </c>
      <c r="H40411" s="185"/>
    </row>
    <row r="40412">
      <c r="D40412" s="185"/>
      <c r="E40412" s="185" t="s">
        <v>470</v>
      </c>
      <c r="H40412" s="185"/>
    </row>
    <row r="40413">
      <c r="D40413" s="185"/>
      <c r="E40413" s="185" t="s">
        <v>470</v>
      </c>
      <c r="H40413" s="185"/>
    </row>
    <row r="40414">
      <c r="D40414" s="185"/>
      <c r="E40414" s="185" t="s">
        <v>470</v>
      </c>
      <c r="H40414" s="185"/>
    </row>
    <row r="40415">
      <c r="D40415" s="185"/>
      <c r="E40415" s="185" t="s">
        <v>470</v>
      </c>
      <c r="H40415" s="185"/>
    </row>
    <row r="40416">
      <c r="D40416" s="185"/>
      <c r="E40416" s="185" t="s">
        <v>470</v>
      </c>
      <c r="H40416" s="185"/>
    </row>
    <row r="40417">
      <c r="D40417" s="185"/>
      <c r="E40417" s="185" t="s">
        <v>470</v>
      </c>
      <c r="H40417" s="185"/>
    </row>
    <row r="40418">
      <c r="D40418" s="185"/>
      <c r="E40418" s="185" t="s">
        <v>470</v>
      </c>
      <c r="H40418" s="185"/>
    </row>
    <row r="40419">
      <c r="D40419" s="185"/>
      <c r="E40419" s="185" t="s">
        <v>470</v>
      </c>
      <c r="H40419" s="185"/>
    </row>
    <row r="40420">
      <c r="D40420" s="185"/>
      <c r="E40420" s="185" t="s">
        <v>470</v>
      </c>
      <c r="H40420" s="185"/>
    </row>
    <row r="40421">
      <c r="D40421" s="185"/>
      <c r="E40421" s="185" t="s">
        <v>470</v>
      </c>
      <c r="H40421" s="185"/>
    </row>
    <row r="40422">
      <c r="D40422" s="185"/>
      <c r="E40422" s="185" t="s">
        <v>470</v>
      </c>
      <c r="H40422" s="185"/>
    </row>
    <row r="40423">
      <c r="D40423" s="185"/>
      <c r="E40423" s="185" t="s">
        <v>470</v>
      </c>
      <c r="H40423" s="185"/>
    </row>
    <row r="40424">
      <c r="D40424" s="185"/>
      <c r="E40424" s="185" t="s">
        <v>470</v>
      </c>
      <c r="H40424" s="185"/>
    </row>
    <row r="40425">
      <c r="D40425" s="185"/>
      <c r="E40425" s="185" t="s">
        <v>470</v>
      </c>
      <c r="H40425" s="185"/>
    </row>
    <row r="40426">
      <c r="D40426" s="185"/>
      <c r="E40426" s="185" t="s">
        <v>470</v>
      </c>
      <c r="H40426" s="185"/>
    </row>
    <row r="40427">
      <c r="D40427" s="185"/>
      <c r="E40427" s="185" t="s">
        <v>470</v>
      </c>
      <c r="H40427" s="185"/>
    </row>
    <row r="40428">
      <c r="D40428" s="185"/>
      <c r="E40428" s="185" t="s">
        <v>470</v>
      </c>
      <c r="H40428" s="185"/>
    </row>
    <row r="40429">
      <c r="D40429" s="185"/>
      <c r="E40429" s="185" t="s">
        <v>470</v>
      </c>
      <c r="H40429" s="185"/>
    </row>
    <row r="40430">
      <c r="D40430" s="185"/>
      <c r="E40430" s="185" t="s">
        <v>470</v>
      </c>
      <c r="H40430" s="185"/>
    </row>
    <row r="40431">
      <c r="D40431" s="185"/>
      <c r="E40431" s="185" t="s">
        <v>470</v>
      </c>
      <c r="H40431" s="185"/>
    </row>
    <row r="40432">
      <c r="D40432" s="185"/>
      <c r="E40432" s="185" t="s">
        <v>470</v>
      </c>
      <c r="H40432" s="185"/>
    </row>
    <row r="40433">
      <c r="D40433" s="185"/>
      <c r="E40433" s="185" t="s">
        <v>470</v>
      </c>
      <c r="H40433" s="185"/>
    </row>
    <row r="40434">
      <c r="D40434" s="185"/>
      <c r="E40434" s="185" t="s">
        <v>470</v>
      </c>
      <c r="H40434" s="185"/>
    </row>
    <row r="40435">
      <c r="D40435" s="185"/>
      <c r="E40435" s="185" t="s">
        <v>470</v>
      </c>
      <c r="H40435" s="185"/>
    </row>
    <row r="40436">
      <c r="D40436" s="185"/>
      <c r="E40436" s="185" t="s">
        <v>470</v>
      </c>
      <c r="H40436" s="185"/>
    </row>
    <row r="40437">
      <c r="D40437" s="185"/>
      <c r="E40437" s="185" t="s">
        <v>470</v>
      </c>
      <c r="H40437" s="185"/>
    </row>
    <row r="40438">
      <c r="D40438" s="185"/>
      <c r="E40438" s="185" t="s">
        <v>470</v>
      </c>
      <c r="H40438" s="185"/>
    </row>
    <row r="40439">
      <c r="D40439" s="185"/>
      <c r="E40439" s="185" t="s">
        <v>470</v>
      </c>
      <c r="H40439" s="185"/>
    </row>
    <row r="40440">
      <c r="D40440" s="185"/>
      <c r="E40440" s="185" t="s">
        <v>470</v>
      </c>
      <c r="H40440" s="185"/>
    </row>
    <row r="40441">
      <c r="D40441" s="185"/>
      <c r="E40441" s="185" t="s">
        <v>470</v>
      </c>
      <c r="H40441" s="185"/>
    </row>
    <row r="40442">
      <c r="D40442" s="185"/>
      <c r="E40442" s="185" t="s">
        <v>470</v>
      </c>
      <c r="H40442" s="185"/>
    </row>
    <row r="40443">
      <c r="D40443" s="185"/>
      <c r="E40443" s="185" t="s">
        <v>470</v>
      </c>
      <c r="H40443" s="185"/>
    </row>
    <row r="40444">
      <c r="D40444" s="185"/>
      <c r="E40444" s="185" t="s">
        <v>470</v>
      </c>
      <c r="H40444" s="185"/>
    </row>
    <row r="40445">
      <c r="D40445" s="185"/>
      <c r="E40445" s="185" t="s">
        <v>470</v>
      </c>
      <c r="H40445" s="185"/>
    </row>
    <row r="40446">
      <c r="D40446" s="185"/>
      <c r="E40446" s="185" t="s">
        <v>470</v>
      </c>
      <c r="H40446" s="185"/>
    </row>
    <row r="40447">
      <c r="D40447" s="185"/>
      <c r="E40447" s="185" t="s">
        <v>470</v>
      </c>
      <c r="H40447" s="185"/>
    </row>
    <row r="40448">
      <c r="D40448" s="185"/>
      <c r="E40448" s="185" t="s">
        <v>470</v>
      </c>
      <c r="H40448" s="185"/>
    </row>
    <row r="40449">
      <c r="D40449" s="185"/>
      <c r="E40449" s="185" t="s">
        <v>470</v>
      </c>
      <c r="H40449" s="185"/>
    </row>
    <row r="40450">
      <c r="D40450" s="185"/>
      <c r="E40450" s="185" t="s">
        <v>470</v>
      </c>
      <c r="H40450" s="185"/>
    </row>
    <row r="40451">
      <c r="D40451" s="185"/>
      <c r="E40451" s="185" t="s">
        <v>470</v>
      </c>
      <c r="H40451" s="185"/>
    </row>
    <row r="40452">
      <c r="D40452" s="185"/>
      <c r="E40452" s="185" t="s">
        <v>470</v>
      </c>
      <c r="H40452" s="185"/>
    </row>
    <row r="40453">
      <c r="D40453" s="185"/>
      <c r="E40453" s="185" t="s">
        <v>470</v>
      </c>
      <c r="H40453" s="185"/>
    </row>
    <row r="40454">
      <c r="D40454" s="185"/>
      <c r="E40454" s="185" t="s">
        <v>470</v>
      </c>
      <c r="H40454" s="185"/>
    </row>
    <row r="40455">
      <c r="D40455" s="185"/>
      <c r="E40455" s="185" t="s">
        <v>470</v>
      </c>
      <c r="H40455" s="185"/>
    </row>
    <row r="40456">
      <c r="D40456" s="185"/>
      <c r="E40456" s="185" t="s">
        <v>470</v>
      </c>
      <c r="H40456" s="185"/>
    </row>
    <row r="40457">
      <c r="D40457" s="185"/>
      <c r="E40457" s="185" t="s">
        <v>470</v>
      </c>
      <c r="H40457" s="185"/>
    </row>
    <row r="40458">
      <c r="D40458" s="185"/>
      <c r="E40458" s="185" t="s">
        <v>470</v>
      </c>
      <c r="H40458" s="185"/>
    </row>
    <row r="40459">
      <c r="D40459" s="185"/>
      <c r="E40459" s="185" t="s">
        <v>470</v>
      </c>
      <c r="H40459" s="185"/>
    </row>
    <row r="40460">
      <c r="D40460" s="185"/>
      <c r="E40460" s="185" t="s">
        <v>470</v>
      </c>
      <c r="H40460" s="185"/>
    </row>
    <row r="40461">
      <c r="D40461" s="185"/>
      <c r="E40461" s="185" t="s">
        <v>470</v>
      </c>
      <c r="H40461" s="185"/>
    </row>
    <row r="40462">
      <c r="D40462" s="185"/>
      <c r="E40462" s="185" t="s">
        <v>470</v>
      </c>
      <c r="H40462" s="185"/>
    </row>
    <row r="40463">
      <c r="D40463" s="185"/>
      <c r="E40463" s="185" t="s">
        <v>470</v>
      </c>
      <c r="H40463" s="185"/>
    </row>
    <row r="40464">
      <c r="D40464" s="185"/>
      <c r="E40464" s="185" t="s">
        <v>470</v>
      </c>
      <c r="H40464" s="185"/>
    </row>
    <row r="40465">
      <c r="D40465" s="185"/>
      <c r="E40465" s="185" t="s">
        <v>470</v>
      </c>
      <c r="H40465" s="185"/>
    </row>
    <row r="40466">
      <c r="D40466" s="185"/>
      <c r="E40466" s="185" t="s">
        <v>470</v>
      </c>
      <c r="H40466" s="185"/>
    </row>
    <row r="40467">
      <c r="D40467" s="185"/>
      <c r="E40467" s="185" t="s">
        <v>470</v>
      </c>
      <c r="H40467" s="185"/>
    </row>
    <row r="40468">
      <c r="D40468" s="185"/>
      <c r="E40468" s="185" t="s">
        <v>470</v>
      </c>
      <c r="H40468" s="185"/>
    </row>
    <row r="40469">
      <c r="D40469" s="185"/>
      <c r="E40469" s="185" t="s">
        <v>470</v>
      </c>
      <c r="H40469" s="185"/>
    </row>
    <row r="40470">
      <c r="D40470" s="185"/>
      <c r="E40470" s="185" t="s">
        <v>470</v>
      </c>
      <c r="H40470" s="185"/>
    </row>
    <row r="40471">
      <c r="D40471" s="185"/>
      <c r="E40471" s="185" t="s">
        <v>470</v>
      </c>
      <c r="H40471" s="185"/>
    </row>
    <row r="40472">
      <c r="D40472" s="185"/>
      <c r="E40472" s="185" t="s">
        <v>470</v>
      </c>
      <c r="H40472" s="185"/>
    </row>
    <row r="40473">
      <c r="D40473" s="185"/>
      <c r="E40473" s="185" t="s">
        <v>470</v>
      </c>
      <c r="H40473" s="185"/>
    </row>
    <row r="40474">
      <c r="D40474" s="185"/>
      <c r="E40474" s="185" t="s">
        <v>470</v>
      </c>
      <c r="H40474" s="185"/>
    </row>
    <row r="40475">
      <c r="D40475" s="185"/>
      <c r="E40475" s="185" t="s">
        <v>470</v>
      </c>
      <c r="H40475" s="185"/>
    </row>
    <row r="40476">
      <c r="D40476" s="185"/>
      <c r="E40476" s="185" t="s">
        <v>470</v>
      </c>
      <c r="H40476" s="185"/>
    </row>
    <row r="40477">
      <c r="D40477" s="185"/>
      <c r="E40477" s="185" t="s">
        <v>470</v>
      </c>
      <c r="H40477" s="185"/>
    </row>
    <row r="40478">
      <c r="D40478" s="185"/>
      <c r="E40478" s="185" t="s">
        <v>470</v>
      </c>
      <c r="H40478" s="185"/>
    </row>
    <row r="40479">
      <c r="D40479" s="185"/>
      <c r="E40479" s="185" t="s">
        <v>470</v>
      </c>
      <c r="H40479" s="185"/>
    </row>
    <row r="40480">
      <c r="D40480" s="185"/>
      <c r="E40480" s="185" t="s">
        <v>470</v>
      </c>
      <c r="H40480" s="185"/>
    </row>
    <row r="40481">
      <c r="D40481" s="185"/>
      <c r="E40481" s="185" t="s">
        <v>470</v>
      </c>
      <c r="H40481" s="185"/>
    </row>
    <row r="40482">
      <c r="D40482" s="185"/>
      <c r="E40482" s="185" t="s">
        <v>470</v>
      </c>
      <c r="H40482" s="185"/>
    </row>
    <row r="40483">
      <c r="D40483" s="185"/>
      <c r="E40483" s="185" t="s">
        <v>470</v>
      </c>
      <c r="H40483" s="185"/>
    </row>
    <row r="40484">
      <c r="D40484" s="185"/>
      <c r="E40484" s="185" t="s">
        <v>470</v>
      </c>
      <c r="H40484" s="185"/>
    </row>
    <row r="40485">
      <c r="D40485" s="185"/>
      <c r="E40485" s="185" t="s">
        <v>470</v>
      </c>
      <c r="H40485" s="185"/>
    </row>
    <row r="40486">
      <c r="D40486" s="185"/>
      <c r="E40486" s="185" t="s">
        <v>470</v>
      </c>
      <c r="H40486" s="185"/>
    </row>
    <row r="40487">
      <c r="D40487" s="185"/>
      <c r="E40487" s="185" t="s">
        <v>470</v>
      </c>
      <c r="H40487" s="185"/>
    </row>
    <row r="40488">
      <c r="D40488" s="185"/>
      <c r="E40488" s="185" t="s">
        <v>470</v>
      </c>
      <c r="H40488" s="185"/>
    </row>
    <row r="40489">
      <c r="D40489" s="185"/>
      <c r="E40489" s="185" t="s">
        <v>470</v>
      </c>
      <c r="H40489" s="185"/>
    </row>
    <row r="40490">
      <c r="D40490" s="185"/>
      <c r="E40490" s="185" t="s">
        <v>470</v>
      </c>
      <c r="H40490" s="185"/>
    </row>
    <row r="40491">
      <c r="D40491" s="185"/>
      <c r="E40491" s="185" t="s">
        <v>470</v>
      </c>
      <c r="H40491" s="185"/>
    </row>
    <row r="40492">
      <c r="D40492" s="185"/>
      <c r="E40492" s="185" t="s">
        <v>470</v>
      </c>
      <c r="H40492" s="185"/>
    </row>
    <row r="40493">
      <c r="D40493" s="185"/>
      <c r="E40493" s="185" t="s">
        <v>470</v>
      </c>
      <c r="H40493" s="185"/>
    </row>
    <row r="40494">
      <c r="D40494" s="185"/>
      <c r="E40494" s="185" t="s">
        <v>470</v>
      </c>
      <c r="H40494" s="185"/>
    </row>
    <row r="40495">
      <c r="D40495" s="185"/>
      <c r="E40495" s="185" t="s">
        <v>470</v>
      </c>
      <c r="H40495" s="185"/>
    </row>
    <row r="40496">
      <c r="D40496" s="185"/>
      <c r="E40496" s="185" t="s">
        <v>470</v>
      </c>
      <c r="H40496" s="185"/>
    </row>
    <row r="40497">
      <c r="D40497" s="185"/>
      <c r="E40497" s="185" t="s">
        <v>470</v>
      </c>
      <c r="H40497" s="185"/>
    </row>
    <row r="40498">
      <c r="D40498" s="185"/>
      <c r="E40498" s="185" t="s">
        <v>470</v>
      </c>
      <c r="H40498" s="185"/>
    </row>
    <row r="40499">
      <c r="D40499" s="185"/>
      <c r="E40499" s="185" t="s">
        <v>470</v>
      </c>
      <c r="H40499" s="185"/>
    </row>
    <row r="40500">
      <c r="D40500" s="185"/>
      <c r="E40500" s="185" t="s">
        <v>470</v>
      </c>
      <c r="H40500" s="185"/>
    </row>
    <row r="40501">
      <c r="D40501" s="185"/>
      <c r="E40501" s="185" t="s">
        <v>470</v>
      </c>
      <c r="H40501" s="185"/>
    </row>
    <row r="40502">
      <c r="D40502" s="185"/>
      <c r="E40502" s="185" t="s">
        <v>470</v>
      </c>
      <c r="H40502" s="185"/>
    </row>
    <row r="40503">
      <c r="D40503" s="185"/>
      <c r="E40503" s="185" t="s">
        <v>470</v>
      </c>
      <c r="H40503" s="185"/>
    </row>
    <row r="40504">
      <c r="D40504" s="185"/>
      <c r="E40504" s="185" t="s">
        <v>470</v>
      </c>
      <c r="H40504" s="185"/>
    </row>
    <row r="40505">
      <c r="D40505" s="185"/>
      <c r="E40505" s="185" t="s">
        <v>470</v>
      </c>
      <c r="H40505" s="185"/>
    </row>
    <row r="40506">
      <c r="D40506" s="185"/>
      <c r="E40506" s="185" t="s">
        <v>470</v>
      </c>
      <c r="H40506" s="185"/>
    </row>
    <row r="40507">
      <c r="D40507" s="185"/>
      <c r="E40507" s="185" t="s">
        <v>470</v>
      </c>
      <c r="H40507" s="185"/>
    </row>
    <row r="40508">
      <c r="D40508" s="185"/>
      <c r="E40508" s="185" t="s">
        <v>470</v>
      </c>
      <c r="H40508" s="185"/>
    </row>
    <row r="40509">
      <c r="D40509" s="185"/>
      <c r="E40509" s="185" t="s">
        <v>470</v>
      </c>
      <c r="H40509" s="185"/>
    </row>
    <row r="40510">
      <c r="D40510" s="185"/>
      <c r="E40510" s="185" t="s">
        <v>470</v>
      </c>
      <c r="H40510" s="185"/>
    </row>
    <row r="40511">
      <c r="D40511" s="185"/>
      <c r="E40511" s="185" t="s">
        <v>470</v>
      </c>
      <c r="H40511" s="185"/>
    </row>
    <row r="40512">
      <c r="D40512" s="185"/>
      <c r="E40512" s="185" t="s">
        <v>470</v>
      </c>
      <c r="H40512" s="185"/>
    </row>
    <row r="40513">
      <c r="D40513" s="185"/>
      <c r="E40513" s="185" t="s">
        <v>470</v>
      </c>
      <c r="H40513" s="185"/>
    </row>
    <row r="40514">
      <c r="D40514" s="185"/>
      <c r="E40514" s="185" t="s">
        <v>470</v>
      </c>
      <c r="H40514" s="185"/>
    </row>
    <row r="40515">
      <c r="D40515" s="185"/>
      <c r="E40515" s="185" t="s">
        <v>470</v>
      </c>
      <c r="H40515" s="185"/>
    </row>
    <row r="40516">
      <c r="D40516" s="185"/>
      <c r="E40516" s="185" t="s">
        <v>470</v>
      </c>
      <c r="H40516" s="185"/>
    </row>
    <row r="40517">
      <c r="D40517" s="185"/>
      <c r="E40517" s="185" t="s">
        <v>470</v>
      </c>
      <c r="H40517" s="185"/>
    </row>
    <row r="40518">
      <c r="D40518" s="185"/>
      <c r="E40518" s="185" t="s">
        <v>470</v>
      </c>
      <c r="H40518" s="185"/>
    </row>
    <row r="40519">
      <c r="D40519" s="185"/>
      <c r="E40519" s="185" t="s">
        <v>470</v>
      </c>
      <c r="H40519" s="185"/>
    </row>
    <row r="40520">
      <c r="D40520" s="185"/>
      <c r="E40520" s="185" t="s">
        <v>470</v>
      </c>
      <c r="H40520" s="185"/>
    </row>
    <row r="40521">
      <c r="D40521" s="185"/>
      <c r="E40521" s="185" t="s">
        <v>470</v>
      </c>
      <c r="H40521" s="185"/>
    </row>
    <row r="40522">
      <c r="D40522" s="185"/>
      <c r="E40522" s="185" t="s">
        <v>470</v>
      </c>
      <c r="H40522" s="185"/>
    </row>
    <row r="40523">
      <c r="D40523" s="185"/>
      <c r="E40523" s="185" t="s">
        <v>470</v>
      </c>
      <c r="H40523" s="185"/>
    </row>
    <row r="40524">
      <c r="D40524" s="185"/>
      <c r="E40524" s="185" t="s">
        <v>470</v>
      </c>
      <c r="H40524" s="185"/>
    </row>
    <row r="40525">
      <c r="D40525" s="185"/>
      <c r="E40525" s="185" t="s">
        <v>470</v>
      </c>
      <c r="H40525" s="185"/>
    </row>
    <row r="40526">
      <c r="D40526" s="185"/>
      <c r="E40526" s="185" t="s">
        <v>470</v>
      </c>
      <c r="H40526" s="185"/>
    </row>
    <row r="40527">
      <c r="D40527" s="185"/>
      <c r="E40527" s="185" t="s">
        <v>470</v>
      </c>
      <c r="H40527" s="185"/>
    </row>
    <row r="40528">
      <c r="D40528" s="185"/>
      <c r="E40528" s="185" t="s">
        <v>470</v>
      </c>
      <c r="H40528" s="185"/>
    </row>
    <row r="40529">
      <c r="D40529" s="185"/>
      <c r="E40529" s="185" t="s">
        <v>470</v>
      </c>
      <c r="H40529" s="185"/>
    </row>
    <row r="40530">
      <c r="D40530" s="185"/>
      <c r="E40530" s="185" t="s">
        <v>470</v>
      </c>
      <c r="H40530" s="185"/>
    </row>
    <row r="40531">
      <c r="D40531" s="185"/>
      <c r="E40531" s="185" t="s">
        <v>470</v>
      </c>
      <c r="H40531" s="185"/>
    </row>
    <row r="40532">
      <c r="D40532" s="185"/>
      <c r="E40532" s="185" t="s">
        <v>470</v>
      </c>
      <c r="H40532" s="185"/>
    </row>
    <row r="40533">
      <c r="D40533" s="185"/>
      <c r="E40533" s="185" t="s">
        <v>470</v>
      </c>
      <c r="H40533" s="185"/>
    </row>
    <row r="40534">
      <c r="D40534" s="185"/>
      <c r="E40534" s="185" t="s">
        <v>470</v>
      </c>
      <c r="H40534" s="185"/>
    </row>
    <row r="40535">
      <c r="D40535" s="185"/>
      <c r="E40535" s="185" t="s">
        <v>470</v>
      </c>
      <c r="H40535" s="185"/>
    </row>
    <row r="40536">
      <c r="D40536" s="185"/>
      <c r="E40536" s="185" t="s">
        <v>470</v>
      </c>
      <c r="H40536" s="185"/>
    </row>
    <row r="40537">
      <c r="D40537" s="185"/>
      <c r="E40537" s="185" t="s">
        <v>470</v>
      </c>
      <c r="H40537" s="185"/>
    </row>
    <row r="40538">
      <c r="D40538" s="185"/>
      <c r="E40538" s="185" t="s">
        <v>470</v>
      </c>
      <c r="H40538" s="185"/>
    </row>
    <row r="40539">
      <c r="D40539" s="185"/>
      <c r="E40539" s="185" t="s">
        <v>470</v>
      </c>
      <c r="H40539" s="185"/>
    </row>
    <row r="40540">
      <c r="D40540" s="185"/>
      <c r="E40540" s="185" t="s">
        <v>470</v>
      </c>
      <c r="H40540" s="185"/>
    </row>
    <row r="40541">
      <c r="D40541" s="185"/>
      <c r="E40541" s="185" t="s">
        <v>470</v>
      </c>
      <c r="H40541" s="185"/>
    </row>
    <row r="40542">
      <c r="D40542" s="185"/>
      <c r="E40542" s="185" t="s">
        <v>470</v>
      </c>
      <c r="H40542" s="185"/>
    </row>
    <row r="40543">
      <c r="D40543" s="185"/>
      <c r="E40543" s="185" t="s">
        <v>470</v>
      </c>
      <c r="H40543" s="185"/>
    </row>
    <row r="40544">
      <c r="D40544" s="185"/>
      <c r="E40544" s="185" t="s">
        <v>470</v>
      </c>
      <c r="H40544" s="185"/>
    </row>
    <row r="40545">
      <c r="D40545" s="185"/>
      <c r="E40545" s="185" t="s">
        <v>470</v>
      </c>
      <c r="H40545" s="185"/>
    </row>
    <row r="40546">
      <c r="D40546" s="185"/>
      <c r="E40546" s="185" t="s">
        <v>470</v>
      </c>
      <c r="H40546" s="185"/>
    </row>
    <row r="40547">
      <c r="D40547" s="185"/>
      <c r="E40547" s="185" t="s">
        <v>470</v>
      </c>
      <c r="H40547" s="185"/>
    </row>
    <row r="40548">
      <c r="D40548" s="185"/>
      <c r="E40548" s="185" t="s">
        <v>470</v>
      </c>
      <c r="H40548" s="185"/>
    </row>
    <row r="40549">
      <c r="D40549" s="185"/>
      <c r="E40549" s="185" t="s">
        <v>470</v>
      </c>
      <c r="H40549" s="185"/>
    </row>
    <row r="40550">
      <c r="D40550" s="185"/>
      <c r="E40550" s="185" t="s">
        <v>470</v>
      </c>
      <c r="H40550" s="185"/>
    </row>
    <row r="40551">
      <c r="D40551" s="185"/>
      <c r="E40551" s="185" t="s">
        <v>470</v>
      </c>
      <c r="H40551" s="185"/>
    </row>
    <row r="40552">
      <c r="D40552" s="185"/>
      <c r="E40552" s="185" t="s">
        <v>470</v>
      </c>
      <c r="H40552" s="185"/>
    </row>
    <row r="40553">
      <c r="D40553" s="185"/>
      <c r="E40553" s="185" t="s">
        <v>470</v>
      </c>
      <c r="H40553" s="185"/>
    </row>
    <row r="40554">
      <c r="D40554" s="185"/>
      <c r="E40554" s="185" t="s">
        <v>470</v>
      </c>
      <c r="H40554" s="185"/>
    </row>
    <row r="40555">
      <c r="D40555" s="185"/>
      <c r="E40555" s="185" t="s">
        <v>470</v>
      </c>
      <c r="H40555" s="185"/>
    </row>
    <row r="40556">
      <c r="D40556" s="185"/>
      <c r="E40556" s="185" t="s">
        <v>470</v>
      </c>
      <c r="H40556" s="185"/>
    </row>
    <row r="40557">
      <c r="D40557" s="185"/>
      <c r="E40557" s="185" t="s">
        <v>470</v>
      </c>
      <c r="H40557" s="185"/>
    </row>
    <row r="40558">
      <c r="D40558" s="185"/>
      <c r="E40558" s="185" t="s">
        <v>470</v>
      </c>
      <c r="H40558" s="185"/>
    </row>
    <row r="40559">
      <c r="D40559" s="185"/>
      <c r="E40559" s="185" t="s">
        <v>470</v>
      </c>
      <c r="H40559" s="185"/>
    </row>
    <row r="40560">
      <c r="D40560" s="185"/>
      <c r="E40560" s="185" t="s">
        <v>470</v>
      </c>
      <c r="H40560" s="185"/>
    </row>
    <row r="40561">
      <c r="D40561" s="185"/>
      <c r="E40561" s="185" t="s">
        <v>470</v>
      </c>
      <c r="H40561" s="185"/>
    </row>
    <row r="40562">
      <c r="D40562" s="185"/>
      <c r="E40562" s="185" t="s">
        <v>470</v>
      </c>
      <c r="H40562" s="185"/>
    </row>
    <row r="40563">
      <c r="D40563" s="185"/>
      <c r="E40563" s="185" t="s">
        <v>470</v>
      </c>
      <c r="H40563" s="185"/>
    </row>
    <row r="40564">
      <c r="D40564" s="185"/>
      <c r="E40564" s="185" t="s">
        <v>470</v>
      </c>
      <c r="H40564" s="185"/>
    </row>
    <row r="40565">
      <c r="D40565" s="185"/>
      <c r="E40565" s="185" t="s">
        <v>470</v>
      </c>
      <c r="H40565" s="185"/>
    </row>
    <row r="40566">
      <c r="D40566" s="185"/>
      <c r="E40566" s="185" t="s">
        <v>470</v>
      </c>
      <c r="H40566" s="185"/>
    </row>
    <row r="40567">
      <c r="D40567" s="185"/>
      <c r="E40567" s="185" t="s">
        <v>470</v>
      </c>
      <c r="H40567" s="185"/>
    </row>
    <row r="40568">
      <c r="D40568" s="185"/>
      <c r="E40568" s="185" t="s">
        <v>470</v>
      </c>
      <c r="H40568" s="185"/>
    </row>
    <row r="40569">
      <c r="D40569" s="185"/>
      <c r="E40569" s="185" t="s">
        <v>470</v>
      </c>
      <c r="H40569" s="185"/>
    </row>
    <row r="40570">
      <c r="D40570" s="185"/>
      <c r="E40570" s="185" t="s">
        <v>470</v>
      </c>
      <c r="H40570" s="185"/>
    </row>
    <row r="40571">
      <c r="D40571" s="185"/>
      <c r="E40571" s="185" t="s">
        <v>470</v>
      </c>
      <c r="H40571" s="185"/>
    </row>
    <row r="40572">
      <c r="D40572" s="185"/>
      <c r="E40572" s="185" t="s">
        <v>470</v>
      </c>
      <c r="H40572" s="185"/>
    </row>
    <row r="40573">
      <c r="D40573" s="185"/>
      <c r="E40573" s="185" t="s">
        <v>470</v>
      </c>
      <c r="H40573" s="185"/>
    </row>
    <row r="40574">
      <c r="D40574" s="185"/>
      <c r="E40574" s="185" t="s">
        <v>470</v>
      </c>
      <c r="H40574" s="185"/>
    </row>
    <row r="40575">
      <c r="D40575" s="185"/>
      <c r="E40575" s="185" t="s">
        <v>470</v>
      </c>
      <c r="H40575" s="185"/>
    </row>
    <row r="40576">
      <c r="D40576" s="185"/>
      <c r="E40576" s="185" t="s">
        <v>470</v>
      </c>
      <c r="H40576" s="185"/>
    </row>
    <row r="40577">
      <c r="D40577" s="185"/>
      <c r="E40577" s="185" t="s">
        <v>470</v>
      </c>
      <c r="H40577" s="185"/>
    </row>
    <row r="40578">
      <c r="D40578" s="185"/>
      <c r="E40578" s="185" t="s">
        <v>470</v>
      </c>
      <c r="H40578" s="185"/>
    </row>
    <row r="40579">
      <c r="D40579" s="185"/>
      <c r="E40579" s="185" t="s">
        <v>470</v>
      </c>
      <c r="H40579" s="185"/>
    </row>
    <row r="40580">
      <c r="D40580" s="185"/>
      <c r="E40580" s="185" t="s">
        <v>470</v>
      </c>
      <c r="H40580" s="185"/>
    </row>
    <row r="40581">
      <c r="D40581" s="185"/>
      <c r="E40581" s="185" t="s">
        <v>470</v>
      </c>
      <c r="H40581" s="185"/>
    </row>
    <row r="40582">
      <c r="D40582" s="185"/>
      <c r="E40582" s="185" t="s">
        <v>470</v>
      </c>
      <c r="H40582" s="185"/>
    </row>
    <row r="40583">
      <c r="D40583" s="185"/>
      <c r="E40583" s="185" t="s">
        <v>470</v>
      </c>
      <c r="H40583" s="185"/>
    </row>
    <row r="40584">
      <c r="D40584" s="185"/>
      <c r="E40584" s="185" t="s">
        <v>470</v>
      </c>
      <c r="H40584" s="185"/>
    </row>
    <row r="40585">
      <c r="D40585" s="185"/>
      <c r="E40585" s="185" t="s">
        <v>470</v>
      </c>
      <c r="H40585" s="185"/>
    </row>
    <row r="40586">
      <c r="D40586" s="185"/>
      <c r="E40586" s="185" t="s">
        <v>470</v>
      </c>
      <c r="H40586" s="185"/>
    </row>
    <row r="40587">
      <c r="D40587" s="185"/>
      <c r="E40587" s="185" t="s">
        <v>470</v>
      </c>
      <c r="H40587" s="185"/>
    </row>
    <row r="40588">
      <c r="D40588" s="185"/>
      <c r="E40588" s="185" t="s">
        <v>470</v>
      </c>
      <c r="H40588" s="185"/>
    </row>
    <row r="40589">
      <c r="D40589" s="185"/>
      <c r="E40589" s="185" t="s">
        <v>470</v>
      </c>
      <c r="H40589" s="185"/>
    </row>
    <row r="40590">
      <c r="D40590" s="185"/>
      <c r="E40590" s="185" t="s">
        <v>470</v>
      </c>
      <c r="H40590" s="185"/>
    </row>
    <row r="40591">
      <c r="D40591" s="185"/>
      <c r="E40591" s="185" t="s">
        <v>470</v>
      </c>
      <c r="H40591" s="185"/>
    </row>
    <row r="40592">
      <c r="D40592" s="185"/>
      <c r="E40592" s="185" t="s">
        <v>470</v>
      </c>
      <c r="H40592" s="185"/>
    </row>
    <row r="40593">
      <c r="D40593" s="185"/>
      <c r="E40593" s="185" t="s">
        <v>470</v>
      </c>
      <c r="H40593" s="185"/>
    </row>
    <row r="40594">
      <c r="D40594" s="185"/>
      <c r="E40594" s="185" t="s">
        <v>470</v>
      </c>
      <c r="H40594" s="185"/>
    </row>
    <row r="40595">
      <c r="D40595" s="185"/>
      <c r="E40595" s="185" t="s">
        <v>470</v>
      </c>
      <c r="H40595" s="185"/>
    </row>
    <row r="40596">
      <c r="D40596" s="185"/>
      <c r="E40596" s="185" t="s">
        <v>470</v>
      </c>
      <c r="H40596" s="185"/>
    </row>
    <row r="40597">
      <c r="D40597" s="185"/>
      <c r="E40597" s="185" t="s">
        <v>470</v>
      </c>
      <c r="H40597" s="185"/>
    </row>
    <row r="40598">
      <c r="D40598" s="185"/>
      <c r="E40598" s="185" t="s">
        <v>470</v>
      </c>
      <c r="H40598" s="185"/>
    </row>
    <row r="40599">
      <c r="D40599" s="185"/>
      <c r="E40599" s="185" t="s">
        <v>470</v>
      </c>
      <c r="H40599" s="185"/>
    </row>
    <row r="40600">
      <c r="D40600" s="185"/>
      <c r="E40600" s="185" t="s">
        <v>470</v>
      </c>
      <c r="H40600" s="185"/>
    </row>
    <row r="40601">
      <c r="D40601" s="185"/>
      <c r="E40601" s="185" t="s">
        <v>470</v>
      </c>
      <c r="H40601" s="185"/>
    </row>
    <row r="40602">
      <c r="D40602" s="185"/>
      <c r="E40602" s="185" t="s">
        <v>470</v>
      </c>
      <c r="H40602" s="185"/>
    </row>
    <row r="40603">
      <c r="D40603" s="185"/>
      <c r="E40603" s="185" t="s">
        <v>470</v>
      </c>
      <c r="H40603" s="185"/>
    </row>
    <row r="40604">
      <c r="D40604" s="185"/>
      <c r="E40604" s="185" t="s">
        <v>470</v>
      </c>
      <c r="H40604" s="185"/>
    </row>
    <row r="40605">
      <c r="D40605" s="185"/>
      <c r="E40605" s="185" t="s">
        <v>470</v>
      </c>
      <c r="H40605" s="185"/>
    </row>
    <row r="40606">
      <c r="D40606" s="185"/>
      <c r="E40606" s="185" t="s">
        <v>470</v>
      </c>
      <c r="H40606" s="185"/>
    </row>
    <row r="40607">
      <c r="D40607" s="185"/>
      <c r="E40607" s="185" t="s">
        <v>470</v>
      </c>
      <c r="H40607" s="185"/>
    </row>
    <row r="40608">
      <c r="D40608" s="185"/>
      <c r="E40608" s="185" t="s">
        <v>470</v>
      </c>
      <c r="H40608" s="185"/>
    </row>
    <row r="40609">
      <c r="D40609" s="185"/>
      <c r="E40609" s="185" t="s">
        <v>470</v>
      </c>
      <c r="H40609" s="185"/>
    </row>
    <row r="40610">
      <c r="D40610" s="185"/>
      <c r="E40610" s="185" t="s">
        <v>470</v>
      </c>
      <c r="H40610" s="185"/>
    </row>
    <row r="40611">
      <c r="D40611" s="185"/>
      <c r="E40611" s="185" t="s">
        <v>470</v>
      </c>
      <c r="H40611" s="185"/>
    </row>
    <row r="40612">
      <c r="D40612" s="185"/>
      <c r="E40612" s="185" t="s">
        <v>470</v>
      </c>
      <c r="H40612" s="185"/>
    </row>
    <row r="40613">
      <c r="D40613" s="185"/>
      <c r="E40613" s="185" t="s">
        <v>470</v>
      </c>
      <c r="H40613" s="185"/>
    </row>
    <row r="40614">
      <c r="D40614" s="185"/>
      <c r="E40614" s="185" t="s">
        <v>470</v>
      </c>
      <c r="H40614" s="185"/>
    </row>
    <row r="40615">
      <c r="D40615" s="185"/>
      <c r="E40615" s="185" t="s">
        <v>470</v>
      </c>
      <c r="H40615" s="185"/>
    </row>
    <row r="40616">
      <c r="D40616" s="185"/>
      <c r="E40616" s="185" t="s">
        <v>470</v>
      </c>
      <c r="H40616" s="185"/>
    </row>
    <row r="40617">
      <c r="D40617" s="185"/>
      <c r="E40617" s="185" t="s">
        <v>470</v>
      </c>
      <c r="H40617" s="185"/>
    </row>
    <row r="40618">
      <c r="D40618" s="185"/>
      <c r="E40618" s="185" t="s">
        <v>470</v>
      </c>
      <c r="H40618" s="185"/>
    </row>
    <row r="40619">
      <c r="D40619" s="185"/>
      <c r="E40619" s="185" t="s">
        <v>470</v>
      </c>
      <c r="H40619" s="185"/>
    </row>
    <row r="40620">
      <c r="D40620" s="185"/>
      <c r="E40620" s="185" t="s">
        <v>470</v>
      </c>
      <c r="H40620" s="185"/>
    </row>
    <row r="40621">
      <c r="D40621" s="185"/>
      <c r="E40621" s="185" t="s">
        <v>470</v>
      </c>
      <c r="H40621" s="185"/>
    </row>
    <row r="40622">
      <c r="D40622" s="185"/>
      <c r="E40622" s="185" t="s">
        <v>470</v>
      </c>
      <c r="H40622" s="185"/>
    </row>
    <row r="40623">
      <c r="D40623" s="185"/>
      <c r="E40623" s="185" t="s">
        <v>470</v>
      </c>
      <c r="H40623" s="185"/>
    </row>
    <row r="40624">
      <c r="D40624" s="185"/>
      <c r="E40624" s="185" t="s">
        <v>470</v>
      </c>
      <c r="H40624" s="185"/>
    </row>
    <row r="40625">
      <c r="D40625" s="185"/>
      <c r="E40625" s="185" t="s">
        <v>470</v>
      </c>
      <c r="H40625" s="185"/>
    </row>
    <row r="40626">
      <c r="D40626" s="185"/>
      <c r="E40626" s="185" t="s">
        <v>470</v>
      </c>
      <c r="H40626" s="185"/>
    </row>
    <row r="40627">
      <c r="D40627" s="185"/>
      <c r="E40627" s="185" t="s">
        <v>470</v>
      </c>
      <c r="H40627" s="185"/>
    </row>
    <row r="40628">
      <c r="D40628" s="185"/>
      <c r="E40628" s="185" t="s">
        <v>470</v>
      </c>
      <c r="H40628" s="185"/>
    </row>
    <row r="40629">
      <c r="D40629" s="185"/>
      <c r="E40629" s="185" t="s">
        <v>470</v>
      </c>
      <c r="H40629" s="185"/>
    </row>
    <row r="40630">
      <c r="D40630" s="185"/>
      <c r="E40630" s="185" t="s">
        <v>470</v>
      </c>
      <c r="H40630" s="185"/>
    </row>
    <row r="40631">
      <c r="D40631" s="185"/>
      <c r="E40631" s="185" t="s">
        <v>470</v>
      </c>
      <c r="H40631" s="185"/>
    </row>
    <row r="40632">
      <c r="D40632" s="185"/>
      <c r="E40632" s="185" t="s">
        <v>470</v>
      </c>
      <c r="H40632" s="185"/>
    </row>
    <row r="40633">
      <c r="D40633" s="185"/>
      <c r="E40633" s="185" t="s">
        <v>470</v>
      </c>
      <c r="H40633" s="185"/>
    </row>
    <row r="40634">
      <c r="D40634" s="185"/>
      <c r="E40634" s="185" t="s">
        <v>470</v>
      </c>
      <c r="H40634" s="185"/>
    </row>
    <row r="40635">
      <c r="D40635" s="185"/>
      <c r="E40635" s="185" t="s">
        <v>470</v>
      </c>
      <c r="H40635" s="185"/>
    </row>
    <row r="40636">
      <c r="D40636" s="185"/>
      <c r="E40636" s="185" t="s">
        <v>470</v>
      </c>
      <c r="H40636" s="185"/>
    </row>
    <row r="40637">
      <c r="D40637" s="185"/>
      <c r="E40637" s="185" t="s">
        <v>470</v>
      </c>
      <c r="H40637" s="185"/>
    </row>
    <row r="40638">
      <c r="D40638" s="185"/>
      <c r="E40638" s="185" t="s">
        <v>470</v>
      </c>
      <c r="H40638" s="185"/>
    </row>
    <row r="40639">
      <c r="D40639" s="185"/>
      <c r="E40639" s="185" t="s">
        <v>470</v>
      </c>
      <c r="H40639" s="185"/>
    </row>
    <row r="40640">
      <c r="D40640" s="185"/>
      <c r="E40640" s="185" t="s">
        <v>470</v>
      </c>
      <c r="H40640" s="185"/>
    </row>
    <row r="40641">
      <c r="D40641" s="185"/>
      <c r="E40641" s="185" t="s">
        <v>470</v>
      </c>
      <c r="H40641" s="185"/>
    </row>
    <row r="40642">
      <c r="D40642" s="185"/>
      <c r="E40642" s="185" t="s">
        <v>470</v>
      </c>
      <c r="H40642" s="185"/>
    </row>
    <row r="40643">
      <c r="D40643" s="185"/>
      <c r="E40643" s="185" t="s">
        <v>470</v>
      </c>
      <c r="H40643" s="185"/>
    </row>
    <row r="40644">
      <c r="D40644" s="185"/>
      <c r="E40644" s="185" t="s">
        <v>470</v>
      </c>
      <c r="H40644" s="185"/>
    </row>
    <row r="40645">
      <c r="D40645" s="185"/>
      <c r="E40645" s="185" t="s">
        <v>470</v>
      </c>
      <c r="H40645" s="185"/>
    </row>
    <row r="40646">
      <c r="D40646" s="185"/>
      <c r="E40646" s="185" t="s">
        <v>470</v>
      </c>
      <c r="H40646" s="185"/>
    </row>
    <row r="40647">
      <c r="D40647" s="185"/>
      <c r="E40647" s="185" t="s">
        <v>470</v>
      </c>
      <c r="H40647" s="185"/>
    </row>
    <row r="40648">
      <c r="D40648" s="185"/>
      <c r="E40648" s="185" t="s">
        <v>470</v>
      </c>
      <c r="H40648" s="185"/>
    </row>
    <row r="40649">
      <c r="D40649" s="185"/>
      <c r="E40649" s="185" t="s">
        <v>470</v>
      </c>
      <c r="H40649" s="185"/>
    </row>
    <row r="40650">
      <c r="D40650" s="185"/>
      <c r="E40650" s="185" t="s">
        <v>470</v>
      </c>
      <c r="H40650" s="185"/>
    </row>
    <row r="40651">
      <c r="D40651" s="185"/>
      <c r="E40651" s="185" t="s">
        <v>470</v>
      </c>
      <c r="H40651" s="185"/>
    </row>
    <row r="40652">
      <c r="D40652" s="185"/>
      <c r="E40652" s="185" t="s">
        <v>470</v>
      </c>
      <c r="H40652" s="185"/>
    </row>
    <row r="40653">
      <c r="D40653" s="185"/>
      <c r="E40653" s="185" t="s">
        <v>470</v>
      </c>
      <c r="H40653" s="185"/>
    </row>
    <row r="40654">
      <c r="D40654" s="185"/>
      <c r="E40654" s="185" t="s">
        <v>470</v>
      </c>
      <c r="H40654" s="185"/>
    </row>
    <row r="40655">
      <c r="D40655" s="185"/>
      <c r="E40655" s="185" t="s">
        <v>470</v>
      </c>
      <c r="H40655" s="185"/>
    </row>
    <row r="40656">
      <c r="D40656" s="185"/>
      <c r="E40656" s="185" t="s">
        <v>470</v>
      </c>
      <c r="H40656" s="185"/>
    </row>
    <row r="40657">
      <c r="D40657" s="185"/>
      <c r="E40657" s="185" t="s">
        <v>470</v>
      </c>
      <c r="H40657" s="185"/>
    </row>
    <row r="40658">
      <c r="D40658" s="185"/>
      <c r="E40658" s="185" t="s">
        <v>470</v>
      </c>
      <c r="H40658" s="185"/>
    </row>
    <row r="40659">
      <c r="D40659" s="185"/>
      <c r="E40659" s="185" t="s">
        <v>470</v>
      </c>
      <c r="H40659" s="185"/>
    </row>
    <row r="40660">
      <c r="D40660" s="185"/>
      <c r="E40660" s="185" t="s">
        <v>470</v>
      </c>
      <c r="H40660" s="185"/>
    </row>
    <row r="40661">
      <c r="D40661" s="185"/>
      <c r="E40661" s="185" t="s">
        <v>470</v>
      </c>
      <c r="H40661" s="185"/>
    </row>
    <row r="40662">
      <c r="D40662" s="185"/>
      <c r="E40662" s="185" t="s">
        <v>470</v>
      </c>
      <c r="H40662" s="185"/>
    </row>
    <row r="40663">
      <c r="D40663" s="185"/>
      <c r="E40663" s="185" t="s">
        <v>470</v>
      </c>
      <c r="H40663" s="185"/>
    </row>
    <row r="40664">
      <c r="D40664" s="185"/>
      <c r="E40664" s="185" t="s">
        <v>470</v>
      </c>
      <c r="H40664" s="185"/>
    </row>
    <row r="40665">
      <c r="D40665" s="185"/>
      <c r="E40665" s="185" t="s">
        <v>470</v>
      </c>
      <c r="H40665" s="185"/>
    </row>
    <row r="40666">
      <c r="D40666" s="185"/>
      <c r="E40666" s="185" t="s">
        <v>470</v>
      </c>
      <c r="H40666" s="185"/>
    </row>
    <row r="40667">
      <c r="D40667" s="185"/>
      <c r="E40667" s="185" t="s">
        <v>470</v>
      </c>
      <c r="H40667" s="185"/>
    </row>
    <row r="40668">
      <c r="D40668" s="185"/>
      <c r="E40668" s="185" t="s">
        <v>470</v>
      </c>
      <c r="H40668" s="185"/>
    </row>
    <row r="40669">
      <c r="D40669" s="185"/>
      <c r="E40669" s="185" t="s">
        <v>470</v>
      </c>
      <c r="H40669" s="185"/>
    </row>
    <row r="40670">
      <c r="D40670" s="185"/>
      <c r="E40670" s="185" t="s">
        <v>470</v>
      </c>
      <c r="H40670" s="185"/>
    </row>
    <row r="40671">
      <c r="D40671" s="185"/>
      <c r="E40671" s="185" t="s">
        <v>470</v>
      </c>
      <c r="H40671" s="185"/>
    </row>
    <row r="40672">
      <c r="D40672" s="185"/>
      <c r="E40672" s="185" t="s">
        <v>470</v>
      </c>
      <c r="H40672" s="185"/>
    </row>
    <row r="40673">
      <c r="D40673" s="185"/>
      <c r="E40673" s="185" t="s">
        <v>470</v>
      </c>
      <c r="H40673" s="185"/>
    </row>
    <row r="40674">
      <c r="D40674" s="185"/>
      <c r="E40674" s="185" t="s">
        <v>470</v>
      </c>
      <c r="H40674" s="185"/>
    </row>
    <row r="40675">
      <c r="D40675" s="185"/>
      <c r="E40675" s="185" t="s">
        <v>470</v>
      </c>
      <c r="H40675" s="185"/>
    </row>
    <row r="40676">
      <c r="D40676" s="185"/>
      <c r="E40676" s="185" t="s">
        <v>470</v>
      </c>
      <c r="H40676" s="185"/>
    </row>
    <row r="40677">
      <c r="D40677" s="185"/>
      <c r="E40677" s="185" t="s">
        <v>470</v>
      </c>
      <c r="H40677" s="185"/>
    </row>
    <row r="40678">
      <c r="D40678" s="185"/>
      <c r="E40678" s="185" t="s">
        <v>470</v>
      </c>
      <c r="H40678" s="185"/>
    </row>
    <row r="40679">
      <c r="D40679" s="185"/>
      <c r="E40679" s="185" t="s">
        <v>470</v>
      </c>
      <c r="H40679" s="185"/>
    </row>
    <row r="40680">
      <c r="D40680" s="185"/>
      <c r="E40680" s="185" t="s">
        <v>470</v>
      </c>
      <c r="H40680" s="185"/>
    </row>
    <row r="40681">
      <c r="D40681" s="185"/>
      <c r="E40681" s="185" t="s">
        <v>470</v>
      </c>
      <c r="H40681" s="185"/>
    </row>
    <row r="40682">
      <c r="D40682" s="185"/>
      <c r="E40682" s="185" t="s">
        <v>470</v>
      </c>
      <c r="H40682" s="185"/>
    </row>
    <row r="40683">
      <c r="D40683" s="185"/>
      <c r="E40683" s="185" t="s">
        <v>470</v>
      </c>
      <c r="H40683" s="185"/>
    </row>
    <row r="40684">
      <c r="D40684" s="185"/>
      <c r="E40684" s="185" t="s">
        <v>470</v>
      </c>
      <c r="H40684" s="185"/>
    </row>
    <row r="40685">
      <c r="D40685" s="185"/>
      <c r="E40685" s="185" t="s">
        <v>470</v>
      </c>
      <c r="H40685" s="185"/>
    </row>
    <row r="40686">
      <c r="D40686" s="185"/>
      <c r="E40686" s="185" t="s">
        <v>470</v>
      </c>
      <c r="H40686" s="185"/>
    </row>
    <row r="40687">
      <c r="D40687" s="185"/>
      <c r="E40687" s="185" t="s">
        <v>470</v>
      </c>
      <c r="H40687" s="185"/>
    </row>
    <row r="40688">
      <c r="D40688" s="185"/>
      <c r="E40688" s="185" t="s">
        <v>470</v>
      </c>
      <c r="H40688" s="185"/>
    </row>
    <row r="40689">
      <c r="D40689" s="185"/>
      <c r="E40689" s="185" t="s">
        <v>470</v>
      </c>
      <c r="H40689" s="185"/>
    </row>
    <row r="40690">
      <c r="D40690" s="185"/>
      <c r="E40690" s="185" t="s">
        <v>470</v>
      </c>
      <c r="H40690" s="185"/>
    </row>
    <row r="40691">
      <c r="D40691" s="185"/>
      <c r="E40691" s="185" t="s">
        <v>470</v>
      </c>
      <c r="H40691" s="185"/>
    </row>
    <row r="40692">
      <c r="D40692" s="185"/>
      <c r="E40692" s="185" t="s">
        <v>470</v>
      </c>
      <c r="H40692" s="185"/>
    </row>
    <row r="40693">
      <c r="D40693" s="185"/>
      <c r="E40693" s="185" t="s">
        <v>470</v>
      </c>
      <c r="H40693" s="185"/>
    </row>
    <row r="40694">
      <c r="D40694" s="185"/>
      <c r="E40694" s="185" t="s">
        <v>470</v>
      </c>
      <c r="H40694" s="185"/>
    </row>
    <row r="40695">
      <c r="D40695" s="185"/>
      <c r="E40695" s="185" t="s">
        <v>470</v>
      </c>
      <c r="H40695" s="185"/>
    </row>
    <row r="40696">
      <c r="D40696" s="185"/>
      <c r="E40696" s="185" t="s">
        <v>470</v>
      </c>
      <c r="H40696" s="185"/>
    </row>
    <row r="40697">
      <c r="D40697" s="185"/>
      <c r="E40697" s="185" t="s">
        <v>470</v>
      </c>
      <c r="H40697" s="185"/>
    </row>
    <row r="40698">
      <c r="D40698" s="185"/>
      <c r="E40698" s="185" t="s">
        <v>470</v>
      </c>
      <c r="H40698" s="185"/>
    </row>
    <row r="40699">
      <c r="D40699" s="185"/>
      <c r="E40699" s="185" t="s">
        <v>470</v>
      </c>
      <c r="H40699" s="185"/>
    </row>
    <row r="40700">
      <c r="D40700" s="185"/>
      <c r="E40700" s="185" t="s">
        <v>470</v>
      </c>
      <c r="H40700" s="185"/>
    </row>
    <row r="40701">
      <c r="D40701" s="185"/>
      <c r="E40701" s="185" t="s">
        <v>470</v>
      </c>
      <c r="H40701" s="185"/>
    </row>
    <row r="40702">
      <c r="D40702" s="185"/>
      <c r="E40702" s="185" t="s">
        <v>470</v>
      </c>
      <c r="H40702" s="185"/>
    </row>
    <row r="40703">
      <c r="D40703" s="185"/>
      <c r="E40703" s="185" t="s">
        <v>470</v>
      </c>
      <c r="H40703" s="185"/>
    </row>
    <row r="40704">
      <c r="D40704" s="185"/>
      <c r="E40704" s="185" t="s">
        <v>470</v>
      </c>
      <c r="H40704" s="185"/>
    </row>
    <row r="40705">
      <c r="D40705" s="185"/>
      <c r="E40705" s="185" t="s">
        <v>470</v>
      </c>
      <c r="H40705" s="185"/>
    </row>
    <row r="40706">
      <c r="D40706" s="185"/>
      <c r="E40706" s="185" t="s">
        <v>470</v>
      </c>
      <c r="H40706" s="185"/>
    </row>
    <row r="40707">
      <c r="D40707" s="185"/>
      <c r="E40707" s="185" t="s">
        <v>470</v>
      </c>
      <c r="H40707" s="185"/>
    </row>
    <row r="40708">
      <c r="D40708" s="185"/>
      <c r="E40708" s="185" t="s">
        <v>470</v>
      </c>
      <c r="H40708" s="185"/>
    </row>
    <row r="40709">
      <c r="D40709" s="185"/>
      <c r="E40709" s="185" t="s">
        <v>470</v>
      </c>
      <c r="H40709" s="185"/>
    </row>
    <row r="40710">
      <c r="D40710" s="185"/>
      <c r="E40710" s="185" t="s">
        <v>470</v>
      </c>
      <c r="H40710" s="185"/>
    </row>
    <row r="40711">
      <c r="D40711" s="185"/>
      <c r="E40711" s="185" t="s">
        <v>470</v>
      </c>
      <c r="H40711" s="185"/>
    </row>
    <row r="40712">
      <c r="D40712" s="185"/>
      <c r="E40712" s="185" t="s">
        <v>470</v>
      </c>
      <c r="H40712" s="185"/>
    </row>
    <row r="40713">
      <c r="D40713" s="185"/>
      <c r="E40713" s="185" t="s">
        <v>470</v>
      </c>
      <c r="H40713" s="185"/>
    </row>
    <row r="40714">
      <c r="D40714" s="185"/>
      <c r="E40714" s="185" t="s">
        <v>470</v>
      </c>
      <c r="H40714" s="185"/>
    </row>
    <row r="40715">
      <c r="D40715" s="185"/>
      <c r="E40715" s="185" t="s">
        <v>470</v>
      </c>
      <c r="H40715" s="185"/>
    </row>
    <row r="40716">
      <c r="D40716" s="185"/>
      <c r="E40716" s="185" t="s">
        <v>470</v>
      </c>
      <c r="H40716" s="185"/>
    </row>
    <row r="40717">
      <c r="D40717" s="185"/>
      <c r="E40717" s="185" t="s">
        <v>470</v>
      </c>
      <c r="H40717" s="185"/>
    </row>
    <row r="40718">
      <c r="D40718" s="185"/>
      <c r="E40718" s="185" t="s">
        <v>470</v>
      </c>
      <c r="H40718" s="185"/>
    </row>
    <row r="40719">
      <c r="D40719" s="185"/>
      <c r="E40719" s="185" t="s">
        <v>470</v>
      </c>
      <c r="H40719" s="185"/>
    </row>
    <row r="40720">
      <c r="D40720" s="185"/>
      <c r="E40720" s="185" t="s">
        <v>470</v>
      </c>
      <c r="H40720" s="185"/>
    </row>
    <row r="40721">
      <c r="D40721" s="185"/>
      <c r="E40721" s="185" t="s">
        <v>470</v>
      </c>
      <c r="H40721" s="185"/>
    </row>
    <row r="40722">
      <c r="D40722" s="185"/>
      <c r="E40722" s="185" t="s">
        <v>470</v>
      </c>
      <c r="H40722" s="185"/>
    </row>
    <row r="40723">
      <c r="D40723" s="185"/>
      <c r="E40723" s="185" t="s">
        <v>470</v>
      </c>
      <c r="H40723" s="185"/>
    </row>
    <row r="40724">
      <c r="D40724" s="185"/>
      <c r="E40724" s="185" t="s">
        <v>470</v>
      </c>
      <c r="H40724" s="185"/>
    </row>
    <row r="40725">
      <c r="D40725" s="185"/>
      <c r="E40725" s="185" t="s">
        <v>470</v>
      </c>
      <c r="H40725" s="185"/>
    </row>
    <row r="40726">
      <c r="D40726" s="185"/>
      <c r="E40726" s="185" t="s">
        <v>470</v>
      </c>
      <c r="H40726" s="185"/>
    </row>
    <row r="40727">
      <c r="D40727" s="185"/>
      <c r="E40727" s="185" t="s">
        <v>470</v>
      </c>
      <c r="H40727" s="185"/>
    </row>
    <row r="40728">
      <c r="D40728" s="185"/>
      <c r="E40728" s="185" t="s">
        <v>470</v>
      </c>
      <c r="H40728" s="185"/>
    </row>
    <row r="40729">
      <c r="D40729" s="185"/>
      <c r="E40729" s="185" t="s">
        <v>470</v>
      </c>
      <c r="H40729" s="185"/>
    </row>
    <row r="40730">
      <c r="D40730" s="185"/>
      <c r="E40730" s="185" t="s">
        <v>470</v>
      </c>
      <c r="H40730" s="185"/>
    </row>
    <row r="40731">
      <c r="D40731" s="185"/>
      <c r="E40731" s="185" t="s">
        <v>470</v>
      </c>
      <c r="H40731" s="185"/>
    </row>
    <row r="40732">
      <c r="D40732" s="185"/>
      <c r="E40732" s="185" t="s">
        <v>470</v>
      </c>
      <c r="H40732" s="185"/>
    </row>
    <row r="40733">
      <c r="D40733" s="185"/>
      <c r="E40733" s="185" t="s">
        <v>470</v>
      </c>
      <c r="H40733" s="185"/>
    </row>
    <row r="40734">
      <c r="D40734" s="185"/>
      <c r="E40734" s="185" t="s">
        <v>470</v>
      </c>
      <c r="H40734" s="185"/>
    </row>
    <row r="40735">
      <c r="D40735" s="185"/>
      <c r="E40735" s="185" t="s">
        <v>470</v>
      </c>
      <c r="H40735" s="185"/>
    </row>
    <row r="40736">
      <c r="D40736" s="185"/>
      <c r="E40736" s="185" t="s">
        <v>470</v>
      </c>
      <c r="H40736" s="185"/>
    </row>
    <row r="40737">
      <c r="D40737" s="185"/>
      <c r="E40737" s="185" t="s">
        <v>470</v>
      </c>
      <c r="H40737" s="185"/>
    </row>
    <row r="40738">
      <c r="D40738" s="185"/>
      <c r="E40738" s="185" t="s">
        <v>470</v>
      </c>
      <c r="H40738" s="185"/>
    </row>
    <row r="40739">
      <c r="D40739" s="185"/>
      <c r="E40739" s="185" t="s">
        <v>470</v>
      </c>
      <c r="H40739" s="185"/>
    </row>
    <row r="40740">
      <c r="D40740" s="185"/>
      <c r="E40740" s="185" t="s">
        <v>470</v>
      </c>
      <c r="H40740" s="185"/>
    </row>
    <row r="40741">
      <c r="D40741" s="185"/>
      <c r="E40741" s="185" t="s">
        <v>470</v>
      </c>
      <c r="H40741" s="185"/>
    </row>
    <row r="40742">
      <c r="D40742" s="185"/>
      <c r="E40742" s="185" t="s">
        <v>470</v>
      </c>
      <c r="H40742" s="185"/>
    </row>
    <row r="40743">
      <c r="D40743" s="185"/>
      <c r="E40743" s="185" t="s">
        <v>470</v>
      </c>
      <c r="H40743" s="185"/>
    </row>
    <row r="40744">
      <c r="D40744" s="185"/>
      <c r="E40744" s="185" t="s">
        <v>470</v>
      </c>
      <c r="H40744" s="185"/>
    </row>
    <row r="40745">
      <c r="D40745" s="185"/>
      <c r="E40745" s="185" t="s">
        <v>470</v>
      </c>
      <c r="H40745" s="185"/>
    </row>
    <row r="40746">
      <c r="D40746" s="185"/>
      <c r="E40746" s="185" t="s">
        <v>470</v>
      </c>
      <c r="H40746" s="185"/>
    </row>
    <row r="40747">
      <c r="D40747" s="185"/>
      <c r="E40747" s="185" t="s">
        <v>470</v>
      </c>
      <c r="H40747" s="185"/>
    </row>
    <row r="40748">
      <c r="D40748" s="185"/>
      <c r="E40748" s="185" t="s">
        <v>470</v>
      </c>
      <c r="H40748" s="185"/>
    </row>
    <row r="40749">
      <c r="D40749" s="185"/>
      <c r="E40749" s="185" t="s">
        <v>470</v>
      </c>
      <c r="H40749" s="185"/>
    </row>
    <row r="40750">
      <c r="D40750" s="185"/>
      <c r="E40750" s="185" t="s">
        <v>470</v>
      </c>
      <c r="H40750" s="185"/>
    </row>
    <row r="40751">
      <c r="D40751" s="185"/>
      <c r="E40751" s="185" t="s">
        <v>470</v>
      </c>
      <c r="H40751" s="185"/>
    </row>
    <row r="40752">
      <c r="D40752" s="185"/>
      <c r="E40752" s="185" t="s">
        <v>470</v>
      </c>
      <c r="H40752" s="185"/>
    </row>
    <row r="40753">
      <c r="D40753" s="185"/>
      <c r="E40753" s="185" t="s">
        <v>470</v>
      </c>
      <c r="H40753" s="185"/>
    </row>
    <row r="40754">
      <c r="D40754" s="185"/>
      <c r="E40754" s="185" t="s">
        <v>470</v>
      </c>
      <c r="H40754" s="185"/>
    </row>
    <row r="40755">
      <c r="D40755" s="185"/>
      <c r="E40755" s="185" t="s">
        <v>470</v>
      </c>
      <c r="H40755" s="185"/>
    </row>
    <row r="40756">
      <c r="D40756" s="185"/>
      <c r="E40756" s="185" t="s">
        <v>470</v>
      </c>
      <c r="H40756" s="185"/>
    </row>
    <row r="40757">
      <c r="D40757" s="185"/>
      <c r="E40757" s="185" t="s">
        <v>470</v>
      </c>
      <c r="H40757" s="185"/>
    </row>
    <row r="40758">
      <c r="D40758" s="185"/>
      <c r="E40758" s="185" t="s">
        <v>470</v>
      </c>
      <c r="H40758" s="185"/>
    </row>
    <row r="40759">
      <c r="D40759" s="185"/>
      <c r="E40759" s="185" t="s">
        <v>470</v>
      </c>
      <c r="H40759" s="185"/>
    </row>
    <row r="40760">
      <c r="D40760" s="185"/>
      <c r="E40760" s="185" t="s">
        <v>470</v>
      </c>
      <c r="H40760" s="185"/>
    </row>
    <row r="40761">
      <c r="D40761" s="185"/>
      <c r="E40761" s="185" t="s">
        <v>470</v>
      </c>
      <c r="H40761" s="185"/>
    </row>
    <row r="40762">
      <c r="D40762" s="185"/>
      <c r="E40762" s="185" t="s">
        <v>470</v>
      </c>
      <c r="H40762" s="185"/>
    </row>
    <row r="40763">
      <c r="D40763" s="185"/>
      <c r="E40763" s="185" t="s">
        <v>470</v>
      </c>
      <c r="H40763" s="185"/>
    </row>
    <row r="40764">
      <c r="D40764" s="185"/>
      <c r="E40764" s="185" t="s">
        <v>470</v>
      </c>
      <c r="H40764" s="185"/>
    </row>
    <row r="40765">
      <c r="D40765" s="185"/>
      <c r="E40765" s="185" t="s">
        <v>470</v>
      </c>
      <c r="H40765" s="185"/>
    </row>
    <row r="40766">
      <c r="D40766" s="185"/>
      <c r="E40766" s="185" t="s">
        <v>470</v>
      </c>
      <c r="H40766" s="185"/>
    </row>
    <row r="40767">
      <c r="D40767" s="185"/>
      <c r="E40767" s="185" t="s">
        <v>470</v>
      </c>
      <c r="H40767" s="185"/>
    </row>
    <row r="40768">
      <c r="D40768" s="185"/>
      <c r="E40768" s="185" t="s">
        <v>470</v>
      </c>
      <c r="H40768" s="185"/>
    </row>
    <row r="40769">
      <c r="D40769" s="185"/>
      <c r="E40769" s="185" t="s">
        <v>470</v>
      </c>
      <c r="H40769" s="185"/>
    </row>
    <row r="40770">
      <c r="D40770" s="185"/>
      <c r="E40770" s="185" t="s">
        <v>470</v>
      </c>
      <c r="H40770" s="185"/>
    </row>
    <row r="40771">
      <c r="D40771" s="185"/>
      <c r="E40771" s="185" t="s">
        <v>470</v>
      </c>
      <c r="H40771" s="185"/>
    </row>
    <row r="40772">
      <c r="D40772" s="185"/>
      <c r="E40772" s="185" t="s">
        <v>470</v>
      </c>
      <c r="H40772" s="185"/>
    </row>
    <row r="40773">
      <c r="D40773" s="185"/>
      <c r="E40773" s="185" t="s">
        <v>470</v>
      </c>
      <c r="H40773" s="185"/>
    </row>
    <row r="40774">
      <c r="D40774" s="185"/>
      <c r="E40774" s="185" t="s">
        <v>470</v>
      </c>
      <c r="H40774" s="185"/>
    </row>
    <row r="40775">
      <c r="D40775" s="185"/>
      <c r="E40775" s="185" t="s">
        <v>470</v>
      </c>
      <c r="H40775" s="185"/>
    </row>
    <row r="40776">
      <c r="D40776" s="185"/>
      <c r="E40776" s="185" t="s">
        <v>470</v>
      </c>
      <c r="H40776" s="185"/>
    </row>
    <row r="40777">
      <c r="D40777" s="185"/>
      <c r="E40777" s="185" t="s">
        <v>470</v>
      </c>
      <c r="H40777" s="185"/>
    </row>
    <row r="40778">
      <c r="D40778" s="185"/>
      <c r="E40778" s="185" t="s">
        <v>470</v>
      </c>
      <c r="H40778" s="185"/>
    </row>
    <row r="40779">
      <c r="D40779" s="185"/>
      <c r="E40779" s="185" t="s">
        <v>470</v>
      </c>
      <c r="H40779" s="185"/>
    </row>
    <row r="40780">
      <c r="D40780" s="185"/>
      <c r="E40780" s="185" t="s">
        <v>470</v>
      </c>
      <c r="H40780" s="185"/>
    </row>
    <row r="40781">
      <c r="D40781" s="185"/>
      <c r="E40781" s="185" t="s">
        <v>470</v>
      </c>
      <c r="H40781" s="185"/>
    </row>
    <row r="40782">
      <c r="D40782" s="185"/>
      <c r="E40782" s="185" t="s">
        <v>470</v>
      </c>
      <c r="H40782" s="185"/>
    </row>
    <row r="40783">
      <c r="D40783" s="185"/>
      <c r="E40783" s="185" t="s">
        <v>470</v>
      </c>
      <c r="H40783" s="185"/>
    </row>
    <row r="40784">
      <c r="D40784" s="185"/>
      <c r="E40784" s="185" t="s">
        <v>470</v>
      </c>
      <c r="H40784" s="185"/>
    </row>
    <row r="40785">
      <c r="D40785" s="185"/>
      <c r="E40785" s="185" t="s">
        <v>470</v>
      </c>
      <c r="H40785" s="185"/>
    </row>
    <row r="40786">
      <c r="D40786" s="185"/>
      <c r="E40786" s="185" t="s">
        <v>470</v>
      </c>
      <c r="H40786" s="185"/>
    </row>
    <row r="40787">
      <c r="D40787" s="185"/>
      <c r="E40787" s="185" t="s">
        <v>470</v>
      </c>
      <c r="H40787" s="185"/>
    </row>
    <row r="40788">
      <c r="D40788" s="185"/>
      <c r="E40788" s="185" t="s">
        <v>470</v>
      </c>
      <c r="H40788" s="185"/>
    </row>
    <row r="40789">
      <c r="D40789" s="185"/>
      <c r="E40789" s="185" t="s">
        <v>470</v>
      </c>
      <c r="H40789" s="185"/>
    </row>
    <row r="40790">
      <c r="D40790" s="185"/>
      <c r="E40790" s="185" t="s">
        <v>470</v>
      </c>
      <c r="H40790" s="185"/>
    </row>
    <row r="40791">
      <c r="D40791" s="185"/>
      <c r="E40791" s="185" t="s">
        <v>470</v>
      </c>
      <c r="H40791" s="185"/>
    </row>
    <row r="40792">
      <c r="D40792" s="185"/>
      <c r="E40792" s="185" t="s">
        <v>470</v>
      </c>
      <c r="H40792" s="185"/>
    </row>
    <row r="40793">
      <c r="D40793" s="185"/>
      <c r="E40793" s="185" t="s">
        <v>470</v>
      </c>
      <c r="H40793" s="185"/>
    </row>
    <row r="40794">
      <c r="D40794" s="185"/>
      <c r="E40794" s="185" t="s">
        <v>470</v>
      </c>
      <c r="H40794" s="185"/>
    </row>
    <row r="40795">
      <c r="D40795" s="185"/>
      <c r="E40795" s="185" t="s">
        <v>470</v>
      </c>
      <c r="H40795" s="185"/>
    </row>
    <row r="40796">
      <c r="D40796" s="185"/>
      <c r="E40796" s="185" t="s">
        <v>470</v>
      </c>
      <c r="H40796" s="185"/>
    </row>
    <row r="40797">
      <c r="D40797" s="185"/>
      <c r="E40797" s="185" t="s">
        <v>470</v>
      </c>
      <c r="H40797" s="185"/>
    </row>
    <row r="40798">
      <c r="D40798" s="185"/>
      <c r="E40798" s="185" t="s">
        <v>470</v>
      </c>
      <c r="H40798" s="185"/>
    </row>
    <row r="40799">
      <c r="D40799" s="185"/>
      <c r="E40799" s="185" t="s">
        <v>470</v>
      </c>
      <c r="H40799" s="185"/>
    </row>
    <row r="40800">
      <c r="D40800" s="185"/>
      <c r="E40800" s="185" t="s">
        <v>470</v>
      </c>
      <c r="H40800" s="185"/>
    </row>
    <row r="40801">
      <c r="D40801" s="185"/>
      <c r="E40801" s="185" t="s">
        <v>470</v>
      </c>
      <c r="H40801" s="185"/>
    </row>
    <row r="40802">
      <c r="D40802" s="185"/>
      <c r="E40802" s="185" t="s">
        <v>470</v>
      </c>
      <c r="H40802" s="185"/>
    </row>
    <row r="40803">
      <c r="D40803" s="185"/>
      <c r="E40803" s="185" t="s">
        <v>470</v>
      </c>
      <c r="H40803" s="185"/>
    </row>
    <row r="40804">
      <c r="D40804" s="185"/>
      <c r="E40804" s="185" t="s">
        <v>470</v>
      </c>
      <c r="H40804" s="185"/>
    </row>
    <row r="40805">
      <c r="D40805" s="185"/>
      <c r="E40805" s="185" t="s">
        <v>470</v>
      </c>
      <c r="H40805" s="185"/>
    </row>
    <row r="40806">
      <c r="D40806" s="185"/>
      <c r="E40806" s="185" t="s">
        <v>470</v>
      </c>
      <c r="H40806" s="185"/>
    </row>
    <row r="40807">
      <c r="D40807" s="185"/>
      <c r="E40807" s="185" t="s">
        <v>470</v>
      </c>
      <c r="H40807" s="185"/>
    </row>
    <row r="40808">
      <c r="D40808" s="185"/>
      <c r="E40808" s="185" t="s">
        <v>470</v>
      </c>
      <c r="H40808" s="185"/>
    </row>
    <row r="40809">
      <c r="D40809" s="185"/>
      <c r="E40809" s="185" t="s">
        <v>470</v>
      </c>
      <c r="H40809" s="185"/>
    </row>
    <row r="40810">
      <c r="D40810" s="185"/>
      <c r="E40810" s="185" t="s">
        <v>470</v>
      </c>
      <c r="H40810" s="185"/>
    </row>
    <row r="40811">
      <c r="D40811" s="185"/>
      <c r="E40811" s="185" t="s">
        <v>470</v>
      </c>
      <c r="H40811" s="185"/>
    </row>
    <row r="40812">
      <c r="D40812" s="185"/>
      <c r="E40812" s="185" t="s">
        <v>470</v>
      </c>
      <c r="H40812" s="185"/>
    </row>
    <row r="40813">
      <c r="D40813" s="185"/>
      <c r="E40813" s="185" t="s">
        <v>470</v>
      </c>
      <c r="H40813" s="185"/>
    </row>
    <row r="40814">
      <c r="D40814" s="185"/>
      <c r="E40814" s="185" t="s">
        <v>470</v>
      </c>
      <c r="H40814" s="185"/>
    </row>
    <row r="40815">
      <c r="D40815" s="185"/>
      <c r="E40815" s="185" t="s">
        <v>470</v>
      </c>
      <c r="H40815" s="185"/>
    </row>
    <row r="40816">
      <c r="D40816" s="185"/>
      <c r="E40816" s="185" t="s">
        <v>470</v>
      </c>
      <c r="H40816" s="185"/>
    </row>
    <row r="40817">
      <c r="D40817" s="185"/>
      <c r="E40817" s="185" t="s">
        <v>470</v>
      </c>
      <c r="H40817" s="185"/>
    </row>
    <row r="40818">
      <c r="D40818" s="185"/>
      <c r="E40818" s="185" t="s">
        <v>470</v>
      </c>
      <c r="H40818" s="185"/>
    </row>
    <row r="40819">
      <c r="D40819" s="185"/>
      <c r="E40819" s="185" t="s">
        <v>470</v>
      </c>
      <c r="H40819" s="185"/>
    </row>
    <row r="40820">
      <c r="D40820" s="185"/>
      <c r="E40820" s="185" t="s">
        <v>470</v>
      </c>
      <c r="H40820" s="185"/>
    </row>
    <row r="40821">
      <c r="D40821" s="185"/>
      <c r="E40821" s="185" t="s">
        <v>470</v>
      </c>
      <c r="H40821" s="185"/>
    </row>
    <row r="40822">
      <c r="D40822" s="185"/>
      <c r="E40822" s="185" t="s">
        <v>470</v>
      </c>
      <c r="H40822" s="185"/>
    </row>
    <row r="40823">
      <c r="D40823" s="185"/>
      <c r="E40823" s="185" t="s">
        <v>470</v>
      </c>
      <c r="H40823" s="185"/>
    </row>
    <row r="40824">
      <c r="D40824" s="185"/>
      <c r="E40824" s="185" t="s">
        <v>470</v>
      </c>
      <c r="H40824" s="185"/>
    </row>
    <row r="40825">
      <c r="D40825" s="185"/>
      <c r="E40825" s="185" t="s">
        <v>470</v>
      </c>
      <c r="H40825" s="185"/>
    </row>
    <row r="40826">
      <c r="D40826" s="185"/>
      <c r="E40826" s="185" t="s">
        <v>470</v>
      </c>
      <c r="H40826" s="185"/>
    </row>
    <row r="40827">
      <c r="D40827" s="185"/>
      <c r="E40827" s="185" t="s">
        <v>470</v>
      </c>
      <c r="H40827" s="185"/>
    </row>
    <row r="40828">
      <c r="D40828" s="185"/>
      <c r="E40828" s="185" t="s">
        <v>470</v>
      </c>
      <c r="H40828" s="185"/>
    </row>
    <row r="40829">
      <c r="D40829" s="185"/>
      <c r="E40829" s="185" t="s">
        <v>470</v>
      </c>
      <c r="H40829" s="185"/>
    </row>
    <row r="40830">
      <c r="D40830" s="185"/>
      <c r="E40830" s="185" t="s">
        <v>470</v>
      </c>
      <c r="H40830" s="185"/>
    </row>
    <row r="40831">
      <c r="D40831" s="185"/>
      <c r="E40831" s="185" t="s">
        <v>470</v>
      </c>
      <c r="H40831" s="185"/>
    </row>
    <row r="40832">
      <c r="D40832" s="185"/>
      <c r="E40832" s="185" t="s">
        <v>470</v>
      </c>
      <c r="H40832" s="185"/>
    </row>
    <row r="40833">
      <c r="D40833" s="185"/>
      <c r="E40833" s="185" t="s">
        <v>470</v>
      </c>
      <c r="H40833" s="185"/>
    </row>
    <row r="40834">
      <c r="D40834" s="185"/>
      <c r="E40834" s="185" t="s">
        <v>470</v>
      </c>
      <c r="H40834" s="185"/>
    </row>
    <row r="40835">
      <c r="D40835" s="185"/>
      <c r="E40835" s="185" t="s">
        <v>470</v>
      </c>
      <c r="H40835" s="185"/>
    </row>
    <row r="40836">
      <c r="D40836" s="185"/>
      <c r="E40836" s="185" t="s">
        <v>470</v>
      </c>
      <c r="H40836" s="185"/>
    </row>
    <row r="40837">
      <c r="D40837" s="185"/>
      <c r="E40837" s="185" t="s">
        <v>470</v>
      </c>
      <c r="H40837" s="185"/>
    </row>
    <row r="40838">
      <c r="D40838" s="185"/>
      <c r="E40838" s="185" t="s">
        <v>470</v>
      </c>
      <c r="H40838" s="185"/>
    </row>
    <row r="40839">
      <c r="D40839" s="185"/>
      <c r="E40839" s="185" t="s">
        <v>470</v>
      </c>
      <c r="H40839" s="185"/>
    </row>
    <row r="40840">
      <c r="D40840" s="185"/>
      <c r="E40840" s="185" t="s">
        <v>470</v>
      </c>
      <c r="H40840" s="185"/>
    </row>
    <row r="40841">
      <c r="D40841" s="185"/>
      <c r="E40841" s="185" t="s">
        <v>470</v>
      </c>
      <c r="H40841" s="185"/>
    </row>
    <row r="40842">
      <c r="D40842" s="185"/>
      <c r="E40842" s="185" t="s">
        <v>470</v>
      </c>
      <c r="H40842" s="185"/>
    </row>
    <row r="40843">
      <c r="D40843" s="185"/>
      <c r="E40843" s="185" t="s">
        <v>470</v>
      </c>
      <c r="H40843" s="185"/>
    </row>
    <row r="40844">
      <c r="D40844" s="185"/>
      <c r="E40844" s="185" t="s">
        <v>470</v>
      </c>
      <c r="H40844" s="185"/>
    </row>
    <row r="40845">
      <c r="D40845" s="185"/>
      <c r="E40845" s="185" t="s">
        <v>470</v>
      </c>
      <c r="H40845" s="185"/>
    </row>
    <row r="40846">
      <c r="D40846" s="185"/>
      <c r="E40846" s="185" t="s">
        <v>470</v>
      </c>
      <c r="H40846" s="185"/>
    </row>
    <row r="40847">
      <c r="D40847" s="185"/>
      <c r="E40847" s="185" t="s">
        <v>470</v>
      </c>
      <c r="H40847" s="185"/>
    </row>
    <row r="40848">
      <c r="D40848" s="185"/>
      <c r="E40848" s="185" t="s">
        <v>470</v>
      </c>
      <c r="H40848" s="185"/>
    </row>
    <row r="40849">
      <c r="D40849" s="185"/>
      <c r="E40849" s="185" t="s">
        <v>470</v>
      </c>
      <c r="H40849" s="185"/>
    </row>
    <row r="40850">
      <c r="D40850" s="185"/>
      <c r="E40850" s="185" t="s">
        <v>470</v>
      </c>
      <c r="H40850" s="185"/>
    </row>
    <row r="40851">
      <c r="D40851" s="185"/>
      <c r="E40851" s="185" t="s">
        <v>470</v>
      </c>
      <c r="H40851" s="185"/>
    </row>
    <row r="40852">
      <c r="D40852" s="185"/>
      <c r="E40852" s="185" t="s">
        <v>470</v>
      </c>
      <c r="H40852" s="185"/>
    </row>
    <row r="40853">
      <c r="D40853" s="185"/>
      <c r="E40853" s="185" t="s">
        <v>470</v>
      </c>
      <c r="H40853" s="185"/>
    </row>
    <row r="40854">
      <c r="D40854" s="185"/>
      <c r="E40854" s="185" t="s">
        <v>470</v>
      </c>
      <c r="H40854" s="185"/>
    </row>
    <row r="40855">
      <c r="D40855" s="185"/>
      <c r="E40855" s="185" t="s">
        <v>470</v>
      </c>
      <c r="H40855" s="185"/>
    </row>
    <row r="40856">
      <c r="D40856" s="185"/>
      <c r="E40856" s="185" t="s">
        <v>470</v>
      </c>
      <c r="H40856" s="185"/>
    </row>
    <row r="40857">
      <c r="D40857" s="185"/>
      <c r="E40857" s="185" t="s">
        <v>470</v>
      </c>
      <c r="H40857" s="185"/>
    </row>
    <row r="40858">
      <c r="D40858" s="185"/>
      <c r="E40858" s="185" t="s">
        <v>470</v>
      </c>
      <c r="H40858" s="185"/>
    </row>
    <row r="40859">
      <c r="D40859" s="185"/>
      <c r="E40859" s="185" t="s">
        <v>470</v>
      </c>
      <c r="H40859" s="185"/>
    </row>
    <row r="40860">
      <c r="D40860" s="185"/>
      <c r="E40860" s="185" t="s">
        <v>470</v>
      </c>
      <c r="H40860" s="185"/>
    </row>
    <row r="40861">
      <c r="D40861" s="185"/>
      <c r="E40861" s="185" t="s">
        <v>470</v>
      </c>
      <c r="H40861" s="185"/>
    </row>
    <row r="40862">
      <c r="D40862" s="185"/>
      <c r="E40862" s="185" t="s">
        <v>470</v>
      </c>
      <c r="H40862" s="185"/>
    </row>
    <row r="40863">
      <c r="D40863" s="185"/>
      <c r="E40863" s="185" t="s">
        <v>470</v>
      </c>
      <c r="H40863" s="185"/>
    </row>
    <row r="40864">
      <c r="D40864" s="185"/>
      <c r="E40864" s="185" t="s">
        <v>470</v>
      </c>
      <c r="H40864" s="185"/>
    </row>
    <row r="40865">
      <c r="D40865" s="185"/>
      <c r="E40865" s="185" t="s">
        <v>470</v>
      </c>
      <c r="H40865" s="185"/>
    </row>
    <row r="40866">
      <c r="D40866" s="185"/>
      <c r="E40866" s="185" t="s">
        <v>470</v>
      </c>
      <c r="H40866" s="185"/>
    </row>
    <row r="40867">
      <c r="D40867" s="185"/>
      <c r="E40867" s="185" t="s">
        <v>470</v>
      </c>
      <c r="H40867" s="185"/>
    </row>
    <row r="40868">
      <c r="D40868" s="185"/>
      <c r="E40868" s="185" t="s">
        <v>470</v>
      </c>
      <c r="H40868" s="185"/>
    </row>
    <row r="40869">
      <c r="D40869" s="185"/>
      <c r="E40869" s="185" t="s">
        <v>470</v>
      </c>
      <c r="H40869" s="185"/>
    </row>
    <row r="40870">
      <c r="D40870" s="185"/>
      <c r="E40870" s="185" t="s">
        <v>470</v>
      </c>
      <c r="H40870" s="185"/>
    </row>
    <row r="40871">
      <c r="D40871" s="185"/>
      <c r="E40871" s="185" t="s">
        <v>470</v>
      </c>
      <c r="H40871" s="185"/>
    </row>
    <row r="40872">
      <c r="D40872" s="185"/>
      <c r="E40872" s="185" t="s">
        <v>470</v>
      </c>
      <c r="H40872" s="185"/>
    </row>
    <row r="40873">
      <c r="D40873" s="185"/>
      <c r="E40873" s="185" t="s">
        <v>470</v>
      </c>
      <c r="H40873" s="185"/>
    </row>
    <row r="40874">
      <c r="D40874" s="185"/>
      <c r="E40874" s="185" t="s">
        <v>470</v>
      </c>
      <c r="H40874" s="185"/>
    </row>
    <row r="40875">
      <c r="D40875" s="185"/>
      <c r="E40875" s="185" t="s">
        <v>470</v>
      </c>
      <c r="H40875" s="185"/>
    </row>
    <row r="40876">
      <c r="D40876" s="185"/>
      <c r="E40876" s="185" t="s">
        <v>470</v>
      </c>
      <c r="H40876" s="185"/>
    </row>
    <row r="40877">
      <c r="D40877" s="185"/>
      <c r="E40877" s="185" t="s">
        <v>470</v>
      </c>
      <c r="H40877" s="185"/>
    </row>
    <row r="40878">
      <c r="D40878" s="185"/>
      <c r="E40878" s="185" t="s">
        <v>470</v>
      </c>
      <c r="H40878" s="185"/>
    </row>
    <row r="40879">
      <c r="D40879" s="185"/>
      <c r="E40879" s="185" t="s">
        <v>470</v>
      </c>
      <c r="H40879" s="185"/>
    </row>
    <row r="40880">
      <c r="D40880" s="185"/>
      <c r="E40880" s="185" t="s">
        <v>470</v>
      </c>
      <c r="H40880" s="185"/>
    </row>
    <row r="40881">
      <c r="D40881" s="185"/>
      <c r="E40881" s="185" t="s">
        <v>470</v>
      </c>
      <c r="H40881" s="185"/>
    </row>
    <row r="40882">
      <c r="D40882" s="185"/>
      <c r="E40882" s="185" t="s">
        <v>470</v>
      </c>
      <c r="H40882" s="185"/>
    </row>
    <row r="40883">
      <c r="D40883" s="185"/>
      <c r="E40883" s="185" t="s">
        <v>470</v>
      </c>
      <c r="H40883" s="185"/>
    </row>
    <row r="40884">
      <c r="D40884" s="185"/>
      <c r="E40884" s="185" t="s">
        <v>470</v>
      </c>
      <c r="H40884" s="185"/>
    </row>
    <row r="40885">
      <c r="D40885" s="185"/>
      <c r="E40885" s="185" t="s">
        <v>470</v>
      </c>
      <c r="H40885" s="185"/>
    </row>
    <row r="40886">
      <c r="D40886" s="185"/>
      <c r="E40886" s="185" t="s">
        <v>470</v>
      </c>
      <c r="H40886" s="185"/>
    </row>
    <row r="40887">
      <c r="D40887" s="185"/>
      <c r="E40887" s="185" t="s">
        <v>470</v>
      </c>
      <c r="H40887" s="185"/>
    </row>
    <row r="40888">
      <c r="D40888" s="185"/>
      <c r="E40888" s="185" t="s">
        <v>470</v>
      </c>
      <c r="H40888" s="185"/>
    </row>
    <row r="40889">
      <c r="D40889" s="185"/>
      <c r="E40889" s="185" t="s">
        <v>470</v>
      </c>
      <c r="H40889" s="185"/>
    </row>
    <row r="40890">
      <c r="D40890" s="185"/>
      <c r="E40890" s="185" t="s">
        <v>470</v>
      </c>
      <c r="H40890" s="185"/>
    </row>
    <row r="40891">
      <c r="D40891" s="185"/>
      <c r="E40891" s="185" t="s">
        <v>470</v>
      </c>
      <c r="H40891" s="185"/>
    </row>
    <row r="40892">
      <c r="D40892" s="185"/>
      <c r="E40892" s="185" t="s">
        <v>470</v>
      </c>
      <c r="H40892" s="185"/>
    </row>
    <row r="40893">
      <c r="D40893" s="185"/>
      <c r="E40893" s="185" t="s">
        <v>470</v>
      </c>
      <c r="H40893" s="185"/>
    </row>
    <row r="40894">
      <c r="D40894" s="185"/>
      <c r="E40894" s="185" t="s">
        <v>470</v>
      </c>
      <c r="H40894" s="185"/>
    </row>
    <row r="40895">
      <c r="D40895" s="185"/>
      <c r="E40895" s="185" t="s">
        <v>470</v>
      </c>
      <c r="H40895" s="185"/>
    </row>
    <row r="40896">
      <c r="D40896" s="185"/>
      <c r="E40896" s="185" t="s">
        <v>470</v>
      </c>
      <c r="H40896" s="185"/>
    </row>
    <row r="40897">
      <c r="D40897" s="185"/>
      <c r="E40897" s="185" t="s">
        <v>470</v>
      </c>
      <c r="H40897" s="185"/>
    </row>
    <row r="40898">
      <c r="D40898" s="185"/>
      <c r="E40898" s="185" t="s">
        <v>470</v>
      </c>
      <c r="H40898" s="185"/>
    </row>
    <row r="40899">
      <c r="D40899" s="185"/>
      <c r="E40899" s="185" t="s">
        <v>470</v>
      </c>
      <c r="H40899" s="185"/>
    </row>
    <row r="40900">
      <c r="D40900" s="185"/>
      <c r="E40900" s="185" t="s">
        <v>470</v>
      </c>
      <c r="H40900" s="185"/>
    </row>
    <row r="40901">
      <c r="D40901" s="185"/>
      <c r="E40901" s="185" t="s">
        <v>470</v>
      </c>
      <c r="H40901" s="185"/>
    </row>
    <row r="40902">
      <c r="D40902" s="185"/>
      <c r="E40902" s="185" t="s">
        <v>470</v>
      </c>
      <c r="H40902" s="185"/>
    </row>
    <row r="40903">
      <c r="D40903" s="185"/>
      <c r="E40903" s="185" t="s">
        <v>470</v>
      </c>
      <c r="H40903" s="185"/>
    </row>
    <row r="40904">
      <c r="D40904" s="185"/>
      <c r="E40904" s="185" t="s">
        <v>470</v>
      </c>
      <c r="H40904" s="185"/>
    </row>
    <row r="40905">
      <c r="D40905" s="185"/>
      <c r="E40905" s="185" t="s">
        <v>470</v>
      </c>
      <c r="H40905" s="185"/>
    </row>
    <row r="40906">
      <c r="D40906" s="185"/>
      <c r="E40906" s="185" t="s">
        <v>470</v>
      </c>
      <c r="H40906" s="185"/>
    </row>
    <row r="40907">
      <c r="D40907" s="185"/>
      <c r="E40907" s="185" t="s">
        <v>470</v>
      </c>
      <c r="H40907" s="185"/>
    </row>
    <row r="40908">
      <c r="D40908" s="185"/>
      <c r="E40908" s="185" t="s">
        <v>470</v>
      </c>
      <c r="H40908" s="185"/>
    </row>
    <row r="40909">
      <c r="D40909" s="185"/>
      <c r="E40909" s="185" t="s">
        <v>470</v>
      </c>
      <c r="H40909" s="185"/>
    </row>
    <row r="40910">
      <c r="D40910" s="185"/>
      <c r="E40910" s="185" t="s">
        <v>470</v>
      </c>
      <c r="H40910" s="185"/>
    </row>
    <row r="40911">
      <c r="D40911" s="185"/>
      <c r="E40911" s="185" t="s">
        <v>470</v>
      </c>
      <c r="H40911" s="185"/>
    </row>
    <row r="40912">
      <c r="D40912" s="185"/>
      <c r="E40912" s="185" t="s">
        <v>470</v>
      </c>
      <c r="H40912" s="185"/>
    </row>
    <row r="40913">
      <c r="D40913" s="185"/>
      <c r="E40913" s="185" t="s">
        <v>470</v>
      </c>
      <c r="H40913" s="185"/>
    </row>
    <row r="40914">
      <c r="D40914" s="185"/>
      <c r="E40914" s="185" t="s">
        <v>470</v>
      </c>
      <c r="H40914" s="185"/>
    </row>
    <row r="40915">
      <c r="D40915" s="185"/>
      <c r="E40915" s="185" t="s">
        <v>470</v>
      </c>
      <c r="H40915" s="185"/>
    </row>
    <row r="40916">
      <c r="D40916" s="185"/>
      <c r="E40916" s="185" t="s">
        <v>470</v>
      </c>
      <c r="H40916" s="185"/>
    </row>
    <row r="40917">
      <c r="D40917" s="185"/>
      <c r="E40917" s="185" t="s">
        <v>470</v>
      </c>
      <c r="H40917" s="185"/>
    </row>
    <row r="40918">
      <c r="D40918" s="185"/>
      <c r="E40918" s="185" t="s">
        <v>470</v>
      </c>
      <c r="H40918" s="185"/>
    </row>
    <row r="40919">
      <c r="D40919" s="185"/>
      <c r="E40919" s="185" t="s">
        <v>470</v>
      </c>
      <c r="H40919" s="185"/>
    </row>
    <row r="40920">
      <c r="D40920" s="185"/>
      <c r="E40920" s="185" t="s">
        <v>470</v>
      </c>
      <c r="H40920" s="185"/>
    </row>
    <row r="40921">
      <c r="D40921" s="185"/>
      <c r="E40921" s="185" t="s">
        <v>470</v>
      </c>
      <c r="H40921" s="185"/>
    </row>
    <row r="40922">
      <c r="D40922" s="185"/>
      <c r="E40922" s="185" t="s">
        <v>470</v>
      </c>
      <c r="H40922" s="185"/>
    </row>
    <row r="40923">
      <c r="D40923" s="185"/>
      <c r="E40923" s="185" t="s">
        <v>470</v>
      </c>
      <c r="H40923" s="185"/>
    </row>
    <row r="40924">
      <c r="D40924" s="185"/>
      <c r="E40924" s="185" t="s">
        <v>470</v>
      </c>
      <c r="H40924" s="185"/>
    </row>
    <row r="40925">
      <c r="D40925" s="185"/>
      <c r="E40925" s="185" t="s">
        <v>470</v>
      </c>
      <c r="H40925" s="185"/>
    </row>
    <row r="40926">
      <c r="D40926" s="185"/>
      <c r="E40926" s="185" t="s">
        <v>470</v>
      </c>
      <c r="H40926" s="185"/>
    </row>
    <row r="40927">
      <c r="D40927" s="185"/>
      <c r="E40927" s="185" t="s">
        <v>470</v>
      </c>
      <c r="H40927" s="185"/>
    </row>
    <row r="40928">
      <c r="D40928" s="185"/>
      <c r="E40928" s="185" t="s">
        <v>470</v>
      </c>
      <c r="H40928" s="185"/>
    </row>
    <row r="40929">
      <c r="D40929" s="185"/>
      <c r="E40929" s="185" t="s">
        <v>470</v>
      </c>
      <c r="H40929" s="185"/>
    </row>
    <row r="40930">
      <c r="D40930" s="185"/>
      <c r="E40930" s="185" t="s">
        <v>470</v>
      </c>
      <c r="H40930" s="185"/>
    </row>
    <row r="40931">
      <c r="D40931" s="185"/>
      <c r="E40931" s="185" t="s">
        <v>470</v>
      </c>
      <c r="H40931" s="185"/>
    </row>
    <row r="40932">
      <c r="D40932" s="185"/>
      <c r="E40932" s="185" t="s">
        <v>470</v>
      </c>
      <c r="H40932" s="185"/>
    </row>
    <row r="40933">
      <c r="D40933" s="185"/>
      <c r="E40933" s="185" t="s">
        <v>470</v>
      </c>
      <c r="H40933" s="185"/>
    </row>
    <row r="40934">
      <c r="D40934" s="185"/>
      <c r="E40934" s="185" t="s">
        <v>470</v>
      </c>
      <c r="H40934" s="185"/>
    </row>
    <row r="40935">
      <c r="D40935" s="185"/>
      <c r="E40935" s="185" t="s">
        <v>470</v>
      </c>
      <c r="H40935" s="185"/>
    </row>
    <row r="40936">
      <c r="D40936" s="185"/>
      <c r="E40936" s="185" t="s">
        <v>470</v>
      </c>
      <c r="H40936" s="185"/>
    </row>
    <row r="40937">
      <c r="D40937" s="185"/>
      <c r="E40937" s="185" t="s">
        <v>470</v>
      </c>
      <c r="H40937" s="185"/>
    </row>
    <row r="40938">
      <c r="D40938" s="185"/>
      <c r="E40938" s="185" t="s">
        <v>470</v>
      </c>
      <c r="H40938" s="185"/>
    </row>
    <row r="40939">
      <c r="D40939" s="185"/>
      <c r="E40939" s="185" t="s">
        <v>470</v>
      </c>
      <c r="H40939" s="185"/>
    </row>
    <row r="40940">
      <c r="D40940" s="185"/>
      <c r="E40940" s="185" t="s">
        <v>470</v>
      </c>
      <c r="H40940" s="185"/>
    </row>
    <row r="40941">
      <c r="D40941" s="185"/>
      <c r="E40941" s="185" t="s">
        <v>470</v>
      </c>
      <c r="H40941" s="185"/>
    </row>
    <row r="40942">
      <c r="D40942" s="185"/>
      <c r="E40942" s="185" t="s">
        <v>470</v>
      </c>
      <c r="H40942" s="185"/>
    </row>
    <row r="40943">
      <c r="D40943" s="185"/>
      <c r="E40943" s="185" t="s">
        <v>470</v>
      </c>
      <c r="H40943" s="185"/>
    </row>
    <row r="40944">
      <c r="D40944" s="185"/>
      <c r="E40944" s="185" t="s">
        <v>470</v>
      </c>
      <c r="H40944" s="185"/>
    </row>
    <row r="40945">
      <c r="D40945" s="185"/>
      <c r="E40945" s="185" t="s">
        <v>470</v>
      </c>
      <c r="H40945" s="185"/>
    </row>
    <row r="40946">
      <c r="D40946" s="185"/>
      <c r="E40946" s="185" t="s">
        <v>470</v>
      </c>
      <c r="H40946" s="185"/>
    </row>
    <row r="40947">
      <c r="D40947" s="185"/>
      <c r="E40947" s="185" t="s">
        <v>470</v>
      </c>
      <c r="H40947" s="185"/>
    </row>
    <row r="40948">
      <c r="D40948" s="185"/>
      <c r="E40948" s="185" t="s">
        <v>470</v>
      </c>
      <c r="H40948" s="185"/>
    </row>
    <row r="40949">
      <c r="D40949" s="185"/>
      <c r="E40949" s="185" t="s">
        <v>470</v>
      </c>
      <c r="H40949" s="185"/>
    </row>
    <row r="40950">
      <c r="D40950" s="185"/>
      <c r="E40950" s="185" t="s">
        <v>470</v>
      </c>
      <c r="H40950" s="185"/>
    </row>
    <row r="40951">
      <c r="D40951" s="185"/>
      <c r="E40951" s="185" t="s">
        <v>470</v>
      </c>
      <c r="H40951" s="185"/>
    </row>
    <row r="40952">
      <c r="D40952" s="185"/>
      <c r="E40952" s="185" t="s">
        <v>470</v>
      </c>
      <c r="H40952" s="185"/>
    </row>
    <row r="40953">
      <c r="D40953" s="185"/>
      <c r="E40953" s="185" t="s">
        <v>470</v>
      </c>
      <c r="H40953" s="185"/>
    </row>
    <row r="40954">
      <c r="D40954" s="185"/>
      <c r="E40954" s="185" t="s">
        <v>470</v>
      </c>
      <c r="H40954" s="185"/>
    </row>
    <row r="40955">
      <c r="D40955" s="185"/>
      <c r="E40955" s="185" t="s">
        <v>470</v>
      </c>
      <c r="H40955" s="185"/>
    </row>
    <row r="40956">
      <c r="D40956" s="185"/>
      <c r="E40956" s="185" t="s">
        <v>470</v>
      </c>
      <c r="H40956" s="185"/>
    </row>
    <row r="40957">
      <c r="D40957" s="185"/>
      <c r="E40957" s="185" t="s">
        <v>470</v>
      </c>
      <c r="H40957" s="185"/>
    </row>
    <row r="40958">
      <c r="D40958" s="185"/>
      <c r="E40958" s="185" t="s">
        <v>470</v>
      </c>
      <c r="H40958" s="185"/>
    </row>
    <row r="40959">
      <c r="D40959" s="185"/>
      <c r="E40959" s="185" t="s">
        <v>470</v>
      </c>
      <c r="H40959" s="185"/>
    </row>
    <row r="40960">
      <c r="D40960" s="185"/>
      <c r="E40960" s="185" t="s">
        <v>470</v>
      </c>
      <c r="H40960" s="185"/>
    </row>
    <row r="40961">
      <c r="D40961" s="185"/>
      <c r="E40961" s="185" t="s">
        <v>470</v>
      </c>
      <c r="H40961" s="185"/>
    </row>
    <row r="40962">
      <c r="D40962" s="185"/>
      <c r="E40962" s="185" t="s">
        <v>470</v>
      </c>
      <c r="H40962" s="185"/>
    </row>
    <row r="40963">
      <c r="D40963" s="185"/>
      <c r="E40963" s="185" t="s">
        <v>470</v>
      </c>
      <c r="H40963" s="185"/>
    </row>
    <row r="40964">
      <c r="D40964" s="185"/>
      <c r="E40964" s="185" t="s">
        <v>470</v>
      </c>
      <c r="H40964" s="185"/>
    </row>
    <row r="40965">
      <c r="D40965" s="185"/>
      <c r="E40965" s="185" t="s">
        <v>470</v>
      </c>
      <c r="H40965" s="185"/>
    </row>
    <row r="40966">
      <c r="D40966" s="185"/>
      <c r="E40966" s="185" t="s">
        <v>470</v>
      </c>
      <c r="H40966" s="185"/>
    </row>
    <row r="40967">
      <c r="D40967" s="185"/>
      <c r="E40967" s="185" t="s">
        <v>470</v>
      </c>
      <c r="H40967" s="185"/>
    </row>
    <row r="40968">
      <c r="D40968" s="185"/>
      <c r="E40968" s="185" t="s">
        <v>470</v>
      </c>
      <c r="H40968" s="185"/>
    </row>
    <row r="40969">
      <c r="D40969" s="185"/>
      <c r="E40969" s="185" t="s">
        <v>470</v>
      </c>
      <c r="H40969" s="185"/>
    </row>
    <row r="40970">
      <c r="D40970" s="185"/>
      <c r="E40970" s="185" t="s">
        <v>470</v>
      </c>
      <c r="H40970" s="185"/>
    </row>
    <row r="40971">
      <c r="D40971" s="185"/>
      <c r="E40971" s="185" t="s">
        <v>470</v>
      </c>
      <c r="H40971" s="185"/>
    </row>
    <row r="40972">
      <c r="D40972" s="185"/>
      <c r="E40972" s="185" t="s">
        <v>470</v>
      </c>
      <c r="H40972" s="185"/>
    </row>
    <row r="40973">
      <c r="D40973" s="185"/>
      <c r="E40973" s="185" t="s">
        <v>470</v>
      </c>
      <c r="H40973" s="185"/>
    </row>
    <row r="40974">
      <c r="D40974" s="185"/>
      <c r="E40974" s="185" t="s">
        <v>470</v>
      </c>
      <c r="H40974" s="185"/>
    </row>
    <row r="40975">
      <c r="D40975" s="185"/>
      <c r="E40975" s="185" t="s">
        <v>470</v>
      </c>
      <c r="H40975" s="185"/>
    </row>
    <row r="40976">
      <c r="D40976" s="185"/>
      <c r="E40976" s="185" t="s">
        <v>470</v>
      </c>
      <c r="H40976" s="185"/>
    </row>
    <row r="40977">
      <c r="D40977" s="185"/>
      <c r="E40977" s="185" t="s">
        <v>470</v>
      </c>
      <c r="H40977" s="185"/>
    </row>
    <row r="40978">
      <c r="D40978" s="185"/>
      <c r="E40978" s="185" t="s">
        <v>470</v>
      </c>
      <c r="H40978" s="185"/>
    </row>
    <row r="40979">
      <c r="D40979" s="185"/>
      <c r="E40979" s="185" t="s">
        <v>470</v>
      </c>
      <c r="H40979" s="185"/>
    </row>
    <row r="40980">
      <c r="D40980" s="185"/>
      <c r="E40980" s="185" t="s">
        <v>470</v>
      </c>
      <c r="H40980" s="185"/>
    </row>
    <row r="40981">
      <c r="D40981" s="185"/>
      <c r="E40981" s="185" t="s">
        <v>470</v>
      </c>
      <c r="H40981" s="185"/>
    </row>
    <row r="40982">
      <c r="D40982" s="185"/>
      <c r="E40982" s="185" t="s">
        <v>470</v>
      </c>
      <c r="H40982" s="185"/>
    </row>
    <row r="40983">
      <c r="D40983" s="185"/>
      <c r="E40983" s="185" t="s">
        <v>470</v>
      </c>
      <c r="H40983" s="185"/>
    </row>
    <row r="40984">
      <c r="D40984" s="185"/>
      <c r="E40984" s="185" t="s">
        <v>470</v>
      </c>
      <c r="H40984" s="185"/>
    </row>
    <row r="40985">
      <c r="D40985" s="185"/>
      <c r="E40985" s="185" t="s">
        <v>470</v>
      </c>
      <c r="H40985" s="185"/>
    </row>
    <row r="40986">
      <c r="D40986" s="185"/>
      <c r="E40986" s="185" t="s">
        <v>470</v>
      </c>
      <c r="H40986" s="185"/>
    </row>
    <row r="40987">
      <c r="D40987" s="185"/>
      <c r="E40987" s="185" t="s">
        <v>470</v>
      </c>
      <c r="H40987" s="185"/>
    </row>
    <row r="40988">
      <c r="D40988" s="185"/>
      <c r="E40988" s="185" t="s">
        <v>470</v>
      </c>
      <c r="H40988" s="185"/>
    </row>
    <row r="40989">
      <c r="D40989" s="185"/>
      <c r="E40989" s="185" t="s">
        <v>470</v>
      </c>
      <c r="H40989" s="185"/>
    </row>
    <row r="40990">
      <c r="D40990" s="185"/>
      <c r="E40990" s="185" t="s">
        <v>470</v>
      </c>
      <c r="H40990" s="185"/>
    </row>
    <row r="40991">
      <c r="D40991" s="185"/>
      <c r="E40991" s="185" t="s">
        <v>470</v>
      </c>
      <c r="H40991" s="185"/>
    </row>
    <row r="40992">
      <c r="D40992" s="185"/>
      <c r="E40992" s="185" t="s">
        <v>470</v>
      </c>
      <c r="H40992" s="185"/>
    </row>
    <row r="40993">
      <c r="D40993" s="185"/>
      <c r="E40993" s="185" t="s">
        <v>470</v>
      </c>
      <c r="H40993" s="185"/>
    </row>
    <row r="40994">
      <c r="D40994" s="185"/>
      <c r="E40994" s="185" t="s">
        <v>470</v>
      </c>
      <c r="H40994" s="185"/>
    </row>
    <row r="40995">
      <c r="D40995" s="185"/>
      <c r="E40995" s="185" t="s">
        <v>470</v>
      </c>
      <c r="H40995" s="185"/>
    </row>
    <row r="40996">
      <c r="D40996" s="185"/>
      <c r="E40996" s="185" t="s">
        <v>470</v>
      </c>
      <c r="H40996" s="185"/>
    </row>
    <row r="40997">
      <c r="D40997" s="185"/>
      <c r="E40997" s="185" t="s">
        <v>470</v>
      </c>
      <c r="H40997" s="185"/>
    </row>
    <row r="40998">
      <c r="D40998" s="185"/>
      <c r="E40998" s="185" t="s">
        <v>470</v>
      </c>
      <c r="H40998" s="185"/>
    </row>
    <row r="40999">
      <c r="D40999" s="185"/>
      <c r="E40999" s="185" t="s">
        <v>470</v>
      </c>
      <c r="H40999" s="185"/>
    </row>
    <row r="41000">
      <c r="D41000" s="185"/>
      <c r="E41000" s="185" t="s">
        <v>470</v>
      </c>
      <c r="H41000" s="185"/>
    </row>
    <row r="41001">
      <c r="D41001" s="185"/>
      <c r="E41001" s="185" t="s">
        <v>470</v>
      </c>
      <c r="H41001" s="185"/>
    </row>
    <row r="41002">
      <c r="D41002" s="185"/>
      <c r="E41002" s="185" t="s">
        <v>470</v>
      </c>
      <c r="H41002" s="185"/>
    </row>
    <row r="41003">
      <c r="D41003" s="185"/>
      <c r="E41003" s="185" t="s">
        <v>470</v>
      </c>
      <c r="H41003" s="185"/>
    </row>
    <row r="41004">
      <c r="D41004" s="185"/>
      <c r="E41004" s="185" t="s">
        <v>470</v>
      </c>
      <c r="H41004" s="185"/>
    </row>
    <row r="41005">
      <c r="D41005" s="185"/>
      <c r="E41005" s="185" t="s">
        <v>470</v>
      </c>
      <c r="H41005" s="185"/>
    </row>
    <row r="41006">
      <c r="D41006" s="185"/>
      <c r="E41006" s="185" t="s">
        <v>470</v>
      </c>
      <c r="H41006" s="185"/>
    </row>
    <row r="41007">
      <c r="D41007" s="185"/>
      <c r="E41007" s="185" t="s">
        <v>470</v>
      </c>
      <c r="H41007" s="185"/>
    </row>
    <row r="41008">
      <c r="D41008" s="185"/>
      <c r="E41008" s="185" t="s">
        <v>470</v>
      </c>
      <c r="H41008" s="185"/>
    </row>
    <row r="41009">
      <c r="D41009" s="185"/>
      <c r="E41009" s="185" t="s">
        <v>470</v>
      </c>
      <c r="H41009" s="185"/>
    </row>
    <row r="41010">
      <c r="D41010" s="185"/>
      <c r="E41010" s="185" t="s">
        <v>470</v>
      </c>
      <c r="H41010" s="185"/>
    </row>
    <row r="41011">
      <c r="D41011" s="185"/>
      <c r="E41011" s="185" t="s">
        <v>470</v>
      </c>
      <c r="H41011" s="185"/>
    </row>
    <row r="41012">
      <c r="D41012" s="185"/>
      <c r="E41012" s="185" t="s">
        <v>470</v>
      </c>
      <c r="H41012" s="185"/>
    </row>
    <row r="41013">
      <c r="D41013" s="185"/>
      <c r="E41013" s="185" t="s">
        <v>470</v>
      </c>
      <c r="H41013" s="185"/>
    </row>
    <row r="41014">
      <c r="D41014" s="185"/>
      <c r="E41014" s="185" t="s">
        <v>470</v>
      </c>
      <c r="H41014" s="185"/>
    </row>
    <row r="41015">
      <c r="D41015" s="185"/>
      <c r="E41015" s="185" t="s">
        <v>470</v>
      </c>
      <c r="H41015" s="185"/>
    </row>
    <row r="41016">
      <c r="D41016" s="185"/>
      <c r="E41016" s="185" t="s">
        <v>470</v>
      </c>
      <c r="H41016" s="185"/>
    </row>
    <row r="41017">
      <c r="D41017" s="185"/>
      <c r="E41017" s="185" t="s">
        <v>470</v>
      </c>
      <c r="H41017" s="185"/>
    </row>
    <row r="41018">
      <c r="D41018" s="185"/>
      <c r="E41018" s="185" t="s">
        <v>470</v>
      </c>
      <c r="H41018" s="185"/>
    </row>
    <row r="41019">
      <c r="D41019" s="185"/>
      <c r="E41019" s="185" t="s">
        <v>470</v>
      </c>
      <c r="H41019" s="185"/>
    </row>
    <row r="41020">
      <c r="D41020" s="185"/>
      <c r="E41020" s="185" t="s">
        <v>470</v>
      </c>
      <c r="H41020" s="185"/>
    </row>
    <row r="41021">
      <c r="D41021" s="185"/>
      <c r="E41021" s="185" t="s">
        <v>470</v>
      </c>
      <c r="H41021" s="185"/>
    </row>
    <row r="41022">
      <c r="D41022" s="185"/>
      <c r="E41022" s="185" t="s">
        <v>470</v>
      </c>
      <c r="H41022" s="185"/>
    </row>
    <row r="41023">
      <c r="D41023" s="185"/>
      <c r="E41023" s="185" t="s">
        <v>470</v>
      </c>
      <c r="H41023" s="185"/>
    </row>
    <row r="41024">
      <c r="D41024" s="185"/>
      <c r="E41024" s="185" t="s">
        <v>470</v>
      </c>
      <c r="H41024" s="185"/>
    </row>
    <row r="41025">
      <c r="D41025" s="185"/>
      <c r="E41025" s="185" t="s">
        <v>470</v>
      </c>
      <c r="H41025" s="185"/>
    </row>
    <row r="41026">
      <c r="D41026" s="185"/>
      <c r="E41026" s="185" t="s">
        <v>470</v>
      </c>
      <c r="H41026" s="185"/>
    </row>
    <row r="41027">
      <c r="D41027" s="185"/>
      <c r="E41027" s="185" t="s">
        <v>470</v>
      </c>
      <c r="H41027" s="185"/>
    </row>
    <row r="41028">
      <c r="D41028" s="185"/>
      <c r="E41028" s="185" t="s">
        <v>470</v>
      </c>
      <c r="H41028" s="185"/>
    </row>
    <row r="41029">
      <c r="D41029" s="185"/>
      <c r="E41029" s="185" t="s">
        <v>470</v>
      </c>
      <c r="H41029" s="185"/>
    </row>
    <row r="41030">
      <c r="D41030" s="185"/>
      <c r="E41030" s="185" t="s">
        <v>470</v>
      </c>
      <c r="H41030" s="185"/>
    </row>
    <row r="41031">
      <c r="D41031" s="185"/>
      <c r="E41031" s="185" t="s">
        <v>470</v>
      </c>
      <c r="H41031" s="185"/>
    </row>
    <row r="41032">
      <c r="D41032" s="185"/>
      <c r="E41032" s="185" t="s">
        <v>470</v>
      </c>
      <c r="H41032" s="185"/>
    </row>
    <row r="41033">
      <c r="D41033" s="185"/>
      <c r="E41033" s="185" t="s">
        <v>470</v>
      </c>
      <c r="H41033" s="185"/>
    </row>
    <row r="41034">
      <c r="D41034" s="185"/>
      <c r="E41034" s="185" t="s">
        <v>470</v>
      </c>
      <c r="H41034" s="185"/>
    </row>
    <row r="41035">
      <c r="D41035" s="185"/>
      <c r="E41035" s="185" t="s">
        <v>470</v>
      </c>
      <c r="H41035" s="185"/>
    </row>
    <row r="41036">
      <c r="D41036" s="185"/>
      <c r="E41036" s="185" t="s">
        <v>470</v>
      </c>
      <c r="H41036" s="185"/>
    </row>
    <row r="41037">
      <c r="D41037" s="185"/>
      <c r="E41037" s="185" t="s">
        <v>470</v>
      </c>
      <c r="H41037" s="185"/>
    </row>
    <row r="41038">
      <c r="D41038" s="185"/>
      <c r="E41038" s="185" t="s">
        <v>470</v>
      </c>
      <c r="H41038" s="185"/>
    </row>
    <row r="41039">
      <c r="D41039" s="185"/>
      <c r="E41039" s="185" t="s">
        <v>470</v>
      </c>
      <c r="H41039" s="185"/>
    </row>
    <row r="41040">
      <c r="D41040" s="185"/>
      <c r="E41040" s="185" t="s">
        <v>470</v>
      </c>
      <c r="H41040" s="185"/>
    </row>
    <row r="41041">
      <c r="D41041" s="185"/>
      <c r="E41041" s="185" t="s">
        <v>470</v>
      </c>
      <c r="H41041" s="185"/>
    </row>
    <row r="41042">
      <c r="D41042" s="185"/>
      <c r="E41042" s="185" t="s">
        <v>470</v>
      </c>
      <c r="H41042" s="185"/>
    </row>
    <row r="41043">
      <c r="D41043" s="185"/>
      <c r="E41043" s="185" t="s">
        <v>470</v>
      </c>
      <c r="H41043" s="185"/>
    </row>
    <row r="41044">
      <c r="D41044" s="185"/>
      <c r="E41044" s="185" t="s">
        <v>470</v>
      </c>
      <c r="H41044" s="185"/>
    </row>
    <row r="41045">
      <c r="D41045" s="185"/>
      <c r="E41045" s="185" t="s">
        <v>470</v>
      </c>
      <c r="H41045" s="185"/>
    </row>
    <row r="41046">
      <c r="D41046" s="185"/>
      <c r="E41046" s="185" t="s">
        <v>470</v>
      </c>
      <c r="H41046" s="185"/>
    </row>
    <row r="41047">
      <c r="D41047" s="185"/>
      <c r="E41047" s="185" t="s">
        <v>470</v>
      </c>
      <c r="H41047" s="185"/>
    </row>
    <row r="41048">
      <c r="D41048" s="185"/>
      <c r="E41048" s="185" t="s">
        <v>470</v>
      </c>
      <c r="H41048" s="185"/>
    </row>
    <row r="41049">
      <c r="D41049" s="185"/>
      <c r="E41049" s="185" t="s">
        <v>470</v>
      </c>
      <c r="H41049" s="185"/>
    </row>
    <row r="41050">
      <c r="D41050" s="185"/>
      <c r="E41050" s="185" t="s">
        <v>470</v>
      </c>
      <c r="H41050" s="185"/>
    </row>
    <row r="41051">
      <c r="D41051" s="185"/>
      <c r="E41051" s="185" t="s">
        <v>470</v>
      </c>
      <c r="H41051" s="185"/>
    </row>
    <row r="41052">
      <c r="D41052" s="185"/>
      <c r="E41052" s="185" t="s">
        <v>470</v>
      </c>
      <c r="H41052" s="185"/>
    </row>
    <row r="41053">
      <c r="D41053" s="185"/>
      <c r="E41053" s="185" t="s">
        <v>470</v>
      </c>
      <c r="H41053" s="185"/>
    </row>
    <row r="41054">
      <c r="D41054" s="185"/>
      <c r="E41054" s="185" t="s">
        <v>470</v>
      </c>
      <c r="H41054" s="185"/>
    </row>
    <row r="41055">
      <c r="D41055" s="185"/>
      <c r="E41055" s="185" t="s">
        <v>470</v>
      </c>
      <c r="H41055" s="185"/>
    </row>
    <row r="41056">
      <c r="D41056" s="185"/>
      <c r="E41056" s="185" t="s">
        <v>470</v>
      </c>
      <c r="H41056" s="185"/>
    </row>
    <row r="41057">
      <c r="D41057" s="185"/>
      <c r="E41057" s="185" t="s">
        <v>470</v>
      </c>
      <c r="H41057" s="185"/>
    </row>
    <row r="41058">
      <c r="D41058" s="185"/>
      <c r="E41058" s="185" t="s">
        <v>470</v>
      </c>
      <c r="H41058" s="185"/>
    </row>
    <row r="41059">
      <c r="D41059" s="185"/>
      <c r="E41059" s="185" t="s">
        <v>470</v>
      </c>
      <c r="H41059" s="185"/>
    </row>
    <row r="41060">
      <c r="D41060" s="185"/>
      <c r="E41060" s="185" t="s">
        <v>470</v>
      </c>
      <c r="H41060" s="185"/>
    </row>
    <row r="41061">
      <c r="D41061" s="185"/>
      <c r="E41061" s="185" t="s">
        <v>470</v>
      </c>
      <c r="H41061" s="185"/>
    </row>
    <row r="41062">
      <c r="D41062" s="185"/>
      <c r="E41062" s="185" t="s">
        <v>470</v>
      </c>
      <c r="H41062" s="185"/>
    </row>
    <row r="41063">
      <c r="D41063" s="185"/>
      <c r="E41063" s="185" t="s">
        <v>470</v>
      </c>
      <c r="H41063" s="185"/>
    </row>
    <row r="41064">
      <c r="D41064" s="185"/>
      <c r="E41064" s="185" t="s">
        <v>470</v>
      </c>
      <c r="H41064" s="185"/>
    </row>
    <row r="41065">
      <c r="D41065" s="185"/>
      <c r="E41065" s="185" t="s">
        <v>470</v>
      </c>
      <c r="H41065" s="185"/>
    </row>
    <row r="41066">
      <c r="D41066" s="185"/>
      <c r="E41066" s="185" t="s">
        <v>470</v>
      </c>
      <c r="H41066" s="185"/>
    </row>
    <row r="41067">
      <c r="D41067" s="185"/>
      <c r="E41067" s="185" t="s">
        <v>470</v>
      </c>
      <c r="H41067" s="185"/>
    </row>
    <row r="41068">
      <c r="D41068" s="185"/>
      <c r="E41068" s="185" t="s">
        <v>470</v>
      </c>
      <c r="H41068" s="185"/>
    </row>
    <row r="41069">
      <c r="D41069" s="185"/>
      <c r="E41069" s="185" t="s">
        <v>470</v>
      </c>
      <c r="H41069" s="185"/>
    </row>
    <row r="41070">
      <c r="D41070" s="185"/>
      <c r="E41070" s="185" t="s">
        <v>470</v>
      </c>
      <c r="H41070" s="185"/>
    </row>
    <row r="41071">
      <c r="D41071" s="185"/>
      <c r="E41071" s="185" t="s">
        <v>470</v>
      </c>
      <c r="H41071" s="185"/>
    </row>
    <row r="41072">
      <c r="D41072" s="185"/>
      <c r="E41072" s="185" t="s">
        <v>470</v>
      </c>
      <c r="H41072" s="185"/>
    </row>
    <row r="41073">
      <c r="D41073" s="185"/>
      <c r="E41073" s="185" t="s">
        <v>470</v>
      </c>
      <c r="H41073" s="185"/>
    </row>
    <row r="41074">
      <c r="D41074" s="185"/>
      <c r="E41074" s="185" t="s">
        <v>470</v>
      </c>
      <c r="H41074" s="185"/>
    </row>
    <row r="41075">
      <c r="D41075" s="185"/>
      <c r="E41075" s="185" t="s">
        <v>470</v>
      </c>
      <c r="H41075" s="185"/>
    </row>
    <row r="41076">
      <c r="D41076" s="185"/>
      <c r="E41076" s="185" t="s">
        <v>470</v>
      </c>
      <c r="H41076" s="185"/>
    </row>
    <row r="41077">
      <c r="D41077" s="185"/>
      <c r="E41077" s="185" t="s">
        <v>470</v>
      </c>
      <c r="H41077" s="185"/>
    </row>
    <row r="41078">
      <c r="D41078" s="185"/>
      <c r="E41078" s="185" t="s">
        <v>470</v>
      </c>
      <c r="H41078" s="185"/>
    </row>
    <row r="41079">
      <c r="D41079" s="185"/>
      <c r="E41079" s="185" t="s">
        <v>470</v>
      </c>
      <c r="H41079" s="185"/>
    </row>
    <row r="41080">
      <c r="D41080" s="185"/>
      <c r="E41080" s="185" t="s">
        <v>470</v>
      </c>
      <c r="H41080" s="185"/>
    </row>
    <row r="41081">
      <c r="D41081" s="185"/>
      <c r="E41081" s="185" t="s">
        <v>470</v>
      </c>
      <c r="H41081" s="185"/>
    </row>
    <row r="41082">
      <c r="D41082" s="185"/>
      <c r="E41082" s="185" t="s">
        <v>470</v>
      </c>
      <c r="H41082" s="185"/>
    </row>
    <row r="41083">
      <c r="D41083" s="185"/>
      <c r="E41083" s="185" t="s">
        <v>470</v>
      </c>
      <c r="H41083" s="185"/>
    </row>
    <row r="41084">
      <c r="D41084" s="185"/>
      <c r="E41084" s="185" t="s">
        <v>470</v>
      </c>
      <c r="H41084" s="185"/>
    </row>
    <row r="41085">
      <c r="D41085" s="185"/>
      <c r="E41085" s="185" t="s">
        <v>470</v>
      </c>
      <c r="H41085" s="185"/>
    </row>
    <row r="41086">
      <c r="D41086" s="185"/>
      <c r="E41086" s="185" t="s">
        <v>470</v>
      </c>
      <c r="H41086" s="185"/>
    </row>
    <row r="41087">
      <c r="D41087" s="185"/>
      <c r="E41087" s="185" t="s">
        <v>470</v>
      </c>
      <c r="H41087" s="185"/>
    </row>
    <row r="41088">
      <c r="D41088" s="185"/>
      <c r="E41088" s="185" t="s">
        <v>470</v>
      </c>
      <c r="H41088" s="185"/>
    </row>
    <row r="41089">
      <c r="D41089" s="185"/>
      <c r="E41089" s="185" t="s">
        <v>470</v>
      </c>
      <c r="H41089" s="185"/>
    </row>
    <row r="41090">
      <c r="D41090" s="185"/>
      <c r="E41090" s="185" t="s">
        <v>470</v>
      </c>
      <c r="H41090" s="185"/>
    </row>
    <row r="41091">
      <c r="D41091" s="185"/>
      <c r="E41091" s="185" t="s">
        <v>470</v>
      </c>
      <c r="H41091" s="185"/>
    </row>
    <row r="41092">
      <c r="D41092" s="185"/>
      <c r="E41092" s="185" t="s">
        <v>470</v>
      </c>
      <c r="H41092" s="185"/>
    </row>
    <row r="41093">
      <c r="D41093" s="185"/>
      <c r="E41093" s="185" t="s">
        <v>470</v>
      </c>
      <c r="H41093" s="185"/>
    </row>
    <row r="41094">
      <c r="D41094" s="185"/>
      <c r="E41094" s="185" t="s">
        <v>470</v>
      </c>
      <c r="H41094" s="185"/>
    </row>
    <row r="41095">
      <c r="D41095" s="185"/>
      <c r="E41095" s="185" t="s">
        <v>470</v>
      </c>
      <c r="H41095" s="185"/>
    </row>
    <row r="41096">
      <c r="D41096" s="185"/>
      <c r="E41096" s="185" t="s">
        <v>470</v>
      </c>
      <c r="H41096" s="185"/>
    </row>
    <row r="41097">
      <c r="D41097" s="185"/>
      <c r="E41097" s="185" t="s">
        <v>470</v>
      </c>
      <c r="H41097" s="185"/>
    </row>
    <row r="41098">
      <c r="D41098" s="185"/>
      <c r="E41098" s="185" t="s">
        <v>470</v>
      </c>
      <c r="H41098" s="185"/>
    </row>
    <row r="41099">
      <c r="D41099" s="185"/>
      <c r="E41099" s="185" t="s">
        <v>470</v>
      </c>
      <c r="H41099" s="185"/>
    </row>
    <row r="41100">
      <c r="D41100" s="185"/>
      <c r="E41100" s="185" t="s">
        <v>470</v>
      </c>
      <c r="H41100" s="185"/>
    </row>
    <row r="41101">
      <c r="D41101" s="185"/>
      <c r="E41101" s="185" t="s">
        <v>470</v>
      </c>
      <c r="H41101" s="185"/>
    </row>
    <row r="41102">
      <c r="D41102" s="185"/>
      <c r="E41102" s="185" t="s">
        <v>470</v>
      </c>
      <c r="H41102" s="185"/>
    </row>
    <row r="41103">
      <c r="D41103" s="185"/>
      <c r="E41103" s="185" t="s">
        <v>470</v>
      </c>
      <c r="H41103" s="185"/>
    </row>
    <row r="41104">
      <c r="D41104" s="185"/>
      <c r="E41104" s="185" t="s">
        <v>470</v>
      </c>
      <c r="H41104" s="185"/>
    </row>
    <row r="41105">
      <c r="D41105" s="185"/>
      <c r="E41105" s="185" t="s">
        <v>470</v>
      </c>
      <c r="H41105" s="185"/>
    </row>
    <row r="41106">
      <c r="D41106" s="185"/>
      <c r="E41106" s="185" t="s">
        <v>470</v>
      </c>
      <c r="H41106" s="185"/>
    </row>
    <row r="41107">
      <c r="D41107" s="185"/>
      <c r="E41107" s="185" t="s">
        <v>470</v>
      </c>
      <c r="H41107" s="185"/>
    </row>
    <row r="41108">
      <c r="D41108" s="185"/>
      <c r="E41108" s="185" t="s">
        <v>470</v>
      </c>
      <c r="H41108" s="185"/>
    </row>
    <row r="41109">
      <c r="D41109" s="185"/>
      <c r="E41109" s="185" t="s">
        <v>470</v>
      </c>
      <c r="H41109" s="185"/>
    </row>
    <row r="41110">
      <c r="D41110" s="185"/>
      <c r="E41110" s="185" t="s">
        <v>470</v>
      </c>
      <c r="H41110" s="185"/>
    </row>
    <row r="41111">
      <c r="D41111" s="185"/>
      <c r="E41111" s="185" t="s">
        <v>470</v>
      </c>
      <c r="H41111" s="185"/>
    </row>
    <row r="41112">
      <c r="D41112" s="185"/>
      <c r="E41112" s="185" t="s">
        <v>470</v>
      </c>
      <c r="H41112" s="185"/>
    </row>
    <row r="41113">
      <c r="D41113" s="185"/>
      <c r="E41113" s="185" t="s">
        <v>470</v>
      </c>
      <c r="H41113" s="185"/>
    </row>
    <row r="41114">
      <c r="D41114" s="185"/>
      <c r="E41114" s="185" t="s">
        <v>470</v>
      </c>
      <c r="H41114" s="185"/>
    </row>
    <row r="41115">
      <c r="D41115" s="185"/>
      <c r="E41115" s="185" t="s">
        <v>470</v>
      </c>
      <c r="H41115" s="185"/>
    </row>
    <row r="41116">
      <c r="D41116" s="185"/>
      <c r="E41116" s="185" t="s">
        <v>470</v>
      </c>
      <c r="H41116" s="185"/>
    </row>
    <row r="41117">
      <c r="D41117" s="185"/>
      <c r="E41117" s="185" t="s">
        <v>470</v>
      </c>
      <c r="H41117" s="185"/>
    </row>
    <row r="41118">
      <c r="D41118" s="185"/>
      <c r="E41118" s="185" t="s">
        <v>470</v>
      </c>
      <c r="H41118" s="185"/>
    </row>
    <row r="41119">
      <c r="D41119" s="185"/>
      <c r="E41119" s="185" t="s">
        <v>470</v>
      </c>
      <c r="H41119" s="185"/>
    </row>
    <row r="41120">
      <c r="D41120" s="185"/>
      <c r="E41120" s="185" t="s">
        <v>470</v>
      </c>
      <c r="H41120" s="185"/>
    </row>
    <row r="41121">
      <c r="D41121" s="185"/>
      <c r="E41121" s="185" t="s">
        <v>470</v>
      </c>
      <c r="H41121" s="185"/>
    </row>
    <row r="41122">
      <c r="D41122" s="185"/>
      <c r="E41122" s="185" t="s">
        <v>470</v>
      </c>
      <c r="H41122" s="185"/>
    </row>
    <row r="41123">
      <c r="D41123" s="185"/>
      <c r="E41123" s="185" t="s">
        <v>470</v>
      </c>
      <c r="H41123" s="185"/>
    </row>
    <row r="41124">
      <c r="D41124" s="185"/>
      <c r="E41124" s="185" t="s">
        <v>470</v>
      </c>
      <c r="H41124" s="185"/>
    </row>
    <row r="41125">
      <c r="D41125" s="185"/>
      <c r="E41125" s="185" t="s">
        <v>470</v>
      </c>
      <c r="H41125" s="185"/>
    </row>
    <row r="41126">
      <c r="D41126" s="185"/>
      <c r="E41126" s="185" t="s">
        <v>470</v>
      </c>
      <c r="H41126" s="185"/>
    </row>
    <row r="41127">
      <c r="D41127" s="185"/>
      <c r="E41127" s="185" t="s">
        <v>470</v>
      </c>
      <c r="H41127" s="185"/>
    </row>
    <row r="41128">
      <c r="D41128" s="185"/>
      <c r="E41128" s="185" t="s">
        <v>470</v>
      </c>
      <c r="H41128" s="185"/>
    </row>
    <row r="41129">
      <c r="D41129" s="185"/>
      <c r="E41129" s="185" t="s">
        <v>470</v>
      </c>
      <c r="H41129" s="185"/>
    </row>
    <row r="41130">
      <c r="D41130" s="185"/>
      <c r="E41130" s="185" t="s">
        <v>470</v>
      </c>
      <c r="H41130" s="185"/>
    </row>
    <row r="41131">
      <c r="D41131" s="185"/>
      <c r="E41131" s="185" t="s">
        <v>470</v>
      </c>
      <c r="H41131" s="185"/>
    </row>
    <row r="41132">
      <c r="D41132" s="185"/>
      <c r="E41132" s="185" t="s">
        <v>470</v>
      </c>
      <c r="H41132" s="185"/>
    </row>
    <row r="41133">
      <c r="D41133" s="185"/>
      <c r="E41133" s="185" t="s">
        <v>470</v>
      </c>
      <c r="H41133" s="185"/>
    </row>
    <row r="41134">
      <c r="D41134" s="185"/>
      <c r="E41134" s="185" t="s">
        <v>470</v>
      </c>
      <c r="H41134" s="185"/>
    </row>
    <row r="41135">
      <c r="D41135" s="185"/>
      <c r="E41135" s="185" t="s">
        <v>470</v>
      </c>
      <c r="H41135" s="185"/>
    </row>
    <row r="41136">
      <c r="D41136" s="185"/>
      <c r="E41136" s="185" t="s">
        <v>470</v>
      </c>
      <c r="H41136" s="185"/>
    </row>
    <row r="41137">
      <c r="D41137" s="185"/>
      <c r="E41137" s="185" t="s">
        <v>470</v>
      </c>
      <c r="H41137" s="185"/>
    </row>
    <row r="41138">
      <c r="D41138" s="185"/>
      <c r="E41138" s="185" t="s">
        <v>470</v>
      </c>
      <c r="H41138" s="185"/>
    </row>
    <row r="41139">
      <c r="D41139" s="185"/>
      <c r="E41139" s="185" t="s">
        <v>470</v>
      </c>
      <c r="H41139" s="185"/>
    </row>
    <row r="41140">
      <c r="D41140" s="185"/>
      <c r="E41140" s="185" t="s">
        <v>470</v>
      </c>
      <c r="H41140" s="185"/>
    </row>
    <row r="41141">
      <c r="D41141" s="185"/>
      <c r="E41141" s="185" t="s">
        <v>470</v>
      </c>
      <c r="H41141" s="185"/>
    </row>
    <row r="41142">
      <c r="D41142" s="185"/>
      <c r="E41142" s="185" t="s">
        <v>470</v>
      </c>
      <c r="H41142" s="185"/>
    </row>
    <row r="41143">
      <c r="D41143" s="185"/>
      <c r="E41143" s="185" t="s">
        <v>470</v>
      </c>
      <c r="H41143" s="185"/>
    </row>
    <row r="41144">
      <c r="D41144" s="185"/>
      <c r="E41144" s="185" t="s">
        <v>470</v>
      </c>
      <c r="H41144" s="185"/>
    </row>
    <row r="41145">
      <c r="D41145" s="185"/>
      <c r="E41145" s="185" t="s">
        <v>470</v>
      </c>
      <c r="H41145" s="185"/>
    </row>
    <row r="41146">
      <c r="D41146" s="185"/>
      <c r="E41146" s="185" t="s">
        <v>470</v>
      </c>
      <c r="H41146" s="185"/>
    </row>
    <row r="41147">
      <c r="D41147" s="185"/>
      <c r="E41147" s="185" t="s">
        <v>470</v>
      </c>
      <c r="H41147" s="185"/>
    </row>
    <row r="41148">
      <c r="D41148" s="185"/>
      <c r="E41148" s="185" t="s">
        <v>470</v>
      </c>
      <c r="H41148" s="185"/>
    </row>
    <row r="41149">
      <c r="D41149" s="185"/>
      <c r="E41149" s="185" t="s">
        <v>470</v>
      </c>
      <c r="H41149" s="185"/>
    </row>
    <row r="41150">
      <c r="D41150" s="185"/>
      <c r="E41150" s="185" t="s">
        <v>470</v>
      </c>
      <c r="H41150" s="185"/>
    </row>
    <row r="41151">
      <c r="D41151" s="185"/>
      <c r="E41151" s="185" t="s">
        <v>470</v>
      </c>
      <c r="H41151" s="185"/>
    </row>
    <row r="41152">
      <c r="D41152" s="185"/>
      <c r="E41152" s="185" t="s">
        <v>470</v>
      </c>
      <c r="H41152" s="185"/>
    </row>
    <row r="41153">
      <c r="D41153" s="185"/>
      <c r="E41153" s="185" t="s">
        <v>470</v>
      </c>
      <c r="H41153" s="185"/>
    </row>
    <row r="41154">
      <c r="D41154" s="185"/>
      <c r="E41154" s="185" t="s">
        <v>470</v>
      </c>
      <c r="H41154" s="185"/>
    </row>
    <row r="41155">
      <c r="D41155" s="185"/>
      <c r="E41155" s="185" t="s">
        <v>470</v>
      </c>
      <c r="H41155" s="185"/>
    </row>
    <row r="41156">
      <c r="D41156" s="185"/>
      <c r="E41156" s="185" t="s">
        <v>470</v>
      </c>
      <c r="H41156" s="185"/>
    </row>
    <row r="41157">
      <c r="D41157" s="185"/>
      <c r="E41157" s="185" t="s">
        <v>470</v>
      </c>
      <c r="H41157" s="185"/>
    </row>
    <row r="41158">
      <c r="D41158" s="185"/>
      <c r="E41158" s="185" t="s">
        <v>470</v>
      </c>
      <c r="H41158" s="185"/>
    </row>
    <row r="41159">
      <c r="D41159" s="185"/>
      <c r="E41159" s="185" t="s">
        <v>470</v>
      </c>
      <c r="H41159" s="185"/>
    </row>
    <row r="41160">
      <c r="D41160" s="185"/>
      <c r="E41160" s="185" t="s">
        <v>470</v>
      </c>
      <c r="H41160" s="185"/>
    </row>
    <row r="41161">
      <c r="D41161" s="185"/>
      <c r="E41161" s="185" t="s">
        <v>470</v>
      </c>
      <c r="H41161" s="185"/>
    </row>
    <row r="41162">
      <c r="D41162" s="185"/>
      <c r="E41162" s="185" t="s">
        <v>470</v>
      </c>
      <c r="H41162" s="185"/>
    </row>
    <row r="41163">
      <c r="D41163" s="185"/>
      <c r="E41163" s="185" t="s">
        <v>470</v>
      </c>
      <c r="H41163" s="185"/>
    </row>
    <row r="41164">
      <c r="D41164" s="185"/>
      <c r="E41164" s="185" t="s">
        <v>470</v>
      </c>
      <c r="H41164" s="185"/>
    </row>
    <row r="41165">
      <c r="D41165" s="185"/>
      <c r="E41165" s="185" t="s">
        <v>470</v>
      </c>
      <c r="H41165" s="185"/>
    </row>
    <row r="41166">
      <c r="D41166" s="185"/>
      <c r="E41166" s="185" t="s">
        <v>470</v>
      </c>
      <c r="H41166" s="185"/>
    </row>
    <row r="41167">
      <c r="D41167" s="185"/>
      <c r="E41167" s="185" t="s">
        <v>470</v>
      </c>
      <c r="H41167" s="185"/>
    </row>
    <row r="41168">
      <c r="D41168" s="185"/>
      <c r="E41168" s="185" t="s">
        <v>470</v>
      </c>
      <c r="H41168" s="185"/>
    </row>
    <row r="41169">
      <c r="D41169" s="185"/>
      <c r="E41169" s="185" t="s">
        <v>470</v>
      </c>
      <c r="H41169" s="185"/>
    </row>
    <row r="41170">
      <c r="D41170" s="185"/>
      <c r="E41170" s="185" t="s">
        <v>470</v>
      </c>
      <c r="H41170" s="185"/>
    </row>
    <row r="41171">
      <c r="D41171" s="185"/>
      <c r="E41171" s="185" t="s">
        <v>470</v>
      </c>
      <c r="H41171" s="185"/>
    </row>
    <row r="41172">
      <c r="D41172" s="185"/>
      <c r="E41172" s="185" t="s">
        <v>470</v>
      </c>
      <c r="H41172" s="185"/>
    </row>
    <row r="41173">
      <c r="D41173" s="185"/>
      <c r="E41173" s="185" t="s">
        <v>470</v>
      </c>
      <c r="H41173" s="185"/>
    </row>
    <row r="41174">
      <c r="D41174" s="185"/>
      <c r="E41174" s="185" t="s">
        <v>470</v>
      </c>
      <c r="H41174" s="185"/>
    </row>
    <row r="41175">
      <c r="D41175" s="185"/>
      <c r="E41175" s="185" t="s">
        <v>470</v>
      </c>
      <c r="H41175" s="185"/>
    </row>
    <row r="41176">
      <c r="D41176" s="185"/>
      <c r="E41176" s="185" t="s">
        <v>470</v>
      </c>
      <c r="H41176" s="185"/>
    </row>
    <row r="41177">
      <c r="D41177" s="185"/>
      <c r="E41177" s="185" t="s">
        <v>470</v>
      </c>
      <c r="H41177" s="185"/>
    </row>
    <row r="41178">
      <c r="D41178" s="185"/>
      <c r="E41178" s="185" t="s">
        <v>470</v>
      </c>
      <c r="H41178" s="185"/>
    </row>
    <row r="41179">
      <c r="D41179" s="185"/>
      <c r="E41179" s="185" t="s">
        <v>470</v>
      </c>
      <c r="H41179" s="185"/>
    </row>
    <row r="41180">
      <c r="D41180" s="185"/>
      <c r="E41180" s="185" t="s">
        <v>470</v>
      </c>
      <c r="H41180" s="185"/>
    </row>
    <row r="41181">
      <c r="D41181" s="185"/>
      <c r="E41181" s="185" t="s">
        <v>470</v>
      </c>
      <c r="H41181" s="185"/>
    </row>
    <row r="41182">
      <c r="D41182" s="185"/>
      <c r="E41182" s="185" t="s">
        <v>470</v>
      </c>
      <c r="H41182" s="185"/>
    </row>
    <row r="41183">
      <c r="D41183" s="185"/>
      <c r="E41183" s="185" t="s">
        <v>470</v>
      </c>
      <c r="H41183" s="185"/>
    </row>
    <row r="41184">
      <c r="D41184" s="185"/>
      <c r="E41184" s="185" t="s">
        <v>470</v>
      </c>
      <c r="H41184" s="185"/>
    </row>
    <row r="41185">
      <c r="D41185" s="185"/>
      <c r="E41185" s="185" t="s">
        <v>470</v>
      </c>
      <c r="H41185" s="185"/>
    </row>
    <row r="41186">
      <c r="D41186" s="185"/>
      <c r="E41186" s="185" t="s">
        <v>470</v>
      </c>
      <c r="H41186" s="185"/>
    </row>
    <row r="41187">
      <c r="D41187" s="185"/>
      <c r="E41187" s="185" t="s">
        <v>470</v>
      </c>
      <c r="H41187" s="185"/>
    </row>
    <row r="41188">
      <c r="D41188" s="185"/>
      <c r="E41188" s="185" t="s">
        <v>470</v>
      </c>
      <c r="H41188" s="185"/>
    </row>
    <row r="41189">
      <c r="D41189" s="185"/>
      <c r="E41189" s="185" t="s">
        <v>470</v>
      </c>
      <c r="H41189" s="185"/>
    </row>
    <row r="41190">
      <c r="D41190" s="185"/>
      <c r="E41190" s="185" t="s">
        <v>470</v>
      </c>
      <c r="H41190" s="185"/>
    </row>
    <row r="41191">
      <c r="D41191" s="185"/>
      <c r="E41191" s="185" t="s">
        <v>470</v>
      </c>
      <c r="H41191" s="185"/>
    </row>
    <row r="41192">
      <c r="D41192" s="185"/>
      <c r="E41192" s="185" t="s">
        <v>470</v>
      </c>
      <c r="H41192" s="185"/>
    </row>
    <row r="41193">
      <c r="D41193" s="185"/>
      <c r="E41193" s="185" t="s">
        <v>470</v>
      </c>
      <c r="H41193" s="185"/>
    </row>
    <row r="41194">
      <c r="D41194" s="185"/>
      <c r="E41194" s="185" t="s">
        <v>470</v>
      </c>
      <c r="H41194" s="185"/>
    </row>
    <row r="41195">
      <c r="D41195" s="185"/>
      <c r="E41195" s="185" t="s">
        <v>470</v>
      </c>
      <c r="H41195" s="185"/>
    </row>
    <row r="41196">
      <c r="D41196" s="185"/>
      <c r="E41196" s="185" t="s">
        <v>470</v>
      </c>
      <c r="H41196" s="185"/>
    </row>
    <row r="41197">
      <c r="D41197" s="185"/>
      <c r="E41197" s="185" t="s">
        <v>470</v>
      </c>
      <c r="H41197" s="185"/>
    </row>
    <row r="41198">
      <c r="D41198" s="185"/>
      <c r="E41198" s="185" t="s">
        <v>470</v>
      </c>
      <c r="H41198" s="185"/>
    </row>
    <row r="41199">
      <c r="D41199" s="185"/>
      <c r="E41199" s="185" t="s">
        <v>470</v>
      </c>
      <c r="H41199" s="185"/>
    </row>
    <row r="41200">
      <c r="D41200" s="185"/>
      <c r="E41200" s="185" t="s">
        <v>470</v>
      </c>
      <c r="H41200" s="185"/>
    </row>
    <row r="41201">
      <c r="D41201" s="185"/>
      <c r="E41201" s="185" t="s">
        <v>470</v>
      </c>
      <c r="H41201" s="185"/>
    </row>
    <row r="41202">
      <c r="D41202" s="185"/>
      <c r="E41202" s="185" t="s">
        <v>470</v>
      </c>
      <c r="H41202" s="185"/>
    </row>
    <row r="41203">
      <c r="D41203" s="185"/>
      <c r="E41203" s="185" t="s">
        <v>470</v>
      </c>
      <c r="H41203" s="185"/>
    </row>
    <row r="41204">
      <c r="D41204" s="185"/>
      <c r="E41204" s="185" t="s">
        <v>470</v>
      </c>
      <c r="H41204" s="185"/>
    </row>
    <row r="41205">
      <c r="D41205" s="185"/>
      <c r="E41205" s="185" t="s">
        <v>470</v>
      </c>
      <c r="H41205" s="185"/>
    </row>
    <row r="41206">
      <c r="D41206" s="185"/>
      <c r="E41206" s="185" t="s">
        <v>470</v>
      </c>
      <c r="H41206" s="185"/>
    </row>
    <row r="41207">
      <c r="D41207" s="185"/>
      <c r="E41207" s="185" t="s">
        <v>470</v>
      </c>
      <c r="H41207" s="185"/>
    </row>
    <row r="41208">
      <c r="D41208" s="185"/>
      <c r="E41208" s="185" t="s">
        <v>470</v>
      </c>
      <c r="H41208" s="185"/>
    </row>
    <row r="41209">
      <c r="D41209" s="185"/>
      <c r="E41209" s="185" t="s">
        <v>470</v>
      </c>
      <c r="H41209" s="185"/>
    </row>
    <row r="41210">
      <c r="D41210" s="185"/>
      <c r="E41210" s="185" t="s">
        <v>470</v>
      </c>
      <c r="H41210" s="185"/>
    </row>
    <row r="41211">
      <c r="D41211" s="185"/>
      <c r="E41211" s="185" t="s">
        <v>470</v>
      </c>
      <c r="H41211" s="185"/>
    </row>
    <row r="41212">
      <c r="D41212" s="185"/>
      <c r="E41212" s="185" t="s">
        <v>470</v>
      </c>
      <c r="H41212" s="185"/>
    </row>
    <row r="41213">
      <c r="D41213" s="185"/>
      <c r="E41213" s="185" t="s">
        <v>470</v>
      </c>
      <c r="H41213" s="185"/>
    </row>
    <row r="41214">
      <c r="D41214" s="185"/>
      <c r="E41214" s="185" t="s">
        <v>470</v>
      </c>
      <c r="H41214" s="185"/>
    </row>
    <row r="41215">
      <c r="D41215" s="185"/>
      <c r="E41215" s="185" t="s">
        <v>470</v>
      </c>
      <c r="H41215" s="185"/>
    </row>
    <row r="41216">
      <c r="D41216" s="185"/>
      <c r="E41216" s="185" t="s">
        <v>470</v>
      </c>
      <c r="H41216" s="185"/>
    </row>
    <row r="41217">
      <c r="D41217" s="185"/>
      <c r="E41217" s="185" t="s">
        <v>470</v>
      </c>
      <c r="H41217" s="185"/>
    </row>
    <row r="41218">
      <c r="D41218" s="185"/>
      <c r="E41218" s="185" t="s">
        <v>470</v>
      </c>
      <c r="H41218" s="185"/>
    </row>
    <row r="41219">
      <c r="D41219" s="185"/>
      <c r="E41219" s="185" t="s">
        <v>470</v>
      </c>
      <c r="H41219" s="185"/>
    </row>
    <row r="41220">
      <c r="D41220" s="185"/>
      <c r="E41220" s="185" t="s">
        <v>470</v>
      </c>
      <c r="H41220" s="185"/>
    </row>
    <row r="41221">
      <c r="D41221" s="185"/>
      <c r="E41221" s="185" t="s">
        <v>470</v>
      </c>
      <c r="H41221" s="185"/>
    </row>
    <row r="41222">
      <c r="D41222" s="185"/>
      <c r="E41222" s="185" t="s">
        <v>470</v>
      </c>
      <c r="H41222" s="185"/>
    </row>
    <row r="41223">
      <c r="D41223" s="185"/>
      <c r="E41223" s="185" t="s">
        <v>470</v>
      </c>
      <c r="H41223" s="185"/>
    </row>
    <row r="41224">
      <c r="D41224" s="185"/>
      <c r="E41224" s="185" t="s">
        <v>470</v>
      </c>
      <c r="H41224" s="185"/>
    </row>
    <row r="41225">
      <c r="D41225" s="185"/>
      <c r="E41225" s="185" t="s">
        <v>470</v>
      </c>
      <c r="H41225" s="185"/>
    </row>
    <row r="41226">
      <c r="D41226" s="185"/>
      <c r="E41226" s="185" t="s">
        <v>470</v>
      </c>
      <c r="H41226" s="185"/>
    </row>
    <row r="41227">
      <c r="D41227" s="185"/>
      <c r="E41227" s="185" t="s">
        <v>470</v>
      </c>
      <c r="H41227" s="185"/>
    </row>
    <row r="41228">
      <c r="D41228" s="185"/>
      <c r="E41228" s="185" t="s">
        <v>470</v>
      </c>
      <c r="H41228" s="185"/>
    </row>
    <row r="41229">
      <c r="D41229" s="185"/>
      <c r="E41229" s="185" t="s">
        <v>470</v>
      </c>
      <c r="H41229" s="185"/>
    </row>
    <row r="41230">
      <c r="D41230" s="185"/>
      <c r="E41230" s="185" t="s">
        <v>470</v>
      </c>
      <c r="H41230" s="185"/>
    </row>
    <row r="41231">
      <c r="D41231" s="185"/>
      <c r="E41231" s="185" t="s">
        <v>470</v>
      </c>
      <c r="H41231" s="185"/>
    </row>
    <row r="41232">
      <c r="D41232" s="185"/>
      <c r="E41232" s="185" t="s">
        <v>470</v>
      </c>
      <c r="H41232" s="185"/>
    </row>
    <row r="41233">
      <c r="D41233" s="185"/>
      <c r="E41233" s="185" t="s">
        <v>470</v>
      </c>
      <c r="H41233" s="185"/>
    </row>
    <row r="41234">
      <c r="D41234" s="185"/>
      <c r="E41234" s="185" t="s">
        <v>470</v>
      </c>
      <c r="H41234" s="185"/>
    </row>
    <row r="41235">
      <c r="D41235" s="185"/>
      <c r="E41235" s="185" t="s">
        <v>470</v>
      </c>
      <c r="H41235" s="185"/>
    </row>
    <row r="41236">
      <c r="D41236" s="185"/>
      <c r="E41236" s="185" t="s">
        <v>470</v>
      </c>
      <c r="H41236" s="185"/>
    </row>
    <row r="41237">
      <c r="D41237" s="185"/>
      <c r="E41237" s="185" t="s">
        <v>470</v>
      </c>
      <c r="H41237" s="185"/>
    </row>
    <row r="41238">
      <c r="D41238" s="185"/>
      <c r="E41238" s="185" t="s">
        <v>470</v>
      </c>
      <c r="H41238" s="185"/>
    </row>
    <row r="41239">
      <c r="D41239" s="185"/>
      <c r="E41239" s="185" t="s">
        <v>470</v>
      </c>
      <c r="H41239" s="185"/>
    </row>
    <row r="41240">
      <c r="D41240" s="185"/>
      <c r="E41240" s="185" t="s">
        <v>470</v>
      </c>
      <c r="H41240" s="185"/>
    </row>
    <row r="41241">
      <c r="D41241" s="185"/>
      <c r="E41241" s="185" t="s">
        <v>470</v>
      </c>
      <c r="H41241" s="185"/>
    </row>
    <row r="41242">
      <c r="D41242" s="185"/>
      <c r="E41242" s="185" t="s">
        <v>470</v>
      </c>
      <c r="H41242" s="185"/>
    </row>
    <row r="41243">
      <c r="D41243" s="185"/>
      <c r="E41243" s="185" t="s">
        <v>470</v>
      </c>
      <c r="H41243" s="185"/>
    </row>
    <row r="41244">
      <c r="D41244" s="185"/>
      <c r="E41244" s="185" t="s">
        <v>470</v>
      </c>
      <c r="H41244" s="185"/>
    </row>
    <row r="41245">
      <c r="D41245" s="185"/>
      <c r="E41245" s="185" t="s">
        <v>470</v>
      </c>
      <c r="H41245" s="185"/>
    </row>
    <row r="41246">
      <c r="D41246" s="185"/>
      <c r="E41246" s="185" t="s">
        <v>470</v>
      </c>
      <c r="H41246" s="185"/>
    </row>
    <row r="41247">
      <c r="D41247" s="185"/>
      <c r="E41247" s="185" t="s">
        <v>470</v>
      </c>
      <c r="H41247" s="185"/>
    </row>
    <row r="41248">
      <c r="D41248" s="185"/>
      <c r="E41248" s="185" t="s">
        <v>470</v>
      </c>
      <c r="H41248" s="185"/>
    </row>
    <row r="41249">
      <c r="D41249" s="185"/>
      <c r="E41249" s="185" t="s">
        <v>470</v>
      </c>
      <c r="H41249" s="185"/>
    </row>
    <row r="41250">
      <c r="D41250" s="185"/>
      <c r="E41250" s="185" t="s">
        <v>470</v>
      </c>
      <c r="H41250" s="185"/>
    </row>
    <row r="41251">
      <c r="D41251" s="185"/>
      <c r="E41251" s="185" t="s">
        <v>470</v>
      </c>
      <c r="H41251" s="185"/>
    </row>
    <row r="41252">
      <c r="D41252" s="185"/>
      <c r="E41252" s="185" t="s">
        <v>470</v>
      </c>
      <c r="H41252" s="185"/>
    </row>
    <row r="41253">
      <c r="D41253" s="185"/>
      <c r="E41253" s="185" t="s">
        <v>470</v>
      </c>
      <c r="H41253" s="185"/>
    </row>
    <row r="41254">
      <c r="D41254" s="185"/>
      <c r="E41254" s="185" t="s">
        <v>470</v>
      </c>
      <c r="H41254" s="185"/>
    </row>
    <row r="41255">
      <c r="D41255" s="185"/>
      <c r="E41255" s="185" t="s">
        <v>470</v>
      </c>
      <c r="H41255" s="185"/>
    </row>
    <row r="41256">
      <c r="D41256" s="185"/>
      <c r="E41256" s="185" t="s">
        <v>470</v>
      </c>
      <c r="H41256" s="185"/>
    </row>
    <row r="41257">
      <c r="D41257" s="185"/>
      <c r="E41257" s="185" t="s">
        <v>470</v>
      </c>
      <c r="H41257" s="185"/>
    </row>
    <row r="41258">
      <c r="D41258" s="185"/>
      <c r="E41258" s="185" t="s">
        <v>470</v>
      </c>
      <c r="H41258" s="185"/>
    </row>
    <row r="41259">
      <c r="D41259" s="185"/>
      <c r="E41259" s="185" t="s">
        <v>470</v>
      </c>
      <c r="H41259" s="185"/>
    </row>
    <row r="41260">
      <c r="D41260" s="185"/>
      <c r="E41260" s="185" t="s">
        <v>470</v>
      </c>
      <c r="H41260" s="185"/>
    </row>
    <row r="41261">
      <c r="D41261" s="185"/>
      <c r="E41261" s="185" t="s">
        <v>470</v>
      </c>
      <c r="H41261" s="185"/>
    </row>
    <row r="41262">
      <c r="D41262" s="185"/>
      <c r="E41262" s="185" t="s">
        <v>470</v>
      </c>
      <c r="H41262" s="185"/>
    </row>
    <row r="41263">
      <c r="D41263" s="185"/>
      <c r="E41263" s="185" t="s">
        <v>470</v>
      </c>
      <c r="H41263" s="185"/>
    </row>
    <row r="41264">
      <c r="D41264" s="185"/>
      <c r="E41264" s="185" t="s">
        <v>470</v>
      </c>
      <c r="H41264" s="185"/>
    </row>
    <row r="41265">
      <c r="D41265" s="185"/>
      <c r="E41265" s="185" t="s">
        <v>470</v>
      </c>
      <c r="H41265" s="185"/>
    </row>
    <row r="41266">
      <c r="D41266" s="185"/>
      <c r="E41266" s="185" t="s">
        <v>470</v>
      </c>
      <c r="H41266" s="185"/>
    </row>
    <row r="41267">
      <c r="D41267" s="185"/>
      <c r="E41267" s="185" t="s">
        <v>470</v>
      </c>
      <c r="H41267" s="185"/>
    </row>
    <row r="41268">
      <c r="D41268" s="185"/>
      <c r="E41268" s="185" t="s">
        <v>470</v>
      </c>
      <c r="H41268" s="185"/>
    </row>
    <row r="41269">
      <c r="D41269" s="185"/>
      <c r="E41269" s="185" t="s">
        <v>470</v>
      </c>
      <c r="H41269" s="185"/>
    </row>
    <row r="41270">
      <c r="D41270" s="185"/>
      <c r="E41270" s="185" t="s">
        <v>470</v>
      </c>
      <c r="H41270" s="185"/>
    </row>
    <row r="41271">
      <c r="D41271" s="185"/>
      <c r="E41271" s="185" t="s">
        <v>470</v>
      </c>
      <c r="H41271" s="185"/>
    </row>
    <row r="41272">
      <c r="D41272" s="185"/>
      <c r="E41272" s="185" t="s">
        <v>470</v>
      </c>
      <c r="H41272" s="185"/>
    </row>
    <row r="41273">
      <c r="D41273" s="185"/>
      <c r="E41273" s="185" t="s">
        <v>470</v>
      </c>
      <c r="H41273" s="185"/>
    </row>
    <row r="41274">
      <c r="D41274" s="185"/>
      <c r="E41274" s="185" t="s">
        <v>470</v>
      </c>
      <c r="H41274" s="185"/>
    </row>
    <row r="41275">
      <c r="D41275" s="185"/>
      <c r="E41275" s="185" t="s">
        <v>470</v>
      </c>
      <c r="H41275" s="185"/>
    </row>
    <row r="41276">
      <c r="D41276" s="185"/>
      <c r="E41276" s="185" t="s">
        <v>470</v>
      </c>
      <c r="H41276" s="185"/>
    </row>
    <row r="41277">
      <c r="D41277" s="185"/>
      <c r="E41277" s="185" t="s">
        <v>470</v>
      </c>
      <c r="H41277" s="185"/>
    </row>
    <row r="41278">
      <c r="D41278" s="185"/>
      <c r="E41278" s="185" t="s">
        <v>470</v>
      </c>
      <c r="H41278" s="185"/>
    </row>
    <row r="41279">
      <c r="D41279" s="185"/>
      <c r="E41279" s="185" t="s">
        <v>470</v>
      </c>
      <c r="H41279" s="185"/>
    </row>
    <row r="41280">
      <c r="D41280" s="185"/>
      <c r="E41280" s="185" t="s">
        <v>470</v>
      </c>
      <c r="H41280" s="185"/>
    </row>
    <row r="41281">
      <c r="D41281" s="185"/>
      <c r="E41281" s="185" t="s">
        <v>470</v>
      </c>
      <c r="H41281" s="185"/>
    </row>
    <row r="41282">
      <c r="D41282" s="185"/>
      <c r="E41282" s="185" t="s">
        <v>470</v>
      </c>
      <c r="H41282" s="185"/>
    </row>
    <row r="41283">
      <c r="D41283" s="185"/>
      <c r="E41283" s="185" t="s">
        <v>470</v>
      </c>
      <c r="H41283" s="185"/>
    </row>
    <row r="41284">
      <c r="D41284" s="185"/>
      <c r="E41284" s="185" t="s">
        <v>470</v>
      </c>
      <c r="H41284" s="185"/>
    </row>
    <row r="41285">
      <c r="D41285" s="185"/>
      <c r="E41285" s="185" t="s">
        <v>470</v>
      </c>
      <c r="H41285" s="185"/>
    </row>
    <row r="41286">
      <c r="D41286" s="185"/>
      <c r="E41286" s="185" t="s">
        <v>470</v>
      </c>
      <c r="H41286" s="185"/>
    </row>
    <row r="41287">
      <c r="D41287" s="185"/>
      <c r="E41287" s="185" t="s">
        <v>470</v>
      </c>
      <c r="H41287" s="185"/>
    </row>
    <row r="41288">
      <c r="D41288" s="185"/>
      <c r="E41288" s="185" t="s">
        <v>470</v>
      </c>
      <c r="H41288" s="185"/>
    </row>
    <row r="41289">
      <c r="D41289" s="185"/>
      <c r="E41289" s="185" t="s">
        <v>470</v>
      </c>
      <c r="H41289" s="185"/>
    </row>
    <row r="41290">
      <c r="D41290" s="185"/>
      <c r="E41290" s="185" t="s">
        <v>470</v>
      </c>
      <c r="H41290" s="185"/>
    </row>
    <row r="41291">
      <c r="D41291" s="185"/>
      <c r="E41291" s="185" t="s">
        <v>470</v>
      </c>
      <c r="H41291" s="185"/>
    </row>
  </sheetData>
  <hyperlinks>
    <hyperlink r:id="rId1" ref="E4"/>
    <hyperlink r:id="rId2" ref="E5"/>
    <hyperlink r:id="rId3" ref="E6"/>
  </hyperlinks>
  <drawing r:id="rId4"/>
</worksheet>
</file>